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<sst xmlns="http://schemas.openxmlformats.org/spreadsheetml/2006/main" count="217" uniqueCount="156">
  <si>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</si>
  <si>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</si>
  <si>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</si>
  <si>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</si>
  <si>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</si>
  <si>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</si>
  <si>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</si>
  <si>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</si>
  <si>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</si>
  <si>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</si>
  <si>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</si>
  <si>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</si>
  <si>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</si>
  <si>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</si>
  <si>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</si>
  <si>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</si>
  <si>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</si>
  <si>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</si>
  <si>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</si>
  <si>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</si>
  <si>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</si>
  <si>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</si>
  <si>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</si>
  <si>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</si>
  <si>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</si>
  <si>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</si>
  <si>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</si>
  <si>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</si>
  <si>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</si>
  <si>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</si>
  <si>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</si>
  <si>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</si>
  <si>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</si>
  <si>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</si>
  <si>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</si>
  <si>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</si>
  <si>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</si>
  <si>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</si>
  <si>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</si>
  <si>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</si>
  <si>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</si>
  <si>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</si>
  <si>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</si>
  <si>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</si>
  <si>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</si>
  <si>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</si>
  <si>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</si>
  <si>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</si>
  <si>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</si>
  <si>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</si>
  <si>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</si>
  <si>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</si>
  <si>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</si>
  <si>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</si>
  <si>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</si>
  <si>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</si>
  <si>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</si>
  <si>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</si>
  <si>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</si>
  <si>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</si>
  <si>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</si>
  <si>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1 TB4: Pusher Measurement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</si>
  <si>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</si>
  <si>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</si>
  <si>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</si>
  <si>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</si>
  <si>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Run 2 TB4: Pusher Measurement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</si>
  <si>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</si>
  <si>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</si>
  <si>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</si>
  <si>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</si>
  <si>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</si>
  <si>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</si>
  <si>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</si>
  <si>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</si>
  <si>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</si>
  <si>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</si>
  <si>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</si>
  <si>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</si>
  <si>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</si>
  <si>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</si>
  <si>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</si>
  <si>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</si>
  <si>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</si>
  <si>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(TB4; blank when 5.k keeps a tie)</t>
  </si>
  <si>
    <t xml:space="preserve">TB4 Rank</t>
  </si>
  <si>
    <t xml:space="preserve">Rank w/ TB</t>
  </si>
  <si>
    <t xml:space="preserve">Rank Diff</t>
  </si>
  <si>
    <t xml:space="preserve">Errors</t>
  </si>
  <si>
    <t xml:space="preserve">c</t>
  </si>
  <si>
    <t xml:space="preserve">t</t>
  </si>
  <si>
    <t xml:space="preserve">successful</t>
  </si>
  <si>
    <t xml:space="preserve">T</t>
  </si>
  <si>
    <t xml:space="preserve">Successful</t>
  </si>
  <si>
    <t xml:space="preserve">Name Desc</t>
  </si>
  <si>
    <t xml:space="preserve">Value</t>
  </si>
  <si>
    <t xml:space="preserve">Input Tokens</t>
  </si>
  <si>
    <t xml:space="preserve">F</t>
  </si>
  <si>
    <t xml:space="preserve">Successful Run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</si>
  <si>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</si>
  <si>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</si>
  <si>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</si>
  <si>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</si>
  <si>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</si>
  <si>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</si>
  <si>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</si>
  <si>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</si>
  <si>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</si>
  <si>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</si>
  <si>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</si>
  <si>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</si>
  <si>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</si>
  <si>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Penalties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</si>
  <si>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</si>
  <si>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</si>
  <si>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</si>
  <si>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</si>
  <si>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</si>
  <si>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</si>
  <si>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</si>
  <si>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</si>
  <si>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</si>
  <si>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</si>
  <si>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Bonuses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</si>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</sst>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1048576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8" topLeftCell="A9" activePane="bottomLeft" state="frozen"/>
      <selection pane="topLeft" activeCell="M1" activeCellId="0" sqref="M1"/>
      <selection pane="bottomLeft" activeCell="BL9" activeCellId="0" sqref="BL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false" outlineLevel="0" max="28" min="28" style="1" width="4.63"/>
    <col collapsed="false" customWidth="true" hidden="false" outlineLevel="0" max="29" min="29" style="1" width="9.33"/>
    <col collapsed="false" customWidth="true" hidden="false" outlineLevel="0" max="30" min="30" style="1" width="26.01"/>
    <col collapsed="false" customWidth="true" hidden="false" outlineLevel="0" max="31" min="31" style="1" width="5.75"/>
    <col collapsed="false" customWidth="true" hidden="false" outlineLevel="0" max="32" min="32" style="1" width="7.37"/>
    <col collapsed="false" customWidth="true" hidden="false" outlineLevel="0" max="33" min="33" style="1" width="7.23"/>
    <col collapsed="false" customWidth="true" hidden="false" outlineLevel="0" max="34" min="34" style="1" width="8.76"/>
    <col collapsed="false" customWidth="true" hidden="false" outlineLevel="0" max="35" min="35" style="1" width="5.75"/>
    <col collapsed="false" customWidth="true" hidden="false" outlineLevel="0" max="36" min="36" style="1" width="6.81"/>
    <col collapsed="false" customWidth="true" hidden="false" outlineLevel="0" max="37" min="37" style="1" width="7.78"/>
    <col collapsed="false" customWidth="true" hidden="false" outlineLevel="0" max="38" min="38" style="1" width="6.53"/>
    <col collapsed="false" customWidth="true" hidden="false" outlineLevel="0" max="39" min="39" style="1" width="8.21"/>
    <col collapsed="false" customWidth="true" hidden="false" outlineLevel="0" max="40" min="40" style="1" width="7.93"/>
    <col collapsed="false" customWidth="true" hidden="false" outlineLevel="0" max="41" min="41" style="1" width="6.81"/>
    <col collapsed="false" customWidth="true" hidden="false" outlineLevel="0" max="42" min="42" style="1" width="8.76"/>
    <col collapsed="false" customWidth="true" hidden="false" outlineLevel="0" max="43" min="43" style="1" width="8.9"/>
    <col collapsed="false" customWidth="true" hidden="false" outlineLevel="0" max="44" min="44" style="1" width="7.5"/>
    <col collapsed="false" customWidth="true" hidden="false" outlineLevel="0" max="45" min="45" style="1" width="8.06"/>
    <col collapsed="false" customWidth="true" hidden="false" outlineLevel="0" max="46" min="46" style="1" width="8.34"/>
    <col collapsed="false" customWidth="true" hidden="false" outlineLevel="0" max="47" min="47" style="1" width="8.49"/>
    <col collapsed="false" customWidth="true" hidden="false" outlineLevel="0" max="48" min="48" style="1" width="6.68"/>
    <col collapsed="false" customWidth="true" hidden="false" outlineLevel="0" max="49" min="49" style="1" width="7.65"/>
    <col collapsed="false" customWidth="true" hidden="false" outlineLevel="0" max="50" min="50" style="1" width="10.29"/>
    <col collapsed="false" customWidth="true" hidden="false" outlineLevel="0" max="52" min="51" style="1" width="7.78"/>
    <col collapsed="false" customWidth="true" hidden="false" outlineLevel="0" max="53" min="53" style="1" width="7.09"/>
    <col collapsed="false" customWidth="true" hidden="false" outlineLevel="0" max="54" min="54" style="1" width="8.06"/>
    <col collapsed="false" customWidth="true" hidden="false" outlineLevel="0" max="56" min="55" style="1" width="8.21"/>
    <col collapsed="false" customWidth="true" hidden="false" outlineLevel="0" max="57" min="57" style="1" width="8.49"/>
    <col collapsed="false" customWidth="true" hidden="false" outlineLevel="0" max="58" min="58" style="1" width="9.04"/>
    <col collapsed="false" customWidth="true" hidden="false" outlineLevel="0" max="59" min="59" style="1" width="8.21"/>
    <col collapsed="false" customWidth="true" hidden="false" outlineLevel="0" max="60" min="60" style="1" width="11.54"/>
    <col collapsed="false" customWidth="true" hidden="false" outlineLevel="0" max="61" min="61" style="1" width="5.75"/>
    <col collapsed="false" customWidth="true" hidden="false" outlineLevel="0" max="62" min="62" style="1" width="8.21"/>
    <col collapsed="false" customWidth="true" hidden="false" outlineLevel="0" max="63" min="63" style="1" width="7.5"/>
    <col collapsed="false" customWidth="true" hidden="false" outlineLevel="0" max="64" min="64" style="1" width="8.21"/>
    <col collapsed="false" customWidth="true" hidden="false" outlineLevel="0" max="65" min="65" style="1" width="5.75"/>
    <col collapsed="false" customWidth="true" hidden="false" outlineLevel="0" max="66" min="66" style="1" width="8.21"/>
    <col collapsed="false" customWidth="true" hidden="false" outlineLevel="0" max="67" min="67" style="1" width="7.5"/>
    <col collapsed="false" customWidth="true" hidden="false" outlineLevel="0" max="68" min="68" style="1" width="8.21"/>
    <col collapsed="false" customWidth="true" hidden="false" outlineLevel="0" max="69" min="69" style="1" width="7.65"/>
    <col collapsed="false" customWidth="true" hidden="false" outlineLevel="0" max="70" min="70" style="1" width="8.06"/>
    <col collapsed="false" customWidth="true" hidden="false" outlineLevel="0" max="71" min="71" style="1" width="9.04"/>
    <col collapsed="false" customWidth="true" hidden="false" outlineLevel="0" max="72" min="72" style="1" width="13.22"/>
    <col collapsed="false" customWidth="true" hidden="false" outlineLevel="0" max="73" min="73" style="1" width="7.65"/>
    <col collapsed="false" customWidth="true" hidden="false" outlineLevel="0" max="74" min="74" style="1" width="7.78"/>
    <col collapsed="false" customWidth="true" hidden="false" outlineLevel="0" max="75" min="75" style="1" width="7.23"/>
    <col collapsed="false" customWidth="true" hidden="false" outlineLevel="0" max="76" min="76" style="1" width="8.21"/>
    <col collapsed="false" customWidth="true" hidden="false" outlineLevel="0" max="77" min="77" style="1" width="21"/>
    <col collapsed="false" customWidth="true" hidden="false" outlineLevel="0" max="78" min="78" style="1" width="7.78"/>
    <col collapsed="false" customWidth="true" hidden="false" outlineLevel="0" max="79" min="79" style="1" width="4.63"/>
    <col collapsed="false" customWidth="true" hidden="false" outlineLevel="0" max="80" min="80" style="1" width="18.64"/>
    <col collapsed="false" customWidth="true" hidden="false" outlineLevel="0" max="81" min="81" style="1" width="23.09"/>
    <col collapsed="false" customWidth="true" hidden="false" outlineLevel="0" max="82" min="82" style="1" width="18.64"/>
    <col collapsed="false" customWidth="true" hidden="false" outlineLevel="0" max="83" min="83" style="1" width="11.96"/>
    <col collapsed="false" customWidth="true" hidden="false" outlineLevel="0" max="84" min="84" style="1" width="8.38"/>
    <col collapsed="false" customWidth="true" hidden="false" outlineLevel="0" max="85" min="85" style="1" width="29.77"/>
    <col collapsed="false" customWidth="true" hidden="false" outlineLevel="0" max="86" min="86" style="1" width="12"/>
    <col collapsed="false" customWidth="true" hidden="false" outlineLevel="0" max="87" min="87" style="1" width="31.44"/>
    <col collapsed="false" customWidth="true" hidden="false" outlineLevel="0" max="88" min="88" style="1" width="11.39"/>
    <col collapsed="false" customWidth="true" hidden="false" outlineLevel="0" max="89" min="89" style="1" width="33.24"/>
    <col collapsed="false" customWidth="true" hidden="false" outlineLevel="0" max="90" min="90" style="1" width="11.7"/>
    <col collapsed="false" customWidth="true" hidden="false" outlineLevel="0" max="91" min="91" style="1" width="57.18"/>
    <col collapsed="false" customWidth="true" hidden="false" outlineLevel="0" max="92" min="92" style="1" width="11.39"/>
    <col collapsed="false" customWidth="true" hidden="false" outlineLevel="0" max="93" min="93" style="1" width="13.07"/>
    <col collapsed="false" customWidth="true" hidden="false" outlineLevel="0" max="94" min="94" style="1" width="10.85"/>
    <col collapsed="false" customWidth="true" hidden="false" outlineLevel="0" max="96" min="95" style="1" width="4.63"/>
    <col collapsed="false" customWidth="true" hidden="false" outlineLevel="0" max="97" min="97" style="1" width="39.09"/>
    <col collapsed="false" customWidth="true" hidden="false" outlineLevel="0" max="98" min="98" style="1" width="4"/>
    <col collapsed="false" customWidth="true" hidden="false" outlineLevel="0" max="103" min="99" style="1" width="8.63"/>
    <col collapsed="false" customWidth="true" hidden="true" outlineLevel="0" max="104" min="104" style="1" width="4"/>
    <col collapsed="false" customWidth="true" hidden="false" outlineLevel="0" max="107" min="105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6"/>
      <c r="BM1" s="2"/>
      <c r="BN1" s="2"/>
      <c r="BO1" s="3"/>
      <c r="BP1" s="6"/>
      <c r="BQ1" s="2"/>
      <c r="BR1" s="2"/>
      <c r="BS1" s="2"/>
      <c r="BT1" s="6"/>
      <c r="BU1" s="6"/>
      <c r="BV1" s="6"/>
      <c r="BW1" s="6"/>
      <c r="BX1" s="6"/>
      <c r="BY1" s="2"/>
      <c r="BZ1" s="2"/>
      <c r="CA1" s="2"/>
      <c r="CB1" s="2"/>
      <c r="CC1" s="2"/>
      <c r="CD1" s="2"/>
      <c r="CE1" s="2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2"/>
      <c r="CR1" s="2"/>
      <c r="CS1" s="2"/>
      <c r="CT1" s="2"/>
      <c r="CU1" s="2"/>
      <c r="CV1" s="2"/>
      <c r="CW1" s="2"/>
      <c r="CX1" s="2"/>
      <c r="CY1" s="2"/>
      <c r="CZ1" s="8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21"/>
      <c r="BM2" s="17"/>
      <c r="BN2" s="17"/>
      <c r="BO2" s="20"/>
      <c r="BP2" s="21"/>
      <c r="BQ2" s="17"/>
      <c r="BR2" s="17"/>
      <c r="BS2" s="17"/>
      <c r="BT2" s="21"/>
      <c r="BU2" s="21"/>
      <c r="BV2" s="21"/>
      <c r="BW2" s="21"/>
      <c r="BX2" s="21"/>
      <c r="BY2" s="17"/>
      <c r="BZ2" s="17"/>
      <c r="CA2" s="17"/>
      <c r="CB2" s="17"/>
      <c r="CC2" s="17"/>
      <c r="CD2" s="17"/>
      <c r="CE2" s="1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22"/>
      <c r="CR2" s="23"/>
      <c r="CS2" s="23"/>
      <c r="CT2" s="23" t="s">
        <v>7</v>
      </c>
      <c r="CU2" s="23"/>
      <c r="CV2" s="23"/>
      <c r="CW2" s="23"/>
      <c r="CX2" s="23"/>
      <c r="CY2" s="23"/>
      <c r="CZ2" s="18"/>
      <c r="DA2" s="18"/>
      <c r="DB2" s="18"/>
      <c r="DC2" s="24"/>
      <c r="DD2" s="25"/>
      <c r="DE2" s="17"/>
      <c r="DF2" s="17"/>
      <c r="DG2" s="26" t="s">
        <v>8</v>
      </c>
      <c r="DH2" s="27" t="s">
        <v>9</v>
      </c>
      <c r="DI2" s="27" t="s">
        <v>10</v>
      </c>
      <c r="DJ2" s="27" t="s">
        <v>11</v>
      </c>
      <c r="DK2" s="27" t="s">
        <v>12</v>
      </c>
      <c r="DL2" s="27" t="s">
        <v>13</v>
      </c>
      <c r="DM2" s="27" t="s">
        <v>14</v>
      </c>
      <c r="DN2" s="28" t="s">
        <v>15</v>
      </c>
      <c r="DO2" s="29" t="s">
        <v>16</v>
      </c>
      <c r="DP2" s="29"/>
      <c r="DQ2" s="29"/>
      <c r="DR2" s="29"/>
      <c r="DS2" s="29"/>
      <c r="DT2" s="29"/>
      <c r="DU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8" t="s">
        <v>23</v>
      </c>
      <c r="BN3" s="37" t="s">
        <v>6</v>
      </c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17"/>
      <c r="BZ3" s="17"/>
      <c r="CA3" s="19" t="s">
        <v>24</v>
      </c>
      <c r="CB3" s="19"/>
      <c r="CC3" s="19"/>
      <c r="CD3" s="19"/>
      <c r="CE3" s="19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22"/>
      <c r="CR3" s="39"/>
      <c r="CS3" s="40"/>
      <c r="CT3" s="41" t="s">
        <v>23</v>
      </c>
      <c r="CU3" s="42" t="s">
        <v>25</v>
      </c>
      <c r="CV3" s="42" t="s">
        <v>26</v>
      </c>
      <c r="CW3" s="42" t="s">
        <v>27</v>
      </c>
      <c r="CX3" s="42" t="s">
        <v>28</v>
      </c>
      <c r="CY3" s="43" t="s">
        <v>29</v>
      </c>
      <c r="CZ3" s="44" t="s">
        <v>30</v>
      </c>
      <c r="DA3" s="45" t="s">
        <v>31</v>
      </c>
      <c r="DB3" s="44" t="s">
        <v>32</v>
      </c>
      <c r="DC3" s="46" t="s">
        <v>33</v>
      </c>
      <c r="DD3" s="47"/>
      <c r="DE3" s="17"/>
      <c r="DF3" s="17"/>
      <c r="DG3" s="26"/>
      <c r="DH3" s="27"/>
      <c r="DI3" s="27"/>
      <c r="DJ3" s="27"/>
      <c r="DK3" s="27"/>
      <c r="DL3" s="27"/>
      <c r="DM3" s="27"/>
      <c r="DN3" s="28"/>
      <c r="DO3" s="48" t="s">
        <v>32</v>
      </c>
      <c r="DP3" s="49" t="s">
        <v>34</v>
      </c>
      <c r="DQ3" s="49" t="s">
        <v>35</v>
      </c>
      <c r="DR3" s="49" t="s">
        <v>36</v>
      </c>
      <c r="DS3" s="49" t="s">
        <v>30</v>
      </c>
      <c r="DT3" s="50" t="s">
        <v>29</v>
      </c>
      <c r="DU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8" t="s">
        <v>60</v>
      </c>
      <c r="BL4" s="59" t="s">
        <v>61</v>
      </c>
      <c r="BM4" s="38"/>
      <c r="BN4" s="55" t="s">
        <v>62</v>
      </c>
      <c r="BO4" s="56" t="s">
        <v>25</v>
      </c>
      <c r="BP4" s="57" t="s">
        <v>26</v>
      </c>
      <c r="BQ4" s="38" t="s">
        <v>54</v>
      </c>
      <c r="BR4" s="38" t="s">
        <v>55</v>
      </c>
      <c r="BS4" s="38" t="s">
        <v>56</v>
      </c>
      <c r="BT4" s="57" t="s">
        <v>57</v>
      </c>
      <c r="BU4" s="58" t="s">
        <v>63</v>
      </c>
      <c r="BV4" s="58" t="s">
        <v>64</v>
      </c>
      <c r="BW4" s="58" t="s">
        <v>65</v>
      </c>
      <c r="BX4" s="59" t="s">
        <v>66</v>
      </c>
      <c r="BY4" s="17"/>
      <c r="BZ4" s="17"/>
      <c r="CA4" s="17"/>
      <c r="CB4" s="17"/>
      <c r="CC4" s="17"/>
      <c r="CD4" s="17"/>
      <c r="CE4" s="1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22"/>
      <c r="CR4" s="39"/>
      <c r="CS4" s="40"/>
      <c r="CT4" s="41"/>
      <c r="CU4" s="42"/>
      <c r="CV4" s="42"/>
      <c r="CW4" s="42"/>
      <c r="CX4" s="42"/>
      <c r="CY4" s="43"/>
      <c r="CZ4" s="44"/>
      <c r="DA4" s="44"/>
      <c r="DB4" s="44"/>
      <c r="DC4" s="46"/>
      <c r="DD4" s="47"/>
      <c r="DE4" s="17"/>
      <c r="DF4" s="17"/>
      <c r="DG4" s="26"/>
      <c r="DH4" s="27"/>
      <c r="DI4" s="27"/>
      <c r="DJ4" s="27"/>
      <c r="DK4" s="27"/>
      <c r="DL4" s="27"/>
      <c r="DM4" s="27"/>
      <c r="DN4" s="28"/>
      <c r="DO4" s="48"/>
      <c r="DP4" s="49"/>
      <c r="DQ4" s="49"/>
      <c r="DR4" s="49"/>
      <c r="DS4" s="49"/>
      <c r="DT4" s="50"/>
      <c r="DU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8"/>
      <c r="BL5" s="59"/>
      <c r="BM5" s="38"/>
      <c r="BN5" s="55"/>
      <c r="BO5" s="56"/>
      <c r="BP5" s="56"/>
      <c r="BQ5" s="56"/>
      <c r="BR5" s="56"/>
      <c r="BS5" s="56"/>
      <c r="BT5" s="57"/>
      <c r="BU5" s="58"/>
      <c r="BV5" s="58"/>
      <c r="BW5" s="58"/>
      <c r="BX5" s="59"/>
      <c r="BY5" s="17" t="s">
        <v>67</v>
      </c>
      <c r="BZ5" s="17"/>
      <c r="CA5" s="17"/>
      <c r="CB5" s="17"/>
      <c r="CC5" s="17"/>
      <c r="CD5" s="17"/>
      <c r="CE5" s="1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22"/>
      <c r="CR5" s="39"/>
      <c r="CS5" s="40"/>
      <c r="CT5" s="41"/>
      <c r="CU5" s="42"/>
      <c r="CV5" s="42"/>
      <c r="CW5" s="42"/>
      <c r="CX5" s="42"/>
      <c r="CY5" s="43"/>
      <c r="CZ5" s="44"/>
      <c r="DA5" s="44"/>
      <c r="DB5" s="44"/>
      <c r="DC5" s="46"/>
      <c r="DD5" s="47"/>
      <c r="DE5" s="17"/>
      <c r="DF5" s="17"/>
      <c r="DG5" s="26"/>
      <c r="DH5" s="27"/>
      <c r="DI5" s="27"/>
      <c r="DJ5" s="27"/>
      <c r="DK5" s="27"/>
      <c r="DL5" s="27"/>
      <c r="DM5" s="27"/>
      <c r="DN5" s="28"/>
      <c r="DO5" s="48"/>
      <c r="DP5" s="49"/>
      <c r="DQ5" s="49"/>
      <c r="DR5" s="49"/>
      <c r="DS5" s="49"/>
      <c r="DT5" s="50"/>
      <c r="DU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8"/>
      <c r="BL6" s="59"/>
      <c r="BM6" s="38"/>
      <c r="BN6" s="55"/>
      <c r="BO6" s="56"/>
      <c r="BP6" s="56"/>
      <c r="BQ6" s="56"/>
      <c r="BR6" s="56"/>
      <c r="BS6" s="56"/>
      <c r="BT6" s="57"/>
      <c r="BU6" s="58"/>
      <c r="BV6" s="58"/>
      <c r="BW6" s="58"/>
      <c r="BX6" s="59"/>
      <c r="BY6" s="17" t="s">
        <v>68</v>
      </c>
      <c r="BZ6" s="17"/>
      <c r="CA6" s="62"/>
      <c r="CB6" s="17"/>
      <c r="CC6" s="17"/>
      <c r="CD6" s="17"/>
      <c r="CE6" s="1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22"/>
      <c r="CR6" s="39"/>
      <c r="CS6" s="40"/>
      <c r="CT6" s="41"/>
      <c r="CU6" s="42"/>
      <c r="CV6" s="42"/>
      <c r="CW6" s="42"/>
      <c r="CX6" s="42"/>
      <c r="CY6" s="43"/>
      <c r="CZ6" s="44"/>
      <c r="DA6" s="44"/>
      <c r="DB6" s="44"/>
      <c r="DC6" s="46"/>
      <c r="DD6" s="47"/>
      <c r="DE6" s="17"/>
      <c r="DF6" s="17"/>
      <c r="DG6" s="26"/>
      <c r="DH6" s="27"/>
      <c r="DI6" s="27"/>
      <c r="DJ6" s="27"/>
      <c r="DK6" s="27"/>
      <c r="DL6" s="27"/>
      <c r="DM6" s="27"/>
      <c r="DN6" s="28"/>
      <c r="DO6" s="48"/>
      <c r="DP6" s="49"/>
      <c r="DQ6" s="49"/>
      <c r="DR6" s="49"/>
      <c r="DS6" s="49"/>
      <c r="DT6" s="50"/>
      <c r="DU6" s="17"/>
    </row>
    <row r="7" customFormat="false" ht="26.1" hidden="false" customHeight="true" outlineLevel="0" collapsed="false">
      <c r="A7" s="63"/>
      <c r="B7" s="64" t="s">
        <v>69</v>
      </c>
      <c r="C7" s="64"/>
      <c r="D7" s="65" t="n">
        <v>10.5</v>
      </c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8"/>
      <c r="BL7" s="59"/>
      <c r="BM7" s="38"/>
      <c r="BN7" s="55"/>
      <c r="BO7" s="56"/>
      <c r="BP7" s="56"/>
      <c r="BQ7" s="56"/>
      <c r="BR7" s="56"/>
      <c r="BS7" s="56"/>
      <c r="BT7" s="57"/>
      <c r="BU7" s="58"/>
      <c r="BV7" s="58"/>
      <c r="BW7" s="58"/>
      <c r="BX7" s="59"/>
      <c r="BY7" s="67"/>
      <c r="BZ7" s="67"/>
      <c r="CA7" s="68"/>
      <c r="CB7" s="67"/>
      <c r="CC7" s="67"/>
      <c r="CD7" s="67"/>
      <c r="CE7" s="67"/>
      <c r="CF7" s="69"/>
      <c r="CG7" s="34" t="s">
        <v>70</v>
      </c>
      <c r="CH7" s="34"/>
      <c r="CI7" s="34"/>
      <c r="CJ7" s="34"/>
      <c r="CK7" s="34"/>
      <c r="CL7" s="34"/>
      <c r="CM7" s="34"/>
      <c r="CN7" s="34"/>
      <c r="CO7" s="69"/>
      <c r="CP7" s="69"/>
      <c r="CQ7" s="67"/>
      <c r="CR7" s="39"/>
      <c r="CS7" s="40"/>
      <c r="CT7" s="41"/>
      <c r="CU7" s="42"/>
      <c r="CV7" s="42"/>
      <c r="CW7" s="42"/>
      <c r="CX7" s="42"/>
      <c r="CY7" s="43"/>
      <c r="CZ7" s="44"/>
      <c r="DA7" s="44"/>
      <c r="DB7" s="44"/>
      <c r="DC7" s="46"/>
      <c r="DD7" s="47"/>
      <c r="DE7" s="67"/>
      <c r="DF7" s="67"/>
      <c r="DG7" s="26"/>
      <c r="DH7" s="27"/>
      <c r="DI7" s="27"/>
      <c r="DJ7" s="27"/>
      <c r="DK7" s="27"/>
      <c r="DL7" s="27"/>
      <c r="DM7" s="27"/>
      <c r="DN7" s="28"/>
      <c r="DO7" s="48"/>
      <c r="DP7" s="49"/>
      <c r="DQ7" s="49"/>
      <c r="DR7" s="49"/>
      <c r="DS7" s="49"/>
      <c r="DT7" s="50"/>
      <c r="DU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71</v>
      </c>
      <c r="Z8" s="74" t="s">
        <v>72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8"/>
      <c r="BL8" s="59"/>
      <c r="BM8" s="38"/>
      <c r="BN8" s="55"/>
      <c r="BO8" s="56"/>
      <c r="BP8" s="56"/>
      <c r="BQ8" s="56"/>
      <c r="BR8" s="56"/>
      <c r="BS8" s="56"/>
      <c r="BT8" s="57"/>
      <c r="BU8" s="58"/>
      <c r="BV8" s="58"/>
      <c r="BW8" s="58"/>
      <c r="BX8" s="59"/>
      <c r="BY8" s="62" t="s">
        <v>73</v>
      </c>
      <c r="BZ8" s="62" t="s">
        <v>74</v>
      </c>
      <c r="CA8" s="62" t="s">
        <v>30</v>
      </c>
      <c r="CB8" s="62" t="s">
        <v>75</v>
      </c>
      <c r="CC8" s="62" t="s">
        <v>76</v>
      </c>
      <c r="CD8" s="62" t="s">
        <v>77</v>
      </c>
      <c r="CE8" s="62" t="s">
        <v>24</v>
      </c>
      <c r="CF8" s="62" t="s">
        <v>32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62" t="s">
        <v>86</v>
      </c>
      <c r="CP8" s="62" t="s">
        <v>87</v>
      </c>
      <c r="CQ8" s="76"/>
      <c r="CR8" s="39"/>
      <c r="CS8" s="77" t="s">
        <v>88</v>
      </c>
      <c r="CT8" s="41"/>
      <c r="CU8" s="42"/>
      <c r="CV8" s="42"/>
      <c r="CW8" s="42"/>
      <c r="CX8" s="42"/>
      <c r="CY8" s="43"/>
      <c r="CZ8" s="44"/>
      <c r="DA8" s="44"/>
      <c r="DB8" s="44"/>
      <c r="DC8" s="46"/>
      <c r="DD8" s="47"/>
      <c r="DE8" s="17" t="n">
        <f aca="false">SUM($DE$9:$DE$508)</f>
        <v>1</v>
      </c>
      <c r="DF8" s="17"/>
      <c r="DG8" s="26"/>
      <c r="DH8" s="27"/>
      <c r="DI8" s="27"/>
      <c r="DJ8" s="27"/>
      <c r="DK8" s="27"/>
      <c r="DL8" s="27"/>
      <c r="DM8" s="27"/>
      <c r="DN8" s="28"/>
      <c r="DO8" s="48"/>
      <c r="DP8" s="49"/>
      <c r="DQ8" s="49"/>
      <c r="DR8" s="49"/>
      <c r="DS8" s="49"/>
      <c r="DT8" s="50"/>
      <c r="DU8" s="17"/>
    </row>
    <row r="9" customFormat="false" ht="15.75" hidden="false" customHeight="false" outlineLevel="0" collapsed="false">
      <c r="A9" s="9"/>
      <c r="B9" s="78"/>
      <c r="C9" s="79" t="s">
        <v>89</v>
      </c>
      <c r="D9" s="80"/>
      <c r="E9" s="81" t="s">
        <v>90</v>
      </c>
      <c r="F9" s="82"/>
      <c r="G9" s="83"/>
      <c r="H9" s="83" t="n">
        <v>23</v>
      </c>
      <c r="I9" s="84"/>
      <c r="J9" s="85"/>
      <c r="K9" s="86" t="s">
        <v>91</v>
      </c>
      <c r="L9" s="87" t="n">
        <v>11.5</v>
      </c>
      <c r="M9" s="88" t="n">
        <v>20</v>
      </c>
      <c r="N9" s="85" t="s">
        <v>92</v>
      </c>
      <c r="O9" s="85" t="n">
        <v>10</v>
      </c>
      <c r="P9" s="81"/>
      <c r="Q9" s="85"/>
      <c r="R9" s="85"/>
      <c r="S9" s="86" t="s">
        <v>93</v>
      </c>
      <c r="T9" s="86" t="n">
        <v>11.5</v>
      </c>
      <c r="U9" s="88" t="n">
        <v>10</v>
      </c>
      <c r="V9" s="89" t="s">
        <v>92</v>
      </c>
      <c r="W9" s="89" t="n">
        <v>30</v>
      </c>
      <c r="X9" s="81"/>
      <c r="Y9" s="90"/>
      <c r="Z9" s="91"/>
      <c r="AA9" s="90"/>
      <c r="AB9" s="92"/>
      <c r="AC9" s="93"/>
      <c r="AD9" s="93" t="n">
        <f aca="false">IF(ISNUMBER($D$7),$D$7,"")</f>
        <v>10.5</v>
      </c>
      <c r="AE9" s="93" t="b">
        <f aca="false">IF(ISBLANK($D$7), "",
IF(NOT(ISNUMBER($D$7)),
  FALSE(),
IF($D$7&lt;Constants!$B$34,
  FALSE(),
IF($D$7&gt;Constants!$B$35,
  FALSE(),
  MOD($D$7,Constants!$B$36)=0
))))</f>
        <v>1</v>
      </c>
      <c r="AF9" s="93" t="b">
        <f aca="false">IF(ISBLANK($C9),"",IF(E9=Constants!$B$3,TRUE(),IF(E9=Constants!$B$4,FALSE(),TRUE())))</f>
        <v>1</v>
      </c>
      <c r="AG9" s="93" t="b">
        <f aca="false">IF(ISBLANK($C9),"",IF(F9=Constants!$B$3,TRUE(),IF(F9=Constants!$B$4,FALSE(),TRUE())))</f>
        <v>1</v>
      </c>
      <c r="AH9" s="93" t="b">
        <f aca="false">IF(ISBLANK($C9),"",IF(G9=Constants!$B$3,TRUE(),IF(G9=Constants!$B$4,FALSE(),TRUE())))</f>
        <v>1</v>
      </c>
      <c r="AI9" s="94" t="n">
        <f aca="false">IF(ISBLANK($C9),"",IF(AND(ISNUMBER(H9),H9&gt;=0),H9,Constants!$B$29))</f>
        <v>23</v>
      </c>
      <c r="AJ9" s="93" t="b">
        <f aca="false">IF(ISBLANK($C9),"",IF(I9=Constants!$B$3,TRUE(),IF(I9=Constants!$B$4,FALSE(),TRUE())))</f>
        <v>1</v>
      </c>
      <c r="AK9" s="93" t="b">
        <f aca="false">IF(ISBLANK($C9),"",IF(J9=Constants!$B$3,TRUE(),IF(J9=Constants!$B$4,FALSE(),TRUE())))</f>
        <v>1</v>
      </c>
      <c r="AL9" s="93" t="b">
        <f aca="false">IF(ISBLANK($C9),"",IF(K9=Constants!$B$5,TRUE(),IF(K9=Constants!$B$6,FALSE(),COUNTA(L9:P9)&gt;0)))</f>
        <v>1</v>
      </c>
      <c r="AM9" s="95" t="n">
        <f aca="false">IF(ISBLANK($C9),"",IF(ISNUMBER(L9),IF(L9&gt;=0,L9,""),""))</f>
        <v>11.5</v>
      </c>
      <c r="AN9" s="94" t="n">
        <f aca="false">IF(ISBLANK($C9),"",IF(ISNUMBER(M9),IF(M9&gt;=0,M9,""),""))</f>
        <v>20</v>
      </c>
      <c r="AO9" s="94" t="n">
        <f aca="false">IF(ISBLANK($C9),"",IF(N9=Constants!$B$3,TRUE(),IF(N9=Constants!$B$4,FALSE(),TRUE())))</f>
        <v>1</v>
      </c>
      <c r="AP9" s="96" t="n">
        <f aca="false">IF(ISBLANK($C9),"",IF(ISNUMBER(O9),IF(O9&gt;=0,O9,""),""))</f>
        <v>10</v>
      </c>
      <c r="AQ9" s="93" t="b">
        <f aca="false">IF(ISBLANK($C9),"",IF(P9=Constants!$B$3,TRUE(),IF(P9=Constants!$B$4,FALSE(),FALSE())))</f>
        <v>0</v>
      </c>
      <c r="AR9" s="93" t="b">
        <f aca="false">IF(ISBLANK($C9),"",IF(Q9=Constants!$B$3,TRUE(),IF(Q9=Constants!$B$4,FALSE(),TRUE())))</f>
        <v>1</v>
      </c>
      <c r="AS9" s="93" t="b">
        <f aca="false">IF(ISBLANK($C9),"",IF(R9=Constants!$B$3,TRUE(),IF(R9=Constants!$B$4,FALSE(),TRUE())))</f>
        <v>1</v>
      </c>
      <c r="AT9" s="93" t="b">
        <f aca="false">IF(ISBLANK($C9),"",IF(S9=Constants!$B$5,TRUE(),IF(S9=Constants!$B$6,FALSE(),COUNTA(T9:X9)&gt;0)))</f>
        <v>1</v>
      </c>
      <c r="AU9" s="95" t="n">
        <f aca="false">IF(ISBLANK($C9),"",IF(ISNUMBER(T9),IF(T9&gt;=0,T9,""),""))</f>
        <v>11.5</v>
      </c>
      <c r="AV9" s="94" t="n">
        <f aca="false">IF(ISBLANK($C9),"",IF(ISNUMBER(U9),IF(U9&gt;=0,U9,""),""))</f>
        <v>10</v>
      </c>
      <c r="AW9" s="94" t="n">
        <f aca="false">IF(ISBLANK($C9),"",IF(V9=Constants!$B$3,TRUE(),IF(V9=Constants!$B$4,FALSE(),TRUE())))</f>
        <v>1</v>
      </c>
      <c r="AX9" s="93" t="n">
        <f aca="false">IF(ISBLANK($C9),"",IF(ISNUMBER(W9),IF(W9&gt;=0,W9,""),""))</f>
        <v>30</v>
      </c>
      <c r="AY9" s="93" t="b">
        <f aca="false">IF(ISBLANK($C9),"",IF(X9=Constants!$B$3,TRUE(),IF(X9=Constants!$B$4,FALSE(),FALSE())))</f>
        <v>0</v>
      </c>
      <c r="AZ9" s="93" t="n">
        <f aca="false">IF(ISBLANK($C9),"",MIN(Constants!$B$31,MAX(0,IF(ISNUMBER(Y9),Y9*60,0)+IF(ISNUMBER(Z9),Z9,0))))</f>
        <v>0</v>
      </c>
      <c r="BA9" s="93" t="b">
        <f aca="false">IF(ISBLANK($C9),"",IF(AA9=Constants!$B$3,TRUE(),IF(AA9=Constants!$B$4,FALSE(),FALSE())))</f>
        <v>0</v>
      </c>
      <c r="BB9" s="92" t="b">
        <f aca="false">IF(ISBLANK($C9),"",AND($AL9,OR($AM9="",$AN9="",AND($AO9,$AP9=""))))</f>
        <v>0</v>
      </c>
      <c r="BC9" s="94" t="n">
        <f aca="false">IF($BZ9&lt;&gt;Constants!$B$8,"",IF($AL9,Constants!$B$21*$AN9+Constants!$B$22*IF($AO9,$AP9,Constants!$B$23),Constants!$B$24))</f>
        <v>50</v>
      </c>
      <c r="BD9" s="97" t="n">
        <f aca="false">IF($BZ9&lt;&gt;Constants!$B$8,"",Constants!$B$25*ABS($AD$9-IF($AL9,$AM9,0)))</f>
        <v>0.5</v>
      </c>
      <c r="BE9" s="97" t="n">
        <f aca="false">IF($BZ9&lt;&gt;Constants!$B$8,"",IF(AND($AL9,$AQ9,$AO9),Constants!$B$27,0))</f>
        <v>0</v>
      </c>
      <c r="BF9" s="97" t="n">
        <f aca="false">IF($BZ9&lt;&gt;Constants!$B$8,"",IF($AL9,($AI9-Constants!$B$29)*Constants!$B$28,0))</f>
        <v>-18</v>
      </c>
      <c r="BG9" s="97" t="n">
        <f aca="false">IF($BZ9&lt;&gt;Constants!$B$8,"",IF($AK9,0,Constants!$B$15)+IF($AJ9,0,Constants!$B$16)+IF($AH9,0,Constants!$B$17))</f>
        <v>0</v>
      </c>
      <c r="BH9" s="98" t="n">
        <f aca="false">IF($BZ9&lt;&gt;Constants!$B$8,"",Constants!$B$20+SUM($BC9:$BG9))</f>
        <v>132.5</v>
      </c>
      <c r="BI9" s="97" t="n">
        <f aca="false">IF($BZ9&lt;&gt;Constants!$B$8,"",$BC9)</f>
        <v>50</v>
      </c>
      <c r="BJ9" s="97" t="n">
        <f aca="false">IF($BZ9&lt;&gt;Constants!$B$8,"",$BD9)</f>
        <v>0.5</v>
      </c>
      <c r="BK9" s="97" t="n">
        <f aca="false">IF($BZ9&lt;&gt;Constants!$B$8,"",IF($AL9,$AN9,""))</f>
        <v>20</v>
      </c>
      <c r="BL9" s="99" t="n">
        <f aca="false">IF($BZ9&lt;&gt;Constants!$B$8,"",$AI9)</f>
        <v>23</v>
      </c>
      <c r="BM9" s="93" t="str">
        <f aca="false">IF($BZ9&lt;&gt;Constants!$B$8,"",IF(OR($BT9&lt;$BH9,AND($BT9=$BH9,OR($BU9&lt;$BI9,AND($BU9=$BI9,OR($BV9&lt;$BJ9,AND($BV9=$BJ9,OR(AND(ISNUMBER($BW9),OR(NOT(ISNUMBER($BK9)),$BW9&lt;$BK9)),AND(OR(AND($BW9="",$BK9=""),AND(ISNUMBER($BW9),ISNUMBER($BK9),$BW9=$BK9)),$BX9&lt;$BL9)))))))),"-&gt;","&lt;-"))</f>
        <v>-&gt;</v>
      </c>
      <c r="BN9" s="92" t="b">
        <f aca="false">IF(ISBLANK($C9),"",AND($AT9,OR($AU9="",$AV9="",AND($AW9,$AX9=""))))</f>
        <v>0</v>
      </c>
      <c r="BO9" s="94" t="n">
        <f aca="false">IF($BZ9&lt;&gt;Constants!$B$8,"",IF($AT9,Constants!$B$21*$AV9+Constants!$B$22*IF($AW9,$AX9,Constants!$B$23),Constants!$B$24))</f>
        <v>50</v>
      </c>
      <c r="BP9" s="97" t="n">
        <f aca="false">IF($BZ9&lt;&gt;Constants!$B$8,"",Constants!$B$25*ABS($AD$9-IF($AT9,$AU9,0)))</f>
        <v>0.5</v>
      </c>
      <c r="BQ9" s="97" t="n">
        <f aca="false">IF($BZ9&lt;&gt;Constants!$B$8,"",IF(AND($AT9,$AY9,$AW9),Constants!$B$27,0))</f>
        <v>0</v>
      </c>
      <c r="BR9" s="97" t="n">
        <f aca="false">IF($BZ9&lt;&gt;Constants!$B$8,"",IF($AT9,($AI9-Constants!$B$29)*Constants!$B$28,0))</f>
        <v>-18</v>
      </c>
      <c r="BS9" s="97" t="n">
        <f aca="false">IF($BZ9&lt;&gt;Constants!$B$8,"",IF($AS9,0,Constants!$B$15)+IF($AR9,0,Constants!$B$16)+IF($AH9,0,Constants!$B$17))</f>
        <v>0</v>
      </c>
      <c r="BT9" s="98" t="n">
        <f aca="false">IF($BZ9&lt;&gt;Constants!$B$8,"",Constants!$B$20+SUM($BO9:$BS9))</f>
        <v>132.5</v>
      </c>
      <c r="BU9" s="97" t="n">
        <f aca="false">IF($BZ9&lt;&gt;Constants!$B$8,"",$BO9)</f>
        <v>50</v>
      </c>
      <c r="BV9" s="97" t="n">
        <f aca="false">IF($BZ9&lt;&gt;Constants!$B$8,"",$BP9)</f>
        <v>0.5</v>
      </c>
      <c r="BW9" s="97" t="n">
        <f aca="false">IF($BZ9&lt;&gt;Constants!$B$8,"",IF($AT9,$AV9,""))</f>
        <v>10</v>
      </c>
      <c r="BX9" s="99" t="n">
        <f aca="false">IF($BZ9&lt;&gt;Constants!$B$8,"",$AI9)</f>
        <v>23</v>
      </c>
      <c r="BY9" s="93" t="str">
        <f aca="false">IF(ISBLANK($C9),"",IF(ISBLANK($D$7),$BY$5,IF(NOT(ISNUMBER($D$7)),$BY$6,"")))</f>
        <v/>
      </c>
      <c r="BZ9" s="93" t="str">
        <f aca="false">IF(ISBLANK($C9),"",IF($BA9,Constants!$B$11,IF(COUNTA($E9:$AA9)=0,Constants!$B$10,IF(NOT($AG9),Constants!$B$9,IF(OR($BY9&lt;&gt;"",$BB9,$BN9),Constants!$B$12,Constants!$B$8)))))</f>
        <v>C</v>
      </c>
      <c r="CA9" s="93" t="n">
        <f aca="false">IF(ISBLANK($C9),"",IF($BZ9&lt;&gt;Constants!$B$8,$BZ9,Constants!$B$13))</f>
        <v>1</v>
      </c>
      <c r="CB9" s="97" t="n">
        <f aca="false">IF($BZ9&lt;&gt;Constants!$B$8,"",IF($BM9="-&gt;",$BT9,$BH9))</f>
        <v>132.5</v>
      </c>
      <c r="CC9" s="97" t="n">
        <f aca="false">IF($BZ9&lt;&gt;Constants!$B$8,"",IF($AF9,0,Constants!$B$18))</f>
        <v>0</v>
      </c>
      <c r="CD9" s="97" t="n">
        <f aca="false">IF($BZ9&lt;&gt;Constants!$B$8,"",((Constants!$B$31-$AZ9)-Constants!$B$31)/Constants!$B$32)</f>
        <v>0</v>
      </c>
      <c r="CE9" s="97" t="n">
        <f aca="false">IF(ISBLANK($C9),"",IF($BZ9&lt;&gt;Constants!$B$8,$BZ9,SUM($CB9:$CD9)))</f>
        <v>132.5</v>
      </c>
      <c r="CF9" s="93" t="n">
        <f aca="false">IF(ISBLANK($C9),"",IF($BZ9&lt;&gt;Constants!$B$8,$BZ9,RANK($CE9,$CE$9:$CE$508,1)))</f>
        <v>1</v>
      </c>
      <c r="CG9" s="97" t="n">
        <f aca="false">IF($BZ9&lt;&gt;Constants!$B$8,"",IF($BM9="-&gt;",$BU9,$BI9))</f>
        <v>50</v>
      </c>
      <c r="CH9" s="93" t="n">
        <f aca="false">IF(ISBLANK($C9),"",IF($BZ9&lt;&gt;Constants!$B$8,$BZ9,IF(ISNUMBER($CG9),RANK($CG9,$CG$9:$CG$508,1),COUNT($CG$9:$CG$508)+1)))</f>
        <v>1</v>
      </c>
      <c r="CI9" s="97" t="n">
        <f aca="false">IF($BZ9&lt;&gt;Constants!$B$8,"",IF($BM9="-&gt;",$BV9,$BJ9))</f>
        <v>0.5</v>
      </c>
      <c r="CJ9" s="93" t="n">
        <f aca="false">IF(ISBLANK($C9),"",IF($BZ9&lt;&gt;Constants!$B$8,$BZ9,IF(ISNUMBER($CI9),RANK($CI9,$CI$9:$CI$508,1),COUNT($CI$9:$CI$508)+1)))</f>
        <v>1</v>
      </c>
      <c r="CK9" s="97" t="n">
        <f aca="false">IF($BZ9&lt;&gt;Constants!$B$8,"",IF($BM9="-&gt;",$BW9,$BK9))</f>
        <v>10</v>
      </c>
      <c r="CL9" s="93" t="n">
        <f aca="false">IF(ISBLANK($C9),"",IF($BZ9&lt;&gt;Constants!$B$8,$BZ9,IF(ISNUMBER($CK9),RANK($CK9,$CK$9:$CK$508,1),COUNT($CK$9:$CK$508)+1)))</f>
        <v>1</v>
      </c>
      <c r="CM9" s="97" t="n">
        <f aca="false">IF($BZ9&lt;&gt;Constants!$B$8,"",IF(AND(NOT($AL9),NOT($AT9),$AJ9,$AK9,$AR9,$AS9),"",IF($BM9="-&gt;",$BX9,$BL9)))</f>
        <v>23</v>
      </c>
      <c r="CN9" s="93" t="n">
        <f aca="false">IF(ISBLANK($C9),"",IF($BZ9&lt;&gt;Constants!$B$8,$BZ9,IF(ISNUMBER($CM9),RANK($CM9,$CM$9:$CM$508,1),COUNT($CM$9:$CM$508)+1)))</f>
        <v>1</v>
      </c>
      <c r="CO9" s="93" t="n">
        <f aca="false">IF(ISBLANK($C9),"",IF($BZ9&lt;&gt;Constants!$B$8,$BZ9,COUNTIFS($CF$9:$CF$508,"&lt;"&amp;$CF9)+COUNTIFS($CF$9:$CF$508,$CF9,$CH$9:$CH$508,"&lt;"&amp;$CH9)+COUNTIFS($CF$9:$CF$508,$CF9,$CH$9:$CH$508,$CH9,$CJ$9:$CJ$508,"&lt;"&amp;$CJ9)+COUNTIFS($CF$9:$CF$508,$CF9,$CH$9:$CH$508,$CH9,$CJ$9:$CJ$508,$CJ9,$CL$9:$CL$508,"&lt;"&amp;$CL9)+COUNTIFS($CF$9:$CF$508,$CF9,$CH$9:$CH$508,$CH9,$CJ$9:$CJ$508,$CJ9,$CL$9:$CL$508,$CL9,$CN$9:$CN$508,"&lt;"&amp;$CN9)+1))</f>
        <v>1</v>
      </c>
      <c r="CP9" s="93" t="n">
        <f aca="false">IF(ISBLANK($C9),"",IF($BZ9&lt;&gt;Constants!$B$8,$BZ9,$CF9-$CO9))</f>
        <v>0</v>
      </c>
      <c r="CQ9" s="100"/>
      <c r="CR9" s="101"/>
      <c r="CS9" s="102" t="str">
        <f aca="false">IF(ISBLANK($C9),"",IF($BZ9=Constants!$B$12,$BY9,""))</f>
        <v/>
      </c>
      <c r="CT9" s="101" t="n">
        <f aca="false">IF(ISBLANK($C9),"",IF($BZ9&lt;&gt;Constants!$B$8,"",IF($BM9="-&gt;",2,1)))</f>
        <v>2</v>
      </c>
      <c r="CU9" s="103" t="n">
        <f aca="false">IF(ISBLANK($C9),"",IF($BZ9&lt;&gt;Constants!$B$8,"",IF($BM9="-&gt;",$BO9,$BC9)))</f>
        <v>50</v>
      </c>
      <c r="CV9" s="103" t="n">
        <f aca="false">IF(ISBLANK($C9),"",IF($BZ9&lt;&gt;Constants!$B$8,"",IF($BM9="-&gt;",$BP9,$BD9)))</f>
        <v>0.5</v>
      </c>
      <c r="CW9" s="103" t="n">
        <f aca="false">IF(ISBLANK($C9),"",IF($BZ9&lt;&gt;Constants!$B$8,"",IF($BM9="-&gt;",$BQ9+$BR9,$BE9+$BF9)+$CD9))</f>
        <v>-18</v>
      </c>
      <c r="CX9" s="103" t="n">
        <f aca="false">IF(ISBLANK($C9),"",IF($BZ9&lt;&gt;Constants!$B$8,"",IF($BM9="-&gt;",$BS9,$BG9)+$CC9))</f>
        <v>0</v>
      </c>
      <c r="CY9" s="104" t="n">
        <f aca="false">IF(ISBLANK($C9),"",IF($BZ9&lt;&gt;Constants!$B$8,$BZ9,$CE9))</f>
        <v>132.5</v>
      </c>
      <c r="CZ9" s="105" t="n">
        <f aca="false">IF(ISBLANK($C9),"",$CA9)</f>
        <v>1</v>
      </c>
      <c r="DA9" s="106" t="n">
        <f aca="false">IF(ISBLANK($C9),"",$CP9)</f>
        <v>0</v>
      </c>
      <c r="DB9" s="106" t="n">
        <f aca="false">IF(ISBLANK($C9),"",$CO9)</f>
        <v>1</v>
      </c>
      <c r="DC9" s="107" t="n">
        <f aca="false">IF(ISBLANK($C9),"",IFERROR(_xlfn.SWITCH($DB9,Constants!$B$11,COUNTA($C$9:$C$508)+2,Constants!$B$10,COUNTA($C$9:$C$508)+1,Constants!$B$9,COUNTA($C$9:$C$508)),$DB9))</f>
        <v>1</v>
      </c>
      <c r="DD9" s="9"/>
      <c r="DE9" s="108" t="n">
        <f aca="false">IF(OR(ISNUMBER($DB9),$DB9=Constants!$B$11,$DB9=Constants!$B$9,$DB9=Constants!$B$10),1,0)</f>
        <v>1</v>
      </c>
      <c r="DF9" s="108" t="n">
        <v>1</v>
      </c>
      <c r="DG9" s="108" t="n">
        <f aca="false">IF(ISBLANK($C9),"",IF(ISNUMBER($DC9),$DC9+ROW($B9)/1000,""))</f>
        <v>1.009</v>
      </c>
      <c r="DH9" s="108" t="n">
        <f aca="false">IF(ISNUMBER($DG9),RANK($DG9,$DG$9:$DG$508,1),"")</f>
        <v>1</v>
      </c>
      <c r="DI9" s="108" t="n">
        <f aca="false">IF(ISBLANK($C9),"",$B9)</f>
        <v>0</v>
      </c>
      <c r="DJ9" s="108" t="str">
        <f aca="false">IF(ISBLANK($C9),"",$C9)</f>
        <v>c</v>
      </c>
      <c r="DK9" s="108" t="n">
        <f aca="false">IF(ISBLANK($C9),"",$D9)</f>
        <v>0</v>
      </c>
      <c r="DL9" s="109" t="n">
        <f aca="false">$CZ9</f>
        <v>1</v>
      </c>
      <c r="DM9" s="110" t="n">
        <f aca="false">$CY9</f>
        <v>132.5</v>
      </c>
      <c r="DN9" s="108" t="n">
        <f aca="false">IF(ISBLANK($C9),"",$DB9)</f>
        <v>1</v>
      </c>
      <c r="DO9" s="111" t="n">
        <f aca="false">IF($DF9&gt;$DE$8,"",VLOOKUP($DF9,$DH$9:$DN$508,7,FALSE()))</f>
        <v>1</v>
      </c>
      <c r="DP9" s="112" t="n">
        <f aca="false">IF($DF9&gt;$DE$8,"",VLOOKUP($DF9,$DH$9:$DN$508,2,FALSE()))</f>
        <v>0</v>
      </c>
      <c r="DQ9" s="112" t="str">
        <f aca="false">IF($DF9&gt;$DE$8,"",VLOOKUP($DF9,$DH$9:$DN$508,3,FALSE()))</f>
        <v>c</v>
      </c>
      <c r="DR9" s="112" t="n">
        <f aca="false">IF($DF9&gt;$DE$8,"",VLOOKUP($DF9,$DH$9:$DN$508,4,FALSE()))</f>
        <v>0</v>
      </c>
      <c r="DS9" s="112" t="n">
        <f aca="false">IF($DF9&gt;$DE$8,"",VLOOKUP($DF9,$DH$9:$DN$508,5,FALSE()))</f>
        <v>1</v>
      </c>
      <c r="DT9" s="113" t="n">
        <f aca="false">IF($DF9&gt;$DE$8,"",VLOOKUP($DF9,$DH$9:$DN$508,6,FALSE()))</f>
        <v>132.5</v>
      </c>
      <c r="DU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IF(ISBLANK($C10),"",IF(E10=Constants!$B$3,TRUE(),IF(E10=Constants!$B$4,FALSE(),TRUE())))</f>
        <v/>
      </c>
      <c r="AG10" s="93" t="str">
        <f aca="false">IF(ISBLANK($C10),"",IF(F10=Constants!$B$3,TRUE(),IF(F10=Constants!$B$4,FALSE(),TRUE())))</f>
        <v/>
      </c>
      <c r="AH10" s="93" t="str">
        <f aca="false">IF(ISBLANK($C10),"",IF(G10=Constants!$B$3,TRUE(),IF(G10=Constants!$B$4,FALSE(),TRUE())))</f>
        <v/>
      </c>
      <c r="AI10" s="93" t="str">
        <f aca="false">IF(ISBLANK($C10),"",IF(AND(ISNUMBER(H10),H10&gt;=0),H10,Constants!$B$29))</f>
        <v/>
      </c>
      <c r="AJ10" s="93" t="str">
        <f aca="false">IF(ISBLANK($C10),"",IF(I10=Constants!$B$3,TRUE(),IF(I10=Constants!$B$4,FALSE(),TRUE())))</f>
        <v/>
      </c>
      <c r="AK10" s="93" t="str">
        <f aca="false">IF(ISBLANK($C10),"",IF(J10=Constants!$B$3,TRUE(),IF(J10=Constants!$B$4,FALSE(),TRUE())))</f>
        <v/>
      </c>
      <c r="AL10" s="93" t="str">
        <f aca="false">IF(ISBLANK($C10),"",IF(K10=Constants!$B$5,TRUE(),IF(K10=Constants!$B$6,FALSE(),COUNTA(L10:P10)&gt;0)))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IF(ISBLANK($C10),"",IF(N10=Constants!$B$3,TRUE(),IF(N10=Constants!$B$4,FALSE(),TRUE())))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IF(ISBLANK($C10),"",IF(P10=Constants!$B$3,TRUE(),IF(P10=Constants!$B$4,FALSE(),FALSE())))</f>
        <v/>
      </c>
      <c r="AR10" s="93" t="str">
        <f aca="false">IF(ISBLANK($C10),"",IF(Q10=Constants!$B$3,TRUE(),IF(Q10=Constants!$B$4,FALSE(),TRUE())))</f>
        <v/>
      </c>
      <c r="AS10" s="93" t="str">
        <f aca="false">IF(ISBLANK($C10),"",IF(R10=Constants!$B$3,TRUE(),IF(R10=Constants!$B$4,FALSE(),TRUE())))</f>
        <v/>
      </c>
      <c r="AT10" s="93" t="str">
        <f aca="false">IF(ISBLANK($C10),"",IF(S10=Constants!$B$5,TRUE(),IF(S10=Constants!$B$6,FALSE(),COUNTA(T10:X10)&gt;0)))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IF(ISBLANK($C10),"",IF(V10=Constants!$B$3,TRUE(),IF(V10=Constants!$B$4,FALSE(),TRUE())))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IF(ISBLANK($C10),"",IF(X10=Constants!$B$3,TRUE(),IF(X10=Constants!$B$4,FALSE(),FALSE())))</f>
        <v/>
      </c>
      <c r="AZ10" s="93" t="str">
        <f aca="false">IF(ISBLANK($C10),"",MIN(Constants!$B$31,MAX(0,IF(ISNUMBER(Y10),Y10*60,0)+IF(ISNUMBER(Z10),Z10,0))))</f>
        <v/>
      </c>
      <c r="BA10" s="93" t="str">
        <f aca="false">IF(ISBLANK($C10),"",IF(AA10=Constants!$B$3,TRUE(),IF(AA10=Constants!$B$4,FALSE(),FALSE())))</f>
        <v/>
      </c>
      <c r="BB10" s="92" t="str">
        <f aca="false">IF(ISBLANK($C10),"",AND($AL10,OR($AM10="",$AN10="",AND($AO10,$AP10=""))))</f>
        <v/>
      </c>
      <c r="BC10" s="94" t="str">
        <f aca="false">IF($BZ10&lt;&gt;Constants!$B$8,"",IF($AL10,Constants!$B$21*$AN10+Constants!$B$22*IF($AO10,$AP10,Constants!$B$23),Constants!$B$24))</f>
        <v/>
      </c>
      <c r="BD10" s="97" t="str">
        <f aca="false">IF($BZ10&lt;&gt;Constants!$B$8,"",Constants!$B$25*ABS($AD$9-IF($AL10,$AM10,0)))</f>
        <v/>
      </c>
      <c r="BE10" s="97" t="str">
        <f aca="false">IF($BZ10&lt;&gt;Constants!$B$8,"",IF(AND($AL10,$AQ10,$AO10),Constants!$B$27,0))</f>
        <v/>
      </c>
      <c r="BF10" s="97" t="str">
        <f aca="false">IF($BZ10&lt;&gt;Constants!$B$8,"",IF($AL10,($AI10-Constants!$B$29)*Constants!$B$28,0))</f>
        <v/>
      </c>
      <c r="BG10" s="97" t="str">
        <f aca="false">IF($BZ10&lt;&gt;Constants!$B$8,"",IF($AK10,0,Constants!$B$15)+IF($AJ10,0,Constants!$B$16)+IF($AH10,0,Constants!$B$17))</f>
        <v/>
      </c>
      <c r="BH10" s="98" t="str">
        <f aca="false">IF($BZ10&lt;&gt;Constants!$B$8,"",Constants!$B$20+SUM($BC10:$BG10))</f>
        <v/>
      </c>
      <c r="BI10" s="97" t="str">
        <f aca="false">IF($BZ10&lt;&gt;Constants!$B$8,"",$BC10)</f>
        <v/>
      </c>
      <c r="BJ10" s="97" t="str">
        <f aca="false">IF($BZ10&lt;&gt;Constants!$B$8,"",$BD10)</f>
        <v/>
      </c>
      <c r="BK10" s="97" t="str">
        <f aca="false">IF($BZ10&lt;&gt;Constants!$B$8,"",IF($AL10,$AN10,""))</f>
        <v/>
      </c>
      <c r="BL10" s="99" t="str">
        <f aca="false">IF($BZ10&lt;&gt;Constants!$B$8,"",$AI10)</f>
        <v/>
      </c>
      <c r="BM10" s="93" t="str">
        <f aca="false">IF($BZ10&lt;&gt;Constants!$B$8,"",IF(OR($BT10&lt;$BH10,AND($BT10=$BH10,OR($BU10&lt;$BI10,AND($BU10=$BI10,OR($BV10&lt;$BJ10,AND($BV10=$BJ10,OR(AND(ISNUMBER($BW10),OR(NOT(ISNUMBER($BK10)),$BW10&lt;$BK10)),AND(OR(AND($BW10="",$BK10=""),AND(ISNUMBER($BW10),ISNUMBER($BK10),$BW10=$BK10)),$BX10&lt;$BL10)))))))),"-&gt;","&lt;-"))</f>
        <v/>
      </c>
      <c r="BN10" s="92" t="str">
        <f aca="false">IF(ISBLANK($C10),"",AND($AT10,OR($AU10="",$AV10="",AND($AW10,$AX10=""))))</f>
        <v/>
      </c>
      <c r="BO10" s="94" t="str">
        <f aca="false">IF($BZ10&lt;&gt;Constants!$B$8,"",IF($AT10,Constants!$B$21*$AV10+Constants!$B$22*IF($AW10,$AX10,Constants!$B$23),Constants!$B$24))</f>
        <v/>
      </c>
      <c r="BP10" s="97" t="str">
        <f aca="false">IF($BZ10&lt;&gt;Constants!$B$8,"",Constants!$B$25*ABS($AD$9-IF($AT10,$AU10,0)))</f>
        <v/>
      </c>
      <c r="BQ10" s="97" t="str">
        <f aca="false">IF($BZ10&lt;&gt;Constants!$B$8,"",IF(AND($AT10,$AY10,$AW10),Constants!$B$27,0))</f>
        <v/>
      </c>
      <c r="BR10" s="97" t="str">
        <f aca="false">IF($BZ10&lt;&gt;Constants!$B$8,"",IF($AT10,($AI10-Constants!$B$29)*Constants!$B$28,0))</f>
        <v/>
      </c>
      <c r="BS10" s="97" t="str">
        <f aca="false">IF($BZ10&lt;&gt;Constants!$B$8,"",IF($AS10,0,Constants!$B$15)+IF($AR10,0,Constants!$B$16)+IF($AH10,0,Constants!$B$17))</f>
        <v/>
      </c>
      <c r="BT10" s="98" t="str">
        <f aca="false">IF($BZ10&lt;&gt;Constants!$B$8,"",Constants!$B$20+SUM($BO10:$BS10))</f>
        <v/>
      </c>
      <c r="BU10" s="97" t="str">
        <f aca="false">IF($BZ10&lt;&gt;Constants!$B$8,"",$BO10)</f>
        <v/>
      </c>
      <c r="BV10" s="97" t="str">
        <f aca="false">IF($BZ10&lt;&gt;Constants!$B$8,"",$BP10)</f>
        <v/>
      </c>
      <c r="BW10" s="97" t="str">
        <f aca="false">IF($BZ10&lt;&gt;Constants!$B$8,"",IF($AT10,$AV10,""))</f>
        <v/>
      </c>
      <c r="BX10" s="99" t="str">
        <f aca="false">IF($BZ10&lt;&gt;Constants!$B$8,"",$AI10)</f>
        <v/>
      </c>
      <c r="BY10" s="93" t="str">
        <f aca="false">IF(ISBLANK($C10),"",IF(ISBLANK($D$7),$BY$5,IF(NOT(ISNUMBER($D$7)),$BY$6,"")))</f>
        <v/>
      </c>
      <c r="BZ10" s="93" t="str">
        <f aca="false">IF(ISBLANK($C10),"",IF($BA10,Constants!$B$11,IF(COUNTA($E10:$AA10)=0,Constants!$B$10,IF(NOT($AG10),Constants!$B$9,IF(OR($BY10&lt;&gt;"",$BB10,$BN10),Constants!$B$12,Constants!$B$8)))))</f>
        <v/>
      </c>
      <c r="CA10" s="93" t="str">
        <f aca="false">IF(ISBLANK($C10),"",IF($BZ10&lt;&gt;Constants!$B$8,$BZ10,Constants!$B$13))</f>
        <v/>
      </c>
      <c r="CB10" s="97" t="str">
        <f aca="false">IF($BZ10&lt;&gt;Constants!$B$8,"",IF($BM10="-&gt;",$BT10,$BH10))</f>
        <v/>
      </c>
      <c r="CC10" s="97" t="str">
        <f aca="false">IF($BZ10&lt;&gt;Constants!$B$8,"",IF($AF10,0,Constants!$B$18))</f>
        <v/>
      </c>
      <c r="CD10" s="97" t="str">
        <f aca="false">IF($BZ10&lt;&gt;Constants!$B$8,"",((Constants!$B$31-$AZ10)-Constants!$B$31)/Constants!$B$32)</f>
        <v/>
      </c>
      <c r="CE10" s="97" t="str">
        <f aca="false">IF(ISBLANK($C10),"",IF($BZ10&lt;&gt;Constants!$B$8,$BZ10,SUM($CB10:$CD10)))</f>
        <v/>
      </c>
      <c r="CF10" s="93" t="str">
        <f aca="false">IF(ISBLANK($C10),"",IF($BZ10&lt;&gt;Constants!$B$8,$BZ10,RANK($CE10,$CE$9:$CE$508,1)))</f>
        <v/>
      </c>
      <c r="CG10" s="97" t="str">
        <f aca="false">IF($BZ10&lt;&gt;Constants!$B$8,"",IF($BM10="-&gt;",$BU10,$BI10))</f>
        <v/>
      </c>
      <c r="CH10" s="93" t="str">
        <f aca="false">IF(ISBLANK($C10),"",IF($BZ10&lt;&gt;Constants!$B$8,$BZ10,IF(ISNUMBER($CG10),RANK($CG10,$CG$9:$CG$508,1),COUNT($CG$9:$CG$508)+1)))</f>
        <v/>
      </c>
      <c r="CI10" s="97" t="str">
        <f aca="false">IF($BZ10&lt;&gt;Constants!$B$8,"",IF($BM10="-&gt;",$BV10,$BJ10))</f>
        <v/>
      </c>
      <c r="CJ10" s="93" t="str">
        <f aca="false">IF(ISBLANK($C10),"",IF($BZ10&lt;&gt;Constants!$B$8,$BZ10,IF(ISNUMBER($CI10),RANK($CI10,$CI$9:$CI$508,1),COUNT($CI$9:$CI$508)+1)))</f>
        <v/>
      </c>
      <c r="CK10" s="97" t="str">
        <f aca="false">IF($BZ10&lt;&gt;Constants!$B$8,"",IF($BM10="-&gt;",$BW10,$BK10))</f>
        <v/>
      </c>
      <c r="CL10" s="93" t="str">
        <f aca="false">IF(ISBLANK($C10),"",IF($BZ10&lt;&gt;Constants!$B$8,$BZ10,IF(ISNUMBER($CK10),RANK($CK10,$CK$9:$CK$508,1),COUNT($CK$9:$CK$508)+1)))</f>
        <v/>
      </c>
      <c r="CM10" s="97" t="str">
        <f aca="false">IF($BZ10&lt;&gt;Constants!$B$8,"",IF(AND(NOT($AL10),NOT($AT10),$AJ10,$AK10,$AR10,$AS10),"",IF($BM10="-&gt;",$BX10,$BL10)))</f>
        <v/>
      </c>
      <c r="CN10" s="93" t="str">
        <f aca="false">IF(ISBLANK($C10),"",IF($BZ10&lt;&gt;Constants!$B$8,$BZ10,IF(ISNUMBER($CM10),RANK($CM10,$CM$9:$CM$508,1),COUNT($CM$9:$CM$508)+1)))</f>
        <v/>
      </c>
      <c r="CO10" s="93" t="str">
        <f aca="false">IF(ISBLANK($C10),"",IF($BZ10&lt;&gt;Constants!$B$8,$BZ10,COUNTIFS($CF$9:$CF$508,"&lt;"&amp;$CF10)+COUNTIFS($CF$9:$CF$508,$CF10,$CH$9:$CH$508,"&lt;"&amp;$CH10)+COUNTIFS($CF$9:$CF$508,$CF10,$CH$9:$CH$508,$CH10,$CJ$9:$CJ$508,"&lt;"&amp;$CJ10)+COUNTIFS($CF$9:$CF$508,$CF10,$CH$9:$CH$508,$CH10,$CJ$9:$CJ$508,$CJ10,$CL$9:$CL$508,"&lt;"&amp;$CL10)+COUNTIFS($CF$9:$CF$508,$CF10,$CH$9:$CH$508,$CH10,$CJ$9:$CJ$508,$CJ10,$CL$9:$CL$508,$CL10,$CN$9:$CN$508,"&lt;"&amp;$CN10)+1))</f>
        <v/>
      </c>
      <c r="CP10" s="93" t="str">
        <f aca="false">IF(ISBLANK($C10),"",IF($BZ10&lt;&gt;Constants!$B$8,$BZ10,$CF10-$CO10))</f>
        <v/>
      </c>
      <c r="CQ10" s="100"/>
      <c r="CR10" s="101"/>
      <c r="CS10" s="102" t="str">
        <f aca="false">IF(ISBLANK($C10),"",IF($BZ10=Constants!$B$12,$BY10,""))</f>
        <v/>
      </c>
      <c r="CT10" s="101" t="str">
        <f aca="false">IF(ISBLANK($C10),"",IF($BZ10&lt;&gt;Constants!$B$8,"",IF($BM10="-&gt;",2,1)))</f>
        <v/>
      </c>
      <c r="CU10" s="103" t="str">
        <f aca="false">IF(ISBLANK($C10),"",IF($BZ10&lt;&gt;Constants!$B$8,"",IF($BM10="-&gt;",$BO10,$BC10)))</f>
        <v/>
      </c>
      <c r="CV10" s="103" t="str">
        <f aca="false">IF(ISBLANK($C10),"",IF($BZ10&lt;&gt;Constants!$B$8,"",IF($BM10="-&gt;",$BP10,$BD10)))</f>
        <v/>
      </c>
      <c r="CW10" s="103" t="str">
        <f aca="false">IF(ISBLANK($C10),"",IF($BZ10&lt;&gt;Constants!$B$8,"",IF($BM10="-&gt;",$BQ10+$BR10,$BE10+$BF10)+$CD10))</f>
        <v/>
      </c>
      <c r="CX10" s="103" t="str">
        <f aca="false">IF(ISBLANK($C10),"",IF($BZ10&lt;&gt;Constants!$B$8,"",IF($BM10="-&gt;",$BS10,$BG10)+$CC10))</f>
        <v/>
      </c>
      <c r="CY10" s="104" t="str">
        <f aca="false">IF(ISBLANK($C10),"",IF($BZ10&lt;&gt;Constants!$B$8,$BZ10,$CE10))</f>
        <v/>
      </c>
      <c r="CZ10" s="105" t="str">
        <f aca="false">IF(ISBLANK($C10),"",$CA10)</f>
        <v/>
      </c>
      <c r="DA10" s="106" t="str">
        <f aca="false">IF(ISBLANK($C10),"",$CP10)</f>
        <v/>
      </c>
      <c r="DB10" s="106" t="str">
        <f aca="false">IF(ISBLANK($C10),"",$CO10)</f>
        <v/>
      </c>
      <c r="DC10" s="107" t="str">
        <f aca="false">IF(ISBLANK($C10),"",IFERROR(_xlfn.SWITCH($DB10,Constants!$B$11,COUNTA($C$9:$C$508)+2,Constants!$B$10,COUNTA($C$9:$C$508)+1,Constants!$B$9,COUNTA($C$9:$C$508)),$DB10))</f>
        <v/>
      </c>
      <c r="DD10" s="9"/>
      <c r="DE10" s="108" t="n">
        <f aca="false">IF(OR(ISNUMBER($DB10),$DB10=Constants!$B$11,$DB10=Constants!$B$9,$DB10=Constants!$B$10),1,0)</f>
        <v>0</v>
      </c>
      <c r="DF10" s="108" t="n">
        <v>2</v>
      </c>
      <c r="DG10" s="108" t="str">
        <f aca="false">IF(ISBLANK($C10),"",IF(ISNUMBER($DC10),$DC10+ROW($B10)/1000,""))</f>
        <v/>
      </c>
      <c r="DH10" s="108" t="str">
        <f aca="false">IF(ISNUMBER($DG10),RANK($DG10,$DG$9:$DG$508,1),"")</f>
        <v/>
      </c>
      <c r="DI10" s="108" t="str">
        <f aca="false">IF(ISBLANK($C10),"",$B10)</f>
        <v/>
      </c>
      <c r="DJ10" s="108" t="str">
        <f aca="false">IF(ISBLANK($C10),"",$C10)</f>
        <v/>
      </c>
      <c r="DK10" s="108" t="str">
        <f aca="false">IF(ISBLANK($C10),"",$D10)</f>
        <v/>
      </c>
      <c r="DL10" s="109" t="str">
        <f aca="false">$CZ10</f>
        <v/>
      </c>
      <c r="DM10" s="110" t="str">
        <f aca="false">$CY10</f>
        <v/>
      </c>
      <c r="DN10" s="108" t="str">
        <f aca="false">IF(ISBLANK($C10),"",$DB10)</f>
        <v/>
      </c>
      <c r="DO10" s="111" t="str">
        <f aca="false">IF($DF10&gt;$DE$8,"",VLOOKUP($DF10,$DH$9:$DN$508,7,FALSE()))</f>
        <v/>
      </c>
      <c r="DP10" s="112" t="str">
        <f aca="false">IF($DF10&gt;$DE$8,"",VLOOKUP($DF10,$DH$9:$DN$508,2,FALSE()))</f>
        <v/>
      </c>
      <c r="DQ10" s="112" t="str">
        <f aca="false">IF($DF10&gt;$DE$8,"",VLOOKUP($DF10,$DH$9:$DN$508,3,FALSE()))</f>
        <v/>
      </c>
      <c r="DR10" s="112" t="str">
        <f aca="false">IF($DF10&gt;$DE$8,"",VLOOKUP($DF10,$DH$9:$DN$508,4,FALSE()))</f>
        <v/>
      </c>
      <c r="DS10" s="112" t="str">
        <f aca="false">IF($DF10&gt;$DE$8,"",VLOOKUP($DF10,$DH$9:$DN$508,5,FALSE()))</f>
        <v/>
      </c>
      <c r="DT10" s="113" t="str">
        <f aca="false">IF($DF10&gt;$DE$8,"",VLOOKUP($DF10,$DH$9:$DN$508,6,FALSE()))</f>
        <v/>
      </c>
      <c r="DU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IF(ISBLANK($C11),"",IF(E11=Constants!$B$3,TRUE(),IF(E11=Constants!$B$4,FALSE(),TRUE())))</f>
        <v/>
      </c>
      <c r="AG11" s="93" t="str">
        <f aca="false">IF(ISBLANK($C11),"",IF(F11=Constants!$B$3,TRUE(),IF(F11=Constants!$B$4,FALSE(),TRUE())))</f>
        <v/>
      </c>
      <c r="AH11" s="93" t="str">
        <f aca="false">IF(ISBLANK($C11),"",IF(G11=Constants!$B$3,TRUE(),IF(G11=Constants!$B$4,FALSE(),TRUE())))</f>
        <v/>
      </c>
      <c r="AI11" s="93" t="str">
        <f aca="false">IF(ISBLANK($C11),"",IF(AND(ISNUMBER(H11),H11&gt;=0),H11,Constants!$B$29))</f>
        <v/>
      </c>
      <c r="AJ11" s="93" t="str">
        <f aca="false">IF(ISBLANK($C11),"",IF(I11=Constants!$B$3,TRUE(),IF(I11=Constants!$B$4,FALSE(),TRUE())))</f>
        <v/>
      </c>
      <c r="AK11" s="93" t="str">
        <f aca="false">IF(ISBLANK($C11),"",IF(J11=Constants!$B$3,TRUE(),IF(J11=Constants!$B$4,FALSE(),TRUE())))</f>
        <v/>
      </c>
      <c r="AL11" s="93" t="str">
        <f aca="false">IF(ISBLANK($C11),"",IF(K11=Constants!$B$5,TRUE(),IF(K11=Constants!$B$6,FALSE(),COUNTA(L11:P11)&gt;0)))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IF(ISBLANK($C11),"",IF(N11=Constants!$B$3,TRUE(),IF(N11=Constants!$B$4,FALSE(),TRUE())))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IF(ISBLANK($C11),"",IF(P11=Constants!$B$3,TRUE(),IF(P11=Constants!$B$4,FALSE(),FALSE())))</f>
        <v/>
      </c>
      <c r="AR11" s="93" t="str">
        <f aca="false">IF(ISBLANK($C11),"",IF(Q11=Constants!$B$3,TRUE(),IF(Q11=Constants!$B$4,FALSE(),TRUE())))</f>
        <v/>
      </c>
      <c r="AS11" s="93" t="str">
        <f aca="false">IF(ISBLANK($C11),"",IF(R11=Constants!$B$3,TRUE(),IF(R11=Constants!$B$4,FALSE(),TRUE())))</f>
        <v/>
      </c>
      <c r="AT11" s="93" t="str">
        <f aca="false">IF(ISBLANK($C11),"",IF(S11=Constants!$B$5,TRUE(),IF(S11=Constants!$B$6,FALSE(),COUNTA(T11:X11)&gt;0)))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IF(ISBLANK($C11),"",IF(V11=Constants!$B$3,TRUE(),IF(V11=Constants!$B$4,FALSE(),TRUE())))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IF(ISBLANK($C11),"",IF(X11=Constants!$B$3,TRUE(),IF(X11=Constants!$B$4,FALSE(),FALSE())))</f>
        <v/>
      </c>
      <c r="AZ11" s="93" t="str">
        <f aca="false">IF(ISBLANK($C11),"",MIN(Constants!$B$31,MAX(0,IF(ISNUMBER(Y11),Y11*60,0)+IF(ISNUMBER(Z11),Z11,0))))</f>
        <v/>
      </c>
      <c r="BA11" s="93" t="str">
        <f aca="false">IF(ISBLANK($C11),"",IF(AA11=Constants!$B$3,TRUE(),IF(AA11=Constants!$B$4,FALSE(),FALSE())))</f>
        <v/>
      </c>
      <c r="BB11" s="92" t="str">
        <f aca="false">IF(ISBLANK($C11),"",AND($AL11,OR($AM11="",$AN11="",AND($AO11,$AP11=""))))</f>
        <v/>
      </c>
      <c r="BC11" s="94" t="str">
        <f aca="false">IF($BZ11&lt;&gt;Constants!$B$8,"",IF($AL11,Constants!$B$21*$AN11+Constants!$B$22*IF($AO11,$AP11,Constants!$B$23),Constants!$B$24))</f>
        <v/>
      </c>
      <c r="BD11" s="97" t="str">
        <f aca="false">IF($BZ11&lt;&gt;Constants!$B$8,"",Constants!$B$25*ABS($AD$9-IF($AL11,$AM11,0)))</f>
        <v/>
      </c>
      <c r="BE11" s="97" t="str">
        <f aca="false">IF($BZ11&lt;&gt;Constants!$B$8,"",IF(AND($AL11,$AQ11,$AO11),Constants!$B$27,0))</f>
        <v/>
      </c>
      <c r="BF11" s="97" t="str">
        <f aca="false">IF($BZ11&lt;&gt;Constants!$B$8,"",IF($AL11,($AI11-Constants!$B$29)*Constants!$B$28,0))</f>
        <v/>
      </c>
      <c r="BG11" s="97" t="str">
        <f aca="false">IF($BZ11&lt;&gt;Constants!$B$8,"",IF($AK11,0,Constants!$B$15)+IF($AJ11,0,Constants!$B$16)+IF($AH11,0,Constants!$B$17))</f>
        <v/>
      </c>
      <c r="BH11" s="98" t="str">
        <f aca="false">IF($BZ11&lt;&gt;Constants!$B$8,"",Constants!$B$20+SUM($BC11:$BG11))</f>
        <v/>
      </c>
      <c r="BI11" s="97" t="str">
        <f aca="false">IF($BZ11&lt;&gt;Constants!$B$8,"",$BC11)</f>
        <v/>
      </c>
      <c r="BJ11" s="97" t="str">
        <f aca="false">IF($BZ11&lt;&gt;Constants!$B$8,"",$BD11)</f>
        <v/>
      </c>
      <c r="BK11" s="97" t="str">
        <f aca="false">IF($BZ11&lt;&gt;Constants!$B$8,"",IF($AL11,$AN11,""))</f>
        <v/>
      </c>
      <c r="BL11" s="99" t="str">
        <f aca="false">IF($BZ11&lt;&gt;Constants!$B$8,"",$AI11)</f>
        <v/>
      </c>
      <c r="BM11" s="93" t="str">
        <f aca="false">IF($BZ11&lt;&gt;Constants!$B$8,"",IF(OR($BT11&lt;$BH11,AND($BT11=$BH11,OR($BU11&lt;$BI11,AND($BU11=$BI11,OR($BV11&lt;$BJ11,AND($BV11=$BJ11,OR(AND(ISNUMBER($BW11),OR(NOT(ISNUMBER($BK11)),$BW11&lt;$BK11)),AND(OR(AND($BW11="",$BK11=""),AND(ISNUMBER($BW11),ISNUMBER($BK11),$BW11=$BK11)),$BX11&lt;$BL11)))))))),"-&gt;","&lt;-"))</f>
        <v/>
      </c>
      <c r="BN11" s="92" t="str">
        <f aca="false">IF(ISBLANK($C11),"",AND($AT11,OR($AU11="",$AV11="",AND($AW11,$AX11=""))))</f>
        <v/>
      </c>
      <c r="BO11" s="94" t="str">
        <f aca="false">IF($BZ11&lt;&gt;Constants!$B$8,"",IF($AT11,Constants!$B$21*$AV11+Constants!$B$22*IF($AW11,$AX11,Constants!$B$23),Constants!$B$24))</f>
        <v/>
      </c>
      <c r="BP11" s="97" t="str">
        <f aca="false">IF($BZ11&lt;&gt;Constants!$B$8,"",Constants!$B$25*ABS($AD$9-IF($AT11,$AU11,0)))</f>
        <v/>
      </c>
      <c r="BQ11" s="97" t="str">
        <f aca="false">IF($BZ11&lt;&gt;Constants!$B$8,"",IF(AND($AT11,$AY11,$AW11),Constants!$B$27,0))</f>
        <v/>
      </c>
      <c r="BR11" s="97" t="str">
        <f aca="false">IF($BZ11&lt;&gt;Constants!$B$8,"",IF($AT11,($AI11-Constants!$B$29)*Constants!$B$28,0))</f>
        <v/>
      </c>
      <c r="BS11" s="97" t="str">
        <f aca="false">IF($BZ11&lt;&gt;Constants!$B$8,"",IF($AS11,0,Constants!$B$15)+IF($AR11,0,Constants!$B$16)+IF($AH11,0,Constants!$B$17))</f>
        <v/>
      </c>
      <c r="BT11" s="98" t="str">
        <f aca="false">IF($BZ11&lt;&gt;Constants!$B$8,"",Constants!$B$20+SUM($BO11:$BS11))</f>
        <v/>
      </c>
      <c r="BU11" s="97" t="str">
        <f aca="false">IF($BZ11&lt;&gt;Constants!$B$8,"",$BO11)</f>
        <v/>
      </c>
      <c r="BV11" s="97" t="str">
        <f aca="false">IF($BZ11&lt;&gt;Constants!$B$8,"",$BP11)</f>
        <v/>
      </c>
      <c r="BW11" s="97" t="str">
        <f aca="false">IF($BZ11&lt;&gt;Constants!$B$8,"",IF($AT11,$AV11,""))</f>
        <v/>
      </c>
      <c r="BX11" s="99" t="str">
        <f aca="false">IF($BZ11&lt;&gt;Constants!$B$8,"",$AI11)</f>
        <v/>
      </c>
      <c r="BY11" s="93" t="str">
        <f aca="false">IF(ISBLANK($C11),"",IF(ISBLANK($D$7),$BY$5,IF(NOT(ISNUMBER($D$7)),$BY$6,"")))</f>
        <v/>
      </c>
      <c r="BZ11" s="93" t="str">
        <f aca="false">IF(ISBLANK($C11),"",IF($BA11,Constants!$B$11,IF(COUNTA($E11:$AA11)=0,Constants!$B$10,IF(NOT($AG11),Constants!$B$9,IF(OR($BY11&lt;&gt;"",$BB11,$BN11),Constants!$B$12,Constants!$B$8)))))</f>
        <v/>
      </c>
      <c r="CA11" s="93" t="str">
        <f aca="false">IF(ISBLANK($C11),"",IF($BZ11&lt;&gt;Constants!$B$8,$BZ11,Constants!$B$13))</f>
        <v/>
      </c>
      <c r="CB11" s="97" t="str">
        <f aca="false">IF($BZ11&lt;&gt;Constants!$B$8,"",IF($BM11="-&gt;",$BT11,$BH11))</f>
        <v/>
      </c>
      <c r="CC11" s="97" t="str">
        <f aca="false">IF($BZ11&lt;&gt;Constants!$B$8,"",IF($AF11,0,Constants!$B$18))</f>
        <v/>
      </c>
      <c r="CD11" s="97" t="str">
        <f aca="false">IF($BZ11&lt;&gt;Constants!$B$8,"",((Constants!$B$31-$AZ11)-Constants!$B$31)/Constants!$B$32)</f>
        <v/>
      </c>
      <c r="CE11" s="97" t="str">
        <f aca="false">IF(ISBLANK($C11),"",IF($BZ11&lt;&gt;Constants!$B$8,$BZ11,SUM($CB11:$CD11)))</f>
        <v/>
      </c>
      <c r="CF11" s="93" t="str">
        <f aca="false">IF(ISBLANK($C11),"",IF($BZ11&lt;&gt;Constants!$B$8,$BZ11,RANK($CE11,$CE$9:$CE$508,1)))</f>
        <v/>
      </c>
      <c r="CG11" s="97" t="str">
        <f aca="false">IF($BZ11&lt;&gt;Constants!$B$8,"",IF($BM11="-&gt;",$BU11,$BI11))</f>
        <v/>
      </c>
      <c r="CH11" s="93" t="str">
        <f aca="false">IF(ISBLANK($C11),"",IF($BZ11&lt;&gt;Constants!$B$8,$BZ11,IF(ISNUMBER($CG11),RANK($CG11,$CG$9:$CG$508,1),COUNT($CG$9:$CG$508)+1)))</f>
        <v/>
      </c>
      <c r="CI11" s="97" t="str">
        <f aca="false">IF($BZ11&lt;&gt;Constants!$B$8,"",IF($BM11="-&gt;",$BV11,$BJ11))</f>
        <v/>
      </c>
      <c r="CJ11" s="93" t="str">
        <f aca="false">IF(ISBLANK($C11),"",IF($BZ11&lt;&gt;Constants!$B$8,$BZ11,IF(ISNUMBER($CI11),RANK($CI11,$CI$9:$CI$508,1),COUNT($CI$9:$CI$508)+1)))</f>
        <v/>
      </c>
      <c r="CK11" s="97" t="str">
        <f aca="false">IF($BZ11&lt;&gt;Constants!$B$8,"",IF($BM11="-&gt;",$BW11,$BK11))</f>
        <v/>
      </c>
      <c r="CL11" s="93" t="str">
        <f aca="false">IF(ISBLANK($C11),"",IF($BZ11&lt;&gt;Constants!$B$8,$BZ11,IF(ISNUMBER($CK11),RANK($CK11,$CK$9:$CK$508,1),COUNT($CK$9:$CK$508)+1)))</f>
        <v/>
      </c>
      <c r="CM11" s="97" t="str">
        <f aca="false">IF($BZ11&lt;&gt;Constants!$B$8,"",IF(AND(NOT($AL11),NOT($AT11),$AJ11,$AK11,$AR11,$AS11),"",IF($BM11="-&gt;",$BX11,$BL11)))</f>
        <v/>
      </c>
      <c r="CN11" s="93" t="str">
        <f aca="false">IF(ISBLANK($C11),"",IF($BZ11&lt;&gt;Constants!$B$8,$BZ11,IF(ISNUMBER($CM11),RANK($CM11,$CM$9:$CM$508,1),COUNT($CM$9:$CM$508)+1)))</f>
        <v/>
      </c>
      <c r="CO11" s="93" t="str">
        <f aca="false">IF(ISBLANK($C11),"",IF($BZ11&lt;&gt;Constants!$B$8,$BZ11,COUNTIFS($CF$9:$CF$508,"&lt;"&amp;$CF11)+COUNTIFS($CF$9:$CF$508,$CF11,$CH$9:$CH$508,"&lt;"&amp;$CH11)+COUNTIFS($CF$9:$CF$508,$CF11,$CH$9:$CH$508,$CH11,$CJ$9:$CJ$508,"&lt;"&amp;$CJ11)+COUNTIFS($CF$9:$CF$508,$CF11,$CH$9:$CH$508,$CH11,$CJ$9:$CJ$508,$CJ11,$CL$9:$CL$508,"&lt;"&amp;$CL11)+COUNTIFS($CF$9:$CF$508,$CF11,$CH$9:$CH$508,$CH11,$CJ$9:$CJ$508,$CJ11,$CL$9:$CL$508,$CL11,$CN$9:$CN$508,"&lt;"&amp;$CN11)+1))</f>
        <v/>
      </c>
      <c r="CP11" s="93" t="str">
        <f aca="false">IF(ISBLANK($C11),"",IF($BZ11&lt;&gt;Constants!$B$8,$BZ11,$CF11-$CO11))</f>
        <v/>
      </c>
      <c r="CQ11" s="100"/>
      <c r="CR11" s="101"/>
      <c r="CS11" s="102" t="str">
        <f aca="false">IF(ISBLANK($C11),"",IF($BZ11=Constants!$B$12,$BY11,""))</f>
        <v/>
      </c>
      <c r="CT11" s="101" t="str">
        <f aca="false">IF(ISBLANK($C11),"",IF($BZ11&lt;&gt;Constants!$B$8,"",IF($BM11="-&gt;",2,1)))</f>
        <v/>
      </c>
      <c r="CU11" s="103" t="str">
        <f aca="false">IF(ISBLANK($C11),"",IF($BZ11&lt;&gt;Constants!$B$8,"",IF($BM11="-&gt;",$BO11,$BC11)))</f>
        <v/>
      </c>
      <c r="CV11" s="103" t="str">
        <f aca="false">IF(ISBLANK($C11),"",IF($BZ11&lt;&gt;Constants!$B$8,"",IF($BM11="-&gt;",$BP11,$BD11)))</f>
        <v/>
      </c>
      <c r="CW11" s="103" t="str">
        <f aca="false">IF(ISBLANK($C11),"",IF($BZ11&lt;&gt;Constants!$B$8,"",IF($BM11="-&gt;",$BQ11+$BR11,$BE11+$BF11)+$CD11))</f>
        <v/>
      </c>
      <c r="CX11" s="103" t="str">
        <f aca="false">IF(ISBLANK($C11),"",IF($BZ11&lt;&gt;Constants!$B$8,"",IF($BM11="-&gt;",$BS11,$BG11)+$CC11))</f>
        <v/>
      </c>
      <c r="CY11" s="104" t="str">
        <f aca="false">IF(ISBLANK($C11),"",IF($BZ11&lt;&gt;Constants!$B$8,$BZ11,$CE11))</f>
        <v/>
      </c>
      <c r="CZ11" s="105" t="str">
        <f aca="false">IF(ISBLANK($C11),"",$CA11)</f>
        <v/>
      </c>
      <c r="DA11" s="106" t="str">
        <f aca="false">IF(ISBLANK($C11),"",$CP11)</f>
        <v/>
      </c>
      <c r="DB11" s="106" t="str">
        <f aca="false">IF(ISBLANK($C11),"",$CO11)</f>
        <v/>
      </c>
      <c r="DC11" s="107" t="str">
        <f aca="false">IF(ISBLANK($C11),"",IFERROR(_xlfn.SWITCH($DB11,Constants!$B$11,COUNTA($C$9:$C$508)+2,Constants!$B$10,COUNTA($C$9:$C$508)+1,Constants!$B$9,COUNTA($C$9:$C$508)),$DB11))</f>
        <v/>
      </c>
      <c r="DD11" s="9"/>
      <c r="DE11" s="108" t="n">
        <f aca="false">IF(OR(ISNUMBER($DB11),$DB11=Constants!$B$11,$DB11=Constants!$B$9,$DB11=Constants!$B$10),1,0)</f>
        <v>0</v>
      </c>
      <c r="DF11" s="108" t="n">
        <v>3</v>
      </c>
      <c r="DG11" s="108" t="str">
        <f aca="false">IF(ISBLANK($C11),"",IF(ISNUMBER($DC11),$DC11+ROW($B11)/1000,""))</f>
        <v/>
      </c>
      <c r="DH11" s="108" t="str">
        <f aca="false">IF(ISNUMBER($DG11),RANK($DG11,$DG$9:$DG$508,1),"")</f>
        <v/>
      </c>
      <c r="DI11" s="108" t="str">
        <f aca="false">IF(ISBLANK($C11),"",$B11)</f>
        <v/>
      </c>
      <c r="DJ11" s="108" t="str">
        <f aca="false">IF(ISBLANK($C11),"",$C11)</f>
        <v/>
      </c>
      <c r="DK11" s="108" t="str">
        <f aca="false">IF(ISBLANK($C11),"",$D11)</f>
        <v/>
      </c>
      <c r="DL11" s="109" t="str">
        <f aca="false">$CZ11</f>
        <v/>
      </c>
      <c r="DM11" s="110" t="str">
        <f aca="false">$CY11</f>
        <v/>
      </c>
      <c r="DN11" s="108" t="str">
        <f aca="false">IF(ISBLANK($C11),"",$DB11)</f>
        <v/>
      </c>
      <c r="DO11" s="111" t="str">
        <f aca="false">IF($DF11&gt;$DE$8,"",VLOOKUP($DF11,$DH$9:$DN$508,7,FALSE()))</f>
        <v/>
      </c>
      <c r="DP11" s="112" t="str">
        <f aca="false">IF($DF11&gt;$DE$8,"",VLOOKUP($DF11,$DH$9:$DN$508,2,FALSE()))</f>
        <v/>
      </c>
      <c r="DQ11" s="112" t="str">
        <f aca="false">IF($DF11&gt;$DE$8,"",VLOOKUP($DF11,$DH$9:$DN$508,3,FALSE()))</f>
        <v/>
      </c>
      <c r="DR11" s="112" t="str">
        <f aca="false">IF($DF11&gt;$DE$8,"",VLOOKUP($DF11,$DH$9:$DN$508,4,FALSE()))</f>
        <v/>
      </c>
      <c r="DS11" s="112" t="str">
        <f aca="false">IF($DF11&gt;$DE$8,"",VLOOKUP($DF11,$DH$9:$DN$508,5,FALSE()))</f>
        <v/>
      </c>
      <c r="DT11" s="113" t="str">
        <f aca="false">IF($DF11&gt;$DE$8,"",VLOOKUP($DF11,$DH$9:$DN$508,6,FALSE()))</f>
        <v/>
      </c>
      <c r="DU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IF(ISBLANK($C12),"",IF(E12=Constants!$B$3,TRUE(),IF(E12=Constants!$B$4,FALSE(),TRUE())))</f>
        <v/>
      </c>
      <c r="AG12" s="135" t="str">
        <f aca="false">IF(ISBLANK($C12),"",IF(F12=Constants!$B$3,TRUE(),IF(F12=Constants!$B$4,FALSE(),TRUE())))</f>
        <v/>
      </c>
      <c r="AH12" s="135" t="str">
        <f aca="false">IF(ISBLANK($C12),"",IF(G12=Constants!$B$3,TRUE(),IF(G12=Constants!$B$4,FALSE(),TRUE())))</f>
        <v/>
      </c>
      <c r="AI12" s="135" t="str">
        <f aca="false">IF(ISBLANK($C12),"",IF(AND(ISNUMBER(H12),H12&gt;=0),H12,Constants!$B$29))</f>
        <v/>
      </c>
      <c r="AJ12" s="135" t="str">
        <f aca="false">IF(ISBLANK($C12),"",IF(I12=Constants!$B$3,TRUE(),IF(I12=Constants!$B$4,FALSE(),TRUE())))</f>
        <v/>
      </c>
      <c r="AK12" s="135" t="str">
        <f aca="false">IF(ISBLANK($C12),"",IF(J12=Constants!$B$3,TRUE(),IF(J12=Constants!$B$4,FALSE(),TRUE())))</f>
        <v/>
      </c>
      <c r="AL12" s="135" t="str">
        <f aca="false">IF(ISBLANK($C12),"",IF(K12=Constants!$B$5,TRUE(),IF(K12=Constants!$B$6,FALSE(),COUNTA(L12:P12)&gt;0)))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IF(ISBLANK($C12),"",IF(N12=Constants!$B$3,TRUE(),IF(N12=Constants!$B$4,FALSE(),TRUE())))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IF(ISBLANK($C12),"",IF(P12=Constants!$B$3,TRUE(),IF(P12=Constants!$B$4,FALSE(),FALSE())))</f>
        <v/>
      </c>
      <c r="AR12" s="135" t="str">
        <f aca="false">IF(ISBLANK($C12),"",IF(Q12=Constants!$B$3,TRUE(),IF(Q12=Constants!$B$4,FALSE(),TRUE())))</f>
        <v/>
      </c>
      <c r="AS12" s="135" t="str">
        <f aca="false">IF(ISBLANK($C12),"",IF(R12=Constants!$B$3,TRUE(),IF(R12=Constants!$B$4,FALSE(),TRUE())))</f>
        <v/>
      </c>
      <c r="AT12" s="135" t="str">
        <f aca="false">IF(ISBLANK($C12),"",IF(S12=Constants!$B$5,TRUE(),IF(S12=Constants!$B$6,FALSE(),COUNTA(T12:X12)&gt;0)))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IF(ISBLANK($C12),"",IF(V12=Constants!$B$3,TRUE(),IF(V12=Constants!$B$4,FALSE(),TRUE())))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IF(ISBLANK($C12),"",IF(X12=Constants!$B$3,TRUE(),IF(X12=Constants!$B$4,FALSE(),FALSE())))</f>
        <v/>
      </c>
      <c r="AZ12" s="135" t="str">
        <f aca="false">IF(ISBLANK($C12),"",MIN(Constants!$B$31,MAX(0,IF(ISNUMBER(Y12),Y12*60,0)+IF(ISNUMBER(Z12),Z12,0))))</f>
        <v/>
      </c>
      <c r="BA12" s="135" t="str">
        <f aca="false">IF(ISBLANK($C12),"",IF(AA12=Constants!$B$3,TRUE(),IF(AA12=Constants!$B$4,FALSE(),FALSE())))</f>
        <v/>
      </c>
      <c r="BB12" s="134" t="str">
        <f aca="false">IF(ISBLANK($C12),"",AND($AL12,OR($AM12="",$AN12="",AND($AO12,$AP12=""))))</f>
        <v/>
      </c>
      <c r="BC12" s="137" t="str">
        <f aca="false">IF($BZ12&lt;&gt;Constants!$B$8,"",IF($AL12,Constants!$B$21*$AN12+Constants!$B$22*IF($AO12,$AP12,Constants!$B$23),Constants!$B$24))</f>
        <v/>
      </c>
      <c r="BD12" s="138" t="str">
        <f aca="false">IF($BZ12&lt;&gt;Constants!$B$8,"",Constants!$B$25*ABS($AD$9-IF($AL12,$AM12,0)))</f>
        <v/>
      </c>
      <c r="BE12" s="138" t="str">
        <f aca="false">IF($BZ12&lt;&gt;Constants!$B$8,"",IF(AND($AL12,$AQ12,$AO12),Constants!$B$27,0))</f>
        <v/>
      </c>
      <c r="BF12" s="138" t="str">
        <f aca="false">IF($BZ12&lt;&gt;Constants!$B$8,"",IF($AL12,($AI12-Constants!$B$29)*Constants!$B$28,0))</f>
        <v/>
      </c>
      <c r="BG12" s="138" t="str">
        <f aca="false">IF($BZ12&lt;&gt;Constants!$B$8,"",IF($AK12,0,Constants!$B$15)+IF($AJ12,0,Constants!$B$16)+IF($AH12,0,Constants!$B$17))</f>
        <v/>
      </c>
      <c r="BH12" s="139" t="str">
        <f aca="false">IF($BZ12&lt;&gt;Constants!$B$8,"",Constants!$B$20+SUM($BC12:$BG12))</f>
        <v/>
      </c>
      <c r="BI12" s="138" t="str">
        <f aca="false">IF($BZ12&lt;&gt;Constants!$B$8,"",$BC12)</f>
        <v/>
      </c>
      <c r="BJ12" s="138" t="str">
        <f aca="false">IF($BZ12&lt;&gt;Constants!$B$8,"",$BD12)</f>
        <v/>
      </c>
      <c r="BK12" s="138" t="str">
        <f aca="false">IF($BZ12&lt;&gt;Constants!$B$8,"",IF($AL12,$AN12,""))</f>
        <v/>
      </c>
      <c r="BL12" s="140" t="str">
        <f aca="false">IF($BZ12&lt;&gt;Constants!$B$8,"",$AI12)</f>
        <v/>
      </c>
      <c r="BM12" s="135" t="str">
        <f aca="false">IF($BZ12&lt;&gt;Constants!$B$8,"",IF(OR($BT12&lt;$BH12,AND($BT12=$BH12,OR($BU12&lt;$BI12,AND($BU12=$BI12,OR($BV12&lt;$BJ12,AND($BV12=$BJ12,OR(AND(ISNUMBER($BW12),OR(NOT(ISNUMBER($BK12)),$BW12&lt;$BK12)),AND(OR(AND($BW12="",$BK12=""),AND(ISNUMBER($BW12),ISNUMBER($BK12),$BW12=$BK12)),$BX12&lt;$BL12)))))))),"-&gt;","&lt;-"))</f>
        <v/>
      </c>
      <c r="BN12" s="134" t="str">
        <f aca="false">IF(ISBLANK($C12),"",AND($AT12,OR($AU12="",$AV12="",AND($AW12,$AX12=""))))</f>
        <v/>
      </c>
      <c r="BO12" s="137" t="str">
        <f aca="false">IF($BZ12&lt;&gt;Constants!$B$8,"",IF($AT12,Constants!$B$21*$AV12+Constants!$B$22*IF($AW12,$AX12,Constants!$B$23),Constants!$B$24))</f>
        <v/>
      </c>
      <c r="BP12" s="138" t="str">
        <f aca="false">IF($BZ12&lt;&gt;Constants!$B$8,"",Constants!$B$25*ABS($AD$9-IF($AT12,$AU12,0)))</f>
        <v/>
      </c>
      <c r="BQ12" s="138" t="str">
        <f aca="false">IF($BZ12&lt;&gt;Constants!$B$8,"",IF(AND($AT12,$AY12,$AW12),Constants!$B$27,0))</f>
        <v/>
      </c>
      <c r="BR12" s="138" t="str">
        <f aca="false">IF($BZ12&lt;&gt;Constants!$B$8,"",IF($AT12,($AI12-Constants!$B$29)*Constants!$B$28,0))</f>
        <v/>
      </c>
      <c r="BS12" s="138" t="str">
        <f aca="false">IF($BZ12&lt;&gt;Constants!$B$8,"",IF($AS12,0,Constants!$B$15)+IF($AR12,0,Constants!$B$16)+IF($AH12,0,Constants!$B$17))</f>
        <v/>
      </c>
      <c r="BT12" s="139" t="str">
        <f aca="false">IF($BZ12&lt;&gt;Constants!$B$8,"",Constants!$B$20+SUM($BO12:$BS12))</f>
        <v/>
      </c>
      <c r="BU12" s="138" t="str">
        <f aca="false">IF($BZ12&lt;&gt;Constants!$B$8,"",$BO12)</f>
        <v/>
      </c>
      <c r="BV12" s="138" t="str">
        <f aca="false">IF($BZ12&lt;&gt;Constants!$B$8,"",$BP12)</f>
        <v/>
      </c>
      <c r="BW12" s="138" t="str">
        <f aca="false">IF($BZ12&lt;&gt;Constants!$B$8,"",IF($AT12,$AV12,""))</f>
        <v/>
      </c>
      <c r="BX12" s="140" t="str">
        <f aca="false">IF($BZ12&lt;&gt;Constants!$B$8,"",$AI12)</f>
        <v/>
      </c>
      <c r="BY12" s="135" t="str">
        <f aca="false">IF(ISBLANK($C12),"",IF(ISBLANK($D$7),$BY$5,IF(NOT(ISNUMBER($D$7)),$BY$6,"")))</f>
        <v/>
      </c>
      <c r="BZ12" s="135" t="str">
        <f aca="false">IF(ISBLANK($C12),"",IF($BA12,Constants!$B$11,IF(COUNTA($E12:$AA12)=0,Constants!$B$10,IF(NOT($AG12),Constants!$B$9,IF(OR($BY12&lt;&gt;"",$BB12,$BN12),Constants!$B$12,Constants!$B$8)))))</f>
        <v/>
      </c>
      <c r="CA12" s="135" t="str">
        <f aca="false">IF(ISBLANK($C12),"",IF($BZ12&lt;&gt;Constants!$B$8,$BZ12,Constants!$B$13))</f>
        <v/>
      </c>
      <c r="CB12" s="138" t="str">
        <f aca="false">IF($BZ12&lt;&gt;Constants!$B$8,"",IF($BM12="-&gt;",$BT12,$BH12))</f>
        <v/>
      </c>
      <c r="CC12" s="138" t="str">
        <f aca="false">IF($BZ12&lt;&gt;Constants!$B$8,"",IF($AF12,0,Constants!$B$18))</f>
        <v/>
      </c>
      <c r="CD12" s="138" t="str">
        <f aca="false">IF($BZ12&lt;&gt;Constants!$B$8,"",((Constants!$B$31-$AZ12)-Constants!$B$31)/Constants!$B$32)</f>
        <v/>
      </c>
      <c r="CE12" s="138" t="str">
        <f aca="false">IF(ISBLANK($C12),"",IF($BZ12&lt;&gt;Constants!$B$8,$BZ12,SUM($CB12:$CD12)))</f>
        <v/>
      </c>
      <c r="CF12" s="135" t="str">
        <f aca="false">IF(ISBLANK($C12),"",IF($BZ12&lt;&gt;Constants!$B$8,$BZ12,RANK($CE12,$CE$9:$CE$508,1)))</f>
        <v/>
      </c>
      <c r="CG12" s="138" t="str">
        <f aca="false">IF($BZ12&lt;&gt;Constants!$B$8,"",IF($BM12="-&gt;",$BU12,$BI12))</f>
        <v/>
      </c>
      <c r="CH12" s="135" t="str">
        <f aca="false">IF(ISBLANK($C12),"",IF($BZ12&lt;&gt;Constants!$B$8,$BZ12,IF(ISNUMBER($CG12),RANK($CG12,$CG$9:$CG$508,1),COUNT($CG$9:$CG$508)+1)))</f>
        <v/>
      </c>
      <c r="CI12" s="138" t="str">
        <f aca="false">IF($BZ12&lt;&gt;Constants!$B$8,"",IF($BM12="-&gt;",$BV12,$BJ12))</f>
        <v/>
      </c>
      <c r="CJ12" s="135" t="str">
        <f aca="false">IF(ISBLANK($C12),"",IF($BZ12&lt;&gt;Constants!$B$8,$BZ12,IF(ISNUMBER($CI12),RANK($CI12,$CI$9:$CI$508,1),COUNT($CI$9:$CI$508)+1)))</f>
        <v/>
      </c>
      <c r="CK12" s="138" t="str">
        <f aca="false">IF($BZ12&lt;&gt;Constants!$B$8,"",IF($BM12="-&gt;",$BW12,$BK12))</f>
        <v/>
      </c>
      <c r="CL12" s="135" t="str">
        <f aca="false">IF(ISBLANK($C12),"",IF($BZ12&lt;&gt;Constants!$B$8,$BZ12,IF(ISNUMBER($CK12),RANK($CK12,$CK$9:$CK$508,1),COUNT($CK$9:$CK$508)+1)))</f>
        <v/>
      </c>
      <c r="CM12" s="138" t="str">
        <f aca="false">IF($BZ12&lt;&gt;Constants!$B$8,"",IF(AND(NOT($AL12),NOT($AT12),$AJ12,$AK12,$AR12,$AS12),"",IF($BM12="-&gt;",$BX12,$BL12)))</f>
        <v/>
      </c>
      <c r="CN12" s="135" t="str">
        <f aca="false">IF(ISBLANK($C12),"",IF($BZ12&lt;&gt;Constants!$B$8,$BZ12,IF(ISNUMBER($CM12),RANK($CM12,$CM$9:$CM$508,1),COUNT($CM$9:$CM$508)+1)))</f>
        <v/>
      </c>
      <c r="CO12" s="135" t="str">
        <f aca="false">IF(ISBLANK($C12),"",IF($BZ12&lt;&gt;Constants!$B$8,$BZ12,COUNTIFS($CF$9:$CF$508,"&lt;"&amp;$CF12)+COUNTIFS($CF$9:$CF$508,$CF12,$CH$9:$CH$508,"&lt;"&amp;$CH12)+COUNTIFS($CF$9:$CF$508,$CF12,$CH$9:$CH$508,$CH12,$CJ$9:$CJ$508,"&lt;"&amp;$CJ12)+COUNTIFS($CF$9:$CF$508,$CF12,$CH$9:$CH$508,$CH12,$CJ$9:$CJ$508,$CJ12,$CL$9:$CL$508,"&lt;"&amp;$CL12)+COUNTIFS($CF$9:$CF$508,$CF12,$CH$9:$CH$508,$CH12,$CJ$9:$CJ$508,$CJ12,$CL$9:$CL$508,$CL12,$CN$9:$CN$508,"&lt;"&amp;$CN12)+1))</f>
        <v/>
      </c>
      <c r="CP12" s="135" t="str">
        <f aca="false">IF(ISBLANK($C12),"",IF($BZ12&lt;&gt;Constants!$B$8,$BZ12,$CF12-$CO12))</f>
        <v/>
      </c>
      <c r="CQ12" s="141"/>
      <c r="CR12" s="142"/>
      <c r="CS12" s="143" t="str">
        <f aca="false">IF(ISBLANK($C12),"",IF($BZ12=Constants!$B$12,$BY12,""))</f>
        <v/>
      </c>
      <c r="CT12" s="142" t="str">
        <f aca="false">IF(ISBLANK($C12),"",IF($BZ12&lt;&gt;Constants!$B$8,"",IF($BM12="-&gt;",2,1)))</f>
        <v/>
      </c>
      <c r="CU12" s="144" t="str">
        <f aca="false">IF(ISBLANK($C12),"",IF($BZ12&lt;&gt;Constants!$B$8,"",IF($BM12="-&gt;",$BO12,$BC12)))</f>
        <v/>
      </c>
      <c r="CV12" s="144" t="str">
        <f aca="false">IF(ISBLANK($C12),"",IF($BZ12&lt;&gt;Constants!$B$8,"",IF($BM12="-&gt;",$BP12,$BD12)))</f>
        <v/>
      </c>
      <c r="CW12" s="144" t="str">
        <f aca="false">IF(ISBLANK($C12),"",IF($BZ12&lt;&gt;Constants!$B$8,"",IF($BM12="-&gt;",$BQ12+$BR12,$BE12+$BF12)+$CD12))</f>
        <v/>
      </c>
      <c r="CX12" s="144" t="str">
        <f aca="false">IF(ISBLANK($C12),"",IF($BZ12&lt;&gt;Constants!$B$8,"",IF($BM12="-&gt;",$BS12,$BG12)+$CC12))</f>
        <v/>
      </c>
      <c r="CY12" s="145" t="str">
        <f aca="false">IF(ISBLANK($C12),"",IF($BZ12&lt;&gt;Constants!$B$8,$BZ12,$CE12))</f>
        <v/>
      </c>
      <c r="CZ12" s="146" t="str">
        <f aca="false">IF(ISBLANK($C12),"",$CA12)</f>
        <v/>
      </c>
      <c r="DA12" s="147" t="str">
        <f aca="false">IF(ISBLANK($C12),"",$CP12)</f>
        <v/>
      </c>
      <c r="DB12" s="147" t="str">
        <f aca="false">IF(ISBLANK($C12),"",$CO12)</f>
        <v/>
      </c>
      <c r="DC12" s="148" t="str">
        <f aca="false">IF(ISBLANK($C12),"",IFERROR(_xlfn.SWITCH($DB12,Constants!$B$11,COUNTA($C$9:$C$508)+2,Constants!$B$10,COUNTA($C$9:$C$508)+1,Constants!$B$9,COUNTA($C$9:$C$508)),$DB12))</f>
        <v/>
      </c>
      <c r="DD12" s="9"/>
      <c r="DE12" s="149" t="n">
        <f aca="false">IF(OR(ISNUMBER($DB12),$DB12=Constants!$B$11,$DB12=Constants!$B$9,$DB12=Constants!$B$10),1,0)</f>
        <v>0</v>
      </c>
      <c r="DF12" s="149" t="n">
        <v>4</v>
      </c>
      <c r="DG12" s="149" t="str">
        <f aca="false">IF(ISBLANK($C12),"",IF(ISNUMBER($DC12),$DC12+ROW($B12)/1000,""))</f>
        <v/>
      </c>
      <c r="DH12" s="149" t="str">
        <f aca="false">IF(ISNUMBER($DG12),RANK($DG12,$DG$9:$DG$508,1),"")</f>
        <v/>
      </c>
      <c r="DI12" s="149" t="str">
        <f aca="false">IF(ISBLANK($C12),"",$B12)</f>
        <v/>
      </c>
      <c r="DJ12" s="149" t="str">
        <f aca="false">IF(ISBLANK($C12),"",$C12)</f>
        <v/>
      </c>
      <c r="DK12" s="149" t="str">
        <f aca="false">IF(ISBLANK($C12),"",$D12)</f>
        <v/>
      </c>
      <c r="DL12" s="150" t="str">
        <f aca="false">$CZ12</f>
        <v/>
      </c>
      <c r="DM12" s="151" t="str">
        <f aca="false">$CY12</f>
        <v/>
      </c>
      <c r="DN12" s="149" t="str">
        <f aca="false">IF(ISBLANK($C12),"",$DB12)</f>
        <v/>
      </c>
      <c r="DO12" s="152" t="str">
        <f aca="false">IF($DF12&gt;$DE$8,"",VLOOKUP($DF12,$DH$9:$DN$508,7,FALSE()))</f>
        <v/>
      </c>
      <c r="DP12" s="153" t="str">
        <f aca="false">IF($DF12&gt;$DE$8,"",VLOOKUP($DF12,$DH$9:$DN$508,2,FALSE()))</f>
        <v/>
      </c>
      <c r="DQ12" s="153" t="str">
        <f aca="false">IF($DF12&gt;$DE$8,"",VLOOKUP($DF12,$DH$9:$DN$508,3,FALSE()))</f>
        <v/>
      </c>
      <c r="DR12" s="153" t="str">
        <f aca="false">IF($DF12&gt;$DE$8,"",VLOOKUP($DF12,$DH$9:$DN$508,4,FALSE()))</f>
        <v/>
      </c>
      <c r="DS12" s="153" t="str">
        <f aca="false">IF($DF12&gt;$DE$8,"",VLOOKUP($DF12,$DH$9:$DN$508,5,FALSE()))</f>
        <v/>
      </c>
      <c r="DT12" s="154" t="str">
        <f aca="false">IF($DF12&gt;$DE$8,"",VLOOKUP($DF12,$DH$9:$DN$508,6,FALSE()))</f>
        <v/>
      </c>
      <c r="DU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IF(ISBLANK($C13),"",IF(E13=Constants!$B$3,TRUE(),IF(E13=Constants!$B$4,FALSE(),TRUE())))</f>
        <v/>
      </c>
      <c r="AG13" s="135" t="str">
        <f aca="false">IF(ISBLANK($C13),"",IF(F13=Constants!$B$3,TRUE(),IF(F13=Constants!$B$4,FALSE(),TRUE())))</f>
        <v/>
      </c>
      <c r="AH13" s="135" t="str">
        <f aca="false">IF(ISBLANK($C13),"",IF(G13=Constants!$B$3,TRUE(),IF(G13=Constants!$B$4,FALSE(),TRUE())))</f>
        <v/>
      </c>
      <c r="AI13" s="135" t="str">
        <f aca="false">IF(ISBLANK($C13),"",IF(AND(ISNUMBER(H13),H13&gt;=0),H13,Constants!$B$29))</f>
        <v/>
      </c>
      <c r="AJ13" s="135" t="str">
        <f aca="false">IF(ISBLANK($C13),"",IF(I13=Constants!$B$3,TRUE(),IF(I13=Constants!$B$4,FALSE(),TRUE())))</f>
        <v/>
      </c>
      <c r="AK13" s="135" t="str">
        <f aca="false">IF(ISBLANK($C13),"",IF(J13=Constants!$B$3,TRUE(),IF(J13=Constants!$B$4,FALSE(),TRUE())))</f>
        <v/>
      </c>
      <c r="AL13" s="135" t="str">
        <f aca="false">IF(ISBLANK($C13),"",IF(K13=Constants!$B$5,TRUE(),IF(K13=Constants!$B$6,FALSE(),COUNTA(L13:P13)&gt;0)))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IF(ISBLANK($C13),"",IF(N13=Constants!$B$3,TRUE(),IF(N13=Constants!$B$4,FALSE(),TRUE())))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IF(ISBLANK($C13),"",IF(P13=Constants!$B$3,TRUE(),IF(P13=Constants!$B$4,FALSE(),FALSE())))</f>
        <v/>
      </c>
      <c r="AR13" s="135" t="str">
        <f aca="false">IF(ISBLANK($C13),"",IF(Q13=Constants!$B$3,TRUE(),IF(Q13=Constants!$B$4,FALSE(),TRUE())))</f>
        <v/>
      </c>
      <c r="AS13" s="135" t="str">
        <f aca="false">IF(ISBLANK($C13),"",IF(R13=Constants!$B$3,TRUE(),IF(R13=Constants!$B$4,FALSE(),TRUE())))</f>
        <v/>
      </c>
      <c r="AT13" s="135" t="str">
        <f aca="false">IF(ISBLANK($C13),"",IF(S13=Constants!$B$5,TRUE(),IF(S13=Constants!$B$6,FALSE(),COUNTA(T13:X13)&gt;0)))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IF(ISBLANK($C13),"",IF(V13=Constants!$B$3,TRUE(),IF(V13=Constants!$B$4,FALSE(),TRUE())))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IF(ISBLANK($C13),"",IF(X13=Constants!$B$3,TRUE(),IF(X13=Constants!$B$4,FALSE(),FALSE())))</f>
        <v/>
      </c>
      <c r="AZ13" s="135" t="str">
        <f aca="false">IF(ISBLANK($C13),"",MIN(Constants!$B$31,MAX(0,IF(ISNUMBER(Y13),Y13*60,0)+IF(ISNUMBER(Z13),Z13,0))))</f>
        <v/>
      </c>
      <c r="BA13" s="135" t="str">
        <f aca="false">IF(ISBLANK($C13),"",IF(AA13=Constants!$B$3,TRUE(),IF(AA13=Constants!$B$4,FALSE(),FALSE())))</f>
        <v/>
      </c>
      <c r="BB13" s="134" t="str">
        <f aca="false">IF(ISBLANK($C13),"",AND($AL13,OR($AM13="",$AN13="",AND($AO13,$AP13=""))))</f>
        <v/>
      </c>
      <c r="BC13" s="137" t="str">
        <f aca="false">IF($BZ13&lt;&gt;Constants!$B$8,"",IF($AL13,Constants!$B$21*$AN13+Constants!$B$22*IF($AO13,$AP13,Constants!$B$23),Constants!$B$24))</f>
        <v/>
      </c>
      <c r="BD13" s="138" t="str">
        <f aca="false">IF($BZ13&lt;&gt;Constants!$B$8,"",Constants!$B$25*ABS($AD$9-IF($AL13,$AM13,0)))</f>
        <v/>
      </c>
      <c r="BE13" s="138" t="str">
        <f aca="false">IF($BZ13&lt;&gt;Constants!$B$8,"",IF(AND($AL13,$AQ13,$AO13),Constants!$B$27,0))</f>
        <v/>
      </c>
      <c r="BF13" s="138" t="str">
        <f aca="false">IF($BZ13&lt;&gt;Constants!$B$8,"",IF($AL13,($AI13-Constants!$B$29)*Constants!$B$28,0))</f>
        <v/>
      </c>
      <c r="BG13" s="138" t="str">
        <f aca="false">IF($BZ13&lt;&gt;Constants!$B$8,"",IF($AK13,0,Constants!$B$15)+IF($AJ13,0,Constants!$B$16)+IF($AH13,0,Constants!$B$17))</f>
        <v/>
      </c>
      <c r="BH13" s="139" t="str">
        <f aca="false">IF($BZ13&lt;&gt;Constants!$B$8,"",Constants!$B$20+SUM($BC13:$BG13))</f>
        <v/>
      </c>
      <c r="BI13" s="138" t="str">
        <f aca="false">IF($BZ13&lt;&gt;Constants!$B$8,"",$BC13)</f>
        <v/>
      </c>
      <c r="BJ13" s="138" t="str">
        <f aca="false">IF($BZ13&lt;&gt;Constants!$B$8,"",$BD13)</f>
        <v/>
      </c>
      <c r="BK13" s="138" t="str">
        <f aca="false">IF($BZ13&lt;&gt;Constants!$B$8,"",IF($AL13,$AN13,""))</f>
        <v/>
      </c>
      <c r="BL13" s="140" t="str">
        <f aca="false">IF($BZ13&lt;&gt;Constants!$B$8,"",$AI13)</f>
        <v/>
      </c>
      <c r="BM13" s="135" t="str">
        <f aca="false">IF($BZ13&lt;&gt;Constants!$B$8,"",IF(OR($BT13&lt;$BH13,AND($BT13=$BH13,OR($BU13&lt;$BI13,AND($BU13=$BI13,OR($BV13&lt;$BJ13,AND($BV13=$BJ13,OR(AND(ISNUMBER($BW13),OR(NOT(ISNUMBER($BK13)),$BW13&lt;$BK13)),AND(OR(AND($BW13="",$BK13=""),AND(ISNUMBER($BW13),ISNUMBER($BK13),$BW13=$BK13)),$BX13&lt;$BL13)))))))),"-&gt;","&lt;-"))</f>
        <v/>
      </c>
      <c r="BN13" s="134" t="str">
        <f aca="false">IF(ISBLANK($C13),"",AND($AT13,OR($AU13="",$AV13="",AND($AW13,$AX13=""))))</f>
        <v/>
      </c>
      <c r="BO13" s="137" t="str">
        <f aca="false">IF($BZ13&lt;&gt;Constants!$B$8,"",IF($AT13,Constants!$B$21*$AV13+Constants!$B$22*IF($AW13,$AX13,Constants!$B$23),Constants!$B$24))</f>
        <v/>
      </c>
      <c r="BP13" s="138" t="str">
        <f aca="false">IF($BZ13&lt;&gt;Constants!$B$8,"",Constants!$B$25*ABS($AD$9-IF($AT13,$AU13,0)))</f>
        <v/>
      </c>
      <c r="BQ13" s="138" t="str">
        <f aca="false">IF($BZ13&lt;&gt;Constants!$B$8,"",IF(AND($AT13,$AY13,$AW13),Constants!$B$27,0))</f>
        <v/>
      </c>
      <c r="BR13" s="138" t="str">
        <f aca="false">IF($BZ13&lt;&gt;Constants!$B$8,"",IF($AT13,($AI13-Constants!$B$29)*Constants!$B$28,0))</f>
        <v/>
      </c>
      <c r="BS13" s="138" t="str">
        <f aca="false">IF($BZ13&lt;&gt;Constants!$B$8,"",IF($AS13,0,Constants!$B$15)+IF($AR13,0,Constants!$B$16)+IF($AH13,0,Constants!$B$17))</f>
        <v/>
      </c>
      <c r="BT13" s="139" t="str">
        <f aca="false">IF($BZ13&lt;&gt;Constants!$B$8,"",Constants!$B$20+SUM($BO13:$BS13))</f>
        <v/>
      </c>
      <c r="BU13" s="138" t="str">
        <f aca="false">IF($BZ13&lt;&gt;Constants!$B$8,"",$BO13)</f>
        <v/>
      </c>
      <c r="BV13" s="138" t="str">
        <f aca="false">IF($BZ13&lt;&gt;Constants!$B$8,"",$BP13)</f>
        <v/>
      </c>
      <c r="BW13" s="138" t="str">
        <f aca="false">IF($BZ13&lt;&gt;Constants!$B$8,"",IF($AT13,$AV13,""))</f>
        <v/>
      </c>
      <c r="BX13" s="140" t="str">
        <f aca="false">IF($BZ13&lt;&gt;Constants!$B$8,"",$AI13)</f>
        <v/>
      </c>
      <c r="BY13" s="135" t="str">
        <f aca="false">IF(ISBLANK($C13),"",IF(ISBLANK($D$7),$BY$5,IF(NOT(ISNUMBER($D$7)),$BY$6,"")))</f>
        <v/>
      </c>
      <c r="BZ13" s="135" t="str">
        <f aca="false">IF(ISBLANK($C13),"",IF($BA13,Constants!$B$11,IF(COUNTA($E13:$AA13)=0,Constants!$B$10,IF(NOT($AG13),Constants!$B$9,IF(OR($BY13&lt;&gt;"",$BB13,$BN13),Constants!$B$12,Constants!$B$8)))))</f>
        <v/>
      </c>
      <c r="CA13" s="135" t="str">
        <f aca="false">IF(ISBLANK($C13),"",IF($BZ13&lt;&gt;Constants!$B$8,$BZ13,Constants!$B$13))</f>
        <v/>
      </c>
      <c r="CB13" s="138" t="str">
        <f aca="false">IF($BZ13&lt;&gt;Constants!$B$8,"",IF($BM13="-&gt;",$BT13,$BH13))</f>
        <v/>
      </c>
      <c r="CC13" s="138" t="str">
        <f aca="false">IF($BZ13&lt;&gt;Constants!$B$8,"",IF($AF13,0,Constants!$B$18))</f>
        <v/>
      </c>
      <c r="CD13" s="138" t="str">
        <f aca="false">IF($BZ13&lt;&gt;Constants!$B$8,"",((Constants!$B$31-$AZ13)-Constants!$B$31)/Constants!$B$32)</f>
        <v/>
      </c>
      <c r="CE13" s="138" t="str">
        <f aca="false">IF(ISBLANK($C13),"",IF($BZ13&lt;&gt;Constants!$B$8,$BZ13,SUM($CB13:$CD13)))</f>
        <v/>
      </c>
      <c r="CF13" s="135" t="str">
        <f aca="false">IF(ISBLANK($C13),"",IF($BZ13&lt;&gt;Constants!$B$8,$BZ13,RANK($CE13,$CE$9:$CE$508,1)))</f>
        <v/>
      </c>
      <c r="CG13" s="138" t="str">
        <f aca="false">IF($BZ13&lt;&gt;Constants!$B$8,"",IF($BM13="-&gt;",$BU13,$BI13))</f>
        <v/>
      </c>
      <c r="CH13" s="135" t="str">
        <f aca="false">IF(ISBLANK($C13),"",IF($BZ13&lt;&gt;Constants!$B$8,$BZ13,IF(ISNUMBER($CG13),RANK($CG13,$CG$9:$CG$508,1),COUNT($CG$9:$CG$508)+1)))</f>
        <v/>
      </c>
      <c r="CI13" s="138" t="str">
        <f aca="false">IF($BZ13&lt;&gt;Constants!$B$8,"",IF($BM13="-&gt;",$BV13,$BJ13))</f>
        <v/>
      </c>
      <c r="CJ13" s="135" t="str">
        <f aca="false">IF(ISBLANK($C13),"",IF($BZ13&lt;&gt;Constants!$B$8,$BZ13,IF(ISNUMBER($CI13),RANK($CI13,$CI$9:$CI$508,1),COUNT($CI$9:$CI$508)+1)))</f>
        <v/>
      </c>
      <c r="CK13" s="138" t="str">
        <f aca="false">IF($BZ13&lt;&gt;Constants!$B$8,"",IF($BM13="-&gt;",$BW13,$BK13))</f>
        <v/>
      </c>
      <c r="CL13" s="135" t="str">
        <f aca="false">IF(ISBLANK($C13),"",IF($BZ13&lt;&gt;Constants!$B$8,$BZ13,IF(ISNUMBER($CK13),RANK($CK13,$CK$9:$CK$508,1),COUNT($CK$9:$CK$508)+1)))</f>
        <v/>
      </c>
      <c r="CM13" s="138" t="str">
        <f aca="false">IF($BZ13&lt;&gt;Constants!$B$8,"",IF(AND(NOT($AL13),NOT($AT13),$AJ13,$AK13,$AR13,$AS13),"",IF($BM13="-&gt;",$BX13,$BL13)))</f>
        <v/>
      </c>
      <c r="CN13" s="135" t="str">
        <f aca="false">IF(ISBLANK($C13),"",IF($BZ13&lt;&gt;Constants!$B$8,$BZ13,IF(ISNUMBER($CM13),RANK($CM13,$CM$9:$CM$508,1),COUNT($CM$9:$CM$508)+1)))</f>
        <v/>
      </c>
      <c r="CO13" s="135" t="str">
        <f aca="false">IF(ISBLANK($C13),"",IF($BZ13&lt;&gt;Constants!$B$8,$BZ13,COUNTIFS($CF$9:$CF$508,"&lt;"&amp;$CF13)+COUNTIFS($CF$9:$CF$508,$CF13,$CH$9:$CH$508,"&lt;"&amp;$CH13)+COUNTIFS($CF$9:$CF$508,$CF13,$CH$9:$CH$508,$CH13,$CJ$9:$CJ$508,"&lt;"&amp;$CJ13)+COUNTIFS($CF$9:$CF$508,$CF13,$CH$9:$CH$508,$CH13,$CJ$9:$CJ$508,$CJ13,$CL$9:$CL$508,"&lt;"&amp;$CL13)+COUNTIFS($CF$9:$CF$508,$CF13,$CH$9:$CH$508,$CH13,$CJ$9:$CJ$508,$CJ13,$CL$9:$CL$508,$CL13,$CN$9:$CN$508,"&lt;"&amp;$CN13)+1))</f>
        <v/>
      </c>
      <c r="CP13" s="135" t="str">
        <f aca="false">IF(ISBLANK($C13),"",IF($BZ13&lt;&gt;Constants!$B$8,$BZ13,$CF13-$CO13))</f>
        <v/>
      </c>
      <c r="CQ13" s="141"/>
      <c r="CR13" s="142"/>
      <c r="CS13" s="143" t="str">
        <f aca="false">IF(ISBLANK($C13),"",IF($BZ13=Constants!$B$12,$BY13,""))</f>
        <v/>
      </c>
      <c r="CT13" s="142" t="str">
        <f aca="false">IF(ISBLANK($C13),"",IF($BZ13&lt;&gt;Constants!$B$8,"",IF($BM13="-&gt;",2,1)))</f>
        <v/>
      </c>
      <c r="CU13" s="144" t="str">
        <f aca="false">IF(ISBLANK($C13),"",IF($BZ13&lt;&gt;Constants!$B$8,"",IF($BM13="-&gt;",$BO13,$BC13)))</f>
        <v/>
      </c>
      <c r="CV13" s="144" t="str">
        <f aca="false">IF(ISBLANK($C13),"",IF($BZ13&lt;&gt;Constants!$B$8,"",IF($BM13="-&gt;",$BP13,$BD13)))</f>
        <v/>
      </c>
      <c r="CW13" s="144" t="str">
        <f aca="false">IF(ISBLANK($C13),"",IF($BZ13&lt;&gt;Constants!$B$8,"",IF($BM13="-&gt;",$BQ13+$BR13,$BE13+$BF13)+$CD13))</f>
        <v/>
      </c>
      <c r="CX13" s="144" t="str">
        <f aca="false">IF(ISBLANK($C13),"",IF($BZ13&lt;&gt;Constants!$B$8,"",IF($BM13="-&gt;",$BS13,$BG13)+$CC13))</f>
        <v/>
      </c>
      <c r="CY13" s="145" t="str">
        <f aca="false">IF(ISBLANK($C13),"",IF($BZ13&lt;&gt;Constants!$B$8,$BZ13,$CE13))</f>
        <v/>
      </c>
      <c r="CZ13" s="146" t="str">
        <f aca="false">IF(ISBLANK($C13),"",$CA13)</f>
        <v/>
      </c>
      <c r="DA13" s="147" t="str">
        <f aca="false">IF(ISBLANK($C13),"",$CP13)</f>
        <v/>
      </c>
      <c r="DB13" s="147" t="str">
        <f aca="false">IF(ISBLANK($C13),"",$CO13)</f>
        <v/>
      </c>
      <c r="DC13" s="148" t="str">
        <f aca="false">IF(ISBLANK($C13),"",IFERROR(_xlfn.SWITCH($DB13,Constants!$B$11,COUNTA($C$9:$C$508)+2,Constants!$B$10,COUNTA($C$9:$C$508)+1,Constants!$B$9,COUNTA($C$9:$C$508)),$DB13))</f>
        <v/>
      </c>
      <c r="DD13" s="9"/>
      <c r="DE13" s="149" t="n">
        <f aca="false">IF(OR(ISNUMBER($DB13),$DB13=Constants!$B$11,$DB13=Constants!$B$9,$DB13=Constants!$B$10),1,0)</f>
        <v>0</v>
      </c>
      <c r="DF13" s="149" t="n">
        <v>5</v>
      </c>
      <c r="DG13" s="149" t="str">
        <f aca="false">IF(ISBLANK($C13),"",IF(ISNUMBER($DC13),$DC13+ROW($B13)/1000,""))</f>
        <v/>
      </c>
      <c r="DH13" s="149" t="str">
        <f aca="false">IF(ISNUMBER($DG13),RANK($DG13,$DG$9:$DG$508,1),"")</f>
        <v/>
      </c>
      <c r="DI13" s="149" t="str">
        <f aca="false">IF(ISBLANK($C13),"",$B13)</f>
        <v/>
      </c>
      <c r="DJ13" s="149" t="str">
        <f aca="false">IF(ISBLANK($C13),"",$C13)</f>
        <v/>
      </c>
      <c r="DK13" s="149" t="str">
        <f aca="false">IF(ISBLANK($C13),"",$D13)</f>
        <v/>
      </c>
      <c r="DL13" s="150" t="str">
        <f aca="false">$CZ13</f>
        <v/>
      </c>
      <c r="DM13" s="151" t="str">
        <f aca="false">$CY13</f>
        <v/>
      </c>
      <c r="DN13" s="149" t="str">
        <f aca="false">IF(ISBLANK($C13),"",$DB13)</f>
        <v/>
      </c>
      <c r="DO13" s="152" t="str">
        <f aca="false">IF($DF13&gt;$DE$8,"",VLOOKUP($DF13,$DH$9:$DN$508,7,FALSE()))</f>
        <v/>
      </c>
      <c r="DP13" s="153" t="str">
        <f aca="false">IF($DF13&gt;$DE$8,"",VLOOKUP($DF13,$DH$9:$DN$508,2,FALSE()))</f>
        <v/>
      </c>
      <c r="DQ13" s="153" t="str">
        <f aca="false">IF($DF13&gt;$DE$8,"",VLOOKUP($DF13,$DH$9:$DN$508,3,FALSE()))</f>
        <v/>
      </c>
      <c r="DR13" s="153" t="str">
        <f aca="false">IF($DF13&gt;$DE$8,"",VLOOKUP($DF13,$DH$9:$DN$508,4,FALSE()))</f>
        <v/>
      </c>
      <c r="DS13" s="153" t="str">
        <f aca="false">IF($DF13&gt;$DE$8,"",VLOOKUP($DF13,$DH$9:$DN$508,5,FALSE()))</f>
        <v/>
      </c>
      <c r="DT13" s="154" t="str">
        <f aca="false">IF($DF13&gt;$DE$8,"",VLOOKUP($DF13,$DH$9:$DN$508,6,FALSE()))</f>
        <v/>
      </c>
      <c r="DU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IF(ISBLANK($C14),"",IF(E14=Constants!$B$3,TRUE(),IF(E14=Constants!$B$4,FALSE(),TRUE())))</f>
        <v/>
      </c>
      <c r="AG14" s="135" t="str">
        <f aca="false">IF(ISBLANK($C14),"",IF(F14=Constants!$B$3,TRUE(),IF(F14=Constants!$B$4,FALSE(),TRUE())))</f>
        <v/>
      </c>
      <c r="AH14" s="135" t="str">
        <f aca="false">IF(ISBLANK($C14),"",IF(G14=Constants!$B$3,TRUE(),IF(G14=Constants!$B$4,FALSE(),TRUE())))</f>
        <v/>
      </c>
      <c r="AI14" s="135" t="str">
        <f aca="false">IF(ISBLANK($C14),"",IF(AND(ISNUMBER(H14),H14&gt;=0),H14,Constants!$B$29))</f>
        <v/>
      </c>
      <c r="AJ14" s="135" t="str">
        <f aca="false">IF(ISBLANK($C14),"",IF(I14=Constants!$B$3,TRUE(),IF(I14=Constants!$B$4,FALSE(),TRUE())))</f>
        <v/>
      </c>
      <c r="AK14" s="135" t="str">
        <f aca="false">IF(ISBLANK($C14),"",IF(J14=Constants!$B$3,TRUE(),IF(J14=Constants!$B$4,FALSE(),TRUE())))</f>
        <v/>
      </c>
      <c r="AL14" s="135" t="str">
        <f aca="false">IF(ISBLANK($C14),"",IF(K14=Constants!$B$5,TRUE(),IF(K14=Constants!$B$6,FALSE(),COUNTA(L14:P14)&gt;0)))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IF(ISBLANK($C14),"",IF(N14=Constants!$B$3,TRUE(),IF(N14=Constants!$B$4,FALSE(),TRUE())))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IF(ISBLANK($C14),"",IF(P14=Constants!$B$3,TRUE(),IF(P14=Constants!$B$4,FALSE(),FALSE())))</f>
        <v/>
      </c>
      <c r="AR14" s="135" t="str">
        <f aca="false">IF(ISBLANK($C14),"",IF(Q14=Constants!$B$3,TRUE(),IF(Q14=Constants!$B$4,FALSE(),TRUE())))</f>
        <v/>
      </c>
      <c r="AS14" s="135" t="str">
        <f aca="false">IF(ISBLANK($C14),"",IF(R14=Constants!$B$3,TRUE(),IF(R14=Constants!$B$4,FALSE(),TRUE())))</f>
        <v/>
      </c>
      <c r="AT14" s="135" t="str">
        <f aca="false">IF(ISBLANK($C14),"",IF(S14=Constants!$B$5,TRUE(),IF(S14=Constants!$B$6,FALSE(),COUNTA(T14:X14)&gt;0)))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IF(ISBLANK($C14),"",IF(V14=Constants!$B$3,TRUE(),IF(V14=Constants!$B$4,FALSE(),TRUE())))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IF(ISBLANK($C14),"",IF(X14=Constants!$B$3,TRUE(),IF(X14=Constants!$B$4,FALSE(),FALSE())))</f>
        <v/>
      </c>
      <c r="AZ14" s="135" t="str">
        <f aca="false">IF(ISBLANK($C14),"",MIN(Constants!$B$31,MAX(0,IF(ISNUMBER(Y14),Y14*60,0)+IF(ISNUMBER(Z14),Z14,0))))</f>
        <v/>
      </c>
      <c r="BA14" s="135" t="str">
        <f aca="false">IF(ISBLANK($C14),"",IF(AA14=Constants!$B$3,TRUE(),IF(AA14=Constants!$B$4,FALSE(),FALSE())))</f>
        <v/>
      </c>
      <c r="BB14" s="134" t="str">
        <f aca="false">IF(ISBLANK($C14),"",AND($AL14,OR($AM14="",$AN14="",AND($AO14,$AP14=""))))</f>
        <v/>
      </c>
      <c r="BC14" s="137" t="str">
        <f aca="false">IF($BZ14&lt;&gt;Constants!$B$8,"",IF($AL14,Constants!$B$21*$AN14+Constants!$B$22*IF($AO14,$AP14,Constants!$B$23),Constants!$B$24))</f>
        <v/>
      </c>
      <c r="BD14" s="138" t="str">
        <f aca="false">IF($BZ14&lt;&gt;Constants!$B$8,"",Constants!$B$25*ABS($AD$9-IF($AL14,$AM14,0)))</f>
        <v/>
      </c>
      <c r="BE14" s="138" t="str">
        <f aca="false">IF($BZ14&lt;&gt;Constants!$B$8,"",IF(AND($AL14,$AQ14,$AO14),Constants!$B$27,0))</f>
        <v/>
      </c>
      <c r="BF14" s="138" t="str">
        <f aca="false">IF($BZ14&lt;&gt;Constants!$B$8,"",IF($AL14,($AI14-Constants!$B$29)*Constants!$B$28,0))</f>
        <v/>
      </c>
      <c r="BG14" s="138" t="str">
        <f aca="false">IF($BZ14&lt;&gt;Constants!$B$8,"",IF($AK14,0,Constants!$B$15)+IF($AJ14,0,Constants!$B$16)+IF($AH14,0,Constants!$B$17))</f>
        <v/>
      </c>
      <c r="BH14" s="139" t="str">
        <f aca="false">IF($BZ14&lt;&gt;Constants!$B$8,"",Constants!$B$20+SUM($BC14:$BG14))</f>
        <v/>
      </c>
      <c r="BI14" s="138" t="str">
        <f aca="false">IF($BZ14&lt;&gt;Constants!$B$8,"",$BC14)</f>
        <v/>
      </c>
      <c r="BJ14" s="138" t="str">
        <f aca="false">IF($BZ14&lt;&gt;Constants!$B$8,"",$BD14)</f>
        <v/>
      </c>
      <c r="BK14" s="138" t="str">
        <f aca="false">IF($BZ14&lt;&gt;Constants!$B$8,"",IF($AL14,$AN14,""))</f>
        <v/>
      </c>
      <c r="BL14" s="140" t="str">
        <f aca="false">IF($BZ14&lt;&gt;Constants!$B$8,"",$AI14)</f>
        <v/>
      </c>
      <c r="BM14" s="135" t="str">
        <f aca="false">IF($BZ14&lt;&gt;Constants!$B$8,"",IF(OR($BT14&lt;$BH14,AND($BT14=$BH14,OR($BU14&lt;$BI14,AND($BU14=$BI14,OR($BV14&lt;$BJ14,AND($BV14=$BJ14,OR(AND(ISNUMBER($BW14),OR(NOT(ISNUMBER($BK14)),$BW14&lt;$BK14)),AND(OR(AND($BW14="",$BK14=""),AND(ISNUMBER($BW14),ISNUMBER($BK14),$BW14=$BK14)),$BX14&lt;$BL14)))))))),"-&gt;","&lt;-"))</f>
        <v/>
      </c>
      <c r="BN14" s="134" t="str">
        <f aca="false">IF(ISBLANK($C14),"",AND($AT14,OR($AU14="",$AV14="",AND($AW14,$AX14=""))))</f>
        <v/>
      </c>
      <c r="BO14" s="137" t="str">
        <f aca="false">IF($BZ14&lt;&gt;Constants!$B$8,"",IF($AT14,Constants!$B$21*$AV14+Constants!$B$22*IF($AW14,$AX14,Constants!$B$23),Constants!$B$24))</f>
        <v/>
      </c>
      <c r="BP14" s="138" t="str">
        <f aca="false">IF($BZ14&lt;&gt;Constants!$B$8,"",Constants!$B$25*ABS($AD$9-IF($AT14,$AU14,0)))</f>
        <v/>
      </c>
      <c r="BQ14" s="138" t="str">
        <f aca="false">IF($BZ14&lt;&gt;Constants!$B$8,"",IF(AND($AT14,$AY14,$AW14),Constants!$B$27,0))</f>
        <v/>
      </c>
      <c r="BR14" s="138" t="str">
        <f aca="false">IF($BZ14&lt;&gt;Constants!$B$8,"",IF($AT14,($AI14-Constants!$B$29)*Constants!$B$28,0))</f>
        <v/>
      </c>
      <c r="BS14" s="138" t="str">
        <f aca="false">IF($BZ14&lt;&gt;Constants!$B$8,"",IF($AS14,0,Constants!$B$15)+IF($AR14,0,Constants!$B$16)+IF($AH14,0,Constants!$B$17))</f>
        <v/>
      </c>
      <c r="BT14" s="139" t="str">
        <f aca="false">IF($BZ14&lt;&gt;Constants!$B$8,"",Constants!$B$20+SUM($BO14:$BS14))</f>
        <v/>
      </c>
      <c r="BU14" s="138" t="str">
        <f aca="false">IF($BZ14&lt;&gt;Constants!$B$8,"",$BO14)</f>
        <v/>
      </c>
      <c r="BV14" s="138" t="str">
        <f aca="false">IF($BZ14&lt;&gt;Constants!$B$8,"",$BP14)</f>
        <v/>
      </c>
      <c r="BW14" s="138" t="str">
        <f aca="false">IF($BZ14&lt;&gt;Constants!$B$8,"",IF($AT14,$AV14,""))</f>
        <v/>
      </c>
      <c r="BX14" s="140" t="str">
        <f aca="false">IF($BZ14&lt;&gt;Constants!$B$8,"",$AI14)</f>
        <v/>
      </c>
      <c r="BY14" s="135" t="str">
        <f aca="false">IF(ISBLANK($C14),"",IF(ISBLANK($D$7),$BY$5,IF(NOT(ISNUMBER($D$7)),$BY$6,"")))</f>
        <v/>
      </c>
      <c r="BZ14" s="135" t="str">
        <f aca="false">IF(ISBLANK($C14),"",IF($BA14,Constants!$B$11,IF(COUNTA($E14:$AA14)=0,Constants!$B$10,IF(NOT($AG14),Constants!$B$9,IF(OR($BY14&lt;&gt;"",$BB14,$BN14),Constants!$B$12,Constants!$B$8)))))</f>
        <v/>
      </c>
      <c r="CA14" s="135" t="str">
        <f aca="false">IF(ISBLANK($C14),"",IF($BZ14&lt;&gt;Constants!$B$8,$BZ14,Constants!$B$13))</f>
        <v/>
      </c>
      <c r="CB14" s="138" t="str">
        <f aca="false">IF($BZ14&lt;&gt;Constants!$B$8,"",IF($BM14="-&gt;",$BT14,$BH14))</f>
        <v/>
      </c>
      <c r="CC14" s="138" t="str">
        <f aca="false">IF($BZ14&lt;&gt;Constants!$B$8,"",IF($AF14,0,Constants!$B$18))</f>
        <v/>
      </c>
      <c r="CD14" s="138" t="str">
        <f aca="false">IF($BZ14&lt;&gt;Constants!$B$8,"",((Constants!$B$31-$AZ14)-Constants!$B$31)/Constants!$B$32)</f>
        <v/>
      </c>
      <c r="CE14" s="138" t="str">
        <f aca="false">IF(ISBLANK($C14),"",IF($BZ14&lt;&gt;Constants!$B$8,$BZ14,SUM($CB14:$CD14)))</f>
        <v/>
      </c>
      <c r="CF14" s="135" t="str">
        <f aca="false">IF(ISBLANK($C14),"",IF($BZ14&lt;&gt;Constants!$B$8,$BZ14,RANK($CE14,$CE$9:$CE$508,1)))</f>
        <v/>
      </c>
      <c r="CG14" s="138" t="str">
        <f aca="false">IF($BZ14&lt;&gt;Constants!$B$8,"",IF($BM14="-&gt;",$BU14,$BI14))</f>
        <v/>
      </c>
      <c r="CH14" s="135" t="str">
        <f aca="false">IF(ISBLANK($C14),"",IF($BZ14&lt;&gt;Constants!$B$8,$BZ14,IF(ISNUMBER($CG14),RANK($CG14,$CG$9:$CG$508,1),COUNT($CG$9:$CG$508)+1)))</f>
        <v/>
      </c>
      <c r="CI14" s="138" t="str">
        <f aca="false">IF($BZ14&lt;&gt;Constants!$B$8,"",IF($BM14="-&gt;",$BV14,$BJ14))</f>
        <v/>
      </c>
      <c r="CJ14" s="135" t="str">
        <f aca="false">IF(ISBLANK($C14),"",IF($BZ14&lt;&gt;Constants!$B$8,$BZ14,IF(ISNUMBER($CI14),RANK($CI14,$CI$9:$CI$508,1),COUNT($CI$9:$CI$508)+1)))</f>
        <v/>
      </c>
      <c r="CK14" s="138" t="str">
        <f aca="false">IF($BZ14&lt;&gt;Constants!$B$8,"",IF($BM14="-&gt;",$BW14,$BK14))</f>
        <v/>
      </c>
      <c r="CL14" s="135" t="str">
        <f aca="false">IF(ISBLANK($C14),"",IF($BZ14&lt;&gt;Constants!$B$8,$BZ14,IF(ISNUMBER($CK14),RANK($CK14,$CK$9:$CK$508,1),COUNT($CK$9:$CK$508)+1)))</f>
        <v/>
      </c>
      <c r="CM14" s="138" t="str">
        <f aca="false">IF($BZ14&lt;&gt;Constants!$B$8,"",IF(AND(NOT($AL14),NOT($AT14),$AJ14,$AK14,$AR14,$AS14),"",IF($BM14="-&gt;",$BX14,$BL14)))</f>
        <v/>
      </c>
      <c r="CN14" s="135" t="str">
        <f aca="false">IF(ISBLANK($C14),"",IF($BZ14&lt;&gt;Constants!$B$8,$BZ14,IF(ISNUMBER($CM14),RANK($CM14,$CM$9:$CM$508,1),COUNT($CM$9:$CM$508)+1)))</f>
        <v/>
      </c>
      <c r="CO14" s="135" t="str">
        <f aca="false">IF(ISBLANK($C14),"",IF($BZ14&lt;&gt;Constants!$B$8,$BZ14,COUNTIFS($CF$9:$CF$508,"&lt;"&amp;$CF14)+COUNTIFS($CF$9:$CF$508,$CF14,$CH$9:$CH$508,"&lt;"&amp;$CH14)+COUNTIFS($CF$9:$CF$508,$CF14,$CH$9:$CH$508,$CH14,$CJ$9:$CJ$508,"&lt;"&amp;$CJ14)+COUNTIFS($CF$9:$CF$508,$CF14,$CH$9:$CH$508,$CH14,$CJ$9:$CJ$508,$CJ14,$CL$9:$CL$508,"&lt;"&amp;$CL14)+COUNTIFS($CF$9:$CF$508,$CF14,$CH$9:$CH$508,$CH14,$CJ$9:$CJ$508,$CJ14,$CL$9:$CL$508,$CL14,$CN$9:$CN$508,"&lt;"&amp;$CN14)+1))</f>
        <v/>
      </c>
      <c r="CP14" s="135" t="str">
        <f aca="false">IF(ISBLANK($C14),"",IF($BZ14&lt;&gt;Constants!$B$8,$BZ14,$CF14-$CO14))</f>
        <v/>
      </c>
      <c r="CQ14" s="141"/>
      <c r="CR14" s="142"/>
      <c r="CS14" s="143" t="str">
        <f aca="false">IF(ISBLANK($C14),"",IF($BZ14=Constants!$B$12,$BY14,""))</f>
        <v/>
      </c>
      <c r="CT14" s="142" t="str">
        <f aca="false">IF(ISBLANK($C14),"",IF($BZ14&lt;&gt;Constants!$B$8,"",IF($BM14="-&gt;",2,1)))</f>
        <v/>
      </c>
      <c r="CU14" s="144" t="str">
        <f aca="false">IF(ISBLANK($C14),"",IF($BZ14&lt;&gt;Constants!$B$8,"",IF($BM14="-&gt;",$BO14,$BC14)))</f>
        <v/>
      </c>
      <c r="CV14" s="144" t="str">
        <f aca="false">IF(ISBLANK($C14),"",IF($BZ14&lt;&gt;Constants!$B$8,"",IF($BM14="-&gt;",$BP14,$BD14)))</f>
        <v/>
      </c>
      <c r="CW14" s="144" t="str">
        <f aca="false">IF(ISBLANK($C14),"",IF($BZ14&lt;&gt;Constants!$B$8,"",IF($BM14="-&gt;",$BQ14+$BR14,$BE14+$BF14)+$CD14))</f>
        <v/>
      </c>
      <c r="CX14" s="144" t="str">
        <f aca="false">IF(ISBLANK($C14),"",IF($BZ14&lt;&gt;Constants!$B$8,"",IF($BM14="-&gt;",$BS14,$BG14)+$CC14))</f>
        <v/>
      </c>
      <c r="CY14" s="145" t="str">
        <f aca="false">IF(ISBLANK($C14),"",IF($BZ14&lt;&gt;Constants!$B$8,$BZ14,$CE14))</f>
        <v/>
      </c>
      <c r="CZ14" s="146" t="str">
        <f aca="false">IF(ISBLANK($C14),"",$CA14)</f>
        <v/>
      </c>
      <c r="DA14" s="147" t="str">
        <f aca="false">IF(ISBLANK($C14),"",$CP14)</f>
        <v/>
      </c>
      <c r="DB14" s="147" t="str">
        <f aca="false">IF(ISBLANK($C14),"",$CO14)</f>
        <v/>
      </c>
      <c r="DC14" s="148" t="str">
        <f aca="false">IF(ISBLANK($C14),"",IFERROR(_xlfn.SWITCH($DB14,Constants!$B$11,COUNTA($C$9:$C$508)+2,Constants!$B$10,COUNTA($C$9:$C$508)+1,Constants!$B$9,COUNTA($C$9:$C$508)),$DB14))</f>
        <v/>
      </c>
      <c r="DD14" s="9"/>
      <c r="DE14" s="149" t="n">
        <f aca="false">IF(OR(ISNUMBER($DB14),$DB14=Constants!$B$11,$DB14=Constants!$B$9,$DB14=Constants!$B$10),1,0)</f>
        <v>0</v>
      </c>
      <c r="DF14" s="149" t="n">
        <v>6</v>
      </c>
      <c r="DG14" s="149" t="str">
        <f aca="false">IF(ISBLANK($C14),"",IF(ISNUMBER($DC14),$DC14+ROW($B14)/1000,""))</f>
        <v/>
      </c>
      <c r="DH14" s="149" t="str">
        <f aca="false">IF(ISNUMBER($DG14),RANK($DG14,$DG$9:$DG$508,1),"")</f>
        <v/>
      </c>
      <c r="DI14" s="149" t="str">
        <f aca="false">IF(ISBLANK($C14),"",$B14)</f>
        <v/>
      </c>
      <c r="DJ14" s="149" t="str">
        <f aca="false">IF(ISBLANK($C14),"",$C14)</f>
        <v/>
      </c>
      <c r="DK14" s="149" t="str">
        <f aca="false">IF(ISBLANK($C14),"",$D14)</f>
        <v/>
      </c>
      <c r="DL14" s="150" t="str">
        <f aca="false">$CZ14</f>
        <v/>
      </c>
      <c r="DM14" s="151" t="str">
        <f aca="false">$CY14</f>
        <v/>
      </c>
      <c r="DN14" s="149" t="str">
        <f aca="false">IF(ISBLANK($C14),"",$DB14)</f>
        <v/>
      </c>
      <c r="DO14" s="152" t="str">
        <f aca="false">IF($DF14&gt;$DE$8,"",VLOOKUP($DF14,$DH$9:$DN$508,7,FALSE()))</f>
        <v/>
      </c>
      <c r="DP14" s="153" t="str">
        <f aca="false">IF($DF14&gt;$DE$8,"",VLOOKUP($DF14,$DH$9:$DN$508,2,FALSE()))</f>
        <v/>
      </c>
      <c r="DQ14" s="153" t="str">
        <f aca="false">IF($DF14&gt;$DE$8,"",VLOOKUP($DF14,$DH$9:$DN$508,3,FALSE()))</f>
        <v/>
      </c>
      <c r="DR14" s="153" t="str">
        <f aca="false">IF($DF14&gt;$DE$8,"",VLOOKUP($DF14,$DH$9:$DN$508,4,FALSE()))</f>
        <v/>
      </c>
      <c r="DS14" s="153" t="str">
        <f aca="false">IF($DF14&gt;$DE$8,"",VLOOKUP($DF14,$DH$9:$DN$508,5,FALSE()))</f>
        <v/>
      </c>
      <c r="DT14" s="154" t="str">
        <f aca="false">IF($DF14&gt;$DE$8,"",VLOOKUP($DF14,$DH$9:$DN$508,6,FALSE()))</f>
        <v/>
      </c>
      <c r="DU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IF(ISBLANK($C15),"",IF(E15=Constants!$B$3,TRUE(),IF(E15=Constants!$B$4,FALSE(),TRUE())))</f>
        <v/>
      </c>
      <c r="AG15" s="93" t="str">
        <f aca="false">IF(ISBLANK($C15),"",IF(F15=Constants!$B$3,TRUE(),IF(F15=Constants!$B$4,FALSE(),TRUE())))</f>
        <v/>
      </c>
      <c r="AH15" s="93" t="str">
        <f aca="false">IF(ISBLANK($C15),"",IF(G15=Constants!$B$3,TRUE(),IF(G15=Constants!$B$4,FALSE(),TRUE())))</f>
        <v/>
      </c>
      <c r="AI15" s="93" t="str">
        <f aca="false">IF(ISBLANK($C15),"",IF(AND(ISNUMBER(H15),H15&gt;=0),H15,Constants!$B$29))</f>
        <v/>
      </c>
      <c r="AJ15" s="93" t="str">
        <f aca="false">IF(ISBLANK($C15),"",IF(I15=Constants!$B$3,TRUE(),IF(I15=Constants!$B$4,FALSE(),TRUE())))</f>
        <v/>
      </c>
      <c r="AK15" s="93" t="str">
        <f aca="false">IF(ISBLANK($C15),"",IF(J15=Constants!$B$3,TRUE(),IF(J15=Constants!$B$4,FALSE(),TRUE())))</f>
        <v/>
      </c>
      <c r="AL15" s="93" t="str">
        <f aca="false">IF(ISBLANK($C15),"",IF(K15=Constants!$B$5,TRUE(),IF(K15=Constants!$B$6,FALSE(),COUNTA(L15:P15)&gt;0)))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IF(ISBLANK($C15),"",IF(N15=Constants!$B$3,TRUE(),IF(N15=Constants!$B$4,FALSE(),TRUE())))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IF(ISBLANK($C15),"",IF(P15=Constants!$B$3,TRUE(),IF(P15=Constants!$B$4,FALSE(),FALSE())))</f>
        <v/>
      </c>
      <c r="AR15" s="93" t="str">
        <f aca="false">IF(ISBLANK($C15),"",IF(Q15=Constants!$B$3,TRUE(),IF(Q15=Constants!$B$4,FALSE(),TRUE())))</f>
        <v/>
      </c>
      <c r="AS15" s="93" t="str">
        <f aca="false">IF(ISBLANK($C15),"",IF(R15=Constants!$B$3,TRUE(),IF(R15=Constants!$B$4,FALSE(),TRUE())))</f>
        <v/>
      </c>
      <c r="AT15" s="93" t="str">
        <f aca="false">IF(ISBLANK($C15),"",IF(S15=Constants!$B$5,TRUE(),IF(S15=Constants!$B$6,FALSE(),COUNTA(T15:X15)&gt;0)))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IF(ISBLANK($C15),"",IF(V15=Constants!$B$3,TRUE(),IF(V15=Constants!$B$4,FALSE(),TRUE())))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IF(ISBLANK($C15),"",IF(X15=Constants!$B$3,TRUE(),IF(X15=Constants!$B$4,FALSE(),FALSE())))</f>
        <v/>
      </c>
      <c r="AZ15" s="93" t="str">
        <f aca="false">IF(ISBLANK($C15),"",MIN(Constants!$B$31,MAX(0,IF(ISNUMBER(Y15),Y15*60,0)+IF(ISNUMBER(Z15),Z15,0))))</f>
        <v/>
      </c>
      <c r="BA15" s="93" t="str">
        <f aca="false">IF(ISBLANK($C15),"",IF(AA15=Constants!$B$3,TRUE(),IF(AA15=Constants!$B$4,FALSE(),FALSE())))</f>
        <v/>
      </c>
      <c r="BB15" s="92" t="str">
        <f aca="false">IF(ISBLANK($C15),"",AND($AL15,OR($AM15="",$AN15="",AND($AO15,$AP15=""))))</f>
        <v/>
      </c>
      <c r="BC15" s="94" t="str">
        <f aca="false">IF($BZ15&lt;&gt;Constants!$B$8,"",IF($AL15,Constants!$B$21*$AN15+Constants!$B$22*IF($AO15,$AP15,Constants!$B$23),Constants!$B$24))</f>
        <v/>
      </c>
      <c r="BD15" s="97" t="str">
        <f aca="false">IF($BZ15&lt;&gt;Constants!$B$8,"",Constants!$B$25*ABS($AD$9-IF($AL15,$AM15,0)))</f>
        <v/>
      </c>
      <c r="BE15" s="97" t="str">
        <f aca="false">IF($BZ15&lt;&gt;Constants!$B$8,"",IF(AND($AL15,$AQ15,$AO15),Constants!$B$27,0))</f>
        <v/>
      </c>
      <c r="BF15" s="97" t="str">
        <f aca="false">IF($BZ15&lt;&gt;Constants!$B$8,"",IF($AL15,($AI15-Constants!$B$29)*Constants!$B$28,0))</f>
        <v/>
      </c>
      <c r="BG15" s="97" t="str">
        <f aca="false">IF($BZ15&lt;&gt;Constants!$B$8,"",IF($AK15,0,Constants!$B$15)+IF($AJ15,0,Constants!$B$16)+IF($AH15,0,Constants!$B$17))</f>
        <v/>
      </c>
      <c r="BH15" s="98" t="str">
        <f aca="false">IF($BZ15&lt;&gt;Constants!$B$8,"",Constants!$B$20+SUM($BC15:$BG15))</f>
        <v/>
      </c>
      <c r="BI15" s="97" t="str">
        <f aca="false">IF($BZ15&lt;&gt;Constants!$B$8,"",$BC15)</f>
        <v/>
      </c>
      <c r="BJ15" s="97" t="str">
        <f aca="false">IF($BZ15&lt;&gt;Constants!$B$8,"",$BD15)</f>
        <v/>
      </c>
      <c r="BK15" s="97" t="str">
        <f aca="false">IF($BZ15&lt;&gt;Constants!$B$8,"",IF($AL15,$AN15,""))</f>
        <v/>
      </c>
      <c r="BL15" s="99" t="str">
        <f aca="false">IF($BZ15&lt;&gt;Constants!$B$8,"",$AI15)</f>
        <v/>
      </c>
      <c r="BM15" s="93" t="str">
        <f aca="false">IF($BZ15&lt;&gt;Constants!$B$8,"",IF(OR($BT15&lt;$BH15,AND($BT15=$BH15,OR($BU15&lt;$BI15,AND($BU15=$BI15,OR($BV15&lt;$BJ15,AND($BV15=$BJ15,OR(AND(ISNUMBER($BW15),OR(NOT(ISNUMBER($BK15)),$BW15&lt;$BK15)),AND(OR(AND($BW15="",$BK15=""),AND(ISNUMBER($BW15),ISNUMBER($BK15),$BW15=$BK15)),$BX15&lt;$BL15)))))))),"-&gt;","&lt;-"))</f>
        <v/>
      </c>
      <c r="BN15" s="92" t="str">
        <f aca="false">IF(ISBLANK($C15),"",AND($AT15,OR($AU15="",$AV15="",AND($AW15,$AX15=""))))</f>
        <v/>
      </c>
      <c r="BO15" s="94" t="str">
        <f aca="false">IF($BZ15&lt;&gt;Constants!$B$8,"",IF($AT15,Constants!$B$21*$AV15+Constants!$B$22*IF($AW15,$AX15,Constants!$B$23),Constants!$B$24))</f>
        <v/>
      </c>
      <c r="BP15" s="97" t="str">
        <f aca="false">IF($BZ15&lt;&gt;Constants!$B$8,"",Constants!$B$25*ABS($AD$9-IF($AT15,$AU15,0)))</f>
        <v/>
      </c>
      <c r="BQ15" s="97" t="str">
        <f aca="false">IF($BZ15&lt;&gt;Constants!$B$8,"",IF(AND($AT15,$AY15,$AW15),Constants!$B$27,0))</f>
        <v/>
      </c>
      <c r="BR15" s="97" t="str">
        <f aca="false">IF($BZ15&lt;&gt;Constants!$B$8,"",IF($AT15,($AI15-Constants!$B$29)*Constants!$B$28,0))</f>
        <v/>
      </c>
      <c r="BS15" s="97" t="str">
        <f aca="false">IF($BZ15&lt;&gt;Constants!$B$8,"",IF($AS15,0,Constants!$B$15)+IF($AR15,0,Constants!$B$16)+IF($AH15,0,Constants!$B$17))</f>
        <v/>
      </c>
      <c r="BT15" s="98" t="str">
        <f aca="false">IF($BZ15&lt;&gt;Constants!$B$8,"",Constants!$B$20+SUM($BO15:$BS15))</f>
        <v/>
      </c>
      <c r="BU15" s="97" t="str">
        <f aca="false">IF($BZ15&lt;&gt;Constants!$B$8,"",$BO15)</f>
        <v/>
      </c>
      <c r="BV15" s="97" t="str">
        <f aca="false">IF($BZ15&lt;&gt;Constants!$B$8,"",$BP15)</f>
        <v/>
      </c>
      <c r="BW15" s="97" t="str">
        <f aca="false">IF($BZ15&lt;&gt;Constants!$B$8,"",IF($AT15,$AV15,""))</f>
        <v/>
      </c>
      <c r="BX15" s="99" t="str">
        <f aca="false">IF($BZ15&lt;&gt;Constants!$B$8,"",$AI15)</f>
        <v/>
      </c>
      <c r="BY15" s="93" t="str">
        <f aca="false">IF(ISBLANK($C15),"",IF(ISBLANK($D$7),$BY$5,IF(NOT(ISNUMBER($D$7)),$BY$6,"")))</f>
        <v/>
      </c>
      <c r="BZ15" s="93" t="str">
        <f aca="false">IF(ISBLANK($C15),"",IF($BA15,Constants!$B$11,IF(COUNTA($E15:$AA15)=0,Constants!$B$10,IF(NOT($AG15),Constants!$B$9,IF(OR($BY15&lt;&gt;"",$BB15,$BN15),Constants!$B$12,Constants!$B$8)))))</f>
        <v/>
      </c>
      <c r="CA15" s="93" t="str">
        <f aca="false">IF(ISBLANK($C15),"",IF($BZ15&lt;&gt;Constants!$B$8,$BZ15,Constants!$B$13))</f>
        <v/>
      </c>
      <c r="CB15" s="97" t="str">
        <f aca="false">IF($BZ15&lt;&gt;Constants!$B$8,"",IF($BM15="-&gt;",$BT15,$BH15))</f>
        <v/>
      </c>
      <c r="CC15" s="97" t="str">
        <f aca="false">IF($BZ15&lt;&gt;Constants!$B$8,"",IF($AF15,0,Constants!$B$18))</f>
        <v/>
      </c>
      <c r="CD15" s="97" t="str">
        <f aca="false">IF($BZ15&lt;&gt;Constants!$B$8,"",((Constants!$B$31-$AZ15)-Constants!$B$31)/Constants!$B$32)</f>
        <v/>
      </c>
      <c r="CE15" s="97" t="str">
        <f aca="false">IF(ISBLANK($C15),"",IF($BZ15&lt;&gt;Constants!$B$8,$BZ15,SUM($CB15:$CD15)))</f>
        <v/>
      </c>
      <c r="CF15" s="93" t="str">
        <f aca="false">IF(ISBLANK($C15),"",IF($BZ15&lt;&gt;Constants!$B$8,$BZ15,RANK($CE15,$CE$9:$CE$508,1)))</f>
        <v/>
      </c>
      <c r="CG15" s="97" t="str">
        <f aca="false">IF($BZ15&lt;&gt;Constants!$B$8,"",IF($BM15="-&gt;",$BU15,$BI15))</f>
        <v/>
      </c>
      <c r="CH15" s="93" t="str">
        <f aca="false">IF(ISBLANK($C15),"",IF($BZ15&lt;&gt;Constants!$B$8,$BZ15,IF(ISNUMBER($CG15),RANK($CG15,$CG$9:$CG$508,1),COUNT($CG$9:$CG$508)+1)))</f>
        <v/>
      </c>
      <c r="CI15" s="97" t="str">
        <f aca="false">IF($BZ15&lt;&gt;Constants!$B$8,"",IF($BM15="-&gt;",$BV15,$BJ15))</f>
        <v/>
      </c>
      <c r="CJ15" s="93" t="str">
        <f aca="false">IF(ISBLANK($C15),"",IF($BZ15&lt;&gt;Constants!$B$8,$BZ15,IF(ISNUMBER($CI15),RANK($CI15,$CI$9:$CI$508,1),COUNT($CI$9:$CI$508)+1)))</f>
        <v/>
      </c>
      <c r="CK15" s="97" t="str">
        <f aca="false">IF($BZ15&lt;&gt;Constants!$B$8,"",IF($BM15="-&gt;",$BW15,$BK15))</f>
        <v/>
      </c>
      <c r="CL15" s="93" t="str">
        <f aca="false">IF(ISBLANK($C15),"",IF($BZ15&lt;&gt;Constants!$B$8,$BZ15,IF(ISNUMBER($CK15),RANK($CK15,$CK$9:$CK$508,1),COUNT($CK$9:$CK$508)+1)))</f>
        <v/>
      </c>
      <c r="CM15" s="97" t="str">
        <f aca="false">IF($BZ15&lt;&gt;Constants!$B$8,"",IF(AND(NOT($AL15),NOT($AT15),$AJ15,$AK15,$AR15,$AS15),"",IF($BM15="-&gt;",$BX15,$BL15)))</f>
        <v/>
      </c>
      <c r="CN15" s="93" t="str">
        <f aca="false">IF(ISBLANK($C15),"",IF($BZ15&lt;&gt;Constants!$B$8,$BZ15,IF(ISNUMBER($CM15),RANK($CM15,$CM$9:$CM$508,1),COUNT($CM$9:$CM$508)+1)))</f>
        <v/>
      </c>
      <c r="CO15" s="93" t="str">
        <f aca="false">IF(ISBLANK($C15),"",IF($BZ15&lt;&gt;Constants!$B$8,$BZ15,COUNTIFS($CF$9:$CF$508,"&lt;"&amp;$CF15)+COUNTIFS($CF$9:$CF$508,$CF15,$CH$9:$CH$508,"&lt;"&amp;$CH15)+COUNTIFS($CF$9:$CF$508,$CF15,$CH$9:$CH$508,$CH15,$CJ$9:$CJ$508,"&lt;"&amp;$CJ15)+COUNTIFS($CF$9:$CF$508,$CF15,$CH$9:$CH$508,$CH15,$CJ$9:$CJ$508,$CJ15,$CL$9:$CL$508,"&lt;"&amp;$CL15)+COUNTIFS($CF$9:$CF$508,$CF15,$CH$9:$CH$508,$CH15,$CJ$9:$CJ$508,$CJ15,$CL$9:$CL$508,$CL15,$CN$9:$CN$508,"&lt;"&amp;$CN15)+1))</f>
        <v/>
      </c>
      <c r="CP15" s="93" t="str">
        <f aca="false">IF(ISBLANK($C15),"",IF($BZ15&lt;&gt;Constants!$B$8,$BZ15,$CF15-$CO15))</f>
        <v/>
      </c>
      <c r="CQ15" s="100"/>
      <c r="CR15" s="101"/>
      <c r="CS15" s="102" t="str">
        <f aca="false">IF(ISBLANK($C15),"",IF($BZ15=Constants!$B$12,$BY15,""))</f>
        <v/>
      </c>
      <c r="CT15" s="101" t="str">
        <f aca="false">IF(ISBLANK($C15),"",IF($BZ15&lt;&gt;Constants!$B$8,"",IF($BM15="-&gt;",2,1)))</f>
        <v/>
      </c>
      <c r="CU15" s="103" t="str">
        <f aca="false">IF(ISBLANK($C15),"",IF($BZ15&lt;&gt;Constants!$B$8,"",IF($BM15="-&gt;",$BO15,$BC15)))</f>
        <v/>
      </c>
      <c r="CV15" s="103" t="str">
        <f aca="false">IF(ISBLANK($C15),"",IF($BZ15&lt;&gt;Constants!$B$8,"",IF($BM15="-&gt;",$BP15,$BD15)))</f>
        <v/>
      </c>
      <c r="CW15" s="103" t="str">
        <f aca="false">IF(ISBLANK($C15),"",IF($BZ15&lt;&gt;Constants!$B$8,"",IF($BM15="-&gt;",$BQ15+$BR15,$BE15+$BF15)+$CD15))</f>
        <v/>
      </c>
      <c r="CX15" s="103" t="str">
        <f aca="false">IF(ISBLANK($C15),"",IF($BZ15&lt;&gt;Constants!$B$8,"",IF($BM15="-&gt;",$BS15,$BG15)+$CC15))</f>
        <v/>
      </c>
      <c r="CY15" s="104" t="str">
        <f aca="false">IF(ISBLANK($C15),"",IF($BZ15&lt;&gt;Constants!$B$8,$BZ15,$CE15))</f>
        <v/>
      </c>
      <c r="CZ15" s="105" t="str">
        <f aca="false">IF(ISBLANK($C15),"",$CA15)</f>
        <v/>
      </c>
      <c r="DA15" s="106" t="str">
        <f aca="false">IF(ISBLANK($C15),"",$CP15)</f>
        <v/>
      </c>
      <c r="DB15" s="106" t="str">
        <f aca="false">IF(ISBLANK($C15),"",$CO15)</f>
        <v/>
      </c>
      <c r="DC15" s="107" t="str">
        <f aca="false">IF(ISBLANK($C15),"",IFERROR(_xlfn.SWITCH($DB15,Constants!$B$11,COUNTA($C$9:$C$508)+2,Constants!$B$10,COUNTA($C$9:$C$508)+1,Constants!$B$9,COUNTA($C$9:$C$508)),$DB15))</f>
        <v/>
      </c>
      <c r="DD15" s="9"/>
      <c r="DE15" s="108" t="n">
        <f aca="false">IF(OR(ISNUMBER($DB15),$DB15=Constants!$B$11,$DB15=Constants!$B$9,$DB15=Constants!$B$10),1,0)</f>
        <v>0</v>
      </c>
      <c r="DF15" s="108" t="n">
        <v>7</v>
      </c>
      <c r="DG15" s="108" t="str">
        <f aca="false">IF(ISBLANK($C15),"",IF(ISNUMBER($DC15),$DC15+ROW($B15)/1000,""))</f>
        <v/>
      </c>
      <c r="DH15" s="108" t="str">
        <f aca="false">IF(ISNUMBER($DG15),RANK($DG15,$DG$9:$DG$508,1),"")</f>
        <v/>
      </c>
      <c r="DI15" s="108" t="str">
        <f aca="false">IF(ISBLANK($C15),"",$B15)</f>
        <v/>
      </c>
      <c r="DJ15" s="108" t="str">
        <f aca="false">IF(ISBLANK($C15),"",$C15)</f>
        <v/>
      </c>
      <c r="DK15" s="108" t="str">
        <f aca="false">IF(ISBLANK($C15),"",$D15)</f>
        <v/>
      </c>
      <c r="DL15" s="109" t="str">
        <f aca="false">$CZ15</f>
        <v/>
      </c>
      <c r="DM15" s="110" t="str">
        <f aca="false">$CY15</f>
        <v/>
      </c>
      <c r="DN15" s="108" t="str">
        <f aca="false">IF(ISBLANK($C15),"",$DB15)</f>
        <v/>
      </c>
      <c r="DO15" s="111" t="str">
        <f aca="false">IF($DF15&gt;$DE$8,"",VLOOKUP($DF15,$DH$9:$DN$508,7,FALSE()))</f>
        <v/>
      </c>
      <c r="DP15" s="112" t="str">
        <f aca="false">IF($DF15&gt;$DE$8,"",VLOOKUP($DF15,$DH$9:$DN$508,2,FALSE()))</f>
        <v/>
      </c>
      <c r="DQ15" s="112" t="str">
        <f aca="false">IF($DF15&gt;$DE$8,"",VLOOKUP($DF15,$DH$9:$DN$508,3,FALSE()))</f>
        <v/>
      </c>
      <c r="DR15" s="112" t="str">
        <f aca="false">IF($DF15&gt;$DE$8,"",VLOOKUP($DF15,$DH$9:$DN$508,4,FALSE()))</f>
        <v/>
      </c>
      <c r="DS15" s="112" t="str">
        <f aca="false">IF($DF15&gt;$DE$8,"",VLOOKUP($DF15,$DH$9:$DN$508,5,FALSE()))</f>
        <v/>
      </c>
      <c r="DT15" s="113" t="str">
        <f aca="false">IF($DF15&gt;$DE$8,"",VLOOKUP($DF15,$DH$9:$DN$508,6,FALSE()))</f>
        <v/>
      </c>
      <c r="DU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IF(ISBLANK($C16),"",IF(E16=Constants!$B$3,TRUE(),IF(E16=Constants!$B$4,FALSE(),TRUE())))</f>
        <v/>
      </c>
      <c r="AG16" s="93" t="str">
        <f aca="false">IF(ISBLANK($C16),"",IF(F16=Constants!$B$3,TRUE(),IF(F16=Constants!$B$4,FALSE(),TRUE())))</f>
        <v/>
      </c>
      <c r="AH16" s="93" t="str">
        <f aca="false">IF(ISBLANK($C16),"",IF(G16=Constants!$B$3,TRUE(),IF(G16=Constants!$B$4,FALSE(),TRUE())))</f>
        <v/>
      </c>
      <c r="AI16" s="93" t="str">
        <f aca="false">IF(ISBLANK($C16),"",IF(AND(ISNUMBER(H16),H16&gt;=0),H16,Constants!$B$29))</f>
        <v/>
      </c>
      <c r="AJ16" s="93" t="str">
        <f aca="false">IF(ISBLANK($C16),"",IF(I16=Constants!$B$3,TRUE(),IF(I16=Constants!$B$4,FALSE(),TRUE())))</f>
        <v/>
      </c>
      <c r="AK16" s="93" t="str">
        <f aca="false">IF(ISBLANK($C16),"",IF(J16=Constants!$B$3,TRUE(),IF(J16=Constants!$B$4,FALSE(),TRUE())))</f>
        <v/>
      </c>
      <c r="AL16" s="93" t="str">
        <f aca="false">IF(ISBLANK($C16),"",IF(K16=Constants!$B$5,TRUE(),IF(K16=Constants!$B$6,FALSE(),COUNTA(L16:P16)&gt;0)))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IF(ISBLANK($C16),"",IF(N16=Constants!$B$3,TRUE(),IF(N16=Constants!$B$4,FALSE(),TRUE())))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IF(ISBLANK($C16),"",IF(P16=Constants!$B$3,TRUE(),IF(P16=Constants!$B$4,FALSE(),FALSE())))</f>
        <v/>
      </c>
      <c r="AR16" s="93" t="str">
        <f aca="false">IF(ISBLANK($C16),"",IF(Q16=Constants!$B$3,TRUE(),IF(Q16=Constants!$B$4,FALSE(),TRUE())))</f>
        <v/>
      </c>
      <c r="AS16" s="93" t="str">
        <f aca="false">IF(ISBLANK($C16),"",IF(R16=Constants!$B$3,TRUE(),IF(R16=Constants!$B$4,FALSE(),TRUE())))</f>
        <v/>
      </c>
      <c r="AT16" s="93" t="str">
        <f aca="false">IF(ISBLANK($C16),"",IF(S16=Constants!$B$5,TRUE(),IF(S16=Constants!$B$6,FALSE(),COUNTA(T16:X16)&gt;0)))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IF(ISBLANK($C16),"",IF(V16=Constants!$B$3,TRUE(),IF(V16=Constants!$B$4,FALSE(),TRUE())))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IF(ISBLANK($C16),"",IF(X16=Constants!$B$3,TRUE(),IF(X16=Constants!$B$4,FALSE(),FALSE())))</f>
        <v/>
      </c>
      <c r="AZ16" s="93" t="str">
        <f aca="false">IF(ISBLANK($C16),"",MIN(Constants!$B$31,MAX(0,IF(ISNUMBER(Y16),Y16*60,0)+IF(ISNUMBER(Z16),Z16,0))))</f>
        <v/>
      </c>
      <c r="BA16" s="93" t="str">
        <f aca="false">IF(ISBLANK($C16),"",IF(AA16=Constants!$B$3,TRUE(),IF(AA16=Constants!$B$4,FALSE(),FALSE())))</f>
        <v/>
      </c>
      <c r="BB16" s="92" t="str">
        <f aca="false">IF(ISBLANK($C16),"",AND($AL16,OR($AM16="",$AN16="",AND($AO16,$AP16=""))))</f>
        <v/>
      </c>
      <c r="BC16" s="94" t="str">
        <f aca="false">IF($BZ16&lt;&gt;Constants!$B$8,"",IF($AL16,Constants!$B$21*$AN16+Constants!$B$22*IF($AO16,$AP16,Constants!$B$23),Constants!$B$24))</f>
        <v/>
      </c>
      <c r="BD16" s="97" t="str">
        <f aca="false">IF($BZ16&lt;&gt;Constants!$B$8,"",Constants!$B$25*ABS($AD$9-IF($AL16,$AM16,0)))</f>
        <v/>
      </c>
      <c r="BE16" s="97" t="str">
        <f aca="false">IF($BZ16&lt;&gt;Constants!$B$8,"",IF(AND($AL16,$AQ16,$AO16),Constants!$B$27,0))</f>
        <v/>
      </c>
      <c r="BF16" s="97" t="str">
        <f aca="false">IF($BZ16&lt;&gt;Constants!$B$8,"",IF($AL16,($AI16-Constants!$B$29)*Constants!$B$28,0))</f>
        <v/>
      </c>
      <c r="BG16" s="97" t="str">
        <f aca="false">IF($BZ16&lt;&gt;Constants!$B$8,"",IF($AK16,0,Constants!$B$15)+IF($AJ16,0,Constants!$B$16)+IF($AH16,0,Constants!$B$17))</f>
        <v/>
      </c>
      <c r="BH16" s="98" t="str">
        <f aca="false">IF($BZ16&lt;&gt;Constants!$B$8,"",Constants!$B$20+SUM($BC16:$BG16))</f>
        <v/>
      </c>
      <c r="BI16" s="97" t="str">
        <f aca="false">IF($BZ16&lt;&gt;Constants!$B$8,"",$BC16)</f>
        <v/>
      </c>
      <c r="BJ16" s="97" t="str">
        <f aca="false">IF($BZ16&lt;&gt;Constants!$B$8,"",$BD16)</f>
        <v/>
      </c>
      <c r="BK16" s="97" t="str">
        <f aca="false">IF($BZ16&lt;&gt;Constants!$B$8,"",IF($AL16,$AN16,""))</f>
        <v/>
      </c>
      <c r="BL16" s="99" t="str">
        <f aca="false">IF($BZ16&lt;&gt;Constants!$B$8,"",$AI16)</f>
        <v/>
      </c>
      <c r="BM16" s="93" t="str">
        <f aca="false">IF($BZ16&lt;&gt;Constants!$B$8,"",IF(OR($BT16&lt;$BH16,AND($BT16=$BH16,OR($BU16&lt;$BI16,AND($BU16=$BI16,OR($BV16&lt;$BJ16,AND($BV16=$BJ16,OR(AND(ISNUMBER($BW16),OR(NOT(ISNUMBER($BK16)),$BW16&lt;$BK16)),AND(OR(AND($BW16="",$BK16=""),AND(ISNUMBER($BW16),ISNUMBER($BK16),$BW16=$BK16)),$BX16&lt;$BL16)))))))),"-&gt;","&lt;-"))</f>
        <v/>
      </c>
      <c r="BN16" s="92" t="str">
        <f aca="false">IF(ISBLANK($C16),"",AND($AT16,OR($AU16="",$AV16="",AND($AW16,$AX16=""))))</f>
        <v/>
      </c>
      <c r="BO16" s="94" t="str">
        <f aca="false">IF($BZ16&lt;&gt;Constants!$B$8,"",IF($AT16,Constants!$B$21*$AV16+Constants!$B$22*IF($AW16,$AX16,Constants!$B$23),Constants!$B$24))</f>
        <v/>
      </c>
      <c r="BP16" s="97" t="str">
        <f aca="false">IF($BZ16&lt;&gt;Constants!$B$8,"",Constants!$B$25*ABS($AD$9-IF($AT16,$AU16,0)))</f>
        <v/>
      </c>
      <c r="BQ16" s="97" t="str">
        <f aca="false">IF($BZ16&lt;&gt;Constants!$B$8,"",IF(AND($AT16,$AY16,$AW16),Constants!$B$27,0))</f>
        <v/>
      </c>
      <c r="BR16" s="97" t="str">
        <f aca="false">IF($BZ16&lt;&gt;Constants!$B$8,"",IF($AT16,($AI16-Constants!$B$29)*Constants!$B$28,0))</f>
        <v/>
      </c>
      <c r="BS16" s="97" t="str">
        <f aca="false">IF($BZ16&lt;&gt;Constants!$B$8,"",IF($AS16,0,Constants!$B$15)+IF($AR16,0,Constants!$B$16)+IF($AH16,0,Constants!$B$17))</f>
        <v/>
      </c>
      <c r="BT16" s="98" t="str">
        <f aca="false">IF($BZ16&lt;&gt;Constants!$B$8,"",Constants!$B$20+SUM($BO16:$BS16))</f>
        <v/>
      </c>
      <c r="BU16" s="97" t="str">
        <f aca="false">IF($BZ16&lt;&gt;Constants!$B$8,"",$BO16)</f>
        <v/>
      </c>
      <c r="BV16" s="97" t="str">
        <f aca="false">IF($BZ16&lt;&gt;Constants!$B$8,"",$BP16)</f>
        <v/>
      </c>
      <c r="BW16" s="97" t="str">
        <f aca="false">IF($BZ16&lt;&gt;Constants!$B$8,"",IF($AT16,$AV16,""))</f>
        <v/>
      </c>
      <c r="BX16" s="99" t="str">
        <f aca="false">IF($BZ16&lt;&gt;Constants!$B$8,"",$AI16)</f>
        <v/>
      </c>
      <c r="BY16" s="93" t="str">
        <f aca="false">IF(ISBLANK($C16),"",IF(ISBLANK($D$7),$BY$5,IF(NOT(ISNUMBER($D$7)),$BY$6,"")))</f>
        <v/>
      </c>
      <c r="BZ16" s="93" t="str">
        <f aca="false">IF(ISBLANK($C16),"",IF($BA16,Constants!$B$11,IF(COUNTA($E16:$AA16)=0,Constants!$B$10,IF(NOT($AG16),Constants!$B$9,IF(OR($BY16&lt;&gt;"",$BB16,$BN16),Constants!$B$12,Constants!$B$8)))))</f>
        <v/>
      </c>
      <c r="CA16" s="93" t="str">
        <f aca="false">IF(ISBLANK($C16),"",IF($BZ16&lt;&gt;Constants!$B$8,$BZ16,Constants!$B$13))</f>
        <v/>
      </c>
      <c r="CB16" s="97" t="str">
        <f aca="false">IF($BZ16&lt;&gt;Constants!$B$8,"",IF($BM16="-&gt;",$BT16,$BH16))</f>
        <v/>
      </c>
      <c r="CC16" s="97" t="str">
        <f aca="false">IF($BZ16&lt;&gt;Constants!$B$8,"",IF($AF16,0,Constants!$B$18))</f>
        <v/>
      </c>
      <c r="CD16" s="97" t="str">
        <f aca="false">IF($BZ16&lt;&gt;Constants!$B$8,"",((Constants!$B$31-$AZ16)-Constants!$B$31)/Constants!$B$32)</f>
        <v/>
      </c>
      <c r="CE16" s="97" t="str">
        <f aca="false">IF(ISBLANK($C16),"",IF($BZ16&lt;&gt;Constants!$B$8,$BZ16,SUM($CB16:$CD16)))</f>
        <v/>
      </c>
      <c r="CF16" s="93" t="str">
        <f aca="false">IF(ISBLANK($C16),"",IF($BZ16&lt;&gt;Constants!$B$8,$BZ16,RANK($CE16,$CE$9:$CE$508,1)))</f>
        <v/>
      </c>
      <c r="CG16" s="97" t="str">
        <f aca="false">IF($BZ16&lt;&gt;Constants!$B$8,"",IF($BM16="-&gt;",$BU16,$BI16))</f>
        <v/>
      </c>
      <c r="CH16" s="93" t="str">
        <f aca="false">IF(ISBLANK($C16),"",IF($BZ16&lt;&gt;Constants!$B$8,$BZ16,IF(ISNUMBER($CG16),RANK($CG16,$CG$9:$CG$508,1),COUNT($CG$9:$CG$508)+1)))</f>
        <v/>
      </c>
      <c r="CI16" s="97" t="str">
        <f aca="false">IF($BZ16&lt;&gt;Constants!$B$8,"",IF($BM16="-&gt;",$BV16,$BJ16))</f>
        <v/>
      </c>
      <c r="CJ16" s="93" t="str">
        <f aca="false">IF(ISBLANK($C16),"",IF($BZ16&lt;&gt;Constants!$B$8,$BZ16,IF(ISNUMBER($CI16),RANK($CI16,$CI$9:$CI$508,1),COUNT($CI$9:$CI$508)+1)))</f>
        <v/>
      </c>
      <c r="CK16" s="97" t="str">
        <f aca="false">IF($BZ16&lt;&gt;Constants!$B$8,"",IF($BM16="-&gt;",$BW16,$BK16))</f>
        <v/>
      </c>
      <c r="CL16" s="93" t="str">
        <f aca="false">IF(ISBLANK($C16),"",IF($BZ16&lt;&gt;Constants!$B$8,$BZ16,IF(ISNUMBER($CK16),RANK($CK16,$CK$9:$CK$508,1),COUNT($CK$9:$CK$508)+1)))</f>
        <v/>
      </c>
      <c r="CM16" s="97" t="str">
        <f aca="false">IF($BZ16&lt;&gt;Constants!$B$8,"",IF(AND(NOT($AL16),NOT($AT16),$AJ16,$AK16,$AR16,$AS16),"",IF($BM16="-&gt;",$BX16,$BL16)))</f>
        <v/>
      </c>
      <c r="CN16" s="93" t="str">
        <f aca="false">IF(ISBLANK($C16),"",IF($BZ16&lt;&gt;Constants!$B$8,$BZ16,IF(ISNUMBER($CM16),RANK($CM16,$CM$9:$CM$508,1),COUNT($CM$9:$CM$508)+1)))</f>
        <v/>
      </c>
      <c r="CO16" s="93" t="str">
        <f aca="false">IF(ISBLANK($C16),"",IF($BZ16&lt;&gt;Constants!$B$8,$BZ16,COUNTIFS($CF$9:$CF$508,"&lt;"&amp;$CF16)+COUNTIFS($CF$9:$CF$508,$CF16,$CH$9:$CH$508,"&lt;"&amp;$CH16)+COUNTIFS($CF$9:$CF$508,$CF16,$CH$9:$CH$508,$CH16,$CJ$9:$CJ$508,"&lt;"&amp;$CJ16)+COUNTIFS($CF$9:$CF$508,$CF16,$CH$9:$CH$508,$CH16,$CJ$9:$CJ$508,$CJ16,$CL$9:$CL$508,"&lt;"&amp;$CL16)+COUNTIFS($CF$9:$CF$508,$CF16,$CH$9:$CH$508,$CH16,$CJ$9:$CJ$508,$CJ16,$CL$9:$CL$508,$CL16,$CN$9:$CN$508,"&lt;"&amp;$CN16)+1))</f>
        <v/>
      </c>
      <c r="CP16" s="93" t="str">
        <f aca="false">IF(ISBLANK($C16),"",IF($BZ16&lt;&gt;Constants!$B$8,$BZ16,$CF16-$CO16))</f>
        <v/>
      </c>
      <c r="CQ16" s="100"/>
      <c r="CR16" s="101"/>
      <c r="CS16" s="102" t="str">
        <f aca="false">IF(ISBLANK($C16),"",IF($BZ16=Constants!$B$12,$BY16,""))</f>
        <v/>
      </c>
      <c r="CT16" s="101" t="str">
        <f aca="false">IF(ISBLANK($C16),"",IF($BZ16&lt;&gt;Constants!$B$8,"",IF($BM16="-&gt;",2,1)))</f>
        <v/>
      </c>
      <c r="CU16" s="103" t="str">
        <f aca="false">IF(ISBLANK($C16),"",IF($BZ16&lt;&gt;Constants!$B$8,"",IF($BM16="-&gt;",$BO16,$BC16)))</f>
        <v/>
      </c>
      <c r="CV16" s="103" t="str">
        <f aca="false">IF(ISBLANK($C16),"",IF($BZ16&lt;&gt;Constants!$B$8,"",IF($BM16="-&gt;",$BP16,$BD16)))</f>
        <v/>
      </c>
      <c r="CW16" s="103" t="str">
        <f aca="false">IF(ISBLANK($C16),"",IF($BZ16&lt;&gt;Constants!$B$8,"",IF($BM16="-&gt;",$BQ16+$BR16,$BE16+$BF16)+$CD16))</f>
        <v/>
      </c>
      <c r="CX16" s="103" t="str">
        <f aca="false">IF(ISBLANK($C16),"",IF($BZ16&lt;&gt;Constants!$B$8,"",IF($BM16="-&gt;",$BS16,$BG16)+$CC16))</f>
        <v/>
      </c>
      <c r="CY16" s="104" t="str">
        <f aca="false">IF(ISBLANK($C16),"",IF($BZ16&lt;&gt;Constants!$B$8,$BZ16,$CE16))</f>
        <v/>
      </c>
      <c r="CZ16" s="105" t="str">
        <f aca="false">IF(ISBLANK($C16),"",$CA16)</f>
        <v/>
      </c>
      <c r="DA16" s="106" t="str">
        <f aca="false">IF(ISBLANK($C16),"",$CP16)</f>
        <v/>
      </c>
      <c r="DB16" s="106" t="str">
        <f aca="false">IF(ISBLANK($C16),"",$CO16)</f>
        <v/>
      </c>
      <c r="DC16" s="107" t="str">
        <f aca="false">IF(ISBLANK($C16),"",IFERROR(_xlfn.SWITCH($DB16,Constants!$B$11,COUNTA($C$9:$C$508)+2,Constants!$B$10,COUNTA($C$9:$C$508)+1,Constants!$B$9,COUNTA($C$9:$C$508)),$DB16))</f>
        <v/>
      </c>
      <c r="DD16" s="9"/>
      <c r="DE16" s="108" t="n">
        <f aca="false">IF(OR(ISNUMBER($DB16),$DB16=Constants!$B$11,$DB16=Constants!$B$9,$DB16=Constants!$B$10),1,0)</f>
        <v>0</v>
      </c>
      <c r="DF16" s="108" t="n">
        <v>8</v>
      </c>
      <c r="DG16" s="108" t="str">
        <f aca="false">IF(ISBLANK($C16),"",IF(ISNUMBER($DC16),$DC16+ROW($B16)/1000,""))</f>
        <v/>
      </c>
      <c r="DH16" s="108" t="str">
        <f aca="false">IF(ISNUMBER($DG16),RANK($DG16,$DG$9:$DG$508,1),"")</f>
        <v/>
      </c>
      <c r="DI16" s="108" t="str">
        <f aca="false">IF(ISBLANK($C16),"",$B16)</f>
        <v/>
      </c>
      <c r="DJ16" s="108" t="str">
        <f aca="false">IF(ISBLANK($C16),"",$C16)</f>
        <v/>
      </c>
      <c r="DK16" s="108" t="str">
        <f aca="false">IF(ISBLANK($C16),"",$D16)</f>
        <v/>
      </c>
      <c r="DL16" s="109" t="str">
        <f aca="false">$CZ16</f>
        <v/>
      </c>
      <c r="DM16" s="110" t="str">
        <f aca="false">$CY16</f>
        <v/>
      </c>
      <c r="DN16" s="108" t="str">
        <f aca="false">IF(ISBLANK($C16),"",$DB16)</f>
        <v/>
      </c>
      <c r="DO16" s="111" t="str">
        <f aca="false">IF($DF16&gt;$DE$8,"",VLOOKUP($DF16,$DH$9:$DN$508,7,FALSE()))</f>
        <v/>
      </c>
      <c r="DP16" s="112" t="str">
        <f aca="false">IF($DF16&gt;$DE$8,"",VLOOKUP($DF16,$DH$9:$DN$508,2,FALSE()))</f>
        <v/>
      </c>
      <c r="DQ16" s="112" t="str">
        <f aca="false">IF($DF16&gt;$DE$8,"",VLOOKUP($DF16,$DH$9:$DN$508,3,FALSE()))</f>
        <v/>
      </c>
      <c r="DR16" s="112" t="str">
        <f aca="false">IF($DF16&gt;$DE$8,"",VLOOKUP($DF16,$DH$9:$DN$508,4,FALSE()))</f>
        <v/>
      </c>
      <c r="DS16" s="112" t="str">
        <f aca="false">IF($DF16&gt;$DE$8,"",VLOOKUP($DF16,$DH$9:$DN$508,5,FALSE()))</f>
        <v/>
      </c>
      <c r="DT16" s="113" t="str">
        <f aca="false">IF($DF16&gt;$DE$8,"",VLOOKUP($DF16,$DH$9:$DN$508,6,FALSE()))</f>
        <v/>
      </c>
      <c r="DU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IF(ISBLANK($C17),"",IF(E17=Constants!$B$3,TRUE(),IF(E17=Constants!$B$4,FALSE(),TRUE())))</f>
        <v/>
      </c>
      <c r="AG17" s="93" t="str">
        <f aca="false">IF(ISBLANK($C17),"",IF(F17=Constants!$B$3,TRUE(),IF(F17=Constants!$B$4,FALSE(),TRUE())))</f>
        <v/>
      </c>
      <c r="AH17" s="93" t="str">
        <f aca="false">IF(ISBLANK($C17),"",IF(G17=Constants!$B$3,TRUE(),IF(G17=Constants!$B$4,FALSE(),TRUE())))</f>
        <v/>
      </c>
      <c r="AI17" s="93" t="str">
        <f aca="false">IF(ISBLANK($C17),"",IF(AND(ISNUMBER(H17),H17&gt;=0),H17,Constants!$B$29))</f>
        <v/>
      </c>
      <c r="AJ17" s="93" t="str">
        <f aca="false">IF(ISBLANK($C17),"",IF(I17=Constants!$B$3,TRUE(),IF(I17=Constants!$B$4,FALSE(),TRUE())))</f>
        <v/>
      </c>
      <c r="AK17" s="93" t="str">
        <f aca="false">IF(ISBLANK($C17),"",IF(J17=Constants!$B$3,TRUE(),IF(J17=Constants!$B$4,FALSE(),TRUE())))</f>
        <v/>
      </c>
      <c r="AL17" s="93" t="str">
        <f aca="false">IF(ISBLANK($C17),"",IF(K17=Constants!$B$5,TRUE(),IF(K17=Constants!$B$6,FALSE(),COUNTA(L17:P17)&gt;0)))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IF(ISBLANK($C17),"",IF(N17=Constants!$B$3,TRUE(),IF(N17=Constants!$B$4,FALSE(),TRUE())))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IF(ISBLANK($C17),"",IF(P17=Constants!$B$3,TRUE(),IF(P17=Constants!$B$4,FALSE(),FALSE())))</f>
        <v/>
      </c>
      <c r="AR17" s="93" t="str">
        <f aca="false">IF(ISBLANK($C17),"",IF(Q17=Constants!$B$3,TRUE(),IF(Q17=Constants!$B$4,FALSE(),TRUE())))</f>
        <v/>
      </c>
      <c r="AS17" s="93" t="str">
        <f aca="false">IF(ISBLANK($C17),"",IF(R17=Constants!$B$3,TRUE(),IF(R17=Constants!$B$4,FALSE(),TRUE())))</f>
        <v/>
      </c>
      <c r="AT17" s="93" t="str">
        <f aca="false">IF(ISBLANK($C17),"",IF(S17=Constants!$B$5,TRUE(),IF(S17=Constants!$B$6,FALSE(),COUNTA(T17:X17)&gt;0)))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IF(ISBLANK($C17),"",IF(V17=Constants!$B$3,TRUE(),IF(V17=Constants!$B$4,FALSE(),TRUE())))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IF(ISBLANK($C17),"",IF(X17=Constants!$B$3,TRUE(),IF(X17=Constants!$B$4,FALSE(),FALSE())))</f>
        <v/>
      </c>
      <c r="AZ17" s="93" t="str">
        <f aca="false">IF(ISBLANK($C17),"",MIN(Constants!$B$31,MAX(0,IF(ISNUMBER(Y17),Y17*60,0)+IF(ISNUMBER(Z17),Z17,0))))</f>
        <v/>
      </c>
      <c r="BA17" s="93" t="str">
        <f aca="false">IF(ISBLANK($C17),"",IF(AA17=Constants!$B$3,TRUE(),IF(AA17=Constants!$B$4,FALSE(),FALSE())))</f>
        <v/>
      </c>
      <c r="BB17" s="92" t="str">
        <f aca="false">IF(ISBLANK($C17),"",AND($AL17,OR($AM17="",$AN17="",AND($AO17,$AP17=""))))</f>
        <v/>
      </c>
      <c r="BC17" s="94" t="str">
        <f aca="false">IF($BZ17&lt;&gt;Constants!$B$8,"",IF($AL17,Constants!$B$21*$AN17+Constants!$B$22*IF($AO17,$AP17,Constants!$B$23),Constants!$B$24))</f>
        <v/>
      </c>
      <c r="BD17" s="97" t="str">
        <f aca="false">IF($BZ17&lt;&gt;Constants!$B$8,"",Constants!$B$25*ABS($AD$9-IF($AL17,$AM17,0)))</f>
        <v/>
      </c>
      <c r="BE17" s="97" t="str">
        <f aca="false">IF($BZ17&lt;&gt;Constants!$B$8,"",IF(AND($AL17,$AQ17,$AO17),Constants!$B$27,0))</f>
        <v/>
      </c>
      <c r="BF17" s="97" t="str">
        <f aca="false">IF($BZ17&lt;&gt;Constants!$B$8,"",IF($AL17,($AI17-Constants!$B$29)*Constants!$B$28,0))</f>
        <v/>
      </c>
      <c r="BG17" s="97" t="str">
        <f aca="false">IF($BZ17&lt;&gt;Constants!$B$8,"",IF($AK17,0,Constants!$B$15)+IF($AJ17,0,Constants!$B$16)+IF($AH17,0,Constants!$B$17))</f>
        <v/>
      </c>
      <c r="BH17" s="98" t="str">
        <f aca="false">IF($BZ17&lt;&gt;Constants!$B$8,"",Constants!$B$20+SUM($BC17:$BG17))</f>
        <v/>
      </c>
      <c r="BI17" s="97" t="str">
        <f aca="false">IF($BZ17&lt;&gt;Constants!$B$8,"",$BC17)</f>
        <v/>
      </c>
      <c r="BJ17" s="97" t="str">
        <f aca="false">IF($BZ17&lt;&gt;Constants!$B$8,"",$BD17)</f>
        <v/>
      </c>
      <c r="BK17" s="97" t="str">
        <f aca="false">IF($BZ17&lt;&gt;Constants!$B$8,"",IF($AL17,$AN17,""))</f>
        <v/>
      </c>
      <c r="BL17" s="99" t="str">
        <f aca="false">IF($BZ17&lt;&gt;Constants!$B$8,"",$AI17)</f>
        <v/>
      </c>
      <c r="BM17" s="93" t="str">
        <f aca="false">IF($BZ17&lt;&gt;Constants!$B$8,"",IF(OR($BT17&lt;$BH17,AND($BT17=$BH17,OR($BU17&lt;$BI17,AND($BU17=$BI17,OR($BV17&lt;$BJ17,AND($BV17=$BJ17,OR(AND(ISNUMBER($BW17),OR(NOT(ISNUMBER($BK17)),$BW17&lt;$BK17)),AND(OR(AND($BW17="",$BK17=""),AND(ISNUMBER($BW17),ISNUMBER($BK17),$BW17=$BK17)),$BX17&lt;$BL17)))))))),"-&gt;","&lt;-"))</f>
        <v/>
      </c>
      <c r="BN17" s="92" t="str">
        <f aca="false">IF(ISBLANK($C17),"",AND($AT17,OR($AU17="",$AV17="",AND($AW17,$AX17=""))))</f>
        <v/>
      </c>
      <c r="BO17" s="94" t="str">
        <f aca="false">IF($BZ17&lt;&gt;Constants!$B$8,"",IF($AT17,Constants!$B$21*$AV17+Constants!$B$22*IF($AW17,$AX17,Constants!$B$23),Constants!$B$24))</f>
        <v/>
      </c>
      <c r="BP17" s="97" t="str">
        <f aca="false">IF($BZ17&lt;&gt;Constants!$B$8,"",Constants!$B$25*ABS($AD$9-IF($AT17,$AU17,0)))</f>
        <v/>
      </c>
      <c r="BQ17" s="97" t="str">
        <f aca="false">IF($BZ17&lt;&gt;Constants!$B$8,"",IF(AND($AT17,$AY17,$AW17),Constants!$B$27,0))</f>
        <v/>
      </c>
      <c r="BR17" s="97" t="str">
        <f aca="false">IF($BZ17&lt;&gt;Constants!$B$8,"",IF($AT17,($AI17-Constants!$B$29)*Constants!$B$28,0))</f>
        <v/>
      </c>
      <c r="BS17" s="97" t="str">
        <f aca="false">IF($BZ17&lt;&gt;Constants!$B$8,"",IF($AS17,0,Constants!$B$15)+IF($AR17,0,Constants!$B$16)+IF($AH17,0,Constants!$B$17))</f>
        <v/>
      </c>
      <c r="BT17" s="98" t="str">
        <f aca="false">IF($BZ17&lt;&gt;Constants!$B$8,"",Constants!$B$20+SUM($BO17:$BS17))</f>
        <v/>
      </c>
      <c r="BU17" s="97" t="str">
        <f aca="false">IF($BZ17&lt;&gt;Constants!$B$8,"",$BO17)</f>
        <v/>
      </c>
      <c r="BV17" s="97" t="str">
        <f aca="false">IF($BZ17&lt;&gt;Constants!$B$8,"",$BP17)</f>
        <v/>
      </c>
      <c r="BW17" s="97" t="str">
        <f aca="false">IF($BZ17&lt;&gt;Constants!$B$8,"",IF($AT17,$AV17,""))</f>
        <v/>
      </c>
      <c r="BX17" s="99" t="str">
        <f aca="false">IF($BZ17&lt;&gt;Constants!$B$8,"",$AI17)</f>
        <v/>
      </c>
      <c r="BY17" s="93" t="str">
        <f aca="false">IF(ISBLANK($C17),"",IF(ISBLANK($D$7),$BY$5,IF(NOT(ISNUMBER($D$7)),$BY$6,"")))</f>
        <v/>
      </c>
      <c r="BZ17" s="93" t="str">
        <f aca="false">IF(ISBLANK($C17),"",IF($BA17,Constants!$B$11,IF(COUNTA($E17:$AA17)=0,Constants!$B$10,IF(NOT($AG17),Constants!$B$9,IF(OR($BY17&lt;&gt;"",$BB17,$BN17),Constants!$B$12,Constants!$B$8)))))</f>
        <v/>
      </c>
      <c r="CA17" s="93" t="str">
        <f aca="false">IF(ISBLANK($C17),"",IF($BZ17&lt;&gt;Constants!$B$8,$BZ17,Constants!$B$13))</f>
        <v/>
      </c>
      <c r="CB17" s="97" t="str">
        <f aca="false">IF($BZ17&lt;&gt;Constants!$B$8,"",IF($BM17="-&gt;",$BT17,$BH17))</f>
        <v/>
      </c>
      <c r="CC17" s="97" t="str">
        <f aca="false">IF($BZ17&lt;&gt;Constants!$B$8,"",IF($AF17,0,Constants!$B$18))</f>
        <v/>
      </c>
      <c r="CD17" s="97" t="str">
        <f aca="false">IF($BZ17&lt;&gt;Constants!$B$8,"",((Constants!$B$31-$AZ17)-Constants!$B$31)/Constants!$B$32)</f>
        <v/>
      </c>
      <c r="CE17" s="97" t="str">
        <f aca="false">IF(ISBLANK($C17),"",IF($BZ17&lt;&gt;Constants!$B$8,$BZ17,SUM($CB17:$CD17)))</f>
        <v/>
      </c>
      <c r="CF17" s="93" t="str">
        <f aca="false">IF(ISBLANK($C17),"",IF($BZ17&lt;&gt;Constants!$B$8,$BZ17,RANK($CE17,$CE$9:$CE$508,1)))</f>
        <v/>
      </c>
      <c r="CG17" s="97" t="str">
        <f aca="false">IF($BZ17&lt;&gt;Constants!$B$8,"",IF($BM17="-&gt;",$BU17,$BI17))</f>
        <v/>
      </c>
      <c r="CH17" s="93" t="str">
        <f aca="false">IF(ISBLANK($C17),"",IF($BZ17&lt;&gt;Constants!$B$8,$BZ17,IF(ISNUMBER($CG17),RANK($CG17,$CG$9:$CG$508,1),COUNT($CG$9:$CG$508)+1)))</f>
        <v/>
      </c>
      <c r="CI17" s="97" t="str">
        <f aca="false">IF($BZ17&lt;&gt;Constants!$B$8,"",IF($BM17="-&gt;",$BV17,$BJ17))</f>
        <v/>
      </c>
      <c r="CJ17" s="93" t="str">
        <f aca="false">IF(ISBLANK($C17),"",IF($BZ17&lt;&gt;Constants!$B$8,$BZ17,IF(ISNUMBER($CI17),RANK($CI17,$CI$9:$CI$508,1),COUNT($CI$9:$CI$508)+1)))</f>
        <v/>
      </c>
      <c r="CK17" s="97" t="str">
        <f aca="false">IF($BZ17&lt;&gt;Constants!$B$8,"",IF($BM17="-&gt;",$BW17,$BK17))</f>
        <v/>
      </c>
      <c r="CL17" s="93" t="str">
        <f aca="false">IF(ISBLANK($C17),"",IF($BZ17&lt;&gt;Constants!$B$8,$BZ17,IF(ISNUMBER($CK17),RANK($CK17,$CK$9:$CK$508,1),COUNT($CK$9:$CK$508)+1)))</f>
        <v/>
      </c>
      <c r="CM17" s="97" t="str">
        <f aca="false">IF($BZ17&lt;&gt;Constants!$B$8,"",IF(AND(NOT($AL17),NOT($AT17),$AJ17,$AK17,$AR17,$AS17),"",IF($BM17="-&gt;",$BX17,$BL17)))</f>
        <v/>
      </c>
      <c r="CN17" s="93" t="str">
        <f aca="false">IF(ISBLANK($C17),"",IF($BZ17&lt;&gt;Constants!$B$8,$BZ17,IF(ISNUMBER($CM17),RANK($CM17,$CM$9:$CM$508,1),COUNT($CM$9:$CM$508)+1)))</f>
        <v/>
      </c>
      <c r="CO17" s="93" t="str">
        <f aca="false">IF(ISBLANK($C17),"",IF($BZ17&lt;&gt;Constants!$B$8,$BZ17,COUNTIFS($CF$9:$CF$508,"&lt;"&amp;$CF17)+COUNTIFS($CF$9:$CF$508,$CF17,$CH$9:$CH$508,"&lt;"&amp;$CH17)+COUNTIFS($CF$9:$CF$508,$CF17,$CH$9:$CH$508,$CH17,$CJ$9:$CJ$508,"&lt;"&amp;$CJ17)+COUNTIFS($CF$9:$CF$508,$CF17,$CH$9:$CH$508,$CH17,$CJ$9:$CJ$508,$CJ17,$CL$9:$CL$508,"&lt;"&amp;$CL17)+COUNTIFS($CF$9:$CF$508,$CF17,$CH$9:$CH$508,$CH17,$CJ$9:$CJ$508,$CJ17,$CL$9:$CL$508,$CL17,$CN$9:$CN$508,"&lt;"&amp;$CN17)+1))</f>
        <v/>
      </c>
      <c r="CP17" s="93" t="str">
        <f aca="false">IF(ISBLANK($C17),"",IF($BZ17&lt;&gt;Constants!$B$8,$BZ17,$CF17-$CO17))</f>
        <v/>
      </c>
      <c r="CQ17" s="100"/>
      <c r="CR17" s="101"/>
      <c r="CS17" s="102" t="str">
        <f aca="false">IF(ISBLANK($C17),"",IF($BZ17=Constants!$B$12,$BY17,""))</f>
        <v/>
      </c>
      <c r="CT17" s="101" t="str">
        <f aca="false">IF(ISBLANK($C17),"",IF($BZ17&lt;&gt;Constants!$B$8,"",IF($BM17="-&gt;",2,1)))</f>
        <v/>
      </c>
      <c r="CU17" s="103" t="str">
        <f aca="false">IF(ISBLANK($C17),"",IF($BZ17&lt;&gt;Constants!$B$8,"",IF($BM17="-&gt;",$BO17,$BC17)))</f>
        <v/>
      </c>
      <c r="CV17" s="103" t="str">
        <f aca="false">IF(ISBLANK($C17),"",IF($BZ17&lt;&gt;Constants!$B$8,"",IF($BM17="-&gt;",$BP17,$BD17)))</f>
        <v/>
      </c>
      <c r="CW17" s="103" t="str">
        <f aca="false">IF(ISBLANK($C17),"",IF($BZ17&lt;&gt;Constants!$B$8,"",IF($BM17="-&gt;",$BQ17+$BR17,$BE17+$BF17)+$CD17))</f>
        <v/>
      </c>
      <c r="CX17" s="103" t="str">
        <f aca="false">IF(ISBLANK($C17),"",IF($BZ17&lt;&gt;Constants!$B$8,"",IF($BM17="-&gt;",$BS17,$BG17)+$CC17))</f>
        <v/>
      </c>
      <c r="CY17" s="104" t="str">
        <f aca="false">IF(ISBLANK($C17),"",IF($BZ17&lt;&gt;Constants!$B$8,$BZ17,$CE17))</f>
        <v/>
      </c>
      <c r="CZ17" s="105" t="str">
        <f aca="false">IF(ISBLANK($C17),"",$CA17)</f>
        <v/>
      </c>
      <c r="DA17" s="106" t="str">
        <f aca="false">IF(ISBLANK($C17),"",$CP17)</f>
        <v/>
      </c>
      <c r="DB17" s="106" t="str">
        <f aca="false">IF(ISBLANK($C17),"",$CO17)</f>
        <v/>
      </c>
      <c r="DC17" s="107" t="str">
        <f aca="false">IF(ISBLANK($C17),"",IFERROR(_xlfn.SWITCH($DB17,Constants!$B$11,COUNTA($C$9:$C$508)+2,Constants!$B$10,COUNTA($C$9:$C$508)+1,Constants!$B$9,COUNTA($C$9:$C$508)),$DB17))</f>
        <v/>
      </c>
      <c r="DD17" s="9"/>
      <c r="DE17" s="108" t="n">
        <f aca="false">IF(OR(ISNUMBER($DB17),$DB17=Constants!$B$11,$DB17=Constants!$B$9,$DB17=Constants!$B$10),1,0)</f>
        <v>0</v>
      </c>
      <c r="DF17" s="108" t="n">
        <v>9</v>
      </c>
      <c r="DG17" s="108" t="str">
        <f aca="false">IF(ISBLANK($C17),"",IF(ISNUMBER($DC17),$DC17+ROW($B17)/1000,""))</f>
        <v/>
      </c>
      <c r="DH17" s="108" t="str">
        <f aca="false">IF(ISNUMBER($DG17),RANK($DG17,$DG$9:$DG$508,1),"")</f>
        <v/>
      </c>
      <c r="DI17" s="108" t="str">
        <f aca="false">IF(ISBLANK($C17),"",$B17)</f>
        <v/>
      </c>
      <c r="DJ17" s="108" t="str">
        <f aca="false">IF(ISBLANK($C17),"",$C17)</f>
        <v/>
      </c>
      <c r="DK17" s="108" t="str">
        <f aca="false">IF(ISBLANK($C17),"",$D17)</f>
        <v/>
      </c>
      <c r="DL17" s="109" t="str">
        <f aca="false">$CZ17</f>
        <v/>
      </c>
      <c r="DM17" s="110" t="str">
        <f aca="false">$CY17</f>
        <v/>
      </c>
      <c r="DN17" s="108" t="str">
        <f aca="false">IF(ISBLANK($C17),"",$DB17)</f>
        <v/>
      </c>
      <c r="DO17" s="111" t="str">
        <f aca="false">IF($DF17&gt;$DE$8,"",VLOOKUP($DF17,$DH$9:$DN$508,7,FALSE()))</f>
        <v/>
      </c>
      <c r="DP17" s="112" t="str">
        <f aca="false">IF($DF17&gt;$DE$8,"",VLOOKUP($DF17,$DH$9:$DN$508,2,FALSE()))</f>
        <v/>
      </c>
      <c r="DQ17" s="112" t="str">
        <f aca="false">IF($DF17&gt;$DE$8,"",VLOOKUP($DF17,$DH$9:$DN$508,3,FALSE()))</f>
        <v/>
      </c>
      <c r="DR17" s="112" t="str">
        <f aca="false">IF($DF17&gt;$DE$8,"",VLOOKUP($DF17,$DH$9:$DN$508,4,FALSE()))</f>
        <v/>
      </c>
      <c r="DS17" s="112" t="str">
        <f aca="false">IF($DF17&gt;$DE$8,"",VLOOKUP($DF17,$DH$9:$DN$508,5,FALSE()))</f>
        <v/>
      </c>
      <c r="DT17" s="113" t="str">
        <f aca="false">IF($DF17&gt;$DE$8,"",VLOOKUP($DF17,$DH$9:$DN$508,6,FALSE()))</f>
        <v/>
      </c>
      <c r="DU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IF(ISBLANK($C18),"",IF(E18=Constants!$B$3,TRUE(),IF(E18=Constants!$B$4,FALSE(),TRUE())))</f>
        <v/>
      </c>
      <c r="AG18" s="135" t="str">
        <f aca="false">IF(ISBLANK($C18),"",IF(F18=Constants!$B$3,TRUE(),IF(F18=Constants!$B$4,FALSE(),TRUE())))</f>
        <v/>
      </c>
      <c r="AH18" s="135" t="str">
        <f aca="false">IF(ISBLANK($C18),"",IF(G18=Constants!$B$3,TRUE(),IF(G18=Constants!$B$4,FALSE(),TRUE())))</f>
        <v/>
      </c>
      <c r="AI18" s="135" t="str">
        <f aca="false">IF(ISBLANK($C18),"",IF(AND(ISNUMBER(H18),H18&gt;=0),H18,Constants!$B$29))</f>
        <v/>
      </c>
      <c r="AJ18" s="135" t="str">
        <f aca="false">IF(ISBLANK($C18),"",IF(I18=Constants!$B$3,TRUE(),IF(I18=Constants!$B$4,FALSE(),TRUE())))</f>
        <v/>
      </c>
      <c r="AK18" s="135" t="str">
        <f aca="false">IF(ISBLANK($C18),"",IF(J18=Constants!$B$3,TRUE(),IF(J18=Constants!$B$4,FALSE(),TRUE())))</f>
        <v/>
      </c>
      <c r="AL18" s="135" t="str">
        <f aca="false">IF(ISBLANK($C18),"",IF(K18=Constants!$B$5,TRUE(),IF(K18=Constants!$B$6,FALSE(),COUNTA(L18:P18)&gt;0)))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IF(ISBLANK($C18),"",IF(N18=Constants!$B$3,TRUE(),IF(N18=Constants!$B$4,FALSE(),TRUE())))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IF(ISBLANK($C18),"",IF(P18=Constants!$B$3,TRUE(),IF(P18=Constants!$B$4,FALSE(),FALSE())))</f>
        <v/>
      </c>
      <c r="AR18" s="135" t="str">
        <f aca="false">IF(ISBLANK($C18),"",IF(Q18=Constants!$B$3,TRUE(),IF(Q18=Constants!$B$4,FALSE(),TRUE())))</f>
        <v/>
      </c>
      <c r="AS18" s="135" t="str">
        <f aca="false">IF(ISBLANK($C18),"",IF(R18=Constants!$B$3,TRUE(),IF(R18=Constants!$B$4,FALSE(),TRUE())))</f>
        <v/>
      </c>
      <c r="AT18" s="135" t="str">
        <f aca="false">IF(ISBLANK($C18),"",IF(S18=Constants!$B$5,TRUE(),IF(S18=Constants!$B$6,FALSE(),COUNTA(T18:X18)&gt;0)))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IF(ISBLANK($C18),"",IF(V18=Constants!$B$3,TRUE(),IF(V18=Constants!$B$4,FALSE(),TRUE())))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IF(ISBLANK($C18),"",IF(X18=Constants!$B$3,TRUE(),IF(X18=Constants!$B$4,FALSE(),FALSE())))</f>
        <v/>
      </c>
      <c r="AZ18" s="135" t="str">
        <f aca="false">IF(ISBLANK($C18),"",MIN(Constants!$B$31,MAX(0,IF(ISNUMBER(Y18),Y18*60,0)+IF(ISNUMBER(Z18),Z18,0))))</f>
        <v/>
      </c>
      <c r="BA18" s="135" t="str">
        <f aca="false">IF(ISBLANK($C18),"",IF(AA18=Constants!$B$3,TRUE(),IF(AA18=Constants!$B$4,FALSE(),FALSE())))</f>
        <v/>
      </c>
      <c r="BB18" s="134" t="str">
        <f aca="false">IF(ISBLANK($C18),"",AND($AL18,OR($AM18="",$AN18="",AND($AO18,$AP18=""))))</f>
        <v/>
      </c>
      <c r="BC18" s="137" t="str">
        <f aca="false">IF($BZ18&lt;&gt;Constants!$B$8,"",IF($AL18,Constants!$B$21*$AN18+Constants!$B$22*IF($AO18,$AP18,Constants!$B$23),Constants!$B$24))</f>
        <v/>
      </c>
      <c r="BD18" s="138" t="str">
        <f aca="false">IF($BZ18&lt;&gt;Constants!$B$8,"",Constants!$B$25*ABS($AD$9-IF($AL18,$AM18,0)))</f>
        <v/>
      </c>
      <c r="BE18" s="138" t="str">
        <f aca="false">IF($BZ18&lt;&gt;Constants!$B$8,"",IF(AND($AL18,$AQ18,$AO18),Constants!$B$27,0))</f>
        <v/>
      </c>
      <c r="BF18" s="138" t="str">
        <f aca="false">IF($BZ18&lt;&gt;Constants!$B$8,"",IF($AL18,($AI18-Constants!$B$29)*Constants!$B$28,0))</f>
        <v/>
      </c>
      <c r="BG18" s="138" t="str">
        <f aca="false">IF($BZ18&lt;&gt;Constants!$B$8,"",IF($AK18,0,Constants!$B$15)+IF($AJ18,0,Constants!$B$16)+IF($AH18,0,Constants!$B$17))</f>
        <v/>
      </c>
      <c r="BH18" s="139" t="str">
        <f aca="false">IF($BZ18&lt;&gt;Constants!$B$8,"",Constants!$B$20+SUM($BC18:$BG18))</f>
        <v/>
      </c>
      <c r="BI18" s="138" t="str">
        <f aca="false">IF($BZ18&lt;&gt;Constants!$B$8,"",$BC18)</f>
        <v/>
      </c>
      <c r="BJ18" s="138" t="str">
        <f aca="false">IF($BZ18&lt;&gt;Constants!$B$8,"",$BD18)</f>
        <v/>
      </c>
      <c r="BK18" s="138" t="str">
        <f aca="false">IF($BZ18&lt;&gt;Constants!$B$8,"",IF($AL18,$AN18,""))</f>
        <v/>
      </c>
      <c r="BL18" s="140" t="str">
        <f aca="false">IF($BZ18&lt;&gt;Constants!$B$8,"",$AI18)</f>
        <v/>
      </c>
      <c r="BM18" s="135" t="str">
        <f aca="false">IF($BZ18&lt;&gt;Constants!$B$8,"",IF(OR($BT18&lt;$BH18,AND($BT18=$BH18,OR($BU18&lt;$BI18,AND($BU18=$BI18,OR($BV18&lt;$BJ18,AND($BV18=$BJ18,OR(AND(ISNUMBER($BW18),OR(NOT(ISNUMBER($BK18)),$BW18&lt;$BK18)),AND(OR(AND($BW18="",$BK18=""),AND(ISNUMBER($BW18),ISNUMBER($BK18),$BW18=$BK18)),$BX18&lt;$BL18)))))))),"-&gt;","&lt;-"))</f>
        <v/>
      </c>
      <c r="BN18" s="134" t="str">
        <f aca="false">IF(ISBLANK($C18),"",AND($AT18,OR($AU18="",$AV18="",AND($AW18,$AX18=""))))</f>
        <v/>
      </c>
      <c r="BO18" s="137" t="str">
        <f aca="false">IF($BZ18&lt;&gt;Constants!$B$8,"",IF($AT18,Constants!$B$21*$AV18+Constants!$B$22*IF($AW18,$AX18,Constants!$B$23),Constants!$B$24))</f>
        <v/>
      </c>
      <c r="BP18" s="138" t="str">
        <f aca="false">IF($BZ18&lt;&gt;Constants!$B$8,"",Constants!$B$25*ABS($AD$9-IF($AT18,$AU18,0)))</f>
        <v/>
      </c>
      <c r="BQ18" s="138" t="str">
        <f aca="false">IF($BZ18&lt;&gt;Constants!$B$8,"",IF(AND($AT18,$AY18,$AW18),Constants!$B$27,0))</f>
        <v/>
      </c>
      <c r="BR18" s="138" t="str">
        <f aca="false">IF($BZ18&lt;&gt;Constants!$B$8,"",IF($AT18,($AI18-Constants!$B$29)*Constants!$B$28,0))</f>
        <v/>
      </c>
      <c r="BS18" s="138" t="str">
        <f aca="false">IF($BZ18&lt;&gt;Constants!$B$8,"",IF($AS18,0,Constants!$B$15)+IF($AR18,0,Constants!$B$16)+IF($AH18,0,Constants!$B$17))</f>
        <v/>
      </c>
      <c r="BT18" s="139" t="str">
        <f aca="false">IF($BZ18&lt;&gt;Constants!$B$8,"",Constants!$B$20+SUM($BO18:$BS18))</f>
        <v/>
      </c>
      <c r="BU18" s="138" t="str">
        <f aca="false">IF($BZ18&lt;&gt;Constants!$B$8,"",$BO18)</f>
        <v/>
      </c>
      <c r="BV18" s="138" t="str">
        <f aca="false">IF($BZ18&lt;&gt;Constants!$B$8,"",$BP18)</f>
        <v/>
      </c>
      <c r="BW18" s="138" t="str">
        <f aca="false">IF($BZ18&lt;&gt;Constants!$B$8,"",IF($AT18,$AV18,""))</f>
        <v/>
      </c>
      <c r="BX18" s="140" t="str">
        <f aca="false">IF($BZ18&lt;&gt;Constants!$B$8,"",$AI18)</f>
        <v/>
      </c>
      <c r="BY18" s="135" t="str">
        <f aca="false">IF(ISBLANK($C18),"",IF(ISBLANK($D$7),$BY$5,IF(NOT(ISNUMBER($D$7)),$BY$6,"")))</f>
        <v/>
      </c>
      <c r="BZ18" s="135" t="str">
        <f aca="false">IF(ISBLANK($C18),"",IF($BA18,Constants!$B$11,IF(COUNTA($E18:$AA18)=0,Constants!$B$10,IF(NOT($AG18),Constants!$B$9,IF(OR($BY18&lt;&gt;"",$BB18,$BN18),Constants!$B$12,Constants!$B$8)))))</f>
        <v/>
      </c>
      <c r="CA18" s="135" t="str">
        <f aca="false">IF(ISBLANK($C18),"",IF($BZ18&lt;&gt;Constants!$B$8,$BZ18,Constants!$B$13))</f>
        <v/>
      </c>
      <c r="CB18" s="138" t="str">
        <f aca="false">IF($BZ18&lt;&gt;Constants!$B$8,"",IF($BM18="-&gt;",$BT18,$BH18))</f>
        <v/>
      </c>
      <c r="CC18" s="138" t="str">
        <f aca="false">IF($BZ18&lt;&gt;Constants!$B$8,"",IF($AF18,0,Constants!$B$18))</f>
        <v/>
      </c>
      <c r="CD18" s="138" t="str">
        <f aca="false">IF($BZ18&lt;&gt;Constants!$B$8,"",((Constants!$B$31-$AZ18)-Constants!$B$31)/Constants!$B$32)</f>
        <v/>
      </c>
      <c r="CE18" s="138" t="str">
        <f aca="false">IF(ISBLANK($C18),"",IF($BZ18&lt;&gt;Constants!$B$8,$BZ18,SUM($CB18:$CD18)))</f>
        <v/>
      </c>
      <c r="CF18" s="135" t="str">
        <f aca="false">IF(ISBLANK($C18),"",IF($BZ18&lt;&gt;Constants!$B$8,$BZ18,RANK($CE18,$CE$9:$CE$508,1)))</f>
        <v/>
      </c>
      <c r="CG18" s="138" t="str">
        <f aca="false">IF($BZ18&lt;&gt;Constants!$B$8,"",IF($BM18="-&gt;",$BU18,$BI18))</f>
        <v/>
      </c>
      <c r="CH18" s="135" t="str">
        <f aca="false">IF(ISBLANK($C18),"",IF($BZ18&lt;&gt;Constants!$B$8,$BZ18,IF(ISNUMBER($CG18),RANK($CG18,$CG$9:$CG$508,1),COUNT($CG$9:$CG$508)+1)))</f>
        <v/>
      </c>
      <c r="CI18" s="138" t="str">
        <f aca="false">IF($BZ18&lt;&gt;Constants!$B$8,"",IF($BM18="-&gt;",$BV18,$BJ18))</f>
        <v/>
      </c>
      <c r="CJ18" s="135" t="str">
        <f aca="false">IF(ISBLANK($C18),"",IF($BZ18&lt;&gt;Constants!$B$8,$BZ18,IF(ISNUMBER($CI18),RANK($CI18,$CI$9:$CI$508,1),COUNT($CI$9:$CI$508)+1)))</f>
        <v/>
      </c>
      <c r="CK18" s="138" t="str">
        <f aca="false">IF($BZ18&lt;&gt;Constants!$B$8,"",IF($BM18="-&gt;",$BW18,$BK18))</f>
        <v/>
      </c>
      <c r="CL18" s="135" t="str">
        <f aca="false">IF(ISBLANK($C18),"",IF($BZ18&lt;&gt;Constants!$B$8,$BZ18,IF(ISNUMBER($CK18),RANK($CK18,$CK$9:$CK$508,1),COUNT($CK$9:$CK$508)+1)))</f>
        <v/>
      </c>
      <c r="CM18" s="138" t="str">
        <f aca="false">IF($BZ18&lt;&gt;Constants!$B$8,"",IF(AND(NOT($AL18),NOT($AT18),$AJ18,$AK18,$AR18,$AS18),"",IF($BM18="-&gt;",$BX18,$BL18)))</f>
        <v/>
      </c>
      <c r="CN18" s="135" t="str">
        <f aca="false">IF(ISBLANK($C18),"",IF($BZ18&lt;&gt;Constants!$B$8,$BZ18,IF(ISNUMBER($CM18),RANK($CM18,$CM$9:$CM$508,1),COUNT($CM$9:$CM$508)+1)))</f>
        <v/>
      </c>
      <c r="CO18" s="135" t="str">
        <f aca="false">IF(ISBLANK($C18),"",IF($BZ18&lt;&gt;Constants!$B$8,$BZ18,COUNTIFS($CF$9:$CF$508,"&lt;"&amp;$CF18)+COUNTIFS($CF$9:$CF$508,$CF18,$CH$9:$CH$508,"&lt;"&amp;$CH18)+COUNTIFS($CF$9:$CF$508,$CF18,$CH$9:$CH$508,$CH18,$CJ$9:$CJ$508,"&lt;"&amp;$CJ18)+COUNTIFS($CF$9:$CF$508,$CF18,$CH$9:$CH$508,$CH18,$CJ$9:$CJ$508,$CJ18,$CL$9:$CL$508,"&lt;"&amp;$CL18)+COUNTIFS($CF$9:$CF$508,$CF18,$CH$9:$CH$508,$CH18,$CJ$9:$CJ$508,$CJ18,$CL$9:$CL$508,$CL18,$CN$9:$CN$508,"&lt;"&amp;$CN18)+1))</f>
        <v/>
      </c>
      <c r="CP18" s="135" t="str">
        <f aca="false">IF(ISBLANK($C18),"",IF($BZ18&lt;&gt;Constants!$B$8,$BZ18,$CF18-$CO18))</f>
        <v/>
      </c>
      <c r="CQ18" s="141"/>
      <c r="CR18" s="142"/>
      <c r="CS18" s="143" t="str">
        <f aca="false">IF(ISBLANK($C18),"",IF($BZ18=Constants!$B$12,$BY18,""))</f>
        <v/>
      </c>
      <c r="CT18" s="142" t="str">
        <f aca="false">IF(ISBLANK($C18),"",IF($BZ18&lt;&gt;Constants!$B$8,"",IF($BM18="-&gt;",2,1)))</f>
        <v/>
      </c>
      <c r="CU18" s="144" t="str">
        <f aca="false">IF(ISBLANK($C18),"",IF($BZ18&lt;&gt;Constants!$B$8,"",IF($BM18="-&gt;",$BO18,$BC18)))</f>
        <v/>
      </c>
      <c r="CV18" s="144" t="str">
        <f aca="false">IF(ISBLANK($C18),"",IF($BZ18&lt;&gt;Constants!$B$8,"",IF($BM18="-&gt;",$BP18,$BD18)))</f>
        <v/>
      </c>
      <c r="CW18" s="144" t="str">
        <f aca="false">IF(ISBLANK($C18),"",IF($BZ18&lt;&gt;Constants!$B$8,"",IF($BM18="-&gt;",$BQ18+$BR18,$BE18+$BF18)+$CD18))</f>
        <v/>
      </c>
      <c r="CX18" s="144" t="str">
        <f aca="false">IF(ISBLANK($C18),"",IF($BZ18&lt;&gt;Constants!$B$8,"",IF($BM18="-&gt;",$BS18,$BG18)+$CC18))</f>
        <v/>
      </c>
      <c r="CY18" s="145" t="str">
        <f aca="false">IF(ISBLANK($C18),"",IF($BZ18&lt;&gt;Constants!$B$8,$BZ18,$CE18))</f>
        <v/>
      </c>
      <c r="CZ18" s="146" t="str">
        <f aca="false">IF(ISBLANK($C18),"",$CA18)</f>
        <v/>
      </c>
      <c r="DA18" s="147" t="str">
        <f aca="false">IF(ISBLANK($C18),"",$CP18)</f>
        <v/>
      </c>
      <c r="DB18" s="147" t="str">
        <f aca="false">IF(ISBLANK($C18),"",$CO18)</f>
        <v/>
      </c>
      <c r="DC18" s="148" t="str">
        <f aca="false">IF(ISBLANK($C18),"",IFERROR(_xlfn.SWITCH($DB18,Constants!$B$11,COUNTA($C$9:$C$508)+2,Constants!$B$10,COUNTA($C$9:$C$508)+1,Constants!$B$9,COUNTA($C$9:$C$508)),$DB18))</f>
        <v/>
      </c>
      <c r="DD18" s="9"/>
      <c r="DE18" s="149" t="n">
        <f aca="false">IF(OR(ISNUMBER($DB18),$DB18=Constants!$B$11,$DB18=Constants!$B$9,$DB18=Constants!$B$10),1,0)</f>
        <v>0</v>
      </c>
      <c r="DF18" s="149" t="n">
        <v>10</v>
      </c>
      <c r="DG18" s="149" t="str">
        <f aca="false">IF(ISBLANK($C18),"",IF(ISNUMBER($DC18),$DC18+ROW($B18)/1000,""))</f>
        <v/>
      </c>
      <c r="DH18" s="149" t="str">
        <f aca="false">IF(ISNUMBER($DG18),RANK($DG18,$DG$9:$DG$508,1),"")</f>
        <v/>
      </c>
      <c r="DI18" s="149" t="str">
        <f aca="false">IF(ISBLANK($C18),"",$B18)</f>
        <v/>
      </c>
      <c r="DJ18" s="149" t="str">
        <f aca="false">IF(ISBLANK($C18),"",$C18)</f>
        <v/>
      </c>
      <c r="DK18" s="149" t="str">
        <f aca="false">IF(ISBLANK($C18),"",$D18)</f>
        <v/>
      </c>
      <c r="DL18" s="150" t="str">
        <f aca="false">$CZ18</f>
        <v/>
      </c>
      <c r="DM18" s="151" t="str">
        <f aca="false">$CY18</f>
        <v/>
      </c>
      <c r="DN18" s="149" t="str">
        <f aca="false">IF(ISBLANK($C18),"",$DB18)</f>
        <v/>
      </c>
      <c r="DO18" s="152" t="str">
        <f aca="false">IF($DF18&gt;$DE$8,"",VLOOKUP($DF18,$DH$9:$DN$508,7,FALSE()))</f>
        <v/>
      </c>
      <c r="DP18" s="153" t="str">
        <f aca="false">IF($DF18&gt;$DE$8,"",VLOOKUP($DF18,$DH$9:$DN$508,2,FALSE()))</f>
        <v/>
      </c>
      <c r="DQ18" s="153" t="str">
        <f aca="false">IF($DF18&gt;$DE$8,"",VLOOKUP($DF18,$DH$9:$DN$508,3,FALSE()))</f>
        <v/>
      </c>
      <c r="DR18" s="153" t="str">
        <f aca="false">IF($DF18&gt;$DE$8,"",VLOOKUP($DF18,$DH$9:$DN$508,4,FALSE()))</f>
        <v/>
      </c>
      <c r="DS18" s="153" t="str">
        <f aca="false">IF($DF18&gt;$DE$8,"",VLOOKUP($DF18,$DH$9:$DN$508,5,FALSE()))</f>
        <v/>
      </c>
      <c r="DT18" s="154" t="str">
        <f aca="false">IF($DF18&gt;$DE$8,"",VLOOKUP($DF18,$DH$9:$DN$508,6,FALSE()))</f>
        <v/>
      </c>
      <c r="DU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IF(ISBLANK($C19),"",IF(E19=Constants!$B$3,TRUE(),IF(E19=Constants!$B$4,FALSE(),TRUE())))</f>
        <v/>
      </c>
      <c r="AG19" s="135" t="str">
        <f aca="false">IF(ISBLANK($C19),"",IF(F19=Constants!$B$3,TRUE(),IF(F19=Constants!$B$4,FALSE(),TRUE())))</f>
        <v/>
      </c>
      <c r="AH19" s="135" t="str">
        <f aca="false">IF(ISBLANK($C19),"",IF(G19=Constants!$B$3,TRUE(),IF(G19=Constants!$B$4,FALSE(),TRUE())))</f>
        <v/>
      </c>
      <c r="AI19" s="135" t="str">
        <f aca="false">IF(ISBLANK($C19),"",IF(AND(ISNUMBER(H19),H19&gt;=0),H19,Constants!$B$29))</f>
        <v/>
      </c>
      <c r="AJ19" s="135" t="str">
        <f aca="false">IF(ISBLANK($C19),"",IF(I19=Constants!$B$3,TRUE(),IF(I19=Constants!$B$4,FALSE(),TRUE())))</f>
        <v/>
      </c>
      <c r="AK19" s="135" t="str">
        <f aca="false">IF(ISBLANK($C19),"",IF(J19=Constants!$B$3,TRUE(),IF(J19=Constants!$B$4,FALSE(),TRUE())))</f>
        <v/>
      </c>
      <c r="AL19" s="135" t="str">
        <f aca="false">IF(ISBLANK($C19),"",IF(K19=Constants!$B$5,TRUE(),IF(K19=Constants!$B$6,FALSE(),COUNTA(L19:P19)&gt;0)))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IF(ISBLANK($C19),"",IF(N19=Constants!$B$3,TRUE(),IF(N19=Constants!$B$4,FALSE(),TRUE())))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IF(ISBLANK($C19),"",IF(P19=Constants!$B$3,TRUE(),IF(P19=Constants!$B$4,FALSE(),FALSE())))</f>
        <v/>
      </c>
      <c r="AR19" s="135" t="str">
        <f aca="false">IF(ISBLANK($C19),"",IF(Q19=Constants!$B$3,TRUE(),IF(Q19=Constants!$B$4,FALSE(),TRUE())))</f>
        <v/>
      </c>
      <c r="AS19" s="135" t="str">
        <f aca="false">IF(ISBLANK($C19),"",IF(R19=Constants!$B$3,TRUE(),IF(R19=Constants!$B$4,FALSE(),TRUE())))</f>
        <v/>
      </c>
      <c r="AT19" s="135" t="str">
        <f aca="false">IF(ISBLANK($C19),"",IF(S19=Constants!$B$5,TRUE(),IF(S19=Constants!$B$6,FALSE(),COUNTA(T19:X19)&gt;0)))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IF(ISBLANK($C19),"",IF(V19=Constants!$B$3,TRUE(),IF(V19=Constants!$B$4,FALSE(),TRUE())))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IF(ISBLANK($C19),"",IF(X19=Constants!$B$3,TRUE(),IF(X19=Constants!$B$4,FALSE(),FALSE())))</f>
        <v/>
      </c>
      <c r="AZ19" s="135" t="str">
        <f aca="false">IF(ISBLANK($C19),"",MIN(Constants!$B$31,MAX(0,IF(ISNUMBER(Y19),Y19*60,0)+IF(ISNUMBER(Z19),Z19,0))))</f>
        <v/>
      </c>
      <c r="BA19" s="135" t="str">
        <f aca="false">IF(ISBLANK($C19),"",IF(AA19=Constants!$B$3,TRUE(),IF(AA19=Constants!$B$4,FALSE(),FALSE())))</f>
        <v/>
      </c>
      <c r="BB19" s="134" t="str">
        <f aca="false">IF(ISBLANK($C19),"",AND($AL19,OR($AM19="",$AN19="",AND($AO19,$AP19=""))))</f>
        <v/>
      </c>
      <c r="BC19" s="137" t="str">
        <f aca="false">IF($BZ19&lt;&gt;Constants!$B$8,"",IF($AL19,Constants!$B$21*$AN19+Constants!$B$22*IF($AO19,$AP19,Constants!$B$23),Constants!$B$24))</f>
        <v/>
      </c>
      <c r="BD19" s="138" t="str">
        <f aca="false">IF($BZ19&lt;&gt;Constants!$B$8,"",Constants!$B$25*ABS($AD$9-IF($AL19,$AM19,0)))</f>
        <v/>
      </c>
      <c r="BE19" s="138" t="str">
        <f aca="false">IF($BZ19&lt;&gt;Constants!$B$8,"",IF(AND($AL19,$AQ19,$AO19),Constants!$B$27,0))</f>
        <v/>
      </c>
      <c r="BF19" s="138" t="str">
        <f aca="false">IF($BZ19&lt;&gt;Constants!$B$8,"",IF($AL19,($AI19-Constants!$B$29)*Constants!$B$28,0))</f>
        <v/>
      </c>
      <c r="BG19" s="138" t="str">
        <f aca="false">IF($BZ19&lt;&gt;Constants!$B$8,"",IF($AK19,0,Constants!$B$15)+IF($AJ19,0,Constants!$B$16)+IF($AH19,0,Constants!$B$17))</f>
        <v/>
      </c>
      <c r="BH19" s="139" t="str">
        <f aca="false">IF($BZ19&lt;&gt;Constants!$B$8,"",Constants!$B$20+SUM($BC19:$BG19))</f>
        <v/>
      </c>
      <c r="BI19" s="138" t="str">
        <f aca="false">IF($BZ19&lt;&gt;Constants!$B$8,"",$BC19)</f>
        <v/>
      </c>
      <c r="BJ19" s="138" t="str">
        <f aca="false">IF($BZ19&lt;&gt;Constants!$B$8,"",$BD19)</f>
        <v/>
      </c>
      <c r="BK19" s="138" t="str">
        <f aca="false">IF($BZ19&lt;&gt;Constants!$B$8,"",IF($AL19,$AN19,""))</f>
        <v/>
      </c>
      <c r="BL19" s="140" t="str">
        <f aca="false">IF($BZ19&lt;&gt;Constants!$B$8,"",$AI19)</f>
        <v/>
      </c>
      <c r="BM19" s="135" t="str">
        <f aca="false">IF($BZ19&lt;&gt;Constants!$B$8,"",IF(OR($BT19&lt;$BH19,AND($BT19=$BH19,OR($BU19&lt;$BI19,AND($BU19=$BI19,OR($BV19&lt;$BJ19,AND($BV19=$BJ19,OR(AND(ISNUMBER($BW19),OR(NOT(ISNUMBER($BK19)),$BW19&lt;$BK19)),AND(OR(AND($BW19="",$BK19=""),AND(ISNUMBER($BW19),ISNUMBER($BK19),$BW19=$BK19)),$BX19&lt;$BL19)))))))),"-&gt;","&lt;-"))</f>
        <v/>
      </c>
      <c r="BN19" s="134" t="str">
        <f aca="false">IF(ISBLANK($C19),"",AND($AT19,OR($AU19="",$AV19="",AND($AW19,$AX19=""))))</f>
        <v/>
      </c>
      <c r="BO19" s="137" t="str">
        <f aca="false">IF($BZ19&lt;&gt;Constants!$B$8,"",IF($AT19,Constants!$B$21*$AV19+Constants!$B$22*IF($AW19,$AX19,Constants!$B$23),Constants!$B$24))</f>
        <v/>
      </c>
      <c r="BP19" s="138" t="str">
        <f aca="false">IF($BZ19&lt;&gt;Constants!$B$8,"",Constants!$B$25*ABS($AD$9-IF($AT19,$AU19,0)))</f>
        <v/>
      </c>
      <c r="BQ19" s="138" t="str">
        <f aca="false">IF($BZ19&lt;&gt;Constants!$B$8,"",IF(AND($AT19,$AY19,$AW19),Constants!$B$27,0))</f>
        <v/>
      </c>
      <c r="BR19" s="138" t="str">
        <f aca="false">IF($BZ19&lt;&gt;Constants!$B$8,"",IF($AT19,($AI19-Constants!$B$29)*Constants!$B$28,0))</f>
        <v/>
      </c>
      <c r="BS19" s="138" t="str">
        <f aca="false">IF($BZ19&lt;&gt;Constants!$B$8,"",IF($AS19,0,Constants!$B$15)+IF($AR19,0,Constants!$B$16)+IF($AH19,0,Constants!$B$17))</f>
        <v/>
      </c>
      <c r="BT19" s="139" t="str">
        <f aca="false">IF($BZ19&lt;&gt;Constants!$B$8,"",Constants!$B$20+SUM($BO19:$BS19))</f>
        <v/>
      </c>
      <c r="BU19" s="138" t="str">
        <f aca="false">IF($BZ19&lt;&gt;Constants!$B$8,"",$BO19)</f>
        <v/>
      </c>
      <c r="BV19" s="138" t="str">
        <f aca="false">IF($BZ19&lt;&gt;Constants!$B$8,"",$BP19)</f>
        <v/>
      </c>
      <c r="BW19" s="138" t="str">
        <f aca="false">IF($BZ19&lt;&gt;Constants!$B$8,"",IF($AT19,$AV19,""))</f>
        <v/>
      </c>
      <c r="BX19" s="140" t="str">
        <f aca="false">IF($BZ19&lt;&gt;Constants!$B$8,"",$AI19)</f>
        <v/>
      </c>
      <c r="BY19" s="135" t="str">
        <f aca="false">IF(ISBLANK($C19),"",IF(ISBLANK($D$7),$BY$5,IF(NOT(ISNUMBER($D$7)),$BY$6,"")))</f>
        <v/>
      </c>
      <c r="BZ19" s="135" t="str">
        <f aca="false">IF(ISBLANK($C19),"",IF($BA19,Constants!$B$11,IF(COUNTA($E19:$AA19)=0,Constants!$B$10,IF(NOT($AG19),Constants!$B$9,IF(OR($BY19&lt;&gt;"",$BB19,$BN19),Constants!$B$12,Constants!$B$8)))))</f>
        <v/>
      </c>
      <c r="CA19" s="135" t="str">
        <f aca="false">IF(ISBLANK($C19),"",IF($BZ19&lt;&gt;Constants!$B$8,$BZ19,Constants!$B$13))</f>
        <v/>
      </c>
      <c r="CB19" s="138" t="str">
        <f aca="false">IF($BZ19&lt;&gt;Constants!$B$8,"",IF($BM19="-&gt;",$BT19,$BH19))</f>
        <v/>
      </c>
      <c r="CC19" s="138" t="str">
        <f aca="false">IF($BZ19&lt;&gt;Constants!$B$8,"",IF($AF19,0,Constants!$B$18))</f>
        <v/>
      </c>
      <c r="CD19" s="138" t="str">
        <f aca="false">IF($BZ19&lt;&gt;Constants!$B$8,"",((Constants!$B$31-$AZ19)-Constants!$B$31)/Constants!$B$32)</f>
        <v/>
      </c>
      <c r="CE19" s="138" t="str">
        <f aca="false">IF(ISBLANK($C19),"",IF($BZ19&lt;&gt;Constants!$B$8,$BZ19,SUM($CB19:$CD19)))</f>
        <v/>
      </c>
      <c r="CF19" s="135" t="str">
        <f aca="false">IF(ISBLANK($C19),"",IF($BZ19&lt;&gt;Constants!$B$8,$BZ19,RANK($CE19,$CE$9:$CE$508,1)))</f>
        <v/>
      </c>
      <c r="CG19" s="138" t="str">
        <f aca="false">IF($BZ19&lt;&gt;Constants!$B$8,"",IF($BM19="-&gt;",$BU19,$BI19))</f>
        <v/>
      </c>
      <c r="CH19" s="135" t="str">
        <f aca="false">IF(ISBLANK($C19),"",IF($BZ19&lt;&gt;Constants!$B$8,$BZ19,IF(ISNUMBER($CG19),RANK($CG19,$CG$9:$CG$508,1),COUNT($CG$9:$CG$508)+1)))</f>
        <v/>
      </c>
      <c r="CI19" s="138" t="str">
        <f aca="false">IF($BZ19&lt;&gt;Constants!$B$8,"",IF($BM19="-&gt;",$BV19,$BJ19))</f>
        <v/>
      </c>
      <c r="CJ19" s="135" t="str">
        <f aca="false">IF(ISBLANK($C19),"",IF($BZ19&lt;&gt;Constants!$B$8,$BZ19,IF(ISNUMBER($CI19),RANK($CI19,$CI$9:$CI$508,1),COUNT($CI$9:$CI$508)+1)))</f>
        <v/>
      </c>
      <c r="CK19" s="138" t="str">
        <f aca="false">IF($BZ19&lt;&gt;Constants!$B$8,"",IF($BM19="-&gt;",$BW19,$BK19))</f>
        <v/>
      </c>
      <c r="CL19" s="135" t="str">
        <f aca="false">IF(ISBLANK($C19),"",IF($BZ19&lt;&gt;Constants!$B$8,$BZ19,IF(ISNUMBER($CK19),RANK($CK19,$CK$9:$CK$508,1),COUNT($CK$9:$CK$508)+1)))</f>
        <v/>
      </c>
      <c r="CM19" s="138" t="str">
        <f aca="false">IF($BZ19&lt;&gt;Constants!$B$8,"",IF(AND(NOT($AL19),NOT($AT19),$AJ19,$AK19,$AR19,$AS19),"",IF($BM19="-&gt;",$BX19,$BL19)))</f>
        <v/>
      </c>
      <c r="CN19" s="135" t="str">
        <f aca="false">IF(ISBLANK($C19),"",IF($BZ19&lt;&gt;Constants!$B$8,$BZ19,IF(ISNUMBER($CM19),RANK($CM19,$CM$9:$CM$508,1),COUNT($CM$9:$CM$508)+1)))</f>
        <v/>
      </c>
      <c r="CO19" s="135" t="str">
        <f aca="false">IF(ISBLANK($C19),"",IF($BZ19&lt;&gt;Constants!$B$8,$BZ19,COUNTIFS($CF$9:$CF$508,"&lt;"&amp;$CF19)+COUNTIFS($CF$9:$CF$508,$CF19,$CH$9:$CH$508,"&lt;"&amp;$CH19)+COUNTIFS($CF$9:$CF$508,$CF19,$CH$9:$CH$508,$CH19,$CJ$9:$CJ$508,"&lt;"&amp;$CJ19)+COUNTIFS($CF$9:$CF$508,$CF19,$CH$9:$CH$508,$CH19,$CJ$9:$CJ$508,$CJ19,$CL$9:$CL$508,"&lt;"&amp;$CL19)+COUNTIFS($CF$9:$CF$508,$CF19,$CH$9:$CH$508,$CH19,$CJ$9:$CJ$508,$CJ19,$CL$9:$CL$508,$CL19,$CN$9:$CN$508,"&lt;"&amp;$CN19)+1))</f>
        <v/>
      </c>
      <c r="CP19" s="135" t="str">
        <f aca="false">IF(ISBLANK($C19),"",IF($BZ19&lt;&gt;Constants!$B$8,$BZ19,$CF19-$CO19))</f>
        <v/>
      </c>
      <c r="CQ19" s="141"/>
      <c r="CR19" s="142"/>
      <c r="CS19" s="143" t="str">
        <f aca="false">IF(ISBLANK($C19),"",IF($BZ19=Constants!$B$12,$BY19,""))</f>
        <v/>
      </c>
      <c r="CT19" s="142" t="str">
        <f aca="false">IF(ISBLANK($C19),"",IF($BZ19&lt;&gt;Constants!$B$8,"",IF($BM19="-&gt;",2,1)))</f>
        <v/>
      </c>
      <c r="CU19" s="144" t="str">
        <f aca="false">IF(ISBLANK($C19),"",IF($BZ19&lt;&gt;Constants!$B$8,"",IF($BM19="-&gt;",$BO19,$BC19)))</f>
        <v/>
      </c>
      <c r="CV19" s="144" t="str">
        <f aca="false">IF(ISBLANK($C19),"",IF($BZ19&lt;&gt;Constants!$B$8,"",IF($BM19="-&gt;",$BP19,$BD19)))</f>
        <v/>
      </c>
      <c r="CW19" s="144" t="str">
        <f aca="false">IF(ISBLANK($C19),"",IF($BZ19&lt;&gt;Constants!$B$8,"",IF($BM19="-&gt;",$BQ19+$BR19,$BE19+$BF19)+$CD19))</f>
        <v/>
      </c>
      <c r="CX19" s="144" t="str">
        <f aca="false">IF(ISBLANK($C19),"",IF($BZ19&lt;&gt;Constants!$B$8,"",IF($BM19="-&gt;",$BS19,$BG19)+$CC19))</f>
        <v/>
      </c>
      <c r="CY19" s="145" t="str">
        <f aca="false">IF(ISBLANK($C19),"",IF($BZ19&lt;&gt;Constants!$B$8,$BZ19,$CE19))</f>
        <v/>
      </c>
      <c r="CZ19" s="146" t="str">
        <f aca="false">IF(ISBLANK($C19),"",$CA19)</f>
        <v/>
      </c>
      <c r="DA19" s="147" t="str">
        <f aca="false">IF(ISBLANK($C19),"",$CP19)</f>
        <v/>
      </c>
      <c r="DB19" s="147" t="str">
        <f aca="false">IF(ISBLANK($C19),"",$CO19)</f>
        <v/>
      </c>
      <c r="DC19" s="148" t="str">
        <f aca="false">IF(ISBLANK($C19),"",IFERROR(_xlfn.SWITCH($DB19,Constants!$B$11,COUNTA($C$9:$C$508)+2,Constants!$B$10,COUNTA($C$9:$C$508)+1,Constants!$B$9,COUNTA($C$9:$C$508)),$DB19))</f>
        <v/>
      </c>
      <c r="DD19" s="9"/>
      <c r="DE19" s="149" t="n">
        <f aca="false">IF(OR(ISNUMBER($DB19),$DB19=Constants!$B$11,$DB19=Constants!$B$9,$DB19=Constants!$B$10),1,0)</f>
        <v>0</v>
      </c>
      <c r="DF19" s="149" t="n">
        <v>11</v>
      </c>
      <c r="DG19" s="149" t="str">
        <f aca="false">IF(ISBLANK($C19),"",IF(ISNUMBER($DC19),$DC19+ROW($B19)/1000,""))</f>
        <v/>
      </c>
      <c r="DH19" s="149" t="str">
        <f aca="false">IF(ISNUMBER($DG19),RANK($DG19,$DG$9:$DG$508,1),"")</f>
        <v/>
      </c>
      <c r="DI19" s="149" t="str">
        <f aca="false">IF(ISBLANK($C19),"",$B19)</f>
        <v/>
      </c>
      <c r="DJ19" s="149" t="str">
        <f aca="false">IF(ISBLANK($C19),"",$C19)</f>
        <v/>
      </c>
      <c r="DK19" s="149" t="str">
        <f aca="false">IF(ISBLANK($C19),"",$D19)</f>
        <v/>
      </c>
      <c r="DL19" s="150" t="str">
        <f aca="false">$CZ19</f>
        <v/>
      </c>
      <c r="DM19" s="151" t="str">
        <f aca="false">$CY19</f>
        <v/>
      </c>
      <c r="DN19" s="149" t="str">
        <f aca="false">IF(ISBLANK($C19),"",$DB19)</f>
        <v/>
      </c>
      <c r="DO19" s="152" t="str">
        <f aca="false">IF($DF19&gt;$DE$8,"",VLOOKUP($DF19,$DH$9:$DN$508,7,FALSE()))</f>
        <v/>
      </c>
      <c r="DP19" s="153" t="str">
        <f aca="false">IF($DF19&gt;$DE$8,"",VLOOKUP($DF19,$DH$9:$DN$508,2,FALSE()))</f>
        <v/>
      </c>
      <c r="DQ19" s="153" t="str">
        <f aca="false">IF($DF19&gt;$DE$8,"",VLOOKUP($DF19,$DH$9:$DN$508,3,FALSE()))</f>
        <v/>
      </c>
      <c r="DR19" s="153" t="str">
        <f aca="false">IF($DF19&gt;$DE$8,"",VLOOKUP($DF19,$DH$9:$DN$508,4,FALSE()))</f>
        <v/>
      </c>
      <c r="DS19" s="153" t="str">
        <f aca="false">IF($DF19&gt;$DE$8,"",VLOOKUP($DF19,$DH$9:$DN$508,5,FALSE()))</f>
        <v/>
      </c>
      <c r="DT19" s="154" t="str">
        <f aca="false">IF($DF19&gt;$DE$8,"",VLOOKUP($DF19,$DH$9:$DN$508,6,FALSE()))</f>
        <v/>
      </c>
      <c r="DU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IF(ISBLANK($C20),"",IF(E20=Constants!$B$3,TRUE(),IF(E20=Constants!$B$4,FALSE(),TRUE())))</f>
        <v/>
      </c>
      <c r="AG20" s="135" t="str">
        <f aca="false">IF(ISBLANK($C20),"",IF(F20=Constants!$B$3,TRUE(),IF(F20=Constants!$B$4,FALSE(),TRUE())))</f>
        <v/>
      </c>
      <c r="AH20" s="135" t="str">
        <f aca="false">IF(ISBLANK($C20),"",IF(G20=Constants!$B$3,TRUE(),IF(G20=Constants!$B$4,FALSE(),TRUE())))</f>
        <v/>
      </c>
      <c r="AI20" s="135" t="str">
        <f aca="false">IF(ISBLANK($C20),"",IF(AND(ISNUMBER(H20),H20&gt;=0),H20,Constants!$B$29))</f>
        <v/>
      </c>
      <c r="AJ20" s="135" t="str">
        <f aca="false">IF(ISBLANK($C20),"",IF(I20=Constants!$B$3,TRUE(),IF(I20=Constants!$B$4,FALSE(),TRUE())))</f>
        <v/>
      </c>
      <c r="AK20" s="135" t="str">
        <f aca="false">IF(ISBLANK($C20),"",IF(J20=Constants!$B$3,TRUE(),IF(J20=Constants!$B$4,FALSE(),TRUE())))</f>
        <v/>
      </c>
      <c r="AL20" s="135" t="str">
        <f aca="false">IF(ISBLANK($C20),"",IF(K20=Constants!$B$5,TRUE(),IF(K20=Constants!$B$6,FALSE(),COUNTA(L20:P20)&gt;0)))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IF(ISBLANK($C20),"",IF(N20=Constants!$B$3,TRUE(),IF(N20=Constants!$B$4,FALSE(),TRUE())))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IF(ISBLANK($C20),"",IF(P20=Constants!$B$3,TRUE(),IF(P20=Constants!$B$4,FALSE(),FALSE())))</f>
        <v/>
      </c>
      <c r="AR20" s="135" t="str">
        <f aca="false">IF(ISBLANK($C20),"",IF(Q20=Constants!$B$3,TRUE(),IF(Q20=Constants!$B$4,FALSE(),TRUE())))</f>
        <v/>
      </c>
      <c r="AS20" s="135" t="str">
        <f aca="false">IF(ISBLANK($C20),"",IF(R20=Constants!$B$3,TRUE(),IF(R20=Constants!$B$4,FALSE(),TRUE())))</f>
        <v/>
      </c>
      <c r="AT20" s="135" t="str">
        <f aca="false">IF(ISBLANK($C20),"",IF(S20=Constants!$B$5,TRUE(),IF(S20=Constants!$B$6,FALSE(),COUNTA(T20:X20)&gt;0)))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IF(ISBLANK($C20),"",IF(V20=Constants!$B$3,TRUE(),IF(V20=Constants!$B$4,FALSE(),TRUE())))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IF(ISBLANK($C20),"",IF(X20=Constants!$B$3,TRUE(),IF(X20=Constants!$B$4,FALSE(),FALSE())))</f>
        <v/>
      </c>
      <c r="AZ20" s="135" t="str">
        <f aca="false">IF(ISBLANK($C20),"",MIN(Constants!$B$31,MAX(0,IF(ISNUMBER(Y20),Y20*60,0)+IF(ISNUMBER(Z20),Z20,0))))</f>
        <v/>
      </c>
      <c r="BA20" s="135" t="str">
        <f aca="false">IF(ISBLANK($C20),"",IF(AA20=Constants!$B$3,TRUE(),IF(AA20=Constants!$B$4,FALSE(),FALSE())))</f>
        <v/>
      </c>
      <c r="BB20" s="134" t="str">
        <f aca="false">IF(ISBLANK($C20),"",AND($AL20,OR($AM20="",$AN20="",AND($AO20,$AP20=""))))</f>
        <v/>
      </c>
      <c r="BC20" s="137" t="str">
        <f aca="false">IF($BZ20&lt;&gt;Constants!$B$8,"",IF($AL20,Constants!$B$21*$AN20+Constants!$B$22*IF($AO20,$AP20,Constants!$B$23),Constants!$B$24))</f>
        <v/>
      </c>
      <c r="BD20" s="138" t="str">
        <f aca="false">IF($BZ20&lt;&gt;Constants!$B$8,"",Constants!$B$25*ABS($AD$9-IF($AL20,$AM20,0)))</f>
        <v/>
      </c>
      <c r="BE20" s="138" t="str">
        <f aca="false">IF($BZ20&lt;&gt;Constants!$B$8,"",IF(AND($AL20,$AQ20,$AO20),Constants!$B$27,0))</f>
        <v/>
      </c>
      <c r="BF20" s="138" t="str">
        <f aca="false">IF($BZ20&lt;&gt;Constants!$B$8,"",IF($AL20,($AI20-Constants!$B$29)*Constants!$B$28,0))</f>
        <v/>
      </c>
      <c r="BG20" s="138" t="str">
        <f aca="false">IF($BZ20&lt;&gt;Constants!$B$8,"",IF($AK20,0,Constants!$B$15)+IF($AJ20,0,Constants!$B$16)+IF($AH20,0,Constants!$B$17))</f>
        <v/>
      </c>
      <c r="BH20" s="139" t="str">
        <f aca="false">IF($BZ20&lt;&gt;Constants!$B$8,"",Constants!$B$20+SUM($BC20:$BG20))</f>
        <v/>
      </c>
      <c r="BI20" s="138" t="str">
        <f aca="false">IF($BZ20&lt;&gt;Constants!$B$8,"",$BC20)</f>
        <v/>
      </c>
      <c r="BJ20" s="138" t="str">
        <f aca="false">IF($BZ20&lt;&gt;Constants!$B$8,"",$BD20)</f>
        <v/>
      </c>
      <c r="BK20" s="138" t="str">
        <f aca="false">IF($BZ20&lt;&gt;Constants!$B$8,"",IF($AL20,$AN20,""))</f>
        <v/>
      </c>
      <c r="BL20" s="140" t="str">
        <f aca="false">IF($BZ20&lt;&gt;Constants!$B$8,"",$AI20)</f>
        <v/>
      </c>
      <c r="BM20" s="135" t="str">
        <f aca="false">IF($BZ20&lt;&gt;Constants!$B$8,"",IF(OR($BT20&lt;$BH20,AND($BT20=$BH20,OR($BU20&lt;$BI20,AND($BU20=$BI20,OR($BV20&lt;$BJ20,AND($BV20=$BJ20,OR(AND(ISNUMBER($BW20),OR(NOT(ISNUMBER($BK20)),$BW20&lt;$BK20)),AND(OR(AND($BW20="",$BK20=""),AND(ISNUMBER($BW20),ISNUMBER($BK20),$BW20=$BK20)),$BX20&lt;$BL20)))))))),"-&gt;","&lt;-"))</f>
        <v/>
      </c>
      <c r="BN20" s="134" t="str">
        <f aca="false">IF(ISBLANK($C20),"",AND($AT20,OR($AU20="",$AV20="",AND($AW20,$AX20=""))))</f>
        <v/>
      </c>
      <c r="BO20" s="137" t="str">
        <f aca="false">IF($BZ20&lt;&gt;Constants!$B$8,"",IF($AT20,Constants!$B$21*$AV20+Constants!$B$22*IF($AW20,$AX20,Constants!$B$23),Constants!$B$24))</f>
        <v/>
      </c>
      <c r="BP20" s="138" t="str">
        <f aca="false">IF($BZ20&lt;&gt;Constants!$B$8,"",Constants!$B$25*ABS($AD$9-IF($AT20,$AU20,0)))</f>
        <v/>
      </c>
      <c r="BQ20" s="138" t="str">
        <f aca="false">IF($BZ20&lt;&gt;Constants!$B$8,"",IF(AND($AT20,$AY20,$AW20),Constants!$B$27,0))</f>
        <v/>
      </c>
      <c r="BR20" s="138" t="str">
        <f aca="false">IF($BZ20&lt;&gt;Constants!$B$8,"",IF($AT20,($AI20-Constants!$B$29)*Constants!$B$28,0))</f>
        <v/>
      </c>
      <c r="BS20" s="138" t="str">
        <f aca="false">IF($BZ20&lt;&gt;Constants!$B$8,"",IF($AS20,0,Constants!$B$15)+IF($AR20,0,Constants!$B$16)+IF($AH20,0,Constants!$B$17))</f>
        <v/>
      </c>
      <c r="BT20" s="139" t="str">
        <f aca="false">IF($BZ20&lt;&gt;Constants!$B$8,"",Constants!$B$20+SUM($BO20:$BS20))</f>
        <v/>
      </c>
      <c r="BU20" s="138" t="str">
        <f aca="false">IF($BZ20&lt;&gt;Constants!$B$8,"",$BO20)</f>
        <v/>
      </c>
      <c r="BV20" s="138" t="str">
        <f aca="false">IF($BZ20&lt;&gt;Constants!$B$8,"",$BP20)</f>
        <v/>
      </c>
      <c r="BW20" s="138" t="str">
        <f aca="false">IF($BZ20&lt;&gt;Constants!$B$8,"",IF($AT20,$AV20,""))</f>
        <v/>
      </c>
      <c r="BX20" s="140" t="str">
        <f aca="false">IF($BZ20&lt;&gt;Constants!$B$8,"",$AI20)</f>
        <v/>
      </c>
      <c r="BY20" s="135" t="str">
        <f aca="false">IF(ISBLANK($C20),"",IF(ISBLANK($D$7),$BY$5,IF(NOT(ISNUMBER($D$7)),$BY$6,"")))</f>
        <v/>
      </c>
      <c r="BZ20" s="135" t="str">
        <f aca="false">IF(ISBLANK($C20),"",IF($BA20,Constants!$B$11,IF(COUNTA($E20:$AA20)=0,Constants!$B$10,IF(NOT($AG20),Constants!$B$9,IF(OR($BY20&lt;&gt;"",$BB20,$BN20),Constants!$B$12,Constants!$B$8)))))</f>
        <v/>
      </c>
      <c r="CA20" s="135" t="str">
        <f aca="false">IF(ISBLANK($C20),"",IF($BZ20&lt;&gt;Constants!$B$8,$BZ20,Constants!$B$13))</f>
        <v/>
      </c>
      <c r="CB20" s="138" t="str">
        <f aca="false">IF($BZ20&lt;&gt;Constants!$B$8,"",IF($BM20="-&gt;",$BT20,$BH20))</f>
        <v/>
      </c>
      <c r="CC20" s="138" t="str">
        <f aca="false">IF($BZ20&lt;&gt;Constants!$B$8,"",IF($AF20,0,Constants!$B$18))</f>
        <v/>
      </c>
      <c r="CD20" s="138" t="str">
        <f aca="false">IF($BZ20&lt;&gt;Constants!$B$8,"",((Constants!$B$31-$AZ20)-Constants!$B$31)/Constants!$B$32)</f>
        <v/>
      </c>
      <c r="CE20" s="138" t="str">
        <f aca="false">IF(ISBLANK($C20),"",IF($BZ20&lt;&gt;Constants!$B$8,$BZ20,SUM($CB20:$CD20)))</f>
        <v/>
      </c>
      <c r="CF20" s="135" t="str">
        <f aca="false">IF(ISBLANK($C20),"",IF($BZ20&lt;&gt;Constants!$B$8,$BZ20,RANK($CE20,$CE$9:$CE$508,1)))</f>
        <v/>
      </c>
      <c r="CG20" s="138" t="str">
        <f aca="false">IF($BZ20&lt;&gt;Constants!$B$8,"",IF($BM20="-&gt;",$BU20,$BI20))</f>
        <v/>
      </c>
      <c r="CH20" s="135" t="str">
        <f aca="false">IF(ISBLANK($C20),"",IF($BZ20&lt;&gt;Constants!$B$8,$BZ20,IF(ISNUMBER($CG20),RANK($CG20,$CG$9:$CG$508,1),COUNT($CG$9:$CG$508)+1)))</f>
        <v/>
      </c>
      <c r="CI20" s="138" t="str">
        <f aca="false">IF($BZ20&lt;&gt;Constants!$B$8,"",IF($BM20="-&gt;",$BV20,$BJ20))</f>
        <v/>
      </c>
      <c r="CJ20" s="135" t="str">
        <f aca="false">IF(ISBLANK($C20),"",IF($BZ20&lt;&gt;Constants!$B$8,$BZ20,IF(ISNUMBER($CI20),RANK($CI20,$CI$9:$CI$508,1),COUNT($CI$9:$CI$508)+1)))</f>
        <v/>
      </c>
      <c r="CK20" s="138" t="str">
        <f aca="false">IF($BZ20&lt;&gt;Constants!$B$8,"",IF($BM20="-&gt;",$BW20,$BK20))</f>
        <v/>
      </c>
      <c r="CL20" s="135" t="str">
        <f aca="false">IF(ISBLANK($C20),"",IF($BZ20&lt;&gt;Constants!$B$8,$BZ20,IF(ISNUMBER($CK20),RANK($CK20,$CK$9:$CK$508,1),COUNT($CK$9:$CK$508)+1)))</f>
        <v/>
      </c>
      <c r="CM20" s="138" t="str">
        <f aca="false">IF($BZ20&lt;&gt;Constants!$B$8,"",IF(AND(NOT($AL20),NOT($AT20),$AJ20,$AK20,$AR20,$AS20),"",IF($BM20="-&gt;",$BX20,$BL20)))</f>
        <v/>
      </c>
      <c r="CN20" s="135" t="str">
        <f aca="false">IF(ISBLANK($C20),"",IF($BZ20&lt;&gt;Constants!$B$8,$BZ20,IF(ISNUMBER($CM20),RANK($CM20,$CM$9:$CM$508,1),COUNT($CM$9:$CM$508)+1)))</f>
        <v/>
      </c>
      <c r="CO20" s="135" t="str">
        <f aca="false">IF(ISBLANK($C20),"",IF($BZ20&lt;&gt;Constants!$B$8,$BZ20,COUNTIFS($CF$9:$CF$508,"&lt;"&amp;$CF20)+COUNTIFS($CF$9:$CF$508,$CF20,$CH$9:$CH$508,"&lt;"&amp;$CH20)+COUNTIFS($CF$9:$CF$508,$CF20,$CH$9:$CH$508,$CH20,$CJ$9:$CJ$508,"&lt;"&amp;$CJ20)+COUNTIFS($CF$9:$CF$508,$CF20,$CH$9:$CH$508,$CH20,$CJ$9:$CJ$508,$CJ20,$CL$9:$CL$508,"&lt;"&amp;$CL20)+COUNTIFS($CF$9:$CF$508,$CF20,$CH$9:$CH$508,$CH20,$CJ$9:$CJ$508,$CJ20,$CL$9:$CL$508,$CL20,$CN$9:$CN$508,"&lt;"&amp;$CN20)+1))</f>
        <v/>
      </c>
      <c r="CP20" s="135" t="str">
        <f aca="false">IF(ISBLANK($C20),"",IF($BZ20&lt;&gt;Constants!$B$8,$BZ20,$CF20-$CO20))</f>
        <v/>
      </c>
      <c r="CQ20" s="141"/>
      <c r="CR20" s="142"/>
      <c r="CS20" s="143" t="str">
        <f aca="false">IF(ISBLANK($C20),"",IF($BZ20=Constants!$B$12,$BY20,""))</f>
        <v/>
      </c>
      <c r="CT20" s="142" t="str">
        <f aca="false">IF(ISBLANK($C20),"",IF($BZ20&lt;&gt;Constants!$B$8,"",IF($BM20="-&gt;",2,1)))</f>
        <v/>
      </c>
      <c r="CU20" s="144" t="str">
        <f aca="false">IF(ISBLANK($C20),"",IF($BZ20&lt;&gt;Constants!$B$8,"",IF($BM20="-&gt;",$BO20,$BC20)))</f>
        <v/>
      </c>
      <c r="CV20" s="144" t="str">
        <f aca="false">IF(ISBLANK($C20),"",IF($BZ20&lt;&gt;Constants!$B$8,"",IF($BM20="-&gt;",$BP20,$BD20)))</f>
        <v/>
      </c>
      <c r="CW20" s="144" t="str">
        <f aca="false">IF(ISBLANK($C20),"",IF($BZ20&lt;&gt;Constants!$B$8,"",IF($BM20="-&gt;",$BQ20+$BR20,$BE20+$BF20)+$CD20))</f>
        <v/>
      </c>
      <c r="CX20" s="144" t="str">
        <f aca="false">IF(ISBLANK($C20),"",IF($BZ20&lt;&gt;Constants!$B$8,"",IF($BM20="-&gt;",$BS20,$BG20)+$CC20))</f>
        <v/>
      </c>
      <c r="CY20" s="145" t="str">
        <f aca="false">IF(ISBLANK($C20),"",IF($BZ20&lt;&gt;Constants!$B$8,$BZ20,$CE20))</f>
        <v/>
      </c>
      <c r="CZ20" s="146" t="str">
        <f aca="false">IF(ISBLANK($C20),"",$CA20)</f>
        <v/>
      </c>
      <c r="DA20" s="147" t="str">
        <f aca="false">IF(ISBLANK($C20),"",$CP20)</f>
        <v/>
      </c>
      <c r="DB20" s="147" t="str">
        <f aca="false">IF(ISBLANK($C20),"",$CO20)</f>
        <v/>
      </c>
      <c r="DC20" s="148" t="str">
        <f aca="false">IF(ISBLANK($C20),"",IFERROR(_xlfn.SWITCH($DB20,Constants!$B$11,COUNTA($C$9:$C$508)+2,Constants!$B$10,COUNTA($C$9:$C$508)+1,Constants!$B$9,COUNTA($C$9:$C$508)),$DB20))</f>
        <v/>
      </c>
      <c r="DD20" s="9"/>
      <c r="DE20" s="149" t="n">
        <f aca="false">IF(OR(ISNUMBER($DB20),$DB20=Constants!$B$11,$DB20=Constants!$B$9,$DB20=Constants!$B$10),1,0)</f>
        <v>0</v>
      </c>
      <c r="DF20" s="149" t="n">
        <v>12</v>
      </c>
      <c r="DG20" s="149" t="str">
        <f aca="false">IF(ISBLANK($C20),"",IF(ISNUMBER($DC20),$DC20+ROW($B20)/1000,""))</f>
        <v/>
      </c>
      <c r="DH20" s="149" t="str">
        <f aca="false">IF(ISNUMBER($DG20),RANK($DG20,$DG$9:$DG$508,1),"")</f>
        <v/>
      </c>
      <c r="DI20" s="149" t="str">
        <f aca="false">IF(ISBLANK($C20),"",$B20)</f>
        <v/>
      </c>
      <c r="DJ20" s="149" t="str">
        <f aca="false">IF(ISBLANK($C20),"",$C20)</f>
        <v/>
      </c>
      <c r="DK20" s="149" t="str">
        <f aca="false">IF(ISBLANK($C20),"",$D20)</f>
        <v/>
      </c>
      <c r="DL20" s="150" t="str">
        <f aca="false">$CZ20</f>
        <v/>
      </c>
      <c r="DM20" s="151" t="str">
        <f aca="false">$CY20</f>
        <v/>
      </c>
      <c r="DN20" s="149" t="str">
        <f aca="false">IF(ISBLANK($C20),"",$DB20)</f>
        <v/>
      </c>
      <c r="DO20" s="152" t="str">
        <f aca="false">IF($DF20&gt;$DE$8,"",VLOOKUP($DF20,$DH$9:$DN$508,7,FALSE()))</f>
        <v/>
      </c>
      <c r="DP20" s="153" t="str">
        <f aca="false">IF($DF20&gt;$DE$8,"",VLOOKUP($DF20,$DH$9:$DN$508,2,FALSE()))</f>
        <v/>
      </c>
      <c r="DQ20" s="153" t="str">
        <f aca="false">IF($DF20&gt;$DE$8,"",VLOOKUP($DF20,$DH$9:$DN$508,3,FALSE()))</f>
        <v/>
      </c>
      <c r="DR20" s="153" t="str">
        <f aca="false">IF($DF20&gt;$DE$8,"",VLOOKUP($DF20,$DH$9:$DN$508,4,FALSE()))</f>
        <v/>
      </c>
      <c r="DS20" s="153" t="str">
        <f aca="false">IF($DF20&gt;$DE$8,"",VLOOKUP($DF20,$DH$9:$DN$508,5,FALSE()))</f>
        <v/>
      </c>
      <c r="DT20" s="154" t="str">
        <f aca="false">IF($DF20&gt;$DE$8,"",VLOOKUP($DF20,$DH$9:$DN$508,6,FALSE()))</f>
        <v/>
      </c>
      <c r="DU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IF(ISBLANK($C21),"",IF(E21=Constants!$B$3,TRUE(),IF(E21=Constants!$B$4,FALSE(),TRUE())))</f>
        <v/>
      </c>
      <c r="AG21" s="93" t="str">
        <f aca="false">IF(ISBLANK($C21),"",IF(F21=Constants!$B$3,TRUE(),IF(F21=Constants!$B$4,FALSE(),TRUE())))</f>
        <v/>
      </c>
      <c r="AH21" s="93" t="str">
        <f aca="false">IF(ISBLANK($C21),"",IF(G21=Constants!$B$3,TRUE(),IF(G21=Constants!$B$4,FALSE(),TRUE())))</f>
        <v/>
      </c>
      <c r="AI21" s="93" t="str">
        <f aca="false">IF(ISBLANK($C21),"",IF(AND(ISNUMBER(H21),H21&gt;=0),H21,Constants!$B$29))</f>
        <v/>
      </c>
      <c r="AJ21" s="93" t="str">
        <f aca="false">IF(ISBLANK($C21),"",IF(I21=Constants!$B$3,TRUE(),IF(I21=Constants!$B$4,FALSE(),TRUE())))</f>
        <v/>
      </c>
      <c r="AK21" s="93" t="str">
        <f aca="false">IF(ISBLANK($C21),"",IF(J21=Constants!$B$3,TRUE(),IF(J21=Constants!$B$4,FALSE(),TRUE())))</f>
        <v/>
      </c>
      <c r="AL21" s="93" t="str">
        <f aca="false">IF(ISBLANK($C21),"",IF(K21=Constants!$B$5,TRUE(),IF(K21=Constants!$B$6,FALSE(),COUNTA(L21:P21)&gt;0)))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IF(ISBLANK($C21),"",IF(N21=Constants!$B$3,TRUE(),IF(N21=Constants!$B$4,FALSE(),TRUE())))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IF(ISBLANK($C21),"",IF(P21=Constants!$B$3,TRUE(),IF(P21=Constants!$B$4,FALSE(),FALSE())))</f>
        <v/>
      </c>
      <c r="AR21" s="93" t="str">
        <f aca="false">IF(ISBLANK($C21),"",IF(Q21=Constants!$B$3,TRUE(),IF(Q21=Constants!$B$4,FALSE(),TRUE())))</f>
        <v/>
      </c>
      <c r="AS21" s="93" t="str">
        <f aca="false">IF(ISBLANK($C21),"",IF(R21=Constants!$B$3,TRUE(),IF(R21=Constants!$B$4,FALSE(),TRUE())))</f>
        <v/>
      </c>
      <c r="AT21" s="93" t="str">
        <f aca="false">IF(ISBLANK($C21),"",IF(S21=Constants!$B$5,TRUE(),IF(S21=Constants!$B$6,FALSE(),COUNTA(T21:X21)&gt;0)))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IF(ISBLANK($C21),"",IF(V21=Constants!$B$3,TRUE(),IF(V21=Constants!$B$4,FALSE(),TRUE())))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IF(ISBLANK($C21),"",IF(X21=Constants!$B$3,TRUE(),IF(X21=Constants!$B$4,FALSE(),FALSE())))</f>
        <v/>
      </c>
      <c r="AZ21" s="93" t="str">
        <f aca="false">IF(ISBLANK($C21),"",MIN(Constants!$B$31,MAX(0,IF(ISNUMBER(Y21),Y21*60,0)+IF(ISNUMBER(Z21),Z21,0))))</f>
        <v/>
      </c>
      <c r="BA21" s="93" t="str">
        <f aca="false">IF(ISBLANK($C21),"",IF(AA21=Constants!$B$3,TRUE(),IF(AA21=Constants!$B$4,FALSE(),FALSE())))</f>
        <v/>
      </c>
      <c r="BB21" s="92" t="str">
        <f aca="false">IF(ISBLANK($C21),"",AND($AL21,OR($AM21="",$AN21="",AND($AO21,$AP21=""))))</f>
        <v/>
      </c>
      <c r="BC21" s="94" t="str">
        <f aca="false">IF($BZ21&lt;&gt;Constants!$B$8,"",IF($AL21,Constants!$B$21*$AN21+Constants!$B$22*IF($AO21,$AP21,Constants!$B$23),Constants!$B$24))</f>
        <v/>
      </c>
      <c r="BD21" s="97" t="str">
        <f aca="false">IF($BZ21&lt;&gt;Constants!$B$8,"",Constants!$B$25*ABS($AD$9-IF($AL21,$AM21,0)))</f>
        <v/>
      </c>
      <c r="BE21" s="97" t="str">
        <f aca="false">IF($BZ21&lt;&gt;Constants!$B$8,"",IF(AND($AL21,$AQ21,$AO21),Constants!$B$27,0))</f>
        <v/>
      </c>
      <c r="BF21" s="97" t="str">
        <f aca="false">IF($BZ21&lt;&gt;Constants!$B$8,"",IF($AL21,($AI21-Constants!$B$29)*Constants!$B$28,0))</f>
        <v/>
      </c>
      <c r="BG21" s="97" t="str">
        <f aca="false">IF($BZ21&lt;&gt;Constants!$B$8,"",IF($AK21,0,Constants!$B$15)+IF($AJ21,0,Constants!$B$16)+IF($AH21,0,Constants!$B$17))</f>
        <v/>
      </c>
      <c r="BH21" s="98" t="str">
        <f aca="false">IF($BZ21&lt;&gt;Constants!$B$8,"",Constants!$B$20+SUM($BC21:$BG21))</f>
        <v/>
      </c>
      <c r="BI21" s="97" t="str">
        <f aca="false">IF($BZ21&lt;&gt;Constants!$B$8,"",$BC21)</f>
        <v/>
      </c>
      <c r="BJ21" s="97" t="str">
        <f aca="false">IF($BZ21&lt;&gt;Constants!$B$8,"",$BD21)</f>
        <v/>
      </c>
      <c r="BK21" s="97" t="str">
        <f aca="false">IF($BZ21&lt;&gt;Constants!$B$8,"",IF($AL21,$AN21,""))</f>
        <v/>
      </c>
      <c r="BL21" s="99" t="str">
        <f aca="false">IF($BZ21&lt;&gt;Constants!$B$8,"",$AI21)</f>
        <v/>
      </c>
      <c r="BM21" s="93" t="str">
        <f aca="false">IF($BZ21&lt;&gt;Constants!$B$8,"",IF(OR($BT21&lt;$BH21,AND($BT21=$BH21,OR($BU21&lt;$BI21,AND($BU21=$BI21,OR($BV21&lt;$BJ21,AND($BV21=$BJ21,OR(AND(ISNUMBER($BW21),OR(NOT(ISNUMBER($BK21)),$BW21&lt;$BK21)),AND(OR(AND($BW21="",$BK21=""),AND(ISNUMBER($BW21),ISNUMBER($BK21),$BW21=$BK21)),$BX21&lt;$BL21)))))))),"-&gt;","&lt;-"))</f>
        <v/>
      </c>
      <c r="BN21" s="92" t="str">
        <f aca="false">IF(ISBLANK($C21),"",AND($AT21,OR($AU21="",$AV21="",AND($AW21,$AX21=""))))</f>
        <v/>
      </c>
      <c r="BO21" s="94" t="str">
        <f aca="false">IF($BZ21&lt;&gt;Constants!$B$8,"",IF($AT21,Constants!$B$21*$AV21+Constants!$B$22*IF($AW21,$AX21,Constants!$B$23),Constants!$B$24))</f>
        <v/>
      </c>
      <c r="BP21" s="97" t="str">
        <f aca="false">IF($BZ21&lt;&gt;Constants!$B$8,"",Constants!$B$25*ABS($AD$9-IF($AT21,$AU21,0)))</f>
        <v/>
      </c>
      <c r="BQ21" s="97" t="str">
        <f aca="false">IF($BZ21&lt;&gt;Constants!$B$8,"",IF(AND($AT21,$AY21,$AW21),Constants!$B$27,0))</f>
        <v/>
      </c>
      <c r="BR21" s="97" t="str">
        <f aca="false">IF($BZ21&lt;&gt;Constants!$B$8,"",IF($AT21,($AI21-Constants!$B$29)*Constants!$B$28,0))</f>
        <v/>
      </c>
      <c r="BS21" s="97" t="str">
        <f aca="false">IF($BZ21&lt;&gt;Constants!$B$8,"",IF($AS21,0,Constants!$B$15)+IF($AR21,0,Constants!$B$16)+IF($AH21,0,Constants!$B$17))</f>
        <v/>
      </c>
      <c r="BT21" s="98" t="str">
        <f aca="false">IF($BZ21&lt;&gt;Constants!$B$8,"",Constants!$B$20+SUM($BO21:$BS21))</f>
        <v/>
      </c>
      <c r="BU21" s="97" t="str">
        <f aca="false">IF($BZ21&lt;&gt;Constants!$B$8,"",$BO21)</f>
        <v/>
      </c>
      <c r="BV21" s="97" t="str">
        <f aca="false">IF($BZ21&lt;&gt;Constants!$B$8,"",$BP21)</f>
        <v/>
      </c>
      <c r="BW21" s="97" t="str">
        <f aca="false">IF($BZ21&lt;&gt;Constants!$B$8,"",IF($AT21,$AV21,""))</f>
        <v/>
      </c>
      <c r="BX21" s="99" t="str">
        <f aca="false">IF($BZ21&lt;&gt;Constants!$B$8,"",$AI21)</f>
        <v/>
      </c>
      <c r="BY21" s="93" t="str">
        <f aca="false">IF(ISBLANK($C21),"",IF(ISBLANK($D$7),$BY$5,IF(NOT(ISNUMBER($D$7)),$BY$6,"")))</f>
        <v/>
      </c>
      <c r="BZ21" s="93" t="str">
        <f aca="false">IF(ISBLANK($C21),"",IF($BA21,Constants!$B$11,IF(COUNTA($E21:$AA21)=0,Constants!$B$10,IF(NOT($AG21),Constants!$B$9,IF(OR($BY21&lt;&gt;"",$BB21,$BN21),Constants!$B$12,Constants!$B$8)))))</f>
        <v/>
      </c>
      <c r="CA21" s="93" t="str">
        <f aca="false">IF(ISBLANK($C21),"",IF($BZ21&lt;&gt;Constants!$B$8,$BZ21,Constants!$B$13))</f>
        <v/>
      </c>
      <c r="CB21" s="97" t="str">
        <f aca="false">IF($BZ21&lt;&gt;Constants!$B$8,"",IF($BM21="-&gt;",$BT21,$BH21))</f>
        <v/>
      </c>
      <c r="CC21" s="97" t="str">
        <f aca="false">IF($BZ21&lt;&gt;Constants!$B$8,"",IF($AF21,0,Constants!$B$18))</f>
        <v/>
      </c>
      <c r="CD21" s="97" t="str">
        <f aca="false">IF($BZ21&lt;&gt;Constants!$B$8,"",((Constants!$B$31-$AZ21)-Constants!$B$31)/Constants!$B$32)</f>
        <v/>
      </c>
      <c r="CE21" s="97" t="str">
        <f aca="false">IF(ISBLANK($C21),"",IF($BZ21&lt;&gt;Constants!$B$8,$BZ21,SUM($CB21:$CD21)))</f>
        <v/>
      </c>
      <c r="CF21" s="93" t="str">
        <f aca="false">IF(ISBLANK($C21),"",IF($BZ21&lt;&gt;Constants!$B$8,$BZ21,RANK($CE21,$CE$9:$CE$508,1)))</f>
        <v/>
      </c>
      <c r="CG21" s="97" t="str">
        <f aca="false">IF($BZ21&lt;&gt;Constants!$B$8,"",IF($BM21="-&gt;",$BU21,$BI21))</f>
        <v/>
      </c>
      <c r="CH21" s="93" t="str">
        <f aca="false">IF(ISBLANK($C21),"",IF($BZ21&lt;&gt;Constants!$B$8,$BZ21,IF(ISNUMBER($CG21),RANK($CG21,$CG$9:$CG$508,1),COUNT($CG$9:$CG$508)+1)))</f>
        <v/>
      </c>
      <c r="CI21" s="97" t="str">
        <f aca="false">IF($BZ21&lt;&gt;Constants!$B$8,"",IF($BM21="-&gt;",$BV21,$BJ21))</f>
        <v/>
      </c>
      <c r="CJ21" s="93" t="str">
        <f aca="false">IF(ISBLANK($C21),"",IF($BZ21&lt;&gt;Constants!$B$8,$BZ21,IF(ISNUMBER($CI21),RANK($CI21,$CI$9:$CI$508,1),COUNT($CI$9:$CI$508)+1)))</f>
        <v/>
      </c>
      <c r="CK21" s="97" t="str">
        <f aca="false">IF($BZ21&lt;&gt;Constants!$B$8,"",IF($BM21="-&gt;",$BW21,$BK21))</f>
        <v/>
      </c>
      <c r="CL21" s="93" t="str">
        <f aca="false">IF(ISBLANK($C21),"",IF($BZ21&lt;&gt;Constants!$B$8,$BZ21,IF(ISNUMBER($CK21),RANK($CK21,$CK$9:$CK$508,1),COUNT($CK$9:$CK$508)+1)))</f>
        <v/>
      </c>
      <c r="CM21" s="97" t="str">
        <f aca="false">IF($BZ21&lt;&gt;Constants!$B$8,"",IF(AND(NOT($AL21),NOT($AT21),$AJ21,$AK21,$AR21,$AS21),"",IF($BM21="-&gt;",$BX21,$BL21)))</f>
        <v/>
      </c>
      <c r="CN21" s="93" t="str">
        <f aca="false">IF(ISBLANK($C21),"",IF($BZ21&lt;&gt;Constants!$B$8,$BZ21,IF(ISNUMBER($CM21),RANK($CM21,$CM$9:$CM$508,1),COUNT($CM$9:$CM$508)+1)))</f>
        <v/>
      </c>
      <c r="CO21" s="93" t="str">
        <f aca="false">IF(ISBLANK($C21),"",IF($BZ21&lt;&gt;Constants!$B$8,$BZ21,COUNTIFS($CF$9:$CF$508,"&lt;"&amp;$CF21)+COUNTIFS($CF$9:$CF$508,$CF21,$CH$9:$CH$508,"&lt;"&amp;$CH21)+COUNTIFS($CF$9:$CF$508,$CF21,$CH$9:$CH$508,$CH21,$CJ$9:$CJ$508,"&lt;"&amp;$CJ21)+COUNTIFS($CF$9:$CF$508,$CF21,$CH$9:$CH$508,$CH21,$CJ$9:$CJ$508,$CJ21,$CL$9:$CL$508,"&lt;"&amp;$CL21)+COUNTIFS($CF$9:$CF$508,$CF21,$CH$9:$CH$508,$CH21,$CJ$9:$CJ$508,$CJ21,$CL$9:$CL$508,$CL21,$CN$9:$CN$508,"&lt;"&amp;$CN21)+1))</f>
        <v/>
      </c>
      <c r="CP21" s="93" t="str">
        <f aca="false">IF(ISBLANK($C21),"",IF($BZ21&lt;&gt;Constants!$B$8,$BZ21,$CF21-$CO21))</f>
        <v/>
      </c>
      <c r="CQ21" s="100"/>
      <c r="CR21" s="101"/>
      <c r="CS21" s="102" t="str">
        <f aca="false">IF(ISBLANK($C21),"",IF($BZ21=Constants!$B$12,$BY21,""))</f>
        <v/>
      </c>
      <c r="CT21" s="101" t="str">
        <f aca="false">IF(ISBLANK($C21),"",IF($BZ21&lt;&gt;Constants!$B$8,"",IF($BM21="-&gt;",2,1)))</f>
        <v/>
      </c>
      <c r="CU21" s="103" t="str">
        <f aca="false">IF(ISBLANK($C21),"",IF($BZ21&lt;&gt;Constants!$B$8,"",IF($BM21="-&gt;",$BO21,$BC21)))</f>
        <v/>
      </c>
      <c r="CV21" s="103" t="str">
        <f aca="false">IF(ISBLANK($C21),"",IF($BZ21&lt;&gt;Constants!$B$8,"",IF($BM21="-&gt;",$BP21,$BD21)))</f>
        <v/>
      </c>
      <c r="CW21" s="103" t="str">
        <f aca="false">IF(ISBLANK($C21),"",IF($BZ21&lt;&gt;Constants!$B$8,"",IF($BM21="-&gt;",$BQ21+$BR21,$BE21+$BF21)+$CD21))</f>
        <v/>
      </c>
      <c r="CX21" s="103" t="str">
        <f aca="false">IF(ISBLANK($C21),"",IF($BZ21&lt;&gt;Constants!$B$8,"",IF($BM21="-&gt;",$BS21,$BG21)+$CC21))</f>
        <v/>
      </c>
      <c r="CY21" s="104" t="str">
        <f aca="false">IF(ISBLANK($C21),"",IF($BZ21&lt;&gt;Constants!$B$8,$BZ21,$CE21))</f>
        <v/>
      </c>
      <c r="CZ21" s="105" t="str">
        <f aca="false">IF(ISBLANK($C21),"",$CA21)</f>
        <v/>
      </c>
      <c r="DA21" s="106" t="str">
        <f aca="false">IF(ISBLANK($C21),"",$CP21)</f>
        <v/>
      </c>
      <c r="DB21" s="106" t="str">
        <f aca="false">IF(ISBLANK($C21),"",$CO21)</f>
        <v/>
      </c>
      <c r="DC21" s="107" t="str">
        <f aca="false">IF(ISBLANK($C21),"",IFERROR(_xlfn.SWITCH($DB21,Constants!$B$11,COUNTA($C$9:$C$508)+2,Constants!$B$10,COUNTA($C$9:$C$508)+1,Constants!$B$9,COUNTA($C$9:$C$508)),$DB21))</f>
        <v/>
      </c>
      <c r="DD21" s="9"/>
      <c r="DE21" s="108" t="n">
        <f aca="false">IF(OR(ISNUMBER($DB21),$DB21=Constants!$B$11,$DB21=Constants!$B$9,$DB21=Constants!$B$10),1,0)</f>
        <v>0</v>
      </c>
      <c r="DF21" s="108" t="n">
        <v>13</v>
      </c>
      <c r="DG21" s="108" t="str">
        <f aca="false">IF(ISBLANK($C21),"",IF(ISNUMBER($DC21),$DC21+ROW($B21)/1000,""))</f>
        <v/>
      </c>
      <c r="DH21" s="108" t="str">
        <f aca="false">IF(ISNUMBER($DG21),RANK($DG21,$DG$9:$DG$508,1),"")</f>
        <v/>
      </c>
      <c r="DI21" s="108" t="str">
        <f aca="false">IF(ISBLANK($C21),"",$B21)</f>
        <v/>
      </c>
      <c r="DJ21" s="108" t="str">
        <f aca="false">IF(ISBLANK($C21),"",$C21)</f>
        <v/>
      </c>
      <c r="DK21" s="108" t="str">
        <f aca="false">IF(ISBLANK($C21),"",$D21)</f>
        <v/>
      </c>
      <c r="DL21" s="109" t="str">
        <f aca="false">$CZ21</f>
        <v/>
      </c>
      <c r="DM21" s="110" t="str">
        <f aca="false">$CY21</f>
        <v/>
      </c>
      <c r="DN21" s="108" t="str">
        <f aca="false">IF(ISBLANK($C21),"",$DB21)</f>
        <v/>
      </c>
      <c r="DO21" s="111" t="str">
        <f aca="false">IF($DF21&gt;$DE$8,"",VLOOKUP($DF21,$DH$9:$DN$508,7,FALSE()))</f>
        <v/>
      </c>
      <c r="DP21" s="112" t="str">
        <f aca="false">IF($DF21&gt;$DE$8,"",VLOOKUP($DF21,$DH$9:$DN$508,2,FALSE()))</f>
        <v/>
      </c>
      <c r="DQ21" s="112" t="str">
        <f aca="false">IF($DF21&gt;$DE$8,"",VLOOKUP($DF21,$DH$9:$DN$508,3,FALSE()))</f>
        <v/>
      </c>
      <c r="DR21" s="112" t="str">
        <f aca="false">IF($DF21&gt;$DE$8,"",VLOOKUP($DF21,$DH$9:$DN$508,4,FALSE()))</f>
        <v/>
      </c>
      <c r="DS21" s="112" t="str">
        <f aca="false">IF($DF21&gt;$DE$8,"",VLOOKUP($DF21,$DH$9:$DN$508,5,FALSE()))</f>
        <v/>
      </c>
      <c r="DT21" s="113" t="str">
        <f aca="false">IF($DF21&gt;$DE$8,"",VLOOKUP($DF21,$DH$9:$DN$508,6,FALSE()))</f>
        <v/>
      </c>
      <c r="DU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IF(ISBLANK($C22),"",IF(E22=Constants!$B$3,TRUE(),IF(E22=Constants!$B$4,FALSE(),TRUE())))</f>
        <v/>
      </c>
      <c r="AG22" s="93" t="str">
        <f aca="false">IF(ISBLANK($C22),"",IF(F22=Constants!$B$3,TRUE(),IF(F22=Constants!$B$4,FALSE(),TRUE())))</f>
        <v/>
      </c>
      <c r="AH22" s="93" t="str">
        <f aca="false">IF(ISBLANK($C22),"",IF(G22=Constants!$B$3,TRUE(),IF(G22=Constants!$B$4,FALSE(),TRUE())))</f>
        <v/>
      </c>
      <c r="AI22" s="93" t="str">
        <f aca="false">IF(ISBLANK($C22),"",IF(AND(ISNUMBER(H22),H22&gt;=0),H22,Constants!$B$29))</f>
        <v/>
      </c>
      <c r="AJ22" s="93" t="str">
        <f aca="false">IF(ISBLANK($C22),"",IF(I22=Constants!$B$3,TRUE(),IF(I22=Constants!$B$4,FALSE(),TRUE())))</f>
        <v/>
      </c>
      <c r="AK22" s="93" t="str">
        <f aca="false">IF(ISBLANK($C22),"",IF(J22=Constants!$B$3,TRUE(),IF(J22=Constants!$B$4,FALSE(),TRUE())))</f>
        <v/>
      </c>
      <c r="AL22" s="93" t="str">
        <f aca="false">IF(ISBLANK($C22),"",IF(K22=Constants!$B$5,TRUE(),IF(K22=Constants!$B$6,FALSE(),COUNTA(L22:P22)&gt;0)))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IF(ISBLANK($C22),"",IF(N22=Constants!$B$3,TRUE(),IF(N22=Constants!$B$4,FALSE(),TRUE())))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IF(ISBLANK($C22),"",IF(P22=Constants!$B$3,TRUE(),IF(P22=Constants!$B$4,FALSE(),FALSE())))</f>
        <v/>
      </c>
      <c r="AR22" s="93" t="str">
        <f aca="false">IF(ISBLANK($C22),"",IF(Q22=Constants!$B$3,TRUE(),IF(Q22=Constants!$B$4,FALSE(),TRUE())))</f>
        <v/>
      </c>
      <c r="AS22" s="93" t="str">
        <f aca="false">IF(ISBLANK($C22),"",IF(R22=Constants!$B$3,TRUE(),IF(R22=Constants!$B$4,FALSE(),TRUE())))</f>
        <v/>
      </c>
      <c r="AT22" s="93" t="str">
        <f aca="false">IF(ISBLANK($C22),"",IF(S22=Constants!$B$5,TRUE(),IF(S22=Constants!$B$6,FALSE(),COUNTA(T22:X22)&gt;0)))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IF(ISBLANK($C22),"",IF(V22=Constants!$B$3,TRUE(),IF(V22=Constants!$B$4,FALSE(),TRUE())))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IF(ISBLANK($C22),"",IF(X22=Constants!$B$3,TRUE(),IF(X22=Constants!$B$4,FALSE(),FALSE())))</f>
        <v/>
      </c>
      <c r="AZ22" s="93" t="str">
        <f aca="false">IF(ISBLANK($C22),"",MIN(Constants!$B$31,MAX(0,IF(ISNUMBER(Y22),Y22*60,0)+IF(ISNUMBER(Z22),Z22,0))))</f>
        <v/>
      </c>
      <c r="BA22" s="93" t="str">
        <f aca="false">IF(ISBLANK($C22),"",IF(AA22=Constants!$B$3,TRUE(),IF(AA22=Constants!$B$4,FALSE(),FALSE())))</f>
        <v/>
      </c>
      <c r="BB22" s="92" t="str">
        <f aca="false">IF(ISBLANK($C22),"",AND($AL22,OR($AM22="",$AN22="",AND($AO22,$AP22=""))))</f>
        <v/>
      </c>
      <c r="BC22" s="94" t="str">
        <f aca="false">IF($BZ22&lt;&gt;Constants!$B$8,"",IF($AL22,Constants!$B$21*$AN22+Constants!$B$22*IF($AO22,$AP22,Constants!$B$23),Constants!$B$24))</f>
        <v/>
      </c>
      <c r="BD22" s="97" t="str">
        <f aca="false">IF($BZ22&lt;&gt;Constants!$B$8,"",Constants!$B$25*ABS($AD$9-IF($AL22,$AM22,0)))</f>
        <v/>
      </c>
      <c r="BE22" s="97" t="str">
        <f aca="false">IF($BZ22&lt;&gt;Constants!$B$8,"",IF(AND($AL22,$AQ22,$AO22),Constants!$B$27,0))</f>
        <v/>
      </c>
      <c r="BF22" s="97" t="str">
        <f aca="false">IF($BZ22&lt;&gt;Constants!$B$8,"",IF($AL22,($AI22-Constants!$B$29)*Constants!$B$28,0))</f>
        <v/>
      </c>
      <c r="BG22" s="97" t="str">
        <f aca="false">IF($BZ22&lt;&gt;Constants!$B$8,"",IF($AK22,0,Constants!$B$15)+IF($AJ22,0,Constants!$B$16)+IF($AH22,0,Constants!$B$17))</f>
        <v/>
      </c>
      <c r="BH22" s="98" t="str">
        <f aca="false">IF($BZ22&lt;&gt;Constants!$B$8,"",Constants!$B$20+SUM($BC22:$BG22))</f>
        <v/>
      </c>
      <c r="BI22" s="97" t="str">
        <f aca="false">IF($BZ22&lt;&gt;Constants!$B$8,"",$BC22)</f>
        <v/>
      </c>
      <c r="BJ22" s="97" t="str">
        <f aca="false">IF($BZ22&lt;&gt;Constants!$B$8,"",$BD22)</f>
        <v/>
      </c>
      <c r="BK22" s="97" t="str">
        <f aca="false">IF($BZ22&lt;&gt;Constants!$B$8,"",IF($AL22,$AN22,""))</f>
        <v/>
      </c>
      <c r="BL22" s="99" t="str">
        <f aca="false">IF($BZ22&lt;&gt;Constants!$B$8,"",$AI22)</f>
        <v/>
      </c>
      <c r="BM22" s="93" t="str">
        <f aca="false">IF($BZ22&lt;&gt;Constants!$B$8,"",IF(OR($BT22&lt;$BH22,AND($BT22=$BH22,OR($BU22&lt;$BI22,AND($BU22=$BI22,OR($BV22&lt;$BJ22,AND($BV22=$BJ22,OR(AND(ISNUMBER($BW22),OR(NOT(ISNUMBER($BK22)),$BW22&lt;$BK22)),AND(OR(AND($BW22="",$BK22=""),AND(ISNUMBER($BW22),ISNUMBER($BK22),$BW22=$BK22)),$BX22&lt;$BL22)))))))),"-&gt;","&lt;-"))</f>
        <v/>
      </c>
      <c r="BN22" s="92" t="str">
        <f aca="false">IF(ISBLANK($C22),"",AND($AT22,OR($AU22="",$AV22="",AND($AW22,$AX22=""))))</f>
        <v/>
      </c>
      <c r="BO22" s="94" t="str">
        <f aca="false">IF($BZ22&lt;&gt;Constants!$B$8,"",IF($AT22,Constants!$B$21*$AV22+Constants!$B$22*IF($AW22,$AX22,Constants!$B$23),Constants!$B$24))</f>
        <v/>
      </c>
      <c r="BP22" s="97" t="str">
        <f aca="false">IF($BZ22&lt;&gt;Constants!$B$8,"",Constants!$B$25*ABS($AD$9-IF($AT22,$AU22,0)))</f>
        <v/>
      </c>
      <c r="BQ22" s="97" t="str">
        <f aca="false">IF($BZ22&lt;&gt;Constants!$B$8,"",IF(AND($AT22,$AY22,$AW22),Constants!$B$27,0))</f>
        <v/>
      </c>
      <c r="BR22" s="97" t="str">
        <f aca="false">IF($BZ22&lt;&gt;Constants!$B$8,"",IF($AT22,($AI22-Constants!$B$29)*Constants!$B$28,0))</f>
        <v/>
      </c>
      <c r="BS22" s="97" t="str">
        <f aca="false">IF($BZ22&lt;&gt;Constants!$B$8,"",IF($AS22,0,Constants!$B$15)+IF($AR22,0,Constants!$B$16)+IF($AH22,0,Constants!$B$17))</f>
        <v/>
      </c>
      <c r="BT22" s="98" t="str">
        <f aca="false">IF($BZ22&lt;&gt;Constants!$B$8,"",Constants!$B$20+SUM($BO22:$BS22))</f>
        <v/>
      </c>
      <c r="BU22" s="97" t="str">
        <f aca="false">IF($BZ22&lt;&gt;Constants!$B$8,"",$BO22)</f>
        <v/>
      </c>
      <c r="BV22" s="97" t="str">
        <f aca="false">IF($BZ22&lt;&gt;Constants!$B$8,"",$BP22)</f>
        <v/>
      </c>
      <c r="BW22" s="97" t="str">
        <f aca="false">IF($BZ22&lt;&gt;Constants!$B$8,"",IF($AT22,$AV22,""))</f>
        <v/>
      </c>
      <c r="BX22" s="99" t="str">
        <f aca="false">IF($BZ22&lt;&gt;Constants!$B$8,"",$AI22)</f>
        <v/>
      </c>
      <c r="BY22" s="93" t="str">
        <f aca="false">IF(ISBLANK($C22),"",IF(ISBLANK($D$7),$BY$5,IF(NOT(ISNUMBER($D$7)),$BY$6,"")))</f>
        <v/>
      </c>
      <c r="BZ22" s="93" t="str">
        <f aca="false">IF(ISBLANK($C22),"",IF($BA22,Constants!$B$11,IF(COUNTA($E22:$AA22)=0,Constants!$B$10,IF(NOT($AG22),Constants!$B$9,IF(OR($BY22&lt;&gt;"",$BB22,$BN22),Constants!$B$12,Constants!$B$8)))))</f>
        <v/>
      </c>
      <c r="CA22" s="93" t="str">
        <f aca="false">IF(ISBLANK($C22),"",IF($BZ22&lt;&gt;Constants!$B$8,$BZ22,Constants!$B$13))</f>
        <v/>
      </c>
      <c r="CB22" s="97" t="str">
        <f aca="false">IF($BZ22&lt;&gt;Constants!$B$8,"",IF($BM22="-&gt;",$BT22,$BH22))</f>
        <v/>
      </c>
      <c r="CC22" s="97" t="str">
        <f aca="false">IF($BZ22&lt;&gt;Constants!$B$8,"",IF($AF22,0,Constants!$B$18))</f>
        <v/>
      </c>
      <c r="CD22" s="97" t="str">
        <f aca="false">IF($BZ22&lt;&gt;Constants!$B$8,"",((Constants!$B$31-$AZ22)-Constants!$B$31)/Constants!$B$32)</f>
        <v/>
      </c>
      <c r="CE22" s="97" t="str">
        <f aca="false">IF(ISBLANK($C22),"",IF($BZ22&lt;&gt;Constants!$B$8,$BZ22,SUM($CB22:$CD22)))</f>
        <v/>
      </c>
      <c r="CF22" s="93" t="str">
        <f aca="false">IF(ISBLANK($C22),"",IF($BZ22&lt;&gt;Constants!$B$8,$BZ22,RANK($CE22,$CE$9:$CE$508,1)))</f>
        <v/>
      </c>
      <c r="CG22" s="97" t="str">
        <f aca="false">IF($BZ22&lt;&gt;Constants!$B$8,"",IF($BM22="-&gt;",$BU22,$BI22))</f>
        <v/>
      </c>
      <c r="CH22" s="93" t="str">
        <f aca="false">IF(ISBLANK($C22),"",IF($BZ22&lt;&gt;Constants!$B$8,$BZ22,IF(ISNUMBER($CG22),RANK($CG22,$CG$9:$CG$508,1),COUNT($CG$9:$CG$508)+1)))</f>
        <v/>
      </c>
      <c r="CI22" s="97" t="str">
        <f aca="false">IF($BZ22&lt;&gt;Constants!$B$8,"",IF($BM22="-&gt;",$BV22,$BJ22))</f>
        <v/>
      </c>
      <c r="CJ22" s="93" t="str">
        <f aca="false">IF(ISBLANK($C22),"",IF($BZ22&lt;&gt;Constants!$B$8,$BZ22,IF(ISNUMBER($CI22),RANK($CI22,$CI$9:$CI$508,1),COUNT($CI$9:$CI$508)+1)))</f>
        <v/>
      </c>
      <c r="CK22" s="97" t="str">
        <f aca="false">IF($BZ22&lt;&gt;Constants!$B$8,"",IF($BM22="-&gt;",$BW22,$BK22))</f>
        <v/>
      </c>
      <c r="CL22" s="93" t="str">
        <f aca="false">IF(ISBLANK($C22),"",IF($BZ22&lt;&gt;Constants!$B$8,$BZ22,IF(ISNUMBER($CK22),RANK($CK22,$CK$9:$CK$508,1),COUNT($CK$9:$CK$508)+1)))</f>
        <v/>
      </c>
      <c r="CM22" s="97" t="str">
        <f aca="false">IF($BZ22&lt;&gt;Constants!$B$8,"",IF(AND(NOT($AL22),NOT($AT22),$AJ22,$AK22,$AR22,$AS22),"",IF($BM22="-&gt;",$BX22,$BL22)))</f>
        <v/>
      </c>
      <c r="CN22" s="93" t="str">
        <f aca="false">IF(ISBLANK($C22),"",IF($BZ22&lt;&gt;Constants!$B$8,$BZ22,IF(ISNUMBER($CM22),RANK($CM22,$CM$9:$CM$508,1),COUNT($CM$9:$CM$508)+1)))</f>
        <v/>
      </c>
      <c r="CO22" s="93" t="str">
        <f aca="false">IF(ISBLANK($C22),"",IF($BZ22&lt;&gt;Constants!$B$8,$BZ22,COUNTIFS($CF$9:$CF$508,"&lt;"&amp;$CF22)+COUNTIFS($CF$9:$CF$508,$CF22,$CH$9:$CH$508,"&lt;"&amp;$CH22)+COUNTIFS($CF$9:$CF$508,$CF22,$CH$9:$CH$508,$CH22,$CJ$9:$CJ$508,"&lt;"&amp;$CJ22)+COUNTIFS($CF$9:$CF$508,$CF22,$CH$9:$CH$508,$CH22,$CJ$9:$CJ$508,$CJ22,$CL$9:$CL$508,"&lt;"&amp;$CL22)+COUNTIFS($CF$9:$CF$508,$CF22,$CH$9:$CH$508,$CH22,$CJ$9:$CJ$508,$CJ22,$CL$9:$CL$508,$CL22,$CN$9:$CN$508,"&lt;"&amp;$CN22)+1))</f>
        <v/>
      </c>
      <c r="CP22" s="93" t="str">
        <f aca="false">IF(ISBLANK($C22),"",IF($BZ22&lt;&gt;Constants!$B$8,$BZ22,$CF22-$CO22))</f>
        <v/>
      </c>
      <c r="CQ22" s="100"/>
      <c r="CR22" s="101"/>
      <c r="CS22" s="102" t="str">
        <f aca="false">IF(ISBLANK($C22),"",IF($BZ22=Constants!$B$12,$BY22,""))</f>
        <v/>
      </c>
      <c r="CT22" s="101" t="str">
        <f aca="false">IF(ISBLANK($C22),"",IF($BZ22&lt;&gt;Constants!$B$8,"",IF($BM22="-&gt;",2,1)))</f>
        <v/>
      </c>
      <c r="CU22" s="103" t="str">
        <f aca="false">IF(ISBLANK($C22),"",IF($BZ22&lt;&gt;Constants!$B$8,"",IF($BM22="-&gt;",$BO22,$BC22)))</f>
        <v/>
      </c>
      <c r="CV22" s="103" t="str">
        <f aca="false">IF(ISBLANK($C22),"",IF($BZ22&lt;&gt;Constants!$B$8,"",IF($BM22="-&gt;",$BP22,$BD22)))</f>
        <v/>
      </c>
      <c r="CW22" s="103" t="str">
        <f aca="false">IF(ISBLANK($C22),"",IF($BZ22&lt;&gt;Constants!$B$8,"",IF($BM22="-&gt;",$BQ22+$BR22,$BE22+$BF22)+$CD22))</f>
        <v/>
      </c>
      <c r="CX22" s="103" t="str">
        <f aca="false">IF(ISBLANK($C22),"",IF($BZ22&lt;&gt;Constants!$B$8,"",IF($BM22="-&gt;",$BS22,$BG22)+$CC22))</f>
        <v/>
      </c>
      <c r="CY22" s="104" t="str">
        <f aca="false">IF(ISBLANK($C22),"",IF($BZ22&lt;&gt;Constants!$B$8,$BZ22,$CE22))</f>
        <v/>
      </c>
      <c r="CZ22" s="105" t="str">
        <f aca="false">IF(ISBLANK($C22),"",$CA22)</f>
        <v/>
      </c>
      <c r="DA22" s="106" t="str">
        <f aca="false">IF(ISBLANK($C22),"",$CP22)</f>
        <v/>
      </c>
      <c r="DB22" s="106" t="str">
        <f aca="false">IF(ISBLANK($C22),"",$CO22)</f>
        <v/>
      </c>
      <c r="DC22" s="107" t="str">
        <f aca="false">IF(ISBLANK($C22),"",IFERROR(_xlfn.SWITCH($DB22,Constants!$B$11,COUNTA($C$9:$C$508)+2,Constants!$B$10,COUNTA($C$9:$C$508)+1,Constants!$B$9,COUNTA($C$9:$C$508)),$DB22))</f>
        <v/>
      </c>
      <c r="DD22" s="9"/>
      <c r="DE22" s="108" t="n">
        <f aca="false">IF(OR(ISNUMBER($DB22),$DB22=Constants!$B$11,$DB22=Constants!$B$9,$DB22=Constants!$B$10),1,0)</f>
        <v>0</v>
      </c>
      <c r="DF22" s="108" t="n">
        <v>14</v>
      </c>
      <c r="DG22" s="108" t="str">
        <f aca="false">IF(ISBLANK($C22),"",IF(ISNUMBER($DC22),$DC22+ROW($B22)/1000,""))</f>
        <v/>
      </c>
      <c r="DH22" s="108" t="str">
        <f aca="false">IF(ISNUMBER($DG22),RANK($DG22,$DG$9:$DG$508,1),"")</f>
        <v/>
      </c>
      <c r="DI22" s="108" t="str">
        <f aca="false">IF(ISBLANK($C22),"",$B22)</f>
        <v/>
      </c>
      <c r="DJ22" s="108" t="str">
        <f aca="false">IF(ISBLANK($C22),"",$C22)</f>
        <v/>
      </c>
      <c r="DK22" s="108" t="str">
        <f aca="false">IF(ISBLANK($C22),"",$D22)</f>
        <v/>
      </c>
      <c r="DL22" s="109" t="str">
        <f aca="false">$CZ22</f>
        <v/>
      </c>
      <c r="DM22" s="110" t="str">
        <f aca="false">$CY22</f>
        <v/>
      </c>
      <c r="DN22" s="108" t="str">
        <f aca="false">IF(ISBLANK($C22),"",$DB22)</f>
        <v/>
      </c>
      <c r="DO22" s="111" t="str">
        <f aca="false">IF($DF22&gt;$DE$8,"",VLOOKUP($DF22,$DH$9:$DN$508,7,FALSE()))</f>
        <v/>
      </c>
      <c r="DP22" s="112" t="str">
        <f aca="false">IF($DF22&gt;$DE$8,"",VLOOKUP($DF22,$DH$9:$DN$508,2,FALSE()))</f>
        <v/>
      </c>
      <c r="DQ22" s="112" t="str">
        <f aca="false">IF($DF22&gt;$DE$8,"",VLOOKUP($DF22,$DH$9:$DN$508,3,FALSE()))</f>
        <v/>
      </c>
      <c r="DR22" s="112" t="str">
        <f aca="false">IF($DF22&gt;$DE$8,"",VLOOKUP($DF22,$DH$9:$DN$508,4,FALSE()))</f>
        <v/>
      </c>
      <c r="DS22" s="112" t="str">
        <f aca="false">IF($DF22&gt;$DE$8,"",VLOOKUP($DF22,$DH$9:$DN$508,5,FALSE()))</f>
        <v/>
      </c>
      <c r="DT22" s="113" t="str">
        <f aca="false">IF($DF22&gt;$DE$8,"",VLOOKUP($DF22,$DH$9:$DN$508,6,FALSE()))</f>
        <v/>
      </c>
      <c r="DU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IF(ISBLANK($C23),"",IF(E23=Constants!$B$3,TRUE(),IF(E23=Constants!$B$4,FALSE(),TRUE())))</f>
        <v/>
      </c>
      <c r="AG23" s="93" t="str">
        <f aca="false">IF(ISBLANK($C23),"",IF(F23=Constants!$B$3,TRUE(),IF(F23=Constants!$B$4,FALSE(),TRUE())))</f>
        <v/>
      </c>
      <c r="AH23" s="93" t="str">
        <f aca="false">IF(ISBLANK($C23),"",IF(G23=Constants!$B$3,TRUE(),IF(G23=Constants!$B$4,FALSE(),TRUE())))</f>
        <v/>
      </c>
      <c r="AI23" s="93" t="str">
        <f aca="false">IF(ISBLANK($C23),"",IF(AND(ISNUMBER(H23),H23&gt;=0),H23,Constants!$B$29))</f>
        <v/>
      </c>
      <c r="AJ23" s="93" t="str">
        <f aca="false">IF(ISBLANK($C23),"",IF(I23=Constants!$B$3,TRUE(),IF(I23=Constants!$B$4,FALSE(),TRUE())))</f>
        <v/>
      </c>
      <c r="AK23" s="93" t="str">
        <f aca="false">IF(ISBLANK($C23),"",IF(J23=Constants!$B$3,TRUE(),IF(J23=Constants!$B$4,FALSE(),TRUE())))</f>
        <v/>
      </c>
      <c r="AL23" s="93" t="str">
        <f aca="false">IF(ISBLANK($C23),"",IF(K23=Constants!$B$5,TRUE(),IF(K23=Constants!$B$6,FALSE(),COUNTA(L23:P23)&gt;0)))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IF(ISBLANK($C23),"",IF(N23=Constants!$B$3,TRUE(),IF(N23=Constants!$B$4,FALSE(),TRUE())))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IF(ISBLANK($C23),"",IF(P23=Constants!$B$3,TRUE(),IF(P23=Constants!$B$4,FALSE(),FALSE())))</f>
        <v/>
      </c>
      <c r="AR23" s="93" t="str">
        <f aca="false">IF(ISBLANK($C23),"",IF(Q23=Constants!$B$3,TRUE(),IF(Q23=Constants!$B$4,FALSE(),TRUE())))</f>
        <v/>
      </c>
      <c r="AS23" s="93" t="str">
        <f aca="false">IF(ISBLANK($C23),"",IF(R23=Constants!$B$3,TRUE(),IF(R23=Constants!$B$4,FALSE(),TRUE())))</f>
        <v/>
      </c>
      <c r="AT23" s="93" t="str">
        <f aca="false">IF(ISBLANK($C23),"",IF(S23=Constants!$B$5,TRUE(),IF(S23=Constants!$B$6,FALSE(),COUNTA(T23:X23)&gt;0)))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IF(ISBLANK($C23),"",IF(V23=Constants!$B$3,TRUE(),IF(V23=Constants!$B$4,FALSE(),TRUE())))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IF(ISBLANK($C23),"",IF(X23=Constants!$B$3,TRUE(),IF(X23=Constants!$B$4,FALSE(),FALSE())))</f>
        <v/>
      </c>
      <c r="AZ23" s="93" t="str">
        <f aca="false">IF(ISBLANK($C23),"",MIN(Constants!$B$31,MAX(0,IF(ISNUMBER(Y23),Y23*60,0)+IF(ISNUMBER(Z23),Z23,0))))</f>
        <v/>
      </c>
      <c r="BA23" s="93" t="str">
        <f aca="false">IF(ISBLANK($C23),"",IF(AA23=Constants!$B$3,TRUE(),IF(AA23=Constants!$B$4,FALSE(),FALSE())))</f>
        <v/>
      </c>
      <c r="BB23" s="92" t="str">
        <f aca="false">IF(ISBLANK($C23),"",AND($AL23,OR($AM23="",$AN23="",AND($AO23,$AP23=""))))</f>
        <v/>
      </c>
      <c r="BC23" s="94" t="str">
        <f aca="false">IF($BZ23&lt;&gt;Constants!$B$8,"",IF($AL23,Constants!$B$21*$AN23+Constants!$B$22*IF($AO23,$AP23,Constants!$B$23),Constants!$B$24))</f>
        <v/>
      </c>
      <c r="BD23" s="97" t="str">
        <f aca="false">IF($BZ23&lt;&gt;Constants!$B$8,"",Constants!$B$25*ABS($AD$9-IF($AL23,$AM23,0)))</f>
        <v/>
      </c>
      <c r="BE23" s="97" t="str">
        <f aca="false">IF($BZ23&lt;&gt;Constants!$B$8,"",IF(AND($AL23,$AQ23,$AO23),Constants!$B$27,0))</f>
        <v/>
      </c>
      <c r="BF23" s="97" t="str">
        <f aca="false">IF($BZ23&lt;&gt;Constants!$B$8,"",IF($AL23,($AI23-Constants!$B$29)*Constants!$B$28,0))</f>
        <v/>
      </c>
      <c r="BG23" s="97" t="str">
        <f aca="false">IF($BZ23&lt;&gt;Constants!$B$8,"",IF($AK23,0,Constants!$B$15)+IF($AJ23,0,Constants!$B$16)+IF($AH23,0,Constants!$B$17))</f>
        <v/>
      </c>
      <c r="BH23" s="98" t="str">
        <f aca="false">IF($BZ23&lt;&gt;Constants!$B$8,"",Constants!$B$20+SUM($BC23:$BG23))</f>
        <v/>
      </c>
      <c r="BI23" s="97" t="str">
        <f aca="false">IF($BZ23&lt;&gt;Constants!$B$8,"",$BC23)</f>
        <v/>
      </c>
      <c r="BJ23" s="97" t="str">
        <f aca="false">IF($BZ23&lt;&gt;Constants!$B$8,"",$BD23)</f>
        <v/>
      </c>
      <c r="BK23" s="97" t="str">
        <f aca="false">IF($BZ23&lt;&gt;Constants!$B$8,"",IF($AL23,$AN23,""))</f>
        <v/>
      </c>
      <c r="BL23" s="99" t="str">
        <f aca="false">IF($BZ23&lt;&gt;Constants!$B$8,"",$AI23)</f>
        <v/>
      </c>
      <c r="BM23" s="93" t="str">
        <f aca="false">IF($BZ23&lt;&gt;Constants!$B$8,"",IF(OR($BT23&lt;$BH23,AND($BT23=$BH23,OR($BU23&lt;$BI23,AND($BU23=$BI23,OR($BV23&lt;$BJ23,AND($BV23=$BJ23,OR(AND(ISNUMBER($BW23),OR(NOT(ISNUMBER($BK23)),$BW23&lt;$BK23)),AND(OR(AND($BW23="",$BK23=""),AND(ISNUMBER($BW23),ISNUMBER($BK23),$BW23=$BK23)),$BX23&lt;$BL23)))))))),"-&gt;","&lt;-"))</f>
        <v/>
      </c>
      <c r="BN23" s="92" t="str">
        <f aca="false">IF(ISBLANK($C23),"",AND($AT23,OR($AU23="",$AV23="",AND($AW23,$AX23=""))))</f>
        <v/>
      </c>
      <c r="BO23" s="94" t="str">
        <f aca="false">IF($BZ23&lt;&gt;Constants!$B$8,"",IF($AT23,Constants!$B$21*$AV23+Constants!$B$22*IF($AW23,$AX23,Constants!$B$23),Constants!$B$24))</f>
        <v/>
      </c>
      <c r="BP23" s="97" t="str">
        <f aca="false">IF($BZ23&lt;&gt;Constants!$B$8,"",Constants!$B$25*ABS($AD$9-IF($AT23,$AU23,0)))</f>
        <v/>
      </c>
      <c r="BQ23" s="97" t="str">
        <f aca="false">IF($BZ23&lt;&gt;Constants!$B$8,"",IF(AND($AT23,$AY23,$AW23),Constants!$B$27,0))</f>
        <v/>
      </c>
      <c r="BR23" s="97" t="str">
        <f aca="false">IF($BZ23&lt;&gt;Constants!$B$8,"",IF($AT23,($AI23-Constants!$B$29)*Constants!$B$28,0))</f>
        <v/>
      </c>
      <c r="BS23" s="97" t="str">
        <f aca="false">IF($BZ23&lt;&gt;Constants!$B$8,"",IF($AS23,0,Constants!$B$15)+IF($AR23,0,Constants!$B$16)+IF($AH23,0,Constants!$B$17))</f>
        <v/>
      </c>
      <c r="BT23" s="98" t="str">
        <f aca="false">IF($BZ23&lt;&gt;Constants!$B$8,"",Constants!$B$20+SUM($BO23:$BS23))</f>
        <v/>
      </c>
      <c r="BU23" s="97" t="str">
        <f aca="false">IF($BZ23&lt;&gt;Constants!$B$8,"",$BO23)</f>
        <v/>
      </c>
      <c r="BV23" s="97" t="str">
        <f aca="false">IF($BZ23&lt;&gt;Constants!$B$8,"",$BP23)</f>
        <v/>
      </c>
      <c r="BW23" s="97" t="str">
        <f aca="false">IF($BZ23&lt;&gt;Constants!$B$8,"",IF($AT23,$AV23,""))</f>
        <v/>
      </c>
      <c r="BX23" s="99" t="str">
        <f aca="false">IF($BZ23&lt;&gt;Constants!$B$8,"",$AI23)</f>
        <v/>
      </c>
      <c r="BY23" s="93" t="str">
        <f aca="false">IF(ISBLANK($C23),"",IF(ISBLANK($D$7),$BY$5,IF(NOT(ISNUMBER($D$7)),$BY$6,"")))</f>
        <v/>
      </c>
      <c r="BZ23" s="93" t="str">
        <f aca="false">IF(ISBLANK($C23),"",IF($BA23,Constants!$B$11,IF(COUNTA($E23:$AA23)=0,Constants!$B$10,IF(NOT($AG23),Constants!$B$9,IF(OR($BY23&lt;&gt;"",$BB23,$BN23),Constants!$B$12,Constants!$B$8)))))</f>
        <v/>
      </c>
      <c r="CA23" s="93" t="str">
        <f aca="false">IF(ISBLANK($C23),"",IF($BZ23&lt;&gt;Constants!$B$8,$BZ23,Constants!$B$13))</f>
        <v/>
      </c>
      <c r="CB23" s="97" t="str">
        <f aca="false">IF($BZ23&lt;&gt;Constants!$B$8,"",IF($BM23="-&gt;",$BT23,$BH23))</f>
        <v/>
      </c>
      <c r="CC23" s="97" t="str">
        <f aca="false">IF($BZ23&lt;&gt;Constants!$B$8,"",IF($AF23,0,Constants!$B$18))</f>
        <v/>
      </c>
      <c r="CD23" s="97" t="str">
        <f aca="false">IF($BZ23&lt;&gt;Constants!$B$8,"",((Constants!$B$31-$AZ23)-Constants!$B$31)/Constants!$B$32)</f>
        <v/>
      </c>
      <c r="CE23" s="97" t="str">
        <f aca="false">IF(ISBLANK($C23),"",IF($BZ23&lt;&gt;Constants!$B$8,$BZ23,SUM($CB23:$CD23)))</f>
        <v/>
      </c>
      <c r="CF23" s="93" t="str">
        <f aca="false">IF(ISBLANK($C23),"",IF($BZ23&lt;&gt;Constants!$B$8,$BZ23,RANK($CE23,$CE$9:$CE$508,1)))</f>
        <v/>
      </c>
      <c r="CG23" s="97" t="str">
        <f aca="false">IF($BZ23&lt;&gt;Constants!$B$8,"",IF($BM23="-&gt;",$BU23,$BI23))</f>
        <v/>
      </c>
      <c r="CH23" s="93" t="str">
        <f aca="false">IF(ISBLANK($C23),"",IF($BZ23&lt;&gt;Constants!$B$8,$BZ23,IF(ISNUMBER($CG23),RANK($CG23,$CG$9:$CG$508,1),COUNT($CG$9:$CG$508)+1)))</f>
        <v/>
      </c>
      <c r="CI23" s="97" t="str">
        <f aca="false">IF($BZ23&lt;&gt;Constants!$B$8,"",IF($BM23="-&gt;",$BV23,$BJ23))</f>
        <v/>
      </c>
      <c r="CJ23" s="93" t="str">
        <f aca="false">IF(ISBLANK($C23),"",IF($BZ23&lt;&gt;Constants!$B$8,$BZ23,IF(ISNUMBER($CI23),RANK($CI23,$CI$9:$CI$508,1),COUNT($CI$9:$CI$508)+1)))</f>
        <v/>
      </c>
      <c r="CK23" s="97" t="str">
        <f aca="false">IF($BZ23&lt;&gt;Constants!$B$8,"",IF($BM23="-&gt;",$BW23,$BK23))</f>
        <v/>
      </c>
      <c r="CL23" s="93" t="str">
        <f aca="false">IF(ISBLANK($C23),"",IF($BZ23&lt;&gt;Constants!$B$8,$BZ23,IF(ISNUMBER($CK23),RANK($CK23,$CK$9:$CK$508,1),COUNT($CK$9:$CK$508)+1)))</f>
        <v/>
      </c>
      <c r="CM23" s="97" t="str">
        <f aca="false">IF($BZ23&lt;&gt;Constants!$B$8,"",IF(AND(NOT($AL23),NOT($AT23),$AJ23,$AK23,$AR23,$AS23),"",IF($BM23="-&gt;",$BX23,$BL23)))</f>
        <v/>
      </c>
      <c r="CN23" s="93" t="str">
        <f aca="false">IF(ISBLANK($C23),"",IF($BZ23&lt;&gt;Constants!$B$8,$BZ23,IF(ISNUMBER($CM23),RANK($CM23,$CM$9:$CM$508,1),COUNT($CM$9:$CM$508)+1)))</f>
        <v/>
      </c>
      <c r="CO23" s="93" t="str">
        <f aca="false">IF(ISBLANK($C23),"",IF($BZ23&lt;&gt;Constants!$B$8,$BZ23,COUNTIFS($CF$9:$CF$508,"&lt;"&amp;$CF23)+COUNTIFS($CF$9:$CF$508,$CF23,$CH$9:$CH$508,"&lt;"&amp;$CH23)+COUNTIFS($CF$9:$CF$508,$CF23,$CH$9:$CH$508,$CH23,$CJ$9:$CJ$508,"&lt;"&amp;$CJ23)+COUNTIFS($CF$9:$CF$508,$CF23,$CH$9:$CH$508,$CH23,$CJ$9:$CJ$508,$CJ23,$CL$9:$CL$508,"&lt;"&amp;$CL23)+COUNTIFS($CF$9:$CF$508,$CF23,$CH$9:$CH$508,$CH23,$CJ$9:$CJ$508,$CJ23,$CL$9:$CL$508,$CL23,$CN$9:$CN$508,"&lt;"&amp;$CN23)+1))</f>
        <v/>
      </c>
      <c r="CP23" s="93" t="str">
        <f aca="false">IF(ISBLANK($C23),"",IF($BZ23&lt;&gt;Constants!$B$8,$BZ23,$CF23-$CO23))</f>
        <v/>
      </c>
      <c r="CQ23" s="100"/>
      <c r="CR23" s="101"/>
      <c r="CS23" s="102" t="str">
        <f aca="false">IF(ISBLANK($C23),"",IF($BZ23=Constants!$B$12,$BY23,""))</f>
        <v/>
      </c>
      <c r="CT23" s="101" t="str">
        <f aca="false">IF(ISBLANK($C23),"",IF($BZ23&lt;&gt;Constants!$B$8,"",IF($BM23="-&gt;",2,1)))</f>
        <v/>
      </c>
      <c r="CU23" s="103" t="str">
        <f aca="false">IF(ISBLANK($C23),"",IF($BZ23&lt;&gt;Constants!$B$8,"",IF($BM23="-&gt;",$BO23,$BC23)))</f>
        <v/>
      </c>
      <c r="CV23" s="103" t="str">
        <f aca="false">IF(ISBLANK($C23),"",IF($BZ23&lt;&gt;Constants!$B$8,"",IF($BM23="-&gt;",$BP23,$BD23)))</f>
        <v/>
      </c>
      <c r="CW23" s="103" t="str">
        <f aca="false">IF(ISBLANK($C23),"",IF($BZ23&lt;&gt;Constants!$B$8,"",IF($BM23="-&gt;",$BQ23+$BR23,$BE23+$BF23)+$CD23))</f>
        <v/>
      </c>
      <c r="CX23" s="103" t="str">
        <f aca="false">IF(ISBLANK($C23),"",IF($BZ23&lt;&gt;Constants!$B$8,"",IF($BM23="-&gt;",$BS23,$BG23)+$CC23))</f>
        <v/>
      </c>
      <c r="CY23" s="104" t="str">
        <f aca="false">IF(ISBLANK($C23),"",IF($BZ23&lt;&gt;Constants!$B$8,$BZ23,$CE23))</f>
        <v/>
      </c>
      <c r="CZ23" s="105" t="str">
        <f aca="false">IF(ISBLANK($C23),"",$CA23)</f>
        <v/>
      </c>
      <c r="DA23" s="106" t="str">
        <f aca="false">IF(ISBLANK($C23),"",$CP23)</f>
        <v/>
      </c>
      <c r="DB23" s="106" t="str">
        <f aca="false">IF(ISBLANK($C23),"",$CO23)</f>
        <v/>
      </c>
      <c r="DC23" s="107" t="str">
        <f aca="false">IF(ISBLANK($C23),"",IFERROR(_xlfn.SWITCH($DB23,Constants!$B$11,COUNTA($C$9:$C$508)+2,Constants!$B$10,COUNTA($C$9:$C$508)+1,Constants!$B$9,COUNTA($C$9:$C$508)),$DB23))</f>
        <v/>
      </c>
      <c r="DD23" s="9"/>
      <c r="DE23" s="108" t="n">
        <f aca="false">IF(OR(ISNUMBER($DB23),$DB23=Constants!$B$11,$DB23=Constants!$B$9,$DB23=Constants!$B$10),1,0)</f>
        <v>0</v>
      </c>
      <c r="DF23" s="108" t="n">
        <v>15</v>
      </c>
      <c r="DG23" s="108" t="str">
        <f aca="false">IF(ISBLANK($C23),"",IF(ISNUMBER($DC23),$DC23+ROW($B23)/1000,""))</f>
        <v/>
      </c>
      <c r="DH23" s="108" t="str">
        <f aca="false">IF(ISNUMBER($DG23),RANK($DG23,$DG$9:$DG$508,1),"")</f>
        <v/>
      </c>
      <c r="DI23" s="108" t="str">
        <f aca="false">IF(ISBLANK($C23),"",$B23)</f>
        <v/>
      </c>
      <c r="DJ23" s="108" t="str">
        <f aca="false">IF(ISBLANK($C23),"",$C23)</f>
        <v/>
      </c>
      <c r="DK23" s="108" t="str">
        <f aca="false">IF(ISBLANK($C23),"",$D23)</f>
        <v/>
      </c>
      <c r="DL23" s="109" t="str">
        <f aca="false">$CZ23</f>
        <v/>
      </c>
      <c r="DM23" s="110" t="str">
        <f aca="false">$CY23</f>
        <v/>
      </c>
      <c r="DN23" s="108" t="str">
        <f aca="false">IF(ISBLANK($C23),"",$DB23)</f>
        <v/>
      </c>
      <c r="DO23" s="111" t="str">
        <f aca="false">IF($DF23&gt;$DE$8,"",VLOOKUP($DF23,$DH$9:$DN$508,7,FALSE()))</f>
        <v/>
      </c>
      <c r="DP23" s="112" t="str">
        <f aca="false">IF($DF23&gt;$DE$8,"",VLOOKUP($DF23,$DH$9:$DN$508,2,FALSE()))</f>
        <v/>
      </c>
      <c r="DQ23" s="112" t="str">
        <f aca="false">IF($DF23&gt;$DE$8,"",VLOOKUP($DF23,$DH$9:$DN$508,3,FALSE()))</f>
        <v/>
      </c>
      <c r="DR23" s="112" t="str">
        <f aca="false">IF($DF23&gt;$DE$8,"",VLOOKUP($DF23,$DH$9:$DN$508,4,FALSE()))</f>
        <v/>
      </c>
      <c r="DS23" s="112" t="str">
        <f aca="false">IF($DF23&gt;$DE$8,"",VLOOKUP($DF23,$DH$9:$DN$508,5,FALSE()))</f>
        <v/>
      </c>
      <c r="DT23" s="113" t="str">
        <f aca="false">IF($DF23&gt;$DE$8,"",VLOOKUP($DF23,$DH$9:$DN$508,6,FALSE()))</f>
        <v/>
      </c>
      <c r="DU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IF(ISBLANK($C24),"",IF(E24=Constants!$B$3,TRUE(),IF(E24=Constants!$B$4,FALSE(),TRUE())))</f>
        <v/>
      </c>
      <c r="AG24" s="135" t="str">
        <f aca="false">IF(ISBLANK($C24),"",IF(F24=Constants!$B$3,TRUE(),IF(F24=Constants!$B$4,FALSE(),TRUE())))</f>
        <v/>
      </c>
      <c r="AH24" s="135" t="str">
        <f aca="false">IF(ISBLANK($C24),"",IF(G24=Constants!$B$3,TRUE(),IF(G24=Constants!$B$4,FALSE(),TRUE())))</f>
        <v/>
      </c>
      <c r="AI24" s="135" t="str">
        <f aca="false">IF(ISBLANK($C24),"",IF(AND(ISNUMBER(H24),H24&gt;=0),H24,Constants!$B$29))</f>
        <v/>
      </c>
      <c r="AJ24" s="135" t="str">
        <f aca="false">IF(ISBLANK($C24),"",IF(I24=Constants!$B$3,TRUE(),IF(I24=Constants!$B$4,FALSE(),TRUE())))</f>
        <v/>
      </c>
      <c r="AK24" s="135" t="str">
        <f aca="false">IF(ISBLANK($C24),"",IF(J24=Constants!$B$3,TRUE(),IF(J24=Constants!$B$4,FALSE(),TRUE())))</f>
        <v/>
      </c>
      <c r="AL24" s="135" t="str">
        <f aca="false">IF(ISBLANK($C24),"",IF(K24=Constants!$B$5,TRUE(),IF(K24=Constants!$B$6,FALSE(),COUNTA(L24:P24)&gt;0)))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IF(ISBLANK($C24),"",IF(N24=Constants!$B$3,TRUE(),IF(N24=Constants!$B$4,FALSE(),TRUE())))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IF(ISBLANK($C24),"",IF(P24=Constants!$B$3,TRUE(),IF(P24=Constants!$B$4,FALSE(),FALSE())))</f>
        <v/>
      </c>
      <c r="AR24" s="135" t="str">
        <f aca="false">IF(ISBLANK($C24),"",IF(Q24=Constants!$B$3,TRUE(),IF(Q24=Constants!$B$4,FALSE(),TRUE())))</f>
        <v/>
      </c>
      <c r="AS24" s="135" t="str">
        <f aca="false">IF(ISBLANK($C24),"",IF(R24=Constants!$B$3,TRUE(),IF(R24=Constants!$B$4,FALSE(),TRUE())))</f>
        <v/>
      </c>
      <c r="AT24" s="135" t="str">
        <f aca="false">IF(ISBLANK($C24),"",IF(S24=Constants!$B$5,TRUE(),IF(S24=Constants!$B$6,FALSE(),COUNTA(T24:X24)&gt;0)))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IF(ISBLANK($C24),"",IF(V24=Constants!$B$3,TRUE(),IF(V24=Constants!$B$4,FALSE(),TRUE())))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IF(ISBLANK($C24),"",IF(X24=Constants!$B$3,TRUE(),IF(X24=Constants!$B$4,FALSE(),FALSE())))</f>
        <v/>
      </c>
      <c r="AZ24" s="135" t="str">
        <f aca="false">IF(ISBLANK($C24),"",MIN(Constants!$B$31,MAX(0,IF(ISNUMBER(Y24),Y24*60,0)+IF(ISNUMBER(Z24),Z24,0))))</f>
        <v/>
      </c>
      <c r="BA24" s="135" t="str">
        <f aca="false">IF(ISBLANK($C24),"",IF(AA24=Constants!$B$3,TRUE(),IF(AA24=Constants!$B$4,FALSE(),FALSE())))</f>
        <v/>
      </c>
      <c r="BB24" s="134" t="str">
        <f aca="false">IF(ISBLANK($C24),"",AND($AL24,OR($AM24="",$AN24="",AND($AO24,$AP24=""))))</f>
        <v/>
      </c>
      <c r="BC24" s="137" t="str">
        <f aca="false">IF($BZ24&lt;&gt;Constants!$B$8,"",IF($AL24,Constants!$B$21*$AN24+Constants!$B$22*IF($AO24,$AP24,Constants!$B$23),Constants!$B$24))</f>
        <v/>
      </c>
      <c r="BD24" s="138" t="str">
        <f aca="false">IF($BZ24&lt;&gt;Constants!$B$8,"",Constants!$B$25*ABS($AD$9-IF($AL24,$AM24,0)))</f>
        <v/>
      </c>
      <c r="BE24" s="138" t="str">
        <f aca="false">IF($BZ24&lt;&gt;Constants!$B$8,"",IF(AND($AL24,$AQ24,$AO24),Constants!$B$27,0))</f>
        <v/>
      </c>
      <c r="BF24" s="138" t="str">
        <f aca="false">IF($BZ24&lt;&gt;Constants!$B$8,"",IF($AL24,($AI24-Constants!$B$29)*Constants!$B$28,0))</f>
        <v/>
      </c>
      <c r="BG24" s="138" t="str">
        <f aca="false">IF($BZ24&lt;&gt;Constants!$B$8,"",IF($AK24,0,Constants!$B$15)+IF($AJ24,0,Constants!$B$16)+IF($AH24,0,Constants!$B$17))</f>
        <v/>
      </c>
      <c r="BH24" s="139" t="str">
        <f aca="false">IF($BZ24&lt;&gt;Constants!$B$8,"",Constants!$B$20+SUM($BC24:$BG24))</f>
        <v/>
      </c>
      <c r="BI24" s="138" t="str">
        <f aca="false">IF($BZ24&lt;&gt;Constants!$B$8,"",$BC24)</f>
        <v/>
      </c>
      <c r="BJ24" s="138" t="str">
        <f aca="false">IF($BZ24&lt;&gt;Constants!$B$8,"",$BD24)</f>
        <v/>
      </c>
      <c r="BK24" s="138" t="str">
        <f aca="false">IF($BZ24&lt;&gt;Constants!$B$8,"",IF($AL24,$AN24,""))</f>
        <v/>
      </c>
      <c r="BL24" s="140" t="str">
        <f aca="false">IF($BZ24&lt;&gt;Constants!$B$8,"",$AI24)</f>
        <v/>
      </c>
      <c r="BM24" s="135" t="str">
        <f aca="false">IF($BZ24&lt;&gt;Constants!$B$8,"",IF(OR($BT24&lt;$BH24,AND($BT24=$BH24,OR($BU24&lt;$BI24,AND($BU24=$BI24,OR($BV24&lt;$BJ24,AND($BV24=$BJ24,OR(AND(ISNUMBER($BW24),OR(NOT(ISNUMBER($BK24)),$BW24&lt;$BK24)),AND(OR(AND($BW24="",$BK24=""),AND(ISNUMBER($BW24),ISNUMBER($BK24),$BW24=$BK24)),$BX24&lt;$BL24)))))))),"-&gt;","&lt;-"))</f>
        <v/>
      </c>
      <c r="BN24" s="134" t="str">
        <f aca="false">IF(ISBLANK($C24),"",AND($AT24,OR($AU24="",$AV24="",AND($AW24,$AX24=""))))</f>
        <v/>
      </c>
      <c r="BO24" s="137" t="str">
        <f aca="false">IF($BZ24&lt;&gt;Constants!$B$8,"",IF($AT24,Constants!$B$21*$AV24+Constants!$B$22*IF($AW24,$AX24,Constants!$B$23),Constants!$B$24))</f>
        <v/>
      </c>
      <c r="BP24" s="138" t="str">
        <f aca="false">IF($BZ24&lt;&gt;Constants!$B$8,"",Constants!$B$25*ABS($AD$9-IF($AT24,$AU24,0)))</f>
        <v/>
      </c>
      <c r="BQ24" s="138" t="str">
        <f aca="false">IF($BZ24&lt;&gt;Constants!$B$8,"",IF(AND($AT24,$AY24,$AW24),Constants!$B$27,0))</f>
        <v/>
      </c>
      <c r="BR24" s="138" t="str">
        <f aca="false">IF($BZ24&lt;&gt;Constants!$B$8,"",IF($AT24,($AI24-Constants!$B$29)*Constants!$B$28,0))</f>
        <v/>
      </c>
      <c r="BS24" s="138" t="str">
        <f aca="false">IF($BZ24&lt;&gt;Constants!$B$8,"",IF($AS24,0,Constants!$B$15)+IF($AR24,0,Constants!$B$16)+IF($AH24,0,Constants!$B$17))</f>
        <v/>
      </c>
      <c r="BT24" s="139" t="str">
        <f aca="false">IF($BZ24&lt;&gt;Constants!$B$8,"",Constants!$B$20+SUM($BO24:$BS24))</f>
        <v/>
      </c>
      <c r="BU24" s="138" t="str">
        <f aca="false">IF($BZ24&lt;&gt;Constants!$B$8,"",$BO24)</f>
        <v/>
      </c>
      <c r="BV24" s="138" t="str">
        <f aca="false">IF($BZ24&lt;&gt;Constants!$B$8,"",$BP24)</f>
        <v/>
      </c>
      <c r="BW24" s="138" t="str">
        <f aca="false">IF($BZ24&lt;&gt;Constants!$B$8,"",IF($AT24,$AV24,""))</f>
        <v/>
      </c>
      <c r="BX24" s="140" t="str">
        <f aca="false">IF($BZ24&lt;&gt;Constants!$B$8,"",$AI24)</f>
        <v/>
      </c>
      <c r="BY24" s="135" t="str">
        <f aca="false">IF(ISBLANK($C24),"",IF(ISBLANK($D$7),$BY$5,IF(NOT(ISNUMBER($D$7)),$BY$6,"")))</f>
        <v/>
      </c>
      <c r="BZ24" s="135" t="str">
        <f aca="false">IF(ISBLANK($C24),"",IF($BA24,Constants!$B$11,IF(COUNTA($E24:$AA24)=0,Constants!$B$10,IF(NOT($AG24),Constants!$B$9,IF(OR($BY24&lt;&gt;"",$BB24,$BN24),Constants!$B$12,Constants!$B$8)))))</f>
        <v/>
      </c>
      <c r="CA24" s="135" t="str">
        <f aca="false">IF(ISBLANK($C24),"",IF($BZ24&lt;&gt;Constants!$B$8,$BZ24,Constants!$B$13))</f>
        <v/>
      </c>
      <c r="CB24" s="138" t="str">
        <f aca="false">IF($BZ24&lt;&gt;Constants!$B$8,"",IF($BM24="-&gt;",$BT24,$BH24))</f>
        <v/>
      </c>
      <c r="CC24" s="138" t="str">
        <f aca="false">IF($BZ24&lt;&gt;Constants!$B$8,"",IF($AF24,0,Constants!$B$18))</f>
        <v/>
      </c>
      <c r="CD24" s="138" t="str">
        <f aca="false">IF($BZ24&lt;&gt;Constants!$B$8,"",((Constants!$B$31-$AZ24)-Constants!$B$31)/Constants!$B$32)</f>
        <v/>
      </c>
      <c r="CE24" s="138" t="str">
        <f aca="false">IF(ISBLANK($C24),"",IF($BZ24&lt;&gt;Constants!$B$8,$BZ24,SUM($CB24:$CD24)))</f>
        <v/>
      </c>
      <c r="CF24" s="135" t="str">
        <f aca="false">IF(ISBLANK($C24),"",IF($BZ24&lt;&gt;Constants!$B$8,$BZ24,RANK($CE24,$CE$9:$CE$508,1)))</f>
        <v/>
      </c>
      <c r="CG24" s="138" t="str">
        <f aca="false">IF($BZ24&lt;&gt;Constants!$B$8,"",IF($BM24="-&gt;",$BU24,$BI24))</f>
        <v/>
      </c>
      <c r="CH24" s="135" t="str">
        <f aca="false">IF(ISBLANK($C24),"",IF($BZ24&lt;&gt;Constants!$B$8,$BZ24,IF(ISNUMBER($CG24),RANK($CG24,$CG$9:$CG$508,1),COUNT($CG$9:$CG$508)+1)))</f>
        <v/>
      </c>
      <c r="CI24" s="138" t="str">
        <f aca="false">IF($BZ24&lt;&gt;Constants!$B$8,"",IF($BM24="-&gt;",$BV24,$BJ24))</f>
        <v/>
      </c>
      <c r="CJ24" s="135" t="str">
        <f aca="false">IF(ISBLANK($C24),"",IF($BZ24&lt;&gt;Constants!$B$8,$BZ24,IF(ISNUMBER($CI24),RANK($CI24,$CI$9:$CI$508,1),COUNT($CI$9:$CI$508)+1)))</f>
        <v/>
      </c>
      <c r="CK24" s="138" t="str">
        <f aca="false">IF($BZ24&lt;&gt;Constants!$B$8,"",IF($BM24="-&gt;",$BW24,$BK24))</f>
        <v/>
      </c>
      <c r="CL24" s="135" t="str">
        <f aca="false">IF(ISBLANK($C24),"",IF($BZ24&lt;&gt;Constants!$B$8,$BZ24,IF(ISNUMBER($CK24),RANK($CK24,$CK$9:$CK$508,1),COUNT($CK$9:$CK$508)+1)))</f>
        <v/>
      </c>
      <c r="CM24" s="138" t="str">
        <f aca="false">IF($BZ24&lt;&gt;Constants!$B$8,"",IF(AND(NOT($AL24),NOT($AT24),$AJ24,$AK24,$AR24,$AS24),"",IF($BM24="-&gt;",$BX24,$BL24)))</f>
        <v/>
      </c>
      <c r="CN24" s="135" t="str">
        <f aca="false">IF(ISBLANK($C24),"",IF($BZ24&lt;&gt;Constants!$B$8,$BZ24,IF(ISNUMBER($CM24),RANK($CM24,$CM$9:$CM$508,1),COUNT($CM$9:$CM$508)+1)))</f>
        <v/>
      </c>
      <c r="CO24" s="135" t="str">
        <f aca="false">IF(ISBLANK($C24),"",IF($BZ24&lt;&gt;Constants!$B$8,$BZ24,COUNTIFS($CF$9:$CF$508,"&lt;"&amp;$CF24)+COUNTIFS($CF$9:$CF$508,$CF24,$CH$9:$CH$508,"&lt;"&amp;$CH24)+COUNTIFS($CF$9:$CF$508,$CF24,$CH$9:$CH$508,$CH24,$CJ$9:$CJ$508,"&lt;"&amp;$CJ24)+COUNTIFS($CF$9:$CF$508,$CF24,$CH$9:$CH$508,$CH24,$CJ$9:$CJ$508,$CJ24,$CL$9:$CL$508,"&lt;"&amp;$CL24)+COUNTIFS($CF$9:$CF$508,$CF24,$CH$9:$CH$508,$CH24,$CJ$9:$CJ$508,$CJ24,$CL$9:$CL$508,$CL24,$CN$9:$CN$508,"&lt;"&amp;$CN24)+1))</f>
        <v/>
      </c>
      <c r="CP24" s="135" t="str">
        <f aca="false">IF(ISBLANK($C24),"",IF($BZ24&lt;&gt;Constants!$B$8,$BZ24,$CF24-$CO24))</f>
        <v/>
      </c>
      <c r="CQ24" s="141"/>
      <c r="CR24" s="142"/>
      <c r="CS24" s="143" t="str">
        <f aca="false">IF(ISBLANK($C24),"",IF($BZ24=Constants!$B$12,$BY24,""))</f>
        <v/>
      </c>
      <c r="CT24" s="142" t="str">
        <f aca="false">IF(ISBLANK($C24),"",IF($BZ24&lt;&gt;Constants!$B$8,"",IF($BM24="-&gt;",2,1)))</f>
        <v/>
      </c>
      <c r="CU24" s="144" t="str">
        <f aca="false">IF(ISBLANK($C24),"",IF($BZ24&lt;&gt;Constants!$B$8,"",IF($BM24="-&gt;",$BO24,$BC24)))</f>
        <v/>
      </c>
      <c r="CV24" s="144" t="str">
        <f aca="false">IF(ISBLANK($C24),"",IF($BZ24&lt;&gt;Constants!$B$8,"",IF($BM24="-&gt;",$BP24,$BD24)))</f>
        <v/>
      </c>
      <c r="CW24" s="144" t="str">
        <f aca="false">IF(ISBLANK($C24),"",IF($BZ24&lt;&gt;Constants!$B$8,"",IF($BM24="-&gt;",$BQ24+$BR24,$BE24+$BF24)+$CD24))</f>
        <v/>
      </c>
      <c r="CX24" s="144" t="str">
        <f aca="false">IF(ISBLANK($C24),"",IF($BZ24&lt;&gt;Constants!$B$8,"",IF($BM24="-&gt;",$BS24,$BG24)+$CC24))</f>
        <v/>
      </c>
      <c r="CY24" s="145" t="str">
        <f aca="false">IF(ISBLANK($C24),"",IF($BZ24&lt;&gt;Constants!$B$8,$BZ24,$CE24))</f>
        <v/>
      </c>
      <c r="CZ24" s="146" t="str">
        <f aca="false">IF(ISBLANK($C24),"",$CA24)</f>
        <v/>
      </c>
      <c r="DA24" s="147" t="str">
        <f aca="false">IF(ISBLANK($C24),"",$CP24)</f>
        <v/>
      </c>
      <c r="DB24" s="147" t="str">
        <f aca="false">IF(ISBLANK($C24),"",$CO24)</f>
        <v/>
      </c>
      <c r="DC24" s="148" t="str">
        <f aca="false">IF(ISBLANK($C24),"",IFERROR(_xlfn.SWITCH($DB24,Constants!$B$11,COUNTA($C$9:$C$508)+2,Constants!$B$10,COUNTA($C$9:$C$508)+1,Constants!$B$9,COUNTA($C$9:$C$508)),$DB24))</f>
        <v/>
      </c>
      <c r="DD24" s="9"/>
      <c r="DE24" s="149" t="n">
        <f aca="false">IF(OR(ISNUMBER($DB24),$DB24=Constants!$B$11,$DB24=Constants!$B$9,$DB24=Constants!$B$10),1,0)</f>
        <v>0</v>
      </c>
      <c r="DF24" s="149" t="n">
        <v>16</v>
      </c>
      <c r="DG24" s="149" t="str">
        <f aca="false">IF(ISBLANK($C24),"",IF(ISNUMBER($DC24),$DC24+ROW($B24)/1000,""))</f>
        <v/>
      </c>
      <c r="DH24" s="149" t="str">
        <f aca="false">IF(ISNUMBER($DG24),RANK($DG24,$DG$9:$DG$508,1),"")</f>
        <v/>
      </c>
      <c r="DI24" s="149" t="str">
        <f aca="false">IF(ISBLANK($C24),"",$B24)</f>
        <v/>
      </c>
      <c r="DJ24" s="149" t="str">
        <f aca="false">IF(ISBLANK($C24),"",$C24)</f>
        <v/>
      </c>
      <c r="DK24" s="149" t="str">
        <f aca="false">IF(ISBLANK($C24),"",$D24)</f>
        <v/>
      </c>
      <c r="DL24" s="150" t="str">
        <f aca="false">$CZ24</f>
        <v/>
      </c>
      <c r="DM24" s="151" t="str">
        <f aca="false">$CY24</f>
        <v/>
      </c>
      <c r="DN24" s="149" t="str">
        <f aca="false">IF(ISBLANK($C24),"",$DB24)</f>
        <v/>
      </c>
      <c r="DO24" s="152" t="str">
        <f aca="false">IF($DF24&gt;$DE$8,"",VLOOKUP($DF24,$DH$9:$DN$508,7,FALSE()))</f>
        <v/>
      </c>
      <c r="DP24" s="153" t="str">
        <f aca="false">IF($DF24&gt;$DE$8,"",VLOOKUP($DF24,$DH$9:$DN$508,2,FALSE()))</f>
        <v/>
      </c>
      <c r="DQ24" s="153" t="str">
        <f aca="false">IF($DF24&gt;$DE$8,"",VLOOKUP($DF24,$DH$9:$DN$508,3,FALSE()))</f>
        <v/>
      </c>
      <c r="DR24" s="153" t="str">
        <f aca="false">IF($DF24&gt;$DE$8,"",VLOOKUP($DF24,$DH$9:$DN$508,4,FALSE()))</f>
        <v/>
      </c>
      <c r="DS24" s="153" t="str">
        <f aca="false">IF($DF24&gt;$DE$8,"",VLOOKUP($DF24,$DH$9:$DN$508,5,FALSE()))</f>
        <v/>
      </c>
      <c r="DT24" s="154" t="str">
        <f aca="false">IF($DF24&gt;$DE$8,"",VLOOKUP($DF24,$DH$9:$DN$508,6,FALSE()))</f>
        <v/>
      </c>
      <c r="DU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IF(ISBLANK($C25),"",IF(E25=Constants!$B$3,TRUE(),IF(E25=Constants!$B$4,FALSE(),TRUE())))</f>
        <v/>
      </c>
      <c r="AG25" s="135" t="str">
        <f aca="false">IF(ISBLANK($C25),"",IF(F25=Constants!$B$3,TRUE(),IF(F25=Constants!$B$4,FALSE(),TRUE())))</f>
        <v/>
      </c>
      <c r="AH25" s="135" t="str">
        <f aca="false">IF(ISBLANK($C25),"",IF(G25=Constants!$B$3,TRUE(),IF(G25=Constants!$B$4,FALSE(),TRUE())))</f>
        <v/>
      </c>
      <c r="AI25" s="135" t="str">
        <f aca="false">IF(ISBLANK($C25),"",IF(AND(ISNUMBER(H25),H25&gt;=0),H25,Constants!$B$29))</f>
        <v/>
      </c>
      <c r="AJ25" s="135" t="str">
        <f aca="false">IF(ISBLANK($C25),"",IF(I25=Constants!$B$3,TRUE(),IF(I25=Constants!$B$4,FALSE(),TRUE())))</f>
        <v/>
      </c>
      <c r="AK25" s="135" t="str">
        <f aca="false">IF(ISBLANK($C25),"",IF(J25=Constants!$B$3,TRUE(),IF(J25=Constants!$B$4,FALSE(),TRUE())))</f>
        <v/>
      </c>
      <c r="AL25" s="135" t="str">
        <f aca="false">IF(ISBLANK($C25),"",IF(K25=Constants!$B$5,TRUE(),IF(K25=Constants!$B$6,FALSE(),COUNTA(L25:P25)&gt;0)))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IF(ISBLANK($C25),"",IF(N25=Constants!$B$3,TRUE(),IF(N25=Constants!$B$4,FALSE(),TRUE())))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IF(ISBLANK($C25),"",IF(P25=Constants!$B$3,TRUE(),IF(P25=Constants!$B$4,FALSE(),FALSE())))</f>
        <v/>
      </c>
      <c r="AR25" s="135" t="str">
        <f aca="false">IF(ISBLANK($C25),"",IF(Q25=Constants!$B$3,TRUE(),IF(Q25=Constants!$B$4,FALSE(),TRUE())))</f>
        <v/>
      </c>
      <c r="AS25" s="135" t="str">
        <f aca="false">IF(ISBLANK($C25),"",IF(R25=Constants!$B$3,TRUE(),IF(R25=Constants!$B$4,FALSE(),TRUE())))</f>
        <v/>
      </c>
      <c r="AT25" s="135" t="str">
        <f aca="false">IF(ISBLANK($C25),"",IF(S25=Constants!$B$5,TRUE(),IF(S25=Constants!$B$6,FALSE(),COUNTA(T25:X25)&gt;0)))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IF(ISBLANK($C25),"",IF(V25=Constants!$B$3,TRUE(),IF(V25=Constants!$B$4,FALSE(),TRUE())))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IF(ISBLANK($C25),"",IF(X25=Constants!$B$3,TRUE(),IF(X25=Constants!$B$4,FALSE(),FALSE())))</f>
        <v/>
      </c>
      <c r="AZ25" s="135" t="str">
        <f aca="false">IF(ISBLANK($C25),"",MIN(Constants!$B$31,MAX(0,IF(ISNUMBER(Y25),Y25*60,0)+IF(ISNUMBER(Z25),Z25,0))))</f>
        <v/>
      </c>
      <c r="BA25" s="135" t="str">
        <f aca="false">IF(ISBLANK($C25),"",IF(AA25=Constants!$B$3,TRUE(),IF(AA25=Constants!$B$4,FALSE(),FALSE())))</f>
        <v/>
      </c>
      <c r="BB25" s="134" t="str">
        <f aca="false">IF(ISBLANK($C25),"",AND($AL25,OR($AM25="",$AN25="",AND($AO25,$AP25=""))))</f>
        <v/>
      </c>
      <c r="BC25" s="137" t="str">
        <f aca="false">IF($BZ25&lt;&gt;Constants!$B$8,"",IF($AL25,Constants!$B$21*$AN25+Constants!$B$22*IF($AO25,$AP25,Constants!$B$23),Constants!$B$24))</f>
        <v/>
      </c>
      <c r="BD25" s="138" t="str">
        <f aca="false">IF($BZ25&lt;&gt;Constants!$B$8,"",Constants!$B$25*ABS($AD$9-IF($AL25,$AM25,0)))</f>
        <v/>
      </c>
      <c r="BE25" s="138" t="str">
        <f aca="false">IF($BZ25&lt;&gt;Constants!$B$8,"",IF(AND($AL25,$AQ25,$AO25),Constants!$B$27,0))</f>
        <v/>
      </c>
      <c r="BF25" s="138" t="str">
        <f aca="false">IF($BZ25&lt;&gt;Constants!$B$8,"",IF($AL25,($AI25-Constants!$B$29)*Constants!$B$28,0))</f>
        <v/>
      </c>
      <c r="BG25" s="138" t="str">
        <f aca="false">IF($BZ25&lt;&gt;Constants!$B$8,"",IF($AK25,0,Constants!$B$15)+IF($AJ25,0,Constants!$B$16)+IF($AH25,0,Constants!$B$17))</f>
        <v/>
      </c>
      <c r="BH25" s="139" t="str">
        <f aca="false">IF($BZ25&lt;&gt;Constants!$B$8,"",Constants!$B$20+SUM($BC25:$BG25))</f>
        <v/>
      </c>
      <c r="BI25" s="138" t="str">
        <f aca="false">IF($BZ25&lt;&gt;Constants!$B$8,"",$BC25)</f>
        <v/>
      </c>
      <c r="BJ25" s="138" t="str">
        <f aca="false">IF($BZ25&lt;&gt;Constants!$B$8,"",$BD25)</f>
        <v/>
      </c>
      <c r="BK25" s="138" t="str">
        <f aca="false">IF($BZ25&lt;&gt;Constants!$B$8,"",IF($AL25,$AN25,""))</f>
        <v/>
      </c>
      <c r="BL25" s="140" t="str">
        <f aca="false">IF($BZ25&lt;&gt;Constants!$B$8,"",$AI25)</f>
        <v/>
      </c>
      <c r="BM25" s="135" t="str">
        <f aca="false">IF($BZ25&lt;&gt;Constants!$B$8,"",IF(OR($BT25&lt;$BH25,AND($BT25=$BH25,OR($BU25&lt;$BI25,AND($BU25=$BI25,OR($BV25&lt;$BJ25,AND($BV25=$BJ25,OR(AND(ISNUMBER($BW25),OR(NOT(ISNUMBER($BK25)),$BW25&lt;$BK25)),AND(OR(AND($BW25="",$BK25=""),AND(ISNUMBER($BW25),ISNUMBER($BK25),$BW25=$BK25)),$BX25&lt;$BL25)))))))),"-&gt;","&lt;-"))</f>
        <v/>
      </c>
      <c r="BN25" s="134" t="str">
        <f aca="false">IF(ISBLANK($C25),"",AND($AT25,OR($AU25="",$AV25="",AND($AW25,$AX25=""))))</f>
        <v/>
      </c>
      <c r="BO25" s="137" t="str">
        <f aca="false">IF($BZ25&lt;&gt;Constants!$B$8,"",IF($AT25,Constants!$B$21*$AV25+Constants!$B$22*IF($AW25,$AX25,Constants!$B$23),Constants!$B$24))</f>
        <v/>
      </c>
      <c r="BP25" s="138" t="str">
        <f aca="false">IF($BZ25&lt;&gt;Constants!$B$8,"",Constants!$B$25*ABS($AD$9-IF($AT25,$AU25,0)))</f>
        <v/>
      </c>
      <c r="BQ25" s="138" t="str">
        <f aca="false">IF($BZ25&lt;&gt;Constants!$B$8,"",IF(AND($AT25,$AY25,$AW25),Constants!$B$27,0))</f>
        <v/>
      </c>
      <c r="BR25" s="138" t="str">
        <f aca="false">IF($BZ25&lt;&gt;Constants!$B$8,"",IF($AT25,($AI25-Constants!$B$29)*Constants!$B$28,0))</f>
        <v/>
      </c>
      <c r="BS25" s="138" t="str">
        <f aca="false">IF($BZ25&lt;&gt;Constants!$B$8,"",IF($AS25,0,Constants!$B$15)+IF($AR25,0,Constants!$B$16)+IF($AH25,0,Constants!$B$17))</f>
        <v/>
      </c>
      <c r="BT25" s="139" t="str">
        <f aca="false">IF($BZ25&lt;&gt;Constants!$B$8,"",Constants!$B$20+SUM($BO25:$BS25))</f>
        <v/>
      </c>
      <c r="BU25" s="138" t="str">
        <f aca="false">IF($BZ25&lt;&gt;Constants!$B$8,"",$BO25)</f>
        <v/>
      </c>
      <c r="BV25" s="138" t="str">
        <f aca="false">IF($BZ25&lt;&gt;Constants!$B$8,"",$BP25)</f>
        <v/>
      </c>
      <c r="BW25" s="138" t="str">
        <f aca="false">IF($BZ25&lt;&gt;Constants!$B$8,"",IF($AT25,$AV25,""))</f>
        <v/>
      </c>
      <c r="BX25" s="140" t="str">
        <f aca="false">IF($BZ25&lt;&gt;Constants!$B$8,"",$AI25)</f>
        <v/>
      </c>
      <c r="BY25" s="135" t="str">
        <f aca="false">IF(ISBLANK($C25),"",IF(ISBLANK($D$7),$BY$5,IF(NOT(ISNUMBER($D$7)),$BY$6,"")))</f>
        <v/>
      </c>
      <c r="BZ25" s="135" t="str">
        <f aca="false">IF(ISBLANK($C25),"",IF($BA25,Constants!$B$11,IF(COUNTA($E25:$AA25)=0,Constants!$B$10,IF(NOT($AG25),Constants!$B$9,IF(OR($BY25&lt;&gt;"",$BB25,$BN25),Constants!$B$12,Constants!$B$8)))))</f>
        <v/>
      </c>
      <c r="CA25" s="135" t="str">
        <f aca="false">IF(ISBLANK($C25),"",IF($BZ25&lt;&gt;Constants!$B$8,$BZ25,Constants!$B$13))</f>
        <v/>
      </c>
      <c r="CB25" s="138" t="str">
        <f aca="false">IF($BZ25&lt;&gt;Constants!$B$8,"",IF($BM25="-&gt;",$BT25,$BH25))</f>
        <v/>
      </c>
      <c r="CC25" s="138" t="str">
        <f aca="false">IF($BZ25&lt;&gt;Constants!$B$8,"",IF($AF25,0,Constants!$B$18))</f>
        <v/>
      </c>
      <c r="CD25" s="138" t="str">
        <f aca="false">IF($BZ25&lt;&gt;Constants!$B$8,"",((Constants!$B$31-$AZ25)-Constants!$B$31)/Constants!$B$32)</f>
        <v/>
      </c>
      <c r="CE25" s="138" t="str">
        <f aca="false">IF(ISBLANK($C25),"",IF($BZ25&lt;&gt;Constants!$B$8,$BZ25,SUM($CB25:$CD25)))</f>
        <v/>
      </c>
      <c r="CF25" s="135" t="str">
        <f aca="false">IF(ISBLANK($C25),"",IF($BZ25&lt;&gt;Constants!$B$8,$BZ25,RANK($CE25,$CE$9:$CE$508,1)))</f>
        <v/>
      </c>
      <c r="CG25" s="138" t="str">
        <f aca="false">IF($BZ25&lt;&gt;Constants!$B$8,"",IF($BM25="-&gt;",$BU25,$BI25))</f>
        <v/>
      </c>
      <c r="CH25" s="135" t="str">
        <f aca="false">IF(ISBLANK($C25),"",IF($BZ25&lt;&gt;Constants!$B$8,$BZ25,IF(ISNUMBER($CG25),RANK($CG25,$CG$9:$CG$508,1),COUNT($CG$9:$CG$508)+1)))</f>
        <v/>
      </c>
      <c r="CI25" s="138" t="str">
        <f aca="false">IF($BZ25&lt;&gt;Constants!$B$8,"",IF($BM25="-&gt;",$BV25,$BJ25))</f>
        <v/>
      </c>
      <c r="CJ25" s="135" t="str">
        <f aca="false">IF(ISBLANK($C25),"",IF($BZ25&lt;&gt;Constants!$B$8,$BZ25,IF(ISNUMBER($CI25),RANK($CI25,$CI$9:$CI$508,1),COUNT($CI$9:$CI$508)+1)))</f>
        <v/>
      </c>
      <c r="CK25" s="138" t="str">
        <f aca="false">IF($BZ25&lt;&gt;Constants!$B$8,"",IF($BM25="-&gt;",$BW25,$BK25))</f>
        <v/>
      </c>
      <c r="CL25" s="135" t="str">
        <f aca="false">IF(ISBLANK($C25),"",IF($BZ25&lt;&gt;Constants!$B$8,$BZ25,IF(ISNUMBER($CK25),RANK($CK25,$CK$9:$CK$508,1),COUNT($CK$9:$CK$508)+1)))</f>
        <v/>
      </c>
      <c r="CM25" s="138" t="str">
        <f aca="false">IF($BZ25&lt;&gt;Constants!$B$8,"",IF(AND(NOT($AL25),NOT($AT25),$AJ25,$AK25,$AR25,$AS25),"",IF($BM25="-&gt;",$BX25,$BL25)))</f>
        <v/>
      </c>
      <c r="CN25" s="135" t="str">
        <f aca="false">IF(ISBLANK($C25),"",IF($BZ25&lt;&gt;Constants!$B$8,$BZ25,IF(ISNUMBER($CM25),RANK($CM25,$CM$9:$CM$508,1),COUNT($CM$9:$CM$508)+1)))</f>
        <v/>
      </c>
      <c r="CO25" s="135" t="str">
        <f aca="false">IF(ISBLANK($C25),"",IF($BZ25&lt;&gt;Constants!$B$8,$BZ25,COUNTIFS($CF$9:$CF$508,"&lt;"&amp;$CF25)+COUNTIFS($CF$9:$CF$508,$CF25,$CH$9:$CH$508,"&lt;"&amp;$CH25)+COUNTIFS($CF$9:$CF$508,$CF25,$CH$9:$CH$508,$CH25,$CJ$9:$CJ$508,"&lt;"&amp;$CJ25)+COUNTIFS($CF$9:$CF$508,$CF25,$CH$9:$CH$508,$CH25,$CJ$9:$CJ$508,$CJ25,$CL$9:$CL$508,"&lt;"&amp;$CL25)+COUNTIFS($CF$9:$CF$508,$CF25,$CH$9:$CH$508,$CH25,$CJ$9:$CJ$508,$CJ25,$CL$9:$CL$508,$CL25,$CN$9:$CN$508,"&lt;"&amp;$CN25)+1))</f>
        <v/>
      </c>
      <c r="CP25" s="135" t="str">
        <f aca="false">IF(ISBLANK($C25),"",IF($BZ25&lt;&gt;Constants!$B$8,$BZ25,$CF25-$CO25))</f>
        <v/>
      </c>
      <c r="CQ25" s="141"/>
      <c r="CR25" s="142"/>
      <c r="CS25" s="143" t="str">
        <f aca="false">IF(ISBLANK($C25),"",IF($BZ25=Constants!$B$12,$BY25,""))</f>
        <v/>
      </c>
      <c r="CT25" s="142" t="str">
        <f aca="false">IF(ISBLANK($C25),"",IF($BZ25&lt;&gt;Constants!$B$8,"",IF($BM25="-&gt;",2,1)))</f>
        <v/>
      </c>
      <c r="CU25" s="144" t="str">
        <f aca="false">IF(ISBLANK($C25),"",IF($BZ25&lt;&gt;Constants!$B$8,"",IF($BM25="-&gt;",$BO25,$BC25)))</f>
        <v/>
      </c>
      <c r="CV25" s="144" t="str">
        <f aca="false">IF(ISBLANK($C25),"",IF($BZ25&lt;&gt;Constants!$B$8,"",IF($BM25="-&gt;",$BP25,$BD25)))</f>
        <v/>
      </c>
      <c r="CW25" s="144" t="str">
        <f aca="false">IF(ISBLANK($C25),"",IF($BZ25&lt;&gt;Constants!$B$8,"",IF($BM25="-&gt;",$BQ25+$BR25,$BE25+$BF25)+$CD25))</f>
        <v/>
      </c>
      <c r="CX25" s="144" t="str">
        <f aca="false">IF(ISBLANK($C25),"",IF($BZ25&lt;&gt;Constants!$B$8,"",IF($BM25="-&gt;",$BS25,$BG25)+$CC25))</f>
        <v/>
      </c>
      <c r="CY25" s="145" t="str">
        <f aca="false">IF(ISBLANK($C25),"",IF($BZ25&lt;&gt;Constants!$B$8,$BZ25,$CE25))</f>
        <v/>
      </c>
      <c r="CZ25" s="146" t="str">
        <f aca="false">IF(ISBLANK($C25),"",$CA25)</f>
        <v/>
      </c>
      <c r="DA25" s="147" t="str">
        <f aca="false">IF(ISBLANK($C25),"",$CP25)</f>
        <v/>
      </c>
      <c r="DB25" s="147" t="str">
        <f aca="false">IF(ISBLANK($C25),"",$CO25)</f>
        <v/>
      </c>
      <c r="DC25" s="148" t="str">
        <f aca="false">IF(ISBLANK($C25),"",IFERROR(_xlfn.SWITCH($DB25,Constants!$B$11,COUNTA($C$9:$C$508)+2,Constants!$B$10,COUNTA($C$9:$C$508)+1,Constants!$B$9,COUNTA($C$9:$C$508)),$DB25))</f>
        <v/>
      </c>
      <c r="DD25" s="9"/>
      <c r="DE25" s="149" t="n">
        <f aca="false">IF(OR(ISNUMBER($DB25),$DB25=Constants!$B$11,$DB25=Constants!$B$9,$DB25=Constants!$B$10),1,0)</f>
        <v>0</v>
      </c>
      <c r="DF25" s="149" t="n">
        <v>17</v>
      </c>
      <c r="DG25" s="149" t="str">
        <f aca="false">IF(ISBLANK($C25),"",IF(ISNUMBER($DC25),$DC25+ROW($B25)/1000,""))</f>
        <v/>
      </c>
      <c r="DH25" s="149" t="str">
        <f aca="false">IF(ISNUMBER($DG25),RANK($DG25,$DG$9:$DG$508,1),"")</f>
        <v/>
      </c>
      <c r="DI25" s="149" t="str">
        <f aca="false">IF(ISBLANK($C25),"",$B25)</f>
        <v/>
      </c>
      <c r="DJ25" s="149" t="str">
        <f aca="false">IF(ISBLANK($C25),"",$C25)</f>
        <v/>
      </c>
      <c r="DK25" s="149" t="str">
        <f aca="false">IF(ISBLANK($C25),"",$D25)</f>
        <v/>
      </c>
      <c r="DL25" s="150" t="str">
        <f aca="false">$CZ25</f>
        <v/>
      </c>
      <c r="DM25" s="151" t="str">
        <f aca="false">$CY25</f>
        <v/>
      </c>
      <c r="DN25" s="149" t="str">
        <f aca="false">IF(ISBLANK($C25),"",$DB25)</f>
        <v/>
      </c>
      <c r="DO25" s="152" t="str">
        <f aca="false">IF($DF25&gt;$DE$8,"",VLOOKUP($DF25,$DH$9:$DN$508,7,FALSE()))</f>
        <v/>
      </c>
      <c r="DP25" s="153" t="str">
        <f aca="false">IF($DF25&gt;$DE$8,"",VLOOKUP($DF25,$DH$9:$DN$508,2,FALSE()))</f>
        <v/>
      </c>
      <c r="DQ25" s="153" t="str">
        <f aca="false">IF($DF25&gt;$DE$8,"",VLOOKUP($DF25,$DH$9:$DN$508,3,FALSE()))</f>
        <v/>
      </c>
      <c r="DR25" s="153" t="str">
        <f aca="false">IF($DF25&gt;$DE$8,"",VLOOKUP($DF25,$DH$9:$DN$508,4,FALSE()))</f>
        <v/>
      </c>
      <c r="DS25" s="153" t="str">
        <f aca="false">IF($DF25&gt;$DE$8,"",VLOOKUP($DF25,$DH$9:$DN$508,5,FALSE()))</f>
        <v/>
      </c>
      <c r="DT25" s="154" t="str">
        <f aca="false">IF($DF25&gt;$DE$8,"",VLOOKUP($DF25,$DH$9:$DN$508,6,FALSE()))</f>
        <v/>
      </c>
      <c r="DU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IF(ISBLANK($C26),"",IF(E26=Constants!$B$3,TRUE(),IF(E26=Constants!$B$4,FALSE(),TRUE())))</f>
        <v/>
      </c>
      <c r="AG26" s="135" t="str">
        <f aca="false">IF(ISBLANK($C26),"",IF(F26=Constants!$B$3,TRUE(),IF(F26=Constants!$B$4,FALSE(),TRUE())))</f>
        <v/>
      </c>
      <c r="AH26" s="135" t="str">
        <f aca="false">IF(ISBLANK($C26),"",IF(G26=Constants!$B$3,TRUE(),IF(G26=Constants!$B$4,FALSE(),TRUE())))</f>
        <v/>
      </c>
      <c r="AI26" s="135" t="str">
        <f aca="false">IF(ISBLANK($C26),"",IF(AND(ISNUMBER(H26),H26&gt;=0),H26,Constants!$B$29))</f>
        <v/>
      </c>
      <c r="AJ26" s="135" t="str">
        <f aca="false">IF(ISBLANK($C26),"",IF(I26=Constants!$B$3,TRUE(),IF(I26=Constants!$B$4,FALSE(),TRUE())))</f>
        <v/>
      </c>
      <c r="AK26" s="135" t="str">
        <f aca="false">IF(ISBLANK($C26),"",IF(J26=Constants!$B$3,TRUE(),IF(J26=Constants!$B$4,FALSE(),TRUE())))</f>
        <v/>
      </c>
      <c r="AL26" s="135" t="str">
        <f aca="false">IF(ISBLANK($C26),"",IF(K26=Constants!$B$5,TRUE(),IF(K26=Constants!$B$6,FALSE(),COUNTA(L26:P26)&gt;0)))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IF(ISBLANK($C26),"",IF(N26=Constants!$B$3,TRUE(),IF(N26=Constants!$B$4,FALSE(),TRUE())))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IF(ISBLANK($C26),"",IF(P26=Constants!$B$3,TRUE(),IF(P26=Constants!$B$4,FALSE(),FALSE())))</f>
        <v/>
      </c>
      <c r="AR26" s="135" t="str">
        <f aca="false">IF(ISBLANK($C26),"",IF(Q26=Constants!$B$3,TRUE(),IF(Q26=Constants!$B$4,FALSE(),TRUE())))</f>
        <v/>
      </c>
      <c r="AS26" s="135" t="str">
        <f aca="false">IF(ISBLANK($C26),"",IF(R26=Constants!$B$3,TRUE(),IF(R26=Constants!$B$4,FALSE(),TRUE())))</f>
        <v/>
      </c>
      <c r="AT26" s="135" t="str">
        <f aca="false">IF(ISBLANK($C26),"",IF(S26=Constants!$B$5,TRUE(),IF(S26=Constants!$B$6,FALSE(),COUNTA(T26:X26)&gt;0)))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IF(ISBLANK($C26),"",IF(V26=Constants!$B$3,TRUE(),IF(V26=Constants!$B$4,FALSE(),TRUE())))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IF(ISBLANK($C26),"",IF(X26=Constants!$B$3,TRUE(),IF(X26=Constants!$B$4,FALSE(),FALSE())))</f>
        <v/>
      </c>
      <c r="AZ26" s="135" t="str">
        <f aca="false">IF(ISBLANK($C26),"",MIN(Constants!$B$31,MAX(0,IF(ISNUMBER(Y26),Y26*60,0)+IF(ISNUMBER(Z26),Z26,0))))</f>
        <v/>
      </c>
      <c r="BA26" s="135" t="str">
        <f aca="false">IF(ISBLANK($C26),"",IF(AA26=Constants!$B$3,TRUE(),IF(AA26=Constants!$B$4,FALSE(),FALSE())))</f>
        <v/>
      </c>
      <c r="BB26" s="134" t="str">
        <f aca="false">IF(ISBLANK($C26),"",AND($AL26,OR($AM26="",$AN26="",AND($AO26,$AP26=""))))</f>
        <v/>
      </c>
      <c r="BC26" s="137" t="str">
        <f aca="false">IF($BZ26&lt;&gt;Constants!$B$8,"",IF($AL26,Constants!$B$21*$AN26+Constants!$B$22*IF($AO26,$AP26,Constants!$B$23),Constants!$B$24))</f>
        <v/>
      </c>
      <c r="BD26" s="138" t="str">
        <f aca="false">IF($BZ26&lt;&gt;Constants!$B$8,"",Constants!$B$25*ABS($AD$9-IF($AL26,$AM26,0)))</f>
        <v/>
      </c>
      <c r="BE26" s="138" t="str">
        <f aca="false">IF($BZ26&lt;&gt;Constants!$B$8,"",IF(AND($AL26,$AQ26,$AO26),Constants!$B$27,0))</f>
        <v/>
      </c>
      <c r="BF26" s="138" t="str">
        <f aca="false">IF($BZ26&lt;&gt;Constants!$B$8,"",IF($AL26,($AI26-Constants!$B$29)*Constants!$B$28,0))</f>
        <v/>
      </c>
      <c r="BG26" s="138" t="str">
        <f aca="false">IF($BZ26&lt;&gt;Constants!$B$8,"",IF($AK26,0,Constants!$B$15)+IF($AJ26,0,Constants!$B$16)+IF($AH26,0,Constants!$B$17))</f>
        <v/>
      </c>
      <c r="BH26" s="139" t="str">
        <f aca="false">IF($BZ26&lt;&gt;Constants!$B$8,"",Constants!$B$20+SUM($BC26:$BG26))</f>
        <v/>
      </c>
      <c r="BI26" s="138" t="str">
        <f aca="false">IF($BZ26&lt;&gt;Constants!$B$8,"",$BC26)</f>
        <v/>
      </c>
      <c r="BJ26" s="138" t="str">
        <f aca="false">IF($BZ26&lt;&gt;Constants!$B$8,"",$BD26)</f>
        <v/>
      </c>
      <c r="BK26" s="138" t="str">
        <f aca="false">IF($BZ26&lt;&gt;Constants!$B$8,"",IF($AL26,$AN26,""))</f>
        <v/>
      </c>
      <c r="BL26" s="140" t="str">
        <f aca="false">IF($BZ26&lt;&gt;Constants!$B$8,"",$AI26)</f>
        <v/>
      </c>
      <c r="BM26" s="135" t="str">
        <f aca="false">IF($BZ26&lt;&gt;Constants!$B$8,"",IF(OR($BT26&lt;$BH26,AND($BT26=$BH26,OR($BU26&lt;$BI26,AND($BU26=$BI26,OR($BV26&lt;$BJ26,AND($BV26=$BJ26,OR(AND(ISNUMBER($BW26),OR(NOT(ISNUMBER($BK26)),$BW26&lt;$BK26)),AND(OR(AND($BW26="",$BK26=""),AND(ISNUMBER($BW26),ISNUMBER($BK26),$BW26=$BK26)),$BX26&lt;$BL26)))))))),"-&gt;","&lt;-"))</f>
        <v/>
      </c>
      <c r="BN26" s="134" t="str">
        <f aca="false">IF(ISBLANK($C26),"",AND($AT26,OR($AU26="",$AV26="",AND($AW26,$AX26=""))))</f>
        <v/>
      </c>
      <c r="BO26" s="137" t="str">
        <f aca="false">IF($BZ26&lt;&gt;Constants!$B$8,"",IF($AT26,Constants!$B$21*$AV26+Constants!$B$22*IF($AW26,$AX26,Constants!$B$23),Constants!$B$24))</f>
        <v/>
      </c>
      <c r="BP26" s="138" t="str">
        <f aca="false">IF($BZ26&lt;&gt;Constants!$B$8,"",Constants!$B$25*ABS($AD$9-IF($AT26,$AU26,0)))</f>
        <v/>
      </c>
      <c r="BQ26" s="138" t="str">
        <f aca="false">IF($BZ26&lt;&gt;Constants!$B$8,"",IF(AND($AT26,$AY26,$AW26),Constants!$B$27,0))</f>
        <v/>
      </c>
      <c r="BR26" s="138" t="str">
        <f aca="false">IF($BZ26&lt;&gt;Constants!$B$8,"",IF($AT26,($AI26-Constants!$B$29)*Constants!$B$28,0))</f>
        <v/>
      </c>
      <c r="BS26" s="138" t="str">
        <f aca="false">IF($BZ26&lt;&gt;Constants!$B$8,"",IF($AS26,0,Constants!$B$15)+IF($AR26,0,Constants!$B$16)+IF($AH26,0,Constants!$B$17))</f>
        <v/>
      </c>
      <c r="BT26" s="139" t="str">
        <f aca="false">IF($BZ26&lt;&gt;Constants!$B$8,"",Constants!$B$20+SUM($BO26:$BS26))</f>
        <v/>
      </c>
      <c r="BU26" s="138" t="str">
        <f aca="false">IF($BZ26&lt;&gt;Constants!$B$8,"",$BO26)</f>
        <v/>
      </c>
      <c r="BV26" s="138" t="str">
        <f aca="false">IF($BZ26&lt;&gt;Constants!$B$8,"",$BP26)</f>
        <v/>
      </c>
      <c r="BW26" s="138" t="str">
        <f aca="false">IF($BZ26&lt;&gt;Constants!$B$8,"",IF($AT26,$AV26,""))</f>
        <v/>
      </c>
      <c r="BX26" s="140" t="str">
        <f aca="false">IF($BZ26&lt;&gt;Constants!$B$8,"",$AI26)</f>
        <v/>
      </c>
      <c r="BY26" s="135" t="str">
        <f aca="false">IF(ISBLANK($C26),"",IF(ISBLANK($D$7),$BY$5,IF(NOT(ISNUMBER($D$7)),$BY$6,"")))</f>
        <v/>
      </c>
      <c r="BZ26" s="135" t="str">
        <f aca="false">IF(ISBLANK($C26),"",IF($BA26,Constants!$B$11,IF(COUNTA($E26:$AA26)=0,Constants!$B$10,IF(NOT($AG26),Constants!$B$9,IF(OR($BY26&lt;&gt;"",$BB26,$BN26),Constants!$B$12,Constants!$B$8)))))</f>
        <v/>
      </c>
      <c r="CA26" s="135" t="str">
        <f aca="false">IF(ISBLANK($C26),"",IF($BZ26&lt;&gt;Constants!$B$8,$BZ26,Constants!$B$13))</f>
        <v/>
      </c>
      <c r="CB26" s="138" t="str">
        <f aca="false">IF($BZ26&lt;&gt;Constants!$B$8,"",IF($BM26="-&gt;",$BT26,$BH26))</f>
        <v/>
      </c>
      <c r="CC26" s="138" t="str">
        <f aca="false">IF($BZ26&lt;&gt;Constants!$B$8,"",IF($AF26,0,Constants!$B$18))</f>
        <v/>
      </c>
      <c r="CD26" s="138" t="str">
        <f aca="false">IF($BZ26&lt;&gt;Constants!$B$8,"",((Constants!$B$31-$AZ26)-Constants!$B$31)/Constants!$B$32)</f>
        <v/>
      </c>
      <c r="CE26" s="138" t="str">
        <f aca="false">IF(ISBLANK($C26),"",IF($BZ26&lt;&gt;Constants!$B$8,$BZ26,SUM($CB26:$CD26)))</f>
        <v/>
      </c>
      <c r="CF26" s="135" t="str">
        <f aca="false">IF(ISBLANK($C26),"",IF($BZ26&lt;&gt;Constants!$B$8,$BZ26,RANK($CE26,$CE$9:$CE$508,1)))</f>
        <v/>
      </c>
      <c r="CG26" s="138" t="str">
        <f aca="false">IF($BZ26&lt;&gt;Constants!$B$8,"",IF($BM26="-&gt;",$BU26,$BI26))</f>
        <v/>
      </c>
      <c r="CH26" s="135" t="str">
        <f aca="false">IF(ISBLANK($C26),"",IF($BZ26&lt;&gt;Constants!$B$8,$BZ26,IF(ISNUMBER($CG26),RANK($CG26,$CG$9:$CG$508,1),COUNT($CG$9:$CG$508)+1)))</f>
        <v/>
      </c>
      <c r="CI26" s="138" t="str">
        <f aca="false">IF($BZ26&lt;&gt;Constants!$B$8,"",IF($BM26="-&gt;",$BV26,$BJ26))</f>
        <v/>
      </c>
      <c r="CJ26" s="135" t="str">
        <f aca="false">IF(ISBLANK($C26),"",IF($BZ26&lt;&gt;Constants!$B$8,$BZ26,IF(ISNUMBER($CI26),RANK($CI26,$CI$9:$CI$508,1),COUNT($CI$9:$CI$508)+1)))</f>
        <v/>
      </c>
      <c r="CK26" s="138" t="str">
        <f aca="false">IF($BZ26&lt;&gt;Constants!$B$8,"",IF($BM26="-&gt;",$BW26,$BK26))</f>
        <v/>
      </c>
      <c r="CL26" s="135" t="str">
        <f aca="false">IF(ISBLANK($C26),"",IF($BZ26&lt;&gt;Constants!$B$8,$BZ26,IF(ISNUMBER($CK26),RANK($CK26,$CK$9:$CK$508,1),COUNT($CK$9:$CK$508)+1)))</f>
        <v/>
      </c>
      <c r="CM26" s="138" t="str">
        <f aca="false">IF($BZ26&lt;&gt;Constants!$B$8,"",IF(AND(NOT($AL26),NOT($AT26),$AJ26,$AK26,$AR26,$AS26),"",IF($BM26="-&gt;",$BX26,$BL26)))</f>
        <v/>
      </c>
      <c r="CN26" s="135" t="str">
        <f aca="false">IF(ISBLANK($C26),"",IF($BZ26&lt;&gt;Constants!$B$8,$BZ26,IF(ISNUMBER($CM26),RANK($CM26,$CM$9:$CM$508,1),COUNT($CM$9:$CM$508)+1)))</f>
        <v/>
      </c>
      <c r="CO26" s="135" t="str">
        <f aca="false">IF(ISBLANK($C26),"",IF($BZ26&lt;&gt;Constants!$B$8,$BZ26,COUNTIFS($CF$9:$CF$508,"&lt;"&amp;$CF26)+COUNTIFS($CF$9:$CF$508,$CF26,$CH$9:$CH$508,"&lt;"&amp;$CH26)+COUNTIFS($CF$9:$CF$508,$CF26,$CH$9:$CH$508,$CH26,$CJ$9:$CJ$508,"&lt;"&amp;$CJ26)+COUNTIFS($CF$9:$CF$508,$CF26,$CH$9:$CH$508,$CH26,$CJ$9:$CJ$508,$CJ26,$CL$9:$CL$508,"&lt;"&amp;$CL26)+COUNTIFS($CF$9:$CF$508,$CF26,$CH$9:$CH$508,$CH26,$CJ$9:$CJ$508,$CJ26,$CL$9:$CL$508,$CL26,$CN$9:$CN$508,"&lt;"&amp;$CN26)+1))</f>
        <v/>
      </c>
      <c r="CP26" s="135" t="str">
        <f aca="false">IF(ISBLANK($C26),"",IF($BZ26&lt;&gt;Constants!$B$8,$BZ26,$CF26-$CO26))</f>
        <v/>
      </c>
      <c r="CQ26" s="141"/>
      <c r="CR26" s="142"/>
      <c r="CS26" s="143" t="str">
        <f aca="false">IF(ISBLANK($C26),"",IF($BZ26=Constants!$B$12,$BY26,""))</f>
        <v/>
      </c>
      <c r="CT26" s="142" t="str">
        <f aca="false">IF(ISBLANK($C26),"",IF($BZ26&lt;&gt;Constants!$B$8,"",IF($BM26="-&gt;",2,1)))</f>
        <v/>
      </c>
      <c r="CU26" s="144" t="str">
        <f aca="false">IF(ISBLANK($C26),"",IF($BZ26&lt;&gt;Constants!$B$8,"",IF($BM26="-&gt;",$BO26,$BC26)))</f>
        <v/>
      </c>
      <c r="CV26" s="144" t="str">
        <f aca="false">IF(ISBLANK($C26),"",IF($BZ26&lt;&gt;Constants!$B$8,"",IF($BM26="-&gt;",$BP26,$BD26)))</f>
        <v/>
      </c>
      <c r="CW26" s="144" t="str">
        <f aca="false">IF(ISBLANK($C26),"",IF($BZ26&lt;&gt;Constants!$B$8,"",IF($BM26="-&gt;",$BQ26+$BR26,$BE26+$BF26)+$CD26))</f>
        <v/>
      </c>
      <c r="CX26" s="144" t="str">
        <f aca="false">IF(ISBLANK($C26),"",IF($BZ26&lt;&gt;Constants!$B$8,"",IF($BM26="-&gt;",$BS26,$BG26)+$CC26))</f>
        <v/>
      </c>
      <c r="CY26" s="145" t="str">
        <f aca="false">IF(ISBLANK($C26),"",IF($BZ26&lt;&gt;Constants!$B$8,$BZ26,$CE26))</f>
        <v/>
      </c>
      <c r="CZ26" s="146" t="str">
        <f aca="false">IF(ISBLANK($C26),"",$CA26)</f>
        <v/>
      </c>
      <c r="DA26" s="147" t="str">
        <f aca="false">IF(ISBLANK($C26),"",$CP26)</f>
        <v/>
      </c>
      <c r="DB26" s="147" t="str">
        <f aca="false">IF(ISBLANK($C26),"",$CO26)</f>
        <v/>
      </c>
      <c r="DC26" s="148" t="str">
        <f aca="false">IF(ISBLANK($C26),"",IFERROR(_xlfn.SWITCH($DB26,Constants!$B$11,COUNTA($C$9:$C$508)+2,Constants!$B$10,COUNTA($C$9:$C$508)+1,Constants!$B$9,COUNTA($C$9:$C$508)),$DB26))</f>
        <v/>
      </c>
      <c r="DD26" s="9"/>
      <c r="DE26" s="149" t="n">
        <f aca="false">IF(OR(ISNUMBER($DB26),$DB26=Constants!$B$11,$DB26=Constants!$B$9,$DB26=Constants!$B$10),1,0)</f>
        <v>0</v>
      </c>
      <c r="DF26" s="149" t="n">
        <v>18</v>
      </c>
      <c r="DG26" s="149" t="str">
        <f aca="false">IF(ISBLANK($C26),"",IF(ISNUMBER($DC26),$DC26+ROW($B26)/1000,""))</f>
        <v/>
      </c>
      <c r="DH26" s="149" t="str">
        <f aca="false">IF(ISNUMBER($DG26),RANK($DG26,$DG$9:$DG$508,1),"")</f>
        <v/>
      </c>
      <c r="DI26" s="149" t="str">
        <f aca="false">IF(ISBLANK($C26),"",$B26)</f>
        <v/>
      </c>
      <c r="DJ26" s="149" t="str">
        <f aca="false">IF(ISBLANK($C26),"",$C26)</f>
        <v/>
      </c>
      <c r="DK26" s="149" t="str">
        <f aca="false">IF(ISBLANK($C26),"",$D26)</f>
        <v/>
      </c>
      <c r="DL26" s="150" t="str">
        <f aca="false">$CZ26</f>
        <v/>
      </c>
      <c r="DM26" s="151" t="str">
        <f aca="false">$CY26</f>
        <v/>
      </c>
      <c r="DN26" s="149" t="str">
        <f aca="false">IF(ISBLANK($C26),"",$DB26)</f>
        <v/>
      </c>
      <c r="DO26" s="152" t="str">
        <f aca="false">IF($DF26&gt;$DE$8,"",VLOOKUP($DF26,$DH$9:$DN$508,7,FALSE()))</f>
        <v/>
      </c>
      <c r="DP26" s="153" t="str">
        <f aca="false">IF($DF26&gt;$DE$8,"",VLOOKUP($DF26,$DH$9:$DN$508,2,FALSE()))</f>
        <v/>
      </c>
      <c r="DQ26" s="153" t="str">
        <f aca="false">IF($DF26&gt;$DE$8,"",VLOOKUP($DF26,$DH$9:$DN$508,3,FALSE()))</f>
        <v/>
      </c>
      <c r="DR26" s="153" t="str">
        <f aca="false">IF($DF26&gt;$DE$8,"",VLOOKUP($DF26,$DH$9:$DN$508,4,FALSE()))</f>
        <v/>
      </c>
      <c r="DS26" s="153" t="str">
        <f aca="false">IF($DF26&gt;$DE$8,"",VLOOKUP($DF26,$DH$9:$DN$508,5,FALSE()))</f>
        <v/>
      </c>
      <c r="DT26" s="154" t="str">
        <f aca="false">IF($DF26&gt;$DE$8,"",VLOOKUP($DF26,$DH$9:$DN$508,6,FALSE()))</f>
        <v/>
      </c>
      <c r="DU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IF(ISBLANK($C27),"",IF(E27=Constants!$B$3,TRUE(),IF(E27=Constants!$B$4,FALSE(),TRUE())))</f>
        <v/>
      </c>
      <c r="AG27" s="93" t="str">
        <f aca="false">IF(ISBLANK($C27),"",IF(F27=Constants!$B$3,TRUE(),IF(F27=Constants!$B$4,FALSE(),TRUE())))</f>
        <v/>
      </c>
      <c r="AH27" s="93" t="str">
        <f aca="false">IF(ISBLANK($C27),"",IF(G27=Constants!$B$3,TRUE(),IF(G27=Constants!$B$4,FALSE(),TRUE())))</f>
        <v/>
      </c>
      <c r="AI27" s="93" t="str">
        <f aca="false">IF(ISBLANK($C27),"",IF(AND(ISNUMBER(H27),H27&gt;=0),H27,Constants!$B$29))</f>
        <v/>
      </c>
      <c r="AJ27" s="93" t="str">
        <f aca="false">IF(ISBLANK($C27),"",IF(I27=Constants!$B$3,TRUE(),IF(I27=Constants!$B$4,FALSE(),TRUE())))</f>
        <v/>
      </c>
      <c r="AK27" s="93" t="str">
        <f aca="false">IF(ISBLANK($C27),"",IF(J27=Constants!$B$3,TRUE(),IF(J27=Constants!$B$4,FALSE(),TRUE())))</f>
        <v/>
      </c>
      <c r="AL27" s="93" t="str">
        <f aca="false">IF(ISBLANK($C27),"",IF(K27=Constants!$B$5,TRUE(),IF(K27=Constants!$B$6,FALSE(),COUNTA(L27:P27)&gt;0)))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IF(ISBLANK($C27),"",IF(N27=Constants!$B$3,TRUE(),IF(N27=Constants!$B$4,FALSE(),TRUE())))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IF(ISBLANK($C27),"",IF(P27=Constants!$B$3,TRUE(),IF(P27=Constants!$B$4,FALSE(),FALSE())))</f>
        <v/>
      </c>
      <c r="AR27" s="93" t="str">
        <f aca="false">IF(ISBLANK($C27),"",IF(Q27=Constants!$B$3,TRUE(),IF(Q27=Constants!$B$4,FALSE(),TRUE())))</f>
        <v/>
      </c>
      <c r="AS27" s="93" t="str">
        <f aca="false">IF(ISBLANK($C27),"",IF(R27=Constants!$B$3,TRUE(),IF(R27=Constants!$B$4,FALSE(),TRUE())))</f>
        <v/>
      </c>
      <c r="AT27" s="93" t="str">
        <f aca="false">IF(ISBLANK($C27),"",IF(S27=Constants!$B$5,TRUE(),IF(S27=Constants!$B$6,FALSE(),COUNTA(T27:X27)&gt;0)))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IF(ISBLANK($C27),"",IF(V27=Constants!$B$3,TRUE(),IF(V27=Constants!$B$4,FALSE(),TRUE())))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IF(ISBLANK($C27),"",IF(X27=Constants!$B$3,TRUE(),IF(X27=Constants!$B$4,FALSE(),FALSE())))</f>
        <v/>
      </c>
      <c r="AZ27" s="93" t="str">
        <f aca="false">IF(ISBLANK($C27),"",MIN(Constants!$B$31,MAX(0,IF(ISNUMBER(Y27),Y27*60,0)+IF(ISNUMBER(Z27),Z27,0))))</f>
        <v/>
      </c>
      <c r="BA27" s="93" t="str">
        <f aca="false">IF(ISBLANK($C27),"",IF(AA27=Constants!$B$3,TRUE(),IF(AA27=Constants!$B$4,FALSE(),FALSE())))</f>
        <v/>
      </c>
      <c r="BB27" s="92" t="str">
        <f aca="false">IF(ISBLANK($C27),"",AND($AL27,OR($AM27="",$AN27="",AND($AO27,$AP27=""))))</f>
        <v/>
      </c>
      <c r="BC27" s="94" t="str">
        <f aca="false">IF($BZ27&lt;&gt;Constants!$B$8,"",IF($AL27,Constants!$B$21*$AN27+Constants!$B$22*IF($AO27,$AP27,Constants!$B$23),Constants!$B$24))</f>
        <v/>
      </c>
      <c r="BD27" s="97" t="str">
        <f aca="false">IF($BZ27&lt;&gt;Constants!$B$8,"",Constants!$B$25*ABS($AD$9-IF($AL27,$AM27,0)))</f>
        <v/>
      </c>
      <c r="BE27" s="97" t="str">
        <f aca="false">IF($BZ27&lt;&gt;Constants!$B$8,"",IF(AND($AL27,$AQ27,$AO27),Constants!$B$27,0))</f>
        <v/>
      </c>
      <c r="BF27" s="97" t="str">
        <f aca="false">IF($BZ27&lt;&gt;Constants!$B$8,"",IF($AL27,($AI27-Constants!$B$29)*Constants!$B$28,0))</f>
        <v/>
      </c>
      <c r="BG27" s="97" t="str">
        <f aca="false">IF($BZ27&lt;&gt;Constants!$B$8,"",IF($AK27,0,Constants!$B$15)+IF($AJ27,0,Constants!$B$16)+IF($AH27,0,Constants!$B$17))</f>
        <v/>
      </c>
      <c r="BH27" s="98" t="str">
        <f aca="false">IF($BZ27&lt;&gt;Constants!$B$8,"",Constants!$B$20+SUM($BC27:$BG27))</f>
        <v/>
      </c>
      <c r="BI27" s="97" t="str">
        <f aca="false">IF($BZ27&lt;&gt;Constants!$B$8,"",$BC27)</f>
        <v/>
      </c>
      <c r="BJ27" s="97" t="str">
        <f aca="false">IF($BZ27&lt;&gt;Constants!$B$8,"",$BD27)</f>
        <v/>
      </c>
      <c r="BK27" s="97" t="str">
        <f aca="false">IF($BZ27&lt;&gt;Constants!$B$8,"",IF($AL27,$AN27,""))</f>
        <v/>
      </c>
      <c r="BL27" s="99" t="str">
        <f aca="false">IF($BZ27&lt;&gt;Constants!$B$8,"",$AI27)</f>
        <v/>
      </c>
      <c r="BM27" s="93" t="str">
        <f aca="false">IF($BZ27&lt;&gt;Constants!$B$8,"",IF(OR($BT27&lt;$BH27,AND($BT27=$BH27,OR($BU27&lt;$BI27,AND($BU27=$BI27,OR($BV27&lt;$BJ27,AND($BV27=$BJ27,OR(AND(ISNUMBER($BW27),OR(NOT(ISNUMBER($BK27)),$BW27&lt;$BK27)),AND(OR(AND($BW27="",$BK27=""),AND(ISNUMBER($BW27),ISNUMBER($BK27),$BW27=$BK27)),$BX27&lt;$BL27)))))))),"-&gt;","&lt;-"))</f>
        <v/>
      </c>
      <c r="BN27" s="92" t="str">
        <f aca="false">IF(ISBLANK($C27),"",AND($AT27,OR($AU27="",$AV27="",AND($AW27,$AX27=""))))</f>
        <v/>
      </c>
      <c r="BO27" s="94" t="str">
        <f aca="false">IF($BZ27&lt;&gt;Constants!$B$8,"",IF($AT27,Constants!$B$21*$AV27+Constants!$B$22*IF($AW27,$AX27,Constants!$B$23),Constants!$B$24))</f>
        <v/>
      </c>
      <c r="BP27" s="97" t="str">
        <f aca="false">IF($BZ27&lt;&gt;Constants!$B$8,"",Constants!$B$25*ABS($AD$9-IF($AT27,$AU27,0)))</f>
        <v/>
      </c>
      <c r="BQ27" s="97" t="str">
        <f aca="false">IF($BZ27&lt;&gt;Constants!$B$8,"",IF(AND($AT27,$AY27,$AW27),Constants!$B$27,0))</f>
        <v/>
      </c>
      <c r="BR27" s="97" t="str">
        <f aca="false">IF($BZ27&lt;&gt;Constants!$B$8,"",IF($AT27,($AI27-Constants!$B$29)*Constants!$B$28,0))</f>
        <v/>
      </c>
      <c r="BS27" s="97" t="str">
        <f aca="false">IF($BZ27&lt;&gt;Constants!$B$8,"",IF($AS27,0,Constants!$B$15)+IF($AR27,0,Constants!$B$16)+IF($AH27,0,Constants!$B$17))</f>
        <v/>
      </c>
      <c r="BT27" s="98" t="str">
        <f aca="false">IF($BZ27&lt;&gt;Constants!$B$8,"",Constants!$B$20+SUM($BO27:$BS27))</f>
        <v/>
      </c>
      <c r="BU27" s="97" t="str">
        <f aca="false">IF($BZ27&lt;&gt;Constants!$B$8,"",$BO27)</f>
        <v/>
      </c>
      <c r="BV27" s="97" t="str">
        <f aca="false">IF($BZ27&lt;&gt;Constants!$B$8,"",$BP27)</f>
        <v/>
      </c>
      <c r="BW27" s="97" t="str">
        <f aca="false">IF($BZ27&lt;&gt;Constants!$B$8,"",IF($AT27,$AV27,""))</f>
        <v/>
      </c>
      <c r="BX27" s="99" t="str">
        <f aca="false">IF($BZ27&lt;&gt;Constants!$B$8,"",$AI27)</f>
        <v/>
      </c>
      <c r="BY27" s="93" t="str">
        <f aca="false">IF(ISBLANK($C27),"",IF(ISBLANK($D$7),$BY$5,IF(NOT(ISNUMBER($D$7)),$BY$6,"")))</f>
        <v/>
      </c>
      <c r="BZ27" s="93" t="str">
        <f aca="false">IF(ISBLANK($C27),"",IF($BA27,Constants!$B$11,IF(COUNTA($E27:$AA27)=0,Constants!$B$10,IF(NOT($AG27),Constants!$B$9,IF(OR($BY27&lt;&gt;"",$BB27,$BN27),Constants!$B$12,Constants!$B$8)))))</f>
        <v/>
      </c>
      <c r="CA27" s="93" t="str">
        <f aca="false">IF(ISBLANK($C27),"",IF($BZ27&lt;&gt;Constants!$B$8,$BZ27,Constants!$B$13))</f>
        <v/>
      </c>
      <c r="CB27" s="97" t="str">
        <f aca="false">IF($BZ27&lt;&gt;Constants!$B$8,"",IF($BM27="-&gt;",$BT27,$BH27))</f>
        <v/>
      </c>
      <c r="CC27" s="97" t="str">
        <f aca="false">IF($BZ27&lt;&gt;Constants!$B$8,"",IF($AF27,0,Constants!$B$18))</f>
        <v/>
      </c>
      <c r="CD27" s="97" t="str">
        <f aca="false">IF($BZ27&lt;&gt;Constants!$B$8,"",((Constants!$B$31-$AZ27)-Constants!$B$31)/Constants!$B$32)</f>
        <v/>
      </c>
      <c r="CE27" s="97" t="str">
        <f aca="false">IF(ISBLANK($C27),"",IF($BZ27&lt;&gt;Constants!$B$8,$BZ27,SUM($CB27:$CD27)))</f>
        <v/>
      </c>
      <c r="CF27" s="93" t="str">
        <f aca="false">IF(ISBLANK($C27),"",IF($BZ27&lt;&gt;Constants!$B$8,$BZ27,RANK($CE27,$CE$9:$CE$508,1)))</f>
        <v/>
      </c>
      <c r="CG27" s="97" t="str">
        <f aca="false">IF($BZ27&lt;&gt;Constants!$B$8,"",IF($BM27="-&gt;",$BU27,$BI27))</f>
        <v/>
      </c>
      <c r="CH27" s="93" t="str">
        <f aca="false">IF(ISBLANK($C27),"",IF($BZ27&lt;&gt;Constants!$B$8,$BZ27,IF(ISNUMBER($CG27),RANK($CG27,$CG$9:$CG$508,1),COUNT($CG$9:$CG$508)+1)))</f>
        <v/>
      </c>
      <c r="CI27" s="97" t="str">
        <f aca="false">IF($BZ27&lt;&gt;Constants!$B$8,"",IF($BM27="-&gt;",$BV27,$BJ27))</f>
        <v/>
      </c>
      <c r="CJ27" s="93" t="str">
        <f aca="false">IF(ISBLANK($C27),"",IF($BZ27&lt;&gt;Constants!$B$8,$BZ27,IF(ISNUMBER($CI27),RANK($CI27,$CI$9:$CI$508,1),COUNT($CI$9:$CI$508)+1)))</f>
        <v/>
      </c>
      <c r="CK27" s="97" t="str">
        <f aca="false">IF($BZ27&lt;&gt;Constants!$B$8,"",IF($BM27="-&gt;",$BW27,$BK27))</f>
        <v/>
      </c>
      <c r="CL27" s="93" t="str">
        <f aca="false">IF(ISBLANK($C27),"",IF($BZ27&lt;&gt;Constants!$B$8,$BZ27,IF(ISNUMBER($CK27),RANK($CK27,$CK$9:$CK$508,1),COUNT($CK$9:$CK$508)+1)))</f>
        <v/>
      </c>
      <c r="CM27" s="97" t="str">
        <f aca="false">IF($BZ27&lt;&gt;Constants!$B$8,"",IF(AND(NOT($AL27),NOT($AT27),$AJ27,$AK27,$AR27,$AS27),"",IF($BM27="-&gt;",$BX27,$BL27)))</f>
        <v/>
      </c>
      <c r="CN27" s="93" t="str">
        <f aca="false">IF(ISBLANK($C27),"",IF($BZ27&lt;&gt;Constants!$B$8,$BZ27,IF(ISNUMBER($CM27),RANK($CM27,$CM$9:$CM$508,1),COUNT($CM$9:$CM$508)+1)))</f>
        <v/>
      </c>
      <c r="CO27" s="93" t="str">
        <f aca="false">IF(ISBLANK($C27),"",IF($BZ27&lt;&gt;Constants!$B$8,$BZ27,COUNTIFS($CF$9:$CF$508,"&lt;"&amp;$CF27)+COUNTIFS($CF$9:$CF$508,$CF27,$CH$9:$CH$508,"&lt;"&amp;$CH27)+COUNTIFS($CF$9:$CF$508,$CF27,$CH$9:$CH$508,$CH27,$CJ$9:$CJ$508,"&lt;"&amp;$CJ27)+COUNTIFS($CF$9:$CF$508,$CF27,$CH$9:$CH$508,$CH27,$CJ$9:$CJ$508,$CJ27,$CL$9:$CL$508,"&lt;"&amp;$CL27)+COUNTIFS($CF$9:$CF$508,$CF27,$CH$9:$CH$508,$CH27,$CJ$9:$CJ$508,$CJ27,$CL$9:$CL$508,$CL27,$CN$9:$CN$508,"&lt;"&amp;$CN27)+1))</f>
        <v/>
      </c>
      <c r="CP27" s="93" t="str">
        <f aca="false">IF(ISBLANK($C27),"",IF($BZ27&lt;&gt;Constants!$B$8,$BZ27,$CF27-$CO27))</f>
        <v/>
      </c>
      <c r="CQ27" s="100"/>
      <c r="CR27" s="101"/>
      <c r="CS27" s="102" t="str">
        <f aca="false">IF(ISBLANK($C27),"",IF($BZ27=Constants!$B$12,$BY27,""))</f>
        <v/>
      </c>
      <c r="CT27" s="101" t="str">
        <f aca="false">IF(ISBLANK($C27),"",IF($BZ27&lt;&gt;Constants!$B$8,"",IF($BM27="-&gt;",2,1)))</f>
        <v/>
      </c>
      <c r="CU27" s="103" t="str">
        <f aca="false">IF(ISBLANK($C27),"",IF($BZ27&lt;&gt;Constants!$B$8,"",IF($BM27="-&gt;",$BO27,$BC27)))</f>
        <v/>
      </c>
      <c r="CV27" s="103" t="str">
        <f aca="false">IF(ISBLANK($C27),"",IF($BZ27&lt;&gt;Constants!$B$8,"",IF($BM27="-&gt;",$BP27,$BD27)))</f>
        <v/>
      </c>
      <c r="CW27" s="103" t="str">
        <f aca="false">IF(ISBLANK($C27),"",IF($BZ27&lt;&gt;Constants!$B$8,"",IF($BM27="-&gt;",$BQ27+$BR27,$BE27+$BF27)+$CD27))</f>
        <v/>
      </c>
      <c r="CX27" s="103" t="str">
        <f aca="false">IF(ISBLANK($C27),"",IF($BZ27&lt;&gt;Constants!$B$8,"",IF($BM27="-&gt;",$BS27,$BG27)+$CC27))</f>
        <v/>
      </c>
      <c r="CY27" s="104" t="str">
        <f aca="false">IF(ISBLANK($C27),"",IF($BZ27&lt;&gt;Constants!$B$8,$BZ27,$CE27))</f>
        <v/>
      </c>
      <c r="CZ27" s="105" t="str">
        <f aca="false">IF(ISBLANK($C27),"",$CA27)</f>
        <v/>
      </c>
      <c r="DA27" s="106" t="str">
        <f aca="false">IF(ISBLANK($C27),"",$CP27)</f>
        <v/>
      </c>
      <c r="DB27" s="106" t="str">
        <f aca="false">IF(ISBLANK($C27),"",$CO27)</f>
        <v/>
      </c>
      <c r="DC27" s="107" t="str">
        <f aca="false">IF(ISBLANK($C27),"",IFERROR(_xlfn.SWITCH($DB27,Constants!$B$11,COUNTA($C$9:$C$508)+2,Constants!$B$10,COUNTA($C$9:$C$508)+1,Constants!$B$9,COUNTA($C$9:$C$508)),$DB27))</f>
        <v/>
      </c>
      <c r="DD27" s="9"/>
      <c r="DE27" s="108" t="n">
        <f aca="false">IF(OR(ISNUMBER($DB27),$DB27=Constants!$B$11,$DB27=Constants!$B$9,$DB27=Constants!$B$10),1,0)</f>
        <v>0</v>
      </c>
      <c r="DF27" s="108" t="n">
        <v>19</v>
      </c>
      <c r="DG27" s="108" t="str">
        <f aca="false">IF(ISBLANK($C27),"",IF(ISNUMBER($DC27),$DC27+ROW($B27)/1000,""))</f>
        <v/>
      </c>
      <c r="DH27" s="108" t="str">
        <f aca="false">IF(ISNUMBER($DG27),RANK($DG27,$DG$9:$DG$508,1),"")</f>
        <v/>
      </c>
      <c r="DI27" s="108" t="str">
        <f aca="false">IF(ISBLANK($C27),"",$B27)</f>
        <v/>
      </c>
      <c r="DJ27" s="108" t="str">
        <f aca="false">IF(ISBLANK($C27),"",$C27)</f>
        <v/>
      </c>
      <c r="DK27" s="108" t="str">
        <f aca="false">IF(ISBLANK($C27),"",$D27)</f>
        <v/>
      </c>
      <c r="DL27" s="109" t="str">
        <f aca="false">$CZ27</f>
        <v/>
      </c>
      <c r="DM27" s="110" t="str">
        <f aca="false">$CY27</f>
        <v/>
      </c>
      <c r="DN27" s="108" t="str">
        <f aca="false">IF(ISBLANK($C27),"",$DB27)</f>
        <v/>
      </c>
      <c r="DO27" s="111" t="str">
        <f aca="false">IF($DF27&gt;$DE$8,"",VLOOKUP($DF27,$DH$9:$DN$508,7,FALSE()))</f>
        <v/>
      </c>
      <c r="DP27" s="112" t="str">
        <f aca="false">IF($DF27&gt;$DE$8,"",VLOOKUP($DF27,$DH$9:$DN$508,2,FALSE()))</f>
        <v/>
      </c>
      <c r="DQ27" s="112" t="str">
        <f aca="false">IF($DF27&gt;$DE$8,"",VLOOKUP($DF27,$DH$9:$DN$508,3,FALSE()))</f>
        <v/>
      </c>
      <c r="DR27" s="112" t="str">
        <f aca="false">IF($DF27&gt;$DE$8,"",VLOOKUP($DF27,$DH$9:$DN$508,4,FALSE()))</f>
        <v/>
      </c>
      <c r="DS27" s="112" t="str">
        <f aca="false">IF($DF27&gt;$DE$8,"",VLOOKUP($DF27,$DH$9:$DN$508,5,FALSE()))</f>
        <v/>
      </c>
      <c r="DT27" s="113" t="str">
        <f aca="false">IF($DF27&gt;$DE$8,"",VLOOKUP($DF27,$DH$9:$DN$508,6,FALSE()))</f>
        <v/>
      </c>
      <c r="DU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IF(ISBLANK($C28),"",IF(E28=Constants!$B$3,TRUE(),IF(E28=Constants!$B$4,FALSE(),TRUE())))</f>
        <v/>
      </c>
      <c r="AG28" s="93" t="str">
        <f aca="false">IF(ISBLANK($C28),"",IF(F28=Constants!$B$3,TRUE(),IF(F28=Constants!$B$4,FALSE(),TRUE())))</f>
        <v/>
      </c>
      <c r="AH28" s="93" t="str">
        <f aca="false">IF(ISBLANK($C28),"",IF(G28=Constants!$B$3,TRUE(),IF(G28=Constants!$B$4,FALSE(),TRUE())))</f>
        <v/>
      </c>
      <c r="AI28" s="93" t="str">
        <f aca="false">IF(ISBLANK($C28),"",IF(AND(ISNUMBER(H28),H28&gt;=0),H28,Constants!$B$29))</f>
        <v/>
      </c>
      <c r="AJ28" s="93" t="str">
        <f aca="false">IF(ISBLANK($C28),"",IF(I28=Constants!$B$3,TRUE(),IF(I28=Constants!$B$4,FALSE(),TRUE())))</f>
        <v/>
      </c>
      <c r="AK28" s="93" t="str">
        <f aca="false">IF(ISBLANK($C28),"",IF(J28=Constants!$B$3,TRUE(),IF(J28=Constants!$B$4,FALSE(),TRUE())))</f>
        <v/>
      </c>
      <c r="AL28" s="93" t="str">
        <f aca="false">IF(ISBLANK($C28),"",IF(K28=Constants!$B$5,TRUE(),IF(K28=Constants!$B$6,FALSE(),COUNTA(L28:P28)&gt;0)))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IF(ISBLANK($C28),"",IF(N28=Constants!$B$3,TRUE(),IF(N28=Constants!$B$4,FALSE(),TRUE())))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IF(ISBLANK($C28),"",IF(P28=Constants!$B$3,TRUE(),IF(P28=Constants!$B$4,FALSE(),FALSE())))</f>
        <v/>
      </c>
      <c r="AR28" s="93" t="str">
        <f aca="false">IF(ISBLANK($C28),"",IF(Q28=Constants!$B$3,TRUE(),IF(Q28=Constants!$B$4,FALSE(),TRUE())))</f>
        <v/>
      </c>
      <c r="AS28" s="93" t="str">
        <f aca="false">IF(ISBLANK($C28),"",IF(R28=Constants!$B$3,TRUE(),IF(R28=Constants!$B$4,FALSE(),TRUE())))</f>
        <v/>
      </c>
      <c r="AT28" s="93" t="str">
        <f aca="false">IF(ISBLANK($C28),"",IF(S28=Constants!$B$5,TRUE(),IF(S28=Constants!$B$6,FALSE(),COUNTA(T28:X28)&gt;0)))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IF(ISBLANK($C28),"",IF(V28=Constants!$B$3,TRUE(),IF(V28=Constants!$B$4,FALSE(),TRUE())))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IF(ISBLANK($C28),"",IF(X28=Constants!$B$3,TRUE(),IF(X28=Constants!$B$4,FALSE(),FALSE())))</f>
        <v/>
      </c>
      <c r="AZ28" s="93" t="str">
        <f aca="false">IF(ISBLANK($C28),"",MIN(Constants!$B$31,MAX(0,IF(ISNUMBER(Y28),Y28*60,0)+IF(ISNUMBER(Z28),Z28,0))))</f>
        <v/>
      </c>
      <c r="BA28" s="93" t="str">
        <f aca="false">IF(ISBLANK($C28),"",IF(AA28=Constants!$B$3,TRUE(),IF(AA28=Constants!$B$4,FALSE(),FALSE())))</f>
        <v/>
      </c>
      <c r="BB28" s="92" t="str">
        <f aca="false">IF(ISBLANK($C28),"",AND($AL28,OR($AM28="",$AN28="",AND($AO28,$AP28=""))))</f>
        <v/>
      </c>
      <c r="BC28" s="94" t="str">
        <f aca="false">IF($BZ28&lt;&gt;Constants!$B$8,"",IF($AL28,Constants!$B$21*$AN28+Constants!$B$22*IF($AO28,$AP28,Constants!$B$23),Constants!$B$24))</f>
        <v/>
      </c>
      <c r="BD28" s="97" t="str">
        <f aca="false">IF($BZ28&lt;&gt;Constants!$B$8,"",Constants!$B$25*ABS($AD$9-IF($AL28,$AM28,0)))</f>
        <v/>
      </c>
      <c r="BE28" s="97" t="str">
        <f aca="false">IF($BZ28&lt;&gt;Constants!$B$8,"",IF(AND($AL28,$AQ28,$AO28),Constants!$B$27,0))</f>
        <v/>
      </c>
      <c r="BF28" s="97" t="str">
        <f aca="false">IF($BZ28&lt;&gt;Constants!$B$8,"",IF($AL28,($AI28-Constants!$B$29)*Constants!$B$28,0))</f>
        <v/>
      </c>
      <c r="BG28" s="97" t="str">
        <f aca="false">IF($BZ28&lt;&gt;Constants!$B$8,"",IF($AK28,0,Constants!$B$15)+IF($AJ28,0,Constants!$B$16)+IF($AH28,0,Constants!$B$17))</f>
        <v/>
      </c>
      <c r="BH28" s="98" t="str">
        <f aca="false">IF($BZ28&lt;&gt;Constants!$B$8,"",Constants!$B$20+SUM($BC28:$BG28))</f>
        <v/>
      </c>
      <c r="BI28" s="97" t="str">
        <f aca="false">IF($BZ28&lt;&gt;Constants!$B$8,"",$BC28)</f>
        <v/>
      </c>
      <c r="BJ28" s="97" t="str">
        <f aca="false">IF($BZ28&lt;&gt;Constants!$B$8,"",$BD28)</f>
        <v/>
      </c>
      <c r="BK28" s="97" t="str">
        <f aca="false">IF($BZ28&lt;&gt;Constants!$B$8,"",IF($AL28,$AN28,""))</f>
        <v/>
      </c>
      <c r="BL28" s="99" t="str">
        <f aca="false">IF($BZ28&lt;&gt;Constants!$B$8,"",$AI28)</f>
        <v/>
      </c>
      <c r="BM28" s="93" t="str">
        <f aca="false">IF($BZ28&lt;&gt;Constants!$B$8,"",IF(OR($BT28&lt;$BH28,AND($BT28=$BH28,OR($BU28&lt;$BI28,AND($BU28=$BI28,OR($BV28&lt;$BJ28,AND($BV28=$BJ28,OR(AND(ISNUMBER($BW28),OR(NOT(ISNUMBER($BK28)),$BW28&lt;$BK28)),AND(OR(AND($BW28="",$BK28=""),AND(ISNUMBER($BW28),ISNUMBER($BK28),$BW28=$BK28)),$BX28&lt;$BL28)))))))),"-&gt;","&lt;-"))</f>
        <v/>
      </c>
      <c r="BN28" s="92" t="str">
        <f aca="false">IF(ISBLANK($C28),"",AND($AT28,OR($AU28="",$AV28="",AND($AW28,$AX28=""))))</f>
        <v/>
      </c>
      <c r="BO28" s="94" t="str">
        <f aca="false">IF($BZ28&lt;&gt;Constants!$B$8,"",IF($AT28,Constants!$B$21*$AV28+Constants!$B$22*IF($AW28,$AX28,Constants!$B$23),Constants!$B$24))</f>
        <v/>
      </c>
      <c r="BP28" s="97" t="str">
        <f aca="false">IF($BZ28&lt;&gt;Constants!$B$8,"",Constants!$B$25*ABS($AD$9-IF($AT28,$AU28,0)))</f>
        <v/>
      </c>
      <c r="BQ28" s="97" t="str">
        <f aca="false">IF($BZ28&lt;&gt;Constants!$B$8,"",IF(AND($AT28,$AY28,$AW28),Constants!$B$27,0))</f>
        <v/>
      </c>
      <c r="BR28" s="97" t="str">
        <f aca="false">IF($BZ28&lt;&gt;Constants!$B$8,"",IF($AT28,($AI28-Constants!$B$29)*Constants!$B$28,0))</f>
        <v/>
      </c>
      <c r="BS28" s="97" t="str">
        <f aca="false">IF($BZ28&lt;&gt;Constants!$B$8,"",IF($AS28,0,Constants!$B$15)+IF($AR28,0,Constants!$B$16)+IF($AH28,0,Constants!$B$17))</f>
        <v/>
      </c>
      <c r="BT28" s="98" t="str">
        <f aca="false">IF($BZ28&lt;&gt;Constants!$B$8,"",Constants!$B$20+SUM($BO28:$BS28))</f>
        <v/>
      </c>
      <c r="BU28" s="97" t="str">
        <f aca="false">IF($BZ28&lt;&gt;Constants!$B$8,"",$BO28)</f>
        <v/>
      </c>
      <c r="BV28" s="97" t="str">
        <f aca="false">IF($BZ28&lt;&gt;Constants!$B$8,"",$BP28)</f>
        <v/>
      </c>
      <c r="BW28" s="97" t="str">
        <f aca="false">IF($BZ28&lt;&gt;Constants!$B$8,"",IF($AT28,$AV28,""))</f>
        <v/>
      </c>
      <c r="BX28" s="99" t="str">
        <f aca="false">IF($BZ28&lt;&gt;Constants!$B$8,"",$AI28)</f>
        <v/>
      </c>
      <c r="BY28" s="93" t="str">
        <f aca="false">IF(ISBLANK($C28),"",IF(ISBLANK($D$7),$BY$5,IF(NOT(ISNUMBER($D$7)),$BY$6,"")))</f>
        <v/>
      </c>
      <c r="BZ28" s="93" t="str">
        <f aca="false">IF(ISBLANK($C28),"",IF($BA28,Constants!$B$11,IF(COUNTA($E28:$AA28)=0,Constants!$B$10,IF(NOT($AG28),Constants!$B$9,IF(OR($BY28&lt;&gt;"",$BB28,$BN28),Constants!$B$12,Constants!$B$8)))))</f>
        <v/>
      </c>
      <c r="CA28" s="93" t="str">
        <f aca="false">IF(ISBLANK($C28),"",IF($BZ28&lt;&gt;Constants!$B$8,$BZ28,Constants!$B$13))</f>
        <v/>
      </c>
      <c r="CB28" s="97" t="str">
        <f aca="false">IF($BZ28&lt;&gt;Constants!$B$8,"",IF($BM28="-&gt;",$BT28,$BH28))</f>
        <v/>
      </c>
      <c r="CC28" s="97" t="str">
        <f aca="false">IF($BZ28&lt;&gt;Constants!$B$8,"",IF($AF28,0,Constants!$B$18))</f>
        <v/>
      </c>
      <c r="CD28" s="97" t="str">
        <f aca="false">IF($BZ28&lt;&gt;Constants!$B$8,"",((Constants!$B$31-$AZ28)-Constants!$B$31)/Constants!$B$32)</f>
        <v/>
      </c>
      <c r="CE28" s="97" t="str">
        <f aca="false">IF(ISBLANK($C28),"",IF($BZ28&lt;&gt;Constants!$B$8,$BZ28,SUM($CB28:$CD28)))</f>
        <v/>
      </c>
      <c r="CF28" s="93" t="str">
        <f aca="false">IF(ISBLANK($C28),"",IF($BZ28&lt;&gt;Constants!$B$8,$BZ28,RANK($CE28,$CE$9:$CE$508,1)))</f>
        <v/>
      </c>
      <c r="CG28" s="97" t="str">
        <f aca="false">IF($BZ28&lt;&gt;Constants!$B$8,"",IF($BM28="-&gt;",$BU28,$BI28))</f>
        <v/>
      </c>
      <c r="CH28" s="93" t="str">
        <f aca="false">IF(ISBLANK($C28),"",IF($BZ28&lt;&gt;Constants!$B$8,$BZ28,IF(ISNUMBER($CG28),RANK($CG28,$CG$9:$CG$508,1),COUNT($CG$9:$CG$508)+1)))</f>
        <v/>
      </c>
      <c r="CI28" s="97" t="str">
        <f aca="false">IF($BZ28&lt;&gt;Constants!$B$8,"",IF($BM28="-&gt;",$BV28,$BJ28))</f>
        <v/>
      </c>
      <c r="CJ28" s="93" t="str">
        <f aca="false">IF(ISBLANK($C28),"",IF($BZ28&lt;&gt;Constants!$B$8,$BZ28,IF(ISNUMBER($CI28),RANK($CI28,$CI$9:$CI$508,1),COUNT($CI$9:$CI$508)+1)))</f>
        <v/>
      </c>
      <c r="CK28" s="97" t="str">
        <f aca="false">IF($BZ28&lt;&gt;Constants!$B$8,"",IF($BM28="-&gt;",$BW28,$BK28))</f>
        <v/>
      </c>
      <c r="CL28" s="93" t="str">
        <f aca="false">IF(ISBLANK($C28),"",IF($BZ28&lt;&gt;Constants!$B$8,$BZ28,IF(ISNUMBER($CK28),RANK($CK28,$CK$9:$CK$508,1),COUNT($CK$9:$CK$508)+1)))</f>
        <v/>
      </c>
      <c r="CM28" s="97" t="str">
        <f aca="false">IF($BZ28&lt;&gt;Constants!$B$8,"",IF(AND(NOT($AL28),NOT($AT28),$AJ28,$AK28,$AR28,$AS28),"",IF($BM28="-&gt;",$BX28,$BL28)))</f>
        <v/>
      </c>
      <c r="CN28" s="93" t="str">
        <f aca="false">IF(ISBLANK($C28),"",IF($BZ28&lt;&gt;Constants!$B$8,$BZ28,IF(ISNUMBER($CM28),RANK($CM28,$CM$9:$CM$508,1),COUNT($CM$9:$CM$508)+1)))</f>
        <v/>
      </c>
      <c r="CO28" s="93" t="str">
        <f aca="false">IF(ISBLANK($C28),"",IF($BZ28&lt;&gt;Constants!$B$8,$BZ28,COUNTIFS($CF$9:$CF$508,"&lt;"&amp;$CF28)+COUNTIFS($CF$9:$CF$508,$CF28,$CH$9:$CH$508,"&lt;"&amp;$CH28)+COUNTIFS($CF$9:$CF$508,$CF28,$CH$9:$CH$508,$CH28,$CJ$9:$CJ$508,"&lt;"&amp;$CJ28)+COUNTIFS($CF$9:$CF$508,$CF28,$CH$9:$CH$508,$CH28,$CJ$9:$CJ$508,$CJ28,$CL$9:$CL$508,"&lt;"&amp;$CL28)+COUNTIFS($CF$9:$CF$508,$CF28,$CH$9:$CH$508,$CH28,$CJ$9:$CJ$508,$CJ28,$CL$9:$CL$508,$CL28,$CN$9:$CN$508,"&lt;"&amp;$CN28)+1))</f>
        <v/>
      </c>
      <c r="CP28" s="93" t="str">
        <f aca="false">IF(ISBLANK($C28),"",IF($BZ28&lt;&gt;Constants!$B$8,$BZ28,$CF28-$CO28))</f>
        <v/>
      </c>
      <c r="CQ28" s="100"/>
      <c r="CR28" s="101"/>
      <c r="CS28" s="102" t="str">
        <f aca="false">IF(ISBLANK($C28),"",IF($BZ28=Constants!$B$12,$BY28,""))</f>
        <v/>
      </c>
      <c r="CT28" s="101" t="str">
        <f aca="false">IF(ISBLANK($C28),"",IF($BZ28&lt;&gt;Constants!$B$8,"",IF($BM28="-&gt;",2,1)))</f>
        <v/>
      </c>
      <c r="CU28" s="103" t="str">
        <f aca="false">IF(ISBLANK($C28),"",IF($BZ28&lt;&gt;Constants!$B$8,"",IF($BM28="-&gt;",$BO28,$BC28)))</f>
        <v/>
      </c>
      <c r="CV28" s="103" t="str">
        <f aca="false">IF(ISBLANK($C28),"",IF($BZ28&lt;&gt;Constants!$B$8,"",IF($BM28="-&gt;",$BP28,$BD28)))</f>
        <v/>
      </c>
      <c r="CW28" s="103" t="str">
        <f aca="false">IF(ISBLANK($C28),"",IF($BZ28&lt;&gt;Constants!$B$8,"",IF($BM28="-&gt;",$BQ28+$BR28,$BE28+$BF28)+$CD28))</f>
        <v/>
      </c>
      <c r="CX28" s="103" t="str">
        <f aca="false">IF(ISBLANK($C28),"",IF($BZ28&lt;&gt;Constants!$B$8,"",IF($BM28="-&gt;",$BS28,$BG28)+$CC28))</f>
        <v/>
      </c>
      <c r="CY28" s="104" t="str">
        <f aca="false">IF(ISBLANK($C28),"",IF($BZ28&lt;&gt;Constants!$B$8,$BZ28,$CE28))</f>
        <v/>
      </c>
      <c r="CZ28" s="105" t="str">
        <f aca="false">IF(ISBLANK($C28),"",$CA28)</f>
        <v/>
      </c>
      <c r="DA28" s="106" t="str">
        <f aca="false">IF(ISBLANK($C28),"",$CP28)</f>
        <v/>
      </c>
      <c r="DB28" s="106" t="str">
        <f aca="false">IF(ISBLANK($C28),"",$CO28)</f>
        <v/>
      </c>
      <c r="DC28" s="107" t="str">
        <f aca="false">IF(ISBLANK($C28),"",IFERROR(_xlfn.SWITCH($DB28,Constants!$B$11,COUNTA($C$9:$C$508)+2,Constants!$B$10,COUNTA($C$9:$C$508)+1,Constants!$B$9,COUNTA($C$9:$C$508)),$DB28))</f>
        <v/>
      </c>
      <c r="DD28" s="9"/>
      <c r="DE28" s="108" t="n">
        <f aca="false">IF(OR(ISNUMBER($DB28),$DB28=Constants!$B$11,$DB28=Constants!$B$9,$DB28=Constants!$B$10),1,0)</f>
        <v>0</v>
      </c>
      <c r="DF28" s="108" t="n">
        <v>20</v>
      </c>
      <c r="DG28" s="108" t="str">
        <f aca="false">IF(ISBLANK($C28),"",IF(ISNUMBER($DC28),$DC28+ROW($B28)/1000,""))</f>
        <v/>
      </c>
      <c r="DH28" s="108" t="str">
        <f aca="false">IF(ISNUMBER($DG28),RANK($DG28,$DG$9:$DG$508,1),"")</f>
        <v/>
      </c>
      <c r="DI28" s="108" t="str">
        <f aca="false">IF(ISBLANK($C28),"",$B28)</f>
        <v/>
      </c>
      <c r="DJ28" s="108" t="str">
        <f aca="false">IF(ISBLANK($C28),"",$C28)</f>
        <v/>
      </c>
      <c r="DK28" s="108" t="str">
        <f aca="false">IF(ISBLANK($C28),"",$D28)</f>
        <v/>
      </c>
      <c r="DL28" s="109" t="str">
        <f aca="false">$CZ28</f>
        <v/>
      </c>
      <c r="DM28" s="110" t="str">
        <f aca="false">$CY28</f>
        <v/>
      </c>
      <c r="DN28" s="108" t="str">
        <f aca="false">IF(ISBLANK($C28),"",$DB28)</f>
        <v/>
      </c>
      <c r="DO28" s="111" t="str">
        <f aca="false">IF($DF28&gt;$DE$8,"",VLOOKUP($DF28,$DH$9:$DN$508,7,FALSE()))</f>
        <v/>
      </c>
      <c r="DP28" s="112" t="str">
        <f aca="false">IF($DF28&gt;$DE$8,"",VLOOKUP($DF28,$DH$9:$DN$508,2,FALSE()))</f>
        <v/>
      </c>
      <c r="DQ28" s="112" t="str">
        <f aca="false">IF($DF28&gt;$DE$8,"",VLOOKUP($DF28,$DH$9:$DN$508,3,FALSE()))</f>
        <v/>
      </c>
      <c r="DR28" s="112" t="str">
        <f aca="false">IF($DF28&gt;$DE$8,"",VLOOKUP($DF28,$DH$9:$DN$508,4,FALSE()))</f>
        <v/>
      </c>
      <c r="DS28" s="112" t="str">
        <f aca="false">IF($DF28&gt;$DE$8,"",VLOOKUP($DF28,$DH$9:$DN$508,5,FALSE()))</f>
        <v/>
      </c>
      <c r="DT28" s="113" t="str">
        <f aca="false">IF($DF28&gt;$DE$8,"",VLOOKUP($DF28,$DH$9:$DN$508,6,FALSE()))</f>
        <v/>
      </c>
      <c r="DU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IF(ISBLANK($C29),"",IF(E29=Constants!$B$3,TRUE(),IF(E29=Constants!$B$4,FALSE(),TRUE())))</f>
        <v/>
      </c>
      <c r="AG29" s="93" t="str">
        <f aca="false">IF(ISBLANK($C29),"",IF(F29=Constants!$B$3,TRUE(),IF(F29=Constants!$B$4,FALSE(),TRUE())))</f>
        <v/>
      </c>
      <c r="AH29" s="93" t="str">
        <f aca="false">IF(ISBLANK($C29),"",IF(G29=Constants!$B$3,TRUE(),IF(G29=Constants!$B$4,FALSE(),TRUE())))</f>
        <v/>
      </c>
      <c r="AI29" s="93" t="str">
        <f aca="false">IF(ISBLANK($C29),"",IF(AND(ISNUMBER(H29),H29&gt;=0),H29,Constants!$B$29))</f>
        <v/>
      </c>
      <c r="AJ29" s="93" t="str">
        <f aca="false">IF(ISBLANK($C29),"",IF(I29=Constants!$B$3,TRUE(),IF(I29=Constants!$B$4,FALSE(),TRUE())))</f>
        <v/>
      </c>
      <c r="AK29" s="93" t="str">
        <f aca="false">IF(ISBLANK($C29),"",IF(J29=Constants!$B$3,TRUE(),IF(J29=Constants!$B$4,FALSE(),TRUE())))</f>
        <v/>
      </c>
      <c r="AL29" s="93" t="str">
        <f aca="false">IF(ISBLANK($C29),"",IF(K29=Constants!$B$5,TRUE(),IF(K29=Constants!$B$6,FALSE(),COUNTA(L29:P29)&gt;0)))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IF(ISBLANK($C29),"",IF(N29=Constants!$B$3,TRUE(),IF(N29=Constants!$B$4,FALSE(),TRUE())))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IF(ISBLANK($C29),"",IF(P29=Constants!$B$3,TRUE(),IF(P29=Constants!$B$4,FALSE(),FALSE())))</f>
        <v/>
      </c>
      <c r="AR29" s="93" t="str">
        <f aca="false">IF(ISBLANK($C29),"",IF(Q29=Constants!$B$3,TRUE(),IF(Q29=Constants!$B$4,FALSE(),TRUE())))</f>
        <v/>
      </c>
      <c r="AS29" s="93" t="str">
        <f aca="false">IF(ISBLANK($C29),"",IF(R29=Constants!$B$3,TRUE(),IF(R29=Constants!$B$4,FALSE(),TRUE())))</f>
        <v/>
      </c>
      <c r="AT29" s="93" t="str">
        <f aca="false">IF(ISBLANK($C29),"",IF(S29=Constants!$B$5,TRUE(),IF(S29=Constants!$B$6,FALSE(),COUNTA(T29:X29)&gt;0)))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IF(ISBLANK($C29),"",IF(V29=Constants!$B$3,TRUE(),IF(V29=Constants!$B$4,FALSE(),TRUE())))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IF(ISBLANK($C29),"",IF(X29=Constants!$B$3,TRUE(),IF(X29=Constants!$B$4,FALSE(),FALSE())))</f>
        <v/>
      </c>
      <c r="AZ29" s="93" t="str">
        <f aca="false">IF(ISBLANK($C29),"",MIN(Constants!$B$31,MAX(0,IF(ISNUMBER(Y29),Y29*60,0)+IF(ISNUMBER(Z29),Z29,0))))</f>
        <v/>
      </c>
      <c r="BA29" s="93" t="str">
        <f aca="false">IF(ISBLANK($C29),"",IF(AA29=Constants!$B$3,TRUE(),IF(AA29=Constants!$B$4,FALSE(),FALSE())))</f>
        <v/>
      </c>
      <c r="BB29" s="92" t="str">
        <f aca="false">IF(ISBLANK($C29),"",AND($AL29,OR($AM29="",$AN29="",AND($AO29,$AP29=""))))</f>
        <v/>
      </c>
      <c r="BC29" s="94" t="str">
        <f aca="false">IF($BZ29&lt;&gt;Constants!$B$8,"",IF($AL29,Constants!$B$21*$AN29+Constants!$B$22*IF($AO29,$AP29,Constants!$B$23),Constants!$B$24))</f>
        <v/>
      </c>
      <c r="BD29" s="97" t="str">
        <f aca="false">IF($BZ29&lt;&gt;Constants!$B$8,"",Constants!$B$25*ABS($AD$9-IF($AL29,$AM29,0)))</f>
        <v/>
      </c>
      <c r="BE29" s="97" t="str">
        <f aca="false">IF($BZ29&lt;&gt;Constants!$B$8,"",IF(AND($AL29,$AQ29,$AO29),Constants!$B$27,0))</f>
        <v/>
      </c>
      <c r="BF29" s="97" t="str">
        <f aca="false">IF($BZ29&lt;&gt;Constants!$B$8,"",IF($AL29,($AI29-Constants!$B$29)*Constants!$B$28,0))</f>
        <v/>
      </c>
      <c r="BG29" s="97" t="str">
        <f aca="false">IF($BZ29&lt;&gt;Constants!$B$8,"",IF($AK29,0,Constants!$B$15)+IF($AJ29,0,Constants!$B$16)+IF($AH29,0,Constants!$B$17))</f>
        <v/>
      </c>
      <c r="BH29" s="98" t="str">
        <f aca="false">IF($BZ29&lt;&gt;Constants!$B$8,"",Constants!$B$20+SUM($BC29:$BG29))</f>
        <v/>
      </c>
      <c r="BI29" s="97" t="str">
        <f aca="false">IF($BZ29&lt;&gt;Constants!$B$8,"",$BC29)</f>
        <v/>
      </c>
      <c r="BJ29" s="97" t="str">
        <f aca="false">IF($BZ29&lt;&gt;Constants!$B$8,"",$BD29)</f>
        <v/>
      </c>
      <c r="BK29" s="97" t="str">
        <f aca="false">IF($BZ29&lt;&gt;Constants!$B$8,"",IF($AL29,$AN29,""))</f>
        <v/>
      </c>
      <c r="BL29" s="99" t="str">
        <f aca="false">IF($BZ29&lt;&gt;Constants!$B$8,"",$AI29)</f>
        <v/>
      </c>
      <c r="BM29" s="93" t="str">
        <f aca="false">IF($BZ29&lt;&gt;Constants!$B$8,"",IF(OR($BT29&lt;$BH29,AND($BT29=$BH29,OR($BU29&lt;$BI29,AND($BU29=$BI29,OR($BV29&lt;$BJ29,AND($BV29=$BJ29,OR(AND(ISNUMBER($BW29),OR(NOT(ISNUMBER($BK29)),$BW29&lt;$BK29)),AND(OR(AND($BW29="",$BK29=""),AND(ISNUMBER($BW29),ISNUMBER($BK29),$BW29=$BK29)),$BX29&lt;$BL29)))))))),"-&gt;","&lt;-"))</f>
        <v/>
      </c>
      <c r="BN29" s="92" t="str">
        <f aca="false">IF(ISBLANK($C29),"",AND($AT29,OR($AU29="",$AV29="",AND($AW29,$AX29=""))))</f>
        <v/>
      </c>
      <c r="BO29" s="94" t="str">
        <f aca="false">IF($BZ29&lt;&gt;Constants!$B$8,"",IF($AT29,Constants!$B$21*$AV29+Constants!$B$22*IF($AW29,$AX29,Constants!$B$23),Constants!$B$24))</f>
        <v/>
      </c>
      <c r="BP29" s="97" t="str">
        <f aca="false">IF($BZ29&lt;&gt;Constants!$B$8,"",Constants!$B$25*ABS($AD$9-IF($AT29,$AU29,0)))</f>
        <v/>
      </c>
      <c r="BQ29" s="97" t="str">
        <f aca="false">IF($BZ29&lt;&gt;Constants!$B$8,"",IF(AND($AT29,$AY29,$AW29),Constants!$B$27,0))</f>
        <v/>
      </c>
      <c r="BR29" s="97" t="str">
        <f aca="false">IF($BZ29&lt;&gt;Constants!$B$8,"",IF($AT29,($AI29-Constants!$B$29)*Constants!$B$28,0))</f>
        <v/>
      </c>
      <c r="BS29" s="97" t="str">
        <f aca="false">IF($BZ29&lt;&gt;Constants!$B$8,"",IF($AS29,0,Constants!$B$15)+IF($AR29,0,Constants!$B$16)+IF($AH29,0,Constants!$B$17))</f>
        <v/>
      </c>
      <c r="BT29" s="98" t="str">
        <f aca="false">IF($BZ29&lt;&gt;Constants!$B$8,"",Constants!$B$20+SUM($BO29:$BS29))</f>
        <v/>
      </c>
      <c r="BU29" s="97" t="str">
        <f aca="false">IF($BZ29&lt;&gt;Constants!$B$8,"",$BO29)</f>
        <v/>
      </c>
      <c r="BV29" s="97" t="str">
        <f aca="false">IF($BZ29&lt;&gt;Constants!$B$8,"",$BP29)</f>
        <v/>
      </c>
      <c r="BW29" s="97" t="str">
        <f aca="false">IF($BZ29&lt;&gt;Constants!$B$8,"",IF($AT29,$AV29,""))</f>
        <v/>
      </c>
      <c r="BX29" s="99" t="str">
        <f aca="false">IF($BZ29&lt;&gt;Constants!$B$8,"",$AI29)</f>
        <v/>
      </c>
      <c r="BY29" s="93" t="str">
        <f aca="false">IF(ISBLANK($C29),"",IF(ISBLANK($D$7),$BY$5,IF(NOT(ISNUMBER($D$7)),$BY$6,"")))</f>
        <v/>
      </c>
      <c r="BZ29" s="93" t="str">
        <f aca="false">IF(ISBLANK($C29),"",IF($BA29,Constants!$B$11,IF(COUNTA($E29:$AA29)=0,Constants!$B$10,IF(NOT($AG29),Constants!$B$9,IF(OR($BY29&lt;&gt;"",$BB29,$BN29),Constants!$B$12,Constants!$B$8)))))</f>
        <v/>
      </c>
      <c r="CA29" s="93" t="str">
        <f aca="false">IF(ISBLANK($C29),"",IF($BZ29&lt;&gt;Constants!$B$8,$BZ29,Constants!$B$13))</f>
        <v/>
      </c>
      <c r="CB29" s="97" t="str">
        <f aca="false">IF($BZ29&lt;&gt;Constants!$B$8,"",IF($BM29="-&gt;",$BT29,$BH29))</f>
        <v/>
      </c>
      <c r="CC29" s="97" t="str">
        <f aca="false">IF($BZ29&lt;&gt;Constants!$B$8,"",IF($AF29,0,Constants!$B$18))</f>
        <v/>
      </c>
      <c r="CD29" s="97" t="str">
        <f aca="false">IF($BZ29&lt;&gt;Constants!$B$8,"",((Constants!$B$31-$AZ29)-Constants!$B$31)/Constants!$B$32)</f>
        <v/>
      </c>
      <c r="CE29" s="97" t="str">
        <f aca="false">IF(ISBLANK($C29),"",IF($BZ29&lt;&gt;Constants!$B$8,$BZ29,SUM($CB29:$CD29)))</f>
        <v/>
      </c>
      <c r="CF29" s="93" t="str">
        <f aca="false">IF(ISBLANK($C29),"",IF($BZ29&lt;&gt;Constants!$B$8,$BZ29,RANK($CE29,$CE$9:$CE$508,1)))</f>
        <v/>
      </c>
      <c r="CG29" s="97" t="str">
        <f aca="false">IF($BZ29&lt;&gt;Constants!$B$8,"",IF($BM29="-&gt;",$BU29,$BI29))</f>
        <v/>
      </c>
      <c r="CH29" s="93" t="str">
        <f aca="false">IF(ISBLANK($C29),"",IF($BZ29&lt;&gt;Constants!$B$8,$BZ29,IF(ISNUMBER($CG29),RANK($CG29,$CG$9:$CG$508,1),COUNT($CG$9:$CG$508)+1)))</f>
        <v/>
      </c>
      <c r="CI29" s="97" t="str">
        <f aca="false">IF($BZ29&lt;&gt;Constants!$B$8,"",IF($BM29="-&gt;",$BV29,$BJ29))</f>
        <v/>
      </c>
      <c r="CJ29" s="93" t="str">
        <f aca="false">IF(ISBLANK($C29),"",IF($BZ29&lt;&gt;Constants!$B$8,$BZ29,IF(ISNUMBER($CI29),RANK($CI29,$CI$9:$CI$508,1),COUNT($CI$9:$CI$508)+1)))</f>
        <v/>
      </c>
      <c r="CK29" s="97" t="str">
        <f aca="false">IF($BZ29&lt;&gt;Constants!$B$8,"",IF($BM29="-&gt;",$BW29,$BK29))</f>
        <v/>
      </c>
      <c r="CL29" s="93" t="str">
        <f aca="false">IF(ISBLANK($C29),"",IF($BZ29&lt;&gt;Constants!$B$8,$BZ29,IF(ISNUMBER($CK29),RANK($CK29,$CK$9:$CK$508,1),COUNT($CK$9:$CK$508)+1)))</f>
        <v/>
      </c>
      <c r="CM29" s="97" t="str">
        <f aca="false">IF($BZ29&lt;&gt;Constants!$B$8,"",IF(AND(NOT($AL29),NOT($AT29),$AJ29,$AK29,$AR29,$AS29),"",IF($BM29="-&gt;",$BX29,$BL29)))</f>
        <v/>
      </c>
      <c r="CN29" s="93" t="str">
        <f aca="false">IF(ISBLANK($C29),"",IF($BZ29&lt;&gt;Constants!$B$8,$BZ29,IF(ISNUMBER($CM29),RANK($CM29,$CM$9:$CM$508,1),COUNT($CM$9:$CM$508)+1)))</f>
        <v/>
      </c>
      <c r="CO29" s="93" t="str">
        <f aca="false">IF(ISBLANK($C29),"",IF($BZ29&lt;&gt;Constants!$B$8,$BZ29,COUNTIFS($CF$9:$CF$508,"&lt;"&amp;$CF29)+COUNTIFS($CF$9:$CF$508,$CF29,$CH$9:$CH$508,"&lt;"&amp;$CH29)+COUNTIFS($CF$9:$CF$508,$CF29,$CH$9:$CH$508,$CH29,$CJ$9:$CJ$508,"&lt;"&amp;$CJ29)+COUNTIFS($CF$9:$CF$508,$CF29,$CH$9:$CH$508,$CH29,$CJ$9:$CJ$508,$CJ29,$CL$9:$CL$508,"&lt;"&amp;$CL29)+COUNTIFS($CF$9:$CF$508,$CF29,$CH$9:$CH$508,$CH29,$CJ$9:$CJ$508,$CJ29,$CL$9:$CL$508,$CL29,$CN$9:$CN$508,"&lt;"&amp;$CN29)+1))</f>
        <v/>
      </c>
      <c r="CP29" s="93" t="str">
        <f aca="false">IF(ISBLANK($C29),"",IF($BZ29&lt;&gt;Constants!$B$8,$BZ29,$CF29-$CO29))</f>
        <v/>
      </c>
      <c r="CQ29" s="100"/>
      <c r="CR29" s="101"/>
      <c r="CS29" s="102" t="str">
        <f aca="false">IF(ISBLANK($C29),"",IF($BZ29=Constants!$B$12,$BY29,""))</f>
        <v/>
      </c>
      <c r="CT29" s="101" t="str">
        <f aca="false">IF(ISBLANK($C29),"",IF($BZ29&lt;&gt;Constants!$B$8,"",IF($BM29="-&gt;",2,1)))</f>
        <v/>
      </c>
      <c r="CU29" s="103" t="str">
        <f aca="false">IF(ISBLANK($C29),"",IF($BZ29&lt;&gt;Constants!$B$8,"",IF($BM29="-&gt;",$BO29,$BC29)))</f>
        <v/>
      </c>
      <c r="CV29" s="103" t="str">
        <f aca="false">IF(ISBLANK($C29),"",IF($BZ29&lt;&gt;Constants!$B$8,"",IF($BM29="-&gt;",$BP29,$BD29)))</f>
        <v/>
      </c>
      <c r="CW29" s="103" t="str">
        <f aca="false">IF(ISBLANK($C29),"",IF($BZ29&lt;&gt;Constants!$B$8,"",IF($BM29="-&gt;",$BQ29+$BR29,$BE29+$BF29)+$CD29))</f>
        <v/>
      </c>
      <c r="CX29" s="103" t="str">
        <f aca="false">IF(ISBLANK($C29),"",IF($BZ29&lt;&gt;Constants!$B$8,"",IF($BM29="-&gt;",$BS29,$BG29)+$CC29))</f>
        <v/>
      </c>
      <c r="CY29" s="104" t="str">
        <f aca="false">IF(ISBLANK($C29),"",IF($BZ29&lt;&gt;Constants!$B$8,$BZ29,$CE29))</f>
        <v/>
      </c>
      <c r="CZ29" s="105" t="str">
        <f aca="false">IF(ISBLANK($C29),"",$CA29)</f>
        <v/>
      </c>
      <c r="DA29" s="106" t="str">
        <f aca="false">IF(ISBLANK($C29),"",$CP29)</f>
        <v/>
      </c>
      <c r="DB29" s="106" t="str">
        <f aca="false">IF(ISBLANK($C29),"",$CO29)</f>
        <v/>
      </c>
      <c r="DC29" s="107" t="str">
        <f aca="false">IF(ISBLANK($C29),"",IFERROR(_xlfn.SWITCH($DB29,Constants!$B$11,COUNTA($C$9:$C$508)+2,Constants!$B$10,COUNTA($C$9:$C$508)+1,Constants!$B$9,COUNTA($C$9:$C$508)),$DB29))</f>
        <v/>
      </c>
      <c r="DD29" s="9"/>
      <c r="DE29" s="108" t="n">
        <f aca="false">IF(OR(ISNUMBER($DB29),$DB29=Constants!$B$11,$DB29=Constants!$B$9,$DB29=Constants!$B$10),1,0)</f>
        <v>0</v>
      </c>
      <c r="DF29" s="108" t="n">
        <v>21</v>
      </c>
      <c r="DG29" s="108" t="str">
        <f aca="false">IF(ISBLANK($C29),"",IF(ISNUMBER($DC29),$DC29+ROW($B29)/1000,""))</f>
        <v/>
      </c>
      <c r="DH29" s="108" t="str">
        <f aca="false">IF(ISNUMBER($DG29),RANK($DG29,$DG$9:$DG$508,1),"")</f>
        <v/>
      </c>
      <c r="DI29" s="108" t="str">
        <f aca="false">IF(ISBLANK($C29),"",$B29)</f>
        <v/>
      </c>
      <c r="DJ29" s="108" t="str">
        <f aca="false">IF(ISBLANK($C29),"",$C29)</f>
        <v/>
      </c>
      <c r="DK29" s="108" t="str">
        <f aca="false">IF(ISBLANK($C29),"",$D29)</f>
        <v/>
      </c>
      <c r="DL29" s="109" t="str">
        <f aca="false">$CZ29</f>
        <v/>
      </c>
      <c r="DM29" s="110" t="str">
        <f aca="false">$CY29</f>
        <v/>
      </c>
      <c r="DN29" s="108" t="str">
        <f aca="false">IF(ISBLANK($C29),"",$DB29)</f>
        <v/>
      </c>
      <c r="DO29" s="111" t="str">
        <f aca="false">IF($DF29&gt;$DE$8,"",VLOOKUP($DF29,$DH$9:$DN$508,7,FALSE()))</f>
        <v/>
      </c>
      <c r="DP29" s="112" t="str">
        <f aca="false">IF($DF29&gt;$DE$8,"",VLOOKUP($DF29,$DH$9:$DN$508,2,FALSE()))</f>
        <v/>
      </c>
      <c r="DQ29" s="112" t="str">
        <f aca="false">IF($DF29&gt;$DE$8,"",VLOOKUP($DF29,$DH$9:$DN$508,3,FALSE()))</f>
        <v/>
      </c>
      <c r="DR29" s="112" t="str">
        <f aca="false">IF($DF29&gt;$DE$8,"",VLOOKUP($DF29,$DH$9:$DN$508,4,FALSE()))</f>
        <v/>
      </c>
      <c r="DS29" s="112" t="str">
        <f aca="false">IF($DF29&gt;$DE$8,"",VLOOKUP($DF29,$DH$9:$DN$508,5,FALSE()))</f>
        <v/>
      </c>
      <c r="DT29" s="113" t="str">
        <f aca="false">IF($DF29&gt;$DE$8,"",VLOOKUP($DF29,$DH$9:$DN$508,6,FALSE()))</f>
        <v/>
      </c>
      <c r="DU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IF(ISBLANK($C30),"",IF(E30=Constants!$B$3,TRUE(),IF(E30=Constants!$B$4,FALSE(),TRUE())))</f>
        <v/>
      </c>
      <c r="AG30" s="135" t="str">
        <f aca="false">IF(ISBLANK($C30),"",IF(F30=Constants!$B$3,TRUE(),IF(F30=Constants!$B$4,FALSE(),TRUE())))</f>
        <v/>
      </c>
      <c r="AH30" s="135" t="str">
        <f aca="false">IF(ISBLANK($C30),"",IF(G30=Constants!$B$3,TRUE(),IF(G30=Constants!$B$4,FALSE(),TRUE())))</f>
        <v/>
      </c>
      <c r="AI30" s="135" t="str">
        <f aca="false">IF(ISBLANK($C30),"",IF(AND(ISNUMBER(H30),H30&gt;=0),H30,Constants!$B$29))</f>
        <v/>
      </c>
      <c r="AJ30" s="135" t="str">
        <f aca="false">IF(ISBLANK($C30),"",IF(I30=Constants!$B$3,TRUE(),IF(I30=Constants!$B$4,FALSE(),TRUE())))</f>
        <v/>
      </c>
      <c r="AK30" s="135" t="str">
        <f aca="false">IF(ISBLANK($C30),"",IF(J30=Constants!$B$3,TRUE(),IF(J30=Constants!$B$4,FALSE(),TRUE())))</f>
        <v/>
      </c>
      <c r="AL30" s="135" t="str">
        <f aca="false">IF(ISBLANK($C30),"",IF(K30=Constants!$B$5,TRUE(),IF(K30=Constants!$B$6,FALSE(),COUNTA(L30:P30)&gt;0)))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IF(ISBLANK($C30),"",IF(N30=Constants!$B$3,TRUE(),IF(N30=Constants!$B$4,FALSE(),TRUE())))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IF(ISBLANK($C30),"",IF(P30=Constants!$B$3,TRUE(),IF(P30=Constants!$B$4,FALSE(),FALSE())))</f>
        <v/>
      </c>
      <c r="AR30" s="135" t="str">
        <f aca="false">IF(ISBLANK($C30),"",IF(Q30=Constants!$B$3,TRUE(),IF(Q30=Constants!$B$4,FALSE(),TRUE())))</f>
        <v/>
      </c>
      <c r="AS30" s="135" t="str">
        <f aca="false">IF(ISBLANK($C30),"",IF(R30=Constants!$B$3,TRUE(),IF(R30=Constants!$B$4,FALSE(),TRUE())))</f>
        <v/>
      </c>
      <c r="AT30" s="135" t="str">
        <f aca="false">IF(ISBLANK($C30),"",IF(S30=Constants!$B$5,TRUE(),IF(S30=Constants!$B$6,FALSE(),COUNTA(T30:X30)&gt;0)))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IF(ISBLANK($C30),"",IF(V30=Constants!$B$3,TRUE(),IF(V30=Constants!$B$4,FALSE(),TRUE())))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IF(ISBLANK($C30),"",IF(X30=Constants!$B$3,TRUE(),IF(X30=Constants!$B$4,FALSE(),FALSE())))</f>
        <v/>
      </c>
      <c r="AZ30" s="135" t="str">
        <f aca="false">IF(ISBLANK($C30),"",MIN(Constants!$B$31,MAX(0,IF(ISNUMBER(Y30),Y30*60,0)+IF(ISNUMBER(Z30),Z30,0))))</f>
        <v/>
      </c>
      <c r="BA30" s="135" t="str">
        <f aca="false">IF(ISBLANK($C30),"",IF(AA30=Constants!$B$3,TRUE(),IF(AA30=Constants!$B$4,FALSE(),FALSE())))</f>
        <v/>
      </c>
      <c r="BB30" s="134" t="str">
        <f aca="false">IF(ISBLANK($C30),"",AND($AL30,OR($AM30="",$AN30="",AND($AO30,$AP30=""))))</f>
        <v/>
      </c>
      <c r="BC30" s="137" t="str">
        <f aca="false">IF($BZ30&lt;&gt;Constants!$B$8,"",IF($AL30,Constants!$B$21*$AN30+Constants!$B$22*IF($AO30,$AP30,Constants!$B$23),Constants!$B$24))</f>
        <v/>
      </c>
      <c r="BD30" s="138" t="str">
        <f aca="false">IF($BZ30&lt;&gt;Constants!$B$8,"",Constants!$B$25*ABS($AD$9-IF($AL30,$AM30,0)))</f>
        <v/>
      </c>
      <c r="BE30" s="138" t="str">
        <f aca="false">IF($BZ30&lt;&gt;Constants!$B$8,"",IF(AND($AL30,$AQ30,$AO30),Constants!$B$27,0))</f>
        <v/>
      </c>
      <c r="BF30" s="138" t="str">
        <f aca="false">IF($BZ30&lt;&gt;Constants!$B$8,"",IF($AL30,($AI30-Constants!$B$29)*Constants!$B$28,0))</f>
        <v/>
      </c>
      <c r="BG30" s="138" t="str">
        <f aca="false">IF($BZ30&lt;&gt;Constants!$B$8,"",IF($AK30,0,Constants!$B$15)+IF($AJ30,0,Constants!$B$16)+IF($AH30,0,Constants!$B$17))</f>
        <v/>
      </c>
      <c r="BH30" s="139" t="str">
        <f aca="false">IF($BZ30&lt;&gt;Constants!$B$8,"",Constants!$B$20+SUM($BC30:$BG30))</f>
        <v/>
      </c>
      <c r="BI30" s="138" t="str">
        <f aca="false">IF($BZ30&lt;&gt;Constants!$B$8,"",$BC30)</f>
        <v/>
      </c>
      <c r="BJ30" s="138" t="str">
        <f aca="false">IF($BZ30&lt;&gt;Constants!$B$8,"",$BD30)</f>
        <v/>
      </c>
      <c r="BK30" s="138" t="str">
        <f aca="false">IF($BZ30&lt;&gt;Constants!$B$8,"",IF($AL30,$AN30,""))</f>
        <v/>
      </c>
      <c r="BL30" s="140" t="str">
        <f aca="false">IF($BZ30&lt;&gt;Constants!$B$8,"",$AI30)</f>
        <v/>
      </c>
      <c r="BM30" s="135" t="str">
        <f aca="false">IF($BZ30&lt;&gt;Constants!$B$8,"",IF(OR($BT30&lt;$BH30,AND($BT30=$BH30,OR($BU30&lt;$BI30,AND($BU30=$BI30,OR($BV30&lt;$BJ30,AND($BV30=$BJ30,OR(AND(ISNUMBER($BW30),OR(NOT(ISNUMBER($BK30)),$BW30&lt;$BK30)),AND(OR(AND($BW30="",$BK30=""),AND(ISNUMBER($BW30),ISNUMBER($BK30),$BW30=$BK30)),$BX30&lt;$BL30)))))))),"-&gt;","&lt;-"))</f>
        <v/>
      </c>
      <c r="BN30" s="134" t="str">
        <f aca="false">IF(ISBLANK($C30),"",AND($AT30,OR($AU30="",$AV30="",AND($AW30,$AX30=""))))</f>
        <v/>
      </c>
      <c r="BO30" s="137" t="str">
        <f aca="false">IF($BZ30&lt;&gt;Constants!$B$8,"",IF($AT30,Constants!$B$21*$AV30+Constants!$B$22*IF($AW30,$AX30,Constants!$B$23),Constants!$B$24))</f>
        <v/>
      </c>
      <c r="BP30" s="138" t="str">
        <f aca="false">IF($BZ30&lt;&gt;Constants!$B$8,"",Constants!$B$25*ABS($AD$9-IF($AT30,$AU30,0)))</f>
        <v/>
      </c>
      <c r="BQ30" s="138" t="str">
        <f aca="false">IF($BZ30&lt;&gt;Constants!$B$8,"",IF(AND($AT30,$AY30,$AW30),Constants!$B$27,0))</f>
        <v/>
      </c>
      <c r="BR30" s="138" t="str">
        <f aca="false">IF($BZ30&lt;&gt;Constants!$B$8,"",IF($AT30,($AI30-Constants!$B$29)*Constants!$B$28,0))</f>
        <v/>
      </c>
      <c r="BS30" s="138" t="str">
        <f aca="false">IF($BZ30&lt;&gt;Constants!$B$8,"",IF($AS30,0,Constants!$B$15)+IF($AR30,0,Constants!$B$16)+IF($AH30,0,Constants!$B$17))</f>
        <v/>
      </c>
      <c r="BT30" s="139" t="str">
        <f aca="false">IF($BZ30&lt;&gt;Constants!$B$8,"",Constants!$B$20+SUM($BO30:$BS30))</f>
        <v/>
      </c>
      <c r="BU30" s="138" t="str">
        <f aca="false">IF($BZ30&lt;&gt;Constants!$B$8,"",$BO30)</f>
        <v/>
      </c>
      <c r="BV30" s="138" t="str">
        <f aca="false">IF($BZ30&lt;&gt;Constants!$B$8,"",$BP30)</f>
        <v/>
      </c>
      <c r="BW30" s="138" t="str">
        <f aca="false">IF($BZ30&lt;&gt;Constants!$B$8,"",IF($AT30,$AV30,""))</f>
        <v/>
      </c>
      <c r="BX30" s="140" t="str">
        <f aca="false">IF($BZ30&lt;&gt;Constants!$B$8,"",$AI30)</f>
        <v/>
      </c>
      <c r="BY30" s="135" t="str">
        <f aca="false">IF(ISBLANK($C30),"",IF(ISBLANK($D$7),$BY$5,IF(NOT(ISNUMBER($D$7)),$BY$6,"")))</f>
        <v/>
      </c>
      <c r="BZ30" s="135" t="str">
        <f aca="false">IF(ISBLANK($C30),"",IF($BA30,Constants!$B$11,IF(COUNTA($E30:$AA30)=0,Constants!$B$10,IF(NOT($AG30),Constants!$B$9,IF(OR($BY30&lt;&gt;"",$BB30,$BN30),Constants!$B$12,Constants!$B$8)))))</f>
        <v/>
      </c>
      <c r="CA30" s="135" t="str">
        <f aca="false">IF(ISBLANK($C30),"",IF($BZ30&lt;&gt;Constants!$B$8,$BZ30,Constants!$B$13))</f>
        <v/>
      </c>
      <c r="CB30" s="138" t="str">
        <f aca="false">IF($BZ30&lt;&gt;Constants!$B$8,"",IF($BM30="-&gt;",$BT30,$BH30))</f>
        <v/>
      </c>
      <c r="CC30" s="138" t="str">
        <f aca="false">IF($BZ30&lt;&gt;Constants!$B$8,"",IF($AF30,0,Constants!$B$18))</f>
        <v/>
      </c>
      <c r="CD30" s="138" t="str">
        <f aca="false">IF($BZ30&lt;&gt;Constants!$B$8,"",((Constants!$B$31-$AZ30)-Constants!$B$31)/Constants!$B$32)</f>
        <v/>
      </c>
      <c r="CE30" s="138" t="str">
        <f aca="false">IF(ISBLANK($C30),"",IF($BZ30&lt;&gt;Constants!$B$8,$BZ30,SUM($CB30:$CD30)))</f>
        <v/>
      </c>
      <c r="CF30" s="135" t="str">
        <f aca="false">IF(ISBLANK($C30),"",IF($BZ30&lt;&gt;Constants!$B$8,$BZ30,RANK($CE30,$CE$9:$CE$508,1)))</f>
        <v/>
      </c>
      <c r="CG30" s="138" t="str">
        <f aca="false">IF($BZ30&lt;&gt;Constants!$B$8,"",IF($BM30="-&gt;",$BU30,$BI30))</f>
        <v/>
      </c>
      <c r="CH30" s="135" t="str">
        <f aca="false">IF(ISBLANK($C30),"",IF($BZ30&lt;&gt;Constants!$B$8,$BZ30,IF(ISNUMBER($CG30),RANK($CG30,$CG$9:$CG$508,1),COUNT($CG$9:$CG$508)+1)))</f>
        <v/>
      </c>
      <c r="CI30" s="138" t="str">
        <f aca="false">IF($BZ30&lt;&gt;Constants!$B$8,"",IF($BM30="-&gt;",$BV30,$BJ30))</f>
        <v/>
      </c>
      <c r="CJ30" s="135" t="str">
        <f aca="false">IF(ISBLANK($C30),"",IF($BZ30&lt;&gt;Constants!$B$8,$BZ30,IF(ISNUMBER($CI30),RANK($CI30,$CI$9:$CI$508,1),COUNT($CI$9:$CI$508)+1)))</f>
        <v/>
      </c>
      <c r="CK30" s="138" t="str">
        <f aca="false">IF($BZ30&lt;&gt;Constants!$B$8,"",IF($BM30="-&gt;",$BW30,$BK30))</f>
        <v/>
      </c>
      <c r="CL30" s="135" t="str">
        <f aca="false">IF(ISBLANK($C30),"",IF($BZ30&lt;&gt;Constants!$B$8,$BZ30,IF(ISNUMBER($CK30),RANK($CK30,$CK$9:$CK$508,1),COUNT($CK$9:$CK$508)+1)))</f>
        <v/>
      </c>
      <c r="CM30" s="138" t="str">
        <f aca="false">IF($BZ30&lt;&gt;Constants!$B$8,"",IF(AND(NOT($AL30),NOT($AT30),$AJ30,$AK30,$AR30,$AS30),"",IF($BM30="-&gt;",$BX30,$BL30)))</f>
        <v/>
      </c>
      <c r="CN30" s="135" t="str">
        <f aca="false">IF(ISBLANK($C30),"",IF($BZ30&lt;&gt;Constants!$B$8,$BZ30,IF(ISNUMBER($CM30),RANK($CM30,$CM$9:$CM$508,1),COUNT($CM$9:$CM$508)+1)))</f>
        <v/>
      </c>
      <c r="CO30" s="135" t="str">
        <f aca="false">IF(ISBLANK($C30),"",IF($BZ30&lt;&gt;Constants!$B$8,$BZ30,COUNTIFS($CF$9:$CF$508,"&lt;"&amp;$CF30)+COUNTIFS($CF$9:$CF$508,$CF30,$CH$9:$CH$508,"&lt;"&amp;$CH30)+COUNTIFS($CF$9:$CF$508,$CF30,$CH$9:$CH$508,$CH30,$CJ$9:$CJ$508,"&lt;"&amp;$CJ30)+COUNTIFS($CF$9:$CF$508,$CF30,$CH$9:$CH$508,$CH30,$CJ$9:$CJ$508,$CJ30,$CL$9:$CL$508,"&lt;"&amp;$CL30)+COUNTIFS($CF$9:$CF$508,$CF30,$CH$9:$CH$508,$CH30,$CJ$9:$CJ$508,$CJ30,$CL$9:$CL$508,$CL30,$CN$9:$CN$508,"&lt;"&amp;$CN30)+1))</f>
        <v/>
      </c>
      <c r="CP30" s="135" t="str">
        <f aca="false">IF(ISBLANK($C30),"",IF($BZ30&lt;&gt;Constants!$B$8,$BZ30,$CF30-$CO30))</f>
        <v/>
      </c>
      <c r="CQ30" s="141"/>
      <c r="CR30" s="142"/>
      <c r="CS30" s="143" t="str">
        <f aca="false">IF(ISBLANK($C30),"",IF($BZ30=Constants!$B$12,$BY30,""))</f>
        <v/>
      </c>
      <c r="CT30" s="142" t="str">
        <f aca="false">IF(ISBLANK($C30),"",IF($BZ30&lt;&gt;Constants!$B$8,"",IF($BM30="-&gt;",2,1)))</f>
        <v/>
      </c>
      <c r="CU30" s="144" t="str">
        <f aca="false">IF(ISBLANK($C30),"",IF($BZ30&lt;&gt;Constants!$B$8,"",IF($BM30="-&gt;",$BO30,$BC30)))</f>
        <v/>
      </c>
      <c r="CV30" s="144" t="str">
        <f aca="false">IF(ISBLANK($C30),"",IF($BZ30&lt;&gt;Constants!$B$8,"",IF($BM30="-&gt;",$BP30,$BD30)))</f>
        <v/>
      </c>
      <c r="CW30" s="144" t="str">
        <f aca="false">IF(ISBLANK($C30),"",IF($BZ30&lt;&gt;Constants!$B$8,"",IF($BM30="-&gt;",$BQ30+$BR30,$BE30+$BF30)+$CD30))</f>
        <v/>
      </c>
      <c r="CX30" s="144" t="str">
        <f aca="false">IF(ISBLANK($C30),"",IF($BZ30&lt;&gt;Constants!$B$8,"",IF($BM30="-&gt;",$BS30,$BG30)+$CC30))</f>
        <v/>
      </c>
      <c r="CY30" s="145" t="str">
        <f aca="false">IF(ISBLANK($C30),"",IF($BZ30&lt;&gt;Constants!$B$8,$BZ30,$CE30))</f>
        <v/>
      </c>
      <c r="CZ30" s="146" t="str">
        <f aca="false">IF(ISBLANK($C30),"",$CA30)</f>
        <v/>
      </c>
      <c r="DA30" s="147" t="str">
        <f aca="false">IF(ISBLANK($C30),"",$CP30)</f>
        <v/>
      </c>
      <c r="DB30" s="147" t="str">
        <f aca="false">IF(ISBLANK($C30),"",$CO30)</f>
        <v/>
      </c>
      <c r="DC30" s="148" t="str">
        <f aca="false">IF(ISBLANK($C30),"",IFERROR(_xlfn.SWITCH($DB30,Constants!$B$11,COUNTA($C$9:$C$508)+2,Constants!$B$10,COUNTA($C$9:$C$508)+1,Constants!$B$9,COUNTA($C$9:$C$508)),$DB30))</f>
        <v/>
      </c>
      <c r="DD30" s="9"/>
      <c r="DE30" s="149" t="n">
        <f aca="false">IF(OR(ISNUMBER($DB30),$DB30=Constants!$B$11,$DB30=Constants!$B$9,$DB30=Constants!$B$10),1,0)</f>
        <v>0</v>
      </c>
      <c r="DF30" s="149" t="n">
        <v>22</v>
      </c>
      <c r="DG30" s="149" t="str">
        <f aca="false">IF(ISBLANK($C30),"",IF(ISNUMBER($DC30),$DC30+ROW($B30)/1000,""))</f>
        <v/>
      </c>
      <c r="DH30" s="149" t="str">
        <f aca="false">IF(ISNUMBER($DG30),RANK($DG30,$DG$9:$DG$508,1),"")</f>
        <v/>
      </c>
      <c r="DI30" s="149" t="str">
        <f aca="false">IF(ISBLANK($C30),"",$B30)</f>
        <v/>
      </c>
      <c r="DJ30" s="149" t="str">
        <f aca="false">IF(ISBLANK($C30),"",$C30)</f>
        <v/>
      </c>
      <c r="DK30" s="149" t="str">
        <f aca="false">IF(ISBLANK($C30),"",$D30)</f>
        <v/>
      </c>
      <c r="DL30" s="150" t="str">
        <f aca="false">$CZ30</f>
        <v/>
      </c>
      <c r="DM30" s="151" t="str">
        <f aca="false">$CY30</f>
        <v/>
      </c>
      <c r="DN30" s="149" t="str">
        <f aca="false">IF(ISBLANK($C30),"",$DB30)</f>
        <v/>
      </c>
      <c r="DO30" s="152" t="str">
        <f aca="false">IF($DF30&gt;$DE$8,"",VLOOKUP($DF30,$DH$9:$DN$508,7,FALSE()))</f>
        <v/>
      </c>
      <c r="DP30" s="153" t="str">
        <f aca="false">IF($DF30&gt;$DE$8,"",VLOOKUP($DF30,$DH$9:$DN$508,2,FALSE()))</f>
        <v/>
      </c>
      <c r="DQ30" s="153" t="str">
        <f aca="false">IF($DF30&gt;$DE$8,"",VLOOKUP($DF30,$DH$9:$DN$508,3,FALSE()))</f>
        <v/>
      </c>
      <c r="DR30" s="153" t="str">
        <f aca="false">IF($DF30&gt;$DE$8,"",VLOOKUP($DF30,$DH$9:$DN$508,4,FALSE()))</f>
        <v/>
      </c>
      <c r="DS30" s="153" t="str">
        <f aca="false">IF($DF30&gt;$DE$8,"",VLOOKUP($DF30,$DH$9:$DN$508,5,FALSE()))</f>
        <v/>
      </c>
      <c r="DT30" s="154" t="str">
        <f aca="false">IF($DF30&gt;$DE$8,"",VLOOKUP($DF30,$DH$9:$DN$508,6,FALSE()))</f>
        <v/>
      </c>
      <c r="DU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IF(ISBLANK($C31),"",IF(E31=Constants!$B$3,TRUE(),IF(E31=Constants!$B$4,FALSE(),TRUE())))</f>
        <v/>
      </c>
      <c r="AG31" s="135" t="str">
        <f aca="false">IF(ISBLANK($C31),"",IF(F31=Constants!$B$3,TRUE(),IF(F31=Constants!$B$4,FALSE(),TRUE())))</f>
        <v/>
      </c>
      <c r="AH31" s="135" t="str">
        <f aca="false">IF(ISBLANK($C31),"",IF(G31=Constants!$B$3,TRUE(),IF(G31=Constants!$B$4,FALSE(),TRUE())))</f>
        <v/>
      </c>
      <c r="AI31" s="135" t="str">
        <f aca="false">IF(ISBLANK($C31),"",IF(AND(ISNUMBER(H31),H31&gt;=0),H31,Constants!$B$29))</f>
        <v/>
      </c>
      <c r="AJ31" s="135" t="str">
        <f aca="false">IF(ISBLANK($C31),"",IF(I31=Constants!$B$3,TRUE(),IF(I31=Constants!$B$4,FALSE(),TRUE())))</f>
        <v/>
      </c>
      <c r="AK31" s="135" t="str">
        <f aca="false">IF(ISBLANK($C31),"",IF(J31=Constants!$B$3,TRUE(),IF(J31=Constants!$B$4,FALSE(),TRUE())))</f>
        <v/>
      </c>
      <c r="AL31" s="135" t="str">
        <f aca="false">IF(ISBLANK($C31),"",IF(K31=Constants!$B$5,TRUE(),IF(K31=Constants!$B$6,FALSE(),COUNTA(L31:P31)&gt;0)))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IF(ISBLANK($C31),"",IF(N31=Constants!$B$3,TRUE(),IF(N31=Constants!$B$4,FALSE(),TRUE())))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IF(ISBLANK($C31),"",IF(P31=Constants!$B$3,TRUE(),IF(P31=Constants!$B$4,FALSE(),FALSE())))</f>
        <v/>
      </c>
      <c r="AR31" s="135" t="str">
        <f aca="false">IF(ISBLANK($C31),"",IF(Q31=Constants!$B$3,TRUE(),IF(Q31=Constants!$B$4,FALSE(),TRUE())))</f>
        <v/>
      </c>
      <c r="AS31" s="135" t="str">
        <f aca="false">IF(ISBLANK($C31),"",IF(R31=Constants!$B$3,TRUE(),IF(R31=Constants!$B$4,FALSE(),TRUE())))</f>
        <v/>
      </c>
      <c r="AT31" s="135" t="str">
        <f aca="false">IF(ISBLANK($C31),"",IF(S31=Constants!$B$5,TRUE(),IF(S31=Constants!$B$6,FALSE(),COUNTA(T31:X31)&gt;0)))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IF(ISBLANK($C31),"",IF(V31=Constants!$B$3,TRUE(),IF(V31=Constants!$B$4,FALSE(),TRUE())))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IF(ISBLANK($C31),"",IF(X31=Constants!$B$3,TRUE(),IF(X31=Constants!$B$4,FALSE(),FALSE())))</f>
        <v/>
      </c>
      <c r="AZ31" s="135" t="str">
        <f aca="false">IF(ISBLANK($C31),"",MIN(Constants!$B$31,MAX(0,IF(ISNUMBER(Y31),Y31*60,0)+IF(ISNUMBER(Z31),Z31,0))))</f>
        <v/>
      </c>
      <c r="BA31" s="135" t="str">
        <f aca="false">IF(ISBLANK($C31),"",IF(AA31=Constants!$B$3,TRUE(),IF(AA31=Constants!$B$4,FALSE(),FALSE())))</f>
        <v/>
      </c>
      <c r="BB31" s="134" t="str">
        <f aca="false">IF(ISBLANK($C31),"",AND($AL31,OR($AM31="",$AN31="",AND($AO31,$AP31=""))))</f>
        <v/>
      </c>
      <c r="BC31" s="137" t="str">
        <f aca="false">IF($BZ31&lt;&gt;Constants!$B$8,"",IF($AL31,Constants!$B$21*$AN31+Constants!$B$22*IF($AO31,$AP31,Constants!$B$23),Constants!$B$24))</f>
        <v/>
      </c>
      <c r="BD31" s="138" t="str">
        <f aca="false">IF($BZ31&lt;&gt;Constants!$B$8,"",Constants!$B$25*ABS($AD$9-IF($AL31,$AM31,0)))</f>
        <v/>
      </c>
      <c r="BE31" s="138" t="str">
        <f aca="false">IF($BZ31&lt;&gt;Constants!$B$8,"",IF(AND($AL31,$AQ31,$AO31),Constants!$B$27,0))</f>
        <v/>
      </c>
      <c r="BF31" s="138" t="str">
        <f aca="false">IF($BZ31&lt;&gt;Constants!$B$8,"",IF($AL31,($AI31-Constants!$B$29)*Constants!$B$28,0))</f>
        <v/>
      </c>
      <c r="BG31" s="138" t="str">
        <f aca="false">IF($BZ31&lt;&gt;Constants!$B$8,"",IF($AK31,0,Constants!$B$15)+IF($AJ31,0,Constants!$B$16)+IF($AH31,0,Constants!$B$17))</f>
        <v/>
      </c>
      <c r="BH31" s="139" t="str">
        <f aca="false">IF($BZ31&lt;&gt;Constants!$B$8,"",Constants!$B$20+SUM($BC31:$BG31))</f>
        <v/>
      </c>
      <c r="BI31" s="138" t="str">
        <f aca="false">IF($BZ31&lt;&gt;Constants!$B$8,"",$BC31)</f>
        <v/>
      </c>
      <c r="BJ31" s="138" t="str">
        <f aca="false">IF($BZ31&lt;&gt;Constants!$B$8,"",$BD31)</f>
        <v/>
      </c>
      <c r="BK31" s="138" t="str">
        <f aca="false">IF($BZ31&lt;&gt;Constants!$B$8,"",IF($AL31,$AN31,""))</f>
        <v/>
      </c>
      <c r="BL31" s="140" t="str">
        <f aca="false">IF($BZ31&lt;&gt;Constants!$B$8,"",$AI31)</f>
        <v/>
      </c>
      <c r="BM31" s="135" t="str">
        <f aca="false">IF($BZ31&lt;&gt;Constants!$B$8,"",IF(OR($BT31&lt;$BH31,AND($BT31=$BH31,OR($BU31&lt;$BI31,AND($BU31=$BI31,OR($BV31&lt;$BJ31,AND($BV31=$BJ31,OR(AND(ISNUMBER($BW31),OR(NOT(ISNUMBER($BK31)),$BW31&lt;$BK31)),AND(OR(AND($BW31="",$BK31=""),AND(ISNUMBER($BW31),ISNUMBER($BK31),$BW31=$BK31)),$BX31&lt;$BL31)))))))),"-&gt;","&lt;-"))</f>
        <v/>
      </c>
      <c r="BN31" s="134" t="str">
        <f aca="false">IF(ISBLANK($C31),"",AND($AT31,OR($AU31="",$AV31="",AND($AW31,$AX31=""))))</f>
        <v/>
      </c>
      <c r="BO31" s="137" t="str">
        <f aca="false">IF($BZ31&lt;&gt;Constants!$B$8,"",IF($AT31,Constants!$B$21*$AV31+Constants!$B$22*IF($AW31,$AX31,Constants!$B$23),Constants!$B$24))</f>
        <v/>
      </c>
      <c r="BP31" s="138" t="str">
        <f aca="false">IF($BZ31&lt;&gt;Constants!$B$8,"",Constants!$B$25*ABS($AD$9-IF($AT31,$AU31,0)))</f>
        <v/>
      </c>
      <c r="BQ31" s="138" t="str">
        <f aca="false">IF($BZ31&lt;&gt;Constants!$B$8,"",IF(AND($AT31,$AY31,$AW31),Constants!$B$27,0))</f>
        <v/>
      </c>
      <c r="BR31" s="138" t="str">
        <f aca="false">IF($BZ31&lt;&gt;Constants!$B$8,"",IF($AT31,($AI31-Constants!$B$29)*Constants!$B$28,0))</f>
        <v/>
      </c>
      <c r="BS31" s="138" t="str">
        <f aca="false">IF($BZ31&lt;&gt;Constants!$B$8,"",IF($AS31,0,Constants!$B$15)+IF($AR31,0,Constants!$B$16)+IF($AH31,0,Constants!$B$17))</f>
        <v/>
      </c>
      <c r="BT31" s="139" t="str">
        <f aca="false">IF($BZ31&lt;&gt;Constants!$B$8,"",Constants!$B$20+SUM($BO31:$BS31))</f>
        <v/>
      </c>
      <c r="BU31" s="138" t="str">
        <f aca="false">IF($BZ31&lt;&gt;Constants!$B$8,"",$BO31)</f>
        <v/>
      </c>
      <c r="BV31" s="138" t="str">
        <f aca="false">IF($BZ31&lt;&gt;Constants!$B$8,"",$BP31)</f>
        <v/>
      </c>
      <c r="BW31" s="138" t="str">
        <f aca="false">IF($BZ31&lt;&gt;Constants!$B$8,"",IF($AT31,$AV31,""))</f>
        <v/>
      </c>
      <c r="BX31" s="140" t="str">
        <f aca="false">IF($BZ31&lt;&gt;Constants!$B$8,"",$AI31)</f>
        <v/>
      </c>
      <c r="BY31" s="135" t="str">
        <f aca="false">IF(ISBLANK($C31),"",IF(ISBLANK($D$7),$BY$5,IF(NOT(ISNUMBER($D$7)),$BY$6,"")))</f>
        <v/>
      </c>
      <c r="BZ31" s="135" t="str">
        <f aca="false">IF(ISBLANK($C31),"",IF($BA31,Constants!$B$11,IF(COUNTA($E31:$AA31)=0,Constants!$B$10,IF(NOT($AG31),Constants!$B$9,IF(OR($BY31&lt;&gt;"",$BB31,$BN31),Constants!$B$12,Constants!$B$8)))))</f>
        <v/>
      </c>
      <c r="CA31" s="135" t="str">
        <f aca="false">IF(ISBLANK($C31),"",IF($BZ31&lt;&gt;Constants!$B$8,$BZ31,Constants!$B$13))</f>
        <v/>
      </c>
      <c r="CB31" s="138" t="str">
        <f aca="false">IF($BZ31&lt;&gt;Constants!$B$8,"",IF($BM31="-&gt;",$BT31,$BH31))</f>
        <v/>
      </c>
      <c r="CC31" s="138" t="str">
        <f aca="false">IF($BZ31&lt;&gt;Constants!$B$8,"",IF($AF31,0,Constants!$B$18))</f>
        <v/>
      </c>
      <c r="CD31" s="138" t="str">
        <f aca="false">IF($BZ31&lt;&gt;Constants!$B$8,"",((Constants!$B$31-$AZ31)-Constants!$B$31)/Constants!$B$32)</f>
        <v/>
      </c>
      <c r="CE31" s="138" t="str">
        <f aca="false">IF(ISBLANK($C31),"",IF($BZ31&lt;&gt;Constants!$B$8,$BZ31,SUM($CB31:$CD31)))</f>
        <v/>
      </c>
      <c r="CF31" s="135" t="str">
        <f aca="false">IF(ISBLANK($C31),"",IF($BZ31&lt;&gt;Constants!$B$8,$BZ31,RANK($CE31,$CE$9:$CE$508,1)))</f>
        <v/>
      </c>
      <c r="CG31" s="138" t="str">
        <f aca="false">IF($BZ31&lt;&gt;Constants!$B$8,"",IF($BM31="-&gt;",$BU31,$BI31))</f>
        <v/>
      </c>
      <c r="CH31" s="135" t="str">
        <f aca="false">IF(ISBLANK($C31),"",IF($BZ31&lt;&gt;Constants!$B$8,$BZ31,IF(ISNUMBER($CG31),RANK($CG31,$CG$9:$CG$508,1),COUNT($CG$9:$CG$508)+1)))</f>
        <v/>
      </c>
      <c r="CI31" s="138" t="str">
        <f aca="false">IF($BZ31&lt;&gt;Constants!$B$8,"",IF($BM31="-&gt;",$BV31,$BJ31))</f>
        <v/>
      </c>
      <c r="CJ31" s="135" t="str">
        <f aca="false">IF(ISBLANK($C31),"",IF($BZ31&lt;&gt;Constants!$B$8,$BZ31,IF(ISNUMBER($CI31),RANK($CI31,$CI$9:$CI$508,1),COUNT($CI$9:$CI$508)+1)))</f>
        <v/>
      </c>
      <c r="CK31" s="138" t="str">
        <f aca="false">IF($BZ31&lt;&gt;Constants!$B$8,"",IF($BM31="-&gt;",$BW31,$BK31))</f>
        <v/>
      </c>
      <c r="CL31" s="135" t="str">
        <f aca="false">IF(ISBLANK($C31),"",IF($BZ31&lt;&gt;Constants!$B$8,$BZ31,IF(ISNUMBER($CK31),RANK($CK31,$CK$9:$CK$508,1),COUNT($CK$9:$CK$508)+1)))</f>
        <v/>
      </c>
      <c r="CM31" s="138" t="str">
        <f aca="false">IF($BZ31&lt;&gt;Constants!$B$8,"",IF(AND(NOT($AL31),NOT($AT31),$AJ31,$AK31,$AR31,$AS31),"",IF($BM31="-&gt;",$BX31,$BL31)))</f>
        <v/>
      </c>
      <c r="CN31" s="135" t="str">
        <f aca="false">IF(ISBLANK($C31),"",IF($BZ31&lt;&gt;Constants!$B$8,$BZ31,IF(ISNUMBER($CM31),RANK($CM31,$CM$9:$CM$508,1),COUNT($CM$9:$CM$508)+1)))</f>
        <v/>
      </c>
      <c r="CO31" s="135" t="str">
        <f aca="false">IF(ISBLANK($C31),"",IF($BZ31&lt;&gt;Constants!$B$8,$BZ31,COUNTIFS($CF$9:$CF$508,"&lt;"&amp;$CF31)+COUNTIFS($CF$9:$CF$508,$CF31,$CH$9:$CH$508,"&lt;"&amp;$CH31)+COUNTIFS($CF$9:$CF$508,$CF31,$CH$9:$CH$508,$CH31,$CJ$9:$CJ$508,"&lt;"&amp;$CJ31)+COUNTIFS($CF$9:$CF$508,$CF31,$CH$9:$CH$508,$CH31,$CJ$9:$CJ$508,$CJ31,$CL$9:$CL$508,"&lt;"&amp;$CL31)+COUNTIFS($CF$9:$CF$508,$CF31,$CH$9:$CH$508,$CH31,$CJ$9:$CJ$508,$CJ31,$CL$9:$CL$508,$CL31,$CN$9:$CN$508,"&lt;"&amp;$CN31)+1))</f>
        <v/>
      </c>
      <c r="CP31" s="135" t="str">
        <f aca="false">IF(ISBLANK($C31),"",IF($BZ31&lt;&gt;Constants!$B$8,$BZ31,$CF31-$CO31))</f>
        <v/>
      </c>
      <c r="CQ31" s="141"/>
      <c r="CR31" s="142"/>
      <c r="CS31" s="143" t="str">
        <f aca="false">IF(ISBLANK($C31),"",IF($BZ31=Constants!$B$12,$BY31,""))</f>
        <v/>
      </c>
      <c r="CT31" s="142" t="str">
        <f aca="false">IF(ISBLANK($C31),"",IF($BZ31&lt;&gt;Constants!$B$8,"",IF($BM31="-&gt;",2,1)))</f>
        <v/>
      </c>
      <c r="CU31" s="144" t="str">
        <f aca="false">IF(ISBLANK($C31),"",IF($BZ31&lt;&gt;Constants!$B$8,"",IF($BM31="-&gt;",$BO31,$BC31)))</f>
        <v/>
      </c>
      <c r="CV31" s="144" t="str">
        <f aca="false">IF(ISBLANK($C31),"",IF($BZ31&lt;&gt;Constants!$B$8,"",IF($BM31="-&gt;",$BP31,$BD31)))</f>
        <v/>
      </c>
      <c r="CW31" s="144" t="str">
        <f aca="false">IF(ISBLANK($C31),"",IF($BZ31&lt;&gt;Constants!$B$8,"",IF($BM31="-&gt;",$BQ31+$BR31,$BE31+$BF31)+$CD31))</f>
        <v/>
      </c>
      <c r="CX31" s="144" t="str">
        <f aca="false">IF(ISBLANK($C31),"",IF($BZ31&lt;&gt;Constants!$B$8,"",IF($BM31="-&gt;",$BS31,$BG31)+$CC31))</f>
        <v/>
      </c>
      <c r="CY31" s="145" t="str">
        <f aca="false">IF(ISBLANK($C31),"",IF($BZ31&lt;&gt;Constants!$B$8,$BZ31,$CE31))</f>
        <v/>
      </c>
      <c r="CZ31" s="146" t="str">
        <f aca="false">IF(ISBLANK($C31),"",$CA31)</f>
        <v/>
      </c>
      <c r="DA31" s="147" t="str">
        <f aca="false">IF(ISBLANK($C31),"",$CP31)</f>
        <v/>
      </c>
      <c r="DB31" s="147" t="str">
        <f aca="false">IF(ISBLANK($C31),"",$CO31)</f>
        <v/>
      </c>
      <c r="DC31" s="148" t="str">
        <f aca="false">IF(ISBLANK($C31),"",IFERROR(_xlfn.SWITCH($DB31,Constants!$B$11,COUNTA($C$9:$C$508)+2,Constants!$B$10,COUNTA($C$9:$C$508)+1,Constants!$B$9,COUNTA($C$9:$C$508)),$DB31))</f>
        <v/>
      </c>
      <c r="DD31" s="9"/>
      <c r="DE31" s="149" t="n">
        <f aca="false">IF(OR(ISNUMBER($DB31),$DB31=Constants!$B$11,$DB31=Constants!$B$9,$DB31=Constants!$B$10),1,0)</f>
        <v>0</v>
      </c>
      <c r="DF31" s="149" t="n">
        <v>23</v>
      </c>
      <c r="DG31" s="149" t="str">
        <f aca="false">IF(ISBLANK($C31),"",IF(ISNUMBER($DC31),$DC31+ROW($B31)/1000,""))</f>
        <v/>
      </c>
      <c r="DH31" s="149" t="str">
        <f aca="false">IF(ISNUMBER($DG31),RANK($DG31,$DG$9:$DG$508,1),"")</f>
        <v/>
      </c>
      <c r="DI31" s="149" t="str">
        <f aca="false">IF(ISBLANK($C31),"",$B31)</f>
        <v/>
      </c>
      <c r="DJ31" s="149" t="str">
        <f aca="false">IF(ISBLANK($C31),"",$C31)</f>
        <v/>
      </c>
      <c r="DK31" s="149" t="str">
        <f aca="false">IF(ISBLANK($C31),"",$D31)</f>
        <v/>
      </c>
      <c r="DL31" s="150" t="str">
        <f aca="false">$CZ31</f>
        <v/>
      </c>
      <c r="DM31" s="151" t="str">
        <f aca="false">$CY31</f>
        <v/>
      </c>
      <c r="DN31" s="149" t="str">
        <f aca="false">IF(ISBLANK($C31),"",$DB31)</f>
        <v/>
      </c>
      <c r="DO31" s="152" t="str">
        <f aca="false">IF($DF31&gt;$DE$8,"",VLOOKUP($DF31,$DH$9:$DN$508,7,FALSE()))</f>
        <v/>
      </c>
      <c r="DP31" s="153" t="str">
        <f aca="false">IF($DF31&gt;$DE$8,"",VLOOKUP($DF31,$DH$9:$DN$508,2,FALSE()))</f>
        <v/>
      </c>
      <c r="DQ31" s="153" t="str">
        <f aca="false">IF($DF31&gt;$DE$8,"",VLOOKUP($DF31,$DH$9:$DN$508,3,FALSE()))</f>
        <v/>
      </c>
      <c r="DR31" s="153" t="str">
        <f aca="false">IF($DF31&gt;$DE$8,"",VLOOKUP($DF31,$DH$9:$DN$508,4,FALSE()))</f>
        <v/>
      </c>
      <c r="DS31" s="153" t="str">
        <f aca="false">IF($DF31&gt;$DE$8,"",VLOOKUP($DF31,$DH$9:$DN$508,5,FALSE()))</f>
        <v/>
      </c>
      <c r="DT31" s="154" t="str">
        <f aca="false">IF($DF31&gt;$DE$8,"",VLOOKUP($DF31,$DH$9:$DN$508,6,FALSE()))</f>
        <v/>
      </c>
      <c r="DU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IF(ISBLANK($C32),"",IF(E32=Constants!$B$3,TRUE(),IF(E32=Constants!$B$4,FALSE(),TRUE())))</f>
        <v/>
      </c>
      <c r="AG32" s="135" t="str">
        <f aca="false">IF(ISBLANK($C32),"",IF(F32=Constants!$B$3,TRUE(),IF(F32=Constants!$B$4,FALSE(),TRUE())))</f>
        <v/>
      </c>
      <c r="AH32" s="135" t="str">
        <f aca="false">IF(ISBLANK($C32),"",IF(G32=Constants!$B$3,TRUE(),IF(G32=Constants!$B$4,FALSE(),TRUE())))</f>
        <v/>
      </c>
      <c r="AI32" s="135" t="str">
        <f aca="false">IF(ISBLANK($C32),"",IF(AND(ISNUMBER(H32),H32&gt;=0),H32,Constants!$B$29))</f>
        <v/>
      </c>
      <c r="AJ32" s="135" t="str">
        <f aca="false">IF(ISBLANK($C32),"",IF(I32=Constants!$B$3,TRUE(),IF(I32=Constants!$B$4,FALSE(),TRUE())))</f>
        <v/>
      </c>
      <c r="AK32" s="135" t="str">
        <f aca="false">IF(ISBLANK($C32),"",IF(J32=Constants!$B$3,TRUE(),IF(J32=Constants!$B$4,FALSE(),TRUE())))</f>
        <v/>
      </c>
      <c r="AL32" s="135" t="str">
        <f aca="false">IF(ISBLANK($C32),"",IF(K32=Constants!$B$5,TRUE(),IF(K32=Constants!$B$6,FALSE(),COUNTA(L32:P32)&gt;0)))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IF(ISBLANK($C32),"",IF(N32=Constants!$B$3,TRUE(),IF(N32=Constants!$B$4,FALSE(),TRUE())))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IF(ISBLANK($C32),"",IF(P32=Constants!$B$3,TRUE(),IF(P32=Constants!$B$4,FALSE(),FALSE())))</f>
        <v/>
      </c>
      <c r="AR32" s="135" t="str">
        <f aca="false">IF(ISBLANK($C32),"",IF(Q32=Constants!$B$3,TRUE(),IF(Q32=Constants!$B$4,FALSE(),TRUE())))</f>
        <v/>
      </c>
      <c r="AS32" s="135" t="str">
        <f aca="false">IF(ISBLANK($C32),"",IF(R32=Constants!$B$3,TRUE(),IF(R32=Constants!$B$4,FALSE(),TRUE())))</f>
        <v/>
      </c>
      <c r="AT32" s="135" t="str">
        <f aca="false">IF(ISBLANK($C32),"",IF(S32=Constants!$B$5,TRUE(),IF(S32=Constants!$B$6,FALSE(),COUNTA(T32:X32)&gt;0)))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IF(ISBLANK($C32),"",IF(V32=Constants!$B$3,TRUE(),IF(V32=Constants!$B$4,FALSE(),TRUE())))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IF(ISBLANK($C32),"",IF(X32=Constants!$B$3,TRUE(),IF(X32=Constants!$B$4,FALSE(),FALSE())))</f>
        <v/>
      </c>
      <c r="AZ32" s="135" t="str">
        <f aca="false">IF(ISBLANK($C32),"",MIN(Constants!$B$31,MAX(0,IF(ISNUMBER(Y32),Y32*60,0)+IF(ISNUMBER(Z32),Z32,0))))</f>
        <v/>
      </c>
      <c r="BA32" s="135" t="str">
        <f aca="false">IF(ISBLANK($C32),"",IF(AA32=Constants!$B$3,TRUE(),IF(AA32=Constants!$B$4,FALSE(),FALSE())))</f>
        <v/>
      </c>
      <c r="BB32" s="134" t="str">
        <f aca="false">IF(ISBLANK($C32),"",AND($AL32,OR($AM32="",$AN32="",AND($AO32,$AP32=""))))</f>
        <v/>
      </c>
      <c r="BC32" s="137" t="str">
        <f aca="false">IF($BZ32&lt;&gt;Constants!$B$8,"",IF($AL32,Constants!$B$21*$AN32+Constants!$B$22*IF($AO32,$AP32,Constants!$B$23),Constants!$B$24))</f>
        <v/>
      </c>
      <c r="BD32" s="138" t="str">
        <f aca="false">IF($BZ32&lt;&gt;Constants!$B$8,"",Constants!$B$25*ABS($AD$9-IF($AL32,$AM32,0)))</f>
        <v/>
      </c>
      <c r="BE32" s="138" t="str">
        <f aca="false">IF($BZ32&lt;&gt;Constants!$B$8,"",IF(AND($AL32,$AQ32,$AO32),Constants!$B$27,0))</f>
        <v/>
      </c>
      <c r="BF32" s="138" t="str">
        <f aca="false">IF($BZ32&lt;&gt;Constants!$B$8,"",IF($AL32,($AI32-Constants!$B$29)*Constants!$B$28,0))</f>
        <v/>
      </c>
      <c r="BG32" s="138" t="str">
        <f aca="false">IF($BZ32&lt;&gt;Constants!$B$8,"",IF($AK32,0,Constants!$B$15)+IF($AJ32,0,Constants!$B$16)+IF($AH32,0,Constants!$B$17))</f>
        <v/>
      </c>
      <c r="BH32" s="139" t="str">
        <f aca="false">IF($BZ32&lt;&gt;Constants!$B$8,"",Constants!$B$20+SUM($BC32:$BG32))</f>
        <v/>
      </c>
      <c r="BI32" s="138" t="str">
        <f aca="false">IF($BZ32&lt;&gt;Constants!$B$8,"",$BC32)</f>
        <v/>
      </c>
      <c r="BJ32" s="138" t="str">
        <f aca="false">IF($BZ32&lt;&gt;Constants!$B$8,"",$BD32)</f>
        <v/>
      </c>
      <c r="BK32" s="138" t="str">
        <f aca="false">IF($BZ32&lt;&gt;Constants!$B$8,"",IF($AL32,$AN32,""))</f>
        <v/>
      </c>
      <c r="BL32" s="140" t="str">
        <f aca="false">IF($BZ32&lt;&gt;Constants!$B$8,"",$AI32)</f>
        <v/>
      </c>
      <c r="BM32" s="135" t="str">
        <f aca="false">IF($BZ32&lt;&gt;Constants!$B$8,"",IF(OR($BT32&lt;$BH32,AND($BT32=$BH32,OR($BU32&lt;$BI32,AND($BU32=$BI32,OR($BV32&lt;$BJ32,AND($BV32=$BJ32,OR(AND(ISNUMBER($BW32),OR(NOT(ISNUMBER($BK32)),$BW32&lt;$BK32)),AND(OR(AND($BW32="",$BK32=""),AND(ISNUMBER($BW32),ISNUMBER($BK32),$BW32=$BK32)),$BX32&lt;$BL32)))))))),"-&gt;","&lt;-"))</f>
        <v/>
      </c>
      <c r="BN32" s="134" t="str">
        <f aca="false">IF(ISBLANK($C32),"",AND($AT32,OR($AU32="",$AV32="",AND($AW32,$AX32=""))))</f>
        <v/>
      </c>
      <c r="BO32" s="137" t="str">
        <f aca="false">IF($BZ32&lt;&gt;Constants!$B$8,"",IF($AT32,Constants!$B$21*$AV32+Constants!$B$22*IF($AW32,$AX32,Constants!$B$23),Constants!$B$24))</f>
        <v/>
      </c>
      <c r="BP32" s="138" t="str">
        <f aca="false">IF($BZ32&lt;&gt;Constants!$B$8,"",Constants!$B$25*ABS($AD$9-IF($AT32,$AU32,0)))</f>
        <v/>
      </c>
      <c r="BQ32" s="138" t="str">
        <f aca="false">IF($BZ32&lt;&gt;Constants!$B$8,"",IF(AND($AT32,$AY32,$AW32),Constants!$B$27,0))</f>
        <v/>
      </c>
      <c r="BR32" s="138" t="str">
        <f aca="false">IF($BZ32&lt;&gt;Constants!$B$8,"",IF($AT32,($AI32-Constants!$B$29)*Constants!$B$28,0))</f>
        <v/>
      </c>
      <c r="BS32" s="138" t="str">
        <f aca="false">IF($BZ32&lt;&gt;Constants!$B$8,"",IF($AS32,0,Constants!$B$15)+IF($AR32,0,Constants!$B$16)+IF($AH32,0,Constants!$B$17))</f>
        <v/>
      </c>
      <c r="BT32" s="139" t="str">
        <f aca="false">IF($BZ32&lt;&gt;Constants!$B$8,"",Constants!$B$20+SUM($BO32:$BS32))</f>
        <v/>
      </c>
      <c r="BU32" s="138" t="str">
        <f aca="false">IF($BZ32&lt;&gt;Constants!$B$8,"",$BO32)</f>
        <v/>
      </c>
      <c r="BV32" s="138" t="str">
        <f aca="false">IF($BZ32&lt;&gt;Constants!$B$8,"",$BP32)</f>
        <v/>
      </c>
      <c r="BW32" s="138" t="str">
        <f aca="false">IF($BZ32&lt;&gt;Constants!$B$8,"",IF($AT32,$AV32,""))</f>
        <v/>
      </c>
      <c r="BX32" s="140" t="str">
        <f aca="false">IF($BZ32&lt;&gt;Constants!$B$8,"",$AI32)</f>
        <v/>
      </c>
      <c r="BY32" s="135" t="str">
        <f aca="false">IF(ISBLANK($C32),"",IF(ISBLANK($D$7),$BY$5,IF(NOT(ISNUMBER($D$7)),$BY$6,"")))</f>
        <v/>
      </c>
      <c r="BZ32" s="135" t="str">
        <f aca="false">IF(ISBLANK($C32),"",IF($BA32,Constants!$B$11,IF(COUNTA($E32:$AA32)=0,Constants!$B$10,IF(NOT($AG32),Constants!$B$9,IF(OR($BY32&lt;&gt;"",$BB32,$BN32),Constants!$B$12,Constants!$B$8)))))</f>
        <v/>
      </c>
      <c r="CA32" s="135" t="str">
        <f aca="false">IF(ISBLANK($C32),"",IF($BZ32&lt;&gt;Constants!$B$8,$BZ32,Constants!$B$13))</f>
        <v/>
      </c>
      <c r="CB32" s="138" t="str">
        <f aca="false">IF($BZ32&lt;&gt;Constants!$B$8,"",IF($BM32="-&gt;",$BT32,$BH32))</f>
        <v/>
      </c>
      <c r="CC32" s="138" t="str">
        <f aca="false">IF($BZ32&lt;&gt;Constants!$B$8,"",IF($AF32,0,Constants!$B$18))</f>
        <v/>
      </c>
      <c r="CD32" s="138" t="str">
        <f aca="false">IF($BZ32&lt;&gt;Constants!$B$8,"",((Constants!$B$31-$AZ32)-Constants!$B$31)/Constants!$B$32)</f>
        <v/>
      </c>
      <c r="CE32" s="138" t="str">
        <f aca="false">IF(ISBLANK($C32),"",IF($BZ32&lt;&gt;Constants!$B$8,$BZ32,SUM($CB32:$CD32)))</f>
        <v/>
      </c>
      <c r="CF32" s="135" t="str">
        <f aca="false">IF(ISBLANK($C32),"",IF($BZ32&lt;&gt;Constants!$B$8,$BZ32,RANK($CE32,$CE$9:$CE$508,1)))</f>
        <v/>
      </c>
      <c r="CG32" s="138" t="str">
        <f aca="false">IF($BZ32&lt;&gt;Constants!$B$8,"",IF($BM32="-&gt;",$BU32,$BI32))</f>
        <v/>
      </c>
      <c r="CH32" s="135" t="str">
        <f aca="false">IF(ISBLANK($C32),"",IF($BZ32&lt;&gt;Constants!$B$8,$BZ32,IF(ISNUMBER($CG32),RANK($CG32,$CG$9:$CG$508,1),COUNT($CG$9:$CG$508)+1)))</f>
        <v/>
      </c>
      <c r="CI32" s="138" t="str">
        <f aca="false">IF($BZ32&lt;&gt;Constants!$B$8,"",IF($BM32="-&gt;",$BV32,$BJ32))</f>
        <v/>
      </c>
      <c r="CJ32" s="135" t="str">
        <f aca="false">IF(ISBLANK($C32),"",IF($BZ32&lt;&gt;Constants!$B$8,$BZ32,IF(ISNUMBER($CI32),RANK($CI32,$CI$9:$CI$508,1),COUNT($CI$9:$CI$508)+1)))</f>
        <v/>
      </c>
      <c r="CK32" s="138" t="str">
        <f aca="false">IF($BZ32&lt;&gt;Constants!$B$8,"",IF($BM32="-&gt;",$BW32,$BK32))</f>
        <v/>
      </c>
      <c r="CL32" s="135" t="str">
        <f aca="false">IF(ISBLANK($C32),"",IF($BZ32&lt;&gt;Constants!$B$8,$BZ32,IF(ISNUMBER($CK32),RANK($CK32,$CK$9:$CK$508,1),COUNT($CK$9:$CK$508)+1)))</f>
        <v/>
      </c>
      <c r="CM32" s="138" t="str">
        <f aca="false">IF($BZ32&lt;&gt;Constants!$B$8,"",IF(AND(NOT($AL32),NOT($AT32),$AJ32,$AK32,$AR32,$AS32),"",IF($BM32="-&gt;",$BX32,$BL32)))</f>
        <v/>
      </c>
      <c r="CN32" s="135" t="str">
        <f aca="false">IF(ISBLANK($C32),"",IF($BZ32&lt;&gt;Constants!$B$8,$BZ32,IF(ISNUMBER($CM32),RANK($CM32,$CM$9:$CM$508,1),COUNT($CM$9:$CM$508)+1)))</f>
        <v/>
      </c>
      <c r="CO32" s="135" t="str">
        <f aca="false">IF(ISBLANK($C32),"",IF($BZ32&lt;&gt;Constants!$B$8,$BZ32,COUNTIFS($CF$9:$CF$508,"&lt;"&amp;$CF32)+COUNTIFS($CF$9:$CF$508,$CF32,$CH$9:$CH$508,"&lt;"&amp;$CH32)+COUNTIFS($CF$9:$CF$508,$CF32,$CH$9:$CH$508,$CH32,$CJ$9:$CJ$508,"&lt;"&amp;$CJ32)+COUNTIFS($CF$9:$CF$508,$CF32,$CH$9:$CH$508,$CH32,$CJ$9:$CJ$508,$CJ32,$CL$9:$CL$508,"&lt;"&amp;$CL32)+COUNTIFS($CF$9:$CF$508,$CF32,$CH$9:$CH$508,$CH32,$CJ$9:$CJ$508,$CJ32,$CL$9:$CL$508,$CL32,$CN$9:$CN$508,"&lt;"&amp;$CN32)+1))</f>
        <v/>
      </c>
      <c r="CP32" s="135" t="str">
        <f aca="false">IF(ISBLANK($C32),"",IF($BZ32&lt;&gt;Constants!$B$8,$BZ32,$CF32-$CO32))</f>
        <v/>
      </c>
      <c r="CQ32" s="141"/>
      <c r="CR32" s="142"/>
      <c r="CS32" s="143" t="str">
        <f aca="false">IF(ISBLANK($C32),"",IF($BZ32=Constants!$B$12,$BY32,""))</f>
        <v/>
      </c>
      <c r="CT32" s="142" t="str">
        <f aca="false">IF(ISBLANK($C32),"",IF($BZ32&lt;&gt;Constants!$B$8,"",IF($BM32="-&gt;",2,1)))</f>
        <v/>
      </c>
      <c r="CU32" s="144" t="str">
        <f aca="false">IF(ISBLANK($C32),"",IF($BZ32&lt;&gt;Constants!$B$8,"",IF($BM32="-&gt;",$BO32,$BC32)))</f>
        <v/>
      </c>
      <c r="CV32" s="144" t="str">
        <f aca="false">IF(ISBLANK($C32),"",IF($BZ32&lt;&gt;Constants!$B$8,"",IF($BM32="-&gt;",$BP32,$BD32)))</f>
        <v/>
      </c>
      <c r="CW32" s="144" t="str">
        <f aca="false">IF(ISBLANK($C32),"",IF($BZ32&lt;&gt;Constants!$B$8,"",IF($BM32="-&gt;",$BQ32+$BR32,$BE32+$BF32)+$CD32))</f>
        <v/>
      </c>
      <c r="CX32" s="144" t="str">
        <f aca="false">IF(ISBLANK($C32),"",IF($BZ32&lt;&gt;Constants!$B$8,"",IF($BM32="-&gt;",$BS32,$BG32)+$CC32))</f>
        <v/>
      </c>
      <c r="CY32" s="145" t="str">
        <f aca="false">IF(ISBLANK($C32),"",IF($BZ32&lt;&gt;Constants!$B$8,$BZ32,$CE32))</f>
        <v/>
      </c>
      <c r="CZ32" s="146" t="str">
        <f aca="false">IF(ISBLANK($C32),"",$CA32)</f>
        <v/>
      </c>
      <c r="DA32" s="147" t="str">
        <f aca="false">IF(ISBLANK($C32),"",$CP32)</f>
        <v/>
      </c>
      <c r="DB32" s="147" t="str">
        <f aca="false">IF(ISBLANK($C32),"",$CO32)</f>
        <v/>
      </c>
      <c r="DC32" s="148" t="str">
        <f aca="false">IF(ISBLANK($C32),"",IFERROR(_xlfn.SWITCH($DB32,Constants!$B$11,COUNTA($C$9:$C$508)+2,Constants!$B$10,COUNTA($C$9:$C$508)+1,Constants!$B$9,COUNTA($C$9:$C$508)),$DB32))</f>
        <v/>
      </c>
      <c r="DD32" s="9"/>
      <c r="DE32" s="149" t="n">
        <f aca="false">IF(OR(ISNUMBER($DB32),$DB32=Constants!$B$11,$DB32=Constants!$B$9,$DB32=Constants!$B$10),1,0)</f>
        <v>0</v>
      </c>
      <c r="DF32" s="149" t="n">
        <v>24</v>
      </c>
      <c r="DG32" s="149" t="str">
        <f aca="false">IF(ISBLANK($C32),"",IF(ISNUMBER($DC32),$DC32+ROW($B32)/1000,""))</f>
        <v/>
      </c>
      <c r="DH32" s="149" t="str">
        <f aca="false">IF(ISNUMBER($DG32),RANK($DG32,$DG$9:$DG$508,1),"")</f>
        <v/>
      </c>
      <c r="DI32" s="149" t="str">
        <f aca="false">IF(ISBLANK($C32),"",$B32)</f>
        <v/>
      </c>
      <c r="DJ32" s="149" t="str">
        <f aca="false">IF(ISBLANK($C32),"",$C32)</f>
        <v/>
      </c>
      <c r="DK32" s="149" t="str">
        <f aca="false">IF(ISBLANK($C32),"",$D32)</f>
        <v/>
      </c>
      <c r="DL32" s="150" t="str">
        <f aca="false">$CZ32</f>
        <v/>
      </c>
      <c r="DM32" s="151" t="str">
        <f aca="false">$CY32</f>
        <v/>
      </c>
      <c r="DN32" s="149" t="str">
        <f aca="false">IF(ISBLANK($C32),"",$DB32)</f>
        <v/>
      </c>
      <c r="DO32" s="152" t="str">
        <f aca="false">IF($DF32&gt;$DE$8,"",VLOOKUP($DF32,$DH$9:$DN$508,7,FALSE()))</f>
        <v/>
      </c>
      <c r="DP32" s="153" t="str">
        <f aca="false">IF($DF32&gt;$DE$8,"",VLOOKUP($DF32,$DH$9:$DN$508,2,FALSE()))</f>
        <v/>
      </c>
      <c r="DQ32" s="153" t="str">
        <f aca="false">IF($DF32&gt;$DE$8,"",VLOOKUP($DF32,$DH$9:$DN$508,3,FALSE()))</f>
        <v/>
      </c>
      <c r="DR32" s="153" t="str">
        <f aca="false">IF($DF32&gt;$DE$8,"",VLOOKUP($DF32,$DH$9:$DN$508,4,FALSE()))</f>
        <v/>
      </c>
      <c r="DS32" s="153" t="str">
        <f aca="false">IF($DF32&gt;$DE$8,"",VLOOKUP($DF32,$DH$9:$DN$508,5,FALSE()))</f>
        <v/>
      </c>
      <c r="DT32" s="154" t="str">
        <f aca="false">IF($DF32&gt;$DE$8,"",VLOOKUP($DF32,$DH$9:$DN$508,6,FALSE()))</f>
        <v/>
      </c>
      <c r="DU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IF(ISBLANK($C33),"",IF(E33=Constants!$B$3,TRUE(),IF(E33=Constants!$B$4,FALSE(),TRUE())))</f>
        <v/>
      </c>
      <c r="AG33" s="93" t="str">
        <f aca="false">IF(ISBLANK($C33),"",IF(F33=Constants!$B$3,TRUE(),IF(F33=Constants!$B$4,FALSE(),TRUE())))</f>
        <v/>
      </c>
      <c r="AH33" s="93" t="str">
        <f aca="false">IF(ISBLANK($C33),"",IF(G33=Constants!$B$3,TRUE(),IF(G33=Constants!$B$4,FALSE(),TRUE())))</f>
        <v/>
      </c>
      <c r="AI33" s="93" t="str">
        <f aca="false">IF(ISBLANK($C33),"",IF(AND(ISNUMBER(H33),H33&gt;=0),H33,Constants!$B$29))</f>
        <v/>
      </c>
      <c r="AJ33" s="93" t="str">
        <f aca="false">IF(ISBLANK($C33),"",IF(I33=Constants!$B$3,TRUE(),IF(I33=Constants!$B$4,FALSE(),TRUE())))</f>
        <v/>
      </c>
      <c r="AK33" s="93" t="str">
        <f aca="false">IF(ISBLANK($C33),"",IF(J33=Constants!$B$3,TRUE(),IF(J33=Constants!$B$4,FALSE(),TRUE())))</f>
        <v/>
      </c>
      <c r="AL33" s="93" t="str">
        <f aca="false">IF(ISBLANK($C33),"",IF(K33=Constants!$B$5,TRUE(),IF(K33=Constants!$B$6,FALSE(),COUNTA(L33:P33)&gt;0)))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IF(ISBLANK($C33),"",IF(N33=Constants!$B$3,TRUE(),IF(N33=Constants!$B$4,FALSE(),TRUE())))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IF(ISBLANK($C33),"",IF(P33=Constants!$B$3,TRUE(),IF(P33=Constants!$B$4,FALSE(),FALSE())))</f>
        <v/>
      </c>
      <c r="AR33" s="93" t="str">
        <f aca="false">IF(ISBLANK($C33),"",IF(Q33=Constants!$B$3,TRUE(),IF(Q33=Constants!$B$4,FALSE(),TRUE())))</f>
        <v/>
      </c>
      <c r="AS33" s="93" t="str">
        <f aca="false">IF(ISBLANK($C33),"",IF(R33=Constants!$B$3,TRUE(),IF(R33=Constants!$B$4,FALSE(),TRUE())))</f>
        <v/>
      </c>
      <c r="AT33" s="93" t="str">
        <f aca="false">IF(ISBLANK($C33),"",IF(S33=Constants!$B$5,TRUE(),IF(S33=Constants!$B$6,FALSE(),COUNTA(T33:X33)&gt;0)))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IF(ISBLANK($C33),"",IF(V33=Constants!$B$3,TRUE(),IF(V33=Constants!$B$4,FALSE(),TRUE())))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IF(ISBLANK($C33),"",IF(X33=Constants!$B$3,TRUE(),IF(X33=Constants!$B$4,FALSE(),FALSE())))</f>
        <v/>
      </c>
      <c r="AZ33" s="93" t="str">
        <f aca="false">IF(ISBLANK($C33),"",MIN(Constants!$B$31,MAX(0,IF(ISNUMBER(Y33),Y33*60,0)+IF(ISNUMBER(Z33),Z33,0))))</f>
        <v/>
      </c>
      <c r="BA33" s="93" t="str">
        <f aca="false">IF(ISBLANK($C33),"",IF(AA33=Constants!$B$3,TRUE(),IF(AA33=Constants!$B$4,FALSE(),FALSE())))</f>
        <v/>
      </c>
      <c r="BB33" s="92" t="str">
        <f aca="false">IF(ISBLANK($C33),"",AND($AL33,OR($AM33="",$AN33="",AND($AO33,$AP33=""))))</f>
        <v/>
      </c>
      <c r="BC33" s="94" t="str">
        <f aca="false">IF($BZ33&lt;&gt;Constants!$B$8,"",IF($AL33,Constants!$B$21*$AN33+Constants!$B$22*IF($AO33,$AP33,Constants!$B$23),Constants!$B$24))</f>
        <v/>
      </c>
      <c r="BD33" s="97" t="str">
        <f aca="false">IF($BZ33&lt;&gt;Constants!$B$8,"",Constants!$B$25*ABS($AD$9-IF($AL33,$AM33,0)))</f>
        <v/>
      </c>
      <c r="BE33" s="97" t="str">
        <f aca="false">IF($BZ33&lt;&gt;Constants!$B$8,"",IF(AND($AL33,$AQ33,$AO33),Constants!$B$27,0))</f>
        <v/>
      </c>
      <c r="BF33" s="97" t="str">
        <f aca="false">IF($BZ33&lt;&gt;Constants!$B$8,"",IF($AL33,($AI33-Constants!$B$29)*Constants!$B$28,0))</f>
        <v/>
      </c>
      <c r="BG33" s="97" t="str">
        <f aca="false">IF($BZ33&lt;&gt;Constants!$B$8,"",IF($AK33,0,Constants!$B$15)+IF($AJ33,0,Constants!$B$16)+IF($AH33,0,Constants!$B$17))</f>
        <v/>
      </c>
      <c r="BH33" s="98" t="str">
        <f aca="false">IF($BZ33&lt;&gt;Constants!$B$8,"",Constants!$B$20+SUM($BC33:$BG33))</f>
        <v/>
      </c>
      <c r="BI33" s="97" t="str">
        <f aca="false">IF($BZ33&lt;&gt;Constants!$B$8,"",$BC33)</f>
        <v/>
      </c>
      <c r="BJ33" s="97" t="str">
        <f aca="false">IF($BZ33&lt;&gt;Constants!$B$8,"",$BD33)</f>
        <v/>
      </c>
      <c r="BK33" s="97" t="str">
        <f aca="false">IF($BZ33&lt;&gt;Constants!$B$8,"",IF($AL33,$AN33,""))</f>
        <v/>
      </c>
      <c r="BL33" s="99" t="str">
        <f aca="false">IF($BZ33&lt;&gt;Constants!$B$8,"",$AI33)</f>
        <v/>
      </c>
      <c r="BM33" s="93" t="str">
        <f aca="false">IF($BZ33&lt;&gt;Constants!$B$8,"",IF(OR($BT33&lt;$BH33,AND($BT33=$BH33,OR($BU33&lt;$BI33,AND($BU33=$BI33,OR($BV33&lt;$BJ33,AND($BV33=$BJ33,OR(AND(ISNUMBER($BW33),OR(NOT(ISNUMBER($BK33)),$BW33&lt;$BK33)),AND(OR(AND($BW33="",$BK33=""),AND(ISNUMBER($BW33),ISNUMBER($BK33),$BW33=$BK33)),$BX33&lt;$BL33)))))))),"-&gt;","&lt;-"))</f>
        <v/>
      </c>
      <c r="BN33" s="92" t="str">
        <f aca="false">IF(ISBLANK($C33),"",AND($AT33,OR($AU33="",$AV33="",AND($AW33,$AX33=""))))</f>
        <v/>
      </c>
      <c r="BO33" s="94" t="str">
        <f aca="false">IF($BZ33&lt;&gt;Constants!$B$8,"",IF($AT33,Constants!$B$21*$AV33+Constants!$B$22*IF($AW33,$AX33,Constants!$B$23),Constants!$B$24))</f>
        <v/>
      </c>
      <c r="BP33" s="97" t="str">
        <f aca="false">IF($BZ33&lt;&gt;Constants!$B$8,"",Constants!$B$25*ABS($AD$9-IF($AT33,$AU33,0)))</f>
        <v/>
      </c>
      <c r="BQ33" s="97" t="str">
        <f aca="false">IF($BZ33&lt;&gt;Constants!$B$8,"",IF(AND($AT33,$AY33,$AW33),Constants!$B$27,0))</f>
        <v/>
      </c>
      <c r="BR33" s="97" t="str">
        <f aca="false">IF($BZ33&lt;&gt;Constants!$B$8,"",IF($AT33,($AI33-Constants!$B$29)*Constants!$B$28,0))</f>
        <v/>
      </c>
      <c r="BS33" s="97" t="str">
        <f aca="false">IF($BZ33&lt;&gt;Constants!$B$8,"",IF($AS33,0,Constants!$B$15)+IF($AR33,0,Constants!$B$16)+IF($AH33,0,Constants!$B$17))</f>
        <v/>
      </c>
      <c r="BT33" s="98" t="str">
        <f aca="false">IF($BZ33&lt;&gt;Constants!$B$8,"",Constants!$B$20+SUM($BO33:$BS33))</f>
        <v/>
      </c>
      <c r="BU33" s="97" t="str">
        <f aca="false">IF($BZ33&lt;&gt;Constants!$B$8,"",$BO33)</f>
        <v/>
      </c>
      <c r="BV33" s="97" t="str">
        <f aca="false">IF($BZ33&lt;&gt;Constants!$B$8,"",$BP33)</f>
        <v/>
      </c>
      <c r="BW33" s="97" t="str">
        <f aca="false">IF($BZ33&lt;&gt;Constants!$B$8,"",IF($AT33,$AV33,""))</f>
        <v/>
      </c>
      <c r="BX33" s="99" t="str">
        <f aca="false">IF($BZ33&lt;&gt;Constants!$B$8,"",$AI33)</f>
        <v/>
      </c>
      <c r="BY33" s="93" t="str">
        <f aca="false">IF(ISBLANK($C33),"",IF(ISBLANK($D$7),$BY$5,IF(NOT(ISNUMBER($D$7)),$BY$6,"")))</f>
        <v/>
      </c>
      <c r="BZ33" s="93" t="str">
        <f aca="false">IF(ISBLANK($C33),"",IF($BA33,Constants!$B$11,IF(COUNTA($E33:$AA33)=0,Constants!$B$10,IF(NOT($AG33),Constants!$B$9,IF(OR($BY33&lt;&gt;"",$BB33,$BN33),Constants!$B$12,Constants!$B$8)))))</f>
        <v/>
      </c>
      <c r="CA33" s="93" t="str">
        <f aca="false">IF(ISBLANK($C33),"",IF($BZ33&lt;&gt;Constants!$B$8,$BZ33,Constants!$B$13))</f>
        <v/>
      </c>
      <c r="CB33" s="97" t="str">
        <f aca="false">IF($BZ33&lt;&gt;Constants!$B$8,"",IF($BM33="-&gt;",$BT33,$BH33))</f>
        <v/>
      </c>
      <c r="CC33" s="97" t="str">
        <f aca="false">IF($BZ33&lt;&gt;Constants!$B$8,"",IF($AF33,0,Constants!$B$18))</f>
        <v/>
      </c>
      <c r="CD33" s="97" t="str">
        <f aca="false">IF($BZ33&lt;&gt;Constants!$B$8,"",((Constants!$B$31-$AZ33)-Constants!$B$31)/Constants!$B$32)</f>
        <v/>
      </c>
      <c r="CE33" s="97" t="str">
        <f aca="false">IF(ISBLANK($C33),"",IF($BZ33&lt;&gt;Constants!$B$8,$BZ33,SUM($CB33:$CD33)))</f>
        <v/>
      </c>
      <c r="CF33" s="93" t="str">
        <f aca="false">IF(ISBLANK($C33),"",IF($BZ33&lt;&gt;Constants!$B$8,$BZ33,RANK($CE33,$CE$9:$CE$508,1)))</f>
        <v/>
      </c>
      <c r="CG33" s="97" t="str">
        <f aca="false">IF($BZ33&lt;&gt;Constants!$B$8,"",IF($BM33="-&gt;",$BU33,$BI33))</f>
        <v/>
      </c>
      <c r="CH33" s="93" t="str">
        <f aca="false">IF(ISBLANK($C33),"",IF($BZ33&lt;&gt;Constants!$B$8,$BZ33,IF(ISNUMBER($CG33),RANK($CG33,$CG$9:$CG$508,1),COUNT($CG$9:$CG$508)+1)))</f>
        <v/>
      </c>
      <c r="CI33" s="97" t="str">
        <f aca="false">IF($BZ33&lt;&gt;Constants!$B$8,"",IF($BM33="-&gt;",$BV33,$BJ33))</f>
        <v/>
      </c>
      <c r="CJ33" s="93" t="str">
        <f aca="false">IF(ISBLANK($C33),"",IF($BZ33&lt;&gt;Constants!$B$8,$BZ33,IF(ISNUMBER($CI33),RANK($CI33,$CI$9:$CI$508,1),COUNT($CI$9:$CI$508)+1)))</f>
        <v/>
      </c>
      <c r="CK33" s="97" t="str">
        <f aca="false">IF($BZ33&lt;&gt;Constants!$B$8,"",IF($BM33="-&gt;",$BW33,$BK33))</f>
        <v/>
      </c>
      <c r="CL33" s="93" t="str">
        <f aca="false">IF(ISBLANK($C33),"",IF($BZ33&lt;&gt;Constants!$B$8,$BZ33,IF(ISNUMBER($CK33),RANK($CK33,$CK$9:$CK$508,1),COUNT($CK$9:$CK$508)+1)))</f>
        <v/>
      </c>
      <c r="CM33" s="97" t="str">
        <f aca="false">IF($BZ33&lt;&gt;Constants!$B$8,"",IF(AND(NOT($AL33),NOT($AT33),$AJ33,$AK33,$AR33,$AS33),"",IF($BM33="-&gt;",$BX33,$BL33)))</f>
        <v/>
      </c>
      <c r="CN33" s="93" t="str">
        <f aca="false">IF(ISBLANK($C33),"",IF($BZ33&lt;&gt;Constants!$B$8,$BZ33,IF(ISNUMBER($CM33),RANK($CM33,$CM$9:$CM$508,1),COUNT($CM$9:$CM$508)+1)))</f>
        <v/>
      </c>
      <c r="CO33" s="93" t="str">
        <f aca="false">IF(ISBLANK($C33),"",IF($BZ33&lt;&gt;Constants!$B$8,$BZ33,COUNTIFS($CF$9:$CF$508,"&lt;"&amp;$CF33)+COUNTIFS($CF$9:$CF$508,$CF33,$CH$9:$CH$508,"&lt;"&amp;$CH33)+COUNTIFS($CF$9:$CF$508,$CF33,$CH$9:$CH$508,$CH33,$CJ$9:$CJ$508,"&lt;"&amp;$CJ33)+COUNTIFS($CF$9:$CF$508,$CF33,$CH$9:$CH$508,$CH33,$CJ$9:$CJ$508,$CJ33,$CL$9:$CL$508,"&lt;"&amp;$CL33)+COUNTIFS($CF$9:$CF$508,$CF33,$CH$9:$CH$508,$CH33,$CJ$9:$CJ$508,$CJ33,$CL$9:$CL$508,$CL33,$CN$9:$CN$508,"&lt;"&amp;$CN33)+1))</f>
        <v/>
      </c>
      <c r="CP33" s="93" t="str">
        <f aca="false">IF(ISBLANK($C33),"",IF($BZ33&lt;&gt;Constants!$B$8,$BZ33,$CF33-$CO33))</f>
        <v/>
      </c>
      <c r="CQ33" s="100"/>
      <c r="CR33" s="101"/>
      <c r="CS33" s="102" t="str">
        <f aca="false">IF(ISBLANK($C33),"",IF($BZ33=Constants!$B$12,$BY33,""))</f>
        <v/>
      </c>
      <c r="CT33" s="101" t="str">
        <f aca="false">IF(ISBLANK($C33),"",IF($BZ33&lt;&gt;Constants!$B$8,"",IF($BM33="-&gt;",2,1)))</f>
        <v/>
      </c>
      <c r="CU33" s="103" t="str">
        <f aca="false">IF(ISBLANK($C33),"",IF($BZ33&lt;&gt;Constants!$B$8,"",IF($BM33="-&gt;",$BO33,$BC33)))</f>
        <v/>
      </c>
      <c r="CV33" s="103" t="str">
        <f aca="false">IF(ISBLANK($C33),"",IF($BZ33&lt;&gt;Constants!$B$8,"",IF($BM33="-&gt;",$BP33,$BD33)))</f>
        <v/>
      </c>
      <c r="CW33" s="103" t="str">
        <f aca="false">IF(ISBLANK($C33),"",IF($BZ33&lt;&gt;Constants!$B$8,"",IF($BM33="-&gt;",$BQ33+$BR33,$BE33+$BF33)+$CD33))</f>
        <v/>
      </c>
      <c r="CX33" s="103" t="str">
        <f aca="false">IF(ISBLANK($C33),"",IF($BZ33&lt;&gt;Constants!$B$8,"",IF($BM33="-&gt;",$BS33,$BG33)+$CC33))</f>
        <v/>
      </c>
      <c r="CY33" s="104" t="str">
        <f aca="false">IF(ISBLANK($C33),"",IF($BZ33&lt;&gt;Constants!$B$8,$BZ33,$CE33))</f>
        <v/>
      </c>
      <c r="CZ33" s="105" t="str">
        <f aca="false">IF(ISBLANK($C33),"",$CA33)</f>
        <v/>
      </c>
      <c r="DA33" s="106" t="str">
        <f aca="false">IF(ISBLANK($C33),"",$CP33)</f>
        <v/>
      </c>
      <c r="DB33" s="106" t="str">
        <f aca="false">IF(ISBLANK($C33),"",$CO33)</f>
        <v/>
      </c>
      <c r="DC33" s="107" t="str">
        <f aca="false">IF(ISBLANK($C33),"",IFERROR(_xlfn.SWITCH($DB33,Constants!$B$11,COUNTA($C$9:$C$508)+2,Constants!$B$10,COUNTA($C$9:$C$508)+1,Constants!$B$9,COUNTA($C$9:$C$508)),$DB33))</f>
        <v/>
      </c>
      <c r="DD33" s="9"/>
      <c r="DE33" s="108" t="n">
        <f aca="false">IF(OR(ISNUMBER($DB33),$DB33=Constants!$B$11,$DB33=Constants!$B$9,$DB33=Constants!$B$10),1,0)</f>
        <v>0</v>
      </c>
      <c r="DF33" s="108" t="n">
        <v>25</v>
      </c>
      <c r="DG33" s="108" t="str">
        <f aca="false">IF(ISBLANK($C33),"",IF(ISNUMBER($DC33),$DC33+ROW($B33)/1000,""))</f>
        <v/>
      </c>
      <c r="DH33" s="108" t="str">
        <f aca="false">IF(ISNUMBER($DG33),RANK($DG33,$DG$9:$DG$508,1),"")</f>
        <v/>
      </c>
      <c r="DI33" s="108" t="str">
        <f aca="false">IF(ISBLANK($C33),"",$B33)</f>
        <v/>
      </c>
      <c r="DJ33" s="108" t="str">
        <f aca="false">IF(ISBLANK($C33),"",$C33)</f>
        <v/>
      </c>
      <c r="DK33" s="108" t="str">
        <f aca="false">IF(ISBLANK($C33),"",$D33)</f>
        <v/>
      </c>
      <c r="DL33" s="109" t="str">
        <f aca="false">$CZ33</f>
        <v/>
      </c>
      <c r="DM33" s="110" t="str">
        <f aca="false">$CY33</f>
        <v/>
      </c>
      <c r="DN33" s="108" t="str">
        <f aca="false">IF(ISBLANK($C33),"",$DB33)</f>
        <v/>
      </c>
      <c r="DO33" s="111" t="str">
        <f aca="false">IF($DF33&gt;$DE$8,"",VLOOKUP($DF33,$DH$9:$DN$508,7,FALSE()))</f>
        <v/>
      </c>
      <c r="DP33" s="112" t="str">
        <f aca="false">IF($DF33&gt;$DE$8,"",VLOOKUP($DF33,$DH$9:$DN$508,2,FALSE()))</f>
        <v/>
      </c>
      <c r="DQ33" s="112" t="str">
        <f aca="false">IF($DF33&gt;$DE$8,"",VLOOKUP($DF33,$DH$9:$DN$508,3,FALSE()))</f>
        <v/>
      </c>
      <c r="DR33" s="112" t="str">
        <f aca="false">IF($DF33&gt;$DE$8,"",VLOOKUP($DF33,$DH$9:$DN$508,4,FALSE()))</f>
        <v/>
      </c>
      <c r="DS33" s="112" t="str">
        <f aca="false">IF($DF33&gt;$DE$8,"",VLOOKUP($DF33,$DH$9:$DN$508,5,FALSE()))</f>
        <v/>
      </c>
      <c r="DT33" s="113" t="str">
        <f aca="false">IF($DF33&gt;$DE$8,"",VLOOKUP($DF33,$DH$9:$DN$508,6,FALSE()))</f>
        <v/>
      </c>
      <c r="DU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IF(ISBLANK($C34),"",IF(E34=Constants!$B$3,TRUE(),IF(E34=Constants!$B$4,FALSE(),TRUE())))</f>
        <v/>
      </c>
      <c r="AG34" s="93" t="str">
        <f aca="false">IF(ISBLANK($C34),"",IF(F34=Constants!$B$3,TRUE(),IF(F34=Constants!$B$4,FALSE(),TRUE())))</f>
        <v/>
      </c>
      <c r="AH34" s="93" t="str">
        <f aca="false">IF(ISBLANK($C34),"",IF(G34=Constants!$B$3,TRUE(),IF(G34=Constants!$B$4,FALSE(),TRUE())))</f>
        <v/>
      </c>
      <c r="AI34" s="93" t="str">
        <f aca="false">IF(ISBLANK($C34),"",IF(AND(ISNUMBER(H34),H34&gt;=0),H34,Constants!$B$29))</f>
        <v/>
      </c>
      <c r="AJ34" s="93" t="str">
        <f aca="false">IF(ISBLANK($C34),"",IF(I34=Constants!$B$3,TRUE(),IF(I34=Constants!$B$4,FALSE(),TRUE())))</f>
        <v/>
      </c>
      <c r="AK34" s="93" t="str">
        <f aca="false">IF(ISBLANK($C34),"",IF(J34=Constants!$B$3,TRUE(),IF(J34=Constants!$B$4,FALSE(),TRUE())))</f>
        <v/>
      </c>
      <c r="AL34" s="93" t="str">
        <f aca="false">IF(ISBLANK($C34),"",IF(K34=Constants!$B$5,TRUE(),IF(K34=Constants!$B$6,FALSE(),COUNTA(L34:P34)&gt;0)))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IF(ISBLANK($C34),"",IF(N34=Constants!$B$3,TRUE(),IF(N34=Constants!$B$4,FALSE(),TRUE())))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IF(ISBLANK($C34),"",IF(P34=Constants!$B$3,TRUE(),IF(P34=Constants!$B$4,FALSE(),FALSE())))</f>
        <v/>
      </c>
      <c r="AR34" s="93" t="str">
        <f aca="false">IF(ISBLANK($C34),"",IF(Q34=Constants!$B$3,TRUE(),IF(Q34=Constants!$B$4,FALSE(),TRUE())))</f>
        <v/>
      </c>
      <c r="AS34" s="93" t="str">
        <f aca="false">IF(ISBLANK($C34),"",IF(R34=Constants!$B$3,TRUE(),IF(R34=Constants!$B$4,FALSE(),TRUE())))</f>
        <v/>
      </c>
      <c r="AT34" s="93" t="str">
        <f aca="false">IF(ISBLANK($C34),"",IF(S34=Constants!$B$5,TRUE(),IF(S34=Constants!$B$6,FALSE(),COUNTA(T34:X34)&gt;0)))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IF(ISBLANK($C34),"",IF(V34=Constants!$B$3,TRUE(),IF(V34=Constants!$B$4,FALSE(),TRUE())))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IF(ISBLANK($C34),"",IF(X34=Constants!$B$3,TRUE(),IF(X34=Constants!$B$4,FALSE(),FALSE())))</f>
        <v/>
      </c>
      <c r="AZ34" s="93" t="str">
        <f aca="false">IF(ISBLANK($C34),"",MIN(Constants!$B$31,MAX(0,IF(ISNUMBER(Y34),Y34*60,0)+IF(ISNUMBER(Z34),Z34,0))))</f>
        <v/>
      </c>
      <c r="BA34" s="93" t="str">
        <f aca="false">IF(ISBLANK($C34),"",IF(AA34=Constants!$B$3,TRUE(),IF(AA34=Constants!$B$4,FALSE(),FALSE())))</f>
        <v/>
      </c>
      <c r="BB34" s="92" t="str">
        <f aca="false">IF(ISBLANK($C34),"",AND($AL34,OR($AM34="",$AN34="",AND($AO34,$AP34=""))))</f>
        <v/>
      </c>
      <c r="BC34" s="94" t="str">
        <f aca="false">IF($BZ34&lt;&gt;Constants!$B$8,"",IF($AL34,Constants!$B$21*$AN34+Constants!$B$22*IF($AO34,$AP34,Constants!$B$23),Constants!$B$24))</f>
        <v/>
      </c>
      <c r="BD34" s="97" t="str">
        <f aca="false">IF($BZ34&lt;&gt;Constants!$B$8,"",Constants!$B$25*ABS($AD$9-IF($AL34,$AM34,0)))</f>
        <v/>
      </c>
      <c r="BE34" s="97" t="str">
        <f aca="false">IF($BZ34&lt;&gt;Constants!$B$8,"",IF(AND($AL34,$AQ34,$AO34),Constants!$B$27,0))</f>
        <v/>
      </c>
      <c r="BF34" s="97" t="str">
        <f aca="false">IF($BZ34&lt;&gt;Constants!$B$8,"",IF($AL34,($AI34-Constants!$B$29)*Constants!$B$28,0))</f>
        <v/>
      </c>
      <c r="BG34" s="97" t="str">
        <f aca="false">IF($BZ34&lt;&gt;Constants!$B$8,"",IF($AK34,0,Constants!$B$15)+IF($AJ34,0,Constants!$B$16)+IF($AH34,0,Constants!$B$17))</f>
        <v/>
      </c>
      <c r="BH34" s="98" t="str">
        <f aca="false">IF($BZ34&lt;&gt;Constants!$B$8,"",Constants!$B$20+SUM($BC34:$BG34))</f>
        <v/>
      </c>
      <c r="BI34" s="97" t="str">
        <f aca="false">IF($BZ34&lt;&gt;Constants!$B$8,"",$BC34)</f>
        <v/>
      </c>
      <c r="BJ34" s="97" t="str">
        <f aca="false">IF($BZ34&lt;&gt;Constants!$B$8,"",$BD34)</f>
        <v/>
      </c>
      <c r="BK34" s="97" t="str">
        <f aca="false">IF($BZ34&lt;&gt;Constants!$B$8,"",IF($AL34,$AN34,""))</f>
        <v/>
      </c>
      <c r="BL34" s="99" t="str">
        <f aca="false">IF($BZ34&lt;&gt;Constants!$B$8,"",$AI34)</f>
        <v/>
      </c>
      <c r="BM34" s="93" t="str">
        <f aca="false">IF($BZ34&lt;&gt;Constants!$B$8,"",IF(OR($BT34&lt;$BH34,AND($BT34=$BH34,OR($BU34&lt;$BI34,AND($BU34=$BI34,OR($BV34&lt;$BJ34,AND($BV34=$BJ34,OR(AND(ISNUMBER($BW34),OR(NOT(ISNUMBER($BK34)),$BW34&lt;$BK34)),AND(OR(AND($BW34="",$BK34=""),AND(ISNUMBER($BW34),ISNUMBER($BK34),$BW34=$BK34)),$BX34&lt;$BL34)))))))),"-&gt;","&lt;-"))</f>
        <v/>
      </c>
      <c r="BN34" s="92" t="str">
        <f aca="false">IF(ISBLANK($C34),"",AND($AT34,OR($AU34="",$AV34="",AND($AW34,$AX34=""))))</f>
        <v/>
      </c>
      <c r="BO34" s="94" t="str">
        <f aca="false">IF($BZ34&lt;&gt;Constants!$B$8,"",IF($AT34,Constants!$B$21*$AV34+Constants!$B$22*IF($AW34,$AX34,Constants!$B$23),Constants!$B$24))</f>
        <v/>
      </c>
      <c r="BP34" s="97" t="str">
        <f aca="false">IF($BZ34&lt;&gt;Constants!$B$8,"",Constants!$B$25*ABS($AD$9-IF($AT34,$AU34,0)))</f>
        <v/>
      </c>
      <c r="BQ34" s="97" t="str">
        <f aca="false">IF($BZ34&lt;&gt;Constants!$B$8,"",IF(AND($AT34,$AY34,$AW34),Constants!$B$27,0))</f>
        <v/>
      </c>
      <c r="BR34" s="97" t="str">
        <f aca="false">IF($BZ34&lt;&gt;Constants!$B$8,"",IF($AT34,($AI34-Constants!$B$29)*Constants!$B$28,0))</f>
        <v/>
      </c>
      <c r="BS34" s="97" t="str">
        <f aca="false">IF($BZ34&lt;&gt;Constants!$B$8,"",IF($AS34,0,Constants!$B$15)+IF($AR34,0,Constants!$B$16)+IF($AH34,0,Constants!$B$17))</f>
        <v/>
      </c>
      <c r="BT34" s="98" t="str">
        <f aca="false">IF($BZ34&lt;&gt;Constants!$B$8,"",Constants!$B$20+SUM($BO34:$BS34))</f>
        <v/>
      </c>
      <c r="BU34" s="97" t="str">
        <f aca="false">IF($BZ34&lt;&gt;Constants!$B$8,"",$BO34)</f>
        <v/>
      </c>
      <c r="BV34" s="97" t="str">
        <f aca="false">IF($BZ34&lt;&gt;Constants!$B$8,"",$BP34)</f>
        <v/>
      </c>
      <c r="BW34" s="97" t="str">
        <f aca="false">IF($BZ34&lt;&gt;Constants!$B$8,"",IF($AT34,$AV34,""))</f>
        <v/>
      </c>
      <c r="BX34" s="99" t="str">
        <f aca="false">IF($BZ34&lt;&gt;Constants!$B$8,"",$AI34)</f>
        <v/>
      </c>
      <c r="BY34" s="93" t="str">
        <f aca="false">IF(ISBLANK($C34),"",IF(ISBLANK($D$7),$BY$5,IF(NOT(ISNUMBER($D$7)),$BY$6,"")))</f>
        <v/>
      </c>
      <c r="BZ34" s="93" t="str">
        <f aca="false">IF(ISBLANK($C34),"",IF($BA34,Constants!$B$11,IF(COUNTA($E34:$AA34)=0,Constants!$B$10,IF(NOT($AG34),Constants!$B$9,IF(OR($BY34&lt;&gt;"",$BB34,$BN34),Constants!$B$12,Constants!$B$8)))))</f>
        <v/>
      </c>
      <c r="CA34" s="93" t="str">
        <f aca="false">IF(ISBLANK($C34),"",IF($BZ34&lt;&gt;Constants!$B$8,$BZ34,Constants!$B$13))</f>
        <v/>
      </c>
      <c r="CB34" s="97" t="str">
        <f aca="false">IF($BZ34&lt;&gt;Constants!$B$8,"",IF($BM34="-&gt;",$BT34,$BH34))</f>
        <v/>
      </c>
      <c r="CC34" s="97" t="str">
        <f aca="false">IF($BZ34&lt;&gt;Constants!$B$8,"",IF($AF34,0,Constants!$B$18))</f>
        <v/>
      </c>
      <c r="CD34" s="97" t="str">
        <f aca="false">IF($BZ34&lt;&gt;Constants!$B$8,"",((Constants!$B$31-$AZ34)-Constants!$B$31)/Constants!$B$32)</f>
        <v/>
      </c>
      <c r="CE34" s="97" t="str">
        <f aca="false">IF(ISBLANK($C34),"",IF($BZ34&lt;&gt;Constants!$B$8,$BZ34,SUM($CB34:$CD34)))</f>
        <v/>
      </c>
      <c r="CF34" s="93" t="str">
        <f aca="false">IF(ISBLANK($C34),"",IF($BZ34&lt;&gt;Constants!$B$8,$BZ34,RANK($CE34,$CE$9:$CE$508,1)))</f>
        <v/>
      </c>
      <c r="CG34" s="97" t="str">
        <f aca="false">IF($BZ34&lt;&gt;Constants!$B$8,"",IF($BM34="-&gt;",$BU34,$BI34))</f>
        <v/>
      </c>
      <c r="CH34" s="93" t="str">
        <f aca="false">IF(ISBLANK($C34),"",IF($BZ34&lt;&gt;Constants!$B$8,$BZ34,IF(ISNUMBER($CG34),RANK($CG34,$CG$9:$CG$508,1),COUNT($CG$9:$CG$508)+1)))</f>
        <v/>
      </c>
      <c r="CI34" s="97" t="str">
        <f aca="false">IF($BZ34&lt;&gt;Constants!$B$8,"",IF($BM34="-&gt;",$BV34,$BJ34))</f>
        <v/>
      </c>
      <c r="CJ34" s="93" t="str">
        <f aca="false">IF(ISBLANK($C34),"",IF($BZ34&lt;&gt;Constants!$B$8,$BZ34,IF(ISNUMBER($CI34),RANK($CI34,$CI$9:$CI$508,1),COUNT($CI$9:$CI$508)+1)))</f>
        <v/>
      </c>
      <c r="CK34" s="97" t="str">
        <f aca="false">IF($BZ34&lt;&gt;Constants!$B$8,"",IF($BM34="-&gt;",$BW34,$BK34))</f>
        <v/>
      </c>
      <c r="CL34" s="93" t="str">
        <f aca="false">IF(ISBLANK($C34),"",IF($BZ34&lt;&gt;Constants!$B$8,$BZ34,IF(ISNUMBER($CK34),RANK($CK34,$CK$9:$CK$508,1),COUNT($CK$9:$CK$508)+1)))</f>
        <v/>
      </c>
      <c r="CM34" s="97" t="str">
        <f aca="false">IF($BZ34&lt;&gt;Constants!$B$8,"",IF(AND(NOT($AL34),NOT($AT34),$AJ34,$AK34,$AR34,$AS34),"",IF($BM34="-&gt;",$BX34,$BL34)))</f>
        <v/>
      </c>
      <c r="CN34" s="93" t="str">
        <f aca="false">IF(ISBLANK($C34),"",IF($BZ34&lt;&gt;Constants!$B$8,$BZ34,IF(ISNUMBER($CM34),RANK($CM34,$CM$9:$CM$508,1),COUNT($CM$9:$CM$508)+1)))</f>
        <v/>
      </c>
      <c r="CO34" s="93" t="str">
        <f aca="false">IF(ISBLANK($C34),"",IF($BZ34&lt;&gt;Constants!$B$8,$BZ34,COUNTIFS($CF$9:$CF$508,"&lt;"&amp;$CF34)+COUNTIFS($CF$9:$CF$508,$CF34,$CH$9:$CH$508,"&lt;"&amp;$CH34)+COUNTIFS($CF$9:$CF$508,$CF34,$CH$9:$CH$508,$CH34,$CJ$9:$CJ$508,"&lt;"&amp;$CJ34)+COUNTIFS($CF$9:$CF$508,$CF34,$CH$9:$CH$508,$CH34,$CJ$9:$CJ$508,$CJ34,$CL$9:$CL$508,"&lt;"&amp;$CL34)+COUNTIFS($CF$9:$CF$508,$CF34,$CH$9:$CH$508,$CH34,$CJ$9:$CJ$508,$CJ34,$CL$9:$CL$508,$CL34,$CN$9:$CN$508,"&lt;"&amp;$CN34)+1))</f>
        <v/>
      </c>
      <c r="CP34" s="93" t="str">
        <f aca="false">IF(ISBLANK($C34),"",IF($BZ34&lt;&gt;Constants!$B$8,$BZ34,$CF34-$CO34))</f>
        <v/>
      </c>
      <c r="CQ34" s="100"/>
      <c r="CR34" s="101"/>
      <c r="CS34" s="102" t="str">
        <f aca="false">IF(ISBLANK($C34),"",IF($BZ34=Constants!$B$12,$BY34,""))</f>
        <v/>
      </c>
      <c r="CT34" s="101" t="str">
        <f aca="false">IF(ISBLANK($C34),"",IF($BZ34&lt;&gt;Constants!$B$8,"",IF($BM34="-&gt;",2,1)))</f>
        <v/>
      </c>
      <c r="CU34" s="103" t="str">
        <f aca="false">IF(ISBLANK($C34),"",IF($BZ34&lt;&gt;Constants!$B$8,"",IF($BM34="-&gt;",$BO34,$BC34)))</f>
        <v/>
      </c>
      <c r="CV34" s="103" t="str">
        <f aca="false">IF(ISBLANK($C34),"",IF($BZ34&lt;&gt;Constants!$B$8,"",IF($BM34="-&gt;",$BP34,$BD34)))</f>
        <v/>
      </c>
      <c r="CW34" s="103" t="str">
        <f aca="false">IF(ISBLANK($C34),"",IF($BZ34&lt;&gt;Constants!$B$8,"",IF($BM34="-&gt;",$BQ34+$BR34,$BE34+$BF34)+$CD34))</f>
        <v/>
      </c>
      <c r="CX34" s="103" t="str">
        <f aca="false">IF(ISBLANK($C34),"",IF($BZ34&lt;&gt;Constants!$B$8,"",IF($BM34="-&gt;",$BS34,$BG34)+$CC34))</f>
        <v/>
      </c>
      <c r="CY34" s="104" t="str">
        <f aca="false">IF(ISBLANK($C34),"",IF($BZ34&lt;&gt;Constants!$B$8,$BZ34,$CE34))</f>
        <v/>
      </c>
      <c r="CZ34" s="105" t="str">
        <f aca="false">IF(ISBLANK($C34),"",$CA34)</f>
        <v/>
      </c>
      <c r="DA34" s="106" t="str">
        <f aca="false">IF(ISBLANK($C34),"",$CP34)</f>
        <v/>
      </c>
      <c r="DB34" s="106" t="str">
        <f aca="false">IF(ISBLANK($C34),"",$CO34)</f>
        <v/>
      </c>
      <c r="DC34" s="107" t="str">
        <f aca="false">IF(ISBLANK($C34),"",IFERROR(_xlfn.SWITCH($DB34,Constants!$B$11,COUNTA($C$9:$C$508)+2,Constants!$B$10,COUNTA($C$9:$C$508)+1,Constants!$B$9,COUNTA($C$9:$C$508)),$DB34))</f>
        <v/>
      </c>
      <c r="DD34" s="9"/>
      <c r="DE34" s="108" t="n">
        <f aca="false">IF(OR(ISNUMBER($DB34),$DB34=Constants!$B$11,$DB34=Constants!$B$9,$DB34=Constants!$B$10),1,0)</f>
        <v>0</v>
      </c>
      <c r="DF34" s="108" t="n">
        <v>26</v>
      </c>
      <c r="DG34" s="108" t="str">
        <f aca="false">IF(ISBLANK($C34),"",IF(ISNUMBER($DC34),$DC34+ROW($B34)/1000,""))</f>
        <v/>
      </c>
      <c r="DH34" s="108" t="str">
        <f aca="false">IF(ISNUMBER($DG34),RANK($DG34,$DG$9:$DG$508,1),"")</f>
        <v/>
      </c>
      <c r="DI34" s="108" t="str">
        <f aca="false">IF(ISBLANK($C34),"",$B34)</f>
        <v/>
      </c>
      <c r="DJ34" s="108" t="str">
        <f aca="false">IF(ISBLANK($C34),"",$C34)</f>
        <v/>
      </c>
      <c r="DK34" s="108" t="str">
        <f aca="false">IF(ISBLANK($C34),"",$D34)</f>
        <v/>
      </c>
      <c r="DL34" s="109" t="str">
        <f aca="false">$CZ34</f>
        <v/>
      </c>
      <c r="DM34" s="110" t="str">
        <f aca="false">$CY34</f>
        <v/>
      </c>
      <c r="DN34" s="108" t="str">
        <f aca="false">IF(ISBLANK($C34),"",$DB34)</f>
        <v/>
      </c>
      <c r="DO34" s="111" t="str">
        <f aca="false">IF($DF34&gt;$DE$8,"",VLOOKUP($DF34,$DH$9:$DN$508,7,FALSE()))</f>
        <v/>
      </c>
      <c r="DP34" s="112" t="str">
        <f aca="false">IF($DF34&gt;$DE$8,"",VLOOKUP($DF34,$DH$9:$DN$508,2,FALSE()))</f>
        <v/>
      </c>
      <c r="DQ34" s="112" t="str">
        <f aca="false">IF($DF34&gt;$DE$8,"",VLOOKUP($DF34,$DH$9:$DN$508,3,FALSE()))</f>
        <v/>
      </c>
      <c r="DR34" s="112" t="str">
        <f aca="false">IF($DF34&gt;$DE$8,"",VLOOKUP($DF34,$DH$9:$DN$508,4,FALSE()))</f>
        <v/>
      </c>
      <c r="DS34" s="112" t="str">
        <f aca="false">IF($DF34&gt;$DE$8,"",VLOOKUP($DF34,$DH$9:$DN$508,5,FALSE()))</f>
        <v/>
      </c>
      <c r="DT34" s="113" t="str">
        <f aca="false">IF($DF34&gt;$DE$8,"",VLOOKUP($DF34,$DH$9:$DN$508,6,FALSE()))</f>
        <v/>
      </c>
      <c r="DU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IF(ISBLANK($C35),"",IF(E35=Constants!$B$3,TRUE(),IF(E35=Constants!$B$4,FALSE(),TRUE())))</f>
        <v/>
      </c>
      <c r="AG35" s="93" t="str">
        <f aca="false">IF(ISBLANK($C35),"",IF(F35=Constants!$B$3,TRUE(),IF(F35=Constants!$B$4,FALSE(),TRUE())))</f>
        <v/>
      </c>
      <c r="AH35" s="93" t="str">
        <f aca="false">IF(ISBLANK($C35),"",IF(G35=Constants!$B$3,TRUE(),IF(G35=Constants!$B$4,FALSE(),TRUE())))</f>
        <v/>
      </c>
      <c r="AI35" s="93" t="str">
        <f aca="false">IF(ISBLANK($C35),"",IF(AND(ISNUMBER(H35),H35&gt;=0),H35,Constants!$B$29))</f>
        <v/>
      </c>
      <c r="AJ35" s="93" t="str">
        <f aca="false">IF(ISBLANK($C35),"",IF(I35=Constants!$B$3,TRUE(),IF(I35=Constants!$B$4,FALSE(),TRUE())))</f>
        <v/>
      </c>
      <c r="AK35" s="93" t="str">
        <f aca="false">IF(ISBLANK($C35),"",IF(J35=Constants!$B$3,TRUE(),IF(J35=Constants!$B$4,FALSE(),TRUE())))</f>
        <v/>
      </c>
      <c r="AL35" s="93" t="str">
        <f aca="false">IF(ISBLANK($C35),"",IF(K35=Constants!$B$5,TRUE(),IF(K35=Constants!$B$6,FALSE(),COUNTA(L35:P35)&gt;0)))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IF(ISBLANK($C35),"",IF(N35=Constants!$B$3,TRUE(),IF(N35=Constants!$B$4,FALSE(),TRUE())))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IF(ISBLANK($C35),"",IF(P35=Constants!$B$3,TRUE(),IF(P35=Constants!$B$4,FALSE(),FALSE())))</f>
        <v/>
      </c>
      <c r="AR35" s="93" t="str">
        <f aca="false">IF(ISBLANK($C35),"",IF(Q35=Constants!$B$3,TRUE(),IF(Q35=Constants!$B$4,FALSE(),TRUE())))</f>
        <v/>
      </c>
      <c r="AS35" s="93" t="str">
        <f aca="false">IF(ISBLANK($C35),"",IF(R35=Constants!$B$3,TRUE(),IF(R35=Constants!$B$4,FALSE(),TRUE())))</f>
        <v/>
      </c>
      <c r="AT35" s="93" t="str">
        <f aca="false">IF(ISBLANK($C35),"",IF(S35=Constants!$B$5,TRUE(),IF(S35=Constants!$B$6,FALSE(),COUNTA(T35:X35)&gt;0)))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IF(ISBLANK($C35),"",IF(V35=Constants!$B$3,TRUE(),IF(V35=Constants!$B$4,FALSE(),TRUE())))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IF(ISBLANK($C35),"",IF(X35=Constants!$B$3,TRUE(),IF(X35=Constants!$B$4,FALSE(),FALSE())))</f>
        <v/>
      </c>
      <c r="AZ35" s="93" t="str">
        <f aca="false">IF(ISBLANK($C35),"",MIN(Constants!$B$31,MAX(0,IF(ISNUMBER(Y35),Y35*60,0)+IF(ISNUMBER(Z35),Z35,0))))</f>
        <v/>
      </c>
      <c r="BA35" s="93" t="str">
        <f aca="false">IF(ISBLANK($C35),"",IF(AA35=Constants!$B$3,TRUE(),IF(AA35=Constants!$B$4,FALSE(),FALSE())))</f>
        <v/>
      </c>
      <c r="BB35" s="92" t="str">
        <f aca="false">IF(ISBLANK($C35),"",AND($AL35,OR($AM35="",$AN35="",AND($AO35,$AP35=""))))</f>
        <v/>
      </c>
      <c r="BC35" s="94" t="str">
        <f aca="false">IF($BZ35&lt;&gt;Constants!$B$8,"",IF($AL35,Constants!$B$21*$AN35+Constants!$B$22*IF($AO35,$AP35,Constants!$B$23),Constants!$B$24))</f>
        <v/>
      </c>
      <c r="BD35" s="97" t="str">
        <f aca="false">IF($BZ35&lt;&gt;Constants!$B$8,"",Constants!$B$25*ABS($AD$9-IF($AL35,$AM35,0)))</f>
        <v/>
      </c>
      <c r="BE35" s="97" t="str">
        <f aca="false">IF($BZ35&lt;&gt;Constants!$B$8,"",IF(AND($AL35,$AQ35,$AO35),Constants!$B$27,0))</f>
        <v/>
      </c>
      <c r="BF35" s="97" t="str">
        <f aca="false">IF($BZ35&lt;&gt;Constants!$B$8,"",IF($AL35,($AI35-Constants!$B$29)*Constants!$B$28,0))</f>
        <v/>
      </c>
      <c r="BG35" s="97" t="str">
        <f aca="false">IF($BZ35&lt;&gt;Constants!$B$8,"",IF($AK35,0,Constants!$B$15)+IF($AJ35,0,Constants!$B$16)+IF($AH35,0,Constants!$B$17))</f>
        <v/>
      </c>
      <c r="BH35" s="98" t="str">
        <f aca="false">IF($BZ35&lt;&gt;Constants!$B$8,"",Constants!$B$20+SUM($BC35:$BG35))</f>
        <v/>
      </c>
      <c r="BI35" s="97" t="str">
        <f aca="false">IF($BZ35&lt;&gt;Constants!$B$8,"",$BC35)</f>
        <v/>
      </c>
      <c r="BJ35" s="97" t="str">
        <f aca="false">IF($BZ35&lt;&gt;Constants!$B$8,"",$BD35)</f>
        <v/>
      </c>
      <c r="BK35" s="97" t="str">
        <f aca="false">IF($BZ35&lt;&gt;Constants!$B$8,"",IF($AL35,$AN35,""))</f>
        <v/>
      </c>
      <c r="BL35" s="99" t="str">
        <f aca="false">IF($BZ35&lt;&gt;Constants!$B$8,"",$AI35)</f>
        <v/>
      </c>
      <c r="BM35" s="93" t="str">
        <f aca="false">IF($BZ35&lt;&gt;Constants!$B$8,"",IF(OR($BT35&lt;$BH35,AND($BT35=$BH35,OR($BU35&lt;$BI35,AND($BU35=$BI35,OR($BV35&lt;$BJ35,AND($BV35=$BJ35,OR(AND(ISNUMBER($BW35),OR(NOT(ISNUMBER($BK35)),$BW35&lt;$BK35)),AND(OR(AND($BW35="",$BK35=""),AND(ISNUMBER($BW35),ISNUMBER($BK35),$BW35=$BK35)),$BX35&lt;$BL35)))))))),"-&gt;","&lt;-"))</f>
        <v/>
      </c>
      <c r="BN35" s="92" t="str">
        <f aca="false">IF(ISBLANK($C35),"",AND($AT35,OR($AU35="",$AV35="",AND($AW35,$AX35=""))))</f>
        <v/>
      </c>
      <c r="BO35" s="94" t="str">
        <f aca="false">IF($BZ35&lt;&gt;Constants!$B$8,"",IF($AT35,Constants!$B$21*$AV35+Constants!$B$22*IF($AW35,$AX35,Constants!$B$23),Constants!$B$24))</f>
        <v/>
      </c>
      <c r="BP35" s="97" t="str">
        <f aca="false">IF($BZ35&lt;&gt;Constants!$B$8,"",Constants!$B$25*ABS($AD$9-IF($AT35,$AU35,0)))</f>
        <v/>
      </c>
      <c r="BQ35" s="97" t="str">
        <f aca="false">IF($BZ35&lt;&gt;Constants!$B$8,"",IF(AND($AT35,$AY35,$AW35),Constants!$B$27,0))</f>
        <v/>
      </c>
      <c r="BR35" s="97" t="str">
        <f aca="false">IF($BZ35&lt;&gt;Constants!$B$8,"",IF($AT35,($AI35-Constants!$B$29)*Constants!$B$28,0))</f>
        <v/>
      </c>
      <c r="BS35" s="97" t="str">
        <f aca="false">IF($BZ35&lt;&gt;Constants!$B$8,"",IF($AS35,0,Constants!$B$15)+IF($AR35,0,Constants!$B$16)+IF($AH35,0,Constants!$B$17))</f>
        <v/>
      </c>
      <c r="BT35" s="98" t="str">
        <f aca="false">IF($BZ35&lt;&gt;Constants!$B$8,"",Constants!$B$20+SUM($BO35:$BS35))</f>
        <v/>
      </c>
      <c r="BU35" s="97" t="str">
        <f aca="false">IF($BZ35&lt;&gt;Constants!$B$8,"",$BO35)</f>
        <v/>
      </c>
      <c r="BV35" s="97" t="str">
        <f aca="false">IF($BZ35&lt;&gt;Constants!$B$8,"",$BP35)</f>
        <v/>
      </c>
      <c r="BW35" s="97" t="str">
        <f aca="false">IF($BZ35&lt;&gt;Constants!$B$8,"",IF($AT35,$AV35,""))</f>
        <v/>
      </c>
      <c r="BX35" s="99" t="str">
        <f aca="false">IF($BZ35&lt;&gt;Constants!$B$8,"",$AI35)</f>
        <v/>
      </c>
      <c r="BY35" s="93" t="str">
        <f aca="false">IF(ISBLANK($C35),"",IF(ISBLANK($D$7),$BY$5,IF(NOT(ISNUMBER($D$7)),$BY$6,"")))</f>
        <v/>
      </c>
      <c r="BZ35" s="93" t="str">
        <f aca="false">IF(ISBLANK($C35),"",IF($BA35,Constants!$B$11,IF(COUNTA($E35:$AA35)=0,Constants!$B$10,IF(NOT($AG35),Constants!$B$9,IF(OR($BY35&lt;&gt;"",$BB35,$BN35),Constants!$B$12,Constants!$B$8)))))</f>
        <v/>
      </c>
      <c r="CA35" s="93" t="str">
        <f aca="false">IF(ISBLANK($C35),"",IF($BZ35&lt;&gt;Constants!$B$8,$BZ35,Constants!$B$13))</f>
        <v/>
      </c>
      <c r="CB35" s="97" t="str">
        <f aca="false">IF($BZ35&lt;&gt;Constants!$B$8,"",IF($BM35="-&gt;",$BT35,$BH35))</f>
        <v/>
      </c>
      <c r="CC35" s="97" t="str">
        <f aca="false">IF($BZ35&lt;&gt;Constants!$B$8,"",IF($AF35,0,Constants!$B$18))</f>
        <v/>
      </c>
      <c r="CD35" s="97" t="str">
        <f aca="false">IF($BZ35&lt;&gt;Constants!$B$8,"",((Constants!$B$31-$AZ35)-Constants!$B$31)/Constants!$B$32)</f>
        <v/>
      </c>
      <c r="CE35" s="97" t="str">
        <f aca="false">IF(ISBLANK($C35),"",IF($BZ35&lt;&gt;Constants!$B$8,$BZ35,SUM($CB35:$CD35)))</f>
        <v/>
      </c>
      <c r="CF35" s="93" t="str">
        <f aca="false">IF(ISBLANK($C35),"",IF($BZ35&lt;&gt;Constants!$B$8,$BZ35,RANK($CE35,$CE$9:$CE$508,1)))</f>
        <v/>
      </c>
      <c r="CG35" s="97" t="str">
        <f aca="false">IF($BZ35&lt;&gt;Constants!$B$8,"",IF($BM35="-&gt;",$BU35,$BI35))</f>
        <v/>
      </c>
      <c r="CH35" s="93" t="str">
        <f aca="false">IF(ISBLANK($C35),"",IF($BZ35&lt;&gt;Constants!$B$8,$BZ35,IF(ISNUMBER($CG35),RANK($CG35,$CG$9:$CG$508,1),COUNT($CG$9:$CG$508)+1)))</f>
        <v/>
      </c>
      <c r="CI35" s="97" t="str">
        <f aca="false">IF($BZ35&lt;&gt;Constants!$B$8,"",IF($BM35="-&gt;",$BV35,$BJ35))</f>
        <v/>
      </c>
      <c r="CJ35" s="93" t="str">
        <f aca="false">IF(ISBLANK($C35),"",IF($BZ35&lt;&gt;Constants!$B$8,$BZ35,IF(ISNUMBER($CI35),RANK($CI35,$CI$9:$CI$508,1),COUNT($CI$9:$CI$508)+1)))</f>
        <v/>
      </c>
      <c r="CK35" s="97" t="str">
        <f aca="false">IF($BZ35&lt;&gt;Constants!$B$8,"",IF($BM35="-&gt;",$BW35,$BK35))</f>
        <v/>
      </c>
      <c r="CL35" s="93" t="str">
        <f aca="false">IF(ISBLANK($C35),"",IF($BZ35&lt;&gt;Constants!$B$8,$BZ35,IF(ISNUMBER($CK35),RANK($CK35,$CK$9:$CK$508,1),COUNT($CK$9:$CK$508)+1)))</f>
        <v/>
      </c>
      <c r="CM35" s="97" t="str">
        <f aca="false">IF($BZ35&lt;&gt;Constants!$B$8,"",IF(AND(NOT($AL35),NOT($AT35),$AJ35,$AK35,$AR35,$AS35),"",IF($BM35="-&gt;",$BX35,$BL35)))</f>
        <v/>
      </c>
      <c r="CN35" s="93" t="str">
        <f aca="false">IF(ISBLANK($C35),"",IF($BZ35&lt;&gt;Constants!$B$8,$BZ35,IF(ISNUMBER($CM35),RANK($CM35,$CM$9:$CM$508,1),COUNT($CM$9:$CM$508)+1)))</f>
        <v/>
      </c>
      <c r="CO35" s="93" t="str">
        <f aca="false">IF(ISBLANK($C35),"",IF($BZ35&lt;&gt;Constants!$B$8,$BZ35,COUNTIFS($CF$9:$CF$508,"&lt;"&amp;$CF35)+COUNTIFS($CF$9:$CF$508,$CF35,$CH$9:$CH$508,"&lt;"&amp;$CH35)+COUNTIFS($CF$9:$CF$508,$CF35,$CH$9:$CH$508,$CH35,$CJ$9:$CJ$508,"&lt;"&amp;$CJ35)+COUNTIFS($CF$9:$CF$508,$CF35,$CH$9:$CH$508,$CH35,$CJ$9:$CJ$508,$CJ35,$CL$9:$CL$508,"&lt;"&amp;$CL35)+COUNTIFS($CF$9:$CF$508,$CF35,$CH$9:$CH$508,$CH35,$CJ$9:$CJ$508,$CJ35,$CL$9:$CL$508,$CL35,$CN$9:$CN$508,"&lt;"&amp;$CN35)+1))</f>
        <v/>
      </c>
      <c r="CP35" s="93" t="str">
        <f aca="false">IF(ISBLANK($C35),"",IF($BZ35&lt;&gt;Constants!$B$8,$BZ35,$CF35-$CO35))</f>
        <v/>
      </c>
      <c r="CQ35" s="100"/>
      <c r="CR35" s="101"/>
      <c r="CS35" s="102" t="str">
        <f aca="false">IF(ISBLANK($C35),"",IF($BZ35=Constants!$B$12,$BY35,""))</f>
        <v/>
      </c>
      <c r="CT35" s="101" t="str">
        <f aca="false">IF(ISBLANK($C35),"",IF($BZ35&lt;&gt;Constants!$B$8,"",IF($BM35="-&gt;",2,1)))</f>
        <v/>
      </c>
      <c r="CU35" s="103" t="str">
        <f aca="false">IF(ISBLANK($C35),"",IF($BZ35&lt;&gt;Constants!$B$8,"",IF($BM35="-&gt;",$BO35,$BC35)))</f>
        <v/>
      </c>
      <c r="CV35" s="103" t="str">
        <f aca="false">IF(ISBLANK($C35),"",IF($BZ35&lt;&gt;Constants!$B$8,"",IF($BM35="-&gt;",$BP35,$BD35)))</f>
        <v/>
      </c>
      <c r="CW35" s="103" t="str">
        <f aca="false">IF(ISBLANK($C35),"",IF($BZ35&lt;&gt;Constants!$B$8,"",IF($BM35="-&gt;",$BQ35+$BR35,$BE35+$BF35)+$CD35))</f>
        <v/>
      </c>
      <c r="CX35" s="103" t="str">
        <f aca="false">IF(ISBLANK($C35),"",IF($BZ35&lt;&gt;Constants!$B$8,"",IF($BM35="-&gt;",$BS35,$BG35)+$CC35))</f>
        <v/>
      </c>
      <c r="CY35" s="104" t="str">
        <f aca="false">IF(ISBLANK($C35),"",IF($BZ35&lt;&gt;Constants!$B$8,$BZ35,$CE35))</f>
        <v/>
      </c>
      <c r="CZ35" s="105" t="str">
        <f aca="false">IF(ISBLANK($C35),"",$CA35)</f>
        <v/>
      </c>
      <c r="DA35" s="106" t="str">
        <f aca="false">IF(ISBLANK($C35),"",$CP35)</f>
        <v/>
      </c>
      <c r="DB35" s="106" t="str">
        <f aca="false">IF(ISBLANK($C35),"",$CO35)</f>
        <v/>
      </c>
      <c r="DC35" s="107" t="str">
        <f aca="false">IF(ISBLANK($C35),"",IFERROR(_xlfn.SWITCH($DB35,Constants!$B$11,COUNTA($C$9:$C$508)+2,Constants!$B$10,COUNTA($C$9:$C$508)+1,Constants!$B$9,COUNTA($C$9:$C$508)),$DB35))</f>
        <v/>
      </c>
      <c r="DD35" s="9"/>
      <c r="DE35" s="108" t="n">
        <f aca="false">IF(OR(ISNUMBER($DB35),$DB35=Constants!$B$11,$DB35=Constants!$B$9,$DB35=Constants!$B$10),1,0)</f>
        <v>0</v>
      </c>
      <c r="DF35" s="108" t="n">
        <v>27</v>
      </c>
      <c r="DG35" s="108" t="str">
        <f aca="false">IF(ISBLANK($C35),"",IF(ISNUMBER($DC35),$DC35+ROW($B35)/1000,""))</f>
        <v/>
      </c>
      <c r="DH35" s="108" t="str">
        <f aca="false">IF(ISNUMBER($DG35),RANK($DG35,$DG$9:$DG$508,1),"")</f>
        <v/>
      </c>
      <c r="DI35" s="108" t="str">
        <f aca="false">IF(ISBLANK($C35),"",$B35)</f>
        <v/>
      </c>
      <c r="DJ35" s="108" t="str">
        <f aca="false">IF(ISBLANK($C35),"",$C35)</f>
        <v/>
      </c>
      <c r="DK35" s="108" t="str">
        <f aca="false">IF(ISBLANK($C35),"",$D35)</f>
        <v/>
      </c>
      <c r="DL35" s="109" t="str">
        <f aca="false">$CZ35</f>
        <v/>
      </c>
      <c r="DM35" s="110" t="str">
        <f aca="false">$CY35</f>
        <v/>
      </c>
      <c r="DN35" s="108" t="str">
        <f aca="false">IF(ISBLANK($C35),"",$DB35)</f>
        <v/>
      </c>
      <c r="DO35" s="111" t="str">
        <f aca="false">IF($DF35&gt;$DE$8,"",VLOOKUP($DF35,$DH$9:$DN$508,7,FALSE()))</f>
        <v/>
      </c>
      <c r="DP35" s="112" t="str">
        <f aca="false">IF($DF35&gt;$DE$8,"",VLOOKUP($DF35,$DH$9:$DN$508,2,FALSE()))</f>
        <v/>
      </c>
      <c r="DQ35" s="112" t="str">
        <f aca="false">IF($DF35&gt;$DE$8,"",VLOOKUP($DF35,$DH$9:$DN$508,3,FALSE()))</f>
        <v/>
      </c>
      <c r="DR35" s="112" t="str">
        <f aca="false">IF($DF35&gt;$DE$8,"",VLOOKUP($DF35,$DH$9:$DN$508,4,FALSE()))</f>
        <v/>
      </c>
      <c r="DS35" s="112" t="str">
        <f aca="false">IF($DF35&gt;$DE$8,"",VLOOKUP($DF35,$DH$9:$DN$508,5,FALSE()))</f>
        <v/>
      </c>
      <c r="DT35" s="113" t="str">
        <f aca="false">IF($DF35&gt;$DE$8,"",VLOOKUP($DF35,$DH$9:$DN$508,6,FALSE()))</f>
        <v/>
      </c>
      <c r="DU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IF(ISBLANK($C36),"",IF(E36=Constants!$B$3,TRUE(),IF(E36=Constants!$B$4,FALSE(),TRUE())))</f>
        <v/>
      </c>
      <c r="AG36" s="135" t="str">
        <f aca="false">IF(ISBLANK($C36),"",IF(F36=Constants!$B$3,TRUE(),IF(F36=Constants!$B$4,FALSE(),TRUE())))</f>
        <v/>
      </c>
      <c r="AH36" s="135" t="str">
        <f aca="false">IF(ISBLANK($C36),"",IF(G36=Constants!$B$3,TRUE(),IF(G36=Constants!$B$4,FALSE(),TRUE())))</f>
        <v/>
      </c>
      <c r="AI36" s="135" t="str">
        <f aca="false">IF(ISBLANK($C36),"",IF(AND(ISNUMBER(H36),H36&gt;=0),H36,Constants!$B$29))</f>
        <v/>
      </c>
      <c r="AJ36" s="135" t="str">
        <f aca="false">IF(ISBLANK($C36),"",IF(I36=Constants!$B$3,TRUE(),IF(I36=Constants!$B$4,FALSE(),TRUE())))</f>
        <v/>
      </c>
      <c r="AK36" s="135" t="str">
        <f aca="false">IF(ISBLANK($C36),"",IF(J36=Constants!$B$3,TRUE(),IF(J36=Constants!$B$4,FALSE(),TRUE())))</f>
        <v/>
      </c>
      <c r="AL36" s="135" t="str">
        <f aca="false">IF(ISBLANK($C36),"",IF(K36=Constants!$B$5,TRUE(),IF(K36=Constants!$B$6,FALSE(),COUNTA(L36:P36)&gt;0)))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IF(ISBLANK($C36),"",IF(N36=Constants!$B$3,TRUE(),IF(N36=Constants!$B$4,FALSE(),TRUE())))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IF(ISBLANK($C36),"",IF(P36=Constants!$B$3,TRUE(),IF(P36=Constants!$B$4,FALSE(),FALSE())))</f>
        <v/>
      </c>
      <c r="AR36" s="135" t="str">
        <f aca="false">IF(ISBLANK($C36),"",IF(Q36=Constants!$B$3,TRUE(),IF(Q36=Constants!$B$4,FALSE(),TRUE())))</f>
        <v/>
      </c>
      <c r="AS36" s="135" t="str">
        <f aca="false">IF(ISBLANK($C36),"",IF(R36=Constants!$B$3,TRUE(),IF(R36=Constants!$B$4,FALSE(),TRUE())))</f>
        <v/>
      </c>
      <c r="AT36" s="135" t="str">
        <f aca="false">IF(ISBLANK($C36),"",IF(S36=Constants!$B$5,TRUE(),IF(S36=Constants!$B$6,FALSE(),COUNTA(T36:X36)&gt;0)))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IF(ISBLANK($C36),"",IF(V36=Constants!$B$3,TRUE(),IF(V36=Constants!$B$4,FALSE(),TRUE())))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IF(ISBLANK($C36),"",IF(X36=Constants!$B$3,TRUE(),IF(X36=Constants!$B$4,FALSE(),FALSE())))</f>
        <v/>
      </c>
      <c r="AZ36" s="135" t="str">
        <f aca="false">IF(ISBLANK($C36),"",MIN(Constants!$B$31,MAX(0,IF(ISNUMBER(Y36),Y36*60,0)+IF(ISNUMBER(Z36),Z36,0))))</f>
        <v/>
      </c>
      <c r="BA36" s="135" t="str">
        <f aca="false">IF(ISBLANK($C36),"",IF(AA36=Constants!$B$3,TRUE(),IF(AA36=Constants!$B$4,FALSE(),FALSE())))</f>
        <v/>
      </c>
      <c r="BB36" s="134" t="str">
        <f aca="false">IF(ISBLANK($C36),"",AND($AL36,OR($AM36="",$AN36="",AND($AO36,$AP36=""))))</f>
        <v/>
      </c>
      <c r="BC36" s="137" t="str">
        <f aca="false">IF($BZ36&lt;&gt;Constants!$B$8,"",IF($AL36,Constants!$B$21*$AN36+Constants!$B$22*IF($AO36,$AP36,Constants!$B$23),Constants!$B$24))</f>
        <v/>
      </c>
      <c r="BD36" s="138" t="str">
        <f aca="false">IF($BZ36&lt;&gt;Constants!$B$8,"",Constants!$B$25*ABS($AD$9-IF($AL36,$AM36,0)))</f>
        <v/>
      </c>
      <c r="BE36" s="138" t="str">
        <f aca="false">IF($BZ36&lt;&gt;Constants!$B$8,"",IF(AND($AL36,$AQ36,$AO36),Constants!$B$27,0))</f>
        <v/>
      </c>
      <c r="BF36" s="138" t="str">
        <f aca="false">IF($BZ36&lt;&gt;Constants!$B$8,"",IF($AL36,($AI36-Constants!$B$29)*Constants!$B$28,0))</f>
        <v/>
      </c>
      <c r="BG36" s="138" t="str">
        <f aca="false">IF($BZ36&lt;&gt;Constants!$B$8,"",IF($AK36,0,Constants!$B$15)+IF($AJ36,0,Constants!$B$16)+IF($AH36,0,Constants!$B$17))</f>
        <v/>
      </c>
      <c r="BH36" s="139" t="str">
        <f aca="false">IF($BZ36&lt;&gt;Constants!$B$8,"",Constants!$B$20+SUM($BC36:$BG36))</f>
        <v/>
      </c>
      <c r="BI36" s="138" t="str">
        <f aca="false">IF($BZ36&lt;&gt;Constants!$B$8,"",$BC36)</f>
        <v/>
      </c>
      <c r="BJ36" s="138" t="str">
        <f aca="false">IF($BZ36&lt;&gt;Constants!$B$8,"",$BD36)</f>
        <v/>
      </c>
      <c r="BK36" s="138" t="str">
        <f aca="false">IF($BZ36&lt;&gt;Constants!$B$8,"",IF($AL36,$AN36,""))</f>
        <v/>
      </c>
      <c r="BL36" s="140" t="str">
        <f aca="false">IF($BZ36&lt;&gt;Constants!$B$8,"",$AI36)</f>
        <v/>
      </c>
      <c r="BM36" s="135" t="str">
        <f aca="false">IF($BZ36&lt;&gt;Constants!$B$8,"",IF(OR($BT36&lt;$BH36,AND($BT36=$BH36,OR($BU36&lt;$BI36,AND($BU36=$BI36,OR($BV36&lt;$BJ36,AND($BV36=$BJ36,OR(AND(ISNUMBER($BW36),OR(NOT(ISNUMBER($BK36)),$BW36&lt;$BK36)),AND(OR(AND($BW36="",$BK36=""),AND(ISNUMBER($BW36),ISNUMBER($BK36),$BW36=$BK36)),$BX36&lt;$BL36)))))))),"-&gt;","&lt;-"))</f>
        <v/>
      </c>
      <c r="BN36" s="134" t="str">
        <f aca="false">IF(ISBLANK($C36),"",AND($AT36,OR($AU36="",$AV36="",AND($AW36,$AX36=""))))</f>
        <v/>
      </c>
      <c r="BO36" s="137" t="str">
        <f aca="false">IF($BZ36&lt;&gt;Constants!$B$8,"",IF($AT36,Constants!$B$21*$AV36+Constants!$B$22*IF($AW36,$AX36,Constants!$B$23),Constants!$B$24))</f>
        <v/>
      </c>
      <c r="BP36" s="138" t="str">
        <f aca="false">IF($BZ36&lt;&gt;Constants!$B$8,"",Constants!$B$25*ABS($AD$9-IF($AT36,$AU36,0)))</f>
        <v/>
      </c>
      <c r="BQ36" s="138" t="str">
        <f aca="false">IF($BZ36&lt;&gt;Constants!$B$8,"",IF(AND($AT36,$AY36,$AW36),Constants!$B$27,0))</f>
        <v/>
      </c>
      <c r="BR36" s="138" t="str">
        <f aca="false">IF($BZ36&lt;&gt;Constants!$B$8,"",IF($AT36,($AI36-Constants!$B$29)*Constants!$B$28,0))</f>
        <v/>
      </c>
      <c r="BS36" s="138" t="str">
        <f aca="false">IF($BZ36&lt;&gt;Constants!$B$8,"",IF($AS36,0,Constants!$B$15)+IF($AR36,0,Constants!$B$16)+IF($AH36,0,Constants!$B$17))</f>
        <v/>
      </c>
      <c r="BT36" s="139" t="str">
        <f aca="false">IF($BZ36&lt;&gt;Constants!$B$8,"",Constants!$B$20+SUM($BO36:$BS36))</f>
        <v/>
      </c>
      <c r="BU36" s="138" t="str">
        <f aca="false">IF($BZ36&lt;&gt;Constants!$B$8,"",$BO36)</f>
        <v/>
      </c>
      <c r="BV36" s="138" t="str">
        <f aca="false">IF($BZ36&lt;&gt;Constants!$B$8,"",$BP36)</f>
        <v/>
      </c>
      <c r="BW36" s="138" t="str">
        <f aca="false">IF($BZ36&lt;&gt;Constants!$B$8,"",IF($AT36,$AV36,""))</f>
        <v/>
      </c>
      <c r="BX36" s="140" t="str">
        <f aca="false">IF($BZ36&lt;&gt;Constants!$B$8,"",$AI36)</f>
        <v/>
      </c>
      <c r="BY36" s="135" t="str">
        <f aca="false">IF(ISBLANK($C36),"",IF(ISBLANK($D$7),$BY$5,IF(NOT(ISNUMBER($D$7)),$BY$6,"")))</f>
        <v/>
      </c>
      <c r="BZ36" s="135" t="str">
        <f aca="false">IF(ISBLANK($C36),"",IF($BA36,Constants!$B$11,IF(COUNTA($E36:$AA36)=0,Constants!$B$10,IF(NOT($AG36),Constants!$B$9,IF(OR($BY36&lt;&gt;"",$BB36,$BN36),Constants!$B$12,Constants!$B$8)))))</f>
        <v/>
      </c>
      <c r="CA36" s="135" t="str">
        <f aca="false">IF(ISBLANK($C36),"",IF($BZ36&lt;&gt;Constants!$B$8,$BZ36,Constants!$B$13))</f>
        <v/>
      </c>
      <c r="CB36" s="138" t="str">
        <f aca="false">IF($BZ36&lt;&gt;Constants!$B$8,"",IF($BM36="-&gt;",$BT36,$BH36))</f>
        <v/>
      </c>
      <c r="CC36" s="138" t="str">
        <f aca="false">IF($BZ36&lt;&gt;Constants!$B$8,"",IF($AF36,0,Constants!$B$18))</f>
        <v/>
      </c>
      <c r="CD36" s="138" t="str">
        <f aca="false">IF($BZ36&lt;&gt;Constants!$B$8,"",((Constants!$B$31-$AZ36)-Constants!$B$31)/Constants!$B$32)</f>
        <v/>
      </c>
      <c r="CE36" s="138" t="str">
        <f aca="false">IF(ISBLANK($C36),"",IF($BZ36&lt;&gt;Constants!$B$8,$BZ36,SUM($CB36:$CD36)))</f>
        <v/>
      </c>
      <c r="CF36" s="135" t="str">
        <f aca="false">IF(ISBLANK($C36),"",IF($BZ36&lt;&gt;Constants!$B$8,$BZ36,RANK($CE36,$CE$9:$CE$508,1)))</f>
        <v/>
      </c>
      <c r="CG36" s="138" t="str">
        <f aca="false">IF($BZ36&lt;&gt;Constants!$B$8,"",IF($BM36="-&gt;",$BU36,$BI36))</f>
        <v/>
      </c>
      <c r="CH36" s="135" t="str">
        <f aca="false">IF(ISBLANK($C36),"",IF($BZ36&lt;&gt;Constants!$B$8,$BZ36,IF(ISNUMBER($CG36),RANK($CG36,$CG$9:$CG$508,1),COUNT($CG$9:$CG$508)+1)))</f>
        <v/>
      </c>
      <c r="CI36" s="138" t="str">
        <f aca="false">IF($BZ36&lt;&gt;Constants!$B$8,"",IF($BM36="-&gt;",$BV36,$BJ36))</f>
        <v/>
      </c>
      <c r="CJ36" s="135" t="str">
        <f aca="false">IF(ISBLANK($C36),"",IF($BZ36&lt;&gt;Constants!$B$8,$BZ36,IF(ISNUMBER($CI36),RANK($CI36,$CI$9:$CI$508,1),COUNT($CI$9:$CI$508)+1)))</f>
        <v/>
      </c>
      <c r="CK36" s="138" t="str">
        <f aca="false">IF($BZ36&lt;&gt;Constants!$B$8,"",IF($BM36="-&gt;",$BW36,$BK36))</f>
        <v/>
      </c>
      <c r="CL36" s="135" t="str">
        <f aca="false">IF(ISBLANK($C36),"",IF($BZ36&lt;&gt;Constants!$B$8,$BZ36,IF(ISNUMBER($CK36),RANK($CK36,$CK$9:$CK$508,1),COUNT($CK$9:$CK$508)+1)))</f>
        <v/>
      </c>
      <c r="CM36" s="138" t="str">
        <f aca="false">IF($BZ36&lt;&gt;Constants!$B$8,"",IF(AND(NOT($AL36),NOT($AT36),$AJ36,$AK36,$AR36,$AS36),"",IF($BM36="-&gt;",$BX36,$BL36)))</f>
        <v/>
      </c>
      <c r="CN36" s="135" t="str">
        <f aca="false">IF(ISBLANK($C36),"",IF($BZ36&lt;&gt;Constants!$B$8,$BZ36,IF(ISNUMBER($CM36),RANK($CM36,$CM$9:$CM$508,1),COUNT($CM$9:$CM$508)+1)))</f>
        <v/>
      </c>
      <c r="CO36" s="135" t="str">
        <f aca="false">IF(ISBLANK($C36),"",IF($BZ36&lt;&gt;Constants!$B$8,$BZ36,COUNTIFS($CF$9:$CF$508,"&lt;"&amp;$CF36)+COUNTIFS($CF$9:$CF$508,$CF36,$CH$9:$CH$508,"&lt;"&amp;$CH36)+COUNTIFS($CF$9:$CF$508,$CF36,$CH$9:$CH$508,$CH36,$CJ$9:$CJ$508,"&lt;"&amp;$CJ36)+COUNTIFS($CF$9:$CF$508,$CF36,$CH$9:$CH$508,$CH36,$CJ$9:$CJ$508,$CJ36,$CL$9:$CL$508,"&lt;"&amp;$CL36)+COUNTIFS($CF$9:$CF$508,$CF36,$CH$9:$CH$508,$CH36,$CJ$9:$CJ$508,$CJ36,$CL$9:$CL$508,$CL36,$CN$9:$CN$508,"&lt;"&amp;$CN36)+1))</f>
        <v/>
      </c>
      <c r="CP36" s="135" t="str">
        <f aca="false">IF(ISBLANK($C36),"",IF($BZ36&lt;&gt;Constants!$B$8,$BZ36,$CF36-$CO36))</f>
        <v/>
      </c>
      <c r="CQ36" s="141"/>
      <c r="CR36" s="142"/>
      <c r="CS36" s="143" t="str">
        <f aca="false">IF(ISBLANK($C36),"",IF($BZ36=Constants!$B$12,$BY36,""))</f>
        <v/>
      </c>
      <c r="CT36" s="142" t="str">
        <f aca="false">IF(ISBLANK($C36),"",IF($BZ36&lt;&gt;Constants!$B$8,"",IF($BM36="-&gt;",2,1)))</f>
        <v/>
      </c>
      <c r="CU36" s="144" t="str">
        <f aca="false">IF(ISBLANK($C36),"",IF($BZ36&lt;&gt;Constants!$B$8,"",IF($BM36="-&gt;",$BO36,$BC36)))</f>
        <v/>
      </c>
      <c r="CV36" s="144" t="str">
        <f aca="false">IF(ISBLANK($C36),"",IF($BZ36&lt;&gt;Constants!$B$8,"",IF($BM36="-&gt;",$BP36,$BD36)))</f>
        <v/>
      </c>
      <c r="CW36" s="144" t="str">
        <f aca="false">IF(ISBLANK($C36),"",IF($BZ36&lt;&gt;Constants!$B$8,"",IF($BM36="-&gt;",$BQ36+$BR36,$BE36+$BF36)+$CD36))</f>
        <v/>
      </c>
      <c r="CX36" s="144" t="str">
        <f aca="false">IF(ISBLANK($C36),"",IF($BZ36&lt;&gt;Constants!$B$8,"",IF($BM36="-&gt;",$BS36,$BG36)+$CC36))</f>
        <v/>
      </c>
      <c r="CY36" s="145" t="str">
        <f aca="false">IF(ISBLANK($C36),"",IF($BZ36&lt;&gt;Constants!$B$8,$BZ36,$CE36))</f>
        <v/>
      </c>
      <c r="CZ36" s="146" t="str">
        <f aca="false">IF(ISBLANK($C36),"",$CA36)</f>
        <v/>
      </c>
      <c r="DA36" s="147" t="str">
        <f aca="false">IF(ISBLANK($C36),"",$CP36)</f>
        <v/>
      </c>
      <c r="DB36" s="147" t="str">
        <f aca="false">IF(ISBLANK($C36),"",$CO36)</f>
        <v/>
      </c>
      <c r="DC36" s="148" t="str">
        <f aca="false">IF(ISBLANK($C36),"",IFERROR(_xlfn.SWITCH($DB36,Constants!$B$11,COUNTA($C$9:$C$508)+2,Constants!$B$10,COUNTA($C$9:$C$508)+1,Constants!$B$9,COUNTA($C$9:$C$508)),$DB36))</f>
        <v/>
      </c>
      <c r="DD36" s="9"/>
      <c r="DE36" s="149" t="n">
        <f aca="false">IF(OR(ISNUMBER($DB36),$DB36=Constants!$B$11,$DB36=Constants!$B$9,$DB36=Constants!$B$10),1,0)</f>
        <v>0</v>
      </c>
      <c r="DF36" s="149" t="n">
        <v>28</v>
      </c>
      <c r="DG36" s="149" t="str">
        <f aca="false">IF(ISBLANK($C36),"",IF(ISNUMBER($DC36),$DC36+ROW($B36)/1000,""))</f>
        <v/>
      </c>
      <c r="DH36" s="149" t="str">
        <f aca="false">IF(ISNUMBER($DG36),RANK($DG36,$DG$9:$DG$508,1),"")</f>
        <v/>
      </c>
      <c r="DI36" s="149" t="str">
        <f aca="false">IF(ISBLANK($C36),"",$B36)</f>
        <v/>
      </c>
      <c r="DJ36" s="149" t="str">
        <f aca="false">IF(ISBLANK($C36),"",$C36)</f>
        <v/>
      </c>
      <c r="DK36" s="149" t="str">
        <f aca="false">IF(ISBLANK($C36),"",$D36)</f>
        <v/>
      </c>
      <c r="DL36" s="150" t="str">
        <f aca="false">$CZ36</f>
        <v/>
      </c>
      <c r="DM36" s="151" t="str">
        <f aca="false">$CY36</f>
        <v/>
      </c>
      <c r="DN36" s="149" t="str">
        <f aca="false">IF(ISBLANK($C36),"",$DB36)</f>
        <v/>
      </c>
      <c r="DO36" s="152" t="str">
        <f aca="false">IF($DF36&gt;$DE$8,"",VLOOKUP($DF36,$DH$9:$DN$508,7,FALSE()))</f>
        <v/>
      </c>
      <c r="DP36" s="153" t="str">
        <f aca="false">IF($DF36&gt;$DE$8,"",VLOOKUP($DF36,$DH$9:$DN$508,2,FALSE()))</f>
        <v/>
      </c>
      <c r="DQ36" s="153" t="str">
        <f aca="false">IF($DF36&gt;$DE$8,"",VLOOKUP($DF36,$DH$9:$DN$508,3,FALSE()))</f>
        <v/>
      </c>
      <c r="DR36" s="153" t="str">
        <f aca="false">IF($DF36&gt;$DE$8,"",VLOOKUP($DF36,$DH$9:$DN$508,4,FALSE()))</f>
        <v/>
      </c>
      <c r="DS36" s="153" t="str">
        <f aca="false">IF($DF36&gt;$DE$8,"",VLOOKUP($DF36,$DH$9:$DN$508,5,FALSE()))</f>
        <v/>
      </c>
      <c r="DT36" s="154" t="str">
        <f aca="false">IF($DF36&gt;$DE$8,"",VLOOKUP($DF36,$DH$9:$DN$508,6,FALSE()))</f>
        <v/>
      </c>
      <c r="DU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IF(ISBLANK($C37),"",IF(E37=Constants!$B$3,TRUE(),IF(E37=Constants!$B$4,FALSE(),TRUE())))</f>
        <v/>
      </c>
      <c r="AG37" s="135" t="str">
        <f aca="false">IF(ISBLANK($C37),"",IF(F37=Constants!$B$3,TRUE(),IF(F37=Constants!$B$4,FALSE(),TRUE())))</f>
        <v/>
      </c>
      <c r="AH37" s="135" t="str">
        <f aca="false">IF(ISBLANK($C37),"",IF(G37=Constants!$B$3,TRUE(),IF(G37=Constants!$B$4,FALSE(),TRUE())))</f>
        <v/>
      </c>
      <c r="AI37" s="135" t="str">
        <f aca="false">IF(ISBLANK($C37),"",IF(AND(ISNUMBER(H37),H37&gt;=0),H37,Constants!$B$29))</f>
        <v/>
      </c>
      <c r="AJ37" s="135" t="str">
        <f aca="false">IF(ISBLANK($C37),"",IF(I37=Constants!$B$3,TRUE(),IF(I37=Constants!$B$4,FALSE(),TRUE())))</f>
        <v/>
      </c>
      <c r="AK37" s="135" t="str">
        <f aca="false">IF(ISBLANK($C37),"",IF(J37=Constants!$B$3,TRUE(),IF(J37=Constants!$B$4,FALSE(),TRUE())))</f>
        <v/>
      </c>
      <c r="AL37" s="135" t="str">
        <f aca="false">IF(ISBLANK($C37),"",IF(K37=Constants!$B$5,TRUE(),IF(K37=Constants!$B$6,FALSE(),COUNTA(L37:P37)&gt;0)))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IF(ISBLANK($C37),"",IF(N37=Constants!$B$3,TRUE(),IF(N37=Constants!$B$4,FALSE(),TRUE())))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IF(ISBLANK($C37),"",IF(P37=Constants!$B$3,TRUE(),IF(P37=Constants!$B$4,FALSE(),FALSE())))</f>
        <v/>
      </c>
      <c r="AR37" s="135" t="str">
        <f aca="false">IF(ISBLANK($C37),"",IF(Q37=Constants!$B$3,TRUE(),IF(Q37=Constants!$B$4,FALSE(),TRUE())))</f>
        <v/>
      </c>
      <c r="AS37" s="135" t="str">
        <f aca="false">IF(ISBLANK($C37),"",IF(R37=Constants!$B$3,TRUE(),IF(R37=Constants!$B$4,FALSE(),TRUE())))</f>
        <v/>
      </c>
      <c r="AT37" s="135" t="str">
        <f aca="false">IF(ISBLANK($C37),"",IF(S37=Constants!$B$5,TRUE(),IF(S37=Constants!$B$6,FALSE(),COUNTA(T37:X37)&gt;0)))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IF(ISBLANK($C37),"",IF(V37=Constants!$B$3,TRUE(),IF(V37=Constants!$B$4,FALSE(),TRUE())))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IF(ISBLANK($C37),"",IF(X37=Constants!$B$3,TRUE(),IF(X37=Constants!$B$4,FALSE(),FALSE())))</f>
        <v/>
      </c>
      <c r="AZ37" s="135" t="str">
        <f aca="false">IF(ISBLANK($C37),"",MIN(Constants!$B$31,MAX(0,IF(ISNUMBER(Y37),Y37*60,0)+IF(ISNUMBER(Z37),Z37,0))))</f>
        <v/>
      </c>
      <c r="BA37" s="135" t="str">
        <f aca="false">IF(ISBLANK($C37),"",IF(AA37=Constants!$B$3,TRUE(),IF(AA37=Constants!$B$4,FALSE(),FALSE())))</f>
        <v/>
      </c>
      <c r="BB37" s="134" t="str">
        <f aca="false">IF(ISBLANK($C37),"",AND($AL37,OR($AM37="",$AN37="",AND($AO37,$AP37=""))))</f>
        <v/>
      </c>
      <c r="BC37" s="137" t="str">
        <f aca="false">IF($BZ37&lt;&gt;Constants!$B$8,"",IF($AL37,Constants!$B$21*$AN37+Constants!$B$22*IF($AO37,$AP37,Constants!$B$23),Constants!$B$24))</f>
        <v/>
      </c>
      <c r="BD37" s="138" t="str">
        <f aca="false">IF($BZ37&lt;&gt;Constants!$B$8,"",Constants!$B$25*ABS($AD$9-IF($AL37,$AM37,0)))</f>
        <v/>
      </c>
      <c r="BE37" s="138" t="str">
        <f aca="false">IF($BZ37&lt;&gt;Constants!$B$8,"",IF(AND($AL37,$AQ37,$AO37),Constants!$B$27,0))</f>
        <v/>
      </c>
      <c r="BF37" s="138" t="str">
        <f aca="false">IF($BZ37&lt;&gt;Constants!$B$8,"",IF($AL37,($AI37-Constants!$B$29)*Constants!$B$28,0))</f>
        <v/>
      </c>
      <c r="BG37" s="138" t="str">
        <f aca="false">IF($BZ37&lt;&gt;Constants!$B$8,"",IF($AK37,0,Constants!$B$15)+IF($AJ37,0,Constants!$B$16)+IF($AH37,0,Constants!$B$17))</f>
        <v/>
      </c>
      <c r="BH37" s="139" t="str">
        <f aca="false">IF($BZ37&lt;&gt;Constants!$B$8,"",Constants!$B$20+SUM($BC37:$BG37))</f>
        <v/>
      </c>
      <c r="BI37" s="138" t="str">
        <f aca="false">IF($BZ37&lt;&gt;Constants!$B$8,"",$BC37)</f>
        <v/>
      </c>
      <c r="BJ37" s="138" t="str">
        <f aca="false">IF($BZ37&lt;&gt;Constants!$B$8,"",$BD37)</f>
        <v/>
      </c>
      <c r="BK37" s="138" t="str">
        <f aca="false">IF($BZ37&lt;&gt;Constants!$B$8,"",IF($AL37,$AN37,""))</f>
        <v/>
      </c>
      <c r="BL37" s="140" t="str">
        <f aca="false">IF($BZ37&lt;&gt;Constants!$B$8,"",$AI37)</f>
        <v/>
      </c>
      <c r="BM37" s="135" t="str">
        <f aca="false">IF($BZ37&lt;&gt;Constants!$B$8,"",IF(OR($BT37&lt;$BH37,AND($BT37=$BH37,OR($BU37&lt;$BI37,AND($BU37=$BI37,OR($BV37&lt;$BJ37,AND($BV37=$BJ37,OR(AND(ISNUMBER($BW37),OR(NOT(ISNUMBER($BK37)),$BW37&lt;$BK37)),AND(OR(AND($BW37="",$BK37=""),AND(ISNUMBER($BW37),ISNUMBER($BK37),$BW37=$BK37)),$BX37&lt;$BL37)))))))),"-&gt;","&lt;-"))</f>
        <v/>
      </c>
      <c r="BN37" s="134" t="str">
        <f aca="false">IF(ISBLANK($C37),"",AND($AT37,OR($AU37="",$AV37="",AND($AW37,$AX37=""))))</f>
        <v/>
      </c>
      <c r="BO37" s="137" t="str">
        <f aca="false">IF($BZ37&lt;&gt;Constants!$B$8,"",IF($AT37,Constants!$B$21*$AV37+Constants!$B$22*IF($AW37,$AX37,Constants!$B$23),Constants!$B$24))</f>
        <v/>
      </c>
      <c r="BP37" s="138" t="str">
        <f aca="false">IF($BZ37&lt;&gt;Constants!$B$8,"",Constants!$B$25*ABS($AD$9-IF($AT37,$AU37,0)))</f>
        <v/>
      </c>
      <c r="BQ37" s="138" t="str">
        <f aca="false">IF($BZ37&lt;&gt;Constants!$B$8,"",IF(AND($AT37,$AY37,$AW37),Constants!$B$27,0))</f>
        <v/>
      </c>
      <c r="BR37" s="138" t="str">
        <f aca="false">IF($BZ37&lt;&gt;Constants!$B$8,"",IF($AT37,($AI37-Constants!$B$29)*Constants!$B$28,0))</f>
        <v/>
      </c>
      <c r="BS37" s="138" t="str">
        <f aca="false">IF($BZ37&lt;&gt;Constants!$B$8,"",IF($AS37,0,Constants!$B$15)+IF($AR37,0,Constants!$B$16)+IF($AH37,0,Constants!$B$17))</f>
        <v/>
      </c>
      <c r="BT37" s="139" t="str">
        <f aca="false">IF($BZ37&lt;&gt;Constants!$B$8,"",Constants!$B$20+SUM($BO37:$BS37))</f>
        <v/>
      </c>
      <c r="BU37" s="138" t="str">
        <f aca="false">IF($BZ37&lt;&gt;Constants!$B$8,"",$BO37)</f>
        <v/>
      </c>
      <c r="BV37" s="138" t="str">
        <f aca="false">IF($BZ37&lt;&gt;Constants!$B$8,"",$BP37)</f>
        <v/>
      </c>
      <c r="BW37" s="138" t="str">
        <f aca="false">IF($BZ37&lt;&gt;Constants!$B$8,"",IF($AT37,$AV37,""))</f>
        <v/>
      </c>
      <c r="BX37" s="140" t="str">
        <f aca="false">IF($BZ37&lt;&gt;Constants!$B$8,"",$AI37)</f>
        <v/>
      </c>
      <c r="BY37" s="135" t="str">
        <f aca="false">IF(ISBLANK($C37),"",IF(ISBLANK($D$7),$BY$5,IF(NOT(ISNUMBER($D$7)),$BY$6,"")))</f>
        <v/>
      </c>
      <c r="BZ37" s="135" t="str">
        <f aca="false">IF(ISBLANK($C37),"",IF($BA37,Constants!$B$11,IF(COUNTA($E37:$AA37)=0,Constants!$B$10,IF(NOT($AG37),Constants!$B$9,IF(OR($BY37&lt;&gt;"",$BB37,$BN37),Constants!$B$12,Constants!$B$8)))))</f>
        <v/>
      </c>
      <c r="CA37" s="135" t="str">
        <f aca="false">IF(ISBLANK($C37),"",IF($BZ37&lt;&gt;Constants!$B$8,$BZ37,Constants!$B$13))</f>
        <v/>
      </c>
      <c r="CB37" s="138" t="str">
        <f aca="false">IF($BZ37&lt;&gt;Constants!$B$8,"",IF($BM37="-&gt;",$BT37,$BH37))</f>
        <v/>
      </c>
      <c r="CC37" s="138" t="str">
        <f aca="false">IF($BZ37&lt;&gt;Constants!$B$8,"",IF($AF37,0,Constants!$B$18))</f>
        <v/>
      </c>
      <c r="CD37" s="138" t="str">
        <f aca="false">IF($BZ37&lt;&gt;Constants!$B$8,"",((Constants!$B$31-$AZ37)-Constants!$B$31)/Constants!$B$32)</f>
        <v/>
      </c>
      <c r="CE37" s="138" t="str">
        <f aca="false">IF(ISBLANK($C37),"",IF($BZ37&lt;&gt;Constants!$B$8,$BZ37,SUM($CB37:$CD37)))</f>
        <v/>
      </c>
      <c r="CF37" s="135" t="str">
        <f aca="false">IF(ISBLANK($C37),"",IF($BZ37&lt;&gt;Constants!$B$8,$BZ37,RANK($CE37,$CE$9:$CE$508,1)))</f>
        <v/>
      </c>
      <c r="CG37" s="138" t="str">
        <f aca="false">IF($BZ37&lt;&gt;Constants!$B$8,"",IF($BM37="-&gt;",$BU37,$BI37))</f>
        <v/>
      </c>
      <c r="CH37" s="135" t="str">
        <f aca="false">IF(ISBLANK($C37),"",IF($BZ37&lt;&gt;Constants!$B$8,$BZ37,IF(ISNUMBER($CG37),RANK($CG37,$CG$9:$CG$508,1),COUNT($CG$9:$CG$508)+1)))</f>
        <v/>
      </c>
      <c r="CI37" s="138" t="str">
        <f aca="false">IF($BZ37&lt;&gt;Constants!$B$8,"",IF($BM37="-&gt;",$BV37,$BJ37))</f>
        <v/>
      </c>
      <c r="CJ37" s="135" t="str">
        <f aca="false">IF(ISBLANK($C37),"",IF($BZ37&lt;&gt;Constants!$B$8,$BZ37,IF(ISNUMBER($CI37),RANK($CI37,$CI$9:$CI$508,1),COUNT($CI$9:$CI$508)+1)))</f>
        <v/>
      </c>
      <c r="CK37" s="138" t="str">
        <f aca="false">IF($BZ37&lt;&gt;Constants!$B$8,"",IF($BM37="-&gt;",$BW37,$BK37))</f>
        <v/>
      </c>
      <c r="CL37" s="135" t="str">
        <f aca="false">IF(ISBLANK($C37),"",IF($BZ37&lt;&gt;Constants!$B$8,$BZ37,IF(ISNUMBER($CK37),RANK($CK37,$CK$9:$CK$508,1),COUNT($CK$9:$CK$508)+1)))</f>
        <v/>
      </c>
      <c r="CM37" s="138" t="str">
        <f aca="false">IF($BZ37&lt;&gt;Constants!$B$8,"",IF(AND(NOT($AL37),NOT($AT37),$AJ37,$AK37,$AR37,$AS37),"",IF($BM37="-&gt;",$BX37,$BL37)))</f>
        <v/>
      </c>
      <c r="CN37" s="135" t="str">
        <f aca="false">IF(ISBLANK($C37),"",IF($BZ37&lt;&gt;Constants!$B$8,$BZ37,IF(ISNUMBER($CM37),RANK($CM37,$CM$9:$CM$508,1),COUNT($CM$9:$CM$508)+1)))</f>
        <v/>
      </c>
      <c r="CO37" s="135" t="str">
        <f aca="false">IF(ISBLANK($C37),"",IF($BZ37&lt;&gt;Constants!$B$8,$BZ37,COUNTIFS($CF$9:$CF$508,"&lt;"&amp;$CF37)+COUNTIFS($CF$9:$CF$508,$CF37,$CH$9:$CH$508,"&lt;"&amp;$CH37)+COUNTIFS($CF$9:$CF$508,$CF37,$CH$9:$CH$508,$CH37,$CJ$9:$CJ$508,"&lt;"&amp;$CJ37)+COUNTIFS($CF$9:$CF$508,$CF37,$CH$9:$CH$508,$CH37,$CJ$9:$CJ$508,$CJ37,$CL$9:$CL$508,"&lt;"&amp;$CL37)+COUNTIFS($CF$9:$CF$508,$CF37,$CH$9:$CH$508,$CH37,$CJ$9:$CJ$508,$CJ37,$CL$9:$CL$508,$CL37,$CN$9:$CN$508,"&lt;"&amp;$CN37)+1))</f>
        <v/>
      </c>
      <c r="CP37" s="135" t="str">
        <f aca="false">IF(ISBLANK($C37),"",IF($BZ37&lt;&gt;Constants!$B$8,$BZ37,$CF37-$CO37))</f>
        <v/>
      </c>
      <c r="CQ37" s="141"/>
      <c r="CR37" s="142"/>
      <c r="CS37" s="143" t="str">
        <f aca="false">IF(ISBLANK($C37),"",IF($BZ37=Constants!$B$12,$BY37,""))</f>
        <v/>
      </c>
      <c r="CT37" s="142" t="str">
        <f aca="false">IF(ISBLANK($C37),"",IF($BZ37&lt;&gt;Constants!$B$8,"",IF($BM37="-&gt;",2,1)))</f>
        <v/>
      </c>
      <c r="CU37" s="144" t="str">
        <f aca="false">IF(ISBLANK($C37),"",IF($BZ37&lt;&gt;Constants!$B$8,"",IF($BM37="-&gt;",$BO37,$BC37)))</f>
        <v/>
      </c>
      <c r="CV37" s="144" t="str">
        <f aca="false">IF(ISBLANK($C37),"",IF($BZ37&lt;&gt;Constants!$B$8,"",IF($BM37="-&gt;",$BP37,$BD37)))</f>
        <v/>
      </c>
      <c r="CW37" s="144" t="str">
        <f aca="false">IF(ISBLANK($C37),"",IF($BZ37&lt;&gt;Constants!$B$8,"",IF($BM37="-&gt;",$BQ37+$BR37,$BE37+$BF37)+$CD37))</f>
        <v/>
      </c>
      <c r="CX37" s="144" t="str">
        <f aca="false">IF(ISBLANK($C37),"",IF($BZ37&lt;&gt;Constants!$B$8,"",IF($BM37="-&gt;",$BS37,$BG37)+$CC37))</f>
        <v/>
      </c>
      <c r="CY37" s="145" t="str">
        <f aca="false">IF(ISBLANK($C37),"",IF($BZ37&lt;&gt;Constants!$B$8,$BZ37,$CE37))</f>
        <v/>
      </c>
      <c r="CZ37" s="146" t="str">
        <f aca="false">IF(ISBLANK($C37),"",$CA37)</f>
        <v/>
      </c>
      <c r="DA37" s="147" t="str">
        <f aca="false">IF(ISBLANK($C37),"",$CP37)</f>
        <v/>
      </c>
      <c r="DB37" s="147" t="str">
        <f aca="false">IF(ISBLANK($C37),"",$CO37)</f>
        <v/>
      </c>
      <c r="DC37" s="148" t="str">
        <f aca="false">IF(ISBLANK($C37),"",IFERROR(_xlfn.SWITCH($DB37,Constants!$B$11,COUNTA($C$9:$C$508)+2,Constants!$B$10,COUNTA($C$9:$C$508)+1,Constants!$B$9,COUNTA($C$9:$C$508)),$DB37))</f>
        <v/>
      </c>
      <c r="DD37" s="9"/>
      <c r="DE37" s="149" t="n">
        <f aca="false">IF(OR(ISNUMBER($DB37),$DB37=Constants!$B$11,$DB37=Constants!$B$9,$DB37=Constants!$B$10),1,0)</f>
        <v>0</v>
      </c>
      <c r="DF37" s="149" t="n">
        <v>29</v>
      </c>
      <c r="DG37" s="149" t="str">
        <f aca="false">IF(ISBLANK($C37),"",IF(ISNUMBER($DC37),$DC37+ROW($B37)/1000,""))</f>
        <v/>
      </c>
      <c r="DH37" s="149" t="str">
        <f aca="false">IF(ISNUMBER($DG37),RANK($DG37,$DG$9:$DG$508,1),"")</f>
        <v/>
      </c>
      <c r="DI37" s="149" t="str">
        <f aca="false">IF(ISBLANK($C37),"",$B37)</f>
        <v/>
      </c>
      <c r="DJ37" s="149" t="str">
        <f aca="false">IF(ISBLANK($C37),"",$C37)</f>
        <v/>
      </c>
      <c r="DK37" s="149" t="str">
        <f aca="false">IF(ISBLANK($C37),"",$D37)</f>
        <v/>
      </c>
      <c r="DL37" s="150" t="str">
        <f aca="false">$CZ37</f>
        <v/>
      </c>
      <c r="DM37" s="151" t="str">
        <f aca="false">$CY37</f>
        <v/>
      </c>
      <c r="DN37" s="149" t="str">
        <f aca="false">IF(ISBLANK($C37),"",$DB37)</f>
        <v/>
      </c>
      <c r="DO37" s="152" t="str">
        <f aca="false">IF($DF37&gt;$DE$8,"",VLOOKUP($DF37,$DH$9:$DN$508,7,FALSE()))</f>
        <v/>
      </c>
      <c r="DP37" s="153" t="str">
        <f aca="false">IF($DF37&gt;$DE$8,"",VLOOKUP($DF37,$DH$9:$DN$508,2,FALSE()))</f>
        <v/>
      </c>
      <c r="DQ37" s="153" t="str">
        <f aca="false">IF($DF37&gt;$DE$8,"",VLOOKUP($DF37,$DH$9:$DN$508,3,FALSE()))</f>
        <v/>
      </c>
      <c r="DR37" s="153" t="str">
        <f aca="false">IF($DF37&gt;$DE$8,"",VLOOKUP($DF37,$DH$9:$DN$508,4,FALSE()))</f>
        <v/>
      </c>
      <c r="DS37" s="153" t="str">
        <f aca="false">IF($DF37&gt;$DE$8,"",VLOOKUP($DF37,$DH$9:$DN$508,5,FALSE()))</f>
        <v/>
      </c>
      <c r="DT37" s="154" t="str">
        <f aca="false">IF($DF37&gt;$DE$8,"",VLOOKUP($DF37,$DH$9:$DN$508,6,FALSE()))</f>
        <v/>
      </c>
      <c r="DU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IF(ISBLANK($C38),"",IF(E38=Constants!$B$3,TRUE(),IF(E38=Constants!$B$4,FALSE(),TRUE())))</f>
        <v/>
      </c>
      <c r="AG38" s="135" t="str">
        <f aca="false">IF(ISBLANK($C38),"",IF(F38=Constants!$B$3,TRUE(),IF(F38=Constants!$B$4,FALSE(),TRUE())))</f>
        <v/>
      </c>
      <c r="AH38" s="135" t="str">
        <f aca="false">IF(ISBLANK($C38),"",IF(G38=Constants!$B$3,TRUE(),IF(G38=Constants!$B$4,FALSE(),TRUE())))</f>
        <v/>
      </c>
      <c r="AI38" s="135" t="str">
        <f aca="false">IF(ISBLANK($C38),"",IF(AND(ISNUMBER(H38),H38&gt;=0),H38,Constants!$B$29))</f>
        <v/>
      </c>
      <c r="AJ38" s="135" t="str">
        <f aca="false">IF(ISBLANK($C38),"",IF(I38=Constants!$B$3,TRUE(),IF(I38=Constants!$B$4,FALSE(),TRUE())))</f>
        <v/>
      </c>
      <c r="AK38" s="135" t="str">
        <f aca="false">IF(ISBLANK($C38),"",IF(J38=Constants!$B$3,TRUE(),IF(J38=Constants!$B$4,FALSE(),TRUE())))</f>
        <v/>
      </c>
      <c r="AL38" s="135" t="str">
        <f aca="false">IF(ISBLANK($C38),"",IF(K38=Constants!$B$5,TRUE(),IF(K38=Constants!$B$6,FALSE(),COUNTA(L38:P38)&gt;0)))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IF(ISBLANK($C38),"",IF(N38=Constants!$B$3,TRUE(),IF(N38=Constants!$B$4,FALSE(),TRUE())))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IF(ISBLANK($C38),"",IF(P38=Constants!$B$3,TRUE(),IF(P38=Constants!$B$4,FALSE(),FALSE())))</f>
        <v/>
      </c>
      <c r="AR38" s="135" t="str">
        <f aca="false">IF(ISBLANK($C38),"",IF(Q38=Constants!$B$3,TRUE(),IF(Q38=Constants!$B$4,FALSE(),TRUE())))</f>
        <v/>
      </c>
      <c r="AS38" s="135" t="str">
        <f aca="false">IF(ISBLANK($C38),"",IF(R38=Constants!$B$3,TRUE(),IF(R38=Constants!$B$4,FALSE(),TRUE())))</f>
        <v/>
      </c>
      <c r="AT38" s="135" t="str">
        <f aca="false">IF(ISBLANK($C38),"",IF(S38=Constants!$B$5,TRUE(),IF(S38=Constants!$B$6,FALSE(),COUNTA(T38:X38)&gt;0)))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IF(ISBLANK($C38),"",IF(V38=Constants!$B$3,TRUE(),IF(V38=Constants!$B$4,FALSE(),TRUE())))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IF(ISBLANK($C38),"",IF(X38=Constants!$B$3,TRUE(),IF(X38=Constants!$B$4,FALSE(),FALSE())))</f>
        <v/>
      </c>
      <c r="AZ38" s="135" t="str">
        <f aca="false">IF(ISBLANK($C38),"",MIN(Constants!$B$31,MAX(0,IF(ISNUMBER(Y38),Y38*60,0)+IF(ISNUMBER(Z38),Z38,0))))</f>
        <v/>
      </c>
      <c r="BA38" s="135" t="str">
        <f aca="false">IF(ISBLANK($C38),"",IF(AA38=Constants!$B$3,TRUE(),IF(AA38=Constants!$B$4,FALSE(),FALSE())))</f>
        <v/>
      </c>
      <c r="BB38" s="134" t="str">
        <f aca="false">IF(ISBLANK($C38),"",AND($AL38,OR($AM38="",$AN38="",AND($AO38,$AP38=""))))</f>
        <v/>
      </c>
      <c r="BC38" s="137" t="str">
        <f aca="false">IF($BZ38&lt;&gt;Constants!$B$8,"",IF($AL38,Constants!$B$21*$AN38+Constants!$B$22*IF($AO38,$AP38,Constants!$B$23),Constants!$B$24))</f>
        <v/>
      </c>
      <c r="BD38" s="138" t="str">
        <f aca="false">IF($BZ38&lt;&gt;Constants!$B$8,"",Constants!$B$25*ABS($AD$9-IF($AL38,$AM38,0)))</f>
        <v/>
      </c>
      <c r="BE38" s="138" t="str">
        <f aca="false">IF($BZ38&lt;&gt;Constants!$B$8,"",IF(AND($AL38,$AQ38,$AO38),Constants!$B$27,0))</f>
        <v/>
      </c>
      <c r="BF38" s="138" t="str">
        <f aca="false">IF($BZ38&lt;&gt;Constants!$B$8,"",IF($AL38,($AI38-Constants!$B$29)*Constants!$B$28,0))</f>
        <v/>
      </c>
      <c r="BG38" s="138" t="str">
        <f aca="false">IF($BZ38&lt;&gt;Constants!$B$8,"",IF($AK38,0,Constants!$B$15)+IF($AJ38,0,Constants!$B$16)+IF($AH38,0,Constants!$B$17))</f>
        <v/>
      </c>
      <c r="BH38" s="139" t="str">
        <f aca="false">IF($BZ38&lt;&gt;Constants!$B$8,"",Constants!$B$20+SUM($BC38:$BG38))</f>
        <v/>
      </c>
      <c r="BI38" s="138" t="str">
        <f aca="false">IF($BZ38&lt;&gt;Constants!$B$8,"",$BC38)</f>
        <v/>
      </c>
      <c r="BJ38" s="138" t="str">
        <f aca="false">IF($BZ38&lt;&gt;Constants!$B$8,"",$BD38)</f>
        <v/>
      </c>
      <c r="BK38" s="138" t="str">
        <f aca="false">IF($BZ38&lt;&gt;Constants!$B$8,"",IF($AL38,$AN38,""))</f>
        <v/>
      </c>
      <c r="BL38" s="140" t="str">
        <f aca="false">IF($BZ38&lt;&gt;Constants!$B$8,"",$AI38)</f>
        <v/>
      </c>
      <c r="BM38" s="135" t="str">
        <f aca="false">IF($BZ38&lt;&gt;Constants!$B$8,"",IF(OR($BT38&lt;$BH38,AND($BT38=$BH38,OR($BU38&lt;$BI38,AND($BU38=$BI38,OR($BV38&lt;$BJ38,AND($BV38=$BJ38,OR(AND(ISNUMBER($BW38),OR(NOT(ISNUMBER($BK38)),$BW38&lt;$BK38)),AND(OR(AND($BW38="",$BK38=""),AND(ISNUMBER($BW38),ISNUMBER($BK38),$BW38=$BK38)),$BX38&lt;$BL38)))))))),"-&gt;","&lt;-"))</f>
        <v/>
      </c>
      <c r="BN38" s="134" t="str">
        <f aca="false">IF(ISBLANK($C38),"",AND($AT38,OR($AU38="",$AV38="",AND($AW38,$AX38=""))))</f>
        <v/>
      </c>
      <c r="BO38" s="137" t="str">
        <f aca="false">IF($BZ38&lt;&gt;Constants!$B$8,"",IF($AT38,Constants!$B$21*$AV38+Constants!$B$22*IF($AW38,$AX38,Constants!$B$23),Constants!$B$24))</f>
        <v/>
      </c>
      <c r="BP38" s="138" t="str">
        <f aca="false">IF($BZ38&lt;&gt;Constants!$B$8,"",Constants!$B$25*ABS($AD$9-IF($AT38,$AU38,0)))</f>
        <v/>
      </c>
      <c r="BQ38" s="138" t="str">
        <f aca="false">IF($BZ38&lt;&gt;Constants!$B$8,"",IF(AND($AT38,$AY38,$AW38),Constants!$B$27,0))</f>
        <v/>
      </c>
      <c r="BR38" s="138" t="str">
        <f aca="false">IF($BZ38&lt;&gt;Constants!$B$8,"",IF($AT38,($AI38-Constants!$B$29)*Constants!$B$28,0))</f>
        <v/>
      </c>
      <c r="BS38" s="138" t="str">
        <f aca="false">IF($BZ38&lt;&gt;Constants!$B$8,"",IF($AS38,0,Constants!$B$15)+IF($AR38,0,Constants!$B$16)+IF($AH38,0,Constants!$B$17))</f>
        <v/>
      </c>
      <c r="BT38" s="139" t="str">
        <f aca="false">IF($BZ38&lt;&gt;Constants!$B$8,"",Constants!$B$20+SUM($BO38:$BS38))</f>
        <v/>
      </c>
      <c r="BU38" s="138" t="str">
        <f aca="false">IF($BZ38&lt;&gt;Constants!$B$8,"",$BO38)</f>
        <v/>
      </c>
      <c r="BV38" s="138" t="str">
        <f aca="false">IF($BZ38&lt;&gt;Constants!$B$8,"",$BP38)</f>
        <v/>
      </c>
      <c r="BW38" s="138" t="str">
        <f aca="false">IF($BZ38&lt;&gt;Constants!$B$8,"",IF($AT38,$AV38,""))</f>
        <v/>
      </c>
      <c r="BX38" s="140" t="str">
        <f aca="false">IF($BZ38&lt;&gt;Constants!$B$8,"",$AI38)</f>
        <v/>
      </c>
      <c r="BY38" s="135" t="str">
        <f aca="false">IF(ISBLANK($C38),"",IF(ISBLANK($D$7),$BY$5,IF(NOT(ISNUMBER($D$7)),$BY$6,"")))</f>
        <v/>
      </c>
      <c r="BZ38" s="135" t="str">
        <f aca="false">IF(ISBLANK($C38),"",IF($BA38,Constants!$B$11,IF(COUNTA($E38:$AA38)=0,Constants!$B$10,IF(NOT($AG38),Constants!$B$9,IF(OR($BY38&lt;&gt;"",$BB38,$BN38),Constants!$B$12,Constants!$B$8)))))</f>
        <v/>
      </c>
      <c r="CA38" s="135" t="str">
        <f aca="false">IF(ISBLANK($C38),"",IF($BZ38&lt;&gt;Constants!$B$8,$BZ38,Constants!$B$13))</f>
        <v/>
      </c>
      <c r="CB38" s="138" t="str">
        <f aca="false">IF($BZ38&lt;&gt;Constants!$B$8,"",IF($BM38="-&gt;",$BT38,$BH38))</f>
        <v/>
      </c>
      <c r="CC38" s="138" t="str">
        <f aca="false">IF($BZ38&lt;&gt;Constants!$B$8,"",IF($AF38,0,Constants!$B$18))</f>
        <v/>
      </c>
      <c r="CD38" s="138" t="str">
        <f aca="false">IF($BZ38&lt;&gt;Constants!$B$8,"",((Constants!$B$31-$AZ38)-Constants!$B$31)/Constants!$B$32)</f>
        <v/>
      </c>
      <c r="CE38" s="138" t="str">
        <f aca="false">IF(ISBLANK($C38),"",IF($BZ38&lt;&gt;Constants!$B$8,$BZ38,SUM($CB38:$CD38)))</f>
        <v/>
      </c>
      <c r="CF38" s="135" t="str">
        <f aca="false">IF(ISBLANK($C38),"",IF($BZ38&lt;&gt;Constants!$B$8,$BZ38,RANK($CE38,$CE$9:$CE$508,1)))</f>
        <v/>
      </c>
      <c r="CG38" s="138" t="str">
        <f aca="false">IF($BZ38&lt;&gt;Constants!$B$8,"",IF($BM38="-&gt;",$BU38,$BI38))</f>
        <v/>
      </c>
      <c r="CH38" s="135" t="str">
        <f aca="false">IF(ISBLANK($C38),"",IF($BZ38&lt;&gt;Constants!$B$8,$BZ38,IF(ISNUMBER($CG38),RANK($CG38,$CG$9:$CG$508,1),COUNT($CG$9:$CG$508)+1)))</f>
        <v/>
      </c>
      <c r="CI38" s="138" t="str">
        <f aca="false">IF($BZ38&lt;&gt;Constants!$B$8,"",IF($BM38="-&gt;",$BV38,$BJ38))</f>
        <v/>
      </c>
      <c r="CJ38" s="135" t="str">
        <f aca="false">IF(ISBLANK($C38),"",IF($BZ38&lt;&gt;Constants!$B$8,$BZ38,IF(ISNUMBER($CI38),RANK($CI38,$CI$9:$CI$508,1),COUNT($CI$9:$CI$508)+1)))</f>
        <v/>
      </c>
      <c r="CK38" s="138" t="str">
        <f aca="false">IF($BZ38&lt;&gt;Constants!$B$8,"",IF($BM38="-&gt;",$BW38,$BK38))</f>
        <v/>
      </c>
      <c r="CL38" s="135" t="str">
        <f aca="false">IF(ISBLANK($C38),"",IF($BZ38&lt;&gt;Constants!$B$8,$BZ38,IF(ISNUMBER($CK38),RANK($CK38,$CK$9:$CK$508,1),COUNT($CK$9:$CK$508)+1)))</f>
        <v/>
      </c>
      <c r="CM38" s="138" t="str">
        <f aca="false">IF($BZ38&lt;&gt;Constants!$B$8,"",IF(AND(NOT($AL38),NOT($AT38),$AJ38,$AK38,$AR38,$AS38),"",IF($BM38="-&gt;",$BX38,$BL38)))</f>
        <v/>
      </c>
      <c r="CN38" s="135" t="str">
        <f aca="false">IF(ISBLANK($C38),"",IF($BZ38&lt;&gt;Constants!$B$8,$BZ38,IF(ISNUMBER($CM38),RANK($CM38,$CM$9:$CM$508,1),COUNT($CM$9:$CM$508)+1)))</f>
        <v/>
      </c>
      <c r="CO38" s="135" t="str">
        <f aca="false">IF(ISBLANK($C38),"",IF($BZ38&lt;&gt;Constants!$B$8,$BZ38,COUNTIFS($CF$9:$CF$508,"&lt;"&amp;$CF38)+COUNTIFS($CF$9:$CF$508,$CF38,$CH$9:$CH$508,"&lt;"&amp;$CH38)+COUNTIFS($CF$9:$CF$508,$CF38,$CH$9:$CH$508,$CH38,$CJ$9:$CJ$508,"&lt;"&amp;$CJ38)+COUNTIFS($CF$9:$CF$508,$CF38,$CH$9:$CH$508,$CH38,$CJ$9:$CJ$508,$CJ38,$CL$9:$CL$508,"&lt;"&amp;$CL38)+COUNTIFS($CF$9:$CF$508,$CF38,$CH$9:$CH$508,$CH38,$CJ$9:$CJ$508,$CJ38,$CL$9:$CL$508,$CL38,$CN$9:$CN$508,"&lt;"&amp;$CN38)+1))</f>
        <v/>
      </c>
      <c r="CP38" s="135" t="str">
        <f aca="false">IF(ISBLANK($C38),"",IF($BZ38&lt;&gt;Constants!$B$8,$BZ38,$CF38-$CO38))</f>
        <v/>
      </c>
      <c r="CQ38" s="141"/>
      <c r="CR38" s="142"/>
      <c r="CS38" s="143" t="str">
        <f aca="false">IF(ISBLANK($C38),"",IF($BZ38=Constants!$B$12,$BY38,""))</f>
        <v/>
      </c>
      <c r="CT38" s="142" t="str">
        <f aca="false">IF(ISBLANK($C38),"",IF($BZ38&lt;&gt;Constants!$B$8,"",IF($BM38="-&gt;",2,1)))</f>
        <v/>
      </c>
      <c r="CU38" s="144" t="str">
        <f aca="false">IF(ISBLANK($C38),"",IF($BZ38&lt;&gt;Constants!$B$8,"",IF($BM38="-&gt;",$BO38,$BC38)))</f>
        <v/>
      </c>
      <c r="CV38" s="144" t="str">
        <f aca="false">IF(ISBLANK($C38),"",IF($BZ38&lt;&gt;Constants!$B$8,"",IF($BM38="-&gt;",$BP38,$BD38)))</f>
        <v/>
      </c>
      <c r="CW38" s="144" t="str">
        <f aca="false">IF(ISBLANK($C38),"",IF($BZ38&lt;&gt;Constants!$B$8,"",IF($BM38="-&gt;",$BQ38+$BR38,$BE38+$BF38)+$CD38))</f>
        <v/>
      </c>
      <c r="CX38" s="144" t="str">
        <f aca="false">IF(ISBLANK($C38),"",IF($BZ38&lt;&gt;Constants!$B$8,"",IF($BM38="-&gt;",$BS38,$BG38)+$CC38))</f>
        <v/>
      </c>
      <c r="CY38" s="145" t="str">
        <f aca="false">IF(ISBLANK($C38),"",IF($BZ38&lt;&gt;Constants!$B$8,$BZ38,$CE38))</f>
        <v/>
      </c>
      <c r="CZ38" s="146" t="str">
        <f aca="false">IF(ISBLANK($C38),"",$CA38)</f>
        <v/>
      </c>
      <c r="DA38" s="147" t="str">
        <f aca="false">IF(ISBLANK($C38),"",$CP38)</f>
        <v/>
      </c>
      <c r="DB38" s="147" t="str">
        <f aca="false">IF(ISBLANK($C38),"",$CO38)</f>
        <v/>
      </c>
      <c r="DC38" s="148" t="str">
        <f aca="false">IF(ISBLANK($C38),"",IFERROR(_xlfn.SWITCH($DB38,Constants!$B$11,COUNTA($C$9:$C$508)+2,Constants!$B$10,COUNTA($C$9:$C$508)+1,Constants!$B$9,COUNTA($C$9:$C$508)),$DB38))</f>
        <v/>
      </c>
      <c r="DD38" s="9"/>
      <c r="DE38" s="149" t="n">
        <f aca="false">IF(OR(ISNUMBER($DB38),$DB38=Constants!$B$11,$DB38=Constants!$B$9,$DB38=Constants!$B$10),1,0)</f>
        <v>0</v>
      </c>
      <c r="DF38" s="149" t="n">
        <v>30</v>
      </c>
      <c r="DG38" s="149" t="str">
        <f aca="false">IF(ISBLANK($C38),"",IF(ISNUMBER($DC38),$DC38+ROW($B38)/1000,""))</f>
        <v/>
      </c>
      <c r="DH38" s="149" t="str">
        <f aca="false">IF(ISNUMBER($DG38),RANK($DG38,$DG$9:$DG$508,1),"")</f>
        <v/>
      </c>
      <c r="DI38" s="149" t="str">
        <f aca="false">IF(ISBLANK($C38),"",$B38)</f>
        <v/>
      </c>
      <c r="DJ38" s="149" t="str">
        <f aca="false">IF(ISBLANK($C38),"",$C38)</f>
        <v/>
      </c>
      <c r="DK38" s="149" t="str">
        <f aca="false">IF(ISBLANK($C38),"",$D38)</f>
        <v/>
      </c>
      <c r="DL38" s="150" t="str">
        <f aca="false">$CZ38</f>
        <v/>
      </c>
      <c r="DM38" s="151" t="str">
        <f aca="false">$CY38</f>
        <v/>
      </c>
      <c r="DN38" s="149" t="str">
        <f aca="false">IF(ISBLANK($C38),"",$DB38)</f>
        <v/>
      </c>
      <c r="DO38" s="152" t="str">
        <f aca="false">IF($DF38&gt;$DE$8,"",VLOOKUP($DF38,$DH$9:$DN$508,7,FALSE()))</f>
        <v/>
      </c>
      <c r="DP38" s="153" t="str">
        <f aca="false">IF($DF38&gt;$DE$8,"",VLOOKUP($DF38,$DH$9:$DN$508,2,FALSE()))</f>
        <v/>
      </c>
      <c r="DQ38" s="153" t="str">
        <f aca="false">IF($DF38&gt;$DE$8,"",VLOOKUP($DF38,$DH$9:$DN$508,3,FALSE()))</f>
        <v/>
      </c>
      <c r="DR38" s="153" t="str">
        <f aca="false">IF($DF38&gt;$DE$8,"",VLOOKUP($DF38,$DH$9:$DN$508,4,FALSE()))</f>
        <v/>
      </c>
      <c r="DS38" s="153" t="str">
        <f aca="false">IF($DF38&gt;$DE$8,"",VLOOKUP($DF38,$DH$9:$DN$508,5,FALSE()))</f>
        <v/>
      </c>
      <c r="DT38" s="154" t="str">
        <f aca="false">IF($DF38&gt;$DE$8,"",VLOOKUP($DF38,$DH$9:$DN$508,6,FALSE()))</f>
        <v/>
      </c>
      <c r="DU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IF(ISBLANK($C39),"",IF(E39=Constants!$B$3,TRUE(),IF(E39=Constants!$B$4,FALSE(),TRUE())))</f>
        <v/>
      </c>
      <c r="AG39" s="93" t="str">
        <f aca="false">IF(ISBLANK($C39),"",IF(F39=Constants!$B$3,TRUE(),IF(F39=Constants!$B$4,FALSE(),TRUE())))</f>
        <v/>
      </c>
      <c r="AH39" s="93" t="str">
        <f aca="false">IF(ISBLANK($C39),"",IF(G39=Constants!$B$3,TRUE(),IF(G39=Constants!$B$4,FALSE(),TRUE())))</f>
        <v/>
      </c>
      <c r="AI39" s="93" t="str">
        <f aca="false">IF(ISBLANK($C39),"",IF(AND(ISNUMBER(H39),H39&gt;=0),H39,Constants!$B$29))</f>
        <v/>
      </c>
      <c r="AJ39" s="93" t="str">
        <f aca="false">IF(ISBLANK($C39),"",IF(I39=Constants!$B$3,TRUE(),IF(I39=Constants!$B$4,FALSE(),TRUE())))</f>
        <v/>
      </c>
      <c r="AK39" s="93" t="str">
        <f aca="false">IF(ISBLANK($C39),"",IF(J39=Constants!$B$3,TRUE(),IF(J39=Constants!$B$4,FALSE(),TRUE())))</f>
        <v/>
      </c>
      <c r="AL39" s="93" t="str">
        <f aca="false">IF(ISBLANK($C39),"",IF(K39=Constants!$B$5,TRUE(),IF(K39=Constants!$B$6,FALSE(),COUNTA(L39:P39)&gt;0)))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IF(ISBLANK($C39),"",IF(N39=Constants!$B$3,TRUE(),IF(N39=Constants!$B$4,FALSE(),TRUE())))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IF(ISBLANK($C39),"",IF(P39=Constants!$B$3,TRUE(),IF(P39=Constants!$B$4,FALSE(),FALSE())))</f>
        <v/>
      </c>
      <c r="AR39" s="93" t="str">
        <f aca="false">IF(ISBLANK($C39),"",IF(Q39=Constants!$B$3,TRUE(),IF(Q39=Constants!$B$4,FALSE(),TRUE())))</f>
        <v/>
      </c>
      <c r="AS39" s="93" t="str">
        <f aca="false">IF(ISBLANK($C39),"",IF(R39=Constants!$B$3,TRUE(),IF(R39=Constants!$B$4,FALSE(),TRUE())))</f>
        <v/>
      </c>
      <c r="AT39" s="93" t="str">
        <f aca="false">IF(ISBLANK($C39),"",IF(S39=Constants!$B$5,TRUE(),IF(S39=Constants!$B$6,FALSE(),COUNTA(T39:X39)&gt;0)))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IF(ISBLANK($C39),"",IF(V39=Constants!$B$3,TRUE(),IF(V39=Constants!$B$4,FALSE(),TRUE())))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IF(ISBLANK($C39),"",IF(X39=Constants!$B$3,TRUE(),IF(X39=Constants!$B$4,FALSE(),FALSE())))</f>
        <v/>
      </c>
      <c r="AZ39" s="93" t="str">
        <f aca="false">IF(ISBLANK($C39),"",MIN(Constants!$B$31,MAX(0,IF(ISNUMBER(Y39),Y39*60,0)+IF(ISNUMBER(Z39),Z39,0))))</f>
        <v/>
      </c>
      <c r="BA39" s="93" t="str">
        <f aca="false">IF(ISBLANK($C39),"",IF(AA39=Constants!$B$3,TRUE(),IF(AA39=Constants!$B$4,FALSE(),FALSE())))</f>
        <v/>
      </c>
      <c r="BB39" s="92" t="str">
        <f aca="false">IF(ISBLANK($C39),"",AND($AL39,OR($AM39="",$AN39="",AND($AO39,$AP39=""))))</f>
        <v/>
      </c>
      <c r="BC39" s="94" t="str">
        <f aca="false">IF($BZ39&lt;&gt;Constants!$B$8,"",IF($AL39,Constants!$B$21*$AN39+Constants!$B$22*IF($AO39,$AP39,Constants!$B$23),Constants!$B$24))</f>
        <v/>
      </c>
      <c r="BD39" s="97" t="str">
        <f aca="false">IF($BZ39&lt;&gt;Constants!$B$8,"",Constants!$B$25*ABS($AD$9-IF($AL39,$AM39,0)))</f>
        <v/>
      </c>
      <c r="BE39" s="97" t="str">
        <f aca="false">IF($BZ39&lt;&gt;Constants!$B$8,"",IF(AND($AL39,$AQ39,$AO39),Constants!$B$27,0))</f>
        <v/>
      </c>
      <c r="BF39" s="97" t="str">
        <f aca="false">IF($BZ39&lt;&gt;Constants!$B$8,"",IF($AL39,($AI39-Constants!$B$29)*Constants!$B$28,0))</f>
        <v/>
      </c>
      <c r="BG39" s="97" t="str">
        <f aca="false">IF($BZ39&lt;&gt;Constants!$B$8,"",IF($AK39,0,Constants!$B$15)+IF($AJ39,0,Constants!$B$16)+IF($AH39,0,Constants!$B$17))</f>
        <v/>
      </c>
      <c r="BH39" s="98" t="str">
        <f aca="false">IF($BZ39&lt;&gt;Constants!$B$8,"",Constants!$B$20+SUM($BC39:$BG39))</f>
        <v/>
      </c>
      <c r="BI39" s="97" t="str">
        <f aca="false">IF($BZ39&lt;&gt;Constants!$B$8,"",$BC39)</f>
        <v/>
      </c>
      <c r="BJ39" s="97" t="str">
        <f aca="false">IF($BZ39&lt;&gt;Constants!$B$8,"",$BD39)</f>
        <v/>
      </c>
      <c r="BK39" s="97" t="str">
        <f aca="false">IF($BZ39&lt;&gt;Constants!$B$8,"",IF($AL39,$AN39,""))</f>
        <v/>
      </c>
      <c r="BL39" s="99" t="str">
        <f aca="false">IF($BZ39&lt;&gt;Constants!$B$8,"",$AI39)</f>
        <v/>
      </c>
      <c r="BM39" s="93" t="str">
        <f aca="false">IF($BZ39&lt;&gt;Constants!$B$8,"",IF(OR($BT39&lt;$BH39,AND($BT39=$BH39,OR($BU39&lt;$BI39,AND($BU39=$BI39,OR($BV39&lt;$BJ39,AND($BV39=$BJ39,OR(AND(ISNUMBER($BW39),OR(NOT(ISNUMBER($BK39)),$BW39&lt;$BK39)),AND(OR(AND($BW39="",$BK39=""),AND(ISNUMBER($BW39),ISNUMBER($BK39),$BW39=$BK39)),$BX39&lt;$BL39)))))))),"-&gt;","&lt;-"))</f>
        <v/>
      </c>
      <c r="BN39" s="92" t="str">
        <f aca="false">IF(ISBLANK($C39),"",AND($AT39,OR($AU39="",$AV39="",AND($AW39,$AX39=""))))</f>
        <v/>
      </c>
      <c r="BO39" s="94" t="str">
        <f aca="false">IF($BZ39&lt;&gt;Constants!$B$8,"",IF($AT39,Constants!$B$21*$AV39+Constants!$B$22*IF($AW39,$AX39,Constants!$B$23),Constants!$B$24))</f>
        <v/>
      </c>
      <c r="BP39" s="97" t="str">
        <f aca="false">IF($BZ39&lt;&gt;Constants!$B$8,"",Constants!$B$25*ABS($AD$9-IF($AT39,$AU39,0)))</f>
        <v/>
      </c>
      <c r="BQ39" s="97" t="str">
        <f aca="false">IF($BZ39&lt;&gt;Constants!$B$8,"",IF(AND($AT39,$AY39,$AW39),Constants!$B$27,0))</f>
        <v/>
      </c>
      <c r="BR39" s="97" t="str">
        <f aca="false">IF($BZ39&lt;&gt;Constants!$B$8,"",IF($AT39,($AI39-Constants!$B$29)*Constants!$B$28,0))</f>
        <v/>
      </c>
      <c r="BS39" s="97" t="str">
        <f aca="false">IF($BZ39&lt;&gt;Constants!$B$8,"",IF($AS39,0,Constants!$B$15)+IF($AR39,0,Constants!$B$16)+IF($AH39,0,Constants!$B$17))</f>
        <v/>
      </c>
      <c r="BT39" s="98" t="str">
        <f aca="false">IF($BZ39&lt;&gt;Constants!$B$8,"",Constants!$B$20+SUM($BO39:$BS39))</f>
        <v/>
      </c>
      <c r="BU39" s="97" t="str">
        <f aca="false">IF($BZ39&lt;&gt;Constants!$B$8,"",$BO39)</f>
        <v/>
      </c>
      <c r="BV39" s="97" t="str">
        <f aca="false">IF($BZ39&lt;&gt;Constants!$B$8,"",$BP39)</f>
        <v/>
      </c>
      <c r="BW39" s="97" t="str">
        <f aca="false">IF($BZ39&lt;&gt;Constants!$B$8,"",IF($AT39,$AV39,""))</f>
        <v/>
      </c>
      <c r="BX39" s="99" t="str">
        <f aca="false">IF($BZ39&lt;&gt;Constants!$B$8,"",$AI39)</f>
        <v/>
      </c>
      <c r="BY39" s="93" t="str">
        <f aca="false">IF(ISBLANK($C39),"",IF(ISBLANK($D$7),$BY$5,IF(NOT(ISNUMBER($D$7)),$BY$6,"")))</f>
        <v/>
      </c>
      <c r="BZ39" s="93" t="str">
        <f aca="false">IF(ISBLANK($C39),"",IF($BA39,Constants!$B$11,IF(COUNTA($E39:$AA39)=0,Constants!$B$10,IF(NOT($AG39),Constants!$B$9,IF(OR($BY39&lt;&gt;"",$BB39,$BN39),Constants!$B$12,Constants!$B$8)))))</f>
        <v/>
      </c>
      <c r="CA39" s="93" t="str">
        <f aca="false">IF(ISBLANK($C39),"",IF($BZ39&lt;&gt;Constants!$B$8,$BZ39,Constants!$B$13))</f>
        <v/>
      </c>
      <c r="CB39" s="97" t="str">
        <f aca="false">IF($BZ39&lt;&gt;Constants!$B$8,"",IF($BM39="-&gt;",$BT39,$BH39))</f>
        <v/>
      </c>
      <c r="CC39" s="97" t="str">
        <f aca="false">IF($BZ39&lt;&gt;Constants!$B$8,"",IF($AF39,0,Constants!$B$18))</f>
        <v/>
      </c>
      <c r="CD39" s="97" t="str">
        <f aca="false">IF($BZ39&lt;&gt;Constants!$B$8,"",((Constants!$B$31-$AZ39)-Constants!$B$31)/Constants!$B$32)</f>
        <v/>
      </c>
      <c r="CE39" s="97" t="str">
        <f aca="false">IF(ISBLANK($C39),"",IF($BZ39&lt;&gt;Constants!$B$8,$BZ39,SUM($CB39:$CD39)))</f>
        <v/>
      </c>
      <c r="CF39" s="93" t="str">
        <f aca="false">IF(ISBLANK($C39),"",IF($BZ39&lt;&gt;Constants!$B$8,$BZ39,RANK($CE39,$CE$9:$CE$508,1)))</f>
        <v/>
      </c>
      <c r="CG39" s="97" t="str">
        <f aca="false">IF($BZ39&lt;&gt;Constants!$B$8,"",IF($BM39="-&gt;",$BU39,$BI39))</f>
        <v/>
      </c>
      <c r="CH39" s="93" t="str">
        <f aca="false">IF(ISBLANK($C39),"",IF($BZ39&lt;&gt;Constants!$B$8,$BZ39,IF(ISNUMBER($CG39),RANK($CG39,$CG$9:$CG$508,1),COUNT($CG$9:$CG$508)+1)))</f>
        <v/>
      </c>
      <c r="CI39" s="97" t="str">
        <f aca="false">IF($BZ39&lt;&gt;Constants!$B$8,"",IF($BM39="-&gt;",$BV39,$BJ39))</f>
        <v/>
      </c>
      <c r="CJ39" s="93" t="str">
        <f aca="false">IF(ISBLANK($C39),"",IF($BZ39&lt;&gt;Constants!$B$8,$BZ39,IF(ISNUMBER($CI39),RANK($CI39,$CI$9:$CI$508,1),COUNT($CI$9:$CI$508)+1)))</f>
        <v/>
      </c>
      <c r="CK39" s="97" t="str">
        <f aca="false">IF($BZ39&lt;&gt;Constants!$B$8,"",IF($BM39="-&gt;",$BW39,$BK39))</f>
        <v/>
      </c>
      <c r="CL39" s="93" t="str">
        <f aca="false">IF(ISBLANK($C39),"",IF($BZ39&lt;&gt;Constants!$B$8,$BZ39,IF(ISNUMBER($CK39),RANK($CK39,$CK$9:$CK$508,1),COUNT($CK$9:$CK$508)+1)))</f>
        <v/>
      </c>
      <c r="CM39" s="97" t="str">
        <f aca="false">IF($BZ39&lt;&gt;Constants!$B$8,"",IF(AND(NOT($AL39),NOT($AT39),$AJ39,$AK39,$AR39,$AS39),"",IF($BM39="-&gt;",$BX39,$BL39)))</f>
        <v/>
      </c>
      <c r="CN39" s="93" t="str">
        <f aca="false">IF(ISBLANK($C39),"",IF($BZ39&lt;&gt;Constants!$B$8,$BZ39,IF(ISNUMBER($CM39),RANK($CM39,$CM$9:$CM$508,1),COUNT($CM$9:$CM$508)+1)))</f>
        <v/>
      </c>
      <c r="CO39" s="93" t="str">
        <f aca="false">IF(ISBLANK($C39),"",IF($BZ39&lt;&gt;Constants!$B$8,$BZ39,COUNTIFS($CF$9:$CF$508,"&lt;"&amp;$CF39)+COUNTIFS($CF$9:$CF$508,$CF39,$CH$9:$CH$508,"&lt;"&amp;$CH39)+COUNTIFS($CF$9:$CF$508,$CF39,$CH$9:$CH$508,$CH39,$CJ$9:$CJ$508,"&lt;"&amp;$CJ39)+COUNTIFS($CF$9:$CF$508,$CF39,$CH$9:$CH$508,$CH39,$CJ$9:$CJ$508,$CJ39,$CL$9:$CL$508,"&lt;"&amp;$CL39)+COUNTIFS($CF$9:$CF$508,$CF39,$CH$9:$CH$508,$CH39,$CJ$9:$CJ$508,$CJ39,$CL$9:$CL$508,$CL39,$CN$9:$CN$508,"&lt;"&amp;$CN39)+1))</f>
        <v/>
      </c>
      <c r="CP39" s="93" t="str">
        <f aca="false">IF(ISBLANK($C39),"",IF($BZ39&lt;&gt;Constants!$B$8,$BZ39,$CF39-$CO39))</f>
        <v/>
      </c>
      <c r="CQ39" s="100"/>
      <c r="CR39" s="101"/>
      <c r="CS39" s="102" t="str">
        <f aca="false">IF(ISBLANK($C39),"",IF($BZ39=Constants!$B$12,$BY39,""))</f>
        <v/>
      </c>
      <c r="CT39" s="101" t="str">
        <f aca="false">IF(ISBLANK($C39),"",IF($BZ39&lt;&gt;Constants!$B$8,"",IF($BM39="-&gt;",2,1)))</f>
        <v/>
      </c>
      <c r="CU39" s="103" t="str">
        <f aca="false">IF(ISBLANK($C39),"",IF($BZ39&lt;&gt;Constants!$B$8,"",IF($BM39="-&gt;",$BO39,$BC39)))</f>
        <v/>
      </c>
      <c r="CV39" s="103" t="str">
        <f aca="false">IF(ISBLANK($C39),"",IF($BZ39&lt;&gt;Constants!$B$8,"",IF($BM39="-&gt;",$BP39,$BD39)))</f>
        <v/>
      </c>
      <c r="CW39" s="103" t="str">
        <f aca="false">IF(ISBLANK($C39),"",IF($BZ39&lt;&gt;Constants!$B$8,"",IF($BM39="-&gt;",$BQ39+$BR39,$BE39+$BF39)+$CD39))</f>
        <v/>
      </c>
      <c r="CX39" s="103" t="str">
        <f aca="false">IF(ISBLANK($C39),"",IF($BZ39&lt;&gt;Constants!$B$8,"",IF($BM39="-&gt;",$BS39,$BG39)+$CC39))</f>
        <v/>
      </c>
      <c r="CY39" s="104" t="str">
        <f aca="false">IF(ISBLANK($C39),"",IF($BZ39&lt;&gt;Constants!$B$8,$BZ39,$CE39))</f>
        <v/>
      </c>
      <c r="CZ39" s="105" t="str">
        <f aca="false">IF(ISBLANK($C39),"",$CA39)</f>
        <v/>
      </c>
      <c r="DA39" s="106" t="str">
        <f aca="false">IF(ISBLANK($C39),"",$CP39)</f>
        <v/>
      </c>
      <c r="DB39" s="106" t="str">
        <f aca="false">IF(ISBLANK($C39),"",$CO39)</f>
        <v/>
      </c>
      <c r="DC39" s="107" t="str">
        <f aca="false">IF(ISBLANK($C39),"",IFERROR(_xlfn.SWITCH($DB39,Constants!$B$11,COUNTA($C$9:$C$508)+2,Constants!$B$10,COUNTA($C$9:$C$508)+1,Constants!$B$9,COUNTA($C$9:$C$508)),$DB39))</f>
        <v/>
      </c>
      <c r="DD39" s="9"/>
      <c r="DE39" s="108" t="n">
        <f aca="false">IF(OR(ISNUMBER($DB39),$DB39=Constants!$B$11,$DB39=Constants!$B$9,$DB39=Constants!$B$10),1,0)</f>
        <v>0</v>
      </c>
      <c r="DF39" s="108" t="n">
        <v>31</v>
      </c>
      <c r="DG39" s="108" t="str">
        <f aca="false">IF(ISBLANK($C39),"",IF(ISNUMBER($DC39),$DC39+ROW($B39)/1000,""))</f>
        <v/>
      </c>
      <c r="DH39" s="108" t="str">
        <f aca="false">IF(ISNUMBER($DG39),RANK($DG39,$DG$9:$DG$508,1),"")</f>
        <v/>
      </c>
      <c r="DI39" s="108" t="str">
        <f aca="false">IF(ISBLANK($C39),"",$B39)</f>
        <v/>
      </c>
      <c r="DJ39" s="108" t="str">
        <f aca="false">IF(ISBLANK($C39),"",$C39)</f>
        <v/>
      </c>
      <c r="DK39" s="108" t="str">
        <f aca="false">IF(ISBLANK($C39),"",$D39)</f>
        <v/>
      </c>
      <c r="DL39" s="109" t="str">
        <f aca="false">$CZ39</f>
        <v/>
      </c>
      <c r="DM39" s="110" t="str">
        <f aca="false">$CY39</f>
        <v/>
      </c>
      <c r="DN39" s="108" t="str">
        <f aca="false">IF(ISBLANK($C39),"",$DB39)</f>
        <v/>
      </c>
      <c r="DO39" s="111" t="str">
        <f aca="false">IF($DF39&gt;$DE$8,"",VLOOKUP($DF39,$DH$9:$DN$508,7,FALSE()))</f>
        <v/>
      </c>
      <c r="DP39" s="112" t="str">
        <f aca="false">IF($DF39&gt;$DE$8,"",VLOOKUP($DF39,$DH$9:$DN$508,2,FALSE()))</f>
        <v/>
      </c>
      <c r="DQ39" s="112" t="str">
        <f aca="false">IF($DF39&gt;$DE$8,"",VLOOKUP($DF39,$DH$9:$DN$508,3,FALSE()))</f>
        <v/>
      </c>
      <c r="DR39" s="112" t="str">
        <f aca="false">IF($DF39&gt;$DE$8,"",VLOOKUP($DF39,$DH$9:$DN$508,4,FALSE()))</f>
        <v/>
      </c>
      <c r="DS39" s="112" t="str">
        <f aca="false">IF($DF39&gt;$DE$8,"",VLOOKUP($DF39,$DH$9:$DN$508,5,FALSE()))</f>
        <v/>
      </c>
      <c r="DT39" s="113" t="str">
        <f aca="false">IF($DF39&gt;$DE$8,"",VLOOKUP($DF39,$DH$9:$DN$508,6,FALSE()))</f>
        <v/>
      </c>
      <c r="DU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IF(ISBLANK($C40),"",IF(E40=Constants!$B$3,TRUE(),IF(E40=Constants!$B$4,FALSE(),TRUE())))</f>
        <v/>
      </c>
      <c r="AG40" s="93" t="str">
        <f aca="false">IF(ISBLANK($C40),"",IF(F40=Constants!$B$3,TRUE(),IF(F40=Constants!$B$4,FALSE(),TRUE())))</f>
        <v/>
      </c>
      <c r="AH40" s="93" t="str">
        <f aca="false">IF(ISBLANK($C40),"",IF(G40=Constants!$B$3,TRUE(),IF(G40=Constants!$B$4,FALSE(),TRUE())))</f>
        <v/>
      </c>
      <c r="AI40" s="93" t="str">
        <f aca="false">IF(ISBLANK($C40),"",IF(AND(ISNUMBER(H40),H40&gt;=0),H40,Constants!$B$29))</f>
        <v/>
      </c>
      <c r="AJ40" s="93" t="str">
        <f aca="false">IF(ISBLANK($C40),"",IF(I40=Constants!$B$3,TRUE(),IF(I40=Constants!$B$4,FALSE(),TRUE())))</f>
        <v/>
      </c>
      <c r="AK40" s="93" t="str">
        <f aca="false">IF(ISBLANK($C40),"",IF(J40=Constants!$B$3,TRUE(),IF(J40=Constants!$B$4,FALSE(),TRUE())))</f>
        <v/>
      </c>
      <c r="AL40" s="93" t="str">
        <f aca="false">IF(ISBLANK($C40),"",IF(K40=Constants!$B$5,TRUE(),IF(K40=Constants!$B$6,FALSE(),COUNTA(L40:P40)&gt;0)))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IF(ISBLANK($C40),"",IF(N40=Constants!$B$3,TRUE(),IF(N40=Constants!$B$4,FALSE(),TRUE())))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IF(ISBLANK($C40),"",IF(P40=Constants!$B$3,TRUE(),IF(P40=Constants!$B$4,FALSE(),FALSE())))</f>
        <v/>
      </c>
      <c r="AR40" s="93" t="str">
        <f aca="false">IF(ISBLANK($C40),"",IF(Q40=Constants!$B$3,TRUE(),IF(Q40=Constants!$B$4,FALSE(),TRUE())))</f>
        <v/>
      </c>
      <c r="AS40" s="93" t="str">
        <f aca="false">IF(ISBLANK($C40),"",IF(R40=Constants!$B$3,TRUE(),IF(R40=Constants!$B$4,FALSE(),TRUE())))</f>
        <v/>
      </c>
      <c r="AT40" s="93" t="str">
        <f aca="false">IF(ISBLANK($C40),"",IF(S40=Constants!$B$5,TRUE(),IF(S40=Constants!$B$6,FALSE(),COUNTA(T40:X40)&gt;0)))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IF(ISBLANK($C40),"",IF(V40=Constants!$B$3,TRUE(),IF(V40=Constants!$B$4,FALSE(),TRUE())))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IF(ISBLANK($C40),"",IF(X40=Constants!$B$3,TRUE(),IF(X40=Constants!$B$4,FALSE(),FALSE())))</f>
        <v/>
      </c>
      <c r="AZ40" s="93" t="str">
        <f aca="false">IF(ISBLANK($C40),"",MIN(Constants!$B$31,MAX(0,IF(ISNUMBER(Y40),Y40*60,0)+IF(ISNUMBER(Z40),Z40,0))))</f>
        <v/>
      </c>
      <c r="BA40" s="93" t="str">
        <f aca="false">IF(ISBLANK($C40),"",IF(AA40=Constants!$B$3,TRUE(),IF(AA40=Constants!$B$4,FALSE(),FALSE())))</f>
        <v/>
      </c>
      <c r="BB40" s="92" t="str">
        <f aca="false">IF(ISBLANK($C40),"",AND($AL40,OR($AM40="",$AN40="",AND($AO40,$AP40=""))))</f>
        <v/>
      </c>
      <c r="BC40" s="94" t="str">
        <f aca="false">IF($BZ40&lt;&gt;Constants!$B$8,"",IF($AL40,Constants!$B$21*$AN40+Constants!$B$22*IF($AO40,$AP40,Constants!$B$23),Constants!$B$24))</f>
        <v/>
      </c>
      <c r="BD40" s="97" t="str">
        <f aca="false">IF($BZ40&lt;&gt;Constants!$B$8,"",Constants!$B$25*ABS($AD$9-IF($AL40,$AM40,0)))</f>
        <v/>
      </c>
      <c r="BE40" s="97" t="str">
        <f aca="false">IF($BZ40&lt;&gt;Constants!$B$8,"",IF(AND($AL40,$AQ40,$AO40),Constants!$B$27,0))</f>
        <v/>
      </c>
      <c r="BF40" s="97" t="str">
        <f aca="false">IF($BZ40&lt;&gt;Constants!$B$8,"",IF($AL40,($AI40-Constants!$B$29)*Constants!$B$28,0))</f>
        <v/>
      </c>
      <c r="BG40" s="97" t="str">
        <f aca="false">IF($BZ40&lt;&gt;Constants!$B$8,"",IF($AK40,0,Constants!$B$15)+IF($AJ40,0,Constants!$B$16)+IF($AH40,0,Constants!$B$17))</f>
        <v/>
      </c>
      <c r="BH40" s="98" t="str">
        <f aca="false">IF($BZ40&lt;&gt;Constants!$B$8,"",Constants!$B$20+SUM($BC40:$BG40))</f>
        <v/>
      </c>
      <c r="BI40" s="97" t="str">
        <f aca="false">IF($BZ40&lt;&gt;Constants!$B$8,"",$BC40)</f>
        <v/>
      </c>
      <c r="BJ40" s="97" t="str">
        <f aca="false">IF($BZ40&lt;&gt;Constants!$B$8,"",$BD40)</f>
        <v/>
      </c>
      <c r="BK40" s="97" t="str">
        <f aca="false">IF($BZ40&lt;&gt;Constants!$B$8,"",IF($AL40,$AN40,""))</f>
        <v/>
      </c>
      <c r="BL40" s="99" t="str">
        <f aca="false">IF($BZ40&lt;&gt;Constants!$B$8,"",$AI40)</f>
        <v/>
      </c>
      <c r="BM40" s="93" t="str">
        <f aca="false">IF($BZ40&lt;&gt;Constants!$B$8,"",IF(OR($BT40&lt;$BH40,AND($BT40=$BH40,OR($BU40&lt;$BI40,AND($BU40=$BI40,OR($BV40&lt;$BJ40,AND($BV40=$BJ40,OR(AND(ISNUMBER($BW40),OR(NOT(ISNUMBER($BK40)),$BW40&lt;$BK40)),AND(OR(AND($BW40="",$BK40=""),AND(ISNUMBER($BW40),ISNUMBER($BK40),$BW40=$BK40)),$BX40&lt;$BL40)))))))),"-&gt;","&lt;-"))</f>
        <v/>
      </c>
      <c r="BN40" s="92" t="str">
        <f aca="false">IF(ISBLANK($C40),"",AND($AT40,OR($AU40="",$AV40="",AND($AW40,$AX40=""))))</f>
        <v/>
      </c>
      <c r="BO40" s="94" t="str">
        <f aca="false">IF($BZ40&lt;&gt;Constants!$B$8,"",IF($AT40,Constants!$B$21*$AV40+Constants!$B$22*IF($AW40,$AX40,Constants!$B$23),Constants!$B$24))</f>
        <v/>
      </c>
      <c r="BP40" s="97" t="str">
        <f aca="false">IF($BZ40&lt;&gt;Constants!$B$8,"",Constants!$B$25*ABS($AD$9-IF($AT40,$AU40,0)))</f>
        <v/>
      </c>
      <c r="BQ40" s="97" t="str">
        <f aca="false">IF($BZ40&lt;&gt;Constants!$B$8,"",IF(AND($AT40,$AY40,$AW40),Constants!$B$27,0))</f>
        <v/>
      </c>
      <c r="BR40" s="97" t="str">
        <f aca="false">IF($BZ40&lt;&gt;Constants!$B$8,"",IF($AT40,($AI40-Constants!$B$29)*Constants!$B$28,0))</f>
        <v/>
      </c>
      <c r="BS40" s="97" t="str">
        <f aca="false">IF($BZ40&lt;&gt;Constants!$B$8,"",IF($AS40,0,Constants!$B$15)+IF($AR40,0,Constants!$B$16)+IF($AH40,0,Constants!$B$17))</f>
        <v/>
      </c>
      <c r="BT40" s="98" t="str">
        <f aca="false">IF($BZ40&lt;&gt;Constants!$B$8,"",Constants!$B$20+SUM($BO40:$BS40))</f>
        <v/>
      </c>
      <c r="BU40" s="97" t="str">
        <f aca="false">IF($BZ40&lt;&gt;Constants!$B$8,"",$BO40)</f>
        <v/>
      </c>
      <c r="BV40" s="97" t="str">
        <f aca="false">IF($BZ40&lt;&gt;Constants!$B$8,"",$BP40)</f>
        <v/>
      </c>
      <c r="BW40" s="97" t="str">
        <f aca="false">IF($BZ40&lt;&gt;Constants!$B$8,"",IF($AT40,$AV40,""))</f>
        <v/>
      </c>
      <c r="BX40" s="99" t="str">
        <f aca="false">IF($BZ40&lt;&gt;Constants!$B$8,"",$AI40)</f>
        <v/>
      </c>
      <c r="BY40" s="93" t="str">
        <f aca="false">IF(ISBLANK($C40),"",IF(ISBLANK($D$7),$BY$5,IF(NOT(ISNUMBER($D$7)),$BY$6,"")))</f>
        <v/>
      </c>
      <c r="BZ40" s="93" t="str">
        <f aca="false">IF(ISBLANK($C40),"",IF($BA40,Constants!$B$11,IF(COUNTA($E40:$AA40)=0,Constants!$B$10,IF(NOT($AG40),Constants!$B$9,IF(OR($BY40&lt;&gt;"",$BB40,$BN40),Constants!$B$12,Constants!$B$8)))))</f>
        <v/>
      </c>
      <c r="CA40" s="93" t="str">
        <f aca="false">IF(ISBLANK($C40),"",IF($BZ40&lt;&gt;Constants!$B$8,$BZ40,Constants!$B$13))</f>
        <v/>
      </c>
      <c r="CB40" s="97" t="str">
        <f aca="false">IF($BZ40&lt;&gt;Constants!$B$8,"",IF($BM40="-&gt;",$BT40,$BH40))</f>
        <v/>
      </c>
      <c r="CC40" s="97" t="str">
        <f aca="false">IF($BZ40&lt;&gt;Constants!$B$8,"",IF($AF40,0,Constants!$B$18))</f>
        <v/>
      </c>
      <c r="CD40" s="97" t="str">
        <f aca="false">IF($BZ40&lt;&gt;Constants!$B$8,"",((Constants!$B$31-$AZ40)-Constants!$B$31)/Constants!$B$32)</f>
        <v/>
      </c>
      <c r="CE40" s="97" t="str">
        <f aca="false">IF(ISBLANK($C40),"",IF($BZ40&lt;&gt;Constants!$B$8,$BZ40,SUM($CB40:$CD40)))</f>
        <v/>
      </c>
      <c r="CF40" s="93" t="str">
        <f aca="false">IF(ISBLANK($C40),"",IF($BZ40&lt;&gt;Constants!$B$8,$BZ40,RANK($CE40,$CE$9:$CE$508,1)))</f>
        <v/>
      </c>
      <c r="CG40" s="97" t="str">
        <f aca="false">IF($BZ40&lt;&gt;Constants!$B$8,"",IF($BM40="-&gt;",$BU40,$BI40))</f>
        <v/>
      </c>
      <c r="CH40" s="93" t="str">
        <f aca="false">IF(ISBLANK($C40),"",IF($BZ40&lt;&gt;Constants!$B$8,$BZ40,IF(ISNUMBER($CG40),RANK($CG40,$CG$9:$CG$508,1),COUNT($CG$9:$CG$508)+1)))</f>
        <v/>
      </c>
      <c r="CI40" s="97" t="str">
        <f aca="false">IF($BZ40&lt;&gt;Constants!$B$8,"",IF($BM40="-&gt;",$BV40,$BJ40))</f>
        <v/>
      </c>
      <c r="CJ40" s="93" t="str">
        <f aca="false">IF(ISBLANK($C40),"",IF($BZ40&lt;&gt;Constants!$B$8,$BZ40,IF(ISNUMBER($CI40),RANK($CI40,$CI$9:$CI$508,1),COUNT($CI$9:$CI$508)+1)))</f>
        <v/>
      </c>
      <c r="CK40" s="97" t="str">
        <f aca="false">IF($BZ40&lt;&gt;Constants!$B$8,"",IF($BM40="-&gt;",$BW40,$BK40))</f>
        <v/>
      </c>
      <c r="CL40" s="93" t="str">
        <f aca="false">IF(ISBLANK($C40),"",IF($BZ40&lt;&gt;Constants!$B$8,$BZ40,IF(ISNUMBER($CK40),RANK($CK40,$CK$9:$CK$508,1),COUNT($CK$9:$CK$508)+1)))</f>
        <v/>
      </c>
      <c r="CM40" s="97" t="str">
        <f aca="false">IF($BZ40&lt;&gt;Constants!$B$8,"",IF(AND(NOT($AL40),NOT($AT40),$AJ40,$AK40,$AR40,$AS40),"",IF($BM40="-&gt;",$BX40,$BL40)))</f>
        <v/>
      </c>
      <c r="CN40" s="93" t="str">
        <f aca="false">IF(ISBLANK($C40),"",IF($BZ40&lt;&gt;Constants!$B$8,$BZ40,IF(ISNUMBER($CM40),RANK($CM40,$CM$9:$CM$508,1),COUNT($CM$9:$CM$508)+1)))</f>
        <v/>
      </c>
      <c r="CO40" s="93" t="str">
        <f aca="false">IF(ISBLANK($C40),"",IF($BZ40&lt;&gt;Constants!$B$8,$BZ40,COUNTIFS($CF$9:$CF$508,"&lt;"&amp;$CF40)+COUNTIFS($CF$9:$CF$508,$CF40,$CH$9:$CH$508,"&lt;"&amp;$CH40)+COUNTIFS($CF$9:$CF$508,$CF40,$CH$9:$CH$508,$CH40,$CJ$9:$CJ$508,"&lt;"&amp;$CJ40)+COUNTIFS($CF$9:$CF$508,$CF40,$CH$9:$CH$508,$CH40,$CJ$9:$CJ$508,$CJ40,$CL$9:$CL$508,"&lt;"&amp;$CL40)+COUNTIFS($CF$9:$CF$508,$CF40,$CH$9:$CH$508,$CH40,$CJ$9:$CJ$508,$CJ40,$CL$9:$CL$508,$CL40,$CN$9:$CN$508,"&lt;"&amp;$CN40)+1))</f>
        <v/>
      </c>
      <c r="CP40" s="93" t="str">
        <f aca="false">IF(ISBLANK($C40),"",IF($BZ40&lt;&gt;Constants!$B$8,$BZ40,$CF40-$CO40))</f>
        <v/>
      </c>
      <c r="CQ40" s="100"/>
      <c r="CR40" s="101"/>
      <c r="CS40" s="102" t="str">
        <f aca="false">IF(ISBLANK($C40),"",IF($BZ40=Constants!$B$12,$BY40,""))</f>
        <v/>
      </c>
      <c r="CT40" s="101" t="str">
        <f aca="false">IF(ISBLANK($C40),"",IF($BZ40&lt;&gt;Constants!$B$8,"",IF($BM40="-&gt;",2,1)))</f>
        <v/>
      </c>
      <c r="CU40" s="103" t="str">
        <f aca="false">IF(ISBLANK($C40),"",IF($BZ40&lt;&gt;Constants!$B$8,"",IF($BM40="-&gt;",$BO40,$BC40)))</f>
        <v/>
      </c>
      <c r="CV40" s="103" t="str">
        <f aca="false">IF(ISBLANK($C40),"",IF($BZ40&lt;&gt;Constants!$B$8,"",IF($BM40="-&gt;",$BP40,$BD40)))</f>
        <v/>
      </c>
      <c r="CW40" s="103" t="str">
        <f aca="false">IF(ISBLANK($C40),"",IF($BZ40&lt;&gt;Constants!$B$8,"",IF($BM40="-&gt;",$BQ40+$BR40,$BE40+$BF40)+$CD40))</f>
        <v/>
      </c>
      <c r="CX40" s="103" t="str">
        <f aca="false">IF(ISBLANK($C40),"",IF($BZ40&lt;&gt;Constants!$B$8,"",IF($BM40="-&gt;",$BS40,$BG40)+$CC40))</f>
        <v/>
      </c>
      <c r="CY40" s="104" t="str">
        <f aca="false">IF(ISBLANK($C40),"",IF($BZ40&lt;&gt;Constants!$B$8,$BZ40,$CE40))</f>
        <v/>
      </c>
      <c r="CZ40" s="105" t="str">
        <f aca="false">IF(ISBLANK($C40),"",$CA40)</f>
        <v/>
      </c>
      <c r="DA40" s="106" t="str">
        <f aca="false">IF(ISBLANK($C40),"",$CP40)</f>
        <v/>
      </c>
      <c r="DB40" s="106" t="str">
        <f aca="false">IF(ISBLANK($C40),"",$CO40)</f>
        <v/>
      </c>
      <c r="DC40" s="107" t="str">
        <f aca="false">IF(ISBLANK($C40),"",IFERROR(_xlfn.SWITCH($DB40,Constants!$B$11,COUNTA($C$9:$C$508)+2,Constants!$B$10,COUNTA($C$9:$C$508)+1,Constants!$B$9,COUNTA($C$9:$C$508)),$DB40))</f>
        <v/>
      </c>
      <c r="DD40" s="9"/>
      <c r="DE40" s="108" t="n">
        <f aca="false">IF(OR(ISNUMBER($DB40),$DB40=Constants!$B$11,$DB40=Constants!$B$9,$DB40=Constants!$B$10),1,0)</f>
        <v>0</v>
      </c>
      <c r="DF40" s="108" t="n">
        <v>32</v>
      </c>
      <c r="DG40" s="108" t="str">
        <f aca="false">IF(ISBLANK($C40),"",IF(ISNUMBER($DC40),$DC40+ROW($B40)/1000,""))</f>
        <v/>
      </c>
      <c r="DH40" s="108" t="str">
        <f aca="false">IF(ISNUMBER($DG40),RANK($DG40,$DG$9:$DG$508,1),"")</f>
        <v/>
      </c>
      <c r="DI40" s="108" t="str">
        <f aca="false">IF(ISBLANK($C40),"",$B40)</f>
        <v/>
      </c>
      <c r="DJ40" s="108" t="str">
        <f aca="false">IF(ISBLANK($C40),"",$C40)</f>
        <v/>
      </c>
      <c r="DK40" s="108" t="str">
        <f aca="false">IF(ISBLANK($C40),"",$D40)</f>
        <v/>
      </c>
      <c r="DL40" s="109" t="str">
        <f aca="false">$CZ40</f>
        <v/>
      </c>
      <c r="DM40" s="110" t="str">
        <f aca="false">$CY40</f>
        <v/>
      </c>
      <c r="DN40" s="108" t="str">
        <f aca="false">IF(ISBLANK($C40),"",$DB40)</f>
        <v/>
      </c>
      <c r="DO40" s="111" t="str">
        <f aca="false">IF($DF40&gt;$DE$8,"",VLOOKUP($DF40,$DH$9:$DN$508,7,FALSE()))</f>
        <v/>
      </c>
      <c r="DP40" s="112" t="str">
        <f aca="false">IF($DF40&gt;$DE$8,"",VLOOKUP($DF40,$DH$9:$DN$508,2,FALSE()))</f>
        <v/>
      </c>
      <c r="DQ40" s="112" t="str">
        <f aca="false">IF($DF40&gt;$DE$8,"",VLOOKUP($DF40,$DH$9:$DN$508,3,FALSE()))</f>
        <v/>
      </c>
      <c r="DR40" s="112" t="str">
        <f aca="false">IF($DF40&gt;$DE$8,"",VLOOKUP($DF40,$DH$9:$DN$508,4,FALSE()))</f>
        <v/>
      </c>
      <c r="DS40" s="112" t="str">
        <f aca="false">IF($DF40&gt;$DE$8,"",VLOOKUP($DF40,$DH$9:$DN$508,5,FALSE()))</f>
        <v/>
      </c>
      <c r="DT40" s="113" t="str">
        <f aca="false">IF($DF40&gt;$DE$8,"",VLOOKUP($DF40,$DH$9:$DN$508,6,FALSE()))</f>
        <v/>
      </c>
      <c r="DU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IF(ISBLANK($C41),"",IF(E41=Constants!$B$3,TRUE(),IF(E41=Constants!$B$4,FALSE(),TRUE())))</f>
        <v/>
      </c>
      <c r="AG41" s="93" t="str">
        <f aca="false">IF(ISBLANK($C41),"",IF(F41=Constants!$B$3,TRUE(),IF(F41=Constants!$B$4,FALSE(),TRUE())))</f>
        <v/>
      </c>
      <c r="AH41" s="93" t="str">
        <f aca="false">IF(ISBLANK($C41),"",IF(G41=Constants!$B$3,TRUE(),IF(G41=Constants!$B$4,FALSE(),TRUE())))</f>
        <v/>
      </c>
      <c r="AI41" s="93" t="str">
        <f aca="false">IF(ISBLANK($C41),"",IF(AND(ISNUMBER(H41),H41&gt;=0),H41,Constants!$B$29))</f>
        <v/>
      </c>
      <c r="AJ41" s="93" t="str">
        <f aca="false">IF(ISBLANK($C41),"",IF(I41=Constants!$B$3,TRUE(),IF(I41=Constants!$B$4,FALSE(),TRUE())))</f>
        <v/>
      </c>
      <c r="AK41" s="93" t="str">
        <f aca="false">IF(ISBLANK($C41),"",IF(J41=Constants!$B$3,TRUE(),IF(J41=Constants!$B$4,FALSE(),TRUE())))</f>
        <v/>
      </c>
      <c r="AL41" s="93" t="str">
        <f aca="false">IF(ISBLANK($C41),"",IF(K41=Constants!$B$5,TRUE(),IF(K41=Constants!$B$6,FALSE(),COUNTA(L41:P41)&gt;0)))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IF(ISBLANK($C41),"",IF(N41=Constants!$B$3,TRUE(),IF(N41=Constants!$B$4,FALSE(),TRUE())))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IF(ISBLANK($C41),"",IF(P41=Constants!$B$3,TRUE(),IF(P41=Constants!$B$4,FALSE(),FALSE())))</f>
        <v/>
      </c>
      <c r="AR41" s="93" t="str">
        <f aca="false">IF(ISBLANK($C41),"",IF(Q41=Constants!$B$3,TRUE(),IF(Q41=Constants!$B$4,FALSE(),TRUE())))</f>
        <v/>
      </c>
      <c r="AS41" s="93" t="str">
        <f aca="false">IF(ISBLANK($C41),"",IF(R41=Constants!$B$3,TRUE(),IF(R41=Constants!$B$4,FALSE(),TRUE())))</f>
        <v/>
      </c>
      <c r="AT41" s="93" t="str">
        <f aca="false">IF(ISBLANK($C41),"",IF(S41=Constants!$B$5,TRUE(),IF(S41=Constants!$B$6,FALSE(),COUNTA(T41:X41)&gt;0)))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IF(ISBLANK($C41),"",IF(V41=Constants!$B$3,TRUE(),IF(V41=Constants!$B$4,FALSE(),TRUE())))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IF(ISBLANK($C41),"",IF(X41=Constants!$B$3,TRUE(),IF(X41=Constants!$B$4,FALSE(),FALSE())))</f>
        <v/>
      </c>
      <c r="AZ41" s="93" t="str">
        <f aca="false">IF(ISBLANK($C41),"",MIN(Constants!$B$31,MAX(0,IF(ISNUMBER(Y41),Y41*60,0)+IF(ISNUMBER(Z41),Z41,0))))</f>
        <v/>
      </c>
      <c r="BA41" s="93" t="str">
        <f aca="false">IF(ISBLANK($C41),"",IF(AA41=Constants!$B$3,TRUE(),IF(AA41=Constants!$B$4,FALSE(),FALSE())))</f>
        <v/>
      </c>
      <c r="BB41" s="92" t="str">
        <f aca="false">IF(ISBLANK($C41),"",AND($AL41,OR($AM41="",$AN41="",AND($AO41,$AP41=""))))</f>
        <v/>
      </c>
      <c r="BC41" s="94" t="str">
        <f aca="false">IF($BZ41&lt;&gt;Constants!$B$8,"",IF($AL41,Constants!$B$21*$AN41+Constants!$B$22*IF($AO41,$AP41,Constants!$B$23),Constants!$B$24))</f>
        <v/>
      </c>
      <c r="BD41" s="97" t="str">
        <f aca="false">IF($BZ41&lt;&gt;Constants!$B$8,"",Constants!$B$25*ABS($AD$9-IF($AL41,$AM41,0)))</f>
        <v/>
      </c>
      <c r="BE41" s="97" t="str">
        <f aca="false">IF($BZ41&lt;&gt;Constants!$B$8,"",IF(AND($AL41,$AQ41,$AO41),Constants!$B$27,0))</f>
        <v/>
      </c>
      <c r="BF41" s="97" t="str">
        <f aca="false">IF($BZ41&lt;&gt;Constants!$B$8,"",IF($AL41,($AI41-Constants!$B$29)*Constants!$B$28,0))</f>
        <v/>
      </c>
      <c r="BG41" s="97" t="str">
        <f aca="false">IF($BZ41&lt;&gt;Constants!$B$8,"",IF($AK41,0,Constants!$B$15)+IF($AJ41,0,Constants!$B$16)+IF($AH41,0,Constants!$B$17))</f>
        <v/>
      </c>
      <c r="BH41" s="98" t="str">
        <f aca="false">IF($BZ41&lt;&gt;Constants!$B$8,"",Constants!$B$20+SUM($BC41:$BG41))</f>
        <v/>
      </c>
      <c r="BI41" s="97" t="str">
        <f aca="false">IF($BZ41&lt;&gt;Constants!$B$8,"",$BC41)</f>
        <v/>
      </c>
      <c r="BJ41" s="97" t="str">
        <f aca="false">IF($BZ41&lt;&gt;Constants!$B$8,"",$BD41)</f>
        <v/>
      </c>
      <c r="BK41" s="97" t="str">
        <f aca="false">IF($BZ41&lt;&gt;Constants!$B$8,"",IF($AL41,$AN41,""))</f>
        <v/>
      </c>
      <c r="BL41" s="99" t="str">
        <f aca="false">IF($BZ41&lt;&gt;Constants!$B$8,"",$AI41)</f>
        <v/>
      </c>
      <c r="BM41" s="93" t="str">
        <f aca="false">IF($BZ41&lt;&gt;Constants!$B$8,"",IF(OR($BT41&lt;$BH41,AND($BT41=$BH41,OR($BU41&lt;$BI41,AND($BU41=$BI41,OR($BV41&lt;$BJ41,AND($BV41=$BJ41,OR(AND(ISNUMBER($BW41),OR(NOT(ISNUMBER($BK41)),$BW41&lt;$BK41)),AND(OR(AND($BW41="",$BK41=""),AND(ISNUMBER($BW41),ISNUMBER($BK41),$BW41=$BK41)),$BX41&lt;$BL41)))))))),"-&gt;","&lt;-"))</f>
        <v/>
      </c>
      <c r="BN41" s="92" t="str">
        <f aca="false">IF(ISBLANK($C41),"",AND($AT41,OR($AU41="",$AV41="",AND($AW41,$AX41=""))))</f>
        <v/>
      </c>
      <c r="BO41" s="94" t="str">
        <f aca="false">IF($BZ41&lt;&gt;Constants!$B$8,"",IF($AT41,Constants!$B$21*$AV41+Constants!$B$22*IF($AW41,$AX41,Constants!$B$23),Constants!$B$24))</f>
        <v/>
      </c>
      <c r="BP41" s="97" t="str">
        <f aca="false">IF($BZ41&lt;&gt;Constants!$B$8,"",Constants!$B$25*ABS($AD$9-IF($AT41,$AU41,0)))</f>
        <v/>
      </c>
      <c r="BQ41" s="97" t="str">
        <f aca="false">IF($BZ41&lt;&gt;Constants!$B$8,"",IF(AND($AT41,$AY41,$AW41),Constants!$B$27,0))</f>
        <v/>
      </c>
      <c r="BR41" s="97" t="str">
        <f aca="false">IF($BZ41&lt;&gt;Constants!$B$8,"",IF($AT41,($AI41-Constants!$B$29)*Constants!$B$28,0))</f>
        <v/>
      </c>
      <c r="BS41" s="97" t="str">
        <f aca="false">IF($BZ41&lt;&gt;Constants!$B$8,"",IF($AS41,0,Constants!$B$15)+IF($AR41,0,Constants!$B$16)+IF($AH41,0,Constants!$B$17))</f>
        <v/>
      </c>
      <c r="BT41" s="98" t="str">
        <f aca="false">IF($BZ41&lt;&gt;Constants!$B$8,"",Constants!$B$20+SUM($BO41:$BS41))</f>
        <v/>
      </c>
      <c r="BU41" s="97" t="str">
        <f aca="false">IF($BZ41&lt;&gt;Constants!$B$8,"",$BO41)</f>
        <v/>
      </c>
      <c r="BV41" s="97" t="str">
        <f aca="false">IF($BZ41&lt;&gt;Constants!$B$8,"",$BP41)</f>
        <v/>
      </c>
      <c r="BW41" s="97" t="str">
        <f aca="false">IF($BZ41&lt;&gt;Constants!$B$8,"",IF($AT41,$AV41,""))</f>
        <v/>
      </c>
      <c r="BX41" s="99" t="str">
        <f aca="false">IF($BZ41&lt;&gt;Constants!$B$8,"",$AI41)</f>
        <v/>
      </c>
      <c r="BY41" s="93" t="str">
        <f aca="false">IF(ISBLANK($C41),"",IF(ISBLANK($D$7),$BY$5,IF(NOT(ISNUMBER($D$7)),$BY$6,"")))</f>
        <v/>
      </c>
      <c r="BZ41" s="93" t="str">
        <f aca="false">IF(ISBLANK($C41),"",IF($BA41,Constants!$B$11,IF(COUNTA($E41:$AA41)=0,Constants!$B$10,IF(NOT($AG41),Constants!$B$9,IF(OR($BY41&lt;&gt;"",$BB41,$BN41),Constants!$B$12,Constants!$B$8)))))</f>
        <v/>
      </c>
      <c r="CA41" s="93" t="str">
        <f aca="false">IF(ISBLANK($C41),"",IF($BZ41&lt;&gt;Constants!$B$8,$BZ41,Constants!$B$13))</f>
        <v/>
      </c>
      <c r="CB41" s="97" t="str">
        <f aca="false">IF($BZ41&lt;&gt;Constants!$B$8,"",IF($BM41="-&gt;",$BT41,$BH41))</f>
        <v/>
      </c>
      <c r="CC41" s="97" t="str">
        <f aca="false">IF($BZ41&lt;&gt;Constants!$B$8,"",IF($AF41,0,Constants!$B$18))</f>
        <v/>
      </c>
      <c r="CD41" s="97" t="str">
        <f aca="false">IF($BZ41&lt;&gt;Constants!$B$8,"",((Constants!$B$31-$AZ41)-Constants!$B$31)/Constants!$B$32)</f>
        <v/>
      </c>
      <c r="CE41" s="97" t="str">
        <f aca="false">IF(ISBLANK($C41),"",IF($BZ41&lt;&gt;Constants!$B$8,$BZ41,SUM($CB41:$CD41)))</f>
        <v/>
      </c>
      <c r="CF41" s="93" t="str">
        <f aca="false">IF(ISBLANK($C41),"",IF($BZ41&lt;&gt;Constants!$B$8,$BZ41,RANK($CE41,$CE$9:$CE$508,1)))</f>
        <v/>
      </c>
      <c r="CG41" s="97" t="str">
        <f aca="false">IF($BZ41&lt;&gt;Constants!$B$8,"",IF($BM41="-&gt;",$BU41,$BI41))</f>
        <v/>
      </c>
      <c r="CH41" s="93" t="str">
        <f aca="false">IF(ISBLANK($C41),"",IF($BZ41&lt;&gt;Constants!$B$8,$BZ41,IF(ISNUMBER($CG41),RANK($CG41,$CG$9:$CG$508,1),COUNT($CG$9:$CG$508)+1)))</f>
        <v/>
      </c>
      <c r="CI41" s="97" t="str">
        <f aca="false">IF($BZ41&lt;&gt;Constants!$B$8,"",IF($BM41="-&gt;",$BV41,$BJ41))</f>
        <v/>
      </c>
      <c r="CJ41" s="93" t="str">
        <f aca="false">IF(ISBLANK($C41),"",IF($BZ41&lt;&gt;Constants!$B$8,$BZ41,IF(ISNUMBER($CI41),RANK($CI41,$CI$9:$CI$508,1),COUNT($CI$9:$CI$508)+1)))</f>
        <v/>
      </c>
      <c r="CK41" s="97" t="str">
        <f aca="false">IF($BZ41&lt;&gt;Constants!$B$8,"",IF($BM41="-&gt;",$BW41,$BK41))</f>
        <v/>
      </c>
      <c r="CL41" s="93" t="str">
        <f aca="false">IF(ISBLANK($C41),"",IF($BZ41&lt;&gt;Constants!$B$8,$BZ41,IF(ISNUMBER($CK41),RANK($CK41,$CK$9:$CK$508,1),COUNT($CK$9:$CK$508)+1)))</f>
        <v/>
      </c>
      <c r="CM41" s="97" t="str">
        <f aca="false">IF($BZ41&lt;&gt;Constants!$B$8,"",IF(AND(NOT($AL41),NOT($AT41),$AJ41,$AK41,$AR41,$AS41),"",IF($BM41="-&gt;",$BX41,$BL41)))</f>
        <v/>
      </c>
      <c r="CN41" s="93" t="str">
        <f aca="false">IF(ISBLANK($C41),"",IF($BZ41&lt;&gt;Constants!$B$8,$BZ41,IF(ISNUMBER($CM41),RANK($CM41,$CM$9:$CM$508,1),COUNT($CM$9:$CM$508)+1)))</f>
        <v/>
      </c>
      <c r="CO41" s="93" t="str">
        <f aca="false">IF(ISBLANK($C41),"",IF($BZ41&lt;&gt;Constants!$B$8,$BZ41,COUNTIFS($CF$9:$CF$508,"&lt;"&amp;$CF41)+COUNTIFS($CF$9:$CF$508,$CF41,$CH$9:$CH$508,"&lt;"&amp;$CH41)+COUNTIFS($CF$9:$CF$508,$CF41,$CH$9:$CH$508,$CH41,$CJ$9:$CJ$508,"&lt;"&amp;$CJ41)+COUNTIFS($CF$9:$CF$508,$CF41,$CH$9:$CH$508,$CH41,$CJ$9:$CJ$508,$CJ41,$CL$9:$CL$508,"&lt;"&amp;$CL41)+COUNTIFS($CF$9:$CF$508,$CF41,$CH$9:$CH$508,$CH41,$CJ$9:$CJ$508,$CJ41,$CL$9:$CL$508,$CL41,$CN$9:$CN$508,"&lt;"&amp;$CN41)+1))</f>
        <v/>
      </c>
      <c r="CP41" s="93" t="str">
        <f aca="false">IF(ISBLANK($C41),"",IF($BZ41&lt;&gt;Constants!$B$8,$BZ41,$CF41-$CO41))</f>
        <v/>
      </c>
      <c r="CQ41" s="100"/>
      <c r="CR41" s="101"/>
      <c r="CS41" s="102" t="str">
        <f aca="false">IF(ISBLANK($C41),"",IF($BZ41=Constants!$B$12,$BY41,""))</f>
        <v/>
      </c>
      <c r="CT41" s="101" t="str">
        <f aca="false">IF(ISBLANK($C41),"",IF($BZ41&lt;&gt;Constants!$B$8,"",IF($BM41="-&gt;",2,1)))</f>
        <v/>
      </c>
      <c r="CU41" s="103" t="str">
        <f aca="false">IF(ISBLANK($C41),"",IF($BZ41&lt;&gt;Constants!$B$8,"",IF($BM41="-&gt;",$BO41,$BC41)))</f>
        <v/>
      </c>
      <c r="CV41" s="103" t="str">
        <f aca="false">IF(ISBLANK($C41),"",IF($BZ41&lt;&gt;Constants!$B$8,"",IF($BM41="-&gt;",$BP41,$BD41)))</f>
        <v/>
      </c>
      <c r="CW41" s="103" t="str">
        <f aca="false">IF(ISBLANK($C41),"",IF($BZ41&lt;&gt;Constants!$B$8,"",IF($BM41="-&gt;",$BQ41+$BR41,$BE41+$BF41)+$CD41))</f>
        <v/>
      </c>
      <c r="CX41" s="103" t="str">
        <f aca="false">IF(ISBLANK($C41),"",IF($BZ41&lt;&gt;Constants!$B$8,"",IF($BM41="-&gt;",$BS41,$BG41)+$CC41))</f>
        <v/>
      </c>
      <c r="CY41" s="104" t="str">
        <f aca="false">IF(ISBLANK($C41),"",IF($BZ41&lt;&gt;Constants!$B$8,$BZ41,$CE41))</f>
        <v/>
      </c>
      <c r="CZ41" s="105" t="str">
        <f aca="false">IF(ISBLANK($C41),"",$CA41)</f>
        <v/>
      </c>
      <c r="DA41" s="106" t="str">
        <f aca="false">IF(ISBLANK($C41),"",$CP41)</f>
        <v/>
      </c>
      <c r="DB41" s="106" t="str">
        <f aca="false">IF(ISBLANK($C41),"",$CO41)</f>
        <v/>
      </c>
      <c r="DC41" s="107" t="str">
        <f aca="false">IF(ISBLANK($C41),"",IFERROR(_xlfn.SWITCH($DB41,Constants!$B$11,COUNTA($C$9:$C$508)+2,Constants!$B$10,COUNTA($C$9:$C$508)+1,Constants!$B$9,COUNTA($C$9:$C$508)),$DB41))</f>
        <v/>
      </c>
      <c r="DD41" s="9"/>
      <c r="DE41" s="108" t="n">
        <f aca="false">IF(OR(ISNUMBER($DB41),$DB41=Constants!$B$11,$DB41=Constants!$B$9,$DB41=Constants!$B$10),1,0)</f>
        <v>0</v>
      </c>
      <c r="DF41" s="108" t="n">
        <v>33</v>
      </c>
      <c r="DG41" s="108" t="str">
        <f aca="false">IF(ISBLANK($C41),"",IF(ISNUMBER($DC41),$DC41+ROW($B41)/1000,""))</f>
        <v/>
      </c>
      <c r="DH41" s="108" t="str">
        <f aca="false">IF(ISNUMBER($DG41),RANK($DG41,$DG$9:$DG$508,1),"")</f>
        <v/>
      </c>
      <c r="DI41" s="108" t="str">
        <f aca="false">IF(ISBLANK($C41),"",$B41)</f>
        <v/>
      </c>
      <c r="DJ41" s="108" t="str">
        <f aca="false">IF(ISBLANK($C41),"",$C41)</f>
        <v/>
      </c>
      <c r="DK41" s="108" t="str">
        <f aca="false">IF(ISBLANK($C41),"",$D41)</f>
        <v/>
      </c>
      <c r="DL41" s="109" t="str">
        <f aca="false">$CZ41</f>
        <v/>
      </c>
      <c r="DM41" s="110" t="str">
        <f aca="false">$CY41</f>
        <v/>
      </c>
      <c r="DN41" s="108" t="str">
        <f aca="false">IF(ISBLANK($C41),"",$DB41)</f>
        <v/>
      </c>
      <c r="DO41" s="111" t="str">
        <f aca="false">IF($DF41&gt;$DE$8,"",VLOOKUP($DF41,$DH$9:$DN$508,7,FALSE()))</f>
        <v/>
      </c>
      <c r="DP41" s="112" t="str">
        <f aca="false">IF($DF41&gt;$DE$8,"",VLOOKUP($DF41,$DH$9:$DN$508,2,FALSE()))</f>
        <v/>
      </c>
      <c r="DQ41" s="112" t="str">
        <f aca="false">IF($DF41&gt;$DE$8,"",VLOOKUP($DF41,$DH$9:$DN$508,3,FALSE()))</f>
        <v/>
      </c>
      <c r="DR41" s="112" t="str">
        <f aca="false">IF($DF41&gt;$DE$8,"",VLOOKUP($DF41,$DH$9:$DN$508,4,FALSE()))</f>
        <v/>
      </c>
      <c r="DS41" s="112" t="str">
        <f aca="false">IF($DF41&gt;$DE$8,"",VLOOKUP($DF41,$DH$9:$DN$508,5,FALSE()))</f>
        <v/>
      </c>
      <c r="DT41" s="113" t="str">
        <f aca="false">IF($DF41&gt;$DE$8,"",VLOOKUP($DF41,$DH$9:$DN$508,6,FALSE()))</f>
        <v/>
      </c>
      <c r="DU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IF(ISBLANK($C42),"",IF(E42=Constants!$B$3,TRUE(),IF(E42=Constants!$B$4,FALSE(),TRUE())))</f>
        <v/>
      </c>
      <c r="AG42" s="135" t="str">
        <f aca="false">IF(ISBLANK($C42),"",IF(F42=Constants!$B$3,TRUE(),IF(F42=Constants!$B$4,FALSE(),TRUE())))</f>
        <v/>
      </c>
      <c r="AH42" s="135" t="str">
        <f aca="false">IF(ISBLANK($C42),"",IF(G42=Constants!$B$3,TRUE(),IF(G42=Constants!$B$4,FALSE(),TRUE())))</f>
        <v/>
      </c>
      <c r="AI42" s="135" t="str">
        <f aca="false">IF(ISBLANK($C42),"",IF(AND(ISNUMBER(H42),H42&gt;=0),H42,Constants!$B$29))</f>
        <v/>
      </c>
      <c r="AJ42" s="135" t="str">
        <f aca="false">IF(ISBLANK($C42),"",IF(I42=Constants!$B$3,TRUE(),IF(I42=Constants!$B$4,FALSE(),TRUE())))</f>
        <v/>
      </c>
      <c r="AK42" s="135" t="str">
        <f aca="false">IF(ISBLANK($C42),"",IF(J42=Constants!$B$3,TRUE(),IF(J42=Constants!$B$4,FALSE(),TRUE())))</f>
        <v/>
      </c>
      <c r="AL42" s="135" t="str">
        <f aca="false">IF(ISBLANK($C42),"",IF(K42=Constants!$B$5,TRUE(),IF(K42=Constants!$B$6,FALSE(),COUNTA(L42:P42)&gt;0)))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IF(ISBLANK($C42),"",IF(N42=Constants!$B$3,TRUE(),IF(N42=Constants!$B$4,FALSE(),TRUE())))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IF(ISBLANK($C42),"",IF(P42=Constants!$B$3,TRUE(),IF(P42=Constants!$B$4,FALSE(),FALSE())))</f>
        <v/>
      </c>
      <c r="AR42" s="135" t="str">
        <f aca="false">IF(ISBLANK($C42),"",IF(Q42=Constants!$B$3,TRUE(),IF(Q42=Constants!$B$4,FALSE(),TRUE())))</f>
        <v/>
      </c>
      <c r="AS42" s="135" t="str">
        <f aca="false">IF(ISBLANK($C42),"",IF(R42=Constants!$B$3,TRUE(),IF(R42=Constants!$B$4,FALSE(),TRUE())))</f>
        <v/>
      </c>
      <c r="AT42" s="135" t="str">
        <f aca="false">IF(ISBLANK($C42),"",IF(S42=Constants!$B$5,TRUE(),IF(S42=Constants!$B$6,FALSE(),COUNTA(T42:X42)&gt;0)))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IF(ISBLANK($C42),"",IF(V42=Constants!$B$3,TRUE(),IF(V42=Constants!$B$4,FALSE(),TRUE())))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IF(ISBLANK($C42),"",IF(X42=Constants!$B$3,TRUE(),IF(X42=Constants!$B$4,FALSE(),FALSE())))</f>
        <v/>
      </c>
      <c r="AZ42" s="135" t="str">
        <f aca="false">IF(ISBLANK($C42),"",MIN(Constants!$B$31,MAX(0,IF(ISNUMBER(Y42),Y42*60,0)+IF(ISNUMBER(Z42),Z42,0))))</f>
        <v/>
      </c>
      <c r="BA42" s="135" t="str">
        <f aca="false">IF(ISBLANK($C42),"",IF(AA42=Constants!$B$3,TRUE(),IF(AA42=Constants!$B$4,FALSE(),FALSE())))</f>
        <v/>
      </c>
      <c r="BB42" s="134" t="str">
        <f aca="false">IF(ISBLANK($C42),"",AND($AL42,OR($AM42="",$AN42="",AND($AO42,$AP42=""))))</f>
        <v/>
      </c>
      <c r="BC42" s="137" t="str">
        <f aca="false">IF($BZ42&lt;&gt;Constants!$B$8,"",IF($AL42,Constants!$B$21*$AN42+Constants!$B$22*IF($AO42,$AP42,Constants!$B$23),Constants!$B$24))</f>
        <v/>
      </c>
      <c r="BD42" s="138" t="str">
        <f aca="false">IF($BZ42&lt;&gt;Constants!$B$8,"",Constants!$B$25*ABS($AD$9-IF($AL42,$AM42,0)))</f>
        <v/>
      </c>
      <c r="BE42" s="138" t="str">
        <f aca="false">IF($BZ42&lt;&gt;Constants!$B$8,"",IF(AND($AL42,$AQ42,$AO42),Constants!$B$27,0))</f>
        <v/>
      </c>
      <c r="BF42" s="138" t="str">
        <f aca="false">IF($BZ42&lt;&gt;Constants!$B$8,"",IF($AL42,($AI42-Constants!$B$29)*Constants!$B$28,0))</f>
        <v/>
      </c>
      <c r="BG42" s="138" t="str">
        <f aca="false">IF($BZ42&lt;&gt;Constants!$B$8,"",IF($AK42,0,Constants!$B$15)+IF($AJ42,0,Constants!$B$16)+IF($AH42,0,Constants!$B$17))</f>
        <v/>
      </c>
      <c r="BH42" s="139" t="str">
        <f aca="false">IF($BZ42&lt;&gt;Constants!$B$8,"",Constants!$B$20+SUM($BC42:$BG42))</f>
        <v/>
      </c>
      <c r="BI42" s="138" t="str">
        <f aca="false">IF($BZ42&lt;&gt;Constants!$B$8,"",$BC42)</f>
        <v/>
      </c>
      <c r="BJ42" s="138" t="str">
        <f aca="false">IF($BZ42&lt;&gt;Constants!$B$8,"",$BD42)</f>
        <v/>
      </c>
      <c r="BK42" s="138" t="str">
        <f aca="false">IF($BZ42&lt;&gt;Constants!$B$8,"",IF($AL42,$AN42,""))</f>
        <v/>
      </c>
      <c r="BL42" s="140" t="str">
        <f aca="false">IF($BZ42&lt;&gt;Constants!$B$8,"",$AI42)</f>
        <v/>
      </c>
      <c r="BM42" s="135" t="str">
        <f aca="false">IF($BZ42&lt;&gt;Constants!$B$8,"",IF(OR($BT42&lt;$BH42,AND($BT42=$BH42,OR($BU42&lt;$BI42,AND($BU42=$BI42,OR($BV42&lt;$BJ42,AND($BV42=$BJ42,OR(AND(ISNUMBER($BW42),OR(NOT(ISNUMBER($BK42)),$BW42&lt;$BK42)),AND(OR(AND($BW42="",$BK42=""),AND(ISNUMBER($BW42),ISNUMBER($BK42),$BW42=$BK42)),$BX42&lt;$BL42)))))))),"-&gt;","&lt;-"))</f>
        <v/>
      </c>
      <c r="BN42" s="134" t="str">
        <f aca="false">IF(ISBLANK($C42),"",AND($AT42,OR($AU42="",$AV42="",AND($AW42,$AX42=""))))</f>
        <v/>
      </c>
      <c r="BO42" s="137" t="str">
        <f aca="false">IF($BZ42&lt;&gt;Constants!$B$8,"",IF($AT42,Constants!$B$21*$AV42+Constants!$B$22*IF($AW42,$AX42,Constants!$B$23),Constants!$B$24))</f>
        <v/>
      </c>
      <c r="BP42" s="138" t="str">
        <f aca="false">IF($BZ42&lt;&gt;Constants!$B$8,"",Constants!$B$25*ABS($AD$9-IF($AT42,$AU42,0)))</f>
        <v/>
      </c>
      <c r="BQ42" s="138" t="str">
        <f aca="false">IF($BZ42&lt;&gt;Constants!$B$8,"",IF(AND($AT42,$AY42,$AW42),Constants!$B$27,0))</f>
        <v/>
      </c>
      <c r="BR42" s="138" t="str">
        <f aca="false">IF($BZ42&lt;&gt;Constants!$B$8,"",IF($AT42,($AI42-Constants!$B$29)*Constants!$B$28,0))</f>
        <v/>
      </c>
      <c r="BS42" s="138" t="str">
        <f aca="false">IF($BZ42&lt;&gt;Constants!$B$8,"",IF($AS42,0,Constants!$B$15)+IF($AR42,0,Constants!$B$16)+IF($AH42,0,Constants!$B$17))</f>
        <v/>
      </c>
      <c r="BT42" s="139" t="str">
        <f aca="false">IF($BZ42&lt;&gt;Constants!$B$8,"",Constants!$B$20+SUM($BO42:$BS42))</f>
        <v/>
      </c>
      <c r="BU42" s="138" t="str">
        <f aca="false">IF($BZ42&lt;&gt;Constants!$B$8,"",$BO42)</f>
        <v/>
      </c>
      <c r="BV42" s="138" t="str">
        <f aca="false">IF($BZ42&lt;&gt;Constants!$B$8,"",$BP42)</f>
        <v/>
      </c>
      <c r="BW42" s="138" t="str">
        <f aca="false">IF($BZ42&lt;&gt;Constants!$B$8,"",IF($AT42,$AV42,""))</f>
        <v/>
      </c>
      <c r="BX42" s="140" t="str">
        <f aca="false">IF($BZ42&lt;&gt;Constants!$B$8,"",$AI42)</f>
        <v/>
      </c>
      <c r="BY42" s="135" t="str">
        <f aca="false">IF(ISBLANK($C42),"",IF(ISBLANK($D$7),$BY$5,IF(NOT(ISNUMBER($D$7)),$BY$6,"")))</f>
        <v/>
      </c>
      <c r="BZ42" s="135" t="str">
        <f aca="false">IF(ISBLANK($C42),"",IF($BA42,Constants!$B$11,IF(COUNTA($E42:$AA42)=0,Constants!$B$10,IF(NOT($AG42),Constants!$B$9,IF(OR($BY42&lt;&gt;"",$BB42,$BN42),Constants!$B$12,Constants!$B$8)))))</f>
        <v/>
      </c>
      <c r="CA42" s="135" t="str">
        <f aca="false">IF(ISBLANK($C42),"",IF($BZ42&lt;&gt;Constants!$B$8,$BZ42,Constants!$B$13))</f>
        <v/>
      </c>
      <c r="CB42" s="138" t="str">
        <f aca="false">IF($BZ42&lt;&gt;Constants!$B$8,"",IF($BM42="-&gt;",$BT42,$BH42))</f>
        <v/>
      </c>
      <c r="CC42" s="138" t="str">
        <f aca="false">IF($BZ42&lt;&gt;Constants!$B$8,"",IF($AF42,0,Constants!$B$18))</f>
        <v/>
      </c>
      <c r="CD42" s="138" t="str">
        <f aca="false">IF($BZ42&lt;&gt;Constants!$B$8,"",((Constants!$B$31-$AZ42)-Constants!$B$31)/Constants!$B$32)</f>
        <v/>
      </c>
      <c r="CE42" s="138" t="str">
        <f aca="false">IF(ISBLANK($C42),"",IF($BZ42&lt;&gt;Constants!$B$8,$BZ42,SUM($CB42:$CD42)))</f>
        <v/>
      </c>
      <c r="CF42" s="135" t="str">
        <f aca="false">IF(ISBLANK($C42),"",IF($BZ42&lt;&gt;Constants!$B$8,$BZ42,RANK($CE42,$CE$9:$CE$508,1)))</f>
        <v/>
      </c>
      <c r="CG42" s="138" t="str">
        <f aca="false">IF($BZ42&lt;&gt;Constants!$B$8,"",IF($BM42="-&gt;",$BU42,$BI42))</f>
        <v/>
      </c>
      <c r="CH42" s="135" t="str">
        <f aca="false">IF(ISBLANK($C42),"",IF($BZ42&lt;&gt;Constants!$B$8,$BZ42,IF(ISNUMBER($CG42),RANK($CG42,$CG$9:$CG$508,1),COUNT($CG$9:$CG$508)+1)))</f>
        <v/>
      </c>
      <c r="CI42" s="138" t="str">
        <f aca="false">IF($BZ42&lt;&gt;Constants!$B$8,"",IF($BM42="-&gt;",$BV42,$BJ42))</f>
        <v/>
      </c>
      <c r="CJ42" s="135" t="str">
        <f aca="false">IF(ISBLANK($C42),"",IF($BZ42&lt;&gt;Constants!$B$8,$BZ42,IF(ISNUMBER($CI42),RANK($CI42,$CI$9:$CI$508,1),COUNT($CI$9:$CI$508)+1)))</f>
        <v/>
      </c>
      <c r="CK42" s="138" t="str">
        <f aca="false">IF($BZ42&lt;&gt;Constants!$B$8,"",IF($BM42="-&gt;",$BW42,$BK42))</f>
        <v/>
      </c>
      <c r="CL42" s="135" t="str">
        <f aca="false">IF(ISBLANK($C42),"",IF($BZ42&lt;&gt;Constants!$B$8,$BZ42,IF(ISNUMBER($CK42),RANK($CK42,$CK$9:$CK$508,1),COUNT($CK$9:$CK$508)+1)))</f>
        <v/>
      </c>
      <c r="CM42" s="138" t="str">
        <f aca="false">IF($BZ42&lt;&gt;Constants!$B$8,"",IF(AND(NOT($AL42),NOT($AT42),$AJ42,$AK42,$AR42,$AS42),"",IF($BM42="-&gt;",$BX42,$BL42)))</f>
        <v/>
      </c>
      <c r="CN42" s="135" t="str">
        <f aca="false">IF(ISBLANK($C42),"",IF($BZ42&lt;&gt;Constants!$B$8,$BZ42,IF(ISNUMBER($CM42),RANK($CM42,$CM$9:$CM$508,1),COUNT($CM$9:$CM$508)+1)))</f>
        <v/>
      </c>
      <c r="CO42" s="135" t="str">
        <f aca="false">IF(ISBLANK($C42),"",IF($BZ42&lt;&gt;Constants!$B$8,$BZ42,COUNTIFS($CF$9:$CF$508,"&lt;"&amp;$CF42)+COUNTIFS($CF$9:$CF$508,$CF42,$CH$9:$CH$508,"&lt;"&amp;$CH42)+COUNTIFS($CF$9:$CF$508,$CF42,$CH$9:$CH$508,$CH42,$CJ$9:$CJ$508,"&lt;"&amp;$CJ42)+COUNTIFS($CF$9:$CF$508,$CF42,$CH$9:$CH$508,$CH42,$CJ$9:$CJ$508,$CJ42,$CL$9:$CL$508,"&lt;"&amp;$CL42)+COUNTIFS($CF$9:$CF$508,$CF42,$CH$9:$CH$508,$CH42,$CJ$9:$CJ$508,$CJ42,$CL$9:$CL$508,$CL42,$CN$9:$CN$508,"&lt;"&amp;$CN42)+1))</f>
        <v/>
      </c>
      <c r="CP42" s="135" t="str">
        <f aca="false">IF(ISBLANK($C42),"",IF($BZ42&lt;&gt;Constants!$B$8,$BZ42,$CF42-$CO42))</f>
        <v/>
      </c>
      <c r="CQ42" s="141"/>
      <c r="CR42" s="142"/>
      <c r="CS42" s="143" t="str">
        <f aca="false">IF(ISBLANK($C42),"",IF($BZ42=Constants!$B$12,$BY42,""))</f>
        <v/>
      </c>
      <c r="CT42" s="142" t="str">
        <f aca="false">IF(ISBLANK($C42),"",IF($BZ42&lt;&gt;Constants!$B$8,"",IF($BM42="-&gt;",2,1)))</f>
        <v/>
      </c>
      <c r="CU42" s="144" t="str">
        <f aca="false">IF(ISBLANK($C42),"",IF($BZ42&lt;&gt;Constants!$B$8,"",IF($BM42="-&gt;",$BO42,$BC42)))</f>
        <v/>
      </c>
      <c r="CV42" s="144" t="str">
        <f aca="false">IF(ISBLANK($C42),"",IF($BZ42&lt;&gt;Constants!$B$8,"",IF($BM42="-&gt;",$BP42,$BD42)))</f>
        <v/>
      </c>
      <c r="CW42" s="144" t="str">
        <f aca="false">IF(ISBLANK($C42),"",IF($BZ42&lt;&gt;Constants!$B$8,"",IF($BM42="-&gt;",$BQ42+$BR42,$BE42+$BF42)+$CD42))</f>
        <v/>
      </c>
      <c r="CX42" s="144" t="str">
        <f aca="false">IF(ISBLANK($C42),"",IF($BZ42&lt;&gt;Constants!$B$8,"",IF($BM42="-&gt;",$BS42,$BG42)+$CC42))</f>
        <v/>
      </c>
      <c r="CY42" s="145" t="str">
        <f aca="false">IF(ISBLANK($C42),"",IF($BZ42&lt;&gt;Constants!$B$8,$BZ42,$CE42))</f>
        <v/>
      </c>
      <c r="CZ42" s="146" t="str">
        <f aca="false">IF(ISBLANK($C42),"",$CA42)</f>
        <v/>
      </c>
      <c r="DA42" s="147" t="str">
        <f aca="false">IF(ISBLANK($C42),"",$CP42)</f>
        <v/>
      </c>
      <c r="DB42" s="147" t="str">
        <f aca="false">IF(ISBLANK($C42),"",$CO42)</f>
        <v/>
      </c>
      <c r="DC42" s="148" t="str">
        <f aca="false">IF(ISBLANK($C42),"",IFERROR(_xlfn.SWITCH($DB42,Constants!$B$11,COUNTA($C$9:$C$508)+2,Constants!$B$10,COUNTA($C$9:$C$508)+1,Constants!$B$9,COUNTA($C$9:$C$508)),$DB42))</f>
        <v/>
      </c>
      <c r="DD42" s="9"/>
      <c r="DE42" s="149" t="n">
        <f aca="false">IF(OR(ISNUMBER($DB42),$DB42=Constants!$B$11,$DB42=Constants!$B$9,$DB42=Constants!$B$10),1,0)</f>
        <v>0</v>
      </c>
      <c r="DF42" s="149" t="n">
        <v>34</v>
      </c>
      <c r="DG42" s="149" t="str">
        <f aca="false">IF(ISBLANK($C42),"",IF(ISNUMBER($DC42),$DC42+ROW($B42)/1000,""))</f>
        <v/>
      </c>
      <c r="DH42" s="149" t="str">
        <f aca="false">IF(ISNUMBER($DG42),RANK($DG42,$DG$9:$DG$508,1),"")</f>
        <v/>
      </c>
      <c r="DI42" s="149" t="str">
        <f aca="false">IF(ISBLANK($C42),"",$B42)</f>
        <v/>
      </c>
      <c r="DJ42" s="149" t="str">
        <f aca="false">IF(ISBLANK($C42),"",$C42)</f>
        <v/>
      </c>
      <c r="DK42" s="149" t="str">
        <f aca="false">IF(ISBLANK($C42),"",$D42)</f>
        <v/>
      </c>
      <c r="DL42" s="150" t="str">
        <f aca="false">$CZ42</f>
        <v/>
      </c>
      <c r="DM42" s="151" t="str">
        <f aca="false">$CY42</f>
        <v/>
      </c>
      <c r="DN42" s="149" t="str">
        <f aca="false">IF(ISBLANK($C42),"",$DB42)</f>
        <v/>
      </c>
      <c r="DO42" s="152" t="str">
        <f aca="false">IF($DF42&gt;$DE$8,"",VLOOKUP($DF42,$DH$9:$DN$508,7,FALSE()))</f>
        <v/>
      </c>
      <c r="DP42" s="153" t="str">
        <f aca="false">IF($DF42&gt;$DE$8,"",VLOOKUP($DF42,$DH$9:$DN$508,2,FALSE()))</f>
        <v/>
      </c>
      <c r="DQ42" s="153" t="str">
        <f aca="false">IF($DF42&gt;$DE$8,"",VLOOKUP($DF42,$DH$9:$DN$508,3,FALSE()))</f>
        <v/>
      </c>
      <c r="DR42" s="153" t="str">
        <f aca="false">IF($DF42&gt;$DE$8,"",VLOOKUP($DF42,$DH$9:$DN$508,4,FALSE()))</f>
        <v/>
      </c>
      <c r="DS42" s="153" t="str">
        <f aca="false">IF($DF42&gt;$DE$8,"",VLOOKUP($DF42,$DH$9:$DN$508,5,FALSE()))</f>
        <v/>
      </c>
      <c r="DT42" s="154" t="str">
        <f aca="false">IF($DF42&gt;$DE$8,"",VLOOKUP($DF42,$DH$9:$DN$508,6,FALSE()))</f>
        <v/>
      </c>
      <c r="DU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IF(ISBLANK($C43),"",IF(E43=Constants!$B$3,TRUE(),IF(E43=Constants!$B$4,FALSE(),TRUE())))</f>
        <v/>
      </c>
      <c r="AG43" s="135" t="str">
        <f aca="false">IF(ISBLANK($C43),"",IF(F43=Constants!$B$3,TRUE(),IF(F43=Constants!$B$4,FALSE(),TRUE())))</f>
        <v/>
      </c>
      <c r="AH43" s="135" t="str">
        <f aca="false">IF(ISBLANK($C43),"",IF(G43=Constants!$B$3,TRUE(),IF(G43=Constants!$B$4,FALSE(),TRUE())))</f>
        <v/>
      </c>
      <c r="AI43" s="135" t="str">
        <f aca="false">IF(ISBLANK($C43),"",IF(AND(ISNUMBER(H43),H43&gt;=0),H43,Constants!$B$29))</f>
        <v/>
      </c>
      <c r="AJ43" s="135" t="str">
        <f aca="false">IF(ISBLANK($C43),"",IF(I43=Constants!$B$3,TRUE(),IF(I43=Constants!$B$4,FALSE(),TRUE())))</f>
        <v/>
      </c>
      <c r="AK43" s="135" t="str">
        <f aca="false">IF(ISBLANK($C43),"",IF(J43=Constants!$B$3,TRUE(),IF(J43=Constants!$B$4,FALSE(),TRUE())))</f>
        <v/>
      </c>
      <c r="AL43" s="135" t="str">
        <f aca="false">IF(ISBLANK($C43),"",IF(K43=Constants!$B$5,TRUE(),IF(K43=Constants!$B$6,FALSE(),COUNTA(L43:P43)&gt;0)))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IF(ISBLANK($C43),"",IF(N43=Constants!$B$3,TRUE(),IF(N43=Constants!$B$4,FALSE(),TRUE())))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IF(ISBLANK($C43),"",IF(P43=Constants!$B$3,TRUE(),IF(P43=Constants!$B$4,FALSE(),FALSE())))</f>
        <v/>
      </c>
      <c r="AR43" s="135" t="str">
        <f aca="false">IF(ISBLANK($C43),"",IF(Q43=Constants!$B$3,TRUE(),IF(Q43=Constants!$B$4,FALSE(),TRUE())))</f>
        <v/>
      </c>
      <c r="AS43" s="135" t="str">
        <f aca="false">IF(ISBLANK($C43),"",IF(R43=Constants!$B$3,TRUE(),IF(R43=Constants!$B$4,FALSE(),TRUE())))</f>
        <v/>
      </c>
      <c r="AT43" s="135" t="str">
        <f aca="false">IF(ISBLANK($C43),"",IF(S43=Constants!$B$5,TRUE(),IF(S43=Constants!$B$6,FALSE(),COUNTA(T43:X43)&gt;0)))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IF(ISBLANK($C43),"",IF(V43=Constants!$B$3,TRUE(),IF(V43=Constants!$B$4,FALSE(),TRUE())))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IF(ISBLANK($C43),"",IF(X43=Constants!$B$3,TRUE(),IF(X43=Constants!$B$4,FALSE(),FALSE())))</f>
        <v/>
      </c>
      <c r="AZ43" s="135" t="str">
        <f aca="false">IF(ISBLANK($C43),"",MIN(Constants!$B$31,MAX(0,IF(ISNUMBER(Y43),Y43*60,0)+IF(ISNUMBER(Z43),Z43,0))))</f>
        <v/>
      </c>
      <c r="BA43" s="135" t="str">
        <f aca="false">IF(ISBLANK($C43),"",IF(AA43=Constants!$B$3,TRUE(),IF(AA43=Constants!$B$4,FALSE(),FALSE())))</f>
        <v/>
      </c>
      <c r="BB43" s="134" t="str">
        <f aca="false">IF(ISBLANK($C43),"",AND($AL43,OR($AM43="",$AN43="",AND($AO43,$AP43=""))))</f>
        <v/>
      </c>
      <c r="BC43" s="137" t="str">
        <f aca="false">IF($BZ43&lt;&gt;Constants!$B$8,"",IF($AL43,Constants!$B$21*$AN43+Constants!$B$22*IF($AO43,$AP43,Constants!$B$23),Constants!$B$24))</f>
        <v/>
      </c>
      <c r="BD43" s="138" t="str">
        <f aca="false">IF($BZ43&lt;&gt;Constants!$B$8,"",Constants!$B$25*ABS($AD$9-IF($AL43,$AM43,0)))</f>
        <v/>
      </c>
      <c r="BE43" s="138" t="str">
        <f aca="false">IF($BZ43&lt;&gt;Constants!$B$8,"",IF(AND($AL43,$AQ43,$AO43),Constants!$B$27,0))</f>
        <v/>
      </c>
      <c r="BF43" s="138" t="str">
        <f aca="false">IF($BZ43&lt;&gt;Constants!$B$8,"",IF($AL43,($AI43-Constants!$B$29)*Constants!$B$28,0))</f>
        <v/>
      </c>
      <c r="BG43" s="138" t="str">
        <f aca="false">IF($BZ43&lt;&gt;Constants!$B$8,"",IF($AK43,0,Constants!$B$15)+IF($AJ43,0,Constants!$B$16)+IF($AH43,0,Constants!$B$17))</f>
        <v/>
      </c>
      <c r="BH43" s="139" t="str">
        <f aca="false">IF($BZ43&lt;&gt;Constants!$B$8,"",Constants!$B$20+SUM($BC43:$BG43))</f>
        <v/>
      </c>
      <c r="BI43" s="138" t="str">
        <f aca="false">IF($BZ43&lt;&gt;Constants!$B$8,"",$BC43)</f>
        <v/>
      </c>
      <c r="BJ43" s="138" t="str">
        <f aca="false">IF($BZ43&lt;&gt;Constants!$B$8,"",$BD43)</f>
        <v/>
      </c>
      <c r="BK43" s="138" t="str">
        <f aca="false">IF($BZ43&lt;&gt;Constants!$B$8,"",IF($AL43,$AN43,""))</f>
        <v/>
      </c>
      <c r="BL43" s="140" t="str">
        <f aca="false">IF($BZ43&lt;&gt;Constants!$B$8,"",$AI43)</f>
        <v/>
      </c>
      <c r="BM43" s="135" t="str">
        <f aca="false">IF($BZ43&lt;&gt;Constants!$B$8,"",IF(OR($BT43&lt;$BH43,AND($BT43=$BH43,OR($BU43&lt;$BI43,AND($BU43=$BI43,OR($BV43&lt;$BJ43,AND($BV43=$BJ43,OR(AND(ISNUMBER($BW43),OR(NOT(ISNUMBER($BK43)),$BW43&lt;$BK43)),AND(OR(AND($BW43="",$BK43=""),AND(ISNUMBER($BW43),ISNUMBER($BK43),$BW43=$BK43)),$BX43&lt;$BL43)))))))),"-&gt;","&lt;-"))</f>
        <v/>
      </c>
      <c r="BN43" s="134" t="str">
        <f aca="false">IF(ISBLANK($C43),"",AND($AT43,OR($AU43="",$AV43="",AND($AW43,$AX43=""))))</f>
        <v/>
      </c>
      <c r="BO43" s="137" t="str">
        <f aca="false">IF($BZ43&lt;&gt;Constants!$B$8,"",IF($AT43,Constants!$B$21*$AV43+Constants!$B$22*IF($AW43,$AX43,Constants!$B$23),Constants!$B$24))</f>
        <v/>
      </c>
      <c r="BP43" s="138" t="str">
        <f aca="false">IF($BZ43&lt;&gt;Constants!$B$8,"",Constants!$B$25*ABS($AD$9-IF($AT43,$AU43,0)))</f>
        <v/>
      </c>
      <c r="BQ43" s="138" t="str">
        <f aca="false">IF($BZ43&lt;&gt;Constants!$B$8,"",IF(AND($AT43,$AY43,$AW43),Constants!$B$27,0))</f>
        <v/>
      </c>
      <c r="BR43" s="138" t="str">
        <f aca="false">IF($BZ43&lt;&gt;Constants!$B$8,"",IF($AT43,($AI43-Constants!$B$29)*Constants!$B$28,0))</f>
        <v/>
      </c>
      <c r="BS43" s="138" t="str">
        <f aca="false">IF($BZ43&lt;&gt;Constants!$B$8,"",IF($AS43,0,Constants!$B$15)+IF($AR43,0,Constants!$B$16)+IF($AH43,0,Constants!$B$17))</f>
        <v/>
      </c>
      <c r="BT43" s="139" t="str">
        <f aca="false">IF($BZ43&lt;&gt;Constants!$B$8,"",Constants!$B$20+SUM($BO43:$BS43))</f>
        <v/>
      </c>
      <c r="BU43" s="138" t="str">
        <f aca="false">IF($BZ43&lt;&gt;Constants!$B$8,"",$BO43)</f>
        <v/>
      </c>
      <c r="BV43" s="138" t="str">
        <f aca="false">IF($BZ43&lt;&gt;Constants!$B$8,"",$BP43)</f>
        <v/>
      </c>
      <c r="BW43" s="138" t="str">
        <f aca="false">IF($BZ43&lt;&gt;Constants!$B$8,"",IF($AT43,$AV43,""))</f>
        <v/>
      </c>
      <c r="BX43" s="140" t="str">
        <f aca="false">IF($BZ43&lt;&gt;Constants!$B$8,"",$AI43)</f>
        <v/>
      </c>
      <c r="BY43" s="135" t="str">
        <f aca="false">IF(ISBLANK($C43),"",IF(ISBLANK($D$7),$BY$5,IF(NOT(ISNUMBER($D$7)),$BY$6,"")))</f>
        <v/>
      </c>
      <c r="BZ43" s="135" t="str">
        <f aca="false">IF(ISBLANK($C43),"",IF($BA43,Constants!$B$11,IF(COUNTA($E43:$AA43)=0,Constants!$B$10,IF(NOT($AG43),Constants!$B$9,IF(OR($BY43&lt;&gt;"",$BB43,$BN43),Constants!$B$12,Constants!$B$8)))))</f>
        <v/>
      </c>
      <c r="CA43" s="135" t="str">
        <f aca="false">IF(ISBLANK($C43),"",IF($BZ43&lt;&gt;Constants!$B$8,$BZ43,Constants!$B$13))</f>
        <v/>
      </c>
      <c r="CB43" s="138" t="str">
        <f aca="false">IF($BZ43&lt;&gt;Constants!$B$8,"",IF($BM43="-&gt;",$BT43,$BH43))</f>
        <v/>
      </c>
      <c r="CC43" s="138" t="str">
        <f aca="false">IF($BZ43&lt;&gt;Constants!$B$8,"",IF($AF43,0,Constants!$B$18))</f>
        <v/>
      </c>
      <c r="CD43" s="138" t="str">
        <f aca="false">IF($BZ43&lt;&gt;Constants!$B$8,"",((Constants!$B$31-$AZ43)-Constants!$B$31)/Constants!$B$32)</f>
        <v/>
      </c>
      <c r="CE43" s="138" t="str">
        <f aca="false">IF(ISBLANK($C43),"",IF($BZ43&lt;&gt;Constants!$B$8,$BZ43,SUM($CB43:$CD43)))</f>
        <v/>
      </c>
      <c r="CF43" s="135" t="str">
        <f aca="false">IF(ISBLANK($C43),"",IF($BZ43&lt;&gt;Constants!$B$8,$BZ43,RANK($CE43,$CE$9:$CE$508,1)))</f>
        <v/>
      </c>
      <c r="CG43" s="138" t="str">
        <f aca="false">IF($BZ43&lt;&gt;Constants!$B$8,"",IF($BM43="-&gt;",$BU43,$BI43))</f>
        <v/>
      </c>
      <c r="CH43" s="135" t="str">
        <f aca="false">IF(ISBLANK($C43),"",IF($BZ43&lt;&gt;Constants!$B$8,$BZ43,IF(ISNUMBER($CG43),RANK($CG43,$CG$9:$CG$508,1),COUNT($CG$9:$CG$508)+1)))</f>
        <v/>
      </c>
      <c r="CI43" s="138" t="str">
        <f aca="false">IF($BZ43&lt;&gt;Constants!$B$8,"",IF($BM43="-&gt;",$BV43,$BJ43))</f>
        <v/>
      </c>
      <c r="CJ43" s="135" t="str">
        <f aca="false">IF(ISBLANK($C43),"",IF($BZ43&lt;&gt;Constants!$B$8,$BZ43,IF(ISNUMBER($CI43),RANK($CI43,$CI$9:$CI$508,1),COUNT($CI$9:$CI$508)+1)))</f>
        <v/>
      </c>
      <c r="CK43" s="138" t="str">
        <f aca="false">IF($BZ43&lt;&gt;Constants!$B$8,"",IF($BM43="-&gt;",$BW43,$BK43))</f>
        <v/>
      </c>
      <c r="CL43" s="135" t="str">
        <f aca="false">IF(ISBLANK($C43),"",IF($BZ43&lt;&gt;Constants!$B$8,$BZ43,IF(ISNUMBER($CK43),RANK($CK43,$CK$9:$CK$508,1),COUNT($CK$9:$CK$508)+1)))</f>
        <v/>
      </c>
      <c r="CM43" s="138" t="str">
        <f aca="false">IF($BZ43&lt;&gt;Constants!$B$8,"",IF(AND(NOT($AL43),NOT($AT43),$AJ43,$AK43,$AR43,$AS43),"",IF($BM43="-&gt;",$BX43,$BL43)))</f>
        <v/>
      </c>
      <c r="CN43" s="135" t="str">
        <f aca="false">IF(ISBLANK($C43),"",IF($BZ43&lt;&gt;Constants!$B$8,$BZ43,IF(ISNUMBER($CM43),RANK($CM43,$CM$9:$CM$508,1),COUNT($CM$9:$CM$508)+1)))</f>
        <v/>
      </c>
      <c r="CO43" s="135" t="str">
        <f aca="false">IF(ISBLANK($C43),"",IF($BZ43&lt;&gt;Constants!$B$8,$BZ43,COUNTIFS($CF$9:$CF$508,"&lt;"&amp;$CF43)+COUNTIFS($CF$9:$CF$508,$CF43,$CH$9:$CH$508,"&lt;"&amp;$CH43)+COUNTIFS($CF$9:$CF$508,$CF43,$CH$9:$CH$508,$CH43,$CJ$9:$CJ$508,"&lt;"&amp;$CJ43)+COUNTIFS($CF$9:$CF$508,$CF43,$CH$9:$CH$508,$CH43,$CJ$9:$CJ$508,$CJ43,$CL$9:$CL$508,"&lt;"&amp;$CL43)+COUNTIFS($CF$9:$CF$508,$CF43,$CH$9:$CH$508,$CH43,$CJ$9:$CJ$508,$CJ43,$CL$9:$CL$508,$CL43,$CN$9:$CN$508,"&lt;"&amp;$CN43)+1))</f>
        <v/>
      </c>
      <c r="CP43" s="135" t="str">
        <f aca="false">IF(ISBLANK($C43),"",IF($BZ43&lt;&gt;Constants!$B$8,$BZ43,$CF43-$CO43))</f>
        <v/>
      </c>
      <c r="CQ43" s="141"/>
      <c r="CR43" s="142"/>
      <c r="CS43" s="143" t="str">
        <f aca="false">IF(ISBLANK($C43),"",IF($BZ43=Constants!$B$12,$BY43,""))</f>
        <v/>
      </c>
      <c r="CT43" s="142" t="str">
        <f aca="false">IF(ISBLANK($C43),"",IF($BZ43&lt;&gt;Constants!$B$8,"",IF($BM43="-&gt;",2,1)))</f>
        <v/>
      </c>
      <c r="CU43" s="144" t="str">
        <f aca="false">IF(ISBLANK($C43),"",IF($BZ43&lt;&gt;Constants!$B$8,"",IF($BM43="-&gt;",$BO43,$BC43)))</f>
        <v/>
      </c>
      <c r="CV43" s="144" t="str">
        <f aca="false">IF(ISBLANK($C43),"",IF($BZ43&lt;&gt;Constants!$B$8,"",IF($BM43="-&gt;",$BP43,$BD43)))</f>
        <v/>
      </c>
      <c r="CW43" s="144" t="str">
        <f aca="false">IF(ISBLANK($C43),"",IF($BZ43&lt;&gt;Constants!$B$8,"",IF($BM43="-&gt;",$BQ43+$BR43,$BE43+$BF43)+$CD43))</f>
        <v/>
      </c>
      <c r="CX43" s="144" t="str">
        <f aca="false">IF(ISBLANK($C43),"",IF($BZ43&lt;&gt;Constants!$B$8,"",IF($BM43="-&gt;",$BS43,$BG43)+$CC43))</f>
        <v/>
      </c>
      <c r="CY43" s="145" t="str">
        <f aca="false">IF(ISBLANK($C43),"",IF($BZ43&lt;&gt;Constants!$B$8,$BZ43,$CE43))</f>
        <v/>
      </c>
      <c r="CZ43" s="146" t="str">
        <f aca="false">IF(ISBLANK($C43),"",$CA43)</f>
        <v/>
      </c>
      <c r="DA43" s="147" t="str">
        <f aca="false">IF(ISBLANK($C43),"",$CP43)</f>
        <v/>
      </c>
      <c r="DB43" s="147" t="str">
        <f aca="false">IF(ISBLANK($C43),"",$CO43)</f>
        <v/>
      </c>
      <c r="DC43" s="148" t="str">
        <f aca="false">IF(ISBLANK($C43),"",IFERROR(_xlfn.SWITCH($DB43,Constants!$B$11,COUNTA($C$9:$C$508)+2,Constants!$B$10,COUNTA($C$9:$C$508)+1,Constants!$B$9,COUNTA($C$9:$C$508)),$DB43))</f>
        <v/>
      </c>
      <c r="DD43" s="9"/>
      <c r="DE43" s="149" t="n">
        <f aca="false">IF(OR(ISNUMBER($DB43),$DB43=Constants!$B$11,$DB43=Constants!$B$9,$DB43=Constants!$B$10),1,0)</f>
        <v>0</v>
      </c>
      <c r="DF43" s="149" t="n">
        <v>35</v>
      </c>
      <c r="DG43" s="149" t="str">
        <f aca="false">IF(ISBLANK($C43),"",IF(ISNUMBER($DC43),$DC43+ROW($B43)/1000,""))</f>
        <v/>
      </c>
      <c r="DH43" s="149" t="str">
        <f aca="false">IF(ISNUMBER($DG43),RANK($DG43,$DG$9:$DG$508,1),"")</f>
        <v/>
      </c>
      <c r="DI43" s="149" t="str">
        <f aca="false">IF(ISBLANK($C43),"",$B43)</f>
        <v/>
      </c>
      <c r="DJ43" s="149" t="str">
        <f aca="false">IF(ISBLANK($C43),"",$C43)</f>
        <v/>
      </c>
      <c r="DK43" s="149" t="str">
        <f aca="false">IF(ISBLANK($C43),"",$D43)</f>
        <v/>
      </c>
      <c r="DL43" s="150" t="str">
        <f aca="false">$CZ43</f>
        <v/>
      </c>
      <c r="DM43" s="151" t="str">
        <f aca="false">$CY43</f>
        <v/>
      </c>
      <c r="DN43" s="149" t="str">
        <f aca="false">IF(ISBLANK($C43),"",$DB43)</f>
        <v/>
      </c>
      <c r="DO43" s="152" t="str">
        <f aca="false">IF($DF43&gt;$DE$8,"",VLOOKUP($DF43,$DH$9:$DN$508,7,FALSE()))</f>
        <v/>
      </c>
      <c r="DP43" s="153" t="str">
        <f aca="false">IF($DF43&gt;$DE$8,"",VLOOKUP($DF43,$DH$9:$DN$508,2,FALSE()))</f>
        <v/>
      </c>
      <c r="DQ43" s="153" t="str">
        <f aca="false">IF($DF43&gt;$DE$8,"",VLOOKUP($DF43,$DH$9:$DN$508,3,FALSE()))</f>
        <v/>
      </c>
      <c r="DR43" s="153" t="str">
        <f aca="false">IF($DF43&gt;$DE$8,"",VLOOKUP($DF43,$DH$9:$DN$508,4,FALSE()))</f>
        <v/>
      </c>
      <c r="DS43" s="153" t="str">
        <f aca="false">IF($DF43&gt;$DE$8,"",VLOOKUP($DF43,$DH$9:$DN$508,5,FALSE()))</f>
        <v/>
      </c>
      <c r="DT43" s="154" t="str">
        <f aca="false">IF($DF43&gt;$DE$8,"",VLOOKUP($DF43,$DH$9:$DN$508,6,FALSE()))</f>
        <v/>
      </c>
      <c r="DU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IF(ISBLANK($C44),"",IF(E44=Constants!$B$3,TRUE(),IF(E44=Constants!$B$4,FALSE(),TRUE())))</f>
        <v/>
      </c>
      <c r="AG44" s="135" t="str">
        <f aca="false">IF(ISBLANK($C44),"",IF(F44=Constants!$B$3,TRUE(),IF(F44=Constants!$B$4,FALSE(),TRUE())))</f>
        <v/>
      </c>
      <c r="AH44" s="135" t="str">
        <f aca="false">IF(ISBLANK($C44),"",IF(G44=Constants!$B$3,TRUE(),IF(G44=Constants!$B$4,FALSE(),TRUE())))</f>
        <v/>
      </c>
      <c r="AI44" s="135" t="str">
        <f aca="false">IF(ISBLANK($C44),"",IF(AND(ISNUMBER(H44),H44&gt;=0),H44,Constants!$B$29))</f>
        <v/>
      </c>
      <c r="AJ44" s="135" t="str">
        <f aca="false">IF(ISBLANK($C44),"",IF(I44=Constants!$B$3,TRUE(),IF(I44=Constants!$B$4,FALSE(),TRUE())))</f>
        <v/>
      </c>
      <c r="AK44" s="135" t="str">
        <f aca="false">IF(ISBLANK($C44),"",IF(J44=Constants!$B$3,TRUE(),IF(J44=Constants!$B$4,FALSE(),TRUE())))</f>
        <v/>
      </c>
      <c r="AL44" s="135" t="str">
        <f aca="false">IF(ISBLANK($C44),"",IF(K44=Constants!$B$5,TRUE(),IF(K44=Constants!$B$6,FALSE(),COUNTA(L44:P44)&gt;0)))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IF(ISBLANK($C44),"",IF(N44=Constants!$B$3,TRUE(),IF(N44=Constants!$B$4,FALSE(),TRUE())))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IF(ISBLANK($C44),"",IF(P44=Constants!$B$3,TRUE(),IF(P44=Constants!$B$4,FALSE(),FALSE())))</f>
        <v/>
      </c>
      <c r="AR44" s="135" t="str">
        <f aca="false">IF(ISBLANK($C44),"",IF(Q44=Constants!$B$3,TRUE(),IF(Q44=Constants!$B$4,FALSE(),TRUE())))</f>
        <v/>
      </c>
      <c r="AS44" s="135" t="str">
        <f aca="false">IF(ISBLANK($C44),"",IF(R44=Constants!$B$3,TRUE(),IF(R44=Constants!$B$4,FALSE(),TRUE())))</f>
        <v/>
      </c>
      <c r="AT44" s="135" t="str">
        <f aca="false">IF(ISBLANK($C44),"",IF(S44=Constants!$B$5,TRUE(),IF(S44=Constants!$B$6,FALSE(),COUNTA(T44:X44)&gt;0)))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IF(ISBLANK($C44),"",IF(V44=Constants!$B$3,TRUE(),IF(V44=Constants!$B$4,FALSE(),TRUE())))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IF(ISBLANK($C44),"",IF(X44=Constants!$B$3,TRUE(),IF(X44=Constants!$B$4,FALSE(),FALSE())))</f>
        <v/>
      </c>
      <c r="AZ44" s="135" t="str">
        <f aca="false">IF(ISBLANK($C44),"",MIN(Constants!$B$31,MAX(0,IF(ISNUMBER(Y44),Y44*60,0)+IF(ISNUMBER(Z44),Z44,0))))</f>
        <v/>
      </c>
      <c r="BA44" s="135" t="str">
        <f aca="false">IF(ISBLANK($C44),"",IF(AA44=Constants!$B$3,TRUE(),IF(AA44=Constants!$B$4,FALSE(),FALSE())))</f>
        <v/>
      </c>
      <c r="BB44" s="134" t="str">
        <f aca="false">IF(ISBLANK($C44),"",AND($AL44,OR($AM44="",$AN44="",AND($AO44,$AP44=""))))</f>
        <v/>
      </c>
      <c r="BC44" s="137" t="str">
        <f aca="false">IF($BZ44&lt;&gt;Constants!$B$8,"",IF($AL44,Constants!$B$21*$AN44+Constants!$B$22*IF($AO44,$AP44,Constants!$B$23),Constants!$B$24))</f>
        <v/>
      </c>
      <c r="BD44" s="138" t="str">
        <f aca="false">IF($BZ44&lt;&gt;Constants!$B$8,"",Constants!$B$25*ABS($AD$9-IF($AL44,$AM44,0)))</f>
        <v/>
      </c>
      <c r="BE44" s="138" t="str">
        <f aca="false">IF($BZ44&lt;&gt;Constants!$B$8,"",IF(AND($AL44,$AQ44,$AO44),Constants!$B$27,0))</f>
        <v/>
      </c>
      <c r="BF44" s="138" t="str">
        <f aca="false">IF($BZ44&lt;&gt;Constants!$B$8,"",IF($AL44,($AI44-Constants!$B$29)*Constants!$B$28,0))</f>
        <v/>
      </c>
      <c r="BG44" s="138" t="str">
        <f aca="false">IF($BZ44&lt;&gt;Constants!$B$8,"",IF($AK44,0,Constants!$B$15)+IF($AJ44,0,Constants!$B$16)+IF($AH44,0,Constants!$B$17))</f>
        <v/>
      </c>
      <c r="BH44" s="139" t="str">
        <f aca="false">IF($BZ44&lt;&gt;Constants!$B$8,"",Constants!$B$20+SUM($BC44:$BG44))</f>
        <v/>
      </c>
      <c r="BI44" s="138" t="str">
        <f aca="false">IF($BZ44&lt;&gt;Constants!$B$8,"",$BC44)</f>
        <v/>
      </c>
      <c r="BJ44" s="138" t="str">
        <f aca="false">IF($BZ44&lt;&gt;Constants!$B$8,"",$BD44)</f>
        <v/>
      </c>
      <c r="BK44" s="138" t="str">
        <f aca="false">IF($BZ44&lt;&gt;Constants!$B$8,"",IF($AL44,$AN44,""))</f>
        <v/>
      </c>
      <c r="BL44" s="140" t="str">
        <f aca="false">IF($BZ44&lt;&gt;Constants!$B$8,"",$AI44)</f>
        <v/>
      </c>
      <c r="BM44" s="135" t="str">
        <f aca="false">IF($BZ44&lt;&gt;Constants!$B$8,"",IF(OR($BT44&lt;$BH44,AND($BT44=$BH44,OR($BU44&lt;$BI44,AND($BU44=$BI44,OR($BV44&lt;$BJ44,AND($BV44=$BJ44,OR(AND(ISNUMBER($BW44),OR(NOT(ISNUMBER($BK44)),$BW44&lt;$BK44)),AND(OR(AND($BW44="",$BK44=""),AND(ISNUMBER($BW44),ISNUMBER($BK44),$BW44=$BK44)),$BX44&lt;$BL44)))))))),"-&gt;","&lt;-"))</f>
        <v/>
      </c>
      <c r="BN44" s="134" t="str">
        <f aca="false">IF(ISBLANK($C44),"",AND($AT44,OR($AU44="",$AV44="",AND($AW44,$AX44=""))))</f>
        <v/>
      </c>
      <c r="BO44" s="137" t="str">
        <f aca="false">IF($BZ44&lt;&gt;Constants!$B$8,"",IF($AT44,Constants!$B$21*$AV44+Constants!$B$22*IF($AW44,$AX44,Constants!$B$23),Constants!$B$24))</f>
        <v/>
      </c>
      <c r="BP44" s="138" t="str">
        <f aca="false">IF($BZ44&lt;&gt;Constants!$B$8,"",Constants!$B$25*ABS($AD$9-IF($AT44,$AU44,0)))</f>
        <v/>
      </c>
      <c r="BQ44" s="138" t="str">
        <f aca="false">IF($BZ44&lt;&gt;Constants!$B$8,"",IF(AND($AT44,$AY44,$AW44),Constants!$B$27,0))</f>
        <v/>
      </c>
      <c r="BR44" s="138" t="str">
        <f aca="false">IF($BZ44&lt;&gt;Constants!$B$8,"",IF($AT44,($AI44-Constants!$B$29)*Constants!$B$28,0))</f>
        <v/>
      </c>
      <c r="BS44" s="138" t="str">
        <f aca="false">IF($BZ44&lt;&gt;Constants!$B$8,"",IF($AS44,0,Constants!$B$15)+IF($AR44,0,Constants!$B$16)+IF($AH44,0,Constants!$B$17))</f>
        <v/>
      </c>
      <c r="BT44" s="139" t="str">
        <f aca="false">IF($BZ44&lt;&gt;Constants!$B$8,"",Constants!$B$20+SUM($BO44:$BS44))</f>
        <v/>
      </c>
      <c r="BU44" s="138" t="str">
        <f aca="false">IF($BZ44&lt;&gt;Constants!$B$8,"",$BO44)</f>
        <v/>
      </c>
      <c r="BV44" s="138" t="str">
        <f aca="false">IF($BZ44&lt;&gt;Constants!$B$8,"",$BP44)</f>
        <v/>
      </c>
      <c r="BW44" s="138" t="str">
        <f aca="false">IF($BZ44&lt;&gt;Constants!$B$8,"",IF($AT44,$AV44,""))</f>
        <v/>
      </c>
      <c r="BX44" s="140" t="str">
        <f aca="false">IF($BZ44&lt;&gt;Constants!$B$8,"",$AI44)</f>
        <v/>
      </c>
      <c r="BY44" s="135" t="str">
        <f aca="false">IF(ISBLANK($C44),"",IF(ISBLANK($D$7),$BY$5,IF(NOT(ISNUMBER($D$7)),$BY$6,"")))</f>
        <v/>
      </c>
      <c r="BZ44" s="135" t="str">
        <f aca="false">IF(ISBLANK($C44),"",IF($BA44,Constants!$B$11,IF(COUNTA($E44:$AA44)=0,Constants!$B$10,IF(NOT($AG44),Constants!$B$9,IF(OR($BY44&lt;&gt;"",$BB44,$BN44),Constants!$B$12,Constants!$B$8)))))</f>
        <v/>
      </c>
      <c r="CA44" s="135" t="str">
        <f aca="false">IF(ISBLANK($C44),"",IF($BZ44&lt;&gt;Constants!$B$8,$BZ44,Constants!$B$13))</f>
        <v/>
      </c>
      <c r="CB44" s="138" t="str">
        <f aca="false">IF($BZ44&lt;&gt;Constants!$B$8,"",IF($BM44="-&gt;",$BT44,$BH44))</f>
        <v/>
      </c>
      <c r="CC44" s="138" t="str">
        <f aca="false">IF($BZ44&lt;&gt;Constants!$B$8,"",IF($AF44,0,Constants!$B$18))</f>
        <v/>
      </c>
      <c r="CD44" s="138" t="str">
        <f aca="false">IF($BZ44&lt;&gt;Constants!$B$8,"",((Constants!$B$31-$AZ44)-Constants!$B$31)/Constants!$B$32)</f>
        <v/>
      </c>
      <c r="CE44" s="138" t="str">
        <f aca="false">IF(ISBLANK($C44),"",IF($BZ44&lt;&gt;Constants!$B$8,$BZ44,SUM($CB44:$CD44)))</f>
        <v/>
      </c>
      <c r="CF44" s="135" t="str">
        <f aca="false">IF(ISBLANK($C44),"",IF($BZ44&lt;&gt;Constants!$B$8,$BZ44,RANK($CE44,$CE$9:$CE$508,1)))</f>
        <v/>
      </c>
      <c r="CG44" s="138" t="str">
        <f aca="false">IF($BZ44&lt;&gt;Constants!$B$8,"",IF($BM44="-&gt;",$BU44,$BI44))</f>
        <v/>
      </c>
      <c r="CH44" s="135" t="str">
        <f aca="false">IF(ISBLANK($C44),"",IF($BZ44&lt;&gt;Constants!$B$8,$BZ44,IF(ISNUMBER($CG44),RANK($CG44,$CG$9:$CG$508,1),COUNT($CG$9:$CG$508)+1)))</f>
        <v/>
      </c>
      <c r="CI44" s="138" t="str">
        <f aca="false">IF($BZ44&lt;&gt;Constants!$B$8,"",IF($BM44="-&gt;",$BV44,$BJ44))</f>
        <v/>
      </c>
      <c r="CJ44" s="135" t="str">
        <f aca="false">IF(ISBLANK($C44),"",IF($BZ44&lt;&gt;Constants!$B$8,$BZ44,IF(ISNUMBER($CI44),RANK($CI44,$CI$9:$CI$508,1),COUNT($CI$9:$CI$508)+1)))</f>
        <v/>
      </c>
      <c r="CK44" s="138" t="str">
        <f aca="false">IF($BZ44&lt;&gt;Constants!$B$8,"",IF($BM44="-&gt;",$BW44,$BK44))</f>
        <v/>
      </c>
      <c r="CL44" s="135" t="str">
        <f aca="false">IF(ISBLANK($C44),"",IF($BZ44&lt;&gt;Constants!$B$8,$BZ44,IF(ISNUMBER($CK44),RANK($CK44,$CK$9:$CK$508,1),COUNT($CK$9:$CK$508)+1)))</f>
        <v/>
      </c>
      <c r="CM44" s="138" t="str">
        <f aca="false">IF($BZ44&lt;&gt;Constants!$B$8,"",IF(AND(NOT($AL44),NOT($AT44),$AJ44,$AK44,$AR44,$AS44),"",IF($BM44="-&gt;",$BX44,$BL44)))</f>
        <v/>
      </c>
      <c r="CN44" s="135" t="str">
        <f aca="false">IF(ISBLANK($C44),"",IF($BZ44&lt;&gt;Constants!$B$8,$BZ44,IF(ISNUMBER($CM44),RANK($CM44,$CM$9:$CM$508,1),COUNT($CM$9:$CM$508)+1)))</f>
        <v/>
      </c>
      <c r="CO44" s="135" t="str">
        <f aca="false">IF(ISBLANK($C44),"",IF($BZ44&lt;&gt;Constants!$B$8,$BZ44,COUNTIFS($CF$9:$CF$508,"&lt;"&amp;$CF44)+COUNTIFS($CF$9:$CF$508,$CF44,$CH$9:$CH$508,"&lt;"&amp;$CH44)+COUNTIFS($CF$9:$CF$508,$CF44,$CH$9:$CH$508,$CH44,$CJ$9:$CJ$508,"&lt;"&amp;$CJ44)+COUNTIFS($CF$9:$CF$508,$CF44,$CH$9:$CH$508,$CH44,$CJ$9:$CJ$508,$CJ44,$CL$9:$CL$508,"&lt;"&amp;$CL44)+COUNTIFS($CF$9:$CF$508,$CF44,$CH$9:$CH$508,$CH44,$CJ$9:$CJ$508,$CJ44,$CL$9:$CL$508,$CL44,$CN$9:$CN$508,"&lt;"&amp;$CN44)+1))</f>
        <v/>
      </c>
      <c r="CP44" s="135" t="str">
        <f aca="false">IF(ISBLANK($C44),"",IF($BZ44&lt;&gt;Constants!$B$8,$BZ44,$CF44-$CO44))</f>
        <v/>
      </c>
      <c r="CQ44" s="141"/>
      <c r="CR44" s="142"/>
      <c r="CS44" s="143" t="str">
        <f aca="false">IF(ISBLANK($C44),"",IF($BZ44=Constants!$B$12,$BY44,""))</f>
        <v/>
      </c>
      <c r="CT44" s="142" t="str">
        <f aca="false">IF(ISBLANK($C44),"",IF($BZ44&lt;&gt;Constants!$B$8,"",IF($BM44="-&gt;",2,1)))</f>
        <v/>
      </c>
      <c r="CU44" s="144" t="str">
        <f aca="false">IF(ISBLANK($C44),"",IF($BZ44&lt;&gt;Constants!$B$8,"",IF($BM44="-&gt;",$BO44,$BC44)))</f>
        <v/>
      </c>
      <c r="CV44" s="144" t="str">
        <f aca="false">IF(ISBLANK($C44),"",IF($BZ44&lt;&gt;Constants!$B$8,"",IF($BM44="-&gt;",$BP44,$BD44)))</f>
        <v/>
      </c>
      <c r="CW44" s="144" t="str">
        <f aca="false">IF(ISBLANK($C44),"",IF($BZ44&lt;&gt;Constants!$B$8,"",IF($BM44="-&gt;",$BQ44+$BR44,$BE44+$BF44)+$CD44))</f>
        <v/>
      </c>
      <c r="CX44" s="144" t="str">
        <f aca="false">IF(ISBLANK($C44),"",IF($BZ44&lt;&gt;Constants!$B$8,"",IF($BM44="-&gt;",$BS44,$BG44)+$CC44))</f>
        <v/>
      </c>
      <c r="CY44" s="145" t="str">
        <f aca="false">IF(ISBLANK($C44),"",IF($BZ44&lt;&gt;Constants!$B$8,$BZ44,$CE44))</f>
        <v/>
      </c>
      <c r="CZ44" s="146" t="str">
        <f aca="false">IF(ISBLANK($C44),"",$CA44)</f>
        <v/>
      </c>
      <c r="DA44" s="147" t="str">
        <f aca="false">IF(ISBLANK($C44),"",$CP44)</f>
        <v/>
      </c>
      <c r="DB44" s="147" t="str">
        <f aca="false">IF(ISBLANK($C44),"",$CO44)</f>
        <v/>
      </c>
      <c r="DC44" s="148" t="str">
        <f aca="false">IF(ISBLANK($C44),"",IFERROR(_xlfn.SWITCH($DB44,Constants!$B$11,COUNTA($C$9:$C$508)+2,Constants!$B$10,COUNTA($C$9:$C$508)+1,Constants!$B$9,COUNTA($C$9:$C$508)),$DB44))</f>
        <v/>
      </c>
      <c r="DD44" s="9"/>
      <c r="DE44" s="149" t="n">
        <f aca="false">IF(OR(ISNUMBER($DB44),$DB44=Constants!$B$11,$DB44=Constants!$B$9,$DB44=Constants!$B$10),1,0)</f>
        <v>0</v>
      </c>
      <c r="DF44" s="149" t="n">
        <v>36</v>
      </c>
      <c r="DG44" s="149" t="str">
        <f aca="false">IF(ISBLANK($C44),"",IF(ISNUMBER($DC44),$DC44+ROW($B44)/1000,""))</f>
        <v/>
      </c>
      <c r="DH44" s="149" t="str">
        <f aca="false">IF(ISNUMBER($DG44),RANK($DG44,$DG$9:$DG$508,1),"")</f>
        <v/>
      </c>
      <c r="DI44" s="149" t="str">
        <f aca="false">IF(ISBLANK($C44),"",$B44)</f>
        <v/>
      </c>
      <c r="DJ44" s="149" t="str">
        <f aca="false">IF(ISBLANK($C44),"",$C44)</f>
        <v/>
      </c>
      <c r="DK44" s="149" t="str">
        <f aca="false">IF(ISBLANK($C44),"",$D44)</f>
        <v/>
      </c>
      <c r="DL44" s="150" t="str">
        <f aca="false">$CZ44</f>
        <v/>
      </c>
      <c r="DM44" s="151" t="str">
        <f aca="false">$CY44</f>
        <v/>
      </c>
      <c r="DN44" s="149" t="str">
        <f aca="false">IF(ISBLANK($C44),"",$DB44)</f>
        <v/>
      </c>
      <c r="DO44" s="152" t="str">
        <f aca="false">IF($DF44&gt;$DE$8,"",VLOOKUP($DF44,$DH$9:$DN$508,7,FALSE()))</f>
        <v/>
      </c>
      <c r="DP44" s="153" t="str">
        <f aca="false">IF($DF44&gt;$DE$8,"",VLOOKUP($DF44,$DH$9:$DN$508,2,FALSE()))</f>
        <v/>
      </c>
      <c r="DQ44" s="153" t="str">
        <f aca="false">IF($DF44&gt;$DE$8,"",VLOOKUP($DF44,$DH$9:$DN$508,3,FALSE()))</f>
        <v/>
      </c>
      <c r="DR44" s="153" t="str">
        <f aca="false">IF($DF44&gt;$DE$8,"",VLOOKUP($DF44,$DH$9:$DN$508,4,FALSE()))</f>
        <v/>
      </c>
      <c r="DS44" s="153" t="str">
        <f aca="false">IF($DF44&gt;$DE$8,"",VLOOKUP($DF44,$DH$9:$DN$508,5,FALSE()))</f>
        <v/>
      </c>
      <c r="DT44" s="154" t="str">
        <f aca="false">IF($DF44&gt;$DE$8,"",VLOOKUP($DF44,$DH$9:$DN$508,6,FALSE()))</f>
        <v/>
      </c>
      <c r="DU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IF(ISBLANK($C45),"",IF(E45=Constants!$B$3,TRUE(),IF(E45=Constants!$B$4,FALSE(),TRUE())))</f>
        <v/>
      </c>
      <c r="AG45" s="93" t="str">
        <f aca="false">IF(ISBLANK($C45),"",IF(F45=Constants!$B$3,TRUE(),IF(F45=Constants!$B$4,FALSE(),TRUE())))</f>
        <v/>
      </c>
      <c r="AH45" s="93" t="str">
        <f aca="false">IF(ISBLANK($C45),"",IF(G45=Constants!$B$3,TRUE(),IF(G45=Constants!$B$4,FALSE(),TRUE())))</f>
        <v/>
      </c>
      <c r="AI45" s="93" t="str">
        <f aca="false">IF(ISBLANK($C45),"",IF(AND(ISNUMBER(H45),H45&gt;=0),H45,Constants!$B$29))</f>
        <v/>
      </c>
      <c r="AJ45" s="93" t="str">
        <f aca="false">IF(ISBLANK($C45),"",IF(I45=Constants!$B$3,TRUE(),IF(I45=Constants!$B$4,FALSE(),TRUE())))</f>
        <v/>
      </c>
      <c r="AK45" s="93" t="str">
        <f aca="false">IF(ISBLANK($C45),"",IF(J45=Constants!$B$3,TRUE(),IF(J45=Constants!$B$4,FALSE(),TRUE())))</f>
        <v/>
      </c>
      <c r="AL45" s="93" t="str">
        <f aca="false">IF(ISBLANK($C45),"",IF(K45=Constants!$B$5,TRUE(),IF(K45=Constants!$B$6,FALSE(),COUNTA(L45:P45)&gt;0)))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IF(ISBLANK($C45),"",IF(N45=Constants!$B$3,TRUE(),IF(N45=Constants!$B$4,FALSE(),TRUE())))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IF(ISBLANK($C45),"",IF(P45=Constants!$B$3,TRUE(),IF(P45=Constants!$B$4,FALSE(),FALSE())))</f>
        <v/>
      </c>
      <c r="AR45" s="93" t="str">
        <f aca="false">IF(ISBLANK($C45),"",IF(Q45=Constants!$B$3,TRUE(),IF(Q45=Constants!$B$4,FALSE(),TRUE())))</f>
        <v/>
      </c>
      <c r="AS45" s="93" t="str">
        <f aca="false">IF(ISBLANK($C45),"",IF(R45=Constants!$B$3,TRUE(),IF(R45=Constants!$B$4,FALSE(),TRUE())))</f>
        <v/>
      </c>
      <c r="AT45" s="93" t="str">
        <f aca="false">IF(ISBLANK($C45),"",IF(S45=Constants!$B$5,TRUE(),IF(S45=Constants!$B$6,FALSE(),COUNTA(T45:X45)&gt;0)))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IF(ISBLANK($C45),"",IF(V45=Constants!$B$3,TRUE(),IF(V45=Constants!$B$4,FALSE(),TRUE())))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IF(ISBLANK($C45),"",IF(X45=Constants!$B$3,TRUE(),IF(X45=Constants!$B$4,FALSE(),FALSE())))</f>
        <v/>
      </c>
      <c r="AZ45" s="93" t="str">
        <f aca="false">IF(ISBLANK($C45),"",MIN(Constants!$B$31,MAX(0,IF(ISNUMBER(Y45),Y45*60,0)+IF(ISNUMBER(Z45),Z45,0))))</f>
        <v/>
      </c>
      <c r="BA45" s="93" t="str">
        <f aca="false">IF(ISBLANK($C45),"",IF(AA45=Constants!$B$3,TRUE(),IF(AA45=Constants!$B$4,FALSE(),FALSE())))</f>
        <v/>
      </c>
      <c r="BB45" s="92" t="str">
        <f aca="false">IF(ISBLANK($C45),"",AND($AL45,OR($AM45="",$AN45="",AND($AO45,$AP45=""))))</f>
        <v/>
      </c>
      <c r="BC45" s="94" t="str">
        <f aca="false">IF($BZ45&lt;&gt;Constants!$B$8,"",IF($AL45,Constants!$B$21*$AN45+Constants!$B$22*IF($AO45,$AP45,Constants!$B$23),Constants!$B$24))</f>
        <v/>
      </c>
      <c r="BD45" s="97" t="str">
        <f aca="false">IF($BZ45&lt;&gt;Constants!$B$8,"",Constants!$B$25*ABS($AD$9-IF($AL45,$AM45,0)))</f>
        <v/>
      </c>
      <c r="BE45" s="97" t="str">
        <f aca="false">IF($BZ45&lt;&gt;Constants!$B$8,"",IF(AND($AL45,$AQ45,$AO45),Constants!$B$27,0))</f>
        <v/>
      </c>
      <c r="BF45" s="97" t="str">
        <f aca="false">IF($BZ45&lt;&gt;Constants!$B$8,"",IF($AL45,($AI45-Constants!$B$29)*Constants!$B$28,0))</f>
        <v/>
      </c>
      <c r="BG45" s="97" t="str">
        <f aca="false">IF($BZ45&lt;&gt;Constants!$B$8,"",IF($AK45,0,Constants!$B$15)+IF($AJ45,0,Constants!$B$16)+IF($AH45,0,Constants!$B$17))</f>
        <v/>
      </c>
      <c r="BH45" s="98" t="str">
        <f aca="false">IF($BZ45&lt;&gt;Constants!$B$8,"",Constants!$B$20+SUM($BC45:$BG45))</f>
        <v/>
      </c>
      <c r="BI45" s="97" t="str">
        <f aca="false">IF($BZ45&lt;&gt;Constants!$B$8,"",$BC45)</f>
        <v/>
      </c>
      <c r="BJ45" s="97" t="str">
        <f aca="false">IF($BZ45&lt;&gt;Constants!$B$8,"",$BD45)</f>
        <v/>
      </c>
      <c r="BK45" s="97" t="str">
        <f aca="false">IF($BZ45&lt;&gt;Constants!$B$8,"",IF($AL45,$AN45,""))</f>
        <v/>
      </c>
      <c r="BL45" s="99" t="str">
        <f aca="false">IF($BZ45&lt;&gt;Constants!$B$8,"",$AI45)</f>
        <v/>
      </c>
      <c r="BM45" s="93" t="str">
        <f aca="false">IF($BZ45&lt;&gt;Constants!$B$8,"",IF(OR($BT45&lt;$BH45,AND($BT45=$BH45,OR($BU45&lt;$BI45,AND($BU45=$BI45,OR($BV45&lt;$BJ45,AND($BV45=$BJ45,OR(AND(ISNUMBER($BW45),OR(NOT(ISNUMBER($BK45)),$BW45&lt;$BK45)),AND(OR(AND($BW45="",$BK45=""),AND(ISNUMBER($BW45),ISNUMBER($BK45),$BW45=$BK45)),$BX45&lt;$BL45)))))))),"-&gt;","&lt;-"))</f>
        <v/>
      </c>
      <c r="BN45" s="92" t="str">
        <f aca="false">IF(ISBLANK($C45),"",AND($AT45,OR($AU45="",$AV45="",AND($AW45,$AX45=""))))</f>
        <v/>
      </c>
      <c r="BO45" s="94" t="str">
        <f aca="false">IF($BZ45&lt;&gt;Constants!$B$8,"",IF($AT45,Constants!$B$21*$AV45+Constants!$B$22*IF($AW45,$AX45,Constants!$B$23),Constants!$B$24))</f>
        <v/>
      </c>
      <c r="BP45" s="97" t="str">
        <f aca="false">IF($BZ45&lt;&gt;Constants!$B$8,"",Constants!$B$25*ABS($AD$9-IF($AT45,$AU45,0)))</f>
        <v/>
      </c>
      <c r="BQ45" s="97" t="str">
        <f aca="false">IF($BZ45&lt;&gt;Constants!$B$8,"",IF(AND($AT45,$AY45,$AW45),Constants!$B$27,0))</f>
        <v/>
      </c>
      <c r="BR45" s="97" t="str">
        <f aca="false">IF($BZ45&lt;&gt;Constants!$B$8,"",IF($AT45,($AI45-Constants!$B$29)*Constants!$B$28,0))</f>
        <v/>
      </c>
      <c r="BS45" s="97" t="str">
        <f aca="false">IF($BZ45&lt;&gt;Constants!$B$8,"",IF($AS45,0,Constants!$B$15)+IF($AR45,0,Constants!$B$16)+IF($AH45,0,Constants!$B$17))</f>
        <v/>
      </c>
      <c r="BT45" s="98" t="str">
        <f aca="false">IF($BZ45&lt;&gt;Constants!$B$8,"",Constants!$B$20+SUM($BO45:$BS45))</f>
        <v/>
      </c>
      <c r="BU45" s="97" t="str">
        <f aca="false">IF($BZ45&lt;&gt;Constants!$B$8,"",$BO45)</f>
        <v/>
      </c>
      <c r="BV45" s="97" t="str">
        <f aca="false">IF($BZ45&lt;&gt;Constants!$B$8,"",$BP45)</f>
        <v/>
      </c>
      <c r="BW45" s="97" t="str">
        <f aca="false">IF($BZ45&lt;&gt;Constants!$B$8,"",IF($AT45,$AV45,""))</f>
        <v/>
      </c>
      <c r="BX45" s="99" t="str">
        <f aca="false">IF($BZ45&lt;&gt;Constants!$B$8,"",$AI45)</f>
        <v/>
      </c>
      <c r="BY45" s="93" t="str">
        <f aca="false">IF(ISBLANK($C45),"",IF(ISBLANK($D$7),$BY$5,IF(NOT(ISNUMBER($D$7)),$BY$6,"")))</f>
        <v/>
      </c>
      <c r="BZ45" s="93" t="str">
        <f aca="false">IF(ISBLANK($C45),"",IF($BA45,Constants!$B$11,IF(COUNTA($E45:$AA45)=0,Constants!$B$10,IF(NOT($AG45),Constants!$B$9,IF(OR($BY45&lt;&gt;"",$BB45,$BN45),Constants!$B$12,Constants!$B$8)))))</f>
        <v/>
      </c>
      <c r="CA45" s="93" t="str">
        <f aca="false">IF(ISBLANK($C45),"",IF($BZ45&lt;&gt;Constants!$B$8,$BZ45,Constants!$B$13))</f>
        <v/>
      </c>
      <c r="CB45" s="97" t="str">
        <f aca="false">IF($BZ45&lt;&gt;Constants!$B$8,"",IF($BM45="-&gt;",$BT45,$BH45))</f>
        <v/>
      </c>
      <c r="CC45" s="97" t="str">
        <f aca="false">IF($BZ45&lt;&gt;Constants!$B$8,"",IF($AF45,0,Constants!$B$18))</f>
        <v/>
      </c>
      <c r="CD45" s="97" t="str">
        <f aca="false">IF($BZ45&lt;&gt;Constants!$B$8,"",((Constants!$B$31-$AZ45)-Constants!$B$31)/Constants!$B$32)</f>
        <v/>
      </c>
      <c r="CE45" s="97" t="str">
        <f aca="false">IF(ISBLANK($C45),"",IF($BZ45&lt;&gt;Constants!$B$8,$BZ45,SUM($CB45:$CD45)))</f>
        <v/>
      </c>
      <c r="CF45" s="93" t="str">
        <f aca="false">IF(ISBLANK($C45),"",IF($BZ45&lt;&gt;Constants!$B$8,$BZ45,RANK($CE45,$CE$9:$CE$508,1)))</f>
        <v/>
      </c>
      <c r="CG45" s="97" t="str">
        <f aca="false">IF($BZ45&lt;&gt;Constants!$B$8,"",IF($BM45="-&gt;",$BU45,$BI45))</f>
        <v/>
      </c>
      <c r="CH45" s="93" t="str">
        <f aca="false">IF(ISBLANK($C45),"",IF($BZ45&lt;&gt;Constants!$B$8,$BZ45,IF(ISNUMBER($CG45),RANK($CG45,$CG$9:$CG$508,1),COUNT($CG$9:$CG$508)+1)))</f>
        <v/>
      </c>
      <c r="CI45" s="97" t="str">
        <f aca="false">IF($BZ45&lt;&gt;Constants!$B$8,"",IF($BM45="-&gt;",$BV45,$BJ45))</f>
        <v/>
      </c>
      <c r="CJ45" s="93" t="str">
        <f aca="false">IF(ISBLANK($C45),"",IF($BZ45&lt;&gt;Constants!$B$8,$BZ45,IF(ISNUMBER($CI45),RANK($CI45,$CI$9:$CI$508,1),COUNT($CI$9:$CI$508)+1)))</f>
        <v/>
      </c>
      <c r="CK45" s="97" t="str">
        <f aca="false">IF($BZ45&lt;&gt;Constants!$B$8,"",IF($BM45="-&gt;",$BW45,$BK45))</f>
        <v/>
      </c>
      <c r="CL45" s="93" t="str">
        <f aca="false">IF(ISBLANK($C45),"",IF($BZ45&lt;&gt;Constants!$B$8,$BZ45,IF(ISNUMBER($CK45),RANK($CK45,$CK$9:$CK$508,1),COUNT($CK$9:$CK$508)+1)))</f>
        <v/>
      </c>
      <c r="CM45" s="97" t="str">
        <f aca="false">IF($BZ45&lt;&gt;Constants!$B$8,"",IF(AND(NOT($AL45),NOT($AT45),$AJ45,$AK45,$AR45,$AS45),"",IF($BM45="-&gt;",$BX45,$BL45)))</f>
        <v/>
      </c>
      <c r="CN45" s="93" t="str">
        <f aca="false">IF(ISBLANK($C45),"",IF($BZ45&lt;&gt;Constants!$B$8,$BZ45,IF(ISNUMBER($CM45),RANK($CM45,$CM$9:$CM$508,1),COUNT($CM$9:$CM$508)+1)))</f>
        <v/>
      </c>
      <c r="CO45" s="93" t="str">
        <f aca="false">IF(ISBLANK($C45),"",IF($BZ45&lt;&gt;Constants!$B$8,$BZ45,COUNTIFS($CF$9:$CF$508,"&lt;"&amp;$CF45)+COUNTIFS($CF$9:$CF$508,$CF45,$CH$9:$CH$508,"&lt;"&amp;$CH45)+COUNTIFS($CF$9:$CF$508,$CF45,$CH$9:$CH$508,$CH45,$CJ$9:$CJ$508,"&lt;"&amp;$CJ45)+COUNTIFS($CF$9:$CF$508,$CF45,$CH$9:$CH$508,$CH45,$CJ$9:$CJ$508,$CJ45,$CL$9:$CL$508,"&lt;"&amp;$CL45)+COUNTIFS($CF$9:$CF$508,$CF45,$CH$9:$CH$508,$CH45,$CJ$9:$CJ$508,$CJ45,$CL$9:$CL$508,$CL45,$CN$9:$CN$508,"&lt;"&amp;$CN45)+1))</f>
        <v/>
      </c>
      <c r="CP45" s="93" t="str">
        <f aca="false">IF(ISBLANK($C45),"",IF($BZ45&lt;&gt;Constants!$B$8,$BZ45,$CF45-$CO45))</f>
        <v/>
      </c>
      <c r="CQ45" s="100"/>
      <c r="CR45" s="101"/>
      <c r="CS45" s="102" t="str">
        <f aca="false">IF(ISBLANK($C45),"",IF($BZ45=Constants!$B$12,$BY45,""))</f>
        <v/>
      </c>
      <c r="CT45" s="101" t="str">
        <f aca="false">IF(ISBLANK($C45),"",IF($BZ45&lt;&gt;Constants!$B$8,"",IF($BM45="-&gt;",2,1)))</f>
        <v/>
      </c>
      <c r="CU45" s="103" t="str">
        <f aca="false">IF(ISBLANK($C45),"",IF($BZ45&lt;&gt;Constants!$B$8,"",IF($BM45="-&gt;",$BO45,$BC45)))</f>
        <v/>
      </c>
      <c r="CV45" s="103" t="str">
        <f aca="false">IF(ISBLANK($C45),"",IF($BZ45&lt;&gt;Constants!$B$8,"",IF($BM45="-&gt;",$BP45,$BD45)))</f>
        <v/>
      </c>
      <c r="CW45" s="103" t="str">
        <f aca="false">IF(ISBLANK($C45),"",IF($BZ45&lt;&gt;Constants!$B$8,"",IF($BM45="-&gt;",$BQ45+$BR45,$BE45+$BF45)+$CD45))</f>
        <v/>
      </c>
      <c r="CX45" s="103" t="str">
        <f aca="false">IF(ISBLANK($C45),"",IF($BZ45&lt;&gt;Constants!$B$8,"",IF($BM45="-&gt;",$BS45,$BG45)+$CC45))</f>
        <v/>
      </c>
      <c r="CY45" s="104" t="str">
        <f aca="false">IF(ISBLANK($C45),"",IF($BZ45&lt;&gt;Constants!$B$8,$BZ45,$CE45))</f>
        <v/>
      </c>
      <c r="CZ45" s="105" t="str">
        <f aca="false">IF(ISBLANK($C45),"",$CA45)</f>
        <v/>
      </c>
      <c r="DA45" s="106" t="str">
        <f aca="false">IF(ISBLANK($C45),"",$CP45)</f>
        <v/>
      </c>
      <c r="DB45" s="106" t="str">
        <f aca="false">IF(ISBLANK($C45),"",$CO45)</f>
        <v/>
      </c>
      <c r="DC45" s="107" t="str">
        <f aca="false">IF(ISBLANK($C45),"",IFERROR(_xlfn.SWITCH($DB45,Constants!$B$11,COUNTA($C$9:$C$508)+2,Constants!$B$10,COUNTA($C$9:$C$508)+1,Constants!$B$9,COUNTA($C$9:$C$508)),$DB45))</f>
        <v/>
      </c>
      <c r="DD45" s="9"/>
      <c r="DE45" s="108" t="n">
        <f aca="false">IF(OR(ISNUMBER($DB45),$DB45=Constants!$B$11,$DB45=Constants!$B$9,$DB45=Constants!$B$10),1,0)</f>
        <v>0</v>
      </c>
      <c r="DF45" s="108" t="n">
        <v>37</v>
      </c>
      <c r="DG45" s="108" t="str">
        <f aca="false">IF(ISBLANK($C45),"",IF(ISNUMBER($DC45),$DC45+ROW($B45)/1000,""))</f>
        <v/>
      </c>
      <c r="DH45" s="108" t="str">
        <f aca="false">IF(ISNUMBER($DG45),RANK($DG45,$DG$9:$DG$508,1),"")</f>
        <v/>
      </c>
      <c r="DI45" s="108" t="str">
        <f aca="false">IF(ISBLANK($C45),"",$B45)</f>
        <v/>
      </c>
      <c r="DJ45" s="108" t="str">
        <f aca="false">IF(ISBLANK($C45),"",$C45)</f>
        <v/>
      </c>
      <c r="DK45" s="108" t="str">
        <f aca="false">IF(ISBLANK($C45),"",$D45)</f>
        <v/>
      </c>
      <c r="DL45" s="109" t="str">
        <f aca="false">$CZ45</f>
        <v/>
      </c>
      <c r="DM45" s="110" t="str">
        <f aca="false">$CY45</f>
        <v/>
      </c>
      <c r="DN45" s="108" t="str">
        <f aca="false">IF(ISBLANK($C45),"",$DB45)</f>
        <v/>
      </c>
      <c r="DO45" s="111" t="str">
        <f aca="false">IF($DF45&gt;$DE$8,"",VLOOKUP($DF45,$DH$9:$DN$508,7,FALSE()))</f>
        <v/>
      </c>
      <c r="DP45" s="112" t="str">
        <f aca="false">IF($DF45&gt;$DE$8,"",VLOOKUP($DF45,$DH$9:$DN$508,2,FALSE()))</f>
        <v/>
      </c>
      <c r="DQ45" s="112" t="str">
        <f aca="false">IF($DF45&gt;$DE$8,"",VLOOKUP($DF45,$DH$9:$DN$508,3,FALSE()))</f>
        <v/>
      </c>
      <c r="DR45" s="112" t="str">
        <f aca="false">IF($DF45&gt;$DE$8,"",VLOOKUP($DF45,$DH$9:$DN$508,4,FALSE()))</f>
        <v/>
      </c>
      <c r="DS45" s="112" t="str">
        <f aca="false">IF($DF45&gt;$DE$8,"",VLOOKUP($DF45,$DH$9:$DN$508,5,FALSE()))</f>
        <v/>
      </c>
      <c r="DT45" s="113" t="str">
        <f aca="false">IF($DF45&gt;$DE$8,"",VLOOKUP($DF45,$DH$9:$DN$508,6,FALSE()))</f>
        <v/>
      </c>
      <c r="DU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IF(ISBLANK($C46),"",IF(E46=Constants!$B$3,TRUE(),IF(E46=Constants!$B$4,FALSE(),TRUE())))</f>
        <v/>
      </c>
      <c r="AG46" s="93" t="str">
        <f aca="false">IF(ISBLANK($C46),"",IF(F46=Constants!$B$3,TRUE(),IF(F46=Constants!$B$4,FALSE(),TRUE())))</f>
        <v/>
      </c>
      <c r="AH46" s="93" t="str">
        <f aca="false">IF(ISBLANK($C46),"",IF(G46=Constants!$B$3,TRUE(),IF(G46=Constants!$B$4,FALSE(),TRUE())))</f>
        <v/>
      </c>
      <c r="AI46" s="93" t="str">
        <f aca="false">IF(ISBLANK($C46),"",IF(AND(ISNUMBER(H46),H46&gt;=0),H46,Constants!$B$29))</f>
        <v/>
      </c>
      <c r="AJ46" s="93" t="str">
        <f aca="false">IF(ISBLANK($C46),"",IF(I46=Constants!$B$3,TRUE(),IF(I46=Constants!$B$4,FALSE(),TRUE())))</f>
        <v/>
      </c>
      <c r="AK46" s="93" t="str">
        <f aca="false">IF(ISBLANK($C46),"",IF(J46=Constants!$B$3,TRUE(),IF(J46=Constants!$B$4,FALSE(),TRUE())))</f>
        <v/>
      </c>
      <c r="AL46" s="93" t="str">
        <f aca="false">IF(ISBLANK($C46),"",IF(K46=Constants!$B$5,TRUE(),IF(K46=Constants!$B$6,FALSE(),COUNTA(L46:P46)&gt;0)))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IF(ISBLANK($C46),"",IF(N46=Constants!$B$3,TRUE(),IF(N46=Constants!$B$4,FALSE(),TRUE())))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IF(ISBLANK($C46),"",IF(P46=Constants!$B$3,TRUE(),IF(P46=Constants!$B$4,FALSE(),FALSE())))</f>
        <v/>
      </c>
      <c r="AR46" s="93" t="str">
        <f aca="false">IF(ISBLANK($C46),"",IF(Q46=Constants!$B$3,TRUE(),IF(Q46=Constants!$B$4,FALSE(),TRUE())))</f>
        <v/>
      </c>
      <c r="AS46" s="93" t="str">
        <f aca="false">IF(ISBLANK($C46),"",IF(R46=Constants!$B$3,TRUE(),IF(R46=Constants!$B$4,FALSE(),TRUE())))</f>
        <v/>
      </c>
      <c r="AT46" s="93" t="str">
        <f aca="false">IF(ISBLANK($C46),"",IF(S46=Constants!$B$5,TRUE(),IF(S46=Constants!$B$6,FALSE(),COUNTA(T46:X46)&gt;0)))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IF(ISBLANK($C46),"",IF(V46=Constants!$B$3,TRUE(),IF(V46=Constants!$B$4,FALSE(),TRUE())))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IF(ISBLANK($C46),"",IF(X46=Constants!$B$3,TRUE(),IF(X46=Constants!$B$4,FALSE(),FALSE())))</f>
        <v/>
      </c>
      <c r="AZ46" s="93" t="str">
        <f aca="false">IF(ISBLANK($C46),"",MIN(Constants!$B$31,MAX(0,IF(ISNUMBER(Y46),Y46*60,0)+IF(ISNUMBER(Z46),Z46,0))))</f>
        <v/>
      </c>
      <c r="BA46" s="93" t="str">
        <f aca="false">IF(ISBLANK($C46),"",IF(AA46=Constants!$B$3,TRUE(),IF(AA46=Constants!$B$4,FALSE(),FALSE())))</f>
        <v/>
      </c>
      <c r="BB46" s="92" t="str">
        <f aca="false">IF(ISBLANK($C46),"",AND($AL46,OR($AM46="",$AN46="",AND($AO46,$AP46=""))))</f>
        <v/>
      </c>
      <c r="BC46" s="94" t="str">
        <f aca="false">IF($BZ46&lt;&gt;Constants!$B$8,"",IF($AL46,Constants!$B$21*$AN46+Constants!$B$22*IF($AO46,$AP46,Constants!$B$23),Constants!$B$24))</f>
        <v/>
      </c>
      <c r="BD46" s="97" t="str">
        <f aca="false">IF($BZ46&lt;&gt;Constants!$B$8,"",Constants!$B$25*ABS($AD$9-IF($AL46,$AM46,0)))</f>
        <v/>
      </c>
      <c r="BE46" s="97" t="str">
        <f aca="false">IF($BZ46&lt;&gt;Constants!$B$8,"",IF(AND($AL46,$AQ46,$AO46),Constants!$B$27,0))</f>
        <v/>
      </c>
      <c r="BF46" s="97" t="str">
        <f aca="false">IF($BZ46&lt;&gt;Constants!$B$8,"",IF($AL46,($AI46-Constants!$B$29)*Constants!$B$28,0))</f>
        <v/>
      </c>
      <c r="BG46" s="97" t="str">
        <f aca="false">IF($BZ46&lt;&gt;Constants!$B$8,"",IF($AK46,0,Constants!$B$15)+IF($AJ46,0,Constants!$B$16)+IF($AH46,0,Constants!$B$17))</f>
        <v/>
      </c>
      <c r="BH46" s="98" t="str">
        <f aca="false">IF($BZ46&lt;&gt;Constants!$B$8,"",Constants!$B$20+SUM($BC46:$BG46))</f>
        <v/>
      </c>
      <c r="BI46" s="97" t="str">
        <f aca="false">IF($BZ46&lt;&gt;Constants!$B$8,"",$BC46)</f>
        <v/>
      </c>
      <c r="BJ46" s="97" t="str">
        <f aca="false">IF($BZ46&lt;&gt;Constants!$B$8,"",$BD46)</f>
        <v/>
      </c>
      <c r="BK46" s="97" t="str">
        <f aca="false">IF($BZ46&lt;&gt;Constants!$B$8,"",IF($AL46,$AN46,""))</f>
        <v/>
      </c>
      <c r="BL46" s="99" t="str">
        <f aca="false">IF($BZ46&lt;&gt;Constants!$B$8,"",$AI46)</f>
        <v/>
      </c>
      <c r="BM46" s="93" t="str">
        <f aca="false">IF($BZ46&lt;&gt;Constants!$B$8,"",IF(OR($BT46&lt;$BH46,AND($BT46=$BH46,OR($BU46&lt;$BI46,AND($BU46=$BI46,OR($BV46&lt;$BJ46,AND($BV46=$BJ46,OR(AND(ISNUMBER($BW46),OR(NOT(ISNUMBER($BK46)),$BW46&lt;$BK46)),AND(OR(AND($BW46="",$BK46=""),AND(ISNUMBER($BW46),ISNUMBER($BK46),$BW46=$BK46)),$BX46&lt;$BL46)))))))),"-&gt;","&lt;-"))</f>
        <v/>
      </c>
      <c r="BN46" s="92" t="str">
        <f aca="false">IF(ISBLANK($C46),"",AND($AT46,OR($AU46="",$AV46="",AND($AW46,$AX46=""))))</f>
        <v/>
      </c>
      <c r="BO46" s="94" t="str">
        <f aca="false">IF($BZ46&lt;&gt;Constants!$B$8,"",IF($AT46,Constants!$B$21*$AV46+Constants!$B$22*IF($AW46,$AX46,Constants!$B$23),Constants!$B$24))</f>
        <v/>
      </c>
      <c r="BP46" s="97" t="str">
        <f aca="false">IF($BZ46&lt;&gt;Constants!$B$8,"",Constants!$B$25*ABS($AD$9-IF($AT46,$AU46,0)))</f>
        <v/>
      </c>
      <c r="BQ46" s="97" t="str">
        <f aca="false">IF($BZ46&lt;&gt;Constants!$B$8,"",IF(AND($AT46,$AY46,$AW46),Constants!$B$27,0))</f>
        <v/>
      </c>
      <c r="BR46" s="97" t="str">
        <f aca="false">IF($BZ46&lt;&gt;Constants!$B$8,"",IF($AT46,($AI46-Constants!$B$29)*Constants!$B$28,0))</f>
        <v/>
      </c>
      <c r="BS46" s="97" t="str">
        <f aca="false">IF($BZ46&lt;&gt;Constants!$B$8,"",IF($AS46,0,Constants!$B$15)+IF($AR46,0,Constants!$B$16)+IF($AH46,0,Constants!$B$17))</f>
        <v/>
      </c>
      <c r="BT46" s="98" t="str">
        <f aca="false">IF($BZ46&lt;&gt;Constants!$B$8,"",Constants!$B$20+SUM($BO46:$BS46))</f>
        <v/>
      </c>
      <c r="BU46" s="97" t="str">
        <f aca="false">IF($BZ46&lt;&gt;Constants!$B$8,"",$BO46)</f>
        <v/>
      </c>
      <c r="BV46" s="97" t="str">
        <f aca="false">IF($BZ46&lt;&gt;Constants!$B$8,"",$BP46)</f>
        <v/>
      </c>
      <c r="BW46" s="97" t="str">
        <f aca="false">IF($BZ46&lt;&gt;Constants!$B$8,"",IF($AT46,$AV46,""))</f>
        <v/>
      </c>
      <c r="BX46" s="99" t="str">
        <f aca="false">IF($BZ46&lt;&gt;Constants!$B$8,"",$AI46)</f>
        <v/>
      </c>
      <c r="BY46" s="93" t="str">
        <f aca="false">IF(ISBLANK($C46),"",IF(ISBLANK($D$7),$BY$5,IF(NOT(ISNUMBER($D$7)),$BY$6,"")))</f>
        <v/>
      </c>
      <c r="BZ46" s="93" t="str">
        <f aca="false">IF(ISBLANK($C46),"",IF($BA46,Constants!$B$11,IF(COUNTA($E46:$AA46)=0,Constants!$B$10,IF(NOT($AG46),Constants!$B$9,IF(OR($BY46&lt;&gt;"",$BB46,$BN46),Constants!$B$12,Constants!$B$8)))))</f>
        <v/>
      </c>
      <c r="CA46" s="93" t="str">
        <f aca="false">IF(ISBLANK($C46),"",IF($BZ46&lt;&gt;Constants!$B$8,$BZ46,Constants!$B$13))</f>
        <v/>
      </c>
      <c r="CB46" s="97" t="str">
        <f aca="false">IF($BZ46&lt;&gt;Constants!$B$8,"",IF($BM46="-&gt;",$BT46,$BH46))</f>
        <v/>
      </c>
      <c r="CC46" s="97" t="str">
        <f aca="false">IF($BZ46&lt;&gt;Constants!$B$8,"",IF($AF46,0,Constants!$B$18))</f>
        <v/>
      </c>
      <c r="CD46" s="97" t="str">
        <f aca="false">IF($BZ46&lt;&gt;Constants!$B$8,"",((Constants!$B$31-$AZ46)-Constants!$B$31)/Constants!$B$32)</f>
        <v/>
      </c>
      <c r="CE46" s="97" t="str">
        <f aca="false">IF(ISBLANK($C46),"",IF($BZ46&lt;&gt;Constants!$B$8,$BZ46,SUM($CB46:$CD46)))</f>
        <v/>
      </c>
      <c r="CF46" s="93" t="str">
        <f aca="false">IF(ISBLANK($C46),"",IF($BZ46&lt;&gt;Constants!$B$8,$BZ46,RANK($CE46,$CE$9:$CE$508,1)))</f>
        <v/>
      </c>
      <c r="CG46" s="97" t="str">
        <f aca="false">IF($BZ46&lt;&gt;Constants!$B$8,"",IF($BM46="-&gt;",$BU46,$BI46))</f>
        <v/>
      </c>
      <c r="CH46" s="93" t="str">
        <f aca="false">IF(ISBLANK($C46),"",IF($BZ46&lt;&gt;Constants!$B$8,$BZ46,IF(ISNUMBER($CG46),RANK($CG46,$CG$9:$CG$508,1),COUNT($CG$9:$CG$508)+1)))</f>
        <v/>
      </c>
      <c r="CI46" s="97" t="str">
        <f aca="false">IF($BZ46&lt;&gt;Constants!$B$8,"",IF($BM46="-&gt;",$BV46,$BJ46))</f>
        <v/>
      </c>
      <c r="CJ46" s="93" t="str">
        <f aca="false">IF(ISBLANK($C46),"",IF($BZ46&lt;&gt;Constants!$B$8,$BZ46,IF(ISNUMBER($CI46),RANK($CI46,$CI$9:$CI$508,1),COUNT($CI$9:$CI$508)+1)))</f>
        <v/>
      </c>
      <c r="CK46" s="97" t="str">
        <f aca="false">IF($BZ46&lt;&gt;Constants!$B$8,"",IF($BM46="-&gt;",$BW46,$BK46))</f>
        <v/>
      </c>
      <c r="CL46" s="93" t="str">
        <f aca="false">IF(ISBLANK($C46),"",IF($BZ46&lt;&gt;Constants!$B$8,$BZ46,IF(ISNUMBER($CK46),RANK($CK46,$CK$9:$CK$508,1),COUNT($CK$9:$CK$508)+1)))</f>
        <v/>
      </c>
      <c r="CM46" s="97" t="str">
        <f aca="false">IF($BZ46&lt;&gt;Constants!$B$8,"",IF(AND(NOT($AL46),NOT($AT46),$AJ46,$AK46,$AR46,$AS46),"",IF($BM46="-&gt;",$BX46,$BL46)))</f>
        <v/>
      </c>
      <c r="CN46" s="93" t="str">
        <f aca="false">IF(ISBLANK($C46),"",IF($BZ46&lt;&gt;Constants!$B$8,$BZ46,IF(ISNUMBER($CM46),RANK($CM46,$CM$9:$CM$508,1),COUNT($CM$9:$CM$508)+1)))</f>
        <v/>
      </c>
      <c r="CO46" s="93" t="str">
        <f aca="false">IF(ISBLANK($C46),"",IF($BZ46&lt;&gt;Constants!$B$8,$BZ46,COUNTIFS($CF$9:$CF$508,"&lt;"&amp;$CF46)+COUNTIFS($CF$9:$CF$508,$CF46,$CH$9:$CH$508,"&lt;"&amp;$CH46)+COUNTIFS($CF$9:$CF$508,$CF46,$CH$9:$CH$508,$CH46,$CJ$9:$CJ$508,"&lt;"&amp;$CJ46)+COUNTIFS($CF$9:$CF$508,$CF46,$CH$9:$CH$508,$CH46,$CJ$9:$CJ$508,$CJ46,$CL$9:$CL$508,"&lt;"&amp;$CL46)+COUNTIFS($CF$9:$CF$508,$CF46,$CH$9:$CH$508,$CH46,$CJ$9:$CJ$508,$CJ46,$CL$9:$CL$508,$CL46,$CN$9:$CN$508,"&lt;"&amp;$CN46)+1))</f>
        <v/>
      </c>
      <c r="CP46" s="93" t="str">
        <f aca="false">IF(ISBLANK($C46),"",IF($BZ46&lt;&gt;Constants!$B$8,$BZ46,$CF46-$CO46))</f>
        <v/>
      </c>
      <c r="CQ46" s="100"/>
      <c r="CR46" s="101"/>
      <c r="CS46" s="102" t="str">
        <f aca="false">IF(ISBLANK($C46),"",IF($BZ46=Constants!$B$12,$BY46,""))</f>
        <v/>
      </c>
      <c r="CT46" s="101" t="str">
        <f aca="false">IF(ISBLANK($C46),"",IF($BZ46&lt;&gt;Constants!$B$8,"",IF($BM46="-&gt;",2,1)))</f>
        <v/>
      </c>
      <c r="CU46" s="103" t="str">
        <f aca="false">IF(ISBLANK($C46),"",IF($BZ46&lt;&gt;Constants!$B$8,"",IF($BM46="-&gt;",$BO46,$BC46)))</f>
        <v/>
      </c>
      <c r="CV46" s="103" t="str">
        <f aca="false">IF(ISBLANK($C46),"",IF($BZ46&lt;&gt;Constants!$B$8,"",IF($BM46="-&gt;",$BP46,$BD46)))</f>
        <v/>
      </c>
      <c r="CW46" s="103" t="str">
        <f aca="false">IF(ISBLANK($C46),"",IF($BZ46&lt;&gt;Constants!$B$8,"",IF($BM46="-&gt;",$BQ46+$BR46,$BE46+$BF46)+$CD46))</f>
        <v/>
      </c>
      <c r="CX46" s="103" t="str">
        <f aca="false">IF(ISBLANK($C46),"",IF($BZ46&lt;&gt;Constants!$B$8,"",IF($BM46="-&gt;",$BS46,$BG46)+$CC46))</f>
        <v/>
      </c>
      <c r="CY46" s="104" t="str">
        <f aca="false">IF(ISBLANK($C46),"",IF($BZ46&lt;&gt;Constants!$B$8,$BZ46,$CE46))</f>
        <v/>
      </c>
      <c r="CZ46" s="105" t="str">
        <f aca="false">IF(ISBLANK($C46),"",$CA46)</f>
        <v/>
      </c>
      <c r="DA46" s="106" t="str">
        <f aca="false">IF(ISBLANK($C46),"",$CP46)</f>
        <v/>
      </c>
      <c r="DB46" s="106" t="str">
        <f aca="false">IF(ISBLANK($C46),"",$CO46)</f>
        <v/>
      </c>
      <c r="DC46" s="107" t="str">
        <f aca="false">IF(ISBLANK($C46),"",IFERROR(_xlfn.SWITCH($DB46,Constants!$B$11,COUNTA($C$9:$C$508)+2,Constants!$B$10,COUNTA($C$9:$C$508)+1,Constants!$B$9,COUNTA($C$9:$C$508)),$DB46))</f>
        <v/>
      </c>
      <c r="DD46" s="9"/>
      <c r="DE46" s="108" t="n">
        <f aca="false">IF(OR(ISNUMBER($DB46),$DB46=Constants!$B$11,$DB46=Constants!$B$9,$DB46=Constants!$B$10),1,0)</f>
        <v>0</v>
      </c>
      <c r="DF46" s="108" t="n">
        <v>38</v>
      </c>
      <c r="DG46" s="108" t="str">
        <f aca="false">IF(ISBLANK($C46),"",IF(ISNUMBER($DC46),$DC46+ROW($B46)/1000,""))</f>
        <v/>
      </c>
      <c r="DH46" s="108" t="str">
        <f aca="false">IF(ISNUMBER($DG46),RANK($DG46,$DG$9:$DG$508,1),"")</f>
        <v/>
      </c>
      <c r="DI46" s="108" t="str">
        <f aca="false">IF(ISBLANK($C46),"",$B46)</f>
        <v/>
      </c>
      <c r="DJ46" s="108" t="str">
        <f aca="false">IF(ISBLANK($C46),"",$C46)</f>
        <v/>
      </c>
      <c r="DK46" s="108" t="str">
        <f aca="false">IF(ISBLANK($C46),"",$D46)</f>
        <v/>
      </c>
      <c r="DL46" s="109" t="str">
        <f aca="false">$CZ46</f>
        <v/>
      </c>
      <c r="DM46" s="110" t="str">
        <f aca="false">$CY46</f>
        <v/>
      </c>
      <c r="DN46" s="108" t="str">
        <f aca="false">IF(ISBLANK($C46),"",$DB46)</f>
        <v/>
      </c>
      <c r="DO46" s="111" t="str">
        <f aca="false">IF($DF46&gt;$DE$8,"",VLOOKUP($DF46,$DH$9:$DN$508,7,FALSE()))</f>
        <v/>
      </c>
      <c r="DP46" s="112" t="str">
        <f aca="false">IF($DF46&gt;$DE$8,"",VLOOKUP($DF46,$DH$9:$DN$508,2,FALSE()))</f>
        <v/>
      </c>
      <c r="DQ46" s="112" t="str">
        <f aca="false">IF($DF46&gt;$DE$8,"",VLOOKUP($DF46,$DH$9:$DN$508,3,FALSE()))</f>
        <v/>
      </c>
      <c r="DR46" s="112" t="str">
        <f aca="false">IF($DF46&gt;$DE$8,"",VLOOKUP($DF46,$DH$9:$DN$508,4,FALSE()))</f>
        <v/>
      </c>
      <c r="DS46" s="112" t="str">
        <f aca="false">IF($DF46&gt;$DE$8,"",VLOOKUP($DF46,$DH$9:$DN$508,5,FALSE()))</f>
        <v/>
      </c>
      <c r="DT46" s="113" t="str">
        <f aca="false">IF($DF46&gt;$DE$8,"",VLOOKUP($DF46,$DH$9:$DN$508,6,FALSE()))</f>
        <v/>
      </c>
      <c r="DU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IF(ISBLANK($C47),"",IF(E47=Constants!$B$3,TRUE(),IF(E47=Constants!$B$4,FALSE(),TRUE())))</f>
        <v/>
      </c>
      <c r="AG47" s="93" t="str">
        <f aca="false">IF(ISBLANK($C47),"",IF(F47=Constants!$B$3,TRUE(),IF(F47=Constants!$B$4,FALSE(),TRUE())))</f>
        <v/>
      </c>
      <c r="AH47" s="93" t="str">
        <f aca="false">IF(ISBLANK($C47),"",IF(G47=Constants!$B$3,TRUE(),IF(G47=Constants!$B$4,FALSE(),TRUE())))</f>
        <v/>
      </c>
      <c r="AI47" s="93" t="str">
        <f aca="false">IF(ISBLANK($C47),"",IF(AND(ISNUMBER(H47),H47&gt;=0),H47,Constants!$B$29))</f>
        <v/>
      </c>
      <c r="AJ47" s="93" t="str">
        <f aca="false">IF(ISBLANK($C47),"",IF(I47=Constants!$B$3,TRUE(),IF(I47=Constants!$B$4,FALSE(),TRUE())))</f>
        <v/>
      </c>
      <c r="AK47" s="93" t="str">
        <f aca="false">IF(ISBLANK($C47),"",IF(J47=Constants!$B$3,TRUE(),IF(J47=Constants!$B$4,FALSE(),TRUE())))</f>
        <v/>
      </c>
      <c r="AL47" s="93" t="str">
        <f aca="false">IF(ISBLANK($C47),"",IF(K47=Constants!$B$5,TRUE(),IF(K47=Constants!$B$6,FALSE(),COUNTA(L47:P47)&gt;0)))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IF(ISBLANK($C47),"",IF(N47=Constants!$B$3,TRUE(),IF(N47=Constants!$B$4,FALSE(),TRUE())))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IF(ISBLANK($C47),"",IF(P47=Constants!$B$3,TRUE(),IF(P47=Constants!$B$4,FALSE(),FALSE())))</f>
        <v/>
      </c>
      <c r="AR47" s="93" t="str">
        <f aca="false">IF(ISBLANK($C47),"",IF(Q47=Constants!$B$3,TRUE(),IF(Q47=Constants!$B$4,FALSE(),TRUE())))</f>
        <v/>
      </c>
      <c r="AS47" s="93" t="str">
        <f aca="false">IF(ISBLANK($C47),"",IF(R47=Constants!$B$3,TRUE(),IF(R47=Constants!$B$4,FALSE(),TRUE())))</f>
        <v/>
      </c>
      <c r="AT47" s="93" t="str">
        <f aca="false">IF(ISBLANK($C47),"",IF(S47=Constants!$B$5,TRUE(),IF(S47=Constants!$B$6,FALSE(),COUNTA(T47:X47)&gt;0)))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IF(ISBLANK($C47),"",IF(V47=Constants!$B$3,TRUE(),IF(V47=Constants!$B$4,FALSE(),TRUE())))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IF(ISBLANK($C47),"",IF(X47=Constants!$B$3,TRUE(),IF(X47=Constants!$B$4,FALSE(),FALSE())))</f>
        <v/>
      </c>
      <c r="AZ47" s="93" t="str">
        <f aca="false">IF(ISBLANK($C47),"",MIN(Constants!$B$31,MAX(0,IF(ISNUMBER(Y47),Y47*60,0)+IF(ISNUMBER(Z47),Z47,0))))</f>
        <v/>
      </c>
      <c r="BA47" s="93" t="str">
        <f aca="false">IF(ISBLANK($C47),"",IF(AA47=Constants!$B$3,TRUE(),IF(AA47=Constants!$B$4,FALSE(),FALSE())))</f>
        <v/>
      </c>
      <c r="BB47" s="92" t="str">
        <f aca="false">IF(ISBLANK($C47),"",AND($AL47,OR($AM47="",$AN47="",AND($AO47,$AP47=""))))</f>
        <v/>
      </c>
      <c r="BC47" s="94" t="str">
        <f aca="false">IF($BZ47&lt;&gt;Constants!$B$8,"",IF($AL47,Constants!$B$21*$AN47+Constants!$B$22*IF($AO47,$AP47,Constants!$B$23),Constants!$B$24))</f>
        <v/>
      </c>
      <c r="BD47" s="97" t="str">
        <f aca="false">IF($BZ47&lt;&gt;Constants!$B$8,"",Constants!$B$25*ABS($AD$9-IF($AL47,$AM47,0)))</f>
        <v/>
      </c>
      <c r="BE47" s="97" t="str">
        <f aca="false">IF($BZ47&lt;&gt;Constants!$B$8,"",IF(AND($AL47,$AQ47,$AO47),Constants!$B$27,0))</f>
        <v/>
      </c>
      <c r="BF47" s="97" t="str">
        <f aca="false">IF($BZ47&lt;&gt;Constants!$B$8,"",IF($AL47,($AI47-Constants!$B$29)*Constants!$B$28,0))</f>
        <v/>
      </c>
      <c r="BG47" s="97" t="str">
        <f aca="false">IF($BZ47&lt;&gt;Constants!$B$8,"",IF($AK47,0,Constants!$B$15)+IF($AJ47,0,Constants!$B$16)+IF($AH47,0,Constants!$B$17))</f>
        <v/>
      </c>
      <c r="BH47" s="98" t="str">
        <f aca="false">IF($BZ47&lt;&gt;Constants!$B$8,"",Constants!$B$20+SUM($BC47:$BG47))</f>
        <v/>
      </c>
      <c r="BI47" s="97" t="str">
        <f aca="false">IF($BZ47&lt;&gt;Constants!$B$8,"",$BC47)</f>
        <v/>
      </c>
      <c r="BJ47" s="97" t="str">
        <f aca="false">IF($BZ47&lt;&gt;Constants!$B$8,"",$BD47)</f>
        <v/>
      </c>
      <c r="BK47" s="97" t="str">
        <f aca="false">IF($BZ47&lt;&gt;Constants!$B$8,"",IF($AL47,$AN47,""))</f>
        <v/>
      </c>
      <c r="BL47" s="99" t="str">
        <f aca="false">IF($BZ47&lt;&gt;Constants!$B$8,"",$AI47)</f>
        <v/>
      </c>
      <c r="BM47" s="93" t="str">
        <f aca="false">IF($BZ47&lt;&gt;Constants!$B$8,"",IF(OR($BT47&lt;$BH47,AND($BT47=$BH47,OR($BU47&lt;$BI47,AND($BU47=$BI47,OR($BV47&lt;$BJ47,AND($BV47=$BJ47,OR(AND(ISNUMBER($BW47),OR(NOT(ISNUMBER($BK47)),$BW47&lt;$BK47)),AND(OR(AND($BW47="",$BK47=""),AND(ISNUMBER($BW47),ISNUMBER($BK47),$BW47=$BK47)),$BX47&lt;$BL47)))))))),"-&gt;","&lt;-"))</f>
        <v/>
      </c>
      <c r="BN47" s="92" t="str">
        <f aca="false">IF(ISBLANK($C47),"",AND($AT47,OR($AU47="",$AV47="",AND($AW47,$AX47=""))))</f>
        <v/>
      </c>
      <c r="BO47" s="94" t="str">
        <f aca="false">IF($BZ47&lt;&gt;Constants!$B$8,"",IF($AT47,Constants!$B$21*$AV47+Constants!$B$22*IF($AW47,$AX47,Constants!$B$23),Constants!$B$24))</f>
        <v/>
      </c>
      <c r="BP47" s="97" t="str">
        <f aca="false">IF($BZ47&lt;&gt;Constants!$B$8,"",Constants!$B$25*ABS($AD$9-IF($AT47,$AU47,0)))</f>
        <v/>
      </c>
      <c r="BQ47" s="97" t="str">
        <f aca="false">IF($BZ47&lt;&gt;Constants!$B$8,"",IF(AND($AT47,$AY47,$AW47),Constants!$B$27,0))</f>
        <v/>
      </c>
      <c r="BR47" s="97" t="str">
        <f aca="false">IF($BZ47&lt;&gt;Constants!$B$8,"",IF($AT47,($AI47-Constants!$B$29)*Constants!$B$28,0))</f>
        <v/>
      </c>
      <c r="BS47" s="97" t="str">
        <f aca="false">IF($BZ47&lt;&gt;Constants!$B$8,"",IF($AS47,0,Constants!$B$15)+IF($AR47,0,Constants!$B$16)+IF($AH47,0,Constants!$B$17))</f>
        <v/>
      </c>
      <c r="BT47" s="98" t="str">
        <f aca="false">IF($BZ47&lt;&gt;Constants!$B$8,"",Constants!$B$20+SUM($BO47:$BS47))</f>
        <v/>
      </c>
      <c r="BU47" s="97" t="str">
        <f aca="false">IF($BZ47&lt;&gt;Constants!$B$8,"",$BO47)</f>
        <v/>
      </c>
      <c r="BV47" s="97" t="str">
        <f aca="false">IF($BZ47&lt;&gt;Constants!$B$8,"",$BP47)</f>
        <v/>
      </c>
      <c r="BW47" s="97" t="str">
        <f aca="false">IF($BZ47&lt;&gt;Constants!$B$8,"",IF($AT47,$AV47,""))</f>
        <v/>
      </c>
      <c r="BX47" s="99" t="str">
        <f aca="false">IF($BZ47&lt;&gt;Constants!$B$8,"",$AI47)</f>
        <v/>
      </c>
      <c r="BY47" s="93" t="str">
        <f aca="false">IF(ISBLANK($C47),"",IF(ISBLANK($D$7),$BY$5,IF(NOT(ISNUMBER($D$7)),$BY$6,"")))</f>
        <v/>
      </c>
      <c r="BZ47" s="93" t="str">
        <f aca="false">IF(ISBLANK($C47),"",IF($BA47,Constants!$B$11,IF(COUNTA($E47:$AA47)=0,Constants!$B$10,IF(NOT($AG47),Constants!$B$9,IF(OR($BY47&lt;&gt;"",$BB47,$BN47),Constants!$B$12,Constants!$B$8)))))</f>
        <v/>
      </c>
      <c r="CA47" s="93" t="str">
        <f aca="false">IF(ISBLANK($C47),"",IF($BZ47&lt;&gt;Constants!$B$8,$BZ47,Constants!$B$13))</f>
        <v/>
      </c>
      <c r="CB47" s="97" t="str">
        <f aca="false">IF($BZ47&lt;&gt;Constants!$B$8,"",IF($BM47="-&gt;",$BT47,$BH47))</f>
        <v/>
      </c>
      <c r="CC47" s="97" t="str">
        <f aca="false">IF($BZ47&lt;&gt;Constants!$B$8,"",IF($AF47,0,Constants!$B$18))</f>
        <v/>
      </c>
      <c r="CD47" s="97" t="str">
        <f aca="false">IF($BZ47&lt;&gt;Constants!$B$8,"",((Constants!$B$31-$AZ47)-Constants!$B$31)/Constants!$B$32)</f>
        <v/>
      </c>
      <c r="CE47" s="97" t="str">
        <f aca="false">IF(ISBLANK($C47),"",IF($BZ47&lt;&gt;Constants!$B$8,$BZ47,SUM($CB47:$CD47)))</f>
        <v/>
      </c>
      <c r="CF47" s="93" t="str">
        <f aca="false">IF(ISBLANK($C47),"",IF($BZ47&lt;&gt;Constants!$B$8,$BZ47,RANK($CE47,$CE$9:$CE$508,1)))</f>
        <v/>
      </c>
      <c r="CG47" s="97" t="str">
        <f aca="false">IF($BZ47&lt;&gt;Constants!$B$8,"",IF($BM47="-&gt;",$BU47,$BI47))</f>
        <v/>
      </c>
      <c r="CH47" s="93" t="str">
        <f aca="false">IF(ISBLANK($C47),"",IF($BZ47&lt;&gt;Constants!$B$8,$BZ47,IF(ISNUMBER($CG47),RANK($CG47,$CG$9:$CG$508,1),COUNT($CG$9:$CG$508)+1)))</f>
        <v/>
      </c>
      <c r="CI47" s="97" t="str">
        <f aca="false">IF($BZ47&lt;&gt;Constants!$B$8,"",IF($BM47="-&gt;",$BV47,$BJ47))</f>
        <v/>
      </c>
      <c r="CJ47" s="93" t="str">
        <f aca="false">IF(ISBLANK($C47),"",IF($BZ47&lt;&gt;Constants!$B$8,$BZ47,IF(ISNUMBER($CI47),RANK($CI47,$CI$9:$CI$508,1),COUNT($CI$9:$CI$508)+1)))</f>
        <v/>
      </c>
      <c r="CK47" s="97" t="str">
        <f aca="false">IF($BZ47&lt;&gt;Constants!$B$8,"",IF($BM47="-&gt;",$BW47,$BK47))</f>
        <v/>
      </c>
      <c r="CL47" s="93" t="str">
        <f aca="false">IF(ISBLANK($C47),"",IF($BZ47&lt;&gt;Constants!$B$8,$BZ47,IF(ISNUMBER($CK47),RANK($CK47,$CK$9:$CK$508,1),COUNT($CK$9:$CK$508)+1)))</f>
        <v/>
      </c>
      <c r="CM47" s="97" t="str">
        <f aca="false">IF($BZ47&lt;&gt;Constants!$B$8,"",IF(AND(NOT($AL47),NOT($AT47),$AJ47,$AK47,$AR47,$AS47),"",IF($BM47="-&gt;",$BX47,$BL47)))</f>
        <v/>
      </c>
      <c r="CN47" s="93" t="str">
        <f aca="false">IF(ISBLANK($C47),"",IF($BZ47&lt;&gt;Constants!$B$8,$BZ47,IF(ISNUMBER($CM47),RANK($CM47,$CM$9:$CM$508,1),COUNT($CM$9:$CM$508)+1)))</f>
        <v/>
      </c>
      <c r="CO47" s="93" t="str">
        <f aca="false">IF(ISBLANK($C47),"",IF($BZ47&lt;&gt;Constants!$B$8,$BZ47,COUNTIFS($CF$9:$CF$508,"&lt;"&amp;$CF47)+COUNTIFS($CF$9:$CF$508,$CF47,$CH$9:$CH$508,"&lt;"&amp;$CH47)+COUNTIFS($CF$9:$CF$508,$CF47,$CH$9:$CH$508,$CH47,$CJ$9:$CJ$508,"&lt;"&amp;$CJ47)+COUNTIFS($CF$9:$CF$508,$CF47,$CH$9:$CH$508,$CH47,$CJ$9:$CJ$508,$CJ47,$CL$9:$CL$508,"&lt;"&amp;$CL47)+COUNTIFS($CF$9:$CF$508,$CF47,$CH$9:$CH$508,$CH47,$CJ$9:$CJ$508,$CJ47,$CL$9:$CL$508,$CL47,$CN$9:$CN$508,"&lt;"&amp;$CN47)+1))</f>
        <v/>
      </c>
      <c r="CP47" s="93" t="str">
        <f aca="false">IF(ISBLANK($C47),"",IF($BZ47&lt;&gt;Constants!$B$8,$BZ47,$CF47-$CO47))</f>
        <v/>
      </c>
      <c r="CQ47" s="100"/>
      <c r="CR47" s="101"/>
      <c r="CS47" s="102" t="str">
        <f aca="false">IF(ISBLANK($C47),"",IF($BZ47=Constants!$B$12,$BY47,""))</f>
        <v/>
      </c>
      <c r="CT47" s="101" t="str">
        <f aca="false">IF(ISBLANK($C47),"",IF($BZ47&lt;&gt;Constants!$B$8,"",IF($BM47="-&gt;",2,1)))</f>
        <v/>
      </c>
      <c r="CU47" s="103" t="str">
        <f aca="false">IF(ISBLANK($C47),"",IF($BZ47&lt;&gt;Constants!$B$8,"",IF($BM47="-&gt;",$BO47,$BC47)))</f>
        <v/>
      </c>
      <c r="CV47" s="103" t="str">
        <f aca="false">IF(ISBLANK($C47),"",IF($BZ47&lt;&gt;Constants!$B$8,"",IF($BM47="-&gt;",$BP47,$BD47)))</f>
        <v/>
      </c>
      <c r="CW47" s="103" t="str">
        <f aca="false">IF(ISBLANK($C47),"",IF($BZ47&lt;&gt;Constants!$B$8,"",IF($BM47="-&gt;",$BQ47+$BR47,$BE47+$BF47)+$CD47))</f>
        <v/>
      </c>
      <c r="CX47" s="103" t="str">
        <f aca="false">IF(ISBLANK($C47),"",IF($BZ47&lt;&gt;Constants!$B$8,"",IF($BM47="-&gt;",$BS47,$BG47)+$CC47))</f>
        <v/>
      </c>
      <c r="CY47" s="104" t="str">
        <f aca="false">IF(ISBLANK($C47),"",IF($BZ47&lt;&gt;Constants!$B$8,$BZ47,$CE47))</f>
        <v/>
      </c>
      <c r="CZ47" s="105" t="str">
        <f aca="false">IF(ISBLANK($C47),"",$CA47)</f>
        <v/>
      </c>
      <c r="DA47" s="106" t="str">
        <f aca="false">IF(ISBLANK($C47),"",$CP47)</f>
        <v/>
      </c>
      <c r="DB47" s="106" t="str">
        <f aca="false">IF(ISBLANK($C47),"",$CO47)</f>
        <v/>
      </c>
      <c r="DC47" s="107" t="str">
        <f aca="false">IF(ISBLANK($C47),"",IFERROR(_xlfn.SWITCH($DB47,Constants!$B$11,COUNTA($C$9:$C$508)+2,Constants!$B$10,COUNTA($C$9:$C$508)+1,Constants!$B$9,COUNTA($C$9:$C$508)),$DB47))</f>
        <v/>
      </c>
      <c r="DD47" s="9"/>
      <c r="DE47" s="108" t="n">
        <f aca="false">IF(OR(ISNUMBER($DB47),$DB47=Constants!$B$11,$DB47=Constants!$B$9,$DB47=Constants!$B$10),1,0)</f>
        <v>0</v>
      </c>
      <c r="DF47" s="108" t="n">
        <v>39</v>
      </c>
      <c r="DG47" s="108" t="str">
        <f aca="false">IF(ISBLANK($C47),"",IF(ISNUMBER($DC47),$DC47+ROW($B47)/1000,""))</f>
        <v/>
      </c>
      <c r="DH47" s="108" t="str">
        <f aca="false">IF(ISNUMBER($DG47),RANK($DG47,$DG$9:$DG$508,1),"")</f>
        <v/>
      </c>
      <c r="DI47" s="108" t="str">
        <f aca="false">IF(ISBLANK($C47),"",$B47)</f>
        <v/>
      </c>
      <c r="DJ47" s="108" t="str">
        <f aca="false">IF(ISBLANK($C47),"",$C47)</f>
        <v/>
      </c>
      <c r="DK47" s="108" t="str">
        <f aca="false">IF(ISBLANK($C47),"",$D47)</f>
        <v/>
      </c>
      <c r="DL47" s="109" t="str">
        <f aca="false">$CZ47</f>
        <v/>
      </c>
      <c r="DM47" s="110" t="str">
        <f aca="false">$CY47</f>
        <v/>
      </c>
      <c r="DN47" s="108" t="str">
        <f aca="false">IF(ISBLANK($C47),"",$DB47)</f>
        <v/>
      </c>
      <c r="DO47" s="111" t="str">
        <f aca="false">IF($DF47&gt;$DE$8,"",VLOOKUP($DF47,$DH$9:$DN$508,7,FALSE()))</f>
        <v/>
      </c>
      <c r="DP47" s="112" t="str">
        <f aca="false">IF($DF47&gt;$DE$8,"",VLOOKUP($DF47,$DH$9:$DN$508,2,FALSE()))</f>
        <v/>
      </c>
      <c r="DQ47" s="112" t="str">
        <f aca="false">IF($DF47&gt;$DE$8,"",VLOOKUP($DF47,$DH$9:$DN$508,3,FALSE()))</f>
        <v/>
      </c>
      <c r="DR47" s="112" t="str">
        <f aca="false">IF($DF47&gt;$DE$8,"",VLOOKUP($DF47,$DH$9:$DN$508,4,FALSE()))</f>
        <v/>
      </c>
      <c r="DS47" s="112" t="str">
        <f aca="false">IF($DF47&gt;$DE$8,"",VLOOKUP($DF47,$DH$9:$DN$508,5,FALSE()))</f>
        <v/>
      </c>
      <c r="DT47" s="113" t="str">
        <f aca="false">IF($DF47&gt;$DE$8,"",VLOOKUP($DF47,$DH$9:$DN$508,6,FALSE()))</f>
        <v/>
      </c>
      <c r="DU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IF(ISBLANK($C48),"",IF(E48=Constants!$B$3,TRUE(),IF(E48=Constants!$B$4,FALSE(),TRUE())))</f>
        <v/>
      </c>
      <c r="AG48" s="135" t="str">
        <f aca="false">IF(ISBLANK($C48),"",IF(F48=Constants!$B$3,TRUE(),IF(F48=Constants!$B$4,FALSE(),TRUE())))</f>
        <v/>
      </c>
      <c r="AH48" s="135" t="str">
        <f aca="false">IF(ISBLANK($C48),"",IF(G48=Constants!$B$3,TRUE(),IF(G48=Constants!$B$4,FALSE(),TRUE())))</f>
        <v/>
      </c>
      <c r="AI48" s="135" t="str">
        <f aca="false">IF(ISBLANK($C48),"",IF(AND(ISNUMBER(H48),H48&gt;=0),H48,Constants!$B$29))</f>
        <v/>
      </c>
      <c r="AJ48" s="135" t="str">
        <f aca="false">IF(ISBLANK($C48),"",IF(I48=Constants!$B$3,TRUE(),IF(I48=Constants!$B$4,FALSE(),TRUE())))</f>
        <v/>
      </c>
      <c r="AK48" s="135" t="str">
        <f aca="false">IF(ISBLANK($C48),"",IF(J48=Constants!$B$3,TRUE(),IF(J48=Constants!$B$4,FALSE(),TRUE())))</f>
        <v/>
      </c>
      <c r="AL48" s="135" t="str">
        <f aca="false">IF(ISBLANK($C48),"",IF(K48=Constants!$B$5,TRUE(),IF(K48=Constants!$B$6,FALSE(),COUNTA(L48:P48)&gt;0)))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IF(ISBLANK($C48),"",IF(N48=Constants!$B$3,TRUE(),IF(N48=Constants!$B$4,FALSE(),TRUE())))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IF(ISBLANK($C48),"",IF(P48=Constants!$B$3,TRUE(),IF(P48=Constants!$B$4,FALSE(),FALSE())))</f>
        <v/>
      </c>
      <c r="AR48" s="135" t="str">
        <f aca="false">IF(ISBLANK($C48),"",IF(Q48=Constants!$B$3,TRUE(),IF(Q48=Constants!$B$4,FALSE(),TRUE())))</f>
        <v/>
      </c>
      <c r="AS48" s="135" t="str">
        <f aca="false">IF(ISBLANK($C48),"",IF(R48=Constants!$B$3,TRUE(),IF(R48=Constants!$B$4,FALSE(),TRUE())))</f>
        <v/>
      </c>
      <c r="AT48" s="135" t="str">
        <f aca="false">IF(ISBLANK($C48),"",IF(S48=Constants!$B$5,TRUE(),IF(S48=Constants!$B$6,FALSE(),COUNTA(T48:X48)&gt;0)))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IF(ISBLANK($C48),"",IF(V48=Constants!$B$3,TRUE(),IF(V48=Constants!$B$4,FALSE(),TRUE())))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IF(ISBLANK($C48),"",IF(X48=Constants!$B$3,TRUE(),IF(X48=Constants!$B$4,FALSE(),FALSE())))</f>
        <v/>
      </c>
      <c r="AZ48" s="135" t="str">
        <f aca="false">IF(ISBLANK($C48),"",MIN(Constants!$B$31,MAX(0,IF(ISNUMBER(Y48),Y48*60,0)+IF(ISNUMBER(Z48),Z48,0))))</f>
        <v/>
      </c>
      <c r="BA48" s="135" t="str">
        <f aca="false">IF(ISBLANK($C48),"",IF(AA48=Constants!$B$3,TRUE(),IF(AA48=Constants!$B$4,FALSE(),FALSE())))</f>
        <v/>
      </c>
      <c r="BB48" s="134" t="str">
        <f aca="false">IF(ISBLANK($C48),"",AND($AL48,OR($AM48="",$AN48="",AND($AO48,$AP48=""))))</f>
        <v/>
      </c>
      <c r="BC48" s="137" t="str">
        <f aca="false">IF($BZ48&lt;&gt;Constants!$B$8,"",IF($AL48,Constants!$B$21*$AN48+Constants!$B$22*IF($AO48,$AP48,Constants!$B$23),Constants!$B$24))</f>
        <v/>
      </c>
      <c r="BD48" s="138" t="str">
        <f aca="false">IF($BZ48&lt;&gt;Constants!$B$8,"",Constants!$B$25*ABS($AD$9-IF($AL48,$AM48,0)))</f>
        <v/>
      </c>
      <c r="BE48" s="138" t="str">
        <f aca="false">IF($BZ48&lt;&gt;Constants!$B$8,"",IF(AND($AL48,$AQ48,$AO48),Constants!$B$27,0))</f>
        <v/>
      </c>
      <c r="BF48" s="138" t="str">
        <f aca="false">IF($BZ48&lt;&gt;Constants!$B$8,"",IF($AL48,($AI48-Constants!$B$29)*Constants!$B$28,0))</f>
        <v/>
      </c>
      <c r="BG48" s="138" t="str">
        <f aca="false">IF($BZ48&lt;&gt;Constants!$B$8,"",IF($AK48,0,Constants!$B$15)+IF($AJ48,0,Constants!$B$16)+IF($AH48,0,Constants!$B$17))</f>
        <v/>
      </c>
      <c r="BH48" s="139" t="str">
        <f aca="false">IF($BZ48&lt;&gt;Constants!$B$8,"",Constants!$B$20+SUM($BC48:$BG48))</f>
        <v/>
      </c>
      <c r="BI48" s="138" t="str">
        <f aca="false">IF($BZ48&lt;&gt;Constants!$B$8,"",$BC48)</f>
        <v/>
      </c>
      <c r="BJ48" s="138" t="str">
        <f aca="false">IF($BZ48&lt;&gt;Constants!$B$8,"",$BD48)</f>
        <v/>
      </c>
      <c r="BK48" s="138" t="str">
        <f aca="false">IF($BZ48&lt;&gt;Constants!$B$8,"",IF($AL48,$AN48,""))</f>
        <v/>
      </c>
      <c r="BL48" s="140" t="str">
        <f aca="false">IF($BZ48&lt;&gt;Constants!$B$8,"",$AI48)</f>
        <v/>
      </c>
      <c r="BM48" s="135" t="str">
        <f aca="false">IF($BZ48&lt;&gt;Constants!$B$8,"",IF(OR($BT48&lt;$BH48,AND($BT48=$BH48,OR($BU48&lt;$BI48,AND($BU48=$BI48,OR($BV48&lt;$BJ48,AND($BV48=$BJ48,OR(AND(ISNUMBER($BW48),OR(NOT(ISNUMBER($BK48)),$BW48&lt;$BK48)),AND(OR(AND($BW48="",$BK48=""),AND(ISNUMBER($BW48),ISNUMBER($BK48),$BW48=$BK48)),$BX48&lt;$BL48)))))))),"-&gt;","&lt;-"))</f>
        <v/>
      </c>
      <c r="BN48" s="134" t="str">
        <f aca="false">IF(ISBLANK($C48),"",AND($AT48,OR($AU48="",$AV48="",AND($AW48,$AX48=""))))</f>
        <v/>
      </c>
      <c r="BO48" s="137" t="str">
        <f aca="false">IF($BZ48&lt;&gt;Constants!$B$8,"",IF($AT48,Constants!$B$21*$AV48+Constants!$B$22*IF($AW48,$AX48,Constants!$B$23),Constants!$B$24))</f>
        <v/>
      </c>
      <c r="BP48" s="138" t="str">
        <f aca="false">IF($BZ48&lt;&gt;Constants!$B$8,"",Constants!$B$25*ABS($AD$9-IF($AT48,$AU48,0)))</f>
        <v/>
      </c>
      <c r="BQ48" s="138" t="str">
        <f aca="false">IF($BZ48&lt;&gt;Constants!$B$8,"",IF(AND($AT48,$AY48,$AW48),Constants!$B$27,0))</f>
        <v/>
      </c>
      <c r="BR48" s="138" t="str">
        <f aca="false">IF($BZ48&lt;&gt;Constants!$B$8,"",IF($AT48,($AI48-Constants!$B$29)*Constants!$B$28,0))</f>
        <v/>
      </c>
      <c r="BS48" s="138" t="str">
        <f aca="false">IF($BZ48&lt;&gt;Constants!$B$8,"",IF($AS48,0,Constants!$B$15)+IF($AR48,0,Constants!$B$16)+IF($AH48,0,Constants!$B$17))</f>
        <v/>
      </c>
      <c r="BT48" s="139" t="str">
        <f aca="false">IF($BZ48&lt;&gt;Constants!$B$8,"",Constants!$B$20+SUM($BO48:$BS48))</f>
        <v/>
      </c>
      <c r="BU48" s="138" t="str">
        <f aca="false">IF($BZ48&lt;&gt;Constants!$B$8,"",$BO48)</f>
        <v/>
      </c>
      <c r="BV48" s="138" t="str">
        <f aca="false">IF($BZ48&lt;&gt;Constants!$B$8,"",$BP48)</f>
        <v/>
      </c>
      <c r="BW48" s="138" t="str">
        <f aca="false">IF($BZ48&lt;&gt;Constants!$B$8,"",IF($AT48,$AV48,""))</f>
        <v/>
      </c>
      <c r="BX48" s="140" t="str">
        <f aca="false">IF($BZ48&lt;&gt;Constants!$B$8,"",$AI48)</f>
        <v/>
      </c>
      <c r="BY48" s="135" t="str">
        <f aca="false">IF(ISBLANK($C48),"",IF(ISBLANK($D$7),$BY$5,IF(NOT(ISNUMBER($D$7)),$BY$6,"")))</f>
        <v/>
      </c>
      <c r="BZ48" s="135" t="str">
        <f aca="false">IF(ISBLANK($C48),"",IF($BA48,Constants!$B$11,IF(COUNTA($E48:$AA48)=0,Constants!$B$10,IF(NOT($AG48),Constants!$B$9,IF(OR($BY48&lt;&gt;"",$BB48,$BN48),Constants!$B$12,Constants!$B$8)))))</f>
        <v/>
      </c>
      <c r="CA48" s="135" t="str">
        <f aca="false">IF(ISBLANK($C48),"",IF($BZ48&lt;&gt;Constants!$B$8,$BZ48,Constants!$B$13))</f>
        <v/>
      </c>
      <c r="CB48" s="138" t="str">
        <f aca="false">IF($BZ48&lt;&gt;Constants!$B$8,"",IF($BM48="-&gt;",$BT48,$BH48))</f>
        <v/>
      </c>
      <c r="CC48" s="138" t="str">
        <f aca="false">IF($BZ48&lt;&gt;Constants!$B$8,"",IF($AF48,0,Constants!$B$18))</f>
        <v/>
      </c>
      <c r="CD48" s="138" t="str">
        <f aca="false">IF($BZ48&lt;&gt;Constants!$B$8,"",((Constants!$B$31-$AZ48)-Constants!$B$31)/Constants!$B$32)</f>
        <v/>
      </c>
      <c r="CE48" s="138" t="str">
        <f aca="false">IF(ISBLANK($C48),"",IF($BZ48&lt;&gt;Constants!$B$8,$BZ48,SUM($CB48:$CD48)))</f>
        <v/>
      </c>
      <c r="CF48" s="135" t="str">
        <f aca="false">IF(ISBLANK($C48),"",IF($BZ48&lt;&gt;Constants!$B$8,$BZ48,RANK($CE48,$CE$9:$CE$508,1)))</f>
        <v/>
      </c>
      <c r="CG48" s="138" t="str">
        <f aca="false">IF($BZ48&lt;&gt;Constants!$B$8,"",IF($BM48="-&gt;",$BU48,$BI48))</f>
        <v/>
      </c>
      <c r="CH48" s="135" t="str">
        <f aca="false">IF(ISBLANK($C48),"",IF($BZ48&lt;&gt;Constants!$B$8,$BZ48,IF(ISNUMBER($CG48),RANK($CG48,$CG$9:$CG$508,1),COUNT($CG$9:$CG$508)+1)))</f>
        <v/>
      </c>
      <c r="CI48" s="138" t="str">
        <f aca="false">IF($BZ48&lt;&gt;Constants!$B$8,"",IF($BM48="-&gt;",$BV48,$BJ48))</f>
        <v/>
      </c>
      <c r="CJ48" s="135" t="str">
        <f aca="false">IF(ISBLANK($C48),"",IF($BZ48&lt;&gt;Constants!$B$8,$BZ48,IF(ISNUMBER($CI48),RANK($CI48,$CI$9:$CI$508,1),COUNT($CI$9:$CI$508)+1)))</f>
        <v/>
      </c>
      <c r="CK48" s="138" t="str">
        <f aca="false">IF($BZ48&lt;&gt;Constants!$B$8,"",IF($BM48="-&gt;",$BW48,$BK48))</f>
        <v/>
      </c>
      <c r="CL48" s="135" t="str">
        <f aca="false">IF(ISBLANK($C48),"",IF($BZ48&lt;&gt;Constants!$B$8,$BZ48,IF(ISNUMBER($CK48),RANK($CK48,$CK$9:$CK$508,1),COUNT($CK$9:$CK$508)+1)))</f>
        <v/>
      </c>
      <c r="CM48" s="138" t="str">
        <f aca="false">IF($BZ48&lt;&gt;Constants!$B$8,"",IF(AND(NOT($AL48),NOT($AT48),$AJ48,$AK48,$AR48,$AS48),"",IF($BM48="-&gt;",$BX48,$BL48)))</f>
        <v/>
      </c>
      <c r="CN48" s="135" t="str">
        <f aca="false">IF(ISBLANK($C48),"",IF($BZ48&lt;&gt;Constants!$B$8,$BZ48,IF(ISNUMBER($CM48),RANK($CM48,$CM$9:$CM$508,1),COUNT($CM$9:$CM$508)+1)))</f>
        <v/>
      </c>
      <c r="CO48" s="135" t="str">
        <f aca="false">IF(ISBLANK($C48),"",IF($BZ48&lt;&gt;Constants!$B$8,$BZ48,COUNTIFS($CF$9:$CF$508,"&lt;"&amp;$CF48)+COUNTIFS($CF$9:$CF$508,$CF48,$CH$9:$CH$508,"&lt;"&amp;$CH48)+COUNTIFS($CF$9:$CF$508,$CF48,$CH$9:$CH$508,$CH48,$CJ$9:$CJ$508,"&lt;"&amp;$CJ48)+COUNTIFS($CF$9:$CF$508,$CF48,$CH$9:$CH$508,$CH48,$CJ$9:$CJ$508,$CJ48,$CL$9:$CL$508,"&lt;"&amp;$CL48)+COUNTIFS($CF$9:$CF$508,$CF48,$CH$9:$CH$508,$CH48,$CJ$9:$CJ$508,$CJ48,$CL$9:$CL$508,$CL48,$CN$9:$CN$508,"&lt;"&amp;$CN48)+1))</f>
        <v/>
      </c>
      <c r="CP48" s="135" t="str">
        <f aca="false">IF(ISBLANK($C48),"",IF($BZ48&lt;&gt;Constants!$B$8,$BZ48,$CF48-$CO48))</f>
        <v/>
      </c>
      <c r="CQ48" s="141"/>
      <c r="CR48" s="142"/>
      <c r="CS48" s="143" t="str">
        <f aca="false">IF(ISBLANK($C48),"",IF($BZ48=Constants!$B$12,$BY48,""))</f>
        <v/>
      </c>
      <c r="CT48" s="142" t="str">
        <f aca="false">IF(ISBLANK($C48),"",IF($BZ48&lt;&gt;Constants!$B$8,"",IF($BM48="-&gt;",2,1)))</f>
        <v/>
      </c>
      <c r="CU48" s="144" t="str">
        <f aca="false">IF(ISBLANK($C48),"",IF($BZ48&lt;&gt;Constants!$B$8,"",IF($BM48="-&gt;",$BO48,$BC48)))</f>
        <v/>
      </c>
      <c r="CV48" s="144" t="str">
        <f aca="false">IF(ISBLANK($C48),"",IF($BZ48&lt;&gt;Constants!$B$8,"",IF($BM48="-&gt;",$BP48,$BD48)))</f>
        <v/>
      </c>
      <c r="CW48" s="144" t="str">
        <f aca="false">IF(ISBLANK($C48),"",IF($BZ48&lt;&gt;Constants!$B$8,"",IF($BM48="-&gt;",$BQ48+$BR48,$BE48+$BF48)+$CD48))</f>
        <v/>
      </c>
      <c r="CX48" s="144" t="str">
        <f aca="false">IF(ISBLANK($C48),"",IF($BZ48&lt;&gt;Constants!$B$8,"",IF($BM48="-&gt;",$BS48,$BG48)+$CC48))</f>
        <v/>
      </c>
      <c r="CY48" s="145" t="str">
        <f aca="false">IF(ISBLANK($C48),"",IF($BZ48&lt;&gt;Constants!$B$8,$BZ48,$CE48))</f>
        <v/>
      </c>
      <c r="CZ48" s="146" t="str">
        <f aca="false">IF(ISBLANK($C48),"",$CA48)</f>
        <v/>
      </c>
      <c r="DA48" s="147" t="str">
        <f aca="false">IF(ISBLANK($C48),"",$CP48)</f>
        <v/>
      </c>
      <c r="DB48" s="147" t="str">
        <f aca="false">IF(ISBLANK($C48),"",$CO48)</f>
        <v/>
      </c>
      <c r="DC48" s="148" t="str">
        <f aca="false">IF(ISBLANK($C48),"",IFERROR(_xlfn.SWITCH($DB48,Constants!$B$11,COUNTA($C$9:$C$508)+2,Constants!$B$10,COUNTA($C$9:$C$508)+1,Constants!$B$9,COUNTA($C$9:$C$508)),$DB48))</f>
        <v/>
      </c>
      <c r="DD48" s="9"/>
      <c r="DE48" s="149" t="n">
        <f aca="false">IF(OR(ISNUMBER($DB48),$DB48=Constants!$B$11,$DB48=Constants!$B$9,$DB48=Constants!$B$10),1,0)</f>
        <v>0</v>
      </c>
      <c r="DF48" s="149" t="n">
        <v>40</v>
      </c>
      <c r="DG48" s="149" t="str">
        <f aca="false">IF(ISBLANK($C48),"",IF(ISNUMBER($DC48),$DC48+ROW($B48)/1000,""))</f>
        <v/>
      </c>
      <c r="DH48" s="149" t="str">
        <f aca="false">IF(ISNUMBER($DG48),RANK($DG48,$DG$9:$DG$508,1),"")</f>
        <v/>
      </c>
      <c r="DI48" s="149" t="str">
        <f aca="false">IF(ISBLANK($C48),"",$B48)</f>
        <v/>
      </c>
      <c r="DJ48" s="149" t="str">
        <f aca="false">IF(ISBLANK($C48),"",$C48)</f>
        <v/>
      </c>
      <c r="DK48" s="149" t="str">
        <f aca="false">IF(ISBLANK($C48),"",$D48)</f>
        <v/>
      </c>
      <c r="DL48" s="150" t="str">
        <f aca="false">$CZ48</f>
        <v/>
      </c>
      <c r="DM48" s="151" t="str">
        <f aca="false">$CY48</f>
        <v/>
      </c>
      <c r="DN48" s="149" t="str">
        <f aca="false">IF(ISBLANK($C48),"",$DB48)</f>
        <v/>
      </c>
      <c r="DO48" s="152" t="str">
        <f aca="false">IF($DF48&gt;$DE$8,"",VLOOKUP($DF48,$DH$9:$DN$508,7,FALSE()))</f>
        <v/>
      </c>
      <c r="DP48" s="153" t="str">
        <f aca="false">IF($DF48&gt;$DE$8,"",VLOOKUP($DF48,$DH$9:$DN$508,2,FALSE()))</f>
        <v/>
      </c>
      <c r="DQ48" s="153" t="str">
        <f aca="false">IF($DF48&gt;$DE$8,"",VLOOKUP($DF48,$DH$9:$DN$508,3,FALSE()))</f>
        <v/>
      </c>
      <c r="DR48" s="153" t="str">
        <f aca="false">IF($DF48&gt;$DE$8,"",VLOOKUP($DF48,$DH$9:$DN$508,4,FALSE()))</f>
        <v/>
      </c>
      <c r="DS48" s="153" t="str">
        <f aca="false">IF($DF48&gt;$DE$8,"",VLOOKUP($DF48,$DH$9:$DN$508,5,FALSE()))</f>
        <v/>
      </c>
      <c r="DT48" s="154" t="str">
        <f aca="false">IF($DF48&gt;$DE$8,"",VLOOKUP($DF48,$DH$9:$DN$508,6,FALSE()))</f>
        <v/>
      </c>
      <c r="DU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IF(ISBLANK($C49),"",IF(E49=Constants!$B$3,TRUE(),IF(E49=Constants!$B$4,FALSE(),TRUE())))</f>
        <v/>
      </c>
      <c r="AG49" s="135" t="str">
        <f aca="false">IF(ISBLANK($C49),"",IF(F49=Constants!$B$3,TRUE(),IF(F49=Constants!$B$4,FALSE(),TRUE())))</f>
        <v/>
      </c>
      <c r="AH49" s="135" t="str">
        <f aca="false">IF(ISBLANK($C49),"",IF(G49=Constants!$B$3,TRUE(),IF(G49=Constants!$B$4,FALSE(),TRUE())))</f>
        <v/>
      </c>
      <c r="AI49" s="135" t="str">
        <f aca="false">IF(ISBLANK($C49),"",IF(AND(ISNUMBER(H49),H49&gt;=0),H49,Constants!$B$29))</f>
        <v/>
      </c>
      <c r="AJ49" s="135" t="str">
        <f aca="false">IF(ISBLANK($C49),"",IF(I49=Constants!$B$3,TRUE(),IF(I49=Constants!$B$4,FALSE(),TRUE())))</f>
        <v/>
      </c>
      <c r="AK49" s="135" t="str">
        <f aca="false">IF(ISBLANK($C49),"",IF(J49=Constants!$B$3,TRUE(),IF(J49=Constants!$B$4,FALSE(),TRUE())))</f>
        <v/>
      </c>
      <c r="AL49" s="135" t="str">
        <f aca="false">IF(ISBLANK($C49),"",IF(K49=Constants!$B$5,TRUE(),IF(K49=Constants!$B$6,FALSE(),COUNTA(L49:P49)&gt;0)))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IF(ISBLANK($C49),"",IF(N49=Constants!$B$3,TRUE(),IF(N49=Constants!$B$4,FALSE(),TRUE())))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IF(ISBLANK($C49),"",IF(P49=Constants!$B$3,TRUE(),IF(P49=Constants!$B$4,FALSE(),FALSE())))</f>
        <v/>
      </c>
      <c r="AR49" s="135" t="str">
        <f aca="false">IF(ISBLANK($C49),"",IF(Q49=Constants!$B$3,TRUE(),IF(Q49=Constants!$B$4,FALSE(),TRUE())))</f>
        <v/>
      </c>
      <c r="AS49" s="135" t="str">
        <f aca="false">IF(ISBLANK($C49),"",IF(R49=Constants!$B$3,TRUE(),IF(R49=Constants!$B$4,FALSE(),TRUE())))</f>
        <v/>
      </c>
      <c r="AT49" s="135" t="str">
        <f aca="false">IF(ISBLANK($C49),"",IF(S49=Constants!$B$5,TRUE(),IF(S49=Constants!$B$6,FALSE(),COUNTA(T49:X49)&gt;0)))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IF(ISBLANK($C49),"",IF(V49=Constants!$B$3,TRUE(),IF(V49=Constants!$B$4,FALSE(),TRUE())))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IF(ISBLANK($C49),"",IF(X49=Constants!$B$3,TRUE(),IF(X49=Constants!$B$4,FALSE(),FALSE())))</f>
        <v/>
      </c>
      <c r="AZ49" s="135" t="str">
        <f aca="false">IF(ISBLANK($C49),"",MIN(Constants!$B$31,MAX(0,IF(ISNUMBER(Y49),Y49*60,0)+IF(ISNUMBER(Z49),Z49,0))))</f>
        <v/>
      </c>
      <c r="BA49" s="135" t="str">
        <f aca="false">IF(ISBLANK($C49),"",IF(AA49=Constants!$B$3,TRUE(),IF(AA49=Constants!$B$4,FALSE(),FALSE())))</f>
        <v/>
      </c>
      <c r="BB49" s="134" t="str">
        <f aca="false">IF(ISBLANK($C49),"",AND($AL49,OR($AM49="",$AN49="",AND($AO49,$AP49=""))))</f>
        <v/>
      </c>
      <c r="BC49" s="137" t="str">
        <f aca="false">IF($BZ49&lt;&gt;Constants!$B$8,"",IF($AL49,Constants!$B$21*$AN49+Constants!$B$22*IF($AO49,$AP49,Constants!$B$23),Constants!$B$24))</f>
        <v/>
      </c>
      <c r="BD49" s="138" t="str">
        <f aca="false">IF($BZ49&lt;&gt;Constants!$B$8,"",Constants!$B$25*ABS($AD$9-IF($AL49,$AM49,0)))</f>
        <v/>
      </c>
      <c r="BE49" s="138" t="str">
        <f aca="false">IF($BZ49&lt;&gt;Constants!$B$8,"",IF(AND($AL49,$AQ49,$AO49),Constants!$B$27,0))</f>
        <v/>
      </c>
      <c r="BF49" s="138" t="str">
        <f aca="false">IF($BZ49&lt;&gt;Constants!$B$8,"",IF($AL49,($AI49-Constants!$B$29)*Constants!$B$28,0))</f>
        <v/>
      </c>
      <c r="BG49" s="138" t="str">
        <f aca="false">IF($BZ49&lt;&gt;Constants!$B$8,"",IF($AK49,0,Constants!$B$15)+IF($AJ49,0,Constants!$B$16)+IF($AH49,0,Constants!$B$17))</f>
        <v/>
      </c>
      <c r="BH49" s="139" t="str">
        <f aca="false">IF($BZ49&lt;&gt;Constants!$B$8,"",Constants!$B$20+SUM($BC49:$BG49))</f>
        <v/>
      </c>
      <c r="BI49" s="138" t="str">
        <f aca="false">IF($BZ49&lt;&gt;Constants!$B$8,"",$BC49)</f>
        <v/>
      </c>
      <c r="BJ49" s="138" t="str">
        <f aca="false">IF($BZ49&lt;&gt;Constants!$B$8,"",$BD49)</f>
        <v/>
      </c>
      <c r="BK49" s="138" t="str">
        <f aca="false">IF($BZ49&lt;&gt;Constants!$B$8,"",IF($AL49,$AN49,""))</f>
        <v/>
      </c>
      <c r="BL49" s="140" t="str">
        <f aca="false">IF($BZ49&lt;&gt;Constants!$B$8,"",$AI49)</f>
        <v/>
      </c>
      <c r="BM49" s="135" t="str">
        <f aca="false">IF($BZ49&lt;&gt;Constants!$B$8,"",IF(OR($BT49&lt;$BH49,AND($BT49=$BH49,OR($BU49&lt;$BI49,AND($BU49=$BI49,OR($BV49&lt;$BJ49,AND($BV49=$BJ49,OR(AND(ISNUMBER($BW49),OR(NOT(ISNUMBER($BK49)),$BW49&lt;$BK49)),AND(OR(AND($BW49="",$BK49=""),AND(ISNUMBER($BW49),ISNUMBER($BK49),$BW49=$BK49)),$BX49&lt;$BL49)))))))),"-&gt;","&lt;-"))</f>
        <v/>
      </c>
      <c r="BN49" s="134" t="str">
        <f aca="false">IF(ISBLANK($C49),"",AND($AT49,OR($AU49="",$AV49="",AND($AW49,$AX49=""))))</f>
        <v/>
      </c>
      <c r="BO49" s="137" t="str">
        <f aca="false">IF($BZ49&lt;&gt;Constants!$B$8,"",IF($AT49,Constants!$B$21*$AV49+Constants!$B$22*IF($AW49,$AX49,Constants!$B$23),Constants!$B$24))</f>
        <v/>
      </c>
      <c r="BP49" s="138" t="str">
        <f aca="false">IF($BZ49&lt;&gt;Constants!$B$8,"",Constants!$B$25*ABS($AD$9-IF($AT49,$AU49,0)))</f>
        <v/>
      </c>
      <c r="BQ49" s="138" t="str">
        <f aca="false">IF($BZ49&lt;&gt;Constants!$B$8,"",IF(AND($AT49,$AY49,$AW49),Constants!$B$27,0))</f>
        <v/>
      </c>
      <c r="BR49" s="138" t="str">
        <f aca="false">IF($BZ49&lt;&gt;Constants!$B$8,"",IF($AT49,($AI49-Constants!$B$29)*Constants!$B$28,0))</f>
        <v/>
      </c>
      <c r="BS49" s="138" t="str">
        <f aca="false">IF($BZ49&lt;&gt;Constants!$B$8,"",IF($AS49,0,Constants!$B$15)+IF($AR49,0,Constants!$B$16)+IF($AH49,0,Constants!$B$17))</f>
        <v/>
      </c>
      <c r="BT49" s="139" t="str">
        <f aca="false">IF($BZ49&lt;&gt;Constants!$B$8,"",Constants!$B$20+SUM($BO49:$BS49))</f>
        <v/>
      </c>
      <c r="BU49" s="138" t="str">
        <f aca="false">IF($BZ49&lt;&gt;Constants!$B$8,"",$BO49)</f>
        <v/>
      </c>
      <c r="BV49" s="138" t="str">
        <f aca="false">IF($BZ49&lt;&gt;Constants!$B$8,"",$BP49)</f>
        <v/>
      </c>
      <c r="BW49" s="138" t="str">
        <f aca="false">IF($BZ49&lt;&gt;Constants!$B$8,"",IF($AT49,$AV49,""))</f>
        <v/>
      </c>
      <c r="BX49" s="140" t="str">
        <f aca="false">IF($BZ49&lt;&gt;Constants!$B$8,"",$AI49)</f>
        <v/>
      </c>
      <c r="BY49" s="135" t="str">
        <f aca="false">IF(ISBLANK($C49),"",IF(ISBLANK($D$7),$BY$5,IF(NOT(ISNUMBER($D$7)),$BY$6,"")))</f>
        <v/>
      </c>
      <c r="BZ49" s="135" t="str">
        <f aca="false">IF(ISBLANK($C49),"",IF($BA49,Constants!$B$11,IF(COUNTA($E49:$AA49)=0,Constants!$B$10,IF(NOT($AG49),Constants!$B$9,IF(OR($BY49&lt;&gt;"",$BB49,$BN49),Constants!$B$12,Constants!$B$8)))))</f>
        <v/>
      </c>
      <c r="CA49" s="135" t="str">
        <f aca="false">IF(ISBLANK($C49),"",IF($BZ49&lt;&gt;Constants!$B$8,$BZ49,Constants!$B$13))</f>
        <v/>
      </c>
      <c r="CB49" s="138" t="str">
        <f aca="false">IF($BZ49&lt;&gt;Constants!$B$8,"",IF($BM49="-&gt;",$BT49,$BH49))</f>
        <v/>
      </c>
      <c r="CC49" s="138" t="str">
        <f aca="false">IF($BZ49&lt;&gt;Constants!$B$8,"",IF($AF49,0,Constants!$B$18))</f>
        <v/>
      </c>
      <c r="CD49" s="138" t="str">
        <f aca="false">IF($BZ49&lt;&gt;Constants!$B$8,"",((Constants!$B$31-$AZ49)-Constants!$B$31)/Constants!$B$32)</f>
        <v/>
      </c>
      <c r="CE49" s="138" t="str">
        <f aca="false">IF(ISBLANK($C49),"",IF($BZ49&lt;&gt;Constants!$B$8,$BZ49,SUM($CB49:$CD49)))</f>
        <v/>
      </c>
      <c r="CF49" s="135" t="str">
        <f aca="false">IF(ISBLANK($C49),"",IF($BZ49&lt;&gt;Constants!$B$8,$BZ49,RANK($CE49,$CE$9:$CE$508,1)))</f>
        <v/>
      </c>
      <c r="CG49" s="138" t="str">
        <f aca="false">IF($BZ49&lt;&gt;Constants!$B$8,"",IF($BM49="-&gt;",$BU49,$BI49))</f>
        <v/>
      </c>
      <c r="CH49" s="135" t="str">
        <f aca="false">IF(ISBLANK($C49),"",IF($BZ49&lt;&gt;Constants!$B$8,$BZ49,IF(ISNUMBER($CG49),RANK($CG49,$CG$9:$CG$508,1),COUNT($CG$9:$CG$508)+1)))</f>
        <v/>
      </c>
      <c r="CI49" s="138" t="str">
        <f aca="false">IF($BZ49&lt;&gt;Constants!$B$8,"",IF($BM49="-&gt;",$BV49,$BJ49))</f>
        <v/>
      </c>
      <c r="CJ49" s="135" t="str">
        <f aca="false">IF(ISBLANK($C49),"",IF($BZ49&lt;&gt;Constants!$B$8,$BZ49,IF(ISNUMBER($CI49),RANK($CI49,$CI$9:$CI$508,1),COUNT($CI$9:$CI$508)+1)))</f>
        <v/>
      </c>
      <c r="CK49" s="138" t="str">
        <f aca="false">IF($BZ49&lt;&gt;Constants!$B$8,"",IF($BM49="-&gt;",$BW49,$BK49))</f>
        <v/>
      </c>
      <c r="CL49" s="135" t="str">
        <f aca="false">IF(ISBLANK($C49),"",IF($BZ49&lt;&gt;Constants!$B$8,$BZ49,IF(ISNUMBER($CK49),RANK($CK49,$CK$9:$CK$508,1),COUNT($CK$9:$CK$508)+1)))</f>
        <v/>
      </c>
      <c r="CM49" s="138" t="str">
        <f aca="false">IF($BZ49&lt;&gt;Constants!$B$8,"",IF(AND(NOT($AL49),NOT($AT49),$AJ49,$AK49,$AR49,$AS49),"",IF($BM49="-&gt;",$BX49,$BL49)))</f>
        <v/>
      </c>
      <c r="CN49" s="135" t="str">
        <f aca="false">IF(ISBLANK($C49),"",IF($BZ49&lt;&gt;Constants!$B$8,$BZ49,IF(ISNUMBER($CM49),RANK($CM49,$CM$9:$CM$508,1),COUNT($CM$9:$CM$508)+1)))</f>
        <v/>
      </c>
      <c r="CO49" s="135" t="str">
        <f aca="false">IF(ISBLANK($C49),"",IF($BZ49&lt;&gt;Constants!$B$8,$BZ49,COUNTIFS($CF$9:$CF$508,"&lt;"&amp;$CF49)+COUNTIFS($CF$9:$CF$508,$CF49,$CH$9:$CH$508,"&lt;"&amp;$CH49)+COUNTIFS($CF$9:$CF$508,$CF49,$CH$9:$CH$508,$CH49,$CJ$9:$CJ$508,"&lt;"&amp;$CJ49)+COUNTIFS($CF$9:$CF$508,$CF49,$CH$9:$CH$508,$CH49,$CJ$9:$CJ$508,$CJ49,$CL$9:$CL$508,"&lt;"&amp;$CL49)+COUNTIFS($CF$9:$CF$508,$CF49,$CH$9:$CH$508,$CH49,$CJ$9:$CJ$508,$CJ49,$CL$9:$CL$508,$CL49,$CN$9:$CN$508,"&lt;"&amp;$CN49)+1))</f>
        <v/>
      </c>
      <c r="CP49" s="135" t="str">
        <f aca="false">IF(ISBLANK($C49),"",IF($BZ49&lt;&gt;Constants!$B$8,$BZ49,$CF49-$CO49))</f>
        <v/>
      </c>
      <c r="CQ49" s="141"/>
      <c r="CR49" s="142"/>
      <c r="CS49" s="143" t="str">
        <f aca="false">IF(ISBLANK($C49),"",IF($BZ49=Constants!$B$12,$BY49,""))</f>
        <v/>
      </c>
      <c r="CT49" s="142" t="str">
        <f aca="false">IF(ISBLANK($C49),"",IF($BZ49&lt;&gt;Constants!$B$8,"",IF($BM49="-&gt;",2,1)))</f>
        <v/>
      </c>
      <c r="CU49" s="144" t="str">
        <f aca="false">IF(ISBLANK($C49),"",IF($BZ49&lt;&gt;Constants!$B$8,"",IF($BM49="-&gt;",$BO49,$BC49)))</f>
        <v/>
      </c>
      <c r="CV49" s="144" t="str">
        <f aca="false">IF(ISBLANK($C49),"",IF($BZ49&lt;&gt;Constants!$B$8,"",IF($BM49="-&gt;",$BP49,$BD49)))</f>
        <v/>
      </c>
      <c r="CW49" s="144" t="str">
        <f aca="false">IF(ISBLANK($C49),"",IF($BZ49&lt;&gt;Constants!$B$8,"",IF($BM49="-&gt;",$BQ49+$BR49,$BE49+$BF49)+$CD49))</f>
        <v/>
      </c>
      <c r="CX49" s="144" t="str">
        <f aca="false">IF(ISBLANK($C49),"",IF($BZ49&lt;&gt;Constants!$B$8,"",IF($BM49="-&gt;",$BS49,$BG49)+$CC49))</f>
        <v/>
      </c>
      <c r="CY49" s="145" t="str">
        <f aca="false">IF(ISBLANK($C49),"",IF($BZ49&lt;&gt;Constants!$B$8,$BZ49,$CE49))</f>
        <v/>
      </c>
      <c r="CZ49" s="146" t="str">
        <f aca="false">IF(ISBLANK($C49),"",$CA49)</f>
        <v/>
      </c>
      <c r="DA49" s="147" t="str">
        <f aca="false">IF(ISBLANK($C49),"",$CP49)</f>
        <v/>
      </c>
      <c r="DB49" s="147" t="str">
        <f aca="false">IF(ISBLANK($C49),"",$CO49)</f>
        <v/>
      </c>
      <c r="DC49" s="148" t="str">
        <f aca="false">IF(ISBLANK($C49),"",IFERROR(_xlfn.SWITCH($DB49,Constants!$B$11,COUNTA($C$9:$C$508)+2,Constants!$B$10,COUNTA($C$9:$C$508)+1,Constants!$B$9,COUNTA($C$9:$C$508)),$DB49))</f>
        <v/>
      </c>
      <c r="DD49" s="9"/>
      <c r="DE49" s="149" t="n">
        <f aca="false">IF(OR(ISNUMBER($DB49),$DB49=Constants!$B$11,$DB49=Constants!$B$9,$DB49=Constants!$B$10),1,0)</f>
        <v>0</v>
      </c>
      <c r="DF49" s="149" t="n">
        <v>41</v>
      </c>
      <c r="DG49" s="149" t="str">
        <f aca="false">IF(ISBLANK($C49),"",IF(ISNUMBER($DC49),$DC49+ROW($B49)/1000,""))</f>
        <v/>
      </c>
      <c r="DH49" s="149" t="str">
        <f aca="false">IF(ISNUMBER($DG49),RANK($DG49,$DG$9:$DG$508,1),"")</f>
        <v/>
      </c>
      <c r="DI49" s="149" t="str">
        <f aca="false">IF(ISBLANK($C49),"",$B49)</f>
        <v/>
      </c>
      <c r="DJ49" s="149" t="str">
        <f aca="false">IF(ISBLANK($C49),"",$C49)</f>
        <v/>
      </c>
      <c r="DK49" s="149" t="str">
        <f aca="false">IF(ISBLANK($C49),"",$D49)</f>
        <v/>
      </c>
      <c r="DL49" s="150" t="str">
        <f aca="false">$CZ49</f>
        <v/>
      </c>
      <c r="DM49" s="151" t="str">
        <f aca="false">$CY49</f>
        <v/>
      </c>
      <c r="DN49" s="149" t="str">
        <f aca="false">IF(ISBLANK($C49),"",$DB49)</f>
        <v/>
      </c>
      <c r="DO49" s="152" t="str">
        <f aca="false">IF($DF49&gt;$DE$8,"",VLOOKUP($DF49,$DH$9:$DN$508,7,FALSE()))</f>
        <v/>
      </c>
      <c r="DP49" s="153" t="str">
        <f aca="false">IF($DF49&gt;$DE$8,"",VLOOKUP($DF49,$DH$9:$DN$508,2,FALSE()))</f>
        <v/>
      </c>
      <c r="DQ49" s="153" t="str">
        <f aca="false">IF($DF49&gt;$DE$8,"",VLOOKUP($DF49,$DH$9:$DN$508,3,FALSE()))</f>
        <v/>
      </c>
      <c r="DR49" s="153" t="str">
        <f aca="false">IF($DF49&gt;$DE$8,"",VLOOKUP($DF49,$DH$9:$DN$508,4,FALSE()))</f>
        <v/>
      </c>
      <c r="DS49" s="153" t="str">
        <f aca="false">IF($DF49&gt;$DE$8,"",VLOOKUP($DF49,$DH$9:$DN$508,5,FALSE()))</f>
        <v/>
      </c>
      <c r="DT49" s="154" t="str">
        <f aca="false">IF($DF49&gt;$DE$8,"",VLOOKUP($DF49,$DH$9:$DN$508,6,FALSE()))</f>
        <v/>
      </c>
      <c r="DU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IF(ISBLANK($C50),"",IF(E50=Constants!$B$3,TRUE(),IF(E50=Constants!$B$4,FALSE(),TRUE())))</f>
        <v/>
      </c>
      <c r="AG50" s="135" t="str">
        <f aca="false">IF(ISBLANK($C50),"",IF(F50=Constants!$B$3,TRUE(),IF(F50=Constants!$B$4,FALSE(),TRUE())))</f>
        <v/>
      </c>
      <c r="AH50" s="135" t="str">
        <f aca="false">IF(ISBLANK($C50),"",IF(G50=Constants!$B$3,TRUE(),IF(G50=Constants!$B$4,FALSE(),TRUE())))</f>
        <v/>
      </c>
      <c r="AI50" s="135" t="str">
        <f aca="false">IF(ISBLANK($C50),"",IF(AND(ISNUMBER(H50),H50&gt;=0),H50,Constants!$B$29))</f>
        <v/>
      </c>
      <c r="AJ50" s="135" t="str">
        <f aca="false">IF(ISBLANK($C50),"",IF(I50=Constants!$B$3,TRUE(),IF(I50=Constants!$B$4,FALSE(),TRUE())))</f>
        <v/>
      </c>
      <c r="AK50" s="135" t="str">
        <f aca="false">IF(ISBLANK($C50),"",IF(J50=Constants!$B$3,TRUE(),IF(J50=Constants!$B$4,FALSE(),TRUE())))</f>
        <v/>
      </c>
      <c r="AL50" s="135" t="str">
        <f aca="false">IF(ISBLANK($C50),"",IF(K50=Constants!$B$5,TRUE(),IF(K50=Constants!$B$6,FALSE(),COUNTA(L50:P50)&gt;0)))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IF(ISBLANK($C50),"",IF(N50=Constants!$B$3,TRUE(),IF(N50=Constants!$B$4,FALSE(),TRUE())))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IF(ISBLANK($C50),"",IF(P50=Constants!$B$3,TRUE(),IF(P50=Constants!$B$4,FALSE(),FALSE())))</f>
        <v/>
      </c>
      <c r="AR50" s="135" t="str">
        <f aca="false">IF(ISBLANK($C50),"",IF(Q50=Constants!$B$3,TRUE(),IF(Q50=Constants!$B$4,FALSE(),TRUE())))</f>
        <v/>
      </c>
      <c r="AS50" s="135" t="str">
        <f aca="false">IF(ISBLANK($C50),"",IF(R50=Constants!$B$3,TRUE(),IF(R50=Constants!$B$4,FALSE(),TRUE())))</f>
        <v/>
      </c>
      <c r="AT50" s="135" t="str">
        <f aca="false">IF(ISBLANK($C50),"",IF(S50=Constants!$B$5,TRUE(),IF(S50=Constants!$B$6,FALSE(),COUNTA(T50:X50)&gt;0)))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IF(ISBLANK($C50),"",IF(V50=Constants!$B$3,TRUE(),IF(V50=Constants!$B$4,FALSE(),TRUE())))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IF(ISBLANK($C50),"",IF(X50=Constants!$B$3,TRUE(),IF(X50=Constants!$B$4,FALSE(),FALSE())))</f>
        <v/>
      </c>
      <c r="AZ50" s="135" t="str">
        <f aca="false">IF(ISBLANK($C50),"",MIN(Constants!$B$31,MAX(0,IF(ISNUMBER(Y50),Y50*60,0)+IF(ISNUMBER(Z50),Z50,0))))</f>
        <v/>
      </c>
      <c r="BA50" s="135" t="str">
        <f aca="false">IF(ISBLANK($C50),"",IF(AA50=Constants!$B$3,TRUE(),IF(AA50=Constants!$B$4,FALSE(),FALSE())))</f>
        <v/>
      </c>
      <c r="BB50" s="134" t="str">
        <f aca="false">IF(ISBLANK($C50),"",AND($AL50,OR($AM50="",$AN50="",AND($AO50,$AP50=""))))</f>
        <v/>
      </c>
      <c r="BC50" s="137" t="str">
        <f aca="false">IF($BZ50&lt;&gt;Constants!$B$8,"",IF($AL50,Constants!$B$21*$AN50+Constants!$B$22*IF($AO50,$AP50,Constants!$B$23),Constants!$B$24))</f>
        <v/>
      </c>
      <c r="BD50" s="138" t="str">
        <f aca="false">IF($BZ50&lt;&gt;Constants!$B$8,"",Constants!$B$25*ABS($AD$9-IF($AL50,$AM50,0)))</f>
        <v/>
      </c>
      <c r="BE50" s="138" t="str">
        <f aca="false">IF($BZ50&lt;&gt;Constants!$B$8,"",IF(AND($AL50,$AQ50,$AO50),Constants!$B$27,0))</f>
        <v/>
      </c>
      <c r="BF50" s="138" t="str">
        <f aca="false">IF($BZ50&lt;&gt;Constants!$B$8,"",IF($AL50,($AI50-Constants!$B$29)*Constants!$B$28,0))</f>
        <v/>
      </c>
      <c r="BG50" s="138" t="str">
        <f aca="false">IF($BZ50&lt;&gt;Constants!$B$8,"",IF($AK50,0,Constants!$B$15)+IF($AJ50,0,Constants!$B$16)+IF($AH50,0,Constants!$B$17))</f>
        <v/>
      </c>
      <c r="BH50" s="139" t="str">
        <f aca="false">IF($BZ50&lt;&gt;Constants!$B$8,"",Constants!$B$20+SUM($BC50:$BG50))</f>
        <v/>
      </c>
      <c r="BI50" s="138" t="str">
        <f aca="false">IF($BZ50&lt;&gt;Constants!$B$8,"",$BC50)</f>
        <v/>
      </c>
      <c r="BJ50" s="138" t="str">
        <f aca="false">IF($BZ50&lt;&gt;Constants!$B$8,"",$BD50)</f>
        <v/>
      </c>
      <c r="BK50" s="138" t="str">
        <f aca="false">IF($BZ50&lt;&gt;Constants!$B$8,"",IF($AL50,$AN50,""))</f>
        <v/>
      </c>
      <c r="BL50" s="140" t="str">
        <f aca="false">IF($BZ50&lt;&gt;Constants!$B$8,"",$AI50)</f>
        <v/>
      </c>
      <c r="BM50" s="135" t="str">
        <f aca="false">IF($BZ50&lt;&gt;Constants!$B$8,"",IF(OR($BT50&lt;$BH50,AND($BT50=$BH50,OR($BU50&lt;$BI50,AND($BU50=$BI50,OR($BV50&lt;$BJ50,AND($BV50=$BJ50,OR(AND(ISNUMBER($BW50),OR(NOT(ISNUMBER($BK50)),$BW50&lt;$BK50)),AND(OR(AND($BW50="",$BK50=""),AND(ISNUMBER($BW50),ISNUMBER($BK50),$BW50=$BK50)),$BX50&lt;$BL50)))))))),"-&gt;","&lt;-"))</f>
        <v/>
      </c>
      <c r="BN50" s="134" t="str">
        <f aca="false">IF(ISBLANK($C50),"",AND($AT50,OR($AU50="",$AV50="",AND($AW50,$AX50=""))))</f>
        <v/>
      </c>
      <c r="BO50" s="137" t="str">
        <f aca="false">IF($BZ50&lt;&gt;Constants!$B$8,"",IF($AT50,Constants!$B$21*$AV50+Constants!$B$22*IF($AW50,$AX50,Constants!$B$23),Constants!$B$24))</f>
        <v/>
      </c>
      <c r="BP50" s="138" t="str">
        <f aca="false">IF($BZ50&lt;&gt;Constants!$B$8,"",Constants!$B$25*ABS($AD$9-IF($AT50,$AU50,0)))</f>
        <v/>
      </c>
      <c r="BQ50" s="138" t="str">
        <f aca="false">IF($BZ50&lt;&gt;Constants!$B$8,"",IF(AND($AT50,$AY50,$AW50),Constants!$B$27,0))</f>
        <v/>
      </c>
      <c r="BR50" s="138" t="str">
        <f aca="false">IF($BZ50&lt;&gt;Constants!$B$8,"",IF($AT50,($AI50-Constants!$B$29)*Constants!$B$28,0))</f>
        <v/>
      </c>
      <c r="BS50" s="138" t="str">
        <f aca="false">IF($BZ50&lt;&gt;Constants!$B$8,"",IF($AS50,0,Constants!$B$15)+IF($AR50,0,Constants!$B$16)+IF($AH50,0,Constants!$B$17))</f>
        <v/>
      </c>
      <c r="BT50" s="139" t="str">
        <f aca="false">IF($BZ50&lt;&gt;Constants!$B$8,"",Constants!$B$20+SUM($BO50:$BS50))</f>
        <v/>
      </c>
      <c r="BU50" s="138" t="str">
        <f aca="false">IF($BZ50&lt;&gt;Constants!$B$8,"",$BO50)</f>
        <v/>
      </c>
      <c r="BV50" s="138" t="str">
        <f aca="false">IF($BZ50&lt;&gt;Constants!$B$8,"",$BP50)</f>
        <v/>
      </c>
      <c r="BW50" s="138" t="str">
        <f aca="false">IF($BZ50&lt;&gt;Constants!$B$8,"",IF($AT50,$AV50,""))</f>
        <v/>
      </c>
      <c r="BX50" s="140" t="str">
        <f aca="false">IF($BZ50&lt;&gt;Constants!$B$8,"",$AI50)</f>
        <v/>
      </c>
      <c r="BY50" s="135" t="str">
        <f aca="false">IF(ISBLANK($C50),"",IF(ISBLANK($D$7),$BY$5,IF(NOT(ISNUMBER($D$7)),$BY$6,"")))</f>
        <v/>
      </c>
      <c r="BZ50" s="135" t="str">
        <f aca="false">IF(ISBLANK($C50),"",IF($BA50,Constants!$B$11,IF(COUNTA($E50:$AA50)=0,Constants!$B$10,IF(NOT($AG50),Constants!$B$9,IF(OR($BY50&lt;&gt;"",$BB50,$BN50),Constants!$B$12,Constants!$B$8)))))</f>
        <v/>
      </c>
      <c r="CA50" s="135" t="str">
        <f aca="false">IF(ISBLANK($C50),"",IF($BZ50&lt;&gt;Constants!$B$8,$BZ50,Constants!$B$13))</f>
        <v/>
      </c>
      <c r="CB50" s="138" t="str">
        <f aca="false">IF($BZ50&lt;&gt;Constants!$B$8,"",IF($BM50="-&gt;",$BT50,$BH50))</f>
        <v/>
      </c>
      <c r="CC50" s="138" t="str">
        <f aca="false">IF($BZ50&lt;&gt;Constants!$B$8,"",IF($AF50,0,Constants!$B$18))</f>
        <v/>
      </c>
      <c r="CD50" s="138" t="str">
        <f aca="false">IF($BZ50&lt;&gt;Constants!$B$8,"",((Constants!$B$31-$AZ50)-Constants!$B$31)/Constants!$B$32)</f>
        <v/>
      </c>
      <c r="CE50" s="138" t="str">
        <f aca="false">IF(ISBLANK($C50),"",IF($BZ50&lt;&gt;Constants!$B$8,$BZ50,SUM($CB50:$CD50)))</f>
        <v/>
      </c>
      <c r="CF50" s="135" t="str">
        <f aca="false">IF(ISBLANK($C50),"",IF($BZ50&lt;&gt;Constants!$B$8,$BZ50,RANK($CE50,$CE$9:$CE$508,1)))</f>
        <v/>
      </c>
      <c r="CG50" s="138" t="str">
        <f aca="false">IF($BZ50&lt;&gt;Constants!$B$8,"",IF($BM50="-&gt;",$BU50,$BI50))</f>
        <v/>
      </c>
      <c r="CH50" s="135" t="str">
        <f aca="false">IF(ISBLANK($C50),"",IF($BZ50&lt;&gt;Constants!$B$8,$BZ50,IF(ISNUMBER($CG50),RANK($CG50,$CG$9:$CG$508,1),COUNT($CG$9:$CG$508)+1)))</f>
        <v/>
      </c>
      <c r="CI50" s="138" t="str">
        <f aca="false">IF($BZ50&lt;&gt;Constants!$B$8,"",IF($BM50="-&gt;",$BV50,$BJ50))</f>
        <v/>
      </c>
      <c r="CJ50" s="135" t="str">
        <f aca="false">IF(ISBLANK($C50),"",IF($BZ50&lt;&gt;Constants!$B$8,$BZ50,IF(ISNUMBER($CI50),RANK($CI50,$CI$9:$CI$508,1),COUNT($CI$9:$CI$508)+1)))</f>
        <v/>
      </c>
      <c r="CK50" s="138" t="str">
        <f aca="false">IF($BZ50&lt;&gt;Constants!$B$8,"",IF($BM50="-&gt;",$BW50,$BK50))</f>
        <v/>
      </c>
      <c r="CL50" s="135" t="str">
        <f aca="false">IF(ISBLANK($C50),"",IF($BZ50&lt;&gt;Constants!$B$8,$BZ50,IF(ISNUMBER($CK50),RANK($CK50,$CK$9:$CK$508,1),COUNT($CK$9:$CK$508)+1)))</f>
        <v/>
      </c>
      <c r="CM50" s="138" t="str">
        <f aca="false">IF($BZ50&lt;&gt;Constants!$B$8,"",IF(AND(NOT($AL50),NOT($AT50),$AJ50,$AK50,$AR50,$AS50),"",IF($BM50="-&gt;",$BX50,$BL50)))</f>
        <v/>
      </c>
      <c r="CN50" s="135" t="str">
        <f aca="false">IF(ISBLANK($C50),"",IF($BZ50&lt;&gt;Constants!$B$8,$BZ50,IF(ISNUMBER($CM50),RANK($CM50,$CM$9:$CM$508,1),COUNT($CM$9:$CM$508)+1)))</f>
        <v/>
      </c>
      <c r="CO50" s="135" t="str">
        <f aca="false">IF(ISBLANK($C50),"",IF($BZ50&lt;&gt;Constants!$B$8,$BZ50,COUNTIFS($CF$9:$CF$508,"&lt;"&amp;$CF50)+COUNTIFS($CF$9:$CF$508,$CF50,$CH$9:$CH$508,"&lt;"&amp;$CH50)+COUNTIFS($CF$9:$CF$508,$CF50,$CH$9:$CH$508,$CH50,$CJ$9:$CJ$508,"&lt;"&amp;$CJ50)+COUNTIFS($CF$9:$CF$508,$CF50,$CH$9:$CH$508,$CH50,$CJ$9:$CJ$508,$CJ50,$CL$9:$CL$508,"&lt;"&amp;$CL50)+COUNTIFS($CF$9:$CF$508,$CF50,$CH$9:$CH$508,$CH50,$CJ$9:$CJ$508,$CJ50,$CL$9:$CL$508,$CL50,$CN$9:$CN$508,"&lt;"&amp;$CN50)+1))</f>
        <v/>
      </c>
      <c r="CP50" s="135" t="str">
        <f aca="false">IF(ISBLANK($C50),"",IF($BZ50&lt;&gt;Constants!$B$8,$BZ50,$CF50-$CO50))</f>
        <v/>
      </c>
      <c r="CQ50" s="141"/>
      <c r="CR50" s="142"/>
      <c r="CS50" s="143" t="str">
        <f aca="false">IF(ISBLANK($C50),"",IF($BZ50=Constants!$B$12,$BY50,""))</f>
        <v/>
      </c>
      <c r="CT50" s="142" t="str">
        <f aca="false">IF(ISBLANK($C50),"",IF($BZ50&lt;&gt;Constants!$B$8,"",IF($BM50="-&gt;",2,1)))</f>
        <v/>
      </c>
      <c r="CU50" s="144" t="str">
        <f aca="false">IF(ISBLANK($C50),"",IF($BZ50&lt;&gt;Constants!$B$8,"",IF($BM50="-&gt;",$BO50,$BC50)))</f>
        <v/>
      </c>
      <c r="CV50" s="144" t="str">
        <f aca="false">IF(ISBLANK($C50),"",IF($BZ50&lt;&gt;Constants!$B$8,"",IF($BM50="-&gt;",$BP50,$BD50)))</f>
        <v/>
      </c>
      <c r="CW50" s="144" t="str">
        <f aca="false">IF(ISBLANK($C50),"",IF($BZ50&lt;&gt;Constants!$B$8,"",IF($BM50="-&gt;",$BQ50+$BR50,$BE50+$BF50)+$CD50))</f>
        <v/>
      </c>
      <c r="CX50" s="144" t="str">
        <f aca="false">IF(ISBLANK($C50),"",IF($BZ50&lt;&gt;Constants!$B$8,"",IF($BM50="-&gt;",$BS50,$BG50)+$CC50))</f>
        <v/>
      </c>
      <c r="CY50" s="145" t="str">
        <f aca="false">IF(ISBLANK($C50),"",IF($BZ50&lt;&gt;Constants!$B$8,$BZ50,$CE50))</f>
        <v/>
      </c>
      <c r="CZ50" s="146" t="str">
        <f aca="false">IF(ISBLANK($C50),"",$CA50)</f>
        <v/>
      </c>
      <c r="DA50" s="147" t="str">
        <f aca="false">IF(ISBLANK($C50),"",$CP50)</f>
        <v/>
      </c>
      <c r="DB50" s="147" t="str">
        <f aca="false">IF(ISBLANK($C50),"",$CO50)</f>
        <v/>
      </c>
      <c r="DC50" s="148" t="str">
        <f aca="false">IF(ISBLANK($C50),"",IFERROR(_xlfn.SWITCH($DB50,Constants!$B$11,COUNTA($C$9:$C$508)+2,Constants!$B$10,COUNTA($C$9:$C$508)+1,Constants!$B$9,COUNTA($C$9:$C$508)),$DB50))</f>
        <v/>
      </c>
      <c r="DD50" s="9"/>
      <c r="DE50" s="149" t="n">
        <f aca="false">IF(OR(ISNUMBER($DB50),$DB50=Constants!$B$11,$DB50=Constants!$B$9,$DB50=Constants!$B$10),1,0)</f>
        <v>0</v>
      </c>
      <c r="DF50" s="149" t="n">
        <v>42</v>
      </c>
      <c r="DG50" s="149" t="str">
        <f aca="false">IF(ISBLANK($C50),"",IF(ISNUMBER($DC50),$DC50+ROW($B50)/1000,""))</f>
        <v/>
      </c>
      <c r="DH50" s="149" t="str">
        <f aca="false">IF(ISNUMBER($DG50),RANK($DG50,$DG$9:$DG$508,1),"")</f>
        <v/>
      </c>
      <c r="DI50" s="149" t="str">
        <f aca="false">IF(ISBLANK($C50),"",$B50)</f>
        <v/>
      </c>
      <c r="DJ50" s="149" t="str">
        <f aca="false">IF(ISBLANK($C50),"",$C50)</f>
        <v/>
      </c>
      <c r="DK50" s="149" t="str">
        <f aca="false">IF(ISBLANK($C50),"",$D50)</f>
        <v/>
      </c>
      <c r="DL50" s="150" t="str">
        <f aca="false">$CZ50</f>
        <v/>
      </c>
      <c r="DM50" s="151" t="str">
        <f aca="false">$CY50</f>
        <v/>
      </c>
      <c r="DN50" s="149" t="str">
        <f aca="false">IF(ISBLANK($C50),"",$DB50)</f>
        <v/>
      </c>
      <c r="DO50" s="152" t="str">
        <f aca="false">IF($DF50&gt;$DE$8,"",VLOOKUP($DF50,$DH$9:$DN$508,7,FALSE()))</f>
        <v/>
      </c>
      <c r="DP50" s="153" t="str">
        <f aca="false">IF($DF50&gt;$DE$8,"",VLOOKUP($DF50,$DH$9:$DN$508,2,FALSE()))</f>
        <v/>
      </c>
      <c r="DQ50" s="153" t="str">
        <f aca="false">IF($DF50&gt;$DE$8,"",VLOOKUP($DF50,$DH$9:$DN$508,3,FALSE()))</f>
        <v/>
      </c>
      <c r="DR50" s="153" t="str">
        <f aca="false">IF($DF50&gt;$DE$8,"",VLOOKUP($DF50,$DH$9:$DN$508,4,FALSE()))</f>
        <v/>
      </c>
      <c r="DS50" s="153" t="str">
        <f aca="false">IF($DF50&gt;$DE$8,"",VLOOKUP($DF50,$DH$9:$DN$508,5,FALSE()))</f>
        <v/>
      </c>
      <c r="DT50" s="154" t="str">
        <f aca="false">IF($DF50&gt;$DE$8,"",VLOOKUP($DF50,$DH$9:$DN$508,6,FALSE()))</f>
        <v/>
      </c>
      <c r="DU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IF(ISBLANK($C51),"",IF(E51=Constants!$B$3,TRUE(),IF(E51=Constants!$B$4,FALSE(),TRUE())))</f>
        <v/>
      </c>
      <c r="AG51" s="93" t="str">
        <f aca="false">IF(ISBLANK($C51),"",IF(F51=Constants!$B$3,TRUE(),IF(F51=Constants!$B$4,FALSE(),TRUE())))</f>
        <v/>
      </c>
      <c r="AH51" s="93" t="str">
        <f aca="false">IF(ISBLANK($C51),"",IF(G51=Constants!$B$3,TRUE(),IF(G51=Constants!$B$4,FALSE(),TRUE())))</f>
        <v/>
      </c>
      <c r="AI51" s="93" t="str">
        <f aca="false">IF(ISBLANK($C51),"",IF(AND(ISNUMBER(H51),H51&gt;=0),H51,Constants!$B$29))</f>
        <v/>
      </c>
      <c r="AJ51" s="93" t="str">
        <f aca="false">IF(ISBLANK($C51),"",IF(I51=Constants!$B$3,TRUE(),IF(I51=Constants!$B$4,FALSE(),TRUE())))</f>
        <v/>
      </c>
      <c r="AK51" s="93" t="str">
        <f aca="false">IF(ISBLANK($C51),"",IF(J51=Constants!$B$3,TRUE(),IF(J51=Constants!$B$4,FALSE(),TRUE())))</f>
        <v/>
      </c>
      <c r="AL51" s="93" t="str">
        <f aca="false">IF(ISBLANK($C51),"",IF(K51=Constants!$B$5,TRUE(),IF(K51=Constants!$B$6,FALSE(),COUNTA(L51:P51)&gt;0)))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IF(ISBLANK($C51),"",IF(N51=Constants!$B$3,TRUE(),IF(N51=Constants!$B$4,FALSE(),TRUE())))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IF(ISBLANK($C51),"",IF(P51=Constants!$B$3,TRUE(),IF(P51=Constants!$B$4,FALSE(),FALSE())))</f>
        <v/>
      </c>
      <c r="AR51" s="93" t="str">
        <f aca="false">IF(ISBLANK($C51),"",IF(Q51=Constants!$B$3,TRUE(),IF(Q51=Constants!$B$4,FALSE(),TRUE())))</f>
        <v/>
      </c>
      <c r="AS51" s="93" t="str">
        <f aca="false">IF(ISBLANK($C51),"",IF(R51=Constants!$B$3,TRUE(),IF(R51=Constants!$B$4,FALSE(),TRUE())))</f>
        <v/>
      </c>
      <c r="AT51" s="93" t="str">
        <f aca="false">IF(ISBLANK($C51),"",IF(S51=Constants!$B$5,TRUE(),IF(S51=Constants!$B$6,FALSE(),COUNTA(T51:X51)&gt;0)))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IF(ISBLANK($C51),"",IF(V51=Constants!$B$3,TRUE(),IF(V51=Constants!$B$4,FALSE(),TRUE())))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IF(ISBLANK($C51),"",IF(X51=Constants!$B$3,TRUE(),IF(X51=Constants!$B$4,FALSE(),FALSE())))</f>
        <v/>
      </c>
      <c r="AZ51" s="93" t="str">
        <f aca="false">IF(ISBLANK($C51),"",MIN(Constants!$B$31,MAX(0,IF(ISNUMBER(Y51),Y51*60,0)+IF(ISNUMBER(Z51),Z51,0))))</f>
        <v/>
      </c>
      <c r="BA51" s="93" t="str">
        <f aca="false">IF(ISBLANK($C51),"",IF(AA51=Constants!$B$3,TRUE(),IF(AA51=Constants!$B$4,FALSE(),FALSE())))</f>
        <v/>
      </c>
      <c r="BB51" s="92" t="str">
        <f aca="false">IF(ISBLANK($C51),"",AND($AL51,OR($AM51="",$AN51="",AND($AO51,$AP51=""))))</f>
        <v/>
      </c>
      <c r="BC51" s="94" t="str">
        <f aca="false">IF($BZ51&lt;&gt;Constants!$B$8,"",IF($AL51,Constants!$B$21*$AN51+Constants!$B$22*IF($AO51,$AP51,Constants!$B$23),Constants!$B$24))</f>
        <v/>
      </c>
      <c r="BD51" s="97" t="str">
        <f aca="false">IF($BZ51&lt;&gt;Constants!$B$8,"",Constants!$B$25*ABS($AD$9-IF($AL51,$AM51,0)))</f>
        <v/>
      </c>
      <c r="BE51" s="97" t="str">
        <f aca="false">IF($BZ51&lt;&gt;Constants!$B$8,"",IF(AND($AL51,$AQ51,$AO51),Constants!$B$27,0))</f>
        <v/>
      </c>
      <c r="BF51" s="97" t="str">
        <f aca="false">IF($BZ51&lt;&gt;Constants!$B$8,"",IF($AL51,($AI51-Constants!$B$29)*Constants!$B$28,0))</f>
        <v/>
      </c>
      <c r="BG51" s="97" t="str">
        <f aca="false">IF($BZ51&lt;&gt;Constants!$B$8,"",IF($AK51,0,Constants!$B$15)+IF($AJ51,0,Constants!$B$16)+IF($AH51,0,Constants!$B$17))</f>
        <v/>
      </c>
      <c r="BH51" s="98" t="str">
        <f aca="false">IF($BZ51&lt;&gt;Constants!$B$8,"",Constants!$B$20+SUM($BC51:$BG51))</f>
        <v/>
      </c>
      <c r="BI51" s="97" t="str">
        <f aca="false">IF($BZ51&lt;&gt;Constants!$B$8,"",$BC51)</f>
        <v/>
      </c>
      <c r="BJ51" s="97" t="str">
        <f aca="false">IF($BZ51&lt;&gt;Constants!$B$8,"",$BD51)</f>
        <v/>
      </c>
      <c r="BK51" s="97" t="str">
        <f aca="false">IF($BZ51&lt;&gt;Constants!$B$8,"",IF($AL51,$AN51,""))</f>
        <v/>
      </c>
      <c r="BL51" s="99" t="str">
        <f aca="false">IF($BZ51&lt;&gt;Constants!$B$8,"",$AI51)</f>
        <v/>
      </c>
      <c r="BM51" s="93" t="str">
        <f aca="false">IF($BZ51&lt;&gt;Constants!$B$8,"",IF(OR($BT51&lt;$BH51,AND($BT51=$BH51,OR($BU51&lt;$BI51,AND($BU51=$BI51,OR($BV51&lt;$BJ51,AND($BV51=$BJ51,OR(AND(ISNUMBER($BW51),OR(NOT(ISNUMBER($BK51)),$BW51&lt;$BK51)),AND(OR(AND($BW51="",$BK51=""),AND(ISNUMBER($BW51),ISNUMBER($BK51),$BW51=$BK51)),$BX51&lt;$BL51)))))))),"-&gt;","&lt;-"))</f>
        <v/>
      </c>
      <c r="BN51" s="92" t="str">
        <f aca="false">IF(ISBLANK($C51),"",AND($AT51,OR($AU51="",$AV51="",AND($AW51,$AX51=""))))</f>
        <v/>
      </c>
      <c r="BO51" s="94" t="str">
        <f aca="false">IF($BZ51&lt;&gt;Constants!$B$8,"",IF($AT51,Constants!$B$21*$AV51+Constants!$B$22*IF($AW51,$AX51,Constants!$B$23),Constants!$B$24))</f>
        <v/>
      </c>
      <c r="BP51" s="97" t="str">
        <f aca="false">IF($BZ51&lt;&gt;Constants!$B$8,"",Constants!$B$25*ABS($AD$9-IF($AT51,$AU51,0)))</f>
        <v/>
      </c>
      <c r="BQ51" s="97" t="str">
        <f aca="false">IF($BZ51&lt;&gt;Constants!$B$8,"",IF(AND($AT51,$AY51,$AW51),Constants!$B$27,0))</f>
        <v/>
      </c>
      <c r="BR51" s="97" t="str">
        <f aca="false">IF($BZ51&lt;&gt;Constants!$B$8,"",IF($AT51,($AI51-Constants!$B$29)*Constants!$B$28,0))</f>
        <v/>
      </c>
      <c r="BS51" s="97" t="str">
        <f aca="false">IF($BZ51&lt;&gt;Constants!$B$8,"",IF($AS51,0,Constants!$B$15)+IF($AR51,0,Constants!$B$16)+IF($AH51,0,Constants!$B$17))</f>
        <v/>
      </c>
      <c r="BT51" s="98" t="str">
        <f aca="false">IF($BZ51&lt;&gt;Constants!$B$8,"",Constants!$B$20+SUM($BO51:$BS51))</f>
        <v/>
      </c>
      <c r="BU51" s="97" t="str">
        <f aca="false">IF($BZ51&lt;&gt;Constants!$B$8,"",$BO51)</f>
        <v/>
      </c>
      <c r="BV51" s="97" t="str">
        <f aca="false">IF($BZ51&lt;&gt;Constants!$B$8,"",$BP51)</f>
        <v/>
      </c>
      <c r="BW51" s="97" t="str">
        <f aca="false">IF($BZ51&lt;&gt;Constants!$B$8,"",IF($AT51,$AV51,""))</f>
        <v/>
      </c>
      <c r="BX51" s="99" t="str">
        <f aca="false">IF($BZ51&lt;&gt;Constants!$B$8,"",$AI51)</f>
        <v/>
      </c>
      <c r="BY51" s="93" t="str">
        <f aca="false">IF(ISBLANK($C51),"",IF(ISBLANK($D$7),$BY$5,IF(NOT(ISNUMBER($D$7)),$BY$6,"")))</f>
        <v/>
      </c>
      <c r="BZ51" s="93" t="str">
        <f aca="false">IF(ISBLANK($C51),"",IF($BA51,Constants!$B$11,IF(COUNTA($E51:$AA51)=0,Constants!$B$10,IF(NOT($AG51),Constants!$B$9,IF(OR($BY51&lt;&gt;"",$BB51,$BN51),Constants!$B$12,Constants!$B$8)))))</f>
        <v/>
      </c>
      <c r="CA51" s="93" t="str">
        <f aca="false">IF(ISBLANK($C51),"",IF($BZ51&lt;&gt;Constants!$B$8,$BZ51,Constants!$B$13))</f>
        <v/>
      </c>
      <c r="CB51" s="97" t="str">
        <f aca="false">IF($BZ51&lt;&gt;Constants!$B$8,"",IF($BM51="-&gt;",$BT51,$BH51))</f>
        <v/>
      </c>
      <c r="CC51" s="97" t="str">
        <f aca="false">IF($BZ51&lt;&gt;Constants!$B$8,"",IF($AF51,0,Constants!$B$18))</f>
        <v/>
      </c>
      <c r="CD51" s="97" t="str">
        <f aca="false">IF($BZ51&lt;&gt;Constants!$B$8,"",((Constants!$B$31-$AZ51)-Constants!$B$31)/Constants!$B$32)</f>
        <v/>
      </c>
      <c r="CE51" s="97" t="str">
        <f aca="false">IF(ISBLANK($C51),"",IF($BZ51&lt;&gt;Constants!$B$8,$BZ51,SUM($CB51:$CD51)))</f>
        <v/>
      </c>
      <c r="CF51" s="93" t="str">
        <f aca="false">IF(ISBLANK($C51),"",IF($BZ51&lt;&gt;Constants!$B$8,$BZ51,RANK($CE51,$CE$9:$CE$508,1)))</f>
        <v/>
      </c>
      <c r="CG51" s="97" t="str">
        <f aca="false">IF($BZ51&lt;&gt;Constants!$B$8,"",IF($BM51="-&gt;",$BU51,$BI51))</f>
        <v/>
      </c>
      <c r="CH51" s="93" t="str">
        <f aca="false">IF(ISBLANK($C51),"",IF($BZ51&lt;&gt;Constants!$B$8,$BZ51,IF(ISNUMBER($CG51),RANK($CG51,$CG$9:$CG$508,1),COUNT($CG$9:$CG$508)+1)))</f>
        <v/>
      </c>
      <c r="CI51" s="97" t="str">
        <f aca="false">IF($BZ51&lt;&gt;Constants!$B$8,"",IF($BM51="-&gt;",$BV51,$BJ51))</f>
        <v/>
      </c>
      <c r="CJ51" s="93" t="str">
        <f aca="false">IF(ISBLANK($C51),"",IF($BZ51&lt;&gt;Constants!$B$8,$BZ51,IF(ISNUMBER($CI51),RANK($CI51,$CI$9:$CI$508,1),COUNT($CI$9:$CI$508)+1)))</f>
        <v/>
      </c>
      <c r="CK51" s="97" t="str">
        <f aca="false">IF($BZ51&lt;&gt;Constants!$B$8,"",IF($BM51="-&gt;",$BW51,$BK51))</f>
        <v/>
      </c>
      <c r="CL51" s="93" t="str">
        <f aca="false">IF(ISBLANK($C51),"",IF($BZ51&lt;&gt;Constants!$B$8,$BZ51,IF(ISNUMBER($CK51),RANK($CK51,$CK$9:$CK$508,1),COUNT($CK$9:$CK$508)+1)))</f>
        <v/>
      </c>
      <c r="CM51" s="97" t="str">
        <f aca="false">IF($BZ51&lt;&gt;Constants!$B$8,"",IF(AND(NOT($AL51),NOT($AT51),$AJ51,$AK51,$AR51,$AS51),"",IF($BM51="-&gt;",$BX51,$BL51)))</f>
        <v/>
      </c>
      <c r="CN51" s="93" t="str">
        <f aca="false">IF(ISBLANK($C51),"",IF($BZ51&lt;&gt;Constants!$B$8,$BZ51,IF(ISNUMBER($CM51),RANK($CM51,$CM$9:$CM$508,1),COUNT($CM$9:$CM$508)+1)))</f>
        <v/>
      </c>
      <c r="CO51" s="93" t="str">
        <f aca="false">IF(ISBLANK($C51),"",IF($BZ51&lt;&gt;Constants!$B$8,$BZ51,COUNTIFS($CF$9:$CF$508,"&lt;"&amp;$CF51)+COUNTIFS($CF$9:$CF$508,$CF51,$CH$9:$CH$508,"&lt;"&amp;$CH51)+COUNTIFS($CF$9:$CF$508,$CF51,$CH$9:$CH$508,$CH51,$CJ$9:$CJ$508,"&lt;"&amp;$CJ51)+COUNTIFS($CF$9:$CF$508,$CF51,$CH$9:$CH$508,$CH51,$CJ$9:$CJ$508,$CJ51,$CL$9:$CL$508,"&lt;"&amp;$CL51)+COUNTIFS($CF$9:$CF$508,$CF51,$CH$9:$CH$508,$CH51,$CJ$9:$CJ$508,$CJ51,$CL$9:$CL$508,$CL51,$CN$9:$CN$508,"&lt;"&amp;$CN51)+1))</f>
        <v/>
      </c>
      <c r="CP51" s="93" t="str">
        <f aca="false">IF(ISBLANK($C51),"",IF($BZ51&lt;&gt;Constants!$B$8,$BZ51,$CF51-$CO51))</f>
        <v/>
      </c>
      <c r="CQ51" s="100"/>
      <c r="CR51" s="101"/>
      <c r="CS51" s="102" t="str">
        <f aca="false">IF(ISBLANK($C51),"",IF($BZ51=Constants!$B$12,$BY51,""))</f>
        <v/>
      </c>
      <c r="CT51" s="101" t="str">
        <f aca="false">IF(ISBLANK($C51),"",IF($BZ51&lt;&gt;Constants!$B$8,"",IF($BM51="-&gt;",2,1)))</f>
        <v/>
      </c>
      <c r="CU51" s="103" t="str">
        <f aca="false">IF(ISBLANK($C51),"",IF($BZ51&lt;&gt;Constants!$B$8,"",IF($BM51="-&gt;",$BO51,$BC51)))</f>
        <v/>
      </c>
      <c r="CV51" s="103" t="str">
        <f aca="false">IF(ISBLANK($C51),"",IF($BZ51&lt;&gt;Constants!$B$8,"",IF($BM51="-&gt;",$BP51,$BD51)))</f>
        <v/>
      </c>
      <c r="CW51" s="103" t="str">
        <f aca="false">IF(ISBLANK($C51),"",IF($BZ51&lt;&gt;Constants!$B$8,"",IF($BM51="-&gt;",$BQ51+$BR51,$BE51+$BF51)+$CD51))</f>
        <v/>
      </c>
      <c r="CX51" s="103" t="str">
        <f aca="false">IF(ISBLANK($C51),"",IF($BZ51&lt;&gt;Constants!$B$8,"",IF($BM51="-&gt;",$BS51,$BG51)+$CC51))</f>
        <v/>
      </c>
      <c r="CY51" s="104" t="str">
        <f aca="false">IF(ISBLANK($C51),"",IF($BZ51&lt;&gt;Constants!$B$8,$BZ51,$CE51))</f>
        <v/>
      </c>
      <c r="CZ51" s="105" t="str">
        <f aca="false">IF(ISBLANK($C51),"",$CA51)</f>
        <v/>
      </c>
      <c r="DA51" s="106" t="str">
        <f aca="false">IF(ISBLANK($C51),"",$CP51)</f>
        <v/>
      </c>
      <c r="DB51" s="106" t="str">
        <f aca="false">IF(ISBLANK($C51),"",$CO51)</f>
        <v/>
      </c>
      <c r="DC51" s="107" t="str">
        <f aca="false">IF(ISBLANK($C51),"",IFERROR(_xlfn.SWITCH($DB51,Constants!$B$11,COUNTA($C$9:$C$508)+2,Constants!$B$10,COUNTA($C$9:$C$508)+1,Constants!$B$9,COUNTA($C$9:$C$508)),$DB51))</f>
        <v/>
      </c>
      <c r="DD51" s="9"/>
      <c r="DE51" s="108" t="n">
        <f aca="false">IF(OR(ISNUMBER($DB51),$DB51=Constants!$B$11,$DB51=Constants!$B$9,$DB51=Constants!$B$10),1,0)</f>
        <v>0</v>
      </c>
      <c r="DF51" s="108" t="n">
        <v>43</v>
      </c>
      <c r="DG51" s="108" t="str">
        <f aca="false">IF(ISBLANK($C51),"",IF(ISNUMBER($DC51),$DC51+ROW($B51)/1000,""))</f>
        <v/>
      </c>
      <c r="DH51" s="108" t="str">
        <f aca="false">IF(ISNUMBER($DG51),RANK($DG51,$DG$9:$DG$508,1),"")</f>
        <v/>
      </c>
      <c r="DI51" s="108" t="str">
        <f aca="false">IF(ISBLANK($C51),"",$B51)</f>
        <v/>
      </c>
      <c r="DJ51" s="108" t="str">
        <f aca="false">IF(ISBLANK($C51),"",$C51)</f>
        <v/>
      </c>
      <c r="DK51" s="108" t="str">
        <f aca="false">IF(ISBLANK($C51),"",$D51)</f>
        <v/>
      </c>
      <c r="DL51" s="109" t="str">
        <f aca="false">$CZ51</f>
        <v/>
      </c>
      <c r="DM51" s="110" t="str">
        <f aca="false">$CY51</f>
        <v/>
      </c>
      <c r="DN51" s="108" t="str">
        <f aca="false">IF(ISBLANK($C51),"",$DB51)</f>
        <v/>
      </c>
      <c r="DO51" s="111" t="str">
        <f aca="false">IF($DF51&gt;$DE$8,"",VLOOKUP($DF51,$DH$9:$DN$508,7,FALSE()))</f>
        <v/>
      </c>
      <c r="DP51" s="112" t="str">
        <f aca="false">IF($DF51&gt;$DE$8,"",VLOOKUP($DF51,$DH$9:$DN$508,2,FALSE()))</f>
        <v/>
      </c>
      <c r="DQ51" s="112" t="str">
        <f aca="false">IF($DF51&gt;$DE$8,"",VLOOKUP($DF51,$DH$9:$DN$508,3,FALSE()))</f>
        <v/>
      </c>
      <c r="DR51" s="112" t="str">
        <f aca="false">IF($DF51&gt;$DE$8,"",VLOOKUP($DF51,$DH$9:$DN$508,4,FALSE()))</f>
        <v/>
      </c>
      <c r="DS51" s="112" t="str">
        <f aca="false">IF($DF51&gt;$DE$8,"",VLOOKUP($DF51,$DH$9:$DN$508,5,FALSE()))</f>
        <v/>
      </c>
      <c r="DT51" s="113" t="str">
        <f aca="false">IF($DF51&gt;$DE$8,"",VLOOKUP($DF51,$DH$9:$DN$508,6,FALSE()))</f>
        <v/>
      </c>
      <c r="DU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IF(ISBLANK($C52),"",IF(E52=Constants!$B$3,TRUE(),IF(E52=Constants!$B$4,FALSE(),TRUE())))</f>
        <v/>
      </c>
      <c r="AG52" s="93" t="str">
        <f aca="false">IF(ISBLANK($C52),"",IF(F52=Constants!$B$3,TRUE(),IF(F52=Constants!$B$4,FALSE(),TRUE())))</f>
        <v/>
      </c>
      <c r="AH52" s="93" t="str">
        <f aca="false">IF(ISBLANK($C52),"",IF(G52=Constants!$B$3,TRUE(),IF(G52=Constants!$B$4,FALSE(),TRUE())))</f>
        <v/>
      </c>
      <c r="AI52" s="93" t="str">
        <f aca="false">IF(ISBLANK($C52),"",IF(AND(ISNUMBER(H52),H52&gt;=0),H52,Constants!$B$29))</f>
        <v/>
      </c>
      <c r="AJ52" s="93" t="str">
        <f aca="false">IF(ISBLANK($C52),"",IF(I52=Constants!$B$3,TRUE(),IF(I52=Constants!$B$4,FALSE(),TRUE())))</f>
        <v/>
      </c>
      <c r="AK52" s="93" t="str">
        <f aca="false">IF(ISBLANK($C52),"",IF(J52=Constants!$B$3,TRUE(),IF(J52=Constants!$B$4,FALSE(),TRUE())))</f>
        <v/>
      </c>
      <c r="AL52" s="93" t="str">
        <f aca="false">IF(ISBLANK($C52),"",IF(K52=Constants!$B$5,TRUE(),IF(K52=Constants!$B$6,FALSE(),COUNTA(L52:P52)&gt;0)))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IF(ISBLANK($C52),"",IF(N52=Constants!$B$3,TRUE(),IF(N52=Constants!$B$4,FALSE(),TRUE())))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IF(ISBLANK($C52),"",IF(P52=Constants!$B$3,TRUE(),IF(P52=Constants!$B$4,FALSE(),FALSE())))</f>
        <v/>
      </c>
      <c r="AR52" s="93" t="str">
        <f aca="false">IF(ISBLANK($C52),"",IF(Q52=Constants!$B$3,TRUE(),IF(Q52=Constants!$B$4,FALSE(),TRUE())))</f>
        <v/>
      </c>
      <c r="AS52" s="93" t="str">
        <f aca="false">IF(ISBLANK($C52),"",IF(R52=Constants!$B$3,TRUE(),IF(R52=Constants!$B$4,FALSE(),TRUE())))</f>
        <v/>
      </c>
      <c r="AT52" s="93" t="str">
        <f aca="false">IF(ISBLANK($C52),"",IF(S52=Constants!$B$5,TRUE(),IF(S52=Constants!$B$6,FALSE(),COUNTA(T52:X52)&gt;0)))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IF(ISBLANK($C52),"",IF(V52=Constants!$B$3,TRUE(),IF(V52=Constants!$B$4,FALSE(),TRUE())))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IF(ISBLANK($C52),"",IF(X52=Constants!$B$3,TRUE(),IF(X52=Constants!$B$4,FALSE(),FALSE())))</f>
        <v/>
      </c>
      <c r="AZ52" s="93" t="str">
        <f aca="false">IF(ISBLANK($C52),"",MIN(Constants!$B$31,MAX(0,IF(ISNUMBER(Y52),Y52*60,0)+IF(ISNUMBER(Z52),Z52,0))))</f>
        <v/>
      </c>
      <c r="BA52" s="93" t="str">
        <f aca="false">IF(ISBLANK($C52),"",IF(AA52=Constants!$B$3,TRUE(),IF(AA52=Constants!$B$4,FALSE(),FALSE())))</f>
        <v/>
      </c>
      <c r="BB52" s="92" t="str">
        <f aca="false">IF(ISBLANK($C52),"",AND($AL52,OR($AM52="",$AN52="",AND($AO52,$AP52=""))))</f>
        <v/>
      </c>
      <c r="BC52" s="94" t="str">
        <f aca="false">IF($BZ52&lt;&gt;Constants!$B$8,"",IF($AL52,Constants!$B$21*$AN52+Constants!$B$22*IF($AO52,$AP52,Constants!$B$23),Constants!$B$24))</f>
        <v/>
      </c>
      <c r="BD52" s="97" t="str">
        <f aca="false">IF($BZ52&lt;&gt;Constants!$B$8,"",Constants!$B$25*ABS($AD$9-IF($AL52,$AM52,0)))</f>
        <v/>
      </c>
      <c r="BE52" s="97" t="str">
        <f aca="false">IF($BZ52&lt;&gt;Constants!$B$8,"",IF(AND($AL52,$AQ52,$AO52),Constants!$B$27,0))</f>
        <v/>
      </c>
      <c r="BF52" s="97" t="str">
        <f aca="false">IF($BZ52&lt;&gt;Constants!$B$8,"",IF($AL52,($AI52-Constants!$B$29)*Constants!$B$28,0))</f>
        <v/>
      </c>
      <c r="BG52" s="97" t="str">
        <f aca="false">IF($BZ52&lt;&gt;Constants!$B$8,"",IF($AK52,0,Constants!$B$15)+IF($AJ52,0,Constants!$B$16)+IF($AH52,0,Constants!$B$17))</f>
        <v/>
      </c>
      <c r="BH52" s="98" t="str">
        <f aca="false">IF($BZ52&lt;&gt;Constants!$B$8,"",Constants!$B$20+SUM($BC52:$BG52))</f>
        <v/>
      </c>
      <c r="BI52" s="97" t="str">
        <f aca="false">IF($BZ52&lt;&gt;Constants!$B$8,"",$BC52)</f>
        <v/>
      </c>
      <c r="BJ52" s="97" t="str">
        <f aca="false">IF($BZ52&lt;&gt;Constants!$B$8,"",$BD52)</f>
        <v/>
      </c>
      <c r="BK52" s="97" t="str">
        <f aca="false">IF($BZ52&lt;&gt;Constants!$B$8,"",IF($AL52,$AN52,""))</f>
        <v/>
      </c>
      <c r="BL52" s="99" t="str">
        <f aca="false">IF($BZ52&lt;&gt;Constants!$B$8,"",$AI52)</f>
        <v/>
      </c>
      <c r="BM52" s="93" t="str">
        <f aca="false">IF($BZ52&lt;&gt;Constants!$B$8,"",IF(OR($BT52&lt;$BH52,AND($BT52=$BH52,OR($BU52&lt;$BI52,AND($BU52=$BI52,OR($BV52&lt;$BJ52,AND($BV52=$BJ52,OR(AND(ISNUMBER($BW52),OR(NOT(ISNUMBER($BK52)),$BW52&lt;$BK52)),AND(OR(AND($BW52="",$BK52=""),AND(ISNUMBER($BW52),ISNUMBER($BK52),$BW52=$BK52)),$BX52&lt;$BL52)))))))),"-&gt;","&lt;-"))</f>
        <v/>
      </c>
      <c r="BN52" s="92" t="str">
        <f aca="false">IF(ISBLANK($C52),"",AND($AT52,OR($AU52="",$AV52="",AND($AW52,$AX52=""))))</f>
        <v/>
      </c>
      <c r="BO52" s="94" t="str">
        <f aca="false">IF($BZ52&lt;&gt;Constants!$B$8,"",IF($AT52,Constants!$B$21*$AV52+Constants!$B$22*IF($AW52,$AX52,Constants!$B$23),Constants!$B$24))</f>
        <v/>
      </c>
      <c r="BP52" s="97" t="str">
        <f aca="false">IF($BZ52&lt;&gt;Constants!$B$8,"",Constants!$B$25*ABS($AD$9-IF($AT52,$AU52,0)))</f>
        <v/>
      </c>
      <c r="BQ52" s="97" t="str">
        <f aca="false">IF($BZ52&lt;&gt;Constants!$B$8,"",IF(AND($AT52,$AY52,$AW52),Constants!$B$27,0))</f>
        <v/>
      </c>
      <c r="BR52" s="97" t="str">
        <f aca="false">IF($BZ52&lt;&gt;Constants!$B$8,"",IF($AT52,($AI52-Constants!$B$29)*Constants!$B$28,0))</f>
        <v/>
      </c>
      <c r="BS52" s="97" t="str">
        <f aca="false">IF($BZ52&lt;&gt;Constants!$B$8,"",IF($AS52,0,Constants!$B$15)+IF($AR52,0,Constants!$B$16)+IF($AH52,0,Constants!$B$17))</f>
        <v/>
      </c>
      <c r="BT52" s="98" t="str">
        <f aca="false">IF($BZ52&lt;&gt;Constants!$B$8,"",Constants!$B$20+SUM($BO52:$BS52))</f>
        <v/>
      </c>
      <c r="BU52" s="97" t="str">
        <f aca="false">IF($BZ52&lt;&gt;Constants!$B$8,"",$BO52)</f>
        <v/>
      </c>
      <c r="BV52" s="97" t="str">
        <f aca="false">IF($BZ52&lt;&gt;Constants!$B$8,"",$BP52)</f>
        <v/>
      </c>
      <c r="BW52" s="97" t="str">
        <f aca="false">IF($BZ52&lt;&gt;Constants!$B$8,"",IF($AT52,$AV52,""))</f>
        <v/>
      </c>
      <c r="BX52" s="99" t="str">
        <f aca="false">IF($BZ52&lt;&gt;Constants!$B$8,"",$AI52)</f>
        <v/>
      </c>
      <c r="BY52" s="93" t="str">
        <f aca="false">IF(ISBLANK($C52),"",IF(ISBLANK($D$7),$BY$5,IF(NOT(ISNUMBER($D$7)),$BY$6,"")))</f>
        <v/>
      </c>
      <c r="BZ52" s="93" t="str">
        <f aca="false">IF(ISBLANK($C52),"",IF($BA52,Constants!$B$11,IF(COUNTA($E52:$AA52)=0,Constants!$B$10,IF(NOT($AG52),Constants!$B$9,IF(OR($BY52&lt;&gt;"",$BB52,$BN52),Constants!$B$12,Constants!$B$8)))))</f>
        <v/>
      </c>
      <c r="CA52" s="93" t="str">
        <f aca="false">IF(ISBLANK($C52),"",IF($BZ52&lt;&gt;Constants!$B$8,$BZ52,Constants!$B$13))</f>
        <v/>
      </c>
      <c r="CB52" s="97" t="str">
        <f aca="false">IF($BZ52&lt;&gt;Constants!$B$8,"",IF($BM52="-&gt;",$BT52,$BH52))</f>
        <v/>
      </c>
      <c r="CC52" s="97" t="str">
        <f aca="false">IF($BZ52&lt;&gt;Constants!$B$8,"",IF($AF52,0,Constants!$B$18))</f>
        <v/>
      </c>
      <c r="CD52" s="97" t="str">
        <f aca="false">IF($BZ52&lt;&gt;Constants!$B$8,"",((Constants!$B$31-$AZ52)-Constants!$B$31)/Constants!$B$32)</f>
        <v/>
      </c>
      <c r="CE52" s="97" t="str">
        <f aca="false">IF(ISBLANK($C52),"",IF($BZ52&lt;&gt;Constants!$B$8,$BZ52,SUM($CB52:$CD52)))</f>
        <v/>
      </c>
      <c r="CF52" s="93" t="str">
        <f aca="false">IF(ISBLANK($C52),"",IF($BZ52&lt;&gt;Constants!$B$8,$BZ52,RANK($CE52,$CE$9:$CE$508,1)))</f>
        <v/>
      </c>
      <c r="CG52" s="97" t="str">
        <f aca="false">IF($BZ52&lt;&gt;Constants!$B$8,"",IF($BM52="-&gt;",$BU52,$BI52))</f>
        <v/>
      </c>
      <c r="CH52" s="93" t="str">
        <f aca="false">IF(ISBLANK($C52),"",IF($BZ52&lt;&gt;Constants!$B$8,$BZ52,IF(ISNUMBER($CG52),RANK($CG52,$CG$9:$CG$508,1),COUNT($CG$9:$CG$508)+1)))</f>
        <v/>
      </c>
      <c r="CI52" s="97" t="str">
        <f aca="false">IF($BZ52&lt;&gt;Constants!$B$8,"",IF($BM52="-&gt;",$BV52,$BJ52))</f>
        <v/>
      </c>
      <c r="CJ52" s="93" t="str">
        <f aca="false">IF(ISBLANK($C52),"",IF($BZ52&lt;&gt;Constants!$B$8,$BZ52,IF(ISNUMBER($CI52),RANK($CI52,$CI$9:$CI$508,1),COUNT($CI$9:$CI$508)+1)))</f>
        <v/>
      </c>
      <c r="CK52" s="97" t="str">
        <f aca="false">IF($BZ52&lt;&gt;Constants!$B$8,"",IF($BM52="-&gt;",$BW52,$BK52))</f>
        <v/>
      </c>
      <c r="CL52" s="93" t="str">
        <f aca="false">IF(ISBLANK($C52),"",IF($BZ52&lt;&gt;Constants!$B$8,$BZ52,IF(ISNUMBER($CK52),RANK($CK52,$CK$9:$CK$508,1),COUNT($CK$9:$CK$508)+1)))</f>
        <v/>
      </c>
      <c r="CM52" s="97" t="str">
        <f aca="false">IF($BZ52&lt;&gt;Constants!$B$8,"",IF(AND(NOT($AL52),NOT($AT52),$AJ52,$AK52,$AR52,$AS52),"",IF($BM52="-&gt;",$BX52,$BL52)))</f>
        <v/>
      </c>
      <c r="CN52" s="93" t="str">
        <f aca="false">IF(ISBLANK($C52),"",IF($BZ52&lt;&gt;Constants!$B$8,$BZ52,IF(ISNUMBER($CM52),RANK($CM52,$CM$9:$CM$508,1),COUNT($CM$9:$CM$508)+1)))</f>
        <v/>
      </c>
      <c r="CO52" s="93" t="str">
        <f aca="false">IF(ISBLANK($C52),"",IF($BZ52&lt;&gt;Constants!$B$8,$BZ52,COUNTIFS($CF$9:$CF$508,"&lt;"&amp;$CF52)+COUNTIFS($CF$9:$CF$508,$CF52,$CH$9:$CH$508,"&lt;"&amp;$CH52)+COUNTIFS($CF$9:$CF$508,$CF52,$CH$9:$CH$508,$CH52,$CJ$9:$CJ$508,"&lt;"&amp;$CJ52)+COUNTIFS($CF$9:$CF$508,$CF52,$CH$9:$CH$508,$CH52,$CJ$9:$CJ$508,$CJ52,$CL$9:$CL$508,"&lt;"&amp;$CL52)+COUNTIFS($CF$9:$CF$508,$CF52,$CH$9:$CH$508,$CH52,$CJ$9:$CJ$508,$CJ52,$CL$9:$CL$508,$CL52,$CN$9:$CN$508,"&lt;"&amp;$CN52)+1))</f>
        <v/>
      </c>
      <c r="CP52" s="93" t="str">
        <f aca="false">IF(ISBLANK($C52),"",IF($BZ52&lt;&gt;Constants!$B$8,$BZ52,$CF52-$CO52))</f>
        <v/>
      </c>
      <c r="CQ52" s="100"/>
      <c r="CR52" s="101"/>
      <c r="CS52" s="102" t="str">
        <f aca="false">IF(ISBLANK($C52),"",IF($BZ52=Constants!$B$12,$BY52,""))</f>
        <v/>
      </c>
      <c r="CT52" s="101" t="str">
        <f aca="false">IF(ISBLANK($C52),"",IF($BZ52&lt;&gt;Constants!$B$8,"",IF($BM52="-&gt;",2,1)))</f>
        <v/>
      </c>
      <c r="CU52" s="103" t="str">
        <f aca="false">IF(ISBLANK($C52),"",IF($BZ52&lt;&gt;Constants!$B$8,"",IF($BM52="-&gt;",$BO52,$BC52)))</f>
        <v/>
      </c>
      <c r="CV52" s="103" t="str">
        <f aca="false">IF(ISBLANK($C52),"",IF($BZ52&lt;&gt;Constants!$B$8,"",IF($BM52="-&gt;",$BP52,$BD52)))</f>
        <v/>
      </c>
      <c r="CW52" s="103" t="str">
        <f aca="false">IF(ISBLANK($C52),"",IF($BZ52&lt;&gt;Constants!$B$8,"",IF($BM52="-&gt;",$BQ52+$BR52,$BE52+$BF52)+$CD52))</f>
        <v/>
      </c>
      <c r="CX52" s="103" t="str">
        <f aca="false">IF(ISBLANK($C52),"",IF($BZ52&lt;&gt;Constants!$B$8,"",IF($BM52="-&gt;",$BS52,$BG52)+$CC52))</f>
        <v/>
      </c>
      <c r="CY52" s="104" t="str">
        <f aca="false">IF(ISBLANK($C52),"",IF($BZ52&lt;&gt;Constants!$B$8,$BZ52,$CE52))</f>
        <v/>
      </c>
      <c r="CZ52" s="105" t="str">
        <f aca="false">IF(ISBLANK($C52),"",$CA52)</f>
        <v/>
      </c>
      <c r="DA52" s="106" t="str">
        <f aca="false">IF(ISBLANK($C52),"",$CP52)</f>
        <v/>
      </c>
      <c r="DB52" s="106" t="str">
        <f aca="false">IF(ISBLANK($C52),"",$CO52)</f>
        <v/>
      </c>
      <c r="DC52" s="107" t="str">
        <f aca="false">IF(ISBLANK($C52),"",IFERROR(_xlfn.SWITCH($DB52,Constants!$B$11,COUNTA($C$9:$C$508)+2,Constants!$B$10,COUNTA($C$9:$C$508)+1,Constants!$B$9,COUNTA($C$9:$C$508)),$DB52))</f>
        <v/>
      </c>
      <c r="DD52" s="9"/>
      <c r="DE52" s="108" t="n">
        <f aca="false">IF(OR(ISNUMBER($DB52),$DB52=Constants!$B$11,$DB52=Constants!$B$9,$DB52=Constants!$B$10),1,0)</f>
        <v>0</v>
      </c>
      <c r="DF52" s="108" t="n">
        <v>44</v>
      </c>
      <c r="DG52" s="108" t="str">
        <f aca="false">IF(ISBLANK($C52),"",IF(ISNUMBER($DC52),$DC52+ROW($B52)/1000,""))</f>
        <v/>
      </c>
      <c r="DH52" s="108" t="str">
        <f aca="false">IF(ISNUMBER($DG52),RANK($DG52,$DG$9:$DG$508,1),"")</f>
        <v/>
      </c>
      <c r="DI52" s="108" t="str">
        <f aca="false">IF(ISBLANK($C52),"",$B52)</f>
        <v/>
      </c>
      <c r="DJ52" s="108" t="str">
        <f aca="false">IF(ISBLANK($C52),"",$C52)</f>
        <v/>
      </c>
      <c r="DK52" s="108" t="str">
        <f aca="false">IF(ISBLANK($C52),"",$D52)</f>
        <v/>
      </c>
      <c r="DL52" s="109" t="str">
        <f aca="false">$CZ52</f>
        <v/>
      </c>
      <c r="DM52" s="110" t="str">
        <f aca="false">$CY52</f>
        <v/>
      </c>
      <c r="DN52" s="108" t="str">
        <f aca="false">IF(ISBLANK($C52),"",$DB52)</f>
        <v/>
      </c>
      <c r="DO52" s="111" t="str">
        <f aca="false">IF($DF52&gt;$DE$8,"",VLOOKUP($DF52,$DH$9:$DN$508,7,FALSE()))</f>
        <v/>
      </c>
      <c r="DP52" s="112" t="str">
        <f aca="false">IF($DF52&gt;$DE$8,"",VLOOKUP($DF52,$DH$9:$DN$508,2,FALSE()))</f>
        <v/>
      </c>
      <c r="DQ52" s="112" t="str">
        <f aca="false">IF($DF52&gt;$DE$8,"",VLOOKUP($DF52,$DH$9:$DN$508,3,FALSE()))</f>
        <v/>
      </c>
      <c r="DR52" s="112" t="str">
        <f aca="false">IF($DF52&gt;$DE$8,"",VLOOKUP($DF52,$DH$9:$DN$508,4,FALSE()))</f>
        <v/>
      </c>
      <c r="DS52" s="112" t="str">
        <f aca="false">IF($DF52&gt;$DE$8,"",VLOOKUP($DF52,$DH$9:$DN$508,5,FALSE()))</f>
        <v/>
      </c>
      <c r="DT52" s="113" t="str">
        <f aca="false">IF($DF52&gt;$DE$8,"",VLOOKUP($DF52,$DH$9:$DN$508,6,FALSE()))</f>
        <v/>
      </c>
      <c r="DU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IF(ISBLANK($C53),"",IF(E53=Constants!$B$3,TRUE(),IF(E53=Constants!$B$4,FALSE(),TRUE())))</f>
        <v/>
      </c>
      <c r="AG53" s="93" t="str">
        <f aca="false">IF(ISBLANK($C53),"",IF(F53=Constants!$B$3,TRUE(),IF(F53=Constants!$B$4,FALSE(),TRUE())))</f>
        <v/>
      </c>
      <c r="AH53" s="93" t="str">
        <f aca="false">IF(ISBLANK($C53),"",IF(G53=Constants!$B$3,TRUE(),IF(G53=Constants!$B$4,FALSE(),TRUE())))</f>
        <v/>
      </c>
      <c r="AI53" s="93" t="str">
        <f aca="false">IF(ISBLANK($C53),"",IF(AND(ISNUMBER(H53),H53&gt;=0),H53,Constants!$B$29))</f>
        <v/>
      </c>
      <c r="AJ53" s="93" t="str">
        <f aca="false">IF(ISBLANK($C53),"",IF(I53=Constants!$B$3,TRUE(),IF(I53=Constants!$B$4,FALSE(),TRUE())))</f>
        <v/>
      </c>
      <c r="AK53" s="93" t="str">
        <f aca="false">IF(ISBLANK($C53),"",IF(J53=Constants!$B$3,TRUE(),IF(J53=Constants!$B$4,FALSE(),TRUE())))</f>
        <v/>
      </c>
      <c r="AL53" s="93" t="str">
        <f aca="false">IF(ISBLANK($C53),"",IF(K53=Constants!$B$5,TRUE(),IF(K53=Constants!$B$6,FALSE(),COUNTA(L53:P53)&gt;0)))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IF(ISBLANK($C53),"",IF(N53=Constants!$B$3,TRUE(),IF(N53=Constants!$B$4,FALSE(),TRUE())))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IF(ISBLANK($C53),"",IF(P53=Constants!$B$3,TRUE(),IF(P53=Constants!$B$4,FALSE(),FALSE())))</f>
        <v/>
      </c>
      <c r="AR53" s="93" t="str">
        <f aca="false">IF(ISBLANK($C53),"",IF(Q53=Constants!$B$3,TRUE(),IF(Q53=Constants!$B$4,FALSE(),TRUE())))</f>
        <v/>
      </c>
      <c r="AS53" s="93" t="str">
        <f aca="false">IF(ISBLANK($C53),"",IF(R53=Constants!$B$3,TRUE(),IF(R53=Constants!$B$4,FALSE(),TRUE())))</f>
        <v/>
      </c>
      <c r="AT53" s="93" t="str">
        <f aca="false">IF(ISBLANK($C53),"",IF(S53=Constants!$B$5,TRUE(),IF(S53=Constants!$B$6,FALSE(),COUNTA(T53:X53)&gt;0)))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IF(ISBLANK($C53),"",IF(V53=Constants!$B$3,TRUE(),IF(V53=Constants!$B$4,FALSE(),TRUE())))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IF(ISBLANK($C53),"",IF(X53=Constants!$B$3,TRUE(),IF(X53=Constants!$B$4,FALSE(),FALSE())))</f>
        <v/>
      </c>
      <c r="AZ53" s="93" t="str">
        <f aca="false">IF(ISBLANK($C53),"",MIN(Constants!$B$31,MAX(0,IF(ISNUMBER(Y53),Y53*60,0)+IF(ISNUMBER(Z53),Z53,0))))</f>
        <v/>
      </c>
      <c r="BA53" s="93" t="str">
        <f aca="false">IF(ISBLANK($C53),"",IF(AA53=Constants!$B$3,TRUE(),IF(AA53=Constants!$B$4,FALSE(),FALSE())))</f>
        <v/>
      </c>
      <c r="BB53" s="92" t="str">
        <f aca="false">IF(ISBLANK($C53),"",AND($AL53,OR($AM53="",$AN53="",AND($AO53,$AP53=""))))</f>
        <v/>
      </c>
      <c r="BC53" s="94" t="str">
        <f aca="false">IF($BZ53&lt;&gt;Constants!$B$8,"",IF($AL53,Constants!$B$21*$AN53+Constants!$B$22*IF($AO53,$AP53,Constants!$B$23),Constants!$B$24))</f>
        <v/>
      </c>
      <c r="BD53" s="97" t="str">
        <f aca="false">IF($BZ53&lt;&gt;Constants!$B$8,"",Constants!$B$25*ABS($AD$9-IF($AL53,$AM53,0)))</f>
        <v/>
      </c>
      <c r="BE53" s="97" t="str">
        <f aca="false">IF($BZ53&lt;&gt;Constants!$B$8,"",IF(AND($AL53,$AQ53,$AO53),Constants!$B$27,0))</f>
        <v/>
      </c>
      <c r="BF53" s="97" t="str">
        <f aca="false">IF($BZ53&lt;&gt;Constants!$B$8,"",IF($AL53,($AI53-Constants!$B$29)*Constants!$B$28,0))</f>
        <v/>
      </c>
      <c r="BG53" s="97" t="str">
        <f aca="false">IF($BZ53&lt;&gt;Constants!$B$8,"",IF($AK53,0,Constants!$B$15)+IF($AJ53,0,Constants!$B$16)+IF($AH53,0,Constants!$B$17))</f>
        <v/>
      </c>
      <c r="BH53" s="98" t="str">
        <f aca="false">IF($BZ53&lt;&gt;Constants!$B$8,"",Constants!$B$20+SUM($BC53:$BG53))</f>
        <v/>
      </c>
      <c r="BI53" s="97" t="str">
        <f aca="false">IF($BZ53&lt;&gt;Constants!$B$8,"",$BC53)</f>
        <v/>
      </c>
      <c r="BJ53" s="97" t="str">
        <f aca="false">IF($BZ53&lt;&gt;Constants!$B$8,"",$BD53)</f>
        <v/>
      </c>
      <c r="BK53" s="97" t="str">
        <f aca="false">IF($BZ53&lt;&gt;Constants!$B$8,"",IF($AL53,$AN53,""))</f>
        <v/>
      </c>
      <c r="BL53" s="99" t="str">
        <f aca="false">IF($BZ53&lt;&gt;Constants!$B$8,"",$AI53)</f>
        <v/>
      </c>
      <c r="BM53" s="93" t="str">
        <f aca="false">IF($BZ53&lt;&gt;Constants!$B$8,"",IF(OR($BT53&lt;$BH53,AND($BT53=$BH53,OR($BU53&lt;$BI53,AND($BU53=$BI53,OR($BV53&lt;$BJ53,AND($BV53=$BJ53,OR(AND(ISNUMBER($BW53),OR(NOT(ISNUMBER($BK53)),$BW53&lt;$BK53)),AND(OR(AND($BW53="",$BK53=""),AND(ISNUMBER($BW53),ISNUMBER($BK53),$BW53=$BK53)),$BX53&lt;$BL53)))))))),"-&gt;","&lt;-"))</f>
        <v/>
      </c>
      <c r="BN53" s="92" t="str">
        <f aca="false">IF(ISBLANK($C53),"",AND($AT53,OR($AU53="",$AV53="",AND($AW53,$AX53=""))))</f>
        <v/>
      </c>
      <c r="BO53" s="94" t="str">
        <f aca="false">IF($BZ53&lt;&gt;Constants!$B$8,"",IF($AT53,Constants!$B$21*$AV53+Constants!$B$22*IF($AW53,$AX53,Constants!$B$23),Constants!$B$24))</f>
        <v/>
      </c>
      <c r="BP53" s="97" t="str">
        <f aca="false">IF($BZ53&lt;&gt;Constants!$B$8,"",Constants!$B$25*ABS($AD$9-IF($AT53,$AU53,0)))</f>
        <v/>
      </c>
      <c r="BQ53" s="97" t="str">
        <f aca="false">IF($BZ53&lt;&gt;Constants!$B$8,"",IF(AND($AT53,$AY53,$AW53),Constants!$B$27,0))</f>
        <v/>
      </c>
      <c r="BR53" s="97" t="str">
        <f aca="false">IF($BZ53&lt;&gt;Constants!$B$8,"",IF($AT53,($AI53-Constants!$B$29)*Constants!$B$28,0))</f>
        <v/>
      </c>
      <c r="BS53" s="97" t="str">
        <f aca="false">IF($BZ53&lt;&gt;Constants!$B$8,"",IF($AS53,0,Constants!$B$15)+IF($AR53,0,Constants!$B$16)+IF($AH53,0,Constants!$B$17))</f>
        <v/>
      </c>
      <c r="BT53" s="98" t="str">
        <f aca="false">IF($BZ53&lt;&gt;Constants!$B$8,"",Constants!$B$20+SUM($BO53:$BS53))</f>
        <v/>
      </c>
      <c r="BU53" s="97" t="str">
        <f aca="false">IF($BZ53&lt;&gt;Constants!$B$8,"",$BO53)</f>
        <v/>
      </c>
      <c r="BV53" s="97" t="str">
        <f aca="false">IF($BZ53&lt;&gt;Constants!$B$8,"",$BP53)</f>
        <v/>
      </c>
      <c r="BW53" s="97" t="str">
        <f aca="false">IF($BZ53&lt;&gt;Constants!$B$8,"",IF($AT53,$AV53,""))</f>
        <v/>
      </c>
      <c r="BX53" s="99" t="str">
        <f aca="false">IF($BZ53&lt;&gt;Constants!$B$8,"",$AI53)</f>
        <v/>
      </c>
      <c r="BY53" s="93" t="str">
        <f aca="false">IF(ISBLANK($C53),"",IF(ISBLANK($D$7),$BY$5,IF(NOT(ISNUMBER($D$7)),$BY$6,"")))</f>
        <v/>
      </c>
      <c r="BZ53" s="93" t="str">
        <f aca="false">IF(ISBLANK($C53),"",IF($BA53,Constants!$B$11,IF(COUNTA($E53:$AA53)=0,Constants!$B$10,IF(NOT($AG53),Constants!$B$9,IF(OR($BY53&lt;&gt;"",$BB53,$BN53),Constants!$B$12,Constants!$B$8)))))</f>
        <v/>
      </c>
      <c r="CA53" s="93" t="str">
        <f aca="false">IF(ISBLANK($C53),"",IF($BZ53&lt;&gt;Constants!$B$8,$BZ53,Constants!$B$13))</f>
        <v/>
      </c>
      <c r="CB53" s="97" t="str">
        <f aca="false">IF($BZ53&lt;&gt;Constants!$B$8,"",IF($BM53="-&gt;",$BT53,$BH53))</f>
        <v/>
      </c>
      <c r="CC53" s="97" t="str">
        <f aca="false">IF($BZ53&lt;&gt;Constants!$B$8,"",IF($AF53,0,Constants!$B$18))</f>
        <v/>
      </c>
      <c r="CD53" s="97" t="str">
        <f aca="false">IF($BZ53&lt;&gt;Constants!$B$8,"",((Constants!$B$31-$AZ53)-Constants!$B$31)/Constants!$B$32)</f>
        <v/>
      </c>
      <c r="CE53" s="97" t="str">
        <f aca="false">IF(ISBLANK($C53),"",IF($BZ53&lt;&gt;Constants!$B$8,$BZ53,SUM($CB53:$CD53)))</f>
        <v/>
      </c>
      <c r="CF53" s="93" t="str">
        <f aca="false">IF(ISBLANK($C53),"",IF($BZ53&lt;&gt;Constants!$B$8,$BZ53,RANK($CE53,$CE$9:$CE$508,1)))</f>
        <v/>
      </c>
      <c r="CG53" s="97" t="str">
        <f aca="false">IF($BZ53&lt;&gt;Constants!$B$8,"",IF($BM53="-&gt;",$BU53,$BI53))</f>
        <v/>
      </c>
      <c r="CH53" s="93" t="str">
        <f aca="false">IF(ISBLANK($C53),"",IF($BZ53&lt;&gt;Constants!$B$8,$BZ53,IF(ISNUMBER($CG53),RANK($CG53,$CG$9:$CG$508,1),COUNT($CG$9:$CG$508)+1)))</f>
        <v/>
      </c>
      <c r="CI53" s="97" t="str">
        <f aca="false">IF($BZ53&lt;&gt;Constants!$B$8,"",IF($BM53="-&gt;",$BV53,$BJ53))</f>
        <v/>
      </c>
      <c r="CJ53" s="93" t="str">
        <f aca="false">IF(ISBLANK($C53),"",IF($BZ53&lt;&gt;Constants!$B$8,$BZ53,IF(ISNUMBER($CI53),RANK($CI53,$CI$9:$CI$508,1),COUNT($CI$9:$CI$508)+1)))</f>
        <v/>
      </c>
      <c r="CK53" s="97" t="str">
        <f aca="false">IF($BZ53&lt;&gt;Constants!$B$8,"",IF($BM53="-&gt;",$BW53,$BK53))</f>
        <v/>
      </c>
      <c r="CL53" s="93" t="str">
        <f aca="false">IF(ISBLANK($C53),"",IF($BZ53&lt;&gt;Constants!$B$8,$BZ53,IF(ISNUMBER($CK53),RANK($CK53,$CK$9:$CK$508,1),COUNT($CK$9:$CK$508)+1)))</f>
        <v/>
      </c>
      <c r="CM53" s="97" t="str">
        <f aca="false">IF($BZ53&lt;&gt;Constants!$B$8,"",IF(AND(NOT($AL53),NOT($AT53),$AJ53,$AK53,$AR53,$AS53),"",IF($BM53="-&gt;",$BX53,$BL53)))</f>
        <v/>
      </c>
      <c r="CN53" s="93" t="str">
        <f aca="false">IF(ISBLANK($C53),"",IF($BZ53&lt;&gt;Constants!$B$8,$BZ53,IF(ISNUMBER($CM53),RANK($CM53,$CM$9:$CM$508,1),COUNT($CM$9:$CM$508)+1)))</f>
        <v/>
      </c>
      <c r="CO53" s="93" t="str">
        <f aca="false">IF(ISBLANK($C53),"",IF($BZ53&lt;&gt;Constants!$B$8,$BZ53,COUNTIFS($CF$9:$CF$508,"&lt;"&amp;$CF53)+COUNTIFS($CF$9:$CF$508,$CF53,$CH$9:$CH$508,"&lt;"&amp;$CH53)+COUNTIFS($CF$9:$CF$508,$CF53,$CH$9:$CH$508,$CH53,$CJ$9:$CJ$508,"&lt;"&amp;$CJ53)+COUNTIFS($CF$9:$CF$508,$CF53,$CH$9:$CH$508,$CH53,$CJ$9:$CJ$508,$CJ53,$CL$9:$CL$508,"&lt;"&amp;$CL53)+COUNTIFS($CF$9:$CF$508,$CF53,$CH$9:$CH$508,$CH53,$CJ$9:$CJ$508,$CJ53,$CL$9:$CL$508,$CL53,$CN$9:$CN$508,"&lt;"&amp;$CN53)+1))</f>
        <v/>
      </c>
      <c r="CP53" s="93" t="str">
        <f aca="false">IF(ISBLANK($C53),"",IF($BZ53&lt;&gt;Constants!$B$8,$BZ53,$CF53-$CO53))</f>
        <v/>
      </c>
      <c r="CQ53" s="100"/>
      <c r="CR53" s="101"/>
      <c r="CS53" s="102" t="str">
        <f aca="false">IF(ISBLANK($C53),"",IF($BZ53=Constants!$B$12,$BY53,""))</f>
        <v/>
      </c>
      <c r="CT53" s="101" t="str">
        <f aca="false">IF(ISBLANK($C53),"",IF($BZ53&lt;&gt;Constants!$B$8,"",IF($BM53="-&gt;",2,1)))</f>
        <v/>
      </c>
      <c r="CU53" s="103" t="str">
        <f aca="false">IF(ISBLANK($C53),"",IF($BZ53&lt;&gt;Constants!$B$8,"",IF($BM53="-&gt;",$BO53,$BC53)))</f>
        <v/>
      </c>
      <c r="CV53" s="103" t="str">
        <f aca="false">IF(ISBLANK($C53),"",IF($BZ53&lt;&gt;Constants!$B$8,"",IF($BM53="-&gt;",$BP53,$BD53)))</f>
        <v/>
      </c>
      <c r="CW53" s="103" t="str">
        <f aca="false">IF(ISBLANK($C53),"",IF($BZ53&lt;&gt;Constants!$B$8,"",IF($BM53="-&gt;",$BQ53+$BR53,$BE53+$BF53)+$CD53))</f>
        <v/>
      </c>
      <c r="CX53" s="103" t="str">
        <f aca="false">IF(ISBLANK($C53),"",IF($BZ53&lt;&gt;Constants!$B$8,"",IF($BM53="-&gt;",$BS53,$BG53)+$CC53))</f>
        <v/>
      </c>
      <c r="CY53" s="104" t="str">
        <f aca="false">IF(ISBLANK($C53),"",IF($BZ53&lt;&gt;Constants!$B$8,$BZ53,$CE53))</f>
        <v/>
      </c>
      <c r="CZ53" s="105" t="str">
        <f aca="false">IF(ISBLANK($C53),"",$CA53)</f>
        <v/>
      </c>
      <c r="DA53" s="106" t="str">
        <f aca="false">IF(ISBLANK($C53),"",$CP53)</f>
        <v/>
      </c>
      <c r="DB53" s="106" t="str">
        <f aca="false">IF(ISBLANK($C53),"",$CO53)</f>
        <v/>
      </c>
      <c r="DC53" s="107" t="str">
        <f aca="false">IF(ISBLANK($C53),"",IFERROR(_xlfn.SWITCH($DB53,Constants!$B$11,COUNTA($C$9:$C$508)+2,Constants!$B$10,COUNTA($C$9:$C$508)+1,Constants!$B$9,COUNTA($C$9:$C$508)),$DB53))</f>
        <v/>
      </c>
      <c r="DD53" s="9"/>
      <c r="DE53" s="108" t="n">
        <f aca="false">IF(OR(ISNUMBER($DB53),$DB53=Constants!$B$11,$DB53=Constants!$B$9,$DB53=Constants!$B$10),1,0)</f>
        <v>0</v>
      </c>
      <c r="DF53" s="108" t="n">
        <v>45</v>
      </c>
      <c r="DG53" s="108" t="str">
        <f aca="false">IF(ISBLANK($C53),"",IF(ISNUMBER($DC53),$DC53+ROW($B53)/1000,""))</f>
        <v/>
      </c>
      <c r="DH53" s="108" t="str">
        <f aca="false">IF(ISNUMBER($DG53),RANK($DG53,$DG$9:$DG$508,1),"")</f>
        <v/>
      </c>
      <c r="DI53" s="108" t="str">
        <f aca="false">IF(ISBLANK($C53),"",$B53)</f>
        <v/>
      </c>
      <c r="DJ53" s="108" t="str">
        <f aca="false">IF(ISBLANK($C53),"",$C53)</f>
        <v/>
      </c>
      <c r="DK53" s="108" t="str">
        <f aca="false">IF(ISBLANK($C53),"",$D53)</f>
        <v/>
      </c>
      <c r="DL53" s="109" t="str">
        <f aca="false">$CZ53</f>
        <v/>
      </c>
      <c r="DM53" s="110" t="str">
        <f aca="false">$CY53</f>
        <v/>
      </c>
      <c r="DN53" s="108" t="str">
        <f aca="false">IF(ISBLANK($C53),"",$DB53)</f>
        <v/>
      </c>
      <c r="DO53" s="111" t="str">
        <f aca="false">IF($DF53&gt;$DE$8,"",VLOOKUP($DF53,$DH$9:$DN$508,7,FALSE()))</f>
        <v/>
      </c>
      <c r="DP53" s="112" t="str">
        <f aca="false">IF($DF53&gt;$DE$8,"",VLOOKUP($DF53,$DH$9:$DN$508,2,FALSE()))</f>
        <v/>
      </c>
      <c r="DQ53" s="112" t="str">
        <f aca="false">IF($DF53&gt;$DE$8,"",VLOOKUP($DF53,$DH$9:$DN$508,3,FALSE()))</f>
        <v/>
      </c>
      <c r="DR53" s="112" t="str">
        <f aca="false">IF($DF53&gt;$DE$8,"",VLOOKUP($DF53,$DH$9:$DN$508,4,FALSE()))</f>
        <v/>
      </c>
      <c r="DS53" s="112" t="str">
        <f aca="false">IF($DF53&gt;$DE$8,"",VLOOKUP($DF53,$DH$9:$DN$508,5,FALSE()))</f>
        <v/>
      </c>
      <c r="DT53" s="113" t="str">
        <f aca="false">IF($DF53&gt;$DE$8,"",VLOOKUP($DF53,$DH$9:$DN$508,6,FALSE()))</f>
        <v/>
      </c>
      <c r="DU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IF(ISBLANK($C54),"",IF(E54=Constants!$B$3,TRUE(),IF(E54=Constants!$B$4,FALSE(),TRUE())))</f>
        <v/>
      </c>
      <c r="AG54" s="135" t="str">
        <f aca="false">IF(ISBLANK($C54),"",IF(F54=Constants!$B$3,TRUE(),IF(F54=Constants!$B$4,FALSE(),TRUE())))</f>
        <v/>
      </c>
      <c r="AH54" s="135" t="str">
        <f aca="false">IF(ISBLANK($C54),"",IF(G54=Constants!$B$3,TRUE(),IF(G54=Constants!$B$4,FALSE(),TRUE())))</f>
        <v/>
      </c>
      <c r="AI54" s="135" t="str">
        <f aca="false">IF(ISBLANK($C54),"",IF(AND(ISNUMBER(H54),H54&gt;=0),H54,Constants!$B$29))</f>
        <v/>
      </c>
      <c r="AJ54" s="135" t="str">
        <f aca="false">IF(ISBLANK($C54),"",IF(I54=Constants!$B$3,TRUE(),IF(I54=Constants!$B$4,FALSE(),TRUE())))</f>
        <v/>
      </c>
      <c r="AK54" s="135" t="str">
        <f aca="false">IF(ISBLANK($C54),"",IF(J54=Constants!$B$3,TRUE(),IF(J54=Constants!$B$4,FALSE(),TRUE())))</f>
        <v/>
      </c>
      <c r="AL54" s="135" t="str">
        <f aca="false">IF(ISBLANK($C54),"",IF(K54=Constants!$B$5,TRUE(),IF(K54=Constants!$B$6,FALSE(),COUNTA(L54:P54)&gt;0)))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IF(ISBLANK($C54),"",IF(N54=Constants!$B$3,TRUE(),IF(N54=Constants!$B$4,FALSE(),TRUE())))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IF(ISBLANK($C54),"",IF(P54=Constants!$B$3,TRUE(),IF(P54=Constants!$B$4,FALSE(),FALSE())))</f>
        <v/>
      </c>
      <c r="AR54" s="135" t="str">
        <f aca="false">IF(ISBLANK($C54),"",IF(Q54=Constants!$B$3,TRUE(),IF(Q54=Constants!$B$4,FALSE(),TRUE())))</f>
        <v/>
      </c>
      <c r="AS54" s="135" t="str">
        <f aca="false">IF(ISBLANK($C54),"",IF(R54=Constants!$B$3,TRUE(),IF(R54=Constants!$B$4,FALSE(),TRUE())))</f>
        <v/>
      </c>
      <c r="AT54" s="135" t="str">
        <f aca="false">IF(ISBLANK($C54),"",IF(S54=Constants!$B$5,TRUE(),IF(S54=Constants!$B$6,FALSE(),COUNTA(T54:X54)&gt;0)))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IF(ISBLANK($C54),"",IF(V54=Constants!$B$3,TRUE(),IF(V54=Constants!$B$4,FALSE(),TRUE())))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IF(ISBLANK($C54),"",IF(X54=Constants!$B$3,TRUE(),IF(X54=Constants!$B$4,FALSE(),FALSE())))</f>
        <v/>
      </c>
      <c r="AZ54" s="135" t="str">
        <f aca="false">IF(ISBLANK($C54),"",MIN(Constants!$B$31,MAX(0,IF(ISNUMBER(Y54),Y54*60,0)+IF(ISNUMBER(Z54),Z54,0))))</f>
        <v/>
      </c>
      <c r="BA54" s="135" t="str">
        <f aca="false">IF(ISBLANK($C54),"",IF(AA54=Constants!$B$3,TRUE(),IF(AA54=Constants!$B$4,FALSE(),FALSE())))</f>
        <v/>
      </c>
      <c r="BB54" s="134" t="str">
        <f aca="false">IF(ISBLANK($C54),"",AND($AL54,OR($AM54="",$AN54="",AND($AO54,$AP54=""))))</f>
        <v/>
      </c>
      <c r="BC54" s="137" t="str">
        <f aca="false">IF($BZ54&lt;&gt;Constants!$B$8,"",IF($AL54,Constants!$B$21*$AN54+Constants!$B$22*IF($AO54,$AP54,Constants!$B$23),Constants!$B$24))</f>
        <v/>
      </c>
      <c r="BD54" s="138" t="str">
        <f aca="false">IF($BZ54&lt;&gt;Constants!$B$8,"",Constants!$B$25*ABS($AD$9-IF($AL54,$AM54,0)))</f>
        <v/>
      </c>
      <c r="BE54" s="138" t="str">
        <f aca="false">IF($BZ54&lt;&gt;Constants!$B$8,"",IF(AND($AL54,$AQ54,$AO54),Constants!$B$27,0))</f>
        <v/>
      </c>
      <c r="BF54" s="138" t="str">
        <f aca="false">IF($BZ54&lt;&gt;Constants!$B$8,"",IF($AL54,($AI54-Constants!$B$29)*Constants!$B$28,0))</f>
        <v/>
      </c>
      <c r="BG54" s="138" t="str">
        <f aca="false">IF($BZ54&lt;&gt;Constants!$B$8,"",IF($AK54,0,Constants!$B$15)+IF($AJ54,0,Constants!$B$16)+IF($AH54,0,Constants!$B$17))</f>
        <v/>
      </c>
      <c r="BH54" s="139" t="str">
        <f aca="false">IF($BZ54&lt;&gt;Constants!$B$8,"",Constants!$B$20+SUM($BC54:$BG54))</f>
        <v/>
      </c>
      <c r="BI54" s="138" t="str">
        <f aca="false">IF($BZ54&lt;&gt;Constants!$B$8,"",$BC54)</f>
        <v/>
      </c>
      <c r="BJ54" s="138" t="str">
        <f aca="false">IF($BZ54&lt;&gt;Constants!$B$8,"",$BD54)</f>
        <v/>
      </c>
      <c r="BK54" s="138" t="str">
        <f aca="false">IF($BZ54&lt;&gt;Constants!$B$8,"",IF($AL54,$AN54,""))</f>
        <v/>
      </c>
      <c r="BL54" s="140" t="str">
        <f aca="false">IF($BZ54&lt;&gt;Constants!$B$8,"",$AI54)</f>
        <v/>
      </c>
      <c r="BM54" s="135" t="str">
        <f aca="false">IF($BZ54&lt;&gt;Constants!$B$8,"",IF(OR($BT54&lt;$BH54,AND($BT54=$BH54,OR($BU54&lt;$BI54,AND($BU54=$BI54,OR($BV54&lt;$BJ54,AND($BV54=$BJ54,OR(AND(ISNUMBER($BW54),OR(NOT(ISNUMBER($BK54)),$BW54&lt;$BK54)),AND(OR(AND($BW54="",$BK54=""),AND(ISNUMBER($BW54),ISNUMBER($BK54),$BW54=$BK54)),$BX54&lt;$BL54)))))))),"-&gt;","&lt;-"))</f>
        <v/>
      </c>
      <c r="BN54" s="134" t="str">
        <f aca="false">IF(ISBLANK($C54),"",AND($AT54,OR($AU54="",$AV54="",AND($AW54,$AX54=""))))</f>
        <v/>
      </c>
      <c r="BO54" s="137" t="str">
        <f aca="false">IF($BZ54&lt;&gt;Constants!$B$8,"",IF($AT54,Constants!$B$21*$AV54+Constants!$B$22*IF($AW54,$AX54,Constants!$B$23),Constants!$B$24))</f>
        <v/>
      </c>
      <c r="BP54" s="138" t="str">
        <f aca="false">IF($BZ54&lt;&gt;Constants!$B$8,"",Constants!$B$25*ABS($AD$9-IF($AT54,$AU54,0)))</f>
        <v/>
      </c>
      <c r="BQ54" s="138" t="str">
        <f aca="false">IF($BZ54&lt;&gt;Constants!$B$8,"",IF(AND($AT54,$AY54,$AW54),Constants!$B$27,0))</f>
        <v/>
      </c>
      <c r="BR54" s="138" t="str">
        <f aca="false">IF($BZ54&lt;&gt;Constants!$B$8,"",IF($AT54,($AI54-Constants!$B$29)*Constants!$B$28,0))</f>
        <v/>
      </c>
      <c r="BS54" s="138" t="str">
        <f aca="false">IF($BZ54&lt;&gt;Constants!$B$8,"",IF($AS54,0,Constants!$B$15)+IF($AR54,0,Constants!$B$16)+IF($AH54,0,Constants!$B$17))</f>
        <v/>
      </c>
      <c r="BT54" s="139" t="str">
        <f aca="false">IF($BZ54&lt;&gt;Constants!$B$8,"",Constants!$B$20+SUM($BO54:$BS54))</f>
        <v/>
      </c>
      <c r="BU54" s="138" t="str">
        <f aca="false">IF($BZ54&lt;&gt;Constants!$B$8,"",$BO54)</f>
        <v/>
      </c>
      <c r="BV54" s="138" t="str">
        <f aca="false">IF($BZ54&lt;&gt;Constants!$B$8,"",$BP54)</f>
        <v/>
      </c>
      <c r="BW54" s="138" t="str">
        <f aca="false">IF($BZ54&lt;&gt;Constants!$B$8,"",IF($AT54,$AV54,""))</f>
        <v/>
      </c>
      <c r="BX54" s="140" t="str">
        <f aca="false">IF($BZ54&lt;&gt;Constants!$B$8,"",$AI54)</f>
        <v/>
      </c>
      <c r="BY54" s="135" t="str">
        <f aca="false">IF(ISBLANK($C54),"",IF(ISBLANK($D$7),$BY$5,IF(NOT(ISNUMBER($D$7)),$BY$6,"")))</f>
        <v/>
      </c>
      <c r="BZ54" s="135" t="str">
        <f aca="false">IF(ISBLANK($C54),"",IF($BA54,Constants!$B$11,IF(COUNTA($E54:$AA54)=0,Constants!$B$10,IF(NOT($AG54),Constants!$B$9,IF(OR($BY54&lt;&gt;"",$BB54,$BN54),Constants!$B$12,Constants!$B$8)))))</f>
        <v/>
      </c>
      <c r="CA54" s="135" t="str">
        <f aca="false">IF(ISBLANK($C54),"",IF($BZ54&lt;&gt;Constants!$B$8,$BZ54,Constants!$B$13))</f>
        <v/>
      </c>
      <c r="CB54" s="138" t="str">
        <f aca="false">IF($BZ54&lt;&gt;Constants!$B$8,"",IF($BM54="-&gt;",$BT54,$BH54))</f>
        <v/>
      </c>
      <c r="CC54" s="138" t="str">
        <f aca="false">IF($BZ54&lt;&gt;Constants!$B$8,"",IF($AF54,0,Constants!$B$18))</f>
        <v/>
      </c>
      <c r="CD54" s="138" t="str">
        <f aca="false">IF($BZ54&lt;&gt;Constants!$B$8,"",((Constants!$B$31-$AZ54)-Constants!$B$31)/Constants!$B$32)</f>
        <v/>
      </c>
      <c r="CE54" s="138" t="str">
        <f aca="false">IF(ISBLANK($C54),"",IF($BZ54&lt;&gt;Constants!$B$8,$BZ54,SUM($CB54:$CD54)))</f>
        <v/>
      </c>
      <c r="CF54" s="135" t="str">
        <f aca="false">IF(ISBLANK($C54),"",IF($BZ54&lt;&gt;Constants!$B$8,$BZ54,RANK($CE54,$CE$9:$CE$508,1)))</f>
        <v/>
      </c>
      <c r="CG54" s="138" t="str">
        <f aca="false">IF($BZ54&lt;&gt;Constants!$B$8,"",IF($BM54="-&gt;",$BU54,$BI54))</f>
        <v/>
      </c>
      <c r="CH54" s="135" t="str">
        <f aca="false">IF(ISBLANK($C54),"",IF($BZ54&lt;&gt;Constants!$B$8,$BZ54,IF(ISNUMBER($CG54),RANK($CG54,$CG$9:$CG$508,1),COUNT($CG$9:$CG$508)+1)))</f>
        <v/>
      </c>
      <c r="CI54" s="138" t="str">
        <f aca="false">IF($BZ54&lt;&gt;Constants!$B$8,"",IF($BM54="-&gt;",$BV54,$BJ54))</f>
        <v/>
      </c>
      <c r="CJ54" s="135" t="str">
        <f aca="false">IF(ISBLANK($C54),"",IF($BZ54&lt;&gt;Constants!$B$8,$BZ54,IF(ISNUMBER($CI54),RANK($CI54,$CI$9:$CI$508,1),COUNT($CI$9:$CI$508)+1)))</f>
        <v/>
      </c>
      <c r="CK54" s="138" t="str">
        <f aca="false">IF($BZ54&lt;&gt;Constants!$B$8,"",IF($BM54="-&gt;",$BW54,$BK54))</f>
        <v/>
      </c>
      <c r="CL54" s="135" t="str">
        <f aca="false">IF(ISBLANK($C54),"",IF($BZ54&lt;&gt;Constants!$B$8,$BZ54,IF(ISNUMBER($CK54),RANK($CK54,$CK$9:$CK$508,1),COUNT($CK$9:$CK$508)+1)))</f>
        <v/>
      </c>
      <c r="CM54" s="138" t="str">
        <f aca="false">IF($BZ54&lt;&gt;Constants!$B$8,"",IF(AND(NOT($AL54),NOT($AT54),$AJ54,$AK54,$AR54,$AS54),"",IF($BM54="-&gt;",$BX54,$BL54)))</f>
        <v/>
      </c>
      <c r="CN54" s="135" t="str">
        <f aca="false">IF(ISBLANK($C54),"",IF($BZ54&lt;&gt;Constants!$B$8,$BZ54,IF(ISNUMBER($CM54),RANK($CM54,$CM$9:$CM$508,1),COUNT($CM$9:$CM$508)+1)))</f>
        <v/>
      </c>
      <c r="CO54" s="135" t="str">
        <f aca="false">IF(ISBLANK($C54),"",IF($BZ54&lt;&gt;Constants!$B$8,$BZ54,COUNTIFS($CF$9:$CF$508,"&lt;"&amp;$CF54)+COUNTIFS($CF$9:$CF$508,$CF54,$CH$9:$CH$508,"&lt;"&amp;$CH54)+COUNTIFS($CF$9:$CF$508,$CF54,$CH$9:$CH$508,$CH54,$CJ$9:$CJ$508,"&lt;"&amp;$CJ54)+COUNTIFS($CF$9:$CF$508,$CF54,$CH$9:$CH$508,$CH54,$CJ$9:$CJ$508,$CJ54,$CL$9:$CL$508,"&lt;"&amp;$CL54)+COUNTIFS($CF$9:$CF$508,$CF54,$CH$9:$CH$508,$CH54,$CJ$9:$CJ$508,$CJ54,$CL$9:$CL$508,$CL54,$CN$9:$CN$508,"&lt;"&amp;$CN54)+1))</f>
        <v/>
      </c>
      <c r="CP54" s="135" t="str">
        <f aca="false">IF(ISBLANK($C54),"",IF($BZ54&lt;&gt;Constants!$B$8,$BZ54,$CF54-$CO54))</f>
        <v/>
      </c>
      <c r="CQ54" s="141"/>
      <c r="CR54" s="142"/>
      <c r="CS54" s="143" t="str">
        <f aca="false">IF(ISBLANK($C54),"",IF($BZ54=Constants!$B$12,$BY54,""))</f>
        <v/>
      </c>
      <c r="CT54" s="142" t="str">
        <f aca="false">IF(ISBLANK($C54),"",IF($BZ54&lt;&gt;Constants!$B$8,"",IF($BM54="-&gt;",2,1)))</f>
        <v/>
      </c>
      <c r="CU54" s="144" t="str">
        <f aca="false">IF(ISBLANK($C54),"",IF($BZ54&lt;&gt;Constants!$B$8,"",IF($BM54="-&gt;",$BO54,$BC54)))</f>
        <v/>
      </c>
      <c r="CV54" s="144" t="str">
        <f aca="false">IF(ISBLANK($C54),"",IF($BZ54&lt;&gt;Constants!$B$8,"",IF($BM54="-&gt;",$BP54,$BD54)))</f>
        <v/>
      </c>
      <c r="CW54" s="144" t="str">
        <f aca="false">IF(ISBLANK($C54),"",IF($BZ54&lt;&gt;Constants!$B$8,"",IF($BM54="-&gt;",$BQ54+$BR54,$BE54+$BF54)+$CD54))</f>
        <v/>
      </c>
      <c r="CX54" s="144" t="str">
        <f aca="false">IF(ISBLANK($C54),"",IF($BZ54&lt;&gt;Constants!$B$8,"",IF($BM54="-&gt;",$BS54,$BG54)+$CC54))</f>
        <v/>
      </c>
      <c r="CY54" s="145" t="str">
        <f aca="false">IF(ISBLANK($C54),"",IF($BZ54&lt;&gt;Constants!$B$8,$BZ54,$CE54))</f>
        <v/>
      </c>
      <c r="CZ54" s="146" t="str">
        <f aca="false">IF(ISBLANK($C54),"",$CA54)</f>
        <v/>
      </c>
      <c r="DA54" s="147" t="str">
        <f aca="false">IF(ISBLANK($C54),"",$CP54)</f>
        <v/>
      </c>
      <c r="DB54" s="147" t="str">
        <f aca="false">IF(ISBLANK($C54),"",$CO54)</f>
        <v/>
      </c>
      <c r="DC54" s="148" t="str">
        <f aca="false">IF(ISBLANK($C54),"",IFERROR(_xlfn.SWITCH($DB54,Constants!$B$11,COUNTA($C$9:$C$508)+2,Constants!$B$10,COUNTA($C$9:$C$508)+1,Constants!$B$9,COUNTA($C$9:$C$508)),$DB54))</f>
        <v/>
      </c>
      <c r="DD54" s="9"/>
      <c r="DE54" s="149" t="n">
        <f aca="false">IF(OR(ISNUMBER($DB54),$DB54=Constants!$B$11,$DB54=Constants!$B$9,$DB54=Constants!$B$10),1,0)</f>
        <v>0</v>
      </c>
      <c r="DF54" s="149" t="n">
        <v>46</v>
      </c>
      <c r="DG54" s="149" t="str">
        <f aca="false">IF(ISBLANK($C54),"",IF(ISNUMBER($DC54),$DC54+ROW($B54)/1000,""))</f>
        <v/>
      </c>
      <c r="DH54" s="149" t="str">
        <f aca="false">IF(ISNUMBER($DG54),RANK($DG54,$DG$9:$DG$508,1),"")</f>
        <v/>
      </c>
      <c r="DI54" s="149" t="str">
        <f aca="false">IF(ISBLANK($C54),"",$B54)</f>
        <v/>
      </c>
      <c r="DJ54" s="149" t="str">
        <f aca="false">IF(ISBLANK($C54),"",$C54)</f>
        <v/>
      </c>
      <c r="DK54" s="149" t="str">
        <f aca="false">IF(ISBLANK($C54),"",$D54)</f>
        <v/>
      </c>
      <c r="DL54" s="150" t="str">
        <f aca="false">$CZ54</f>
        <v/>
      </c>
      <c r="DM54" s="151" t="str">
        <f aca="false">$CY54</f>
        <v/>
      </c>
      <c r="DN54" s="149" t="str">
        <f aca="false">IF(ISBLANK($C54),"",$DB54)</f>
        <v/>
      </c>
      <c r="DO54" s="152" t="str">
        <f aca="false">IF($DF54&gt;$DE$8,"",VLOOKUP($DF54,$DH$9:$DN$508,7,FALSE()))</f>
        <v/>
      </c>
      <c r="DP54" s="153" t="str">
        <f aca="false">IF($DF54&gt;$DE$8,"",VLOOKUP($DF54,$DH$9:$DN$508,2,FALSE()))</f>
        <v/>
      </c>
      <c r="DQ54" s="153" t="str">
        <f aca="false">IF($DF54&gt;$DE$8,"",VLOOKUP($DF54,$DH$9:$DN$508,3,FALSE()))</f>
        <v/>
      </c>
      <c r="DR54" s="153" t="str">
        <f aca="false">IF($DF54&gt;$DE$8,"",VLOOKUP($DF54,$DH$9:$DN$508,4,FALSE()))</f>
        <v/>
      </c>
      <c r="DS54" s="153" t="str">
        <f aca="false">IF($DF54&gt;$DE$8,"",VLOOKUP($DF54,$DH$9:$DN$508,5,FALSE()))</f>
        <v/>
      </c>
      <c r="DT54" s="154" t="str">
        <f aca="false">IF($DF54&gt;$DE$8,"",VLOOKUP($DF54,$DH$9:$DN$508,6,FALSE()))</f>
        <v/>
      </c>
      <c r="DU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IF(ISBLANK($C55),"",IF(E55=Constants!$B$3,TRUE(),IF(E55=Constants!$B$4,FALSE(),TRUE())))</f>
        <v/>
      </c>
      <c r="AG55" s="135" t="str">
        <f aca="false">IF(ISBLANK($C55),"",IF(F55=Constants!$B$3,TRUE(),IF(F55=Constants!$B$4,FALSE(),TRUE())))</f>
        <v/>
      </c>
      <c r="AH55" s="135" t="str">
        <f aca="false">IF(ISBLANK($C55),"",IF(G55=Constants!$B$3,TRUE(),IF(G55=Constants!$B$4,FALSE(),TRUE())))</f>
        <v/>
      </c>
      <c r="AI55" s="135" t="str">
        <f aca="false">IF(ISBLANK($C55),"",IF(AND(ISNUMBER(H55),H55&gt;=0),H55,Constants!$B$29))</f>
        <v/>
      </c>
      <c r="AJ55" s="135" t="str">
        <f aca="false">IF(ISBLANK($C55),"",IF(I55=Constants!$B$3,TRUE(),IF(I55=Constants!$B$4,FALSE(),TRUE())))</f>
        <v/>
      </c>
      <c r="AK55" s="135" t="str">
        <f aca="false">IF(ISBLANK($C55),"",IF(J55=Constants!$B$3,TRUE(),IF(J55=Constants!$B$4,FALSE(),TRUE())))</f>
        <v/>
      </c>
      <c r="AL55" s="135" t="str">
        <f aca="false">IF(ISBLANK($C55),"",IF(K55=Constants!$B$5,TRUE(),IF(K55=Constants!$B$6,FALSE(),COUNTA(L55:P55)&gt;0)))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IF(ISBLANK($C55),"",IF(N55=Constants!$B$3,TRUE(),IF(N55=Constants!$B$4,FALSE(),TRUE())))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IF(ISBLANK($C55),"",IF(P55=Constants!$B$3,TRUE(),IF(P55=Constants!$B$4,FALSE(),FALSE())))</f>
        <v/>
      </c>
      <c r="AR55" s="135" t="str">
        <f aca="false">IF(ISBLANK($C55),"",IF(Q55=Constants!$B$3,TRUE(),IF(Q55=Constants!$B$4,FALSE(),TRUE())))</f>
        <v/>
      </c>
      <c r="AS55" s="135" t="str">
        <f aca="false">IF(ISBLANK($C55),"",IF(R55=Constants!$B$3,TRUE(),IF(R55=Constants!$B$4,FALSE(),TRUE())))</f>
        <v/>
      </c>
      <c r="AT55" s="135" t="str">
        <f aca="false">IF(ISBLANK($C55),"",IF(S55=Constants!$B$5,TRUE(),IF(S55=Constants!$B$6,FALSE(),COUNTA(T55:X55)&gt;0)))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IF(ISBLANK($C55),"",IF(V55=Constants!$B$3,TRUE(),IF(V55=Constants!$B$4,FALSE(),TRUE())))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IF(ISBLANK($C55),"",IF(X55=Constants!$B$3,TRUE(),IF(X55=Constants!$B$4,FALSE(),FALSE())))</f>
        <v/>
      </c>
      <c r="AZ55" s="135" t="str">
        <f aca="false">IF(ISBLANK($C55),"",MIN(Constants!$B$31,MAX(0,IF(ISNUMBER(Y55),Y55*60,0)+IF(ISNUMBER(Z55),Z55,0))))</f>
        <v/>
      </c>
      <c r="BA55" s="135" t="str">
        <f aca="false">IF(ISBLANK($C55),"",IF(AA55=Constants!$B$3,TRUE(),IF(AA55=Constants!$B$4,FALSE(),FALSE())))</f>
        <v/>
      </c>
      <c r="BB55" s="134" t="str">
        <f aca="false">IF(ISBLANK($C55),"",AND($AL55,OR($AM55="",$AN55="",AND($AO55,$AP55=""))))</f>
        <v/>
      </c>
      <c r="BC55" s="137" t="str">
        <f aca="false">IF($BZ55&lt;&gt;Constants!$B$8,"",IF($AL55,Constants!$B$21*$AN55+Constants!$B$22*IF($AO55,$AP55,Constants!$B$23),Constants!$B$24))</f>
        <v/>
      </c>
      <c r="BD55" s="138" t="str">
        <f aca="false">IF($BZ55&lt;&gt;Constants!$B$8,"",Constants!$B$25*ABS($AD$9-IF($AL55,$AM55,0)))</f>
        <v/>
      </c>
      <c r="BE55" s="138" t="str">
        <f aca="false">IF($BZ55&lt;&gt;Constants!$B$8,"",IF(AND($AL55,$AQ55,$AO55),Constants!$B$27,0))</f>
        <v/>
      </c>
      <c r="BF55" s="138" t="str">
        <f aca="false">IF($BZ55&lt;&gt;Constants!$B$8,"",IF($AL55,($AI55-Constants!$B$29)*Constants!$B$28,0))</f>
        <v/>
      </c>
      <c r="BG55" s="138" t="str">
        <f aca="false">IF($BZ55&lt;&gt;Constants!$B$8,"",IF($AK55,0,Constants!$B$15)+IF($AJ55,0,Constants!$B$16)+IF($AH55,0,Constants!$B$17))</f>
        <v/>
      </c>
      <c r="BH55" s="139" t="str">
        <f aca="false">IF($BZ55&lt;&gt;Constants!$B$8,"",Constants!$B$20+SUM($BC55:$BG55))</f>
        <v/>
      </c>
      <c r="BI55" s="138" t="str">
        <f aca="false">IF($BZ55&lt;&gt;Constants!$B$8,"",$BC55)</f>
        <v/>
      </c>
      <c r="BJ55" s="138" t="str">
        <f aca="false">IF($BZ55&lt;&gt;Constants!$B$8,"",$BD55)</f>
        <v/>
      </c>
      <c r="BK55" s="138" t="str">
        <f aca="false">IF($BZ55&lt;&gt;Constants!$B$8,"",IF($AL55,$AN55,""))</f>
        <v/>
      </c>
      <c r="BL55" s="140" t="str">
        <f aca="false">IF($BZ55&lt;&gt;Constants!$B$8,"",$AI55)</f>
        <v/>
      </c>
      <c r="BM55" s="135" t="str">
        <f aca="false">IF($BZ55&lt;&gt;Constants!$B$8,"",IF(OR($BT55&lt;$BH55,AND($BT55=$BH55,OR($BU55&lt;$BI55,AND($BU55=$BI55,OR($BV55&lt;$BJ55,AND($BV55=$BJ55,OR(AND(ISNUMBER($BW55),OR(NOT(ISNUMBER($BK55)),$BW55&lt;$BK55)),AND(OR(AND($BW55="",$BK55=""),AND(ISNUMBER($BW55),ISNUMBER($BK55),$BW55=$BK55)),$BX55&lt;$BL55)))))))),"-&gt;","&lt;-"))</f>
        <v/>
      </c>
      <c r="BN55" s="134" t="str">
        <f aca="false">IF(ISBLANK($C55),"",AND($AT55,OR($AU55="",$AV55="",AND($AW55,$AX55=""))))</f>
        <v/>
      </c>
      <c r="BO55" s="137" t="str">
        <f aca="false">IF($BZ55&lt;&gt;Constants!$B$8,"",IF($AT55,Constants!$B$21*$AV55+Constants!$B$22*IF($AW55,$AX55,Constants!$B$23),Constants!$B$24))</f>
        <v/>
      </c>
      <c r="BP55" s="138" t="str">
        <f aca="false">IF($BZ55&lt;&gt;Constants!$B$8,"",Constants!$B$25*ABS($AD$9-IF($AT55,$AU55,0)))</f>
        <v/>
      </c>
      <c r="BQ55" s="138" t="str">
        <f aca="false">IF($BZ55&lt;&gt;Constants!$B$8,"",IF(AND($AT55,$AY55,$AW55),Constants!$B$27,0))</f>
        <v/>
      </c>
      <c r="BR55" s="138" t="str">
        <f aca="false">IF($BZ55&lt;&gt;Constants!$B$8,"",IF($AT55,($AI55-Constants!$B$29)*Constants!$B$28,0))</f>
        <v/>
      </c>
      <c r="BS55" s="138" t="str">
        <f aca="false">IF($BZ55&lt;&gt;Constants!$B$8,"",IF($AS55,0,Constants!$B$15)+IF($AR55,0,Constants!$B$16)+IF($AH55,0,Constants!$B$17))</f>
        <v/>
      </c>
      <c r="BT55" s="139" t="str">
        <f aca="false">IF($BZ55&lt;&gt;Constants!$B$8,"",Constants!$B$20+SUM($BO55:$BS55))</f>
        <v/>
      </c>
      <c r="BU55" s="138" t="str">
        <f aca="false">IF($BZ55&lt;&gt;Constants!$B$8,"",$BO55)</f>
        <v/>
      </c>
      <c r="BV55" s="138" t="str">
        <f aca="false">IF($BZ55&lt;&gt;Constants!$B$8,"",$BP55)</f>
        <v/>
      </c>
      <c r="BW55" s="138" t="str">
        <f aca="false">IF($BZ55&lt;&gt;Constants!$B$8,"",IF($AT55,$AV55,""))</f>
        <v/>
      </c>
      <c r="BX55" s="140" t="str">
        <f aca="false">IF($BZ55&lt;&gt;Constants!$B$8,"",$AI55)</f>
        <v/>
      </c>
      <c r="BY55" s="135" t="str">
        <f aca="false">IF(ISBLANK($C55),"",IF(ISBLANK($D$7),$BY$5,IF(NOT(ISNUMBER($D$7)),$BY$6,"")))</f>
        <v/>
      </c>
      <c r="BZ55" s="135" t="str">
        <f aca="false">IF(ISBLANK($C55),"",IF($BA55,Constants!$B$11,IF(COUNTA($E55:$AA55)=0,Constants!$B$10,IF(NOT($AG55),Constants!$B$9,IF(OR($BY55&lt;&gt;"",$BB55,$BN55),Constants!$B$12,Constants!$B$8)))))</f>
        <v/>
      </c>
      <c r="CA55" s="135" t="str">
        <f aca="false">IF(ISBLANK($C55),"",IF($BZ55&lt;&gt;Constants!$B$8,$BZ55,Constants!$B$13))</f>
        <v/>
      </c>
      <c r="CB55" s="138" t="str">
        <f aca="false">IF($BZ55&lt;&gt;Constants!$B$8,"",IF($BM55="-&gt;",$BT55,$BH55))</f>
        <v/>
      </c>
      <c r="CC55" s="138" t="str">
        <f aca="false">IF($BZ55&lt;&gt;Constants!$B$8,"",IF($AF55,0,Constants!$B$18))</f>
        <v/>
      </c>
      <c r="CD55" s="138" t="str">
        <f aca="false">IF($BZ55&lt;&gt;Constants!$B$8,"",((Constants!$B$31-$AZ55)-Constants!$B$31)/Constants!$B$32)</f>
        <v/>
      </c>
      <c r="CE55" s="138" t="str">
        <f aca="false">IF(ISBLANK($C55),"",IF($BZ55&lt;&gt;Constants!$B$8,$BZ55,SUM($CB55:$CD55)))</f>
        <v/>
      </c>
      <c r="CF55" s="135" t="str">
        <f aca="false">IF(ISBLANK($C55),"",IF($BZ55&lt;&gt;Constants!$B$8,$BZ55,RANK($CE55,$CE$9:$CE$508,1)))</f>
        <v/>
      </c>
      <c r="CG55" s="138" t="str">
        <f aca="false">IF($BZ55&lt;&gt;Constants!$B$8,"",IF($BM55="-&gt;",$BU55,$BI55))</f>
        <v/>
      </c>
      <c r="CH55" s="135" t="str">
        <f aca="false">IF(ISBLANK($C55),"",IF($BZ55&lt;&gt;Constants!$B$8,$BZ55,IF(ISNUMBER($CG55),RANK($CG55,$CG$9:$CG$508,1),COUNT($CG$9:$CG$508)+1)))</f>
        <v/>
      </c>
      <c r="CI55" s="138" t="str">
        <f aca="false">IF($BZ55&lt;&gt;Constants!$B$8,"",IF($BM55="-&gt;",$BV55,$BJ55))</f>
        <v/>
      </c>
      <c r="CJ55" s="135" t="str">
        <f aca="false">IF(ISBLANK($C55),"",IF($BZ55&lt;&gt;Constants!$B$8,$BZ55,IF(ISNUMBER($CI55),RANK($CI55,$CI$9:$CI$508,1),COUNT($CI$9:$CI$508)+1)))</f>
        <v/>
      </c>
      <c r="CK55" s="138" t="str">
        <f aca="false">IF($BZ55&lt;&gt;Constants!$B$8,"",IF($BM55="-&gt;",$BW55,$BK55))</f>
        <v/>
      </c>
      <c r="CL55" s="135" t="str">
        <f aca="false">IF(ISBLANK($C55),"",IF($BZ55&lt;&gt;Constants!$B$8,$BZ55,IF(ISNUMBER($CK55),RANK($CK55,$CK$9:$CK$508,1),COUNT($CK$9:$CK$508)+1)))</f>
        <v/>
      </c>
      <c r="CM55" s="138" t="str">
        <f aca="false">IF($BZ55&lt;&gt;Constants!$B$8,"",IF(AND(NOT($AL55),NOT($AT55),$AJ55,$AK55,$AR55,$AS55),"",IF($BM55="-&gt;",$BX55,$BL55)))</f>
        <v/>
      </c>
      <c r="CN55" s="135" t="str">
        <f aca="false">IF(ISBLANK($C55),"",IF($BZ55&lt;&gt;Constants!$B$8,$BZ55,IF(ISNUMBER($CM55),RANK($CM55,$CM$9:$CM$508,1),COUNT($CM$9:$CM$508)+1)))</f>
        <v/>
      </c>
      <c r="CO55" s="135" t="str">
        <f aca="false">IF(ISBLANK($C55),"",IF($BZ55&lt;&gt;Constants!$B$8,$BZ55,COUNTIFS($CF$9:$CF$508,"&lt;"&amp;$CF55)+COUNTIFS($CF$9:$CF$508,$CF55,$CH$9:$CH$508,"&lt;"&amp;$CH55)+COUNTIFS($CF$9:$CF$508,$CF55,$CH$9:$CH$508,$CH55,$CJ$9:$CJ$508,"&lt;"&amp;$CJ55)+COUNTIFS($CF$9:$CF$508,$CF55,$CH$9:$CH$508,$CH55,$CJ$9:$CJ$508,$CJ55,$CL$9:$CL$508,"&lt;"&amp;$CL55)+COUNTIFS($CF$9:$CF$508,$CF55,$CH$9:$CH$508,$CH55,$CJ$9:$CJ$508,$CJ55,$CL$9:$CL$508,$CL55,$CN$9:$CN$508,"&lt;"&amp;$CN55)+1))</f>
        <v/>
      </c>
      <c r="CP55" s="135" t="str">
        <f aca="false">IF(ISBLANK($C55),"",IF($BZ55&lt;&gt;Constants!$B$8,$BZ55,$CF55-$CO55))</f>
        <v/>
      </c>
      <c r="CQ55" s="141"/>
      <c r="CR55" s="142"/>
      <c r="CS55" s="143" t="str">
        <f aca="false">IF(ISBLANK($C55),"",IF($BZ55=Constants!$B$12,$BY55,""))</f>
        <v/>
      </c>
      <c r="CT55" s="142" t="str">
        <f aca="false">IF(ISBLANK($C55),"",IF($BZ55&lt;&gt;Constants!$B$8,"",IF($BM55="-&gt;",2,1)))</f>
        <v/>
      </c>
      <c r="CU55" s="144" t="str">
        <f aca="false">IF(ISBLANK($C55),"",IF($BZ55&lt;&gt;Constants!$B$8,"",IF($BM55="-&gt;",$BO55,$BC55)))</f>
        <v/>
      </c>
      <c r="CV55" s="144" t="str">
        <f aca="false">IF(ISBLANK($C55),"",IF($BZ55&lt;&gt;Constants!$B$8,"",IF($BM55="-&gt;",$BP55,$BD55)))</f>
        <v/>
      </c>
      <c r="CW55" s="144" t="str">
        <f aca="false">IF(ISBLANK($C55),"",IF($BZ55&lt;&gt;Constants!$B$8,"",IF($BM55="-&gt;",$BQ55+$BR55,$BE55+$BF55)+$CD55))</f>
        <v/>
      </c>
      <c r="CX55" s="144" t="str">
        <f aca="false">IF(ISBLANK($C55),"",IF($BZ55&lt;&gt;Constants!$B$8,"",IF($BM55="-&gt;",$BS55,$BG55)+$CC55))</f>
        <v/>
      </c>
      <c r="CY55" s="145" t="str">
        <f aca="false">IF(ISBLANK($C55),"",IF($BZ55&lt;&gt;Constants!$B$8,$BZ55,$CE55))</f>
        <v/>
      </c>
      <c r="CZ55" s="146" t="str">
        <f aca="false">IF(ISBLANK($C55),"",$CA55)</f>
        <v/>
      </c>
      <c r="DA55" s="147" t="str">
        <f aca="false">IF(ISBLANK($C55),"",$CP55)</f>
        <v/>
      </c>
      <c r="DB55" s="147" t="str">
        <f aca="false">IF(ISBLANK($C55),"",$CO55)</f>
        <v/>
      </c>
      <c r="DC55" s="148" t="str">
        <f aca="false">IF(ISBLANK($C55),"",IFERROR(_xlfn.SWITCH($DB55,Constants!$B$11,COUNTA($C$9:$C$508)+2,Constants!$B$10,COUNTA($C$9:$C$508)+1,Constants!$B$9,COUNTA($C$9:$C$508)),$DB55))</f>
        <v/>
      </c>
      <c r="DD55" s="9"/>
      <c r="DE55" s="149" t="n">
        <f aca="false">IF(OR(ISNUMBER($DB55),$DB55=Constants!$B$11,$DB55=Constants!$B$9,$DB55=Constants!$B$10),1,0)</f>
        <v>0</v>
      </c>
      <c r="DF55" s="149" t="n">
        <v>47</v>
      </c>
      <c r="DG55" s="149" t="str">
        <f aca="false">IF(ISBLANK($C55),"",IF(ISNUMBER($DC55),$DC55+ROW($B55)/1000,""))</f>
        <v/>
      </c>
      <c r="DH55" s="149" t="str">
        <f aca="false">IF(ISNUMBER($DG55),RANK($DG55,$DG$9:$DG$508,1),"")</f>
        <v/>
      </c>
      <c r="DI55" s="149" t="str">
        <f aca="false">IF(ISBLANK($C55),"",$B55)</f>
        <v/>
      </c>
      <c r="DJ55" s="149" t="str">
        <f aca="false">IF(ISBLANK($C55),"",$C55)</f>
        <v/>
      </c>
      <c r="DK55" s="149" t="str">
        <f aca="false">IF(ISBLANK($C55),"",$D55)</f>
        <v/>
      </c>
      <c r="DL55" s="150" t="str">
        <f aca="false">$CZ55</f>
        <v/>
      </c>
      <c r="DM55" s="151" t="str">
        <f aca="false">$CY55</f>
        <v/>
      </c>
      <c r="DN55" s="149" t="str">
        <f aca="false">IF(ISBLANK($C55),"",$DB55)</f>
        <v/>
      </c>
      <c r="DO55" s="152" t="str">
        <f aca="false">IF($DF55&gt;$DE$8,"",VLOOKUP($DF55,$DH$9:$DN$508,7,FALSE()))</f>
        <v/>
      </c>
      <c r="DP55" s="153" t="str">
        <f aca="false">IF($DF55&gt;$DE$8,"",VLOOKUP($DF55,$DH$9:$DN$508,2,FALSE()))</f>
        <v/>
      </c>
      <c r="DQ55" s="153" t="str">
        <f aca="false">IF($DF55&gt;$DE$8,"",VLOOKUP($DF55,$DH$9:$DN$508,3,FALSE()))</f>
        <v/>
      </c>
      <c r="DR55" s="153" t="str">
        <f aca="false">IF($DF55&gt;$DE$8,"",VLOOKUP($DF55,$DH$9:$DN$508,4,FALSE()))</f>
        <v/>
      </c>
      <c r="DS55" s="153" t="str">
        <f aca="false">IF($DF55&gt;$DE$8,"",VLOOKUP($DF55,$DH$9:$DN$508,5,FALSE()))</f>
        <v/>
      </c>
      <c r="DT55" s="154" t="str">
        <f aca="false">IF($DF55&gt;$DE$8,"",VLOOKUP($DF55,$DH$9:$DN$508,6,FALSE()))</f>
        <v/>
      </c>
      <c r="DU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IF(ISBLANK($C56),"",IF(E56=Constants!$B$3,TRUE(),IF(E56=Constants!$B$4,FALSE(),TRUE())))</f>
        <v/>
      </c>
      <c r="AG56" s="135" t="str">
        <f aca="false">IF(ISBLANK($C56),"",IF(F56=Constants!$B$3,TRUE(),IF(F56=Constants!$B$4,FALSE(),TRUE())))</f>
        <v/>
      </c>
      <c r="AH56" s="135" t="str">
        <f aca="false">IF(ISBLANK($C56),"",IF(G56=Constants!$B$3,TRUE(),IF(G56=Constants!$B$4,FALSE(),TRUE())))</f>
        <v/>
      </c>
      <c r="AI56" s="135" t="str">
        <f aca="false">IF(ISBLANK($C56),"",IF(AND(ISNUMBER(H56),H56&gt;=0),H56,Constants!$B$29))</f>
        <v/>
      </c>
      <c r="AJ56" s="135" t="str">
        <f aca="false">IF(ISBLANK($C56),"",IF(I56=Constants!$B$3,TRUE(),IF(I56=Constants!$B$4,FALSE(),TRUE())))</f>
        <v/>
      </c>
      <c r="AK56" s="135" t="str">
        <f aca="false">IF(ISBLANK($C56),"",IF(J56=Constants!$B$3,TRUE(),IF(J56=Constants!$B$4,FALSE(),TRUE())))</f>
        <v/>
      </c>
      <c r="AL56" s="135" t="str">
        <f aca="false">IF(ISBLANK($C56),"",IF(K56=Constants!$B$5,TRUE(),IF(K56=Constants!$B$6,FALSE(),COUNTA(L56:P56)&gt;0)))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IF(ISBLANK($C56),"",IF(N56=Constants!$B$3,TRUE(),IF(N56=Constants!$B$4,FALSE(),TRUE())))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IF(ISBLANK($C56),"",IF(P56=Constants!$B$3,TRUE(),IF(P56=Constants!$B$4,FALSE(),FALSE())))</f>
        <v/>
      </c>
      <c r="AR56" s="135" t="str">
        <f aca="false">IF(ISBLANK($C56),"",IF(Q56=Constants!$B$3,TRUE(),IF(Q56=Constants!$B$4,FALSE(),TRUE())))</f>
        <v/>
      </c>
      <c r="AS56" s="135" t="str">
        <f aca="false">IF(ISBLANK($C56),"",IF(R56=Constants!$B$3,TRUE(),IF(R56=Constants!$B$4,FALSE(),TRUE())))</f>
        <v/>
      </c>
      <c r="AT56" s="135" t="str">
        <f aca="false">IF(ISBLANK($C56),"",IF(S56=Constants!$B$5,TRUE(),IF(S56=Constants!$B$6,FALSE(),COUNTA(T56:X56)&gt;0)))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IF(ISBLANK($C56),"",IF(V56=Constants!$B$3,TRUE(),IF(V56=Constants!$B$4,FALSE(),TRUE())))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IF(ISBLANK($C56),"",IF(X56=Constants!$B$3,TRUE(),IF(X56=Constants!$B$4,FALSE(),FALSE())))</f>
        <v/>
      </c>
      <c r="AZ56" s="135" t="str">
        <f aca="false">IF(ISBLANK($C56),"",MIN(Constants!$B$31,MAX(0,IF(ISNUMBER(Y56),Y56*60,0)+IF(ISNUMBER(Z56),Z56,0))))</f>
        <v/>
      </c>
      <c r="BA56" s="135" t="str">
        <f aca="false">IF(ISBLANK($C56),"",IF(AA56=Constants!$B$3,TRUE(),IF(AA56=Constants!$B$4,FALSE(),FALSE())))</f>
        <v/>
      </c>
      <c r="BB56" s="134" t="str">
        <f aca="false">IF(ISBLANK($C56),"",AND($AL56,OR($AM56="",$AN56="",AND($AO56,$AP56=""))))</f>
        <v/>
      </c>
      <c r="BC56" s="137" t="str">
        <f aca="false">IF($BZ56&lt;&gt;Constants!$B$8,"",IF($AL56,Constants!$B$21*$AN56+Constants!$B$22*IF($AO56,$AP56,Constants!$B$23),Constants!$B$24))</f>
        <v/>
      </c>
      <c r="BD56" s="138" t="str">
        <f aca="false">IF($BZ56&lt;&gt;Constants!$B$8,"",Constants!$B$25*ABS($AD$9-IF($AL56,$AM56,0)))</f>
        <v/>
      </c>
      <c r="BE56" s="138" t="str">
        <f aca="false">IF($BZ56&lt;&gt;Constants!$B$8,"",IF(AND($AL56,$AQ56,$AO56),Constants!$B$27,0))</f>
        <v/>
      </c>
      <c r="BF56" s="138" t="str">
        <f aca="false">IF($BZ56&lt;&gt;Constants!$B$8,"",IF($AL56,($AI56-Constants!$B$29)*Constants!$B$28,0))</f>
        <v/>
      </c>
      <c r="BG56" s="138" t="str">
        <f aca="false">IF($BZ56&lt;&gt;Constants!$B$8,"",IF($AK56,0,Constants!$B$15)+IF($AJ56,0,Constants!$B$16)+IF($AH56,0,Constants!$B$17))</f>
        <v/>
      </c>
      <c r="BH56" s="139" t="str">
        <f aca="false">IF($BZ56&lt;&gt;Constants!$B$8,"",Constants!$B$20+SUM($BC56:$BG56))</f>
        <v/>
      </c>
      <c r="BI56" s="138" t="str">
        <f aca="false">IF($BZ56&lt;&gt;Constants!$B$8,"",$BC56)</f>
        <v/>
      </c>
      <c r="BJ56" s="138" t="str">
        <f aca="false">IF($BZ56&lt;&gt;Constants!$B$8,"",$BD56)</f>
        <v/>
      </c>
      <c r="BK56" s="138" t="str">
        <f aca="false">IF($BZ56&lt;&gt;Constants!$B$8,"",IF($AL56,$AN56,""))</f>
        <v/>
      </c>
      <c r="BL56" s="140" t="str">
        <f aca="false">IF($BZ56&lt;&gt;Constants!$B$8,"",$AI56)</f>
        <v/>
      </c>
      <c r="BM56" s="135" t="str">
        <f aca="false">IF($BZ56&lt;&gt;Constants!$B$8,"",IF(OR($BT56&lt;$BH56,AND($BT56=$BH56,OR($BU56&lt;$BI56,AND($BU56=$BI56,OR($BV56&lt;$BJ56,AND($BV56=$BJ56,OR(AND(ISNUMBER($BW56),OR(NOT(ISNUMBER($BK56)),$BW56&lt;$BK56)),AND(OR(AND($BW56="",$BK56=""),AND(ISNUMBER($BW56),ISNUMBER($BK56),$BW56=$BK56)),$BX56&lt;$BL56)))))))),"-&gt;","&lt;-"))</f>
        <v/>
      </c>
      <c r="BN56" s="134" t="str">
        <f aca="false">IF(ISBLANK($C56),"",AND($AT56,OR($AU56="",$AV56="",AND($AW56,$AX56=""))))</f>
        <v/>
      </c>
      <c r="BO56" s="137" t="str">
        <f aca="false">IF($BZ56&lt;&gt;Constants!$B$8,"",IF($AT56,Constants!$B$21*$AV56+Constants!$B$22*IF($AW56,$AX56,Constants!$B$23),Constants!$B$24))</f>
        <v/>
      </c>
      <c r="BP56" s="138" t="str">
        <f aca="false">IF($BZ56&lt;&gt;Constants!$B$8,"",Constants!$B$25*ABS($AD$9-IF($AT56,$AU56,0)))</f>
        <v/>
      </c>
      <c r="BQ56" s="138" t="str">
        <f aca="false">IF($BZ56&lt;&gt;Constants!$B$8,"",IF(AND($AT56,$AY56,$AW56),Constants!$B$27,0))</f>
        <v/>
      </c>
      <c r="BR56" s="138" t="str">
        <f aca="false">IF($BZ56&lt;&gt;Constants!$B$8,"",IF($AT56,($AI56-Constants!$B$29)*Constants!$B$28,0))</f>
        <v/>
      </c>
      <c r="BS56" s="138" t="str">
        <f aca="false">IF($BZ56&lt;&gt;Constants!$B$8,"",IF($AS56,0,Constants!$B$15)+IF($AR56,0,Constants!$B$16)+IF($AH56,0,Constants!$B$17))</f>
        <v/>
      </c>
      <c r="BT56" s="139" t="str">
        <f aca="false">IF($BZ56&lt;&gt;Constants!$B$8,"",Constants!$B$20+SUM($BO56:$BS56))</f>
        <v/>
      </c>
      <c r="BU56" s="138" t="str">
        <f aca="false">IF($BZ56&lt;&gt;Constants!$B$8,"",$BO56)</f>
        <v/>
      </c>
      <c r="BV56" s="138" t="str">
        <f aca="false">IF($BZ56&lt;&gt;Constants!$B$8,"",$BP56)</f>
        <v/>
      </c>
      <c r="BW56" s="138" t="str">
        <f aca="false">IF($BZ56&lt;&gt;Constants!$B$8,"",IF($AT56,$AV56,""))</f>
        <v/>
      </c>
      <c r="BX56" s="140" t="str">
        <f aca="false">IF($BZ56&lt;&gt;Constants!$B$8,"",$AI56)</f>
        <v/>
      </c>
      <c r="BY56" s="135" t="str">
        <f aca="false">IF(ISBLANK($C56),"",IF(ISBLANK($D$7),$BY$5,IF(NOT(ISNUMBER($D$7)),$BY$6,"")))</f>
        <v/>
      </c>
      <c r="BZ56" s="135" t="str">
        <f aca="false">IF(ISBLANK($C56),"",IF($BA56,Constants!$B$11,IF(COUNTA($E56:$AA56)=0,Constants!$B$10,IF(NOT($AG56),Constants!$B$9,IF(OR($BY56&lt;&gt;"",$BB56,$BN56),Constants!$B$12,Constants!$B$8)))))</f>
        <v/>
      </c>
      <c r="CA56" s="135" t="str">
        <f aca="false">IF(ISBLANK($C56),"",IF($BZ56&lt;&gt;Constants!$B$8,$BZ56,Constants!$B$13))</f>
        <v/>
      </c>
      <c r="CB56" s="138" t="str">
        <f aca="false">IF($BZ56&lt;&gt;Constants!$B$8,"",IF($BM56="-&gt;",$BT56,$BH56))</f>
        <v/>
      </c>
      <c r="CC56" s="138" t="str">
        <f aca="false">IF($BZ56&lt;&gt;Constants!$B$8,"",IF($AF56,0,Constants!$B$18))</f>
        <v/>
      </c>
      <c r="CD56" s="138" t="str">
        <f aca="false">IF($BZ56&lt;&gt;Constants!$B$8,"",((Constants!$B$31-$AZ56)-Constants!$B$31)/Constants!$B$32)</f>
        <v/>
      </c>
      <c r="CE56" s="138" t="str">
        <f aca="false">IF(ISBLANK($C56),"",IF($BZ56&lt;&gt;Constants!$B$8,$BZ56,SUM($CB56:$CD56)))</f>
        <v/>
      </c>
      <c r="CF56" s="135" t="str">
        <f aca="false">IF(ISBLANK($C56),"",IF($BZ56&lt;&gt;Constants!$B$8,$BZ56,RANK($CE56,$CE$9:$CE$508,1)))</f>
        <v/>
      </c>
      <c r="CG56" s="138" t="str">
        <f aca="false">IF($BZ56&lt;&gt;Constants!$B$8,"",IF($BM56="-&gt;",$BU56,$BI56))</f>
        <v/>
      </c>
      <c r="CH56" s="135" t="str">
        <f aca="false">IF(ISBLANK($C56),"",IF($BZ56&lt;&gt;Constants!$B$8,$BZ56,IF(ISNUMBER($CG56),RANK($CG56,$CG$9:$CG$508,1),COUNT($CG$9:$CG$508)+1)))</f>
        <v/>
      </c>
      <c r="CI56" s="138" t="str">
        <f aca="false">IF($BZ56&lt;&gt;Constants!$B$8,"",IF($BM56="-&gt;",$BV56,$BJ56))</f>
        <v/>
      </c>
      <c r="CJ56" s="135" t="str">
        <f aca="false">IF(ISBLANK($C56),"",IF($BZ56&lt;&gt;Constants!$B$8,$BZ56,IF(ISNUMBER($CI56),RANK($CI56,$CI$9:$CI$508,1),COUNT($CI$9:$CI$508)+1)))</f>
        <v/>
      </c>
      <c r="CK56" s="138" t="str">
        <f aca="false">IF($BZ56&lt;&gt;Constants!$B$8,"",IF($BM56="-&gt;",$BW56,$BK56))</f>
        <v/>
      </c>
      <c r="CL56" s="135" t="str">
        <f aca="false">IF(ISBLANK($C56),"",IF($BZ56&lt;&gt;Constants!$B$8,$BZ56,IF(ISNUMBER($CK56),RANK($CK56,$CK$9:$CK$508,1),COUNT($CK$9:$CK$508)+1)))</f>
        <v/>
      </c>
      <c r="CM56" s="138" t="str">
        <f aca="false">IF($BZ56&lt;&gt;Constants!$B$8,"",IF(AND(NOT($AL56),NOT($AT56),$AJ56,$AK56,$AR56,$AS56),"",IF($BM56="-&gt;",$BX56,$BL56)))</f>
        <v/>
      </c>
      <c r="CN56" s="135" t="str">
        <f aca="false">IF(ISBLANK($C56),"",IF($BZ56&lt;&gt;Constants!$B$8,$BZ56,IF(ISNUMBER($CM56),RANK($CM56,$CM$9:$CM$508,1),COUNT($CM$9:$CM$508)+1)))</f>
        <v/>
      </c>
      <c r="CO56" s="135" t="str">
        <f aca="false">IF(ISBLANK($C56),"",IF($BZ56&lt;&gt;Constants!$B$8,$BZ56,COUNTIFS($CF$9:$CF$508,"&lt;"&amp;$CF56)+COUNTIFS($CF$9:$CF$508,$CF56,$CH$9:$CH$508,"&lt;"&amp;$CH56)+COUNTIFS($CF$9:$CF$508,$CF56,$CH$9:$CH$508,$CH56,$CJ$9:$CJ$508,"&lt;"&amp;$CJ56)+COUNTIFS($CF$9:$CF$508,$CF56,$CH$9:$CH$508,$CH56,$CJ$9:$CJ$508,$CJ56,$CL$9:$CL$508,"&lt;"&amp;$CL56)+COUNTIFS($CF$9:$CF$508,$CF56,$CH$9:$CH$508,$CH56,$CJ$9:$CJ$508,$CJ56,$CL$9:$CL$508,$CL56,$CN$9:$CN$508,"&lt;"&amp;$CN56)+1))</f>
        <v/>
      </c>
      <c r="CP56" s="135" t="str">
        <f aca="false">IF(ISBLANK($C56),"",IF($BZ56&lt;&gt;Constants!$B$8,$BZ56,$CF56-$CO56))</f>
        <v/>
      </c>
      <c r="CQ56" s="141"/>
      <c r="CR56" s="142"/>
      <c r="CS56" s="143" t="str">
        <f aca="false">IF(ISBLANK($C56),"",IF($BZ56=Constants!$B$12,$BY56,""))</f>
        <v/>
      </c>
      <c r="CT56" s="142" t="str">
        <f aca="false">IF(ISBLANK($C56),"",IF($BZ56&lt;&gt;Constants!$B$8,"",IF($BM56="-&gt;",2,1)))</f>
        <v/>
      </c>
      <c r="CU56" s="144" t="str">
        <f aca="false">IF(ISBLANK($C56),"",IF($BZ56&lt;&gt;Constants!$B$8,"",IF($BM56="-&gt;",$BO56,$BC56)))</f>
        <v/>
      </c>
      <c r="CV56" s="144" t="str">
        <f aca="false">IF(ISBLANK($C56),"",IF($BZ56&lt;&gt;Constants!$B$8,"",IF($BM56="-&gt;",$BP56,$BD56)))</f>
        <v/>
      </c>
      <c r="CW56" s="144" t="str">
        <f aca="false">IF(ISBLANK($C56),"",IF($BZ56&lt;&gt;Constants!$B$8,"",IF($BM56="-&gt;",$BQ56+$BR56,$BE56+$BF56)+$CD56))</f>
        <v/>
      </c>
      <c r="CX56" s="144" t="str">
        <f aca="false">IF(ISBLANK($C56),"",IF($BZ56&lt;&gt;Constants!$B$8,"",IF($BM56="-&gt;",$BS56,$BG56)+$CC56))</f>
        <v/>
      </c>
      <c r="CY56" s="145" t="str">
        <f aca="false">IF(ISBLANK($C56),"",IF($BZ56&lt;&gt;Constants!$B$8,$BZ56,$CE56))</f>
        <v/>
      </c>
      <c r="CZ56" s="146" t="str">
        <f aca="false">IF(ISBLANK($C56),"",$CA56)</f>
        <v/>
      </c>
      <c r="DA56" s="147" t="str">
        <f aca="false">IF(ISBLANK($C56),"",$CP56)</f>
        <v/>
      </c>
      <c r="DB56" s="147" t="str">
        <f aca="false">IF(ISBLANK($C56),"",$CO56)</f>
        <v/>
      </c>
      <c r="DC56" s="148" t="str">
        <f aca="false">IF(ISBLANK($C56),"",IFERROR(_xlfn.SWITCH($DB56,Constants!$B$11,COUNTA($C$9:$C$508)+2,Constants!$B$10,COUNTA($C$9:$C$508)+1,Constants!$B$9,COUNTA($C$9:$C$508)),$DB56))</f>
        <v/>
      </c>
      <c r="DD56" s="9"/>
      <c r="DE56" s="149" t="n">
        <f aca="false">IF(OR(ISNUMBER($DB56),$DB56=Constants!$B$11,$DB56=Constants!$B$9,$DB56=Constants!$B$10),1,0)</f>
        <v>0</v>
      </c>
      <c r="DF56" s="149" t="n">
        <v>48</v>
      </c>
      <c r="DG56" s="149" t="str">
        <f aca="false">IF(ISBLANK($C56),"",IF(ISNUMBER($DC56),$DC56+ROW($B56)/1000,""))</f>
        <v/>
      </c>
      <c r="DH56" s="149" t="str">
        <f aca="false">IF(ISNUMBER($DG56),RANK($DG56,$DG$9:$DG$508,1),"")</f>
        <v/>
      </c>
      <c r="DI56" s="149" t="str">
        <f aca="false">IF(ISBLANK($C56),"",$B56)</f>
        <v/>
      </c>
      <c r="DJ56" s="149" t="str">
        <f aca="false">IF(ISBLANK($C56),"",$C56)</f>
        <v/>
      </c>
      <c r="DK56" s="149" t="str">
        <f aca="false">IF(ISBLANK($C56),"",$D56)</f>
        <v/>
      </c>
      <c r="DL56" s="150" t="str">
        <f aca="false">$CZ56</f>
        <v/>
      </c>
      <c r="DM56" s="151" t="str">
        <f aca="false">$CY56</f>
        <v/>
      </c>
      <c r="DN56" s="149" t="str">
        <f aca="false">IF(ISBLANK($C56),"",$DB56)</f>
        <v/>
      </c>
      <c r="DO56" s="152" t="str">
        <f aca="false">IF($DF56&gt;$DE$8,"",VLOOKUP($DF56,$DH$9:$DN$508,7,FALSE()))</f>
        <v/>
      </c>
      <c r="DP56" s="153" t="str">
        <f aca="false">IF($DF56&gt;$DE$8,"",VLOOKUP($DF56,$DH$9:$DN$508,2,FALSE()))</f>
        <v/>
      </c>
      <c r="DQ56" s="153" t="str">
        <f aca="false">IF($DF56&gt;$DE$8,"",VLOOKUP($DF56,$DH$9:$DN$508,3,FALSE()))</f>
        <v/>
      </c>
      <c r="DR56" s="153" t="str">
        <f aca="false">IF($DF56&gt;$DE$8,"",VLOOKUP($DF56,$DH$9:$DN$508,4,FALSE()))</f>
        <v/>
      </c>
      <c r="DS56" s="153" t="str">
        <f aca="false">IF($DF56&gt;$DE$8,"",VLOOKUP($DF56,$DH$9:$DN$508,5,FALSE()))</f>
        <v/>
      </c>
      <c r="DT56" s="154" t="str">
        <f aca="false">IF($DF56&gt;$DE$8,"",VLOOKUP($DF56,$DH$9:$DN$508,6,FALSE()))</f>
        <v/>
      </c>
      <c r="DU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IF(ISBLANK($C57),"",IF(E57=Constants!$B$3,TRUE(),IF(E57=Constants!$B$4,FALSE(),TRUE())))</f>
        <v/>
      </c>
      <c r="AG57" s="93" t="str">
        <f aca="false">IF(ISBLANK($C57),"",IF(F57=Constants!$B$3,TRUE(),IF(F57=Constants!$B$4,FALSE(),TRUE())))</f>
        <v/>
      </c>
      <c r="AH57" s="93" t="str">
        <f aca="false">IF(ISBLANK($C57),"",IF(G57=Constants!$B$3,TRUE(),IF(G57=Constants!$B$4,FALSE(),TRUE())))</f>
        <v/>
      </c>
      <c r="AI57" s="93" t="str">
        <f aca="false">IF(ISBLANK($C57),"",IF(AND(ISNUMBER(H57),H57&gt;=0),H57,Constants!$B$29))</f>
        <v/>
      </c>
      <c r="AJ57" s="93" t="str">
        <f aca="false">IF(ISBLANK($C57),"",IF(I57=Constants!$B$3,TRUE(),IF(I57=Constants!$B$4,FALSE(),TRUE())))</f>
        <v/>
      </c>
      <c r="AK57" s="93" t="str">
        <f aca="false">IF(ISBLANK($C57),"",IF(J57=Constants!$B$3,TRUE(),IF(J57=Constants!$B$4,FALSE(),TRUE())))</f>
        <v/>
      </c>
      <c r="AL57" s="93" t="str">
        <f aca="false">IF(ISBLANK($C57),"",IF(K57=Constants!$B$5,TRUE(),IF(K57=Constants!$B$6,FALSE(),COUNTA(L57:P57)&gt;0)))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IF(ISBLANK($C57),"",IF(N57=Constants!$B$3,TRUE(),IF(N57=Constants!$B$4,FALSE(),TRUE())))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IF(ISBLANK($C57),"",IF(P57=Constants!$B$3,TRUE(),IF(P57=Constants!$B$4,FALSE(),FALSE())))</f>
        <v/>
      </c>
      <c r="AR57" s="93" t="str">
        <f aca="false">IF(ISBLANK($C57),"",IF(Q57=Constants!$B$3,TRUE(),IF(Q57=Constants!$B$4,FALSE(),TRUE())))</f>
        <v/>
      </c>
      <c r="AS57" s="93" t="str">
        <f aca="false">IF(ISBLANK($C57),"",IF(R57=Constants!$B$3,TRUE(),IF(R57=Constants!$B$4,FALSE(),TRUE())))</f>
        <v/>
      </c>
      <c r="AT57" s="93" t="str">
        <f aca="false">IF(ISBLANK($C57),"",IF(S57=Constants!$B$5,TRUE(),IF(S57=Constants!$B$6,FALSE(),COUNTA(T57:X57)&gt;0)))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IF(ISBLANK($C57),"",IF(V57=Constants!$B$3,TRUE(),IF(V57=Constants!$B$4,FALSE(),TRUE())))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IF(ISBLANK($C57),"",IF(X57=Constants!$B$3,TRUE(),IF(X57=Constants!$B$4,FALSE(),FALSE())))</f>
        <v/>
      </c>
      <c r="AZ57" s="93" t="str">
        <f aca="false">IF(ISBLANK($C57),"",MIN(Constants!$B$31,MAX(0,IF(ISNUMBER(Y57),Y57*60,0)+IF(ISNUMBER(Z57),Z57,0))))</f>
        <v/>
      </c>
      <c r="BA57" s="93" t="str">
        <f aca="false">IF(ISBLANK($C57),"",IF(AA57=Constants!$B$3,TRUE(),IF(AA57=Constants!$B$4,FALSE(),FALSE())))</f>
        <v/>
      </c>
      <c r="BB57" s="92" t="str">
        <f aca="false">IF(ISBLANK($C57),"",AND($AL57,OR($AM57="",$AN57="",AND($AO57,$AP57=""))))</f>
        <v/>
      </c>
      <c r="BC57" s="94" t="str">
        <f aca="false">IF($BZ57&lt;&gt;Constants!$B$8,"",IF($AL57,Constants!$B$21*$AN57+Constants!$B$22*IF($AO57,$AP57,Constants!$B$23),Constants!$B$24))</f>
        <v/>
      </c>
      <c r="BD57" s="97" t="str">
        <f aca="false">IF($BZ57&lt;&gt;Constants!$B$8,"",Constants!$B$25*ABS($AD$9-IF($AL57,$AM57,0)))</f>
        <v/>
      </c>
      <c r="BE57" s="97" t="str">
        <f aca="false">IF($BZ57&lt;&gt;Constants!$B$8,"",IF(AND($AL57,$AQ57,$AO57),Constants!$B$27,0))</f>
        <v/>
      </c>
      <c r="BF57" s="97" t="str">
        <f aca="false">IF($BZ57&lt;&gt;Constants!$B$8,"",IF($AL57,($AI57-Constants!$B$29)*Constants!$B$28,0))</f>
        <v/>
      </c>
      <c r="BG57" s="97" t="str">
        <f aca="false">IF($BZ57&lt;&gt;Constants!$B$8,"",IF($AK57,0,Constants!$B$15)+IF($AJ57,0,Constants!$B$16)+IF($AH57,0,Constants!$B$17))</f>
        <v/>
      </c>
      <c r="BH57" s="98" t="str">
        <f aca="false">IF($BZ57&lt;&gt;Constants!$B$8,"",Constants!$B$20+SUM($BC57:$BG57))</f>
        <v/>
      </c>
      <c r="BI57" s="97" t="str">
        <f aca="false">IF($BZ57&lt;&gt;Constants!$B$8,"",$BC57)</f>
        <v/>
      </c>
      <c r="BJ57" s="97" t="str">
        <f aca="false">IF($BZ57&lt;&gt;Constants!$B$8,"",$BD57)</f>
        <v/>
      </c>
      <c r="BK57" s="97" t="str">
        <f aca="false">IF($BZ57&lt;&gt;Constants!$B$8,"",IF($AL57,$AN57,""))</f>
        <v/>
      </c>
      <c r="BL57" s="99" t="str">
        <f aca="false">IF($BZ57&lt;&gt;Constants!$B$8,"",$AI57)</f>
        <v/>
      </c>
      <c r="BM57" s="93" t="str">
        <f aca="false">IF($BZ57&lt;&gt;Constants!$B$8,"",IF(OR($BT57&lt;$BH57,AND($BT57=$BH57,OR($BU57&lt;$BI57,AND($BU57=$BI57,OR($BV57&lt;$BJ57,AND($BV57=$BJ57,OR(AND(ISNUMBER($BW57),OR(NOT(ISNUMBER($BK57)),$BW57&lt;$BK57)),AND(OR(AND($BW57="",$BK57=""),AND(ISNUMBER($BW57),ISNUMBER($BK57),$BW57=$BK57)),$BX57&lt;$BL57)))))))),"-&gt;","&lt;-"))</f>
        <v/>
      </c>
      <c r="BN57" s="92" t="str">
        <f aca="false">IF(ISBLANK($C57),"",AND($AT57,OR($AU57="",$AV57="",AND($AW57,$AX57=""))))</f>
        <v/>
      </c>
      <c r="BO57" s="94" t="str">
        <f aca="false">IF($BZ57&lt;&gt;Constants!$B$8,"",IF($AT57,Constants!$B$21*$AV57+Constants!$B$22*IF($AW57,$AX57,Constants!$B$23),Constants!$B$24))</f>
        <v/>
      </c>
      <c r="BP57" s="97" t="str">
        <f aca="false">IF($BZ57&lt;&gt;Constants!$B$8,"",Constants!$B$25*ABS($AD$9-IF($AT57,$AU57,0)))</f>
        <v/>
      </c>
      <c r="BQ57" s="97" t="str">
        <f aca="false">IF($BZ57&lt;&gt;Constants!$B$8,"",IF(AND($AT57,$AY57,$AW57),Constants!$B$27,0))</f>
        <v/>
      </c>
      <c r="BR57" s="97" t="str">
        <f aca="false">IF($BZ57&lt;&gt;Constants!$B$8,"",IF($AT57,($AI57-Constants!$B$29)*Constants!$B$28,0))</f>
        <v/>
      </c>
      <c r="BS57" s="97" t="str">
        <f aca="false">IF($BZ57&lt;&gt;Constants!$B$8,"",IF($AS57,0,Constants!$B$15)+IF($AR57,0,Constants!$B$16)+IF($AH57,0,Constants!$B$17))</f>
        <v/>
      </c>
      <c r="BT57" s="98" t="str">
        <f aca="false">IF($BZ57&lt;&gt;Constants!$B$8,"",Constants!$B$20+SUM($BO57:$BS57))</f>
        <v/>
      </c>
      <c r="BU57" s="97" t="str">
        <f aca="false">IF($BZ57&lt;&gt;Constants!$B$8,"",$BO57)</f>
        <v/>
      </c>
      <c r="BV57" s="97" t="str">
        <f aca="false">IF($BZ57&lt;&gt;Constants!$B$8,"",$BP57)</f>
        <v/>
      </c>
      <c r="BW57" s="97" t="str">
        <f aca="false">IF($BZ57&lt;&gt;Constants!$B$8,"",IF($AT57,$AV57,""))</f>
        <v/>
      </c>
      <c r="BX57" s="99" t="str">
        <f aca="false">IF($BZ57&lt;&gt;Constants!$B$8,"",$AI57)</f>
        <v/>
      </c>
      <c r="BY57" s="93" t="str">
        <f aca="false">IF(ISBLANK($C57),"",IF(ISBLANK($D$7),$BY$5,IF(NOT(ISNUMBER($D$7)),$BY$6,"")))</f>
        <v/>
      </c>
      <c r="BZ57" s="93" t="str">
        <f aca="false">IF(ISBLANK($C57),"",IF($BA57,Constants!$B$11,IF(COUNTA($E57:$AA57)=0,Constants!$B$10,IF(NOT($AG57),Constants!$B$9,IF(OR($BY57&lt;&gt;"",$BB57,$BN57),Constants!$B$12,Constants!$B$8)))))</f>
        <v/>
      </c>
      <c r="CA57" s="93" t="str">
        <f aca="false">IF(ISBLANK($C57),"",IF($BZ57&lt;&gt;Constants!$B$8,$BZ57,Constants!$B$13))</f>
        <v/>
      </c>
      <c r="CB57" s="97" t="str">
        <f aca="false">IF($BZ57&lt;&gt;Constants!$B$8,"",IF($BM57="-&gt;",$BT57,$BH57))</f>
        <v/>
      </c>
      <c r="CC57" s="97" t="str">
        <f aca="false">IF($BZ57&lt;&gt;Constants!$B$8,"",IF($AF57,0,Constants!$B$18))</f>
        <v/>
      </c>
      <c r="CD57" s="97" t="str">
        <f aca="false">IF($BZ57&lt;&gt;Constants!$B$8,"",((Constants!$B$31-$AZ57)-Constants!$B$31)/Constants!$B$32)</f>
        <v/>
      </c>
      <c r="CE57" s="97" t="str">
        <f aca="false">IF(ISBLANK($C57),"",IF($BZ57&lt;&gt;Constants!$B$8,$BZ57,SUM($CB57:$CD57)))</f>
        <v/>
      </c>
      <c r="CF57" s="93" t="str">
        <f aca="false">IF(ISBLANK($C57),"",IF($BZ57&lt;&gt;Constants!$B$8,$BZ57,RANK($CE57,$CE$9:$CE$508,1)))</f>
        <v/>
      </c>
      <c r="CG57" s="97" t="str">
        <f aca="false">IF($BZ57&lt;&gt;Constants!$B$8,"",IF($BM57="-&gt;",$BU57,$BI57))</f>
        <v/>
      </c>
      <c r="CH57" s="93" t="str">
        <f aca="false">IF(ISBLANK($C57),"",IF($BZ57&lt;&gt;Constants!$B$8,$BZ57,IF(ISNUMBER($CG57),RANK($CG57,$CG$9:$CG$508,1),COUNT($CG$9:$CG$508)+1)))</f>
        <v/>
      </c>
      <c r="CI57" s="97" t="str">
        <f aca="false">IF($BZ57&lt;&gt;Constants!$B$8,"",IF($BM57="-&gt;",$BV57,$BJ57))</f>
        <v/>
      </c>
      <c r="CJ57" s="93" t="str">
        <f aca="false">IF(ISBLANK($C57),"",IF($BZ57&lt;&gt;Constants!$B$8,$BZ57,IF(ISNUMBER($CI57),RANK($CI57,$CI$9:$CI$508,1),COUNT($CI$9:$CI$508)+1)))</f>
        <v/>
      </c>
      <c r="CK57" s="97" t="str">
        <f aca="false">IF($BZ57&lt;&gt;Constants!$B$8,"",IF($BM57="-&gt;",$BW57,$BK57))</f>
        <v/>
      </c>
      <c r="CL57" s="93" t="str">
        <f aca="false">IF(ISBLANK($C57),"",IF($BZ57&lt;&gt;Constants!$B$8,$BZ57,IF(ISNUMBER($CK57),RANK($CK57,$CK$9:$CK$508,1),COUNT($CK$9:$CK$508)+1)))</f>
        <v/>
      </c>
      <c r="CM57" s="97" t="str">
        <f aca="false">IF($BZ57&lt;&gt;Constants!$B$8,"",IF(AND(NOT($AL57),NOT($AT57),$AJ57,$AK57,$AR57,$AS57),"",IF($BM57="-&gt;",$BX57,$BL57)))</f>
        <v/>
      </c>
      <c r="CN57" s="93" t="str">
        <f aca="false">IF(ISBLANK($C57),"",IF($BZ57&lt;&gt;Constants!$B$8,$BZ57,IF(ISNUMBER($CM57),RANK($CM57,$CM$9:$CM$508,1),COUNT($CM$9:$CM$508)+1)))</f>
        <v/>
      </c>
      <c r="CO57" s="93" t="str">
        <f aca="false">IF(ISBLANK($C57),"",IF($BZ57&lt;&gt;Constants!$B$8,$BZ57,COUNTIFS($CF$9:$CF$508,"&lt;"&amp;$CF57)+COUNTIFS($CF$9:$CF$508,$CF57,$CH$9:$CH$508,"&lt;"&amp;$CH57)+COUNTIFS($CF$9:$CF$508,$CF57,$CH$9:$CH$508,$CH57,$CJ$9:$CJ$508,"&lt;"&amp;$CJ57)+COUNTIFS($CF$9:$CF$508,$CF57,$CH$9:$CH$508,$CH57,$CJ$9:$CJ$508,$CJ57,$CL$9:$CL$508,"&lt;"&amp;$CL57)+COUNTIFS($CF$9:$CF$508,$CF57,$CH$9:$CH$508,$CH57,$CJ$9:$CJ$508,$CJ57,$CL$9:$CL$508,$CL57,$CN$9:$CN$508,"&lt;"&amp;$CN57)+1))</f>
        <v/>
      </c>
      <c r="CP57" s="93" t="str">
        <f aca="false">IF(ISBLANK($C57),"",IF($BZ57&lt;&gt;Constants!$B$8,$BZ57,$CF57-$CO57))</f>
        <v/>
      </c>
      <c r="CQ57" s="100"/>
      <c r="CR57" s="101"/>
      <c r="CS57" s="102" t="str">
        <f aca="false">IF(ISBLANK($C57),"",IF($BZ57=Constants!$B$12,$BY57,""))</f>
        <v/>
      </c>
      <c r="CT57" s="101" t="str">
        <f aca="false">IF(ISBLANK($C57),"",IF($BZ57&lt;&gt;Constants!$B$8,"",IF($BM57="-&gt;",2,1)))</f>
        <v/>
      </c>
      <c r="CU57" s="103" t="str">
        <f aca="false">IF(ISBLANK($C57),"",IF($BZ57&lt;&gt;Constants!$B$8,"",IF($BM57="-&gt;",$BO57,$BC57)))</f>
        <v/>
      </c>
      <c r="CV57" s="103" t="str">
        <f aca="false">IF(ISBLANK($C57),"",IF($BZ57&lt;&gt;Constants!$B$8,"",IF($BM57="-&gt;",$BP57,$BD57)))</f>
        <v/>
      </c>
      <c r="CW57" s="103" t="str">
        <f aca="false">IF(ISBLANK($C57),"",IF($BZ57&lt;&gt;Constants!$B$8,"",IF($BM57="-&gt;",$BQ57+$BR57,$BE57+$BF57)+$CD57))</f>
        <v/>
      </c>
      <c r="CX57" s="103" t="str">
        <f aca="false">IF(ISBLANK($C57),"",IF($BZ57&lt;&gt;Constants!$B$8,"",IF($BM57="-&gt;",$BS57,$BG57)+$CC57))</f>
        <v/>
      </c>
      <c r="CY57" s="104" t="str">
        <f aca="false">IF(ISBLANK($C57),"",IF($BZ57&lt;&gt;Constants!$B$8,$BZ57,$CE57))</f>
        <v/>
      </c>
      <c r="CZ57" s="105" t="str">
        <f aca="false">IF(ISBLANK($C57),"",$CA57)</f>
        <v/>
      </c>
      <c r="DA57" s="106" t="str">
        <f aca="false">IF(ISBLANK($C57),"",$CP57)</f>
        <v/>
      </c>
      <c r="DB57" s="106" t="str">
        <f aca="false">IF(ISBLANK($C57),"",$CO57)</f>
        <v/>
      </c>
      <c r="DC57" s="107" t="str">
        <f aca="false">IF(ISBLANK($C57),"",IFERROR(_xlfn.SWITCH($DB57,Constants!$B$11,COUNTA($C$9:$C$508)+2,Constants!$B$10,COUNTA($C$9:$C$508)+1,Constants!$B$9,COUNTA($C$9:$C$508)),$DB57))</f>
        <v/>
      </c>
      <c r="DD57" s="9"/>
      <c r="DE57" s="108" t="n">
        <f aca="false">IF(OR(ISNUMBER($DB57),$DB57=Constants!$B$11,$DB57=Constants!$B$9,$DB57=Constants!$B$10),1,0)</f>
        <v>0</v>
      </c>
      <c r="DF57" s="108" t="n">
        <v>49</v>
      </c>
      <c r="DG57" s="108" t="str">
        <f aca="false">IF(ISBLANK($C57),"",IF(ISNUMBER($DC57),$DC57+ROW($B57)/1000,""))</f>
        <v/>
      </c>
      <c r="DH57" s="108" t="str">
        <f aca="false">IF(ISNUMBER($DG57),RANK($DG57,$DG$9:$DG$508,1),"")</f>
        <v/>
      </c>
      <c r="DI57" s="108" t="str">
        <f aca="false">IF(ISBLANK($C57),"",$B57)</f>
        <v/>
      </c>
      <c r="DJ57" s="108" t="str">
        <f aca="false">IF(ISBLANK($C57),"",$C57)</f>
        <v/>
      </c>
      <c r="DK57" s="108" t="str">
        <f aca="false">IF(ISBLANK($C57),"",$D57)</f>
        <v/>
      </c>
      <c r="DL57" s="109" t="str">
        <f aca="false">$CZ57</f>
        <v/>
      </c>
      <c r="DM57" s="110" t="str">
        <f aca="false">$CY57</f>
        <v/>
      </c>
      <c r="DN57" s="108" t="str">
        <f aca="false">IF(ISBLANK($C57),"",$DB57)</f>
        <v/>
      </c>
      <c r="DO57" s="111" t="str">
        <f aca="false">IF($DF57&gt;$DE$8,"",VLOOKUP($DF57,$DH$9:$DN$508,7,FALSE()))</f>
        <v/>
      </c>
      <c r="DP57" s="112" t="str">
        <f aca="false">IF($DF57&gt;$DE$8,"",VLOOKUP($DF57,$DH$9:$DN$508,2,FALSE()))</f>
        <v/>
      </c>
      <c r="DQ57" s="112" t="str">
        <f aca="false">IF($DF57&gt;$DE$8,"",VLOOKUP($DF57,$DH$9:$DN$508,3,FALSE()))</f>
        <v/>
      </c>
      <c r="DR57" s="112" t="str">
        <f aca="false">IF($DF57&gt;$DE$8,"",VLOOKUP($DF57,$DH$9:$DN$508,4,FALSE()))</f>
        <v/>
      </c>
      <c r="DS57" s="112" t="str">
        <f aca="false">IF($DF57&gt;$DE$8,"",VLOOKUP($DF57,$DH$9:$DN$508,5,FALSE()))</f>
        <v/>
      </c>
      <c r="DT57" s="113" t="str">
        <f aca="false">IF($DF57&gt;$DE$8,"",VLOOKUP($DF57,$DH$9:$DN$508,6,FALSE()))</f>
        <v/>
      </c>
      <c r="DU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IF(ISBLANK($C58),"",IF(E58=Constants!$B$3,TRUE(),IF(E58=Constants!$B$4,FALSE(),TRUE())))</f>
        <v/>
      </c>
      <c r="AG58" s="93" t="str">
        <f aca="false">IF(ISBLANK($C58),"",IF(F58=Constants!$B$3,TRUE(),IF(F58=Constants!$B$4,FALSE(),TRUE())))</f>
        <v/>
      </c>
      <c r="AH58" s="93" t="str">
        <f aca="false">IF(ISBLANK($C58),"",IF(G58=Constants!$B$3,TRUE(),IF(G58=Constants!$B$4,FALSE(),TRUE())))</f>
        <v/>
      </c>
      <c r="AI58" s="93" t="str">
        <f aca="false">IF(ISBLANK($C58),"",IF(AND(ISNUMBER(H58),H58&gt;=0),H58,Constants!$B$29))</f>
        <v/>
      </c>
      <c r="AJ58" s="93" t="str">
        <f aca="false">IF(ISBLANK($C58),"",IF(I58=Constants!$B$3,TRUE(),IF(I58=Constants!$B$4,FALSE(),TRUE())))</f>
        <v/>
      </c>
      <c r="AK58" s="93" t="str">
        <f aca="false">IF(ISBLANK($C58),"",IF(J58=Constants!$B$3,TRUE(),IF(J58=Constants!$B$4,FALSE(),TRUE())))</f>
        <v/>
      </c>
      <c r="AL58" s="93" t="str">
        <f aca="false">IF(ISBLANK($C58),"",IF(K58=Constants!$B$5,TRUE(),IF(K58=Constants!$B$6,FALSE(),COUNTA(L58:P58)&gt;0)))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IF(ISBLANK($C58),"",IF(N58=Constants!$B$3,TRUE(),IF(N58=Constants!$B$4,FALSE(),TRUE())))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IF(ISBLANK($C58),"",IF(P58=Constants!$B$3,TRUE(),IF(P58=Constants!$B$4,FALSE(),FALSE())))</f>
        <v/>
      </c>
      <c r="AR58" s="93" t="str">
        <f aca="false">IF(ISBLANK($C58),"",IF(Q58=Constants!$B$3,TRUE(),IF(Q58=Constants!$B$4,FALSE(),TRUE())))</f>
        <v/>
      </c>
      <c r="AS58" s="93" t="str">
        <f aca="false">IF(ISBLANK($C58),"",IF(R58=Constants!$B$3,TRUE(),IF(R58=Constants!$B$4,FALSE(),TRUE())))</f>
        <v/>
      </c>
      <c r="AT58" s="93" t="str">
        <f aca="false">IF(ISBLANK($C58),"",IF(S58=Constants!$B$5,TRUE(),IF(S58=Constants!$B$6,FALSE(),COUNTA(T58:X58)&gt;0)))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IF(ISBLANK($C58),"",IF(V58=Constants!$B$3,TRUE(),IF(V58=Constants!$B$4,FALSE(),TRUE())))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IF(ISBLANK($C58),"",IF(X58=Constants!$B$3,TRUE(),IF(X58=Constants!$B$4,FALSE(),FALSE())))</f>
        <v/>
      </c>
      <c r="AZ58" s="93" t="str">
        <f aca="false">IF(ISBLANK($C58),"",MIN(Constants!$B$31,MAX(0,IF(ISNUMBER(Y58),Y58*60,0)+IF(ISNUMBER(Z58),Z58,0))))</f>
        <v/>
      </c>
      <c r="BA58" s="93" t="str">
        <f aca="false">IF(ISBLANK($C58),"",IF(AA58=Constants!$B$3,TRUE(),IF(AA58=Constants!$B$4,FALSE(),FALSE())))</f>
        <v/>
      </c>
      <c r="BB58" s="92" t="str">
        <f aca="false">IF(ISBLANK($C58),"",AND($AL58,OR($AM58="",$AN58="",AND($AO58,$AP58=""))))</f>
        <v/>
      </c>
      <c r="BC58" s="94" t="str">
        <f aca="false">IF($BZ58&lt;&gt;Constants!$B$8,"",IF($AL58,Constants!$B$21*$AN58+Constants!$B$22*IF($AO58,$AP58,Constants!$B$23),Constants!$B$24))</f>
        <v/>
      </c>
      <c r="BD58" s="97" t="str">
        <f aca="false">IF($BZ58&lt;&gt;Constants!$B$8,"",Constants!$B$25*ABS($AD$9-IF($AL58,$AM58,0)))</f>
        <v/>
      </c>
      <c r="BE58" s="97" t="str">
        <f aca="false">IF($BZ58&lt;&gt;Constants!$B$8,"",IF(AND($AL58,$AQ58,$AO58),Constants!$B$27,0))</f>
        <v/>
      </c>
      <c r="BF58" s="97" t="str">
        <f aca="false">IF($BZ58&lt;&gt;Constants!$B$8,"",IF($AL58,($AI58-Constants!$B$29)*Constants!$B$28,0))</f>
        <v/>
      </c>
      <c r="BG58" s="97" t="str">
        <f aca="false">IF($BZ58&lt;&gt;Constants!$B$8,"",IF($AK58,0,Constants!$B$15)+IF($AJ58,0,Constants!$B$16)+IF($AH58,0,Constants!$B$17))</f>
        <v/>
      </c>
      <c r="BH58" s="98" t="str">
        <f aca="false">IF($BZ58&lt;&gt;Constants!$B$8,"",Constants!$B$20+SUM($BC58:$BG58))</f>
        <v/>
      </c>
      <c r="BI58" s="97" t="str">
        <f aca="false">IF($BZ58&lt;&gt;Constants!$B$8,"",$BC58)</f>
        <v/>
      </c>
      <c r="BJ58" s="97" t="str">
        <f aca="false">IF($BZ58&lt;&gt;Constants!$B$8,"",$BD58)</f>
        <v/>
      </c>
      <c r="BK58" s="97" t="str">
        <f aca="false">IF($BZ58&lt;&gt;Constants!$B$8,"",IF($AL58,$AN58,""))</f>
        <v/>
      </c>
      <c r="BL58" s="99" t="str">
        <f aca="false">IF($BZ58&lt;&gt;Constants!$B$8,"",$AI58)</f>
        <v/>
      </c>
      <c r="BM58" s="93" t="str">
        <f aca="false">IF($BZ58&lt;&gt;Constants!$B$8,"",IF(OR($BT58&lt;$BH58,AND($BT58=$BH58,OR($BU58&lt;$BI58,AND($BU58=$BI58,OR($BV58&lt;$BJ58,AND($BV58=$BJ58,OR(AND(ISNUMBER($BW58),OR(NOT(ISNUMBER($BK58)),$BW58&lt;$BK58)),AND(OR(AND($BW58="",$BK58=""),AND(ISNUMBER($BW58),ISNUMBER($BK58),$BW58=$BK58)),$BX58&lt;$BL58)))))))),"-&gt;","&lt;-"))</f>
        <v/>
      </c>
      <c r="BN58" s="92" t="str">
        <f aca="false">IF(ISBLANK($C58),"",AND($AT58,OR($AU58="",$AV58="",AND($AW58,$AX58=""))))</f>
        <v/>
      </c>
      <c r="BO58" s="94" t="str">
        <f aca="false">IF($BZ58&lt;&gt;Constants!$B$8,"",IF($AT58,Constants!$B$21*$AV58+Constants!$B$22*IF($AW58,$AX58,Constants!$B$23),Constants!$B$24))</f>
        <v/>
      </c>
      <c r="BP58" s="97" t="str">
        <f aca="false">IF($BZ58&lt;&gt;Constants!$B$8,"",Constants!$B$25*ABS($AD$9-IF($AT58,$AU58,0)))</f>
        <v/>
      </c>
      <c r="BQ58" s="97" t="str">
        <f aca="false">IF($BZ58&lt;&gt;Constants!$B$8,"",IF(AND($AT58,$AY58,$AW58),Constants!$B$27,0))</f>
        <v/>
      </c>
      <c r="BR58" s="97" t="str">
        <f aca="false">IF($BZ58&lt;&gt;Constants!$B$8,"",IF($AT58,($AI58-Constants!$B$29)*Constants!$B$28,0))</f>
        <v/>
      </c>
      <c r="BS58" s="97" t="str">
        <f aca="false">IF($BZ58&lt;&gt;Constants!$B$8,"",IF($AS58,0,Constants!$B$15)+IF($AR58,0,Constants!$B$16)+IF($AH58,0,Constants!$B$17))</f>
        <v/>
      </c>
      <c r="BT58" s="98" t="str">
        <f aca="false">IF($BZ58&lt;&gt;Constants!$B$8,"",Constants!$B$20+SUM($BO58:$BS58))</f>
        <v/>
      </c>
      <c r="BU58" s="97" t="str">
        <f aca="false">IF($BZ58&lt;&gt;Constants!$B$8,"",$BO58)</f>
        <v/>
      </c>
      <c r="BV58" s="97" t="str">
        <f aca="false">IF($BZ58&lt;&gt;Constants!$B$8,"",$BP58)</f>
        <v/>
      </c>
      <c r="BW58" s="97" t="str">
        <f aca="false">IF($BZ58&lt;&gt;Constants!$B$8,"",IF($AT58,$AV58,""))</f>
        <v/>
      </c>
      <c r="BX58" s="99" t="str">
        <f aca="false">IF($BZ58&lt;&gt;Constants!$B$8,"",$AI58)</f>
        <v/>
      </c>
      <c r="BY58" s="93" t="str">
        <f aca="false">IF(ISBLANK($C58),"",IF(ISBLANK($D$7),$BY$5,IF(NOT(ISNUMBER($D$7)),$BY$6,"")))</f>
        <v/>
      </c>
      <c r="BZ58" s="93" t="str">
        <f aca="false">IF(ISBLANK($C58),"",IF($BA58,Constants!$B$11,IF(COUNTA($E58:$AA58)=0,Constants!$B$10,IF(NOT($AG58),Constants!$B$9,IF(OR($BY58&lt;&gt;"",$BB58,$BN58),Constants!$B$12,Constants!$B$8)))))</f>
        <v/>
      </c>
      <c r="CA58" s="93" t="str">
        <f aca="false">IF(ISBLANK($C58),"",IF($BZ58&lt;&gt;Constants!$B$8,$BZ58,Constants!$B$13))</f>
        <v/>
      </c>
      <c r="CB58" s="97" t="str">
        <f aca="false">IF($BZ58&lt;&gt;Constants!$B$8,"",IF($BM58="-&gt;",$BT58,$BH58))</f>
        <v/>
      </c>
      <c r="CC58" s="97" t="str">
        <f aca="false">IF($BZ58&lt;&gt;Constants!$B$8,"",IF($AF58,0,Constants!$B$18))</f>
        <v/>
      </c>
      <c r="CD58" s="97" t="str">
        <f aca="false">IF($BZ58&lt;&gt;Constants!$B$8,"",((Constants!$B$31-$AZ58)-Constants!$B$31)/Constants!$B$32)</f>
        <v/>
      </c>
      <c r="CE58" s="97" t="str">
        <f aca="false">IF(ISBLANK($C58),"",IF($BZ58&lt;&gt;Constants!$B$8,$BZ58,SUM($CB58:$CD58)))</f>
        <v/>
      </c>
      <c r="CF58" s="93" t="str">
        <f aca="false">IF(ISBLANK($C58),"",IF($BZ58&lt;&gt;Constants!$B$8,$BZ58,RANK($CE58,$CE$9:$CE$508,1)))</f>
        <v/>
      </c>
      <c r="CG58" s="97" t="str">
        <f aca="false">IF($BZ58&lt;&gt;Constants!$B$8,"",IF($BM58="-&gt;",$BU58,$BI58))</f>
        <v/>
      </c>
      <c r="CH58" s="93" t="str">
        <f aca="false">IF(ISBLANK($C58),"",IF($BZ58&lt;&gt;Constants!$B$8,$BZ58,IF(ISNUMBER($CG58),RANK($CG58,$CG$9:$CG$508,1),COUNT($CG$9:$CG$508)+1)))</f>
        <v/>
      </c>
      <c r="CI58" s="97" t="str">
        <f aca="false">IF($BZ58&lt;&gt;Constants!$B$8,"",IF($BM58="-&gt;",$BV58,$BJ58))</f>
        <v/>
      </c>
      <c r="CJ58" s="93" t="str">
        <f aca="false">IF(ISBLANK($C58),"",IF($BZ58&lt;&gt;Constants!$B$8,$BZ58,IF(ISNUMBER($CI58),RANK($CI58,$CI$9:$CI$508,1),COUNT($CI$9:$CI$508)+1)))</f>
        <v/>
      </c>
      <c r="CK58" s="97" t="str">
        <f aca="false">IF($BZ58&lt;&gt;Constants!$B$8,"",IF($BM58="-&gt;",$BW58,$BK58))</f>
        <v/>
      </c>
      <c r="CL58" s="93" t="str">
        <f aca="false">IF(ISBLANK($C58),"",IF($BZ58&lt;&gt;Constants!$B$8,$BZ58,IF(ISNUMBER($CK58),RANK($CK58,$CK$9:$CK$508,1),COUNT($CK$9:$CK$508)+1)))</f>
        <v/>
      </c>
      <c r="CM58" s="97" t="str">
        <f aca="false">IF($BZ58&lt;&gt;Constants!$B$8,"",IF(AND(NOT($AL58),NOT($AT58),$AJ58,$AK58,$AR58,$AS58),"",IF($BM58="-&gt;",$BX58,$BL58)))</f>
        <v/>
      </c>
      <c r="CN58" s="93" t="str">
        <f aca="false">IF(ISBLANK($C58),"",IF($BZ58&lt;&gt;Constants!$B$8,$BZ58,IF(ISNUMBER($CM58),RANK($CM58,$CM$9:$CM$508,1),COUNT($CM$9:$CM$508)+1)))</f>
        <v/>
      </c>
      <c r="CO58" s="93" t="str">
        <f aca="false">IF(ISBLANK($C58),"",IF($BZ58&lt;&gt;Constants!$B$8,$BZ58,COUNTIFS($CF$9:$CF$508,"&lt;"&amp;$CF58)+COUNTIFS($CF$9:$CF$508,$CF58,$CH$9:$CH$508,"&lt;"&amp;$CH58)+COUNTIFS($CF$9:$CF$508,$CF58,$CH$9:$CH$508,$CH58,$CJ$9:$CJ$508,"&lt;"&amp;$CJ58)+COUNTIFS($CF$9:$CF$508,$CF58,$CH$9:$CH$508,$CH58,$CJ$9:$CJ$508,$CJ58,$CL$9:$CL$508,"&lt;"&amp;$CL58)+COUNTIFS($CF$9:$CF$508,$CF58,$CH$9:$CH$508,$CH58,$CJ$9:$CJ$508,$CJ58,$CL$9:$CL$508,$CL58,$CN$9:$CN$508,"&lt;"&amp;$CN58)+1))</f>
        <v/>
      </c>
      <c r="CP58" s="93" t="str">
        <f aca="false">IF(ISBLANK($C58),"",IF($BZ58&lt;&gt;Constants!$B$8,$BZ58,$CF58-$CO58))</f>
        <v/>
      </c>
      <c r="CQ58" s="100"/>
      <c r="CR58" s="101"/>
      <c r="CS58" s="102" t="str">
        <f aca="false">IF(ISBLANK($C58),"",IF($BZ58=Constants!$B$12,$BY58,""))</f>
        <v/>
      </c>
      <c r="CT58" s="101" t="str">
        <f aca="false">IF(ISBLANK($C58),"",IF($BZ58&lt;&gt;Constants!$B$8,"",IF($BM58="-&gt;",2,1)))</f>
        <v/>
      </c>
      <c r="CU58" s="103" t="str">
        <f aca="false">IF(ISBLANK($C58),"",IF($BZ58&lt;&gt;Constants!$B$8,"",IF($BM58="-&gt;",$BO58,$BC58)))</f>
        <v/>
      </c>
      <c r="CV58" s="103" t="str">
        <f aca="false">IF(ISBLANK($C58),"",IF($BZ58&lt;&gt;Constants!$B$8,"",IF($BM58="-&gt;",$BP58,$BD58)))</f>
        <v/>
      </c>
      <c r="CW58" s="103" t="str">
        <f aca="false">IF(ISBLANK($C58),"",IF($BZ58&lt;&gt;Constants!$B$8,"",IF($BM58="-&gt;",$BQ58+$BR58,$BE58+$BF58)+$CD58))</f>
        <v/>
      </c>
      <c r="CX58" s="103" t="str">
        <f aca="false">IF(ISBLANK($C58),"",IF($BZ58&lt;&gt;Constants!$B$8,"",IF($BM58="-&gt;",$BS58,$BG58)+$CC58))</f>
        <v/>
      </c>
      <c r="CY58" s="104" t="str">
        <f aca="false">IF(ISBLANK($C58),"",IF($BZ58&lt;&gt;Constants!$B$8,$BZ58,$CE58))</f>
        <v/>
      </c>
      <c r="CZ58" s="105" t="str">
        <f aca="false">IF(ISBLANK($C58),"",$CA58)</f>
        <v/>
      </c>
      <c r="DA58" s="106" t="str">
        <f aca="false">IF(ISBLANK($C58),"",$CP58)</f>
        <v/>
      </c>
      <c r="DB58" s="106" t="str">
        <f aca="false">IF(ISBLANK($C58),"",$CO58)</f>
        <v/>
      </c>
      <c r="DC58" s="107" t="str">
        <f aca="false">IF(ISBLANK($C58),"",IFERROR(_xlfn.SWITCH($DB58,Constants!$B$11,COUNTA($C$9:$C$508)+2,Constants!$B$10,COUNTA($C$9:$C$508)+1,Constants!$B$9,COUNTA($C$9:$C$508)),$DB58))</f>
        <v/>
      </c>
      <c r="DD58" s="9"/>
      <c r="DE58" s="108" t="n">
        <f aca="false">IF(OR(ISNUMBER($DB58),$DB58=Constants!$B$11,$DB58=Constants!$B$9,$DB58=Constants!$B$10),1,0)</f>
        <v>0</v>
      </c>
      <c r="DF58" s="108" t="n">
        <v>50</v>
      </c>
      <c r="DG58" s="108" t="str">
        <f aca="false">IF(ISBLANK($C58),"",IF(ISNUMBER($DC58),$DC58+ROW($B58)/1000,""))</f>
        <v/>
      </c>
      <c r="DH58" s="108" t="str">
        <f aca="false">IF(ISNUMBER($DG58),RANK($DG58,$DG$9:$DG$508,1),"")</f>
        <v/>
      </c>
      <c r="DI58" s="108" t="str">
        <f aca="false">IF(ISBLANK($C58),"",$B58)</f>
        <v/>
      </c>
      <c r="DJ58" s="108" t="str">
        <f aca="false">IF(ISBLANK($C58),"",$C58)</f>
        <v/>
      </c>
      <c r="DK58" s="108" t="str">
        <f aca="false">IF(ISBLANK($C58),"",$D58)</f>
        <v/>
      </c>
      <c r="DL58" s="109" t="str">
        <f aca="false">$CZ58</f>
        <v/>
      </c>
      <c r="DM58" s="110" t="str">
        <f aca="false">$CY58</f>
        <v/>
      </c>
      <c r="DN58" s="108" t="str">
        <f aca="false">IF(ISBLANK($C58),"",$DB58)</f>
        <v/>
      </c>
      <c r="DO58" s="111" t="str">
        <f aca="false">IF($DF58&gt;$DE$8,"",VLOOKUP($DF58,$DH$9:$DN$508,7,FALSE()))</f>
        <v/>
      </c>
      <c r="DP58" s="112" t="str">
        <f aca="false">IF($DF58&gt;$DE$8,"",VLOOKUP($DF58,$DH$9:$DN$508,2,FALSE()))</f>
        <v/>
      </c>
      <c r="DQ58" s="112" t="str">
        <f aca="false">IF($DF58&gt;$DE$8,"",VLOOKUP($DF58,$DH$9:$DN$508,3,FALSE()))</f>
        <v/>
      </c>
      <c r="DR58" s="112" t="str">
        <f aca="false">IF($DF58&gt;$DE$8,"",VLOOKUP($DF58,$DH$9:$DN$508,4,FALSE()))</f>
        <v/>
      </c>
      <c r="DS58" s="112" t="str">
        <f aca="false">IF($DF58&gt;$DE$8,"",VLOOKUP($DF58,$DH$9:$DN$508,5,FALSE()))</f>
        <v/>
      </c>
      <c r="DT58" s="113" t="str">
        <f aca="false">IF($DF58&gt;$DE$8,"",VLOOKUP($DF58,$DH$9:$DN$508,6,FALSE()))</f>
        <v/>
      </c>
      <c r="DU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IF(ISBLANK($C59),"",IF(E59=Constants!$B$3,TRUE(),IF(E59=Constants!$B$4,FALSE(),TRUE())))</f>
        <v/>
      </c>
      <c r="AG59" s="93" t="str">
        <f aca="false">IF(ISBLANK($C59),"",IF(F59=Constants!$B$3,TRUE(),IF(F59=Constants!$B$4,FALSE(),TRUE())))</f>
        <v/>
      </c>
      <c r="AH59" s="93" t="str">
        <f aca="false">IF(ISBLANK($C59),"",IF(G59=Constants!$B$3,TRUE(),IF(G59=Constants!$B$4,FALSE(),TRUE())))</f>
        <v/>
      </c>
      <c r="AI59" s="93" t="str">
        <f aca="false">IF(ISBLANK($C59),"",IF(AND(ISNUMBER(H59),H59&gt;=0),H59,Constants!$B$29))</f>
        <v/>
      </c>
      <c r="AJ59" s="93" t="str">
        <f aca="false">IF(ISBLANK($C59),"",IF(I59=Constants!$B$3,TRUE(),IF(I59=Constants!$B$4,FALSE(),TRUE())))</f>
        <v/>
      </c>
      <c r="AK59" s="93" t="str">
        <f aca="false">IF(ISBLANK($C59),"",IF(J59=Constants!$B$3,TRUE(),IF(J59=Constants!$B$4,FALSE(),TRUE())))</f>
        <v/>
      </c>
      <c r="AL59" s="93" t="str">
        <f aca="false">IF(ISBLANK($C59),"",IF(K59=Constants!$B$5,TRUE(),IF(K59=Constants!$B$6,FALSE(),COUNTA(L59:P59)&gt;0)))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IF(ISBLANK($C59),"",IF(N59=Constants!$B$3,TRUE(),IF(N59=Constants!$B$4,FALSE(),TRUE())))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IF(ISBLANK($C59),"",IF(P59=Constants!$B$3,TRUE(),IF(P59=Constants!$B$4,FALSE(),FALSE())))</f>
        <v/>
      </c>
      <c r="AR59" s="93" t="str">
        <f aca="false">IF(ISBLANK($C59),"",IF(Q59=Constants!$B$3,TRUE(),IF(Q59=Constants!$B$4,FALSE(),TRUE())))</f>
        <v/>
      </c>
      <c r="AS59" s="93" t="str">
        <f aca="false">IF(ISBLANK($C59),"",IF(R59=Constants!$B$3,TRUE(),IF(R59=Constants!$B$4,FALSE(),TRUE())))</f>
        <v/>
      </c>
      <c r="AT59" s="93" t="str">
        <f aca="false">IF(ISBLANK($C59),"",IF(S59=Constants!$B$5,TRUE(),IF(S59=Constants!$B$6,FALSE(),COUNTA(T59:X59)&gt;0)))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IF(ISBLANK($C59),"",IF(V59=Constants!$B$3,TRUE(),IF(V59=Constants!$B$4,FALSE(),TRUE())))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IF(ISBLANK($C59),"",IF(X59=Constants!$B$3,TRUE(),IF(X59=Constants!$B$4,FALSE(),FALSE())))</f>
        <v/>
      </c>
      <c r="AZ59" s="93" t="str">
        <f aca="false">IF(ISBLANK($C59),"",MIN(Constants!$B$31,MAX(0,IF(ISNUMBER(Y59),Y59*60,0)+IF(ISNUMBER(Z59),Z59,0))))</f>
        <v/>
      </c>
      <c r="BA59" s="93" t="str">
        <f aca="false">IF(ISBLANK($C59),"",IF(AA59=Constants!$B$3,TRUE(),IF(AA59=Constants!$B$4,FALSE(),FALSE())))</f>
        <v/>
      </c>
      <c r="BB59" s="92" t="str">
        <f aca="false">IF(ISBLANK($C59),"",AND($AL59,OR($AM59="",$AN59="",AND($AO59,$AP59=""))))</f>
        <v/>
      </c>
      <c r="BC59" s="94" t="str">
        <f aca="false">IF($BZ59&lt;&gt;Constants!$B$8,"",IF($AL59,Constants!$B$21*$AN59+Constants!$B$22*IF($AO59,$AP59,Constants!$B$23),Constants!$B$24))</f>
        <v/>
      </c>
      <c r="BD59" s="97" t="str">
        <f aca="false">IF($BZ59&lt;&gt;Constants!$B$8,"",Constants!$B$25*ABS($AD$9-IF($AL59,$AM59,0)))</f>
        <v/>
      </c>
      <c r="BE59" s="97" t="str">
        <f aca="false">IF($BZ59&lt;&gt;Constants!$B$8,"",IF(AND($AL59,$AQ59,$AO59),Constants!$B$27,0))</f>
        <v/>
      </c>
      <c r="BF59" s="97" t="str">
        <f aca="false">IF($BZ59&lt;&gt;Constants!$B$8,"",IF($AL59,($AI59-Constants!$B$29)*Constants!$B$28,0))</f>
        <v/>
      </c>
      <c r="BG59" s="97" t="str">
        <f aca="false">IF($BZ59&lt;&gt;Constants!$B$8,"",IF($AK59,0,Constants!$B$15)+IF($AJ59,0,Constants!$B$16)+IF($AH59,0,Constants!$B$17))</f>
        <v/>
      </c>
      <c r="BH59" s="98" t="str">
        <f aca="false">IF($BZ59&lt;&gt;Constants!$B$8,"",Constants!$B$20+SUM($BC59:$BG59))</f>
        <v/>
      </c>
      <c r="BI59" s="97" t="str">
        <f aca="false">IF($BZ59&lt;&gt;Constants!$B$8,"",$BC59)</f>
        <v/>
      </c>
      <c r="BJ59" s="97" t="str">
        <f aca="false">IF($BZ59&lt;&gt;Constants!$B$8,"",$BD59)</f>
        <v/>
      </c>
      <c r="BK59" s="97" t="str">
        <f aca="false">IF($BZ59&lt;&gt;Constants!$B$8,"",IF($AL59,$AN59,""))</f>
        <v/>
      </c>
      <c r="BL59" s="99" t="str">
        <f aca="false">IF($BZ59&lt;&gt;Constants!$B$8,"",$AI59)</f>
        <v/>
      </c>
      <c r="BM59" s="93" t="str">
        <f aca="false">IF($BZ59&lt;&gt;Constants!$B$8,"",IF(OR($BT59&lt;$BH59,AND($BT59=$BH59,OR($BU59&lt;$BI59,AND($BU59=$BI59,OR($BV59&lt;$BJ59,AND($BV59=$BJ59,OR(AND(ISNUMBER($BW59),OR(NOT(ISNUMBER($BK59)),$BW59&lt;$BK59)),AND(OR(AND($BW59="",$BK59=""),AND(ISNUMBER($BW59),ISNUMBER($BK59),$BW59=$BK59)),$BX59&lt;$BL59)))))))),"-&gt;","&lt;-"))</f>
        <v/>
      </c>
      <c r="BN59" s="92" t="str">
        <f aca="false">IF(ISBLANK($C59),"",AND($AT59,OR($AU59="",$AV59="",AND($AW59,$AX59=""))))</f>
        <v/>
      </c>
      <c r="BO59" s="94" t="str">
        <f aca="false">IF($BZ59&lt;&gt;Constants!$B$8,"",IF($AT59,Constants!$B$21*$AV59+Constants!$B$22*IF($AW59,$AX59,Constants!$B$23),Constants!$B$24))</f>
        <v/>
      </c>
      <c r="BP59" s="97" t="str">
        <f aca="false">IF($BZ59&lt;&gt;Constants!$B$8,"",Constants!$B$25*ABS($AD$9-IF($AT59,$AU59,0)))</f>
        <v/>
      </c>
      <c r="BQ59" s="97" t="str">
        <f aca="false">IF($BZ59&lt;&gt;Constants!$B$8,"",IF(AND($AT59,$AY59,$AW59),Constants!$B$27,0))</f>
        <v/>
      </c>
      <c r="BR59" s="97" t="str">
        <f aca="false">IF($BZ59&lt;&gt;Constants!$B$8,"",IF($AT59,($AI59-Constants!$B$29)*Constants!$B$28,0))</f>
        <v/>
      </c>
      <c r="BS59" s="97" t="str">
        <f aca="false">IF($BZ59&lt;&gt;Constants!$B$8,"",IF($AS59,0,Constants!$B$15)+IF($AR59,0,Constants!$B$16)+IF($AH59,0,Constants!$B$17))</f>
        <v/>
      </c>
      <c r="BT59" s="98" t="str">
        <f aca="false">IF($BZ59&lt;&gt;Constants!$B$8,"",Constants!$B$20+SUM($BO59:$BS59))</f>
        <v/>
      </c>
      <c r="BU59" s="97" t="str">
        <f aca="false">IF($BZ59&lt;&gt;Constants!$B$8,"",$BO59)</f>
        <v/>
      </c>
      <c r="BV59" s="97" t="str">
        <f aca="false">IF($BZ59&lt;&gt;Constants!$B$8,"",$BP59)</f>
        <v/>
      </c>
      <c r="BW59" s="97" t="str">
        <f aca="false">IF($BZ59&lt;&gt;Constants!$B$8,"",IF($AT59,$AV59,""))</f>
        <v/>
      </c>
      <c r="BX59" s="99" t="str">
        <f aca="false">IF($BZ59&lt;&gt;Constants!$B$8,"",$AI59)</f>
        <v/>
      </c>
      <c r="BY59" s="93" t="str">
        <f aca="false">IF(ISBLANK($C59),"",IF(ISBLANK($D$7),$BY$5,IF(NOT(ISNUMBER($D$7)),$BY$6,"")))</f>
        <v/>
      </c>
      <c r="BZ59" s="93" t="str">
        <f aca="false">IF(ISBLANK($C59),"",IF($BA59,Constants!$B$11,IF(COUNTA($E59:$AA59)=0,Constants!$B$10,IF(NOT($AG59),Constants!$B$9,IF(OR($BY59&lt;&gt;"",$BB59,$BN59),Constants!$B$12,Constants!$B$8)))))</f>
        <v/>
      </c>
      <c r="CA59" s="93" t="str">
        <f aca="false">IF(ISBLANK($C59),"",IF($BZ59&lt;&gt;Constants!$B$8,$BZ59,Constants!$B$13))</f>
        <v/>
      </c>
      <c r="CB59" s="97" t="str">
        <f aca="false">IF($BZ59&lt;&gt;Constants!$B$8,"",IF($BM59="-&gt;",$BT59,$BH59))</f>
        <v/>
      </c>
      <c r="CC59" s="97" t="str">
        <f aca="false">IF($BZ59&lt;&gt;Constants!$B$8,"",IF($AF59,0,Constants!$B$18))</f>
        <v/>
      </c>
      <c r="CD59" s="97" t="str">
        <f aca="false">IF($BZ59&lt;&gt;Constants!$B$8,"",((Constants!$B$31-$AZ59)-Constants!$B$31)/Constants!$B$32)</f>
        <v/>
      </c>
      <c r="CE59" s="97" t="str">
        <f aca="false">IF(ISBLANK($C59),"",IF($BZ59&lt;&gt;Constants!$B$8,$BZ59,SUM($CB59:$CD59)))</f>
        <v/>
      </c>
      <c r="CF59" s="93" t="str">
        <f aca="false">IF(ISBLANK($C59),"",IF($BZ59&lt;&gt;Constants!$B$8,$BZ59,RANK($CE59,$CE$9:$CE$508,1)))</f>
        <v/>
      </c>
      <c r="CG59" s="97" t="str">
        <f aca="false">IF($BZ59&lt;&gt;Constants!$B$8,"",IF($BM59="-&gt;",$BU59,$BI59))</f>
        <v/>
      </c>
      <c r="CH59" s="93" t="str">
        <f aca="false">IF(ISBLANK($C59),"",IF($BZ59&lt;&gt;Constants!$B$8,$BZ59,IF(ISNUMBER($CG59),RANK($CG59,$CG$9:$CG$508,1),COUNT($CG$9:$CG$508)+1)))</f>
        <v/>
      </c>
      <c r="CI59" s="97" t="str">
        <f aca="false">IF($BZ59&lt;&gt;Constants!$B$8,"",IF($BM59="-&gt;",$BV59,$BJ59))</f>
        <v/>
      </c>
      <c r="CJ59" s="93" t="str">
        <f aca="false">IF(ISBLANK($C59),"",IF($BZ59&lt;&gt;Constants!$B$8,$BZ59,IF(ISNUMBER($CI59),RANK($CI59,$CI$9:$CI$508,1),COUNT($CI$9:$CI$508)+1)))</f>
        <v/>
      </c>
      <c r="CK59" s="97" t="str">
        <f aca="false">IF($BZ59&lt;&gt;Constants!$B$8,"",IF($BM59="-&gt;",$BW59,$BK59))</f>
        <v/>
      </c>
      <c r="CL59" s="93" t="str">
        <f aca="false">IF(ISBLANK($C59),"",IF($BZ59&lt;&gt;Constants!$B$8,$BZ59,IF(ISNUMBER($CK59),RANK($CK59,$CK$9:$CK$508,1),COUNT($CK$9:$CK$508)+1)))</f>
        <v/>
      </c>
      <c r="CM59" s="97" t="str">
        <f aca="false">IF($BZ59&lt;&gt;Constants!$B$8,"",IF(AND(NOT($AL59),NOT($AT59),$AJ59,$AK59,$AR59,$AS59),"",IF($BM59="-&gt;",$BX59,$BL59)))</f>
        <v/>
      </c>
      <c r="CN59" s="93" t="str">
        <f aca="false">IF(ISBLANK($C59),"",IF($BZ59&lt;&gt;Constants!$B$8,$BZ59,IF(ISNUMBER($CM59),RANK($CM59,$CM$9:$CM$508,1),COUNT($CM$9:$CM$508)+1)))</f>
        <v/>
      </c>
      <c r="CO59" s="93" t="str">
        <f aca="false">IF(ISBLANK($C59),"",IF($BZ59&lt;&gt;Constants!$B$8,$BZ59,COUNTIFS($CF$9:$CF$508,"&lt;"&amp;$CF59)+COUNTIFS($CF$9:$CF$508,$CF59,$CH$9:$CH$508,"&lt;"&amp;$CH59)+COUNTIFS($CF$9:$CF$508,$CF59,$CH$9:$CH$508,$CH59,$CJ$9:$CJ$508,"&lt;"&amp;$CJ59)+COUNTIFS($CF$9:$CF$508,$CF59,$CH$9:$CH$508,$CH59,$CJ$9:$CJ$508,$CJ59,$CL$9:$CL$508,"&lt;"&amp;$CL59)+COUNTIFS($CF$9:$CF$508,$CF59,$CH$9:$CH$508,$CH59,$CJ$9:$CJ$508,$CJ59,$CL$9:$CL$508,$CL59,$CN$9:$CN$508,"&lt;"&amp;$CN59)+1))</f>
        <v/>
      </c>
      <c r="CP59" s="93" t="str">
        <f aca="false">IF(ISBLANK($C59),"",IF($BZ59&lt;&gt;Constants!$B$8,$BZ59,$CF59-$CO59))</f>
        <v/>
      </c>
      <c r="CQ59" s="100"/>
      <c r="CR59" s="101"/>
      <c r="CS59" s="102" t="str">
        <f aca="false">IF(ISBLANK($C59),"",IF($BZ59=Constants!$B$12,$BY59,""))</f>
        <v/>
      </c>
      <c r="CT59" s="101" t="str">
        <f aca="false">IF(ISBLANK($C59),"",IF($BZ59&lt;&gt;Constants!$B$8,"",IF($BM59="-&gt;",2,1)))</f>
        <v/>
      </c>
      <c r="CU59" s="103" t="str">
        <f aca="false">IF(ISBLANK($C59),"",IF($BZ59&lt;&gt;Constants!$B$8,"",IF($BM59="-&gt;",$BO59,$BC59)))</f>
        <v/>
      </c>
      <c r="CV59" s="103" t="str">
        <f aca="false">IF(ISBLANK($C59),"",IF($BZ59&lt;&gt;Constants!$B$8,"",IF($BM59="-&gt;",$BP59,$BD59)))</f>
        <v/>
      </c>
      <c r="CW59" s="103" t="str">
        <f aca="false">IF(ISBLANK($C59),"",IF($BZ59&lt;&gt;Constants!$B$8,"",IF($BM59="-&gt;",$BQ59+$BR59,$BE59+$BF59)+$CD59))</f>
        <v/>
      </c>
      <c r="CX59" s="103" t="str">
        <f aca="false">IF(ISBLANK($C59),"",IF($BZ59&lt;&gt;Constants!$B$8,"",IF($BM59="-&gt;",$BS59,$BG59)+$CC59))</f>
        <v/>
      </c>
      <c r="CY59" s="104" t="str">
        <f aca="false">IF(ISBLANK($C59),"",IF($BZ59&lt;&gt;Constants!$B$8,$BZ59,$CE59))</f>
        <v/>
      </c>
      <c r="CZ59" s="105" t="str">
        <f aca="false">IF(ISBLANK($C59),"",$CA59)</f>
        <v/>
      </c>
      <c r="DA59" s="106" t="str">
        <f aca="false">IF(ISBLANK($C59),"",$CP59)</f>
        <v/>
      </c>
      <c r="DB59" s="106" t="str">
        <f aca="false">IF(ISBLANK($C59),"",$CO59)</f>
        <v/>
      </c>
      <c r="DC59" s="107" t="str">
        <f aca="false">IF(ISBLANK($C59),"",IFERROR(_xlfn.SWITCH($DB59,Constants!$B$11,COUNTA($C$9:$C$508)+2,Constants!$B$10,COUNTA($C$9:$C$508)+1,Constants!$B$9,COUNTA($C$9:$C$508)),$DB59))</f>
        <v/>
      </c>
      <c r="DD59" s="9"/>
      <c r="DE59" s="108" t="n">
        <f aca="false">IF(OR(ISNUMBER($DB59),$DB59=Constants!$B$11,$DB59=Constants!$B$9,$DB59=Constants!$B$10),1,0)</f>
        <v>0</v>
      </c>
      <c r="DF59" s="108" t="n">
        <v>51</v>
      </c>
      <c r="DG59" s="108" t="str">
        <f aca="false">IF(ISBLANK($C59),"",IF(ISNUMBER($DC59),$DC59+ROW($B59)/1000,""))</f>
        <v/>
      </c>
      <c r="DH59" s="108" t="str">
        <f aca="false">IF(ISNUMBER($DG59),RANK($DG59,$DG$9:$DG$508,1),"")</f>
        <v/>
      </c>
      <c r="DI59" s="108" t="str">
        <f aca="false">IF(ISBLANK($C59),"",$B59)</f>
        <v/>
      </c>
      <c r="DJ59" s="108" t="str">
        <f aca="false">IF(ISBLANK($C59),"",$C59)</f>
        <v/>
      </c>
      <c r="DK59" s="108" t="str">
        <f aca="false">IF(ISBLANK($C59),"",$D59)</f>
        <v/>
      </c>
      <c r="DL59" s="109" t="str">
        <f aca="false">$CZ59</f>
        <v/>
      </c>
      <c r="DM59" s="110" t="str">
        <f aca="false">$CY59</f>
        <v/>
      </c>
      <c r="DN59" s="108" t="str">
        <f aca="false">IF(ISBLANK($C59),"",$DB59)</f>
        <v/>
      </c>
      <c r="DO59" s="111" t="str">
        <f aca="false">IF($DF59&gt;$DE$8,"",VLOOKUP($DF59,$DH$9:$DN$508,7,FALSE()))</f>
        <v/>
      </c>
      <c r="DP59" s="112" t="str">
        <f aca="false">IF($DF59&gt;$DE$8,"",VLOOKUP($DF59,$DH$9:$DN$508,2,FALSE()))</f>
        <v/>
      </c>
      <c r="DQ59" s="112" t="str">
        <f aca="false">IF($DF59&gt;$DE$8,"",VLOOKUP($DF59,$DH$9:$DN$508,3,FALSE()))</f>
        <v/>
      </c>
      <c r="DR59" s="112" t="str">
        <f aca="false">IF($DF59&gt;$DE$8,"",VLOOKUP($DF59,$DH$9:$DN$508,4,FALSE()))</f>
        <v/>
      </c>
      <c r="DS59" s="112" t="str">
        <f aca="false">IF($DF59&gt;$DE$8,"",VLOOKUP($DF59,$DH$9:$DN$508,5,FALSE()))</f>
        <v/>
      </c>
      <c r="DT59" s="113" t="str">
        <f aca="false">IF($DF59&gt;$DE$8,"",VLOOKUP($DF59,$DH$9:$DN$508,6,FALSE()))</f>
        <v/>
      </c>
      <c r="DU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IF(ISBLANK($C60),"",IF(E60=Constants!$B$3,TRUE(),IF(E60=Constants!$B$4,FALSE(),TRUE())))</f>
        <v/>
      </c>
      <c r="AG60" s="135" t="str">
        <f aca="false">IF(ISBLANK($C60),"",IF(F60=Constants!$B$3,TRUE(),IF(F60=Constants!$B$4,FALSE(),TRUE())))</f>
        <v/>
      </c>
      <c r="AH60" s="135" t="str">
        <f aca="false">IF(ISBLANK($C60),"",IF(G60=Constants!$B$3,TRUE(),IF(G60=Constants!$B$4,FALSE(),TRUE())))</f>
        <v/>
      </c>
      <c r="AI60" s="135" t="str">
        <f aca="false">IF(ISBLANK($C60),"",IF(AND(ISNUMBER(H60),H60&gt;=0),H60,Constants!$B$29))</f>
        <v/>
      </c>
      <c r="AJ60" s="135" t="str">
        <f aca="false">IF(ISBLANK($C60),"",IF(I60=Constants!$B$3,TRUE(),IF(I60=Constants!$B$4,FALSE(),TRUE())))</f>
        <v/>
      </c>
      <c r="AK60" s="135" t="str">
        <f aca="false">IF(ISBLANK($C60),"",IF(J60=Constants!$B$3,TRUE(),IF(J60=Constants!$B$4,FALSE(),TRUE())))</f>
        <v/>
      </c>
      <c r="AL60" s="135" t="str">
        <f aca="false">IF(ISBLANK($C60),"",IF(K60=Constants!$B$5,TRUE(),IF(K60=Constants!$B$6,FALSE(),COUNTA(L60:P60)&gt;0)))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IF(ISBLANK($C60),"",IF(N60=Constants!$B$3,TRUE(),IF(N60=Constants!$B$4,FALSE(),TRUE())))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IF(ISBLANK($C60),"",IF(P60=Constants!$B$3,TRUE(),IF(P60=Constants!$B$4,FALSE(),FALSE())))</f>
        <v/>
      </c>
      <c r="AR60" s="135" t="str">
        <f aca="false">IF(ISBLANK($C60),"",IF(Q60=Constants!$B$3,TRUE(),IF(Q60=Constants!$B$4,FALSE(),TRUE())))</f>
        <v/>
      </c>
      <c r="AS60" s="135" t="str">
        <f aca="false">IF(ISBLANK($C60),"",IF(R60=Constants!$B$3,TRUE(),IF(R60=Constants!$B$4,FALSE(),TRUE())))</f>
        <v/>
      </c>
      <c r="AT60" s="135" t="str">
        <f aca="false">IF(ISBLANK($C60),"",IF(S60=Constants!$B$5,TRUE(),IF(S60=Constants!$B$6,FALSE(),COUNTA(T60:X60)&gt;0)))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IF(ISBLANK($C60),"",IF(V60=Constants!$B$3,TRUE(),IF(V60=Constants!$B$4,FALSE(),TRUE())))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IF(ISBLANK($C60),"",IF(X60=Constants!$B$3,TRUE(),IF(X60=Constants!$B$4,FALSE(),FALSE())))</f>
        <v/>
      </c>
      <c r="AZ60" s="135" t="str">
        <f aca="false">IF(ISBLANK($C60),"",MIN(Constants!$B$31,MAX(0,IF(ISNUMBER(Y60),Y60*60,0)+IF(ISNUMBER(Z60),Z60,0))))</f>
        <v/>
      </c>
      <c r="BA60" s="135" t="str">
        <f aca="false">IF(ISBLANK($C60),"",IF(AA60=Constants!$B$3,TRUE(),IF(AA60=Constants!$B$4,FALSE(),FALSE())))</f>
        <v/>
      </c>
      <c r="BB60" s="134" t="str">
        <f aca="false">IF(ISBLANK($C60),"",AND($AL60,OR($AM60="",$AN60="",AND($AO60,$AP60=""))))</f>
        <v/>
      </c>
      <c r="BC60" s="137" t="str">
        <f aca="false">IF($BZ60&lt;&gt;Constants!$B$8,"",IF($AL60,Constants!$B$21*$AN60+Constants!$B$22*IF($AO60,$AP60,Constants!$B$23),Constants!$B$24))</f>
        <v/>
      </c>
      <c r="BD60" s="138" t="str">
        <f aca="false">IF($BZ60&lt;&gt;Constants!$B$8,"",Constants!$B$25*ABS($AD$9-IF($AL60,$AM60,0)))</f>
        <v/>
      </c>
      <c r="BE60" s="138" t="str">
        <f aca="false">IF($BZ60&lt;&gt;Constants!$B$8,"",IF(AND($AL60,$AQ60,$AO60),Constants!$B$27,0))</f>
        <v/>
      </c>
      <c r="BF60" s="138" t="str">
        <f aca="false">IF($BZ60&lt;&gt;Constants!$B$8,"",IF($AL60,($AI60-Constants!$B$29)*Constants!$B$28,0))</f>
        <v/>
      </c>
      <c r="BG60" s="138" t="str">
        <f aca="false">IF($BZ60&lt;&gt;Constants!$B$8,"",IF($AK60,0,Constants!$B$15)+IF($AJ60,0,Constants!$B$16)+IF($AH60,0,Constants!$B$17))</f>
        <v/>
      </c>
      <c r="BH60" s="139" t="str">
        <f aca="false">IF($BZ60&lt;&gt;Constants!$B$8,"",Constants!$B$20+SUM($BC60:$BG60))</f>
        <v/>
      </c>
      <c r="BI60" s="138" t="str">
        <f aca="false">IF($BZ60&lt;&gt;Constants!$B$8,"",$BC60)</f>
        <v/>
      </c>
      <c r="BJ60" s="138" t="str">
        <f aca="false">IF($BZ60&lt;&gt;Constants!$B$8,"",$BD60)</f>
        <v/>
      </c>
      <c r="BK60" s="138" t="str">
        <f aca="false">IF($BZ60&lt;&gt;Constants!$B$8,"",IF($AL60,$AN60,""))</f>
        <v/>
      </c>
      <c r="BL60" s="140" t="str">
        <f aca="false">IF($BZ60&lt;&gt;Constants!$B$8,"",$AI60)</f>
        <v/>
      </c>
      <c r="BM60" s="135" t="str">
        <f aca="false">IF($BZ60&lt;&gt;Constants!$B$8,"",IF(OR($BT60&lt;$BH60,AND($BT60=$BH60,OR($BU60&lt;$BI60,AND($BU60=$BI60,OR($BV60&lt;$BJ60,AND($BV60=$BJ60,OR(AND(ISNUMBER($BW60),OR(NOT(ISNUMBER($BK60)),$BW60&lt;$BK60)),AND(OR(AND($BW60="",$BK60=""),AND(ISNUMBER($BW60),ISNUMBER($BK60),$BW60=$BK60)),$BX60&lt;$BL60)))))))),"-&gt;","&lt;-"))</f>
        <v/>
      </c>
      <c r="BN60" s="134" t="str">
        <f aca="false">IF(ISBLANK($C60),"",AND($AT60,OR($AU60="",$AV60="",AND($AW60,$AX60=""))))</f>
        <v/>
      </c>
      <c r="BO60" s="137" t="str">
        <f aca="false">IF($BZ60&lt;&gt;Constants!$B$8,"",IF($AT60,Constants!$B$21*$AV60+Constants!$B$22*IF($AW60,$AX60,Constants!$B$23),Constants!$B$24))</f>
        <v/>
      </c>
      <c r="BP60" s="138" t="str">
        <f aca="false">IF($BZ60&lt;&gt;Constants!$B$8,"",Constants!$B$25*ABS($AD$9-IF($AT60,$AU60,0)))</f>
        <v/>
      </c>
      <c r="BQ60" s="138" t="str">
        <f aca="false">IF($BZ60&lt;&gt;Constants!$B$8,"",IF(AND($AT60,$AY60,$AW60),Constants!$B$27,0))</f>
        <v/>
      </c>
      <c r="BR60" s="138" t="str">
        <f aca="false">IF($BZ60&lt;&gt;Constants!$B$8,"",IF($AT60,($AI60-Constants!$B$29)*Constants!$B$28,0))</f>
        <v/>
      </c>
      <c r="BS60" s="138" t="str">
        <f aca="false">IF($BZ60&lt;&gt;Constants!$B$8,"",IF($AS60,0,Constants!$B$15)+IF($AR60,0,Constants!$B$16)+IF($AH60,0,Constants!$B$17))</f>
        <v/>
      </c>
      <c r="BT60" s="139" t="str">
        <f aca="false">IF($BZ60&lt;&gt;Constants!$B$8,"",Constants!$B$20+SUM($BO60:$BS60))</f>
        <v/>
      </c>
      <c r="BU60" s="138" t="str">
        <f aca="false">IF($BZ60&lt;&gt;Constants!$B$8,"",$BO60)</f>
        <v/>
      </c>
      <c r="BV60" s="138" t="str">
        <f aca="false">IF($BZ60&lt;&gt;Constants!$B$8,"",$BP60)</f>
        <v/>
      </c>
      <c r="BW60" s="138" t="str">
        <f aca="false">IF($BZ60&lt;&gt;Constants!$B$8,"",IF($AT60,$AV60,""))</f>
        <v/>
      </c>
      <c r="BX60" s="140" t="str">
        <f aca="false">IF($BZ60&lt;&gt;Constants!$B$8,"",$AI60)</f>
        <v/>
      </c>
      <c r="BY60" s="135" t="str">
        <f aca="false">IF(ISBLANK($C60),"",IF(ISBLANK($D$7),$BY$5,IF(NOT(ISNUMBER($D$7)),$BY$6,"")))</f>
        <v/>
      </c>
      <c r="BZ60" s="135" t="str">
        <f aca="false">IF(ISBLANK($C60),"",IF($BA60,Constants!$B$11,IF(COUNTA($E60:$AA60)=0,Constants!$B$10,IF(NOT($AG60),Constants!$B$9,IF(OR($BY60&lt;&gt;"",$BB60,$BN60),Constants!$B$12,Constants!$B$8)))))</f>
        <v/>
      </c>
      <c r="CA60" s="135" t="str">
        <f aca="false">IF(ISBLANK($C60),"",IF($BZ60&lt;&gt;Constants!$B$8,$BZ60,Constants!$B$13))</f>
        <v/>
      </c>
      <c r="CB60" s="138" t="str">
        <f aca="false">IF($BZ60&lt;&gt;Constants!$B$8,"",IF($BM60="-&gt;",$BT60,$BH60))</f>
        <v/>
      </c>
      <c r="CC60" s="138" t="str">
        <f aca="false">IF($BZ60&lt;&gt;Constants!$B$8,"",IF($AF60,0,Constants!$B$18))</f>
        <v/>
      </c>
      <c r="CD60" s="138" t="str">
        <f aca="false">IF($BZ60&lt;&gt;Constants!$B$8,"",((Constants!$B$31-$AZ60)-Constants!$B$31)/Constants!$B$32)</f>
        <v/>
      </c>
      <c r="CE60" s="138" t="str">
        <f aca="false">IF(ISBLANK($C60),"",IF($BZ60&lt;&gt;Constants!$B$8,$BZ60,SUM($CB60:$CD60)))</f>
        <v/>
      </c>
      <c r="CF60" s="135" t="str">
        <f aca="false">IF(ISBLANK($C60),"",IF($BZ60&lt;&gt;Constants!$B$8,$BZ60,RANK($CE60,$CE$9:$CE$508,1)))</f>
        <v/>
      </c>
      <c r="CG60" s="138" t="str">
        <f aca="false">IF($BZ60&lt;&gt;Constants!$B$8,"",IF($BM60="-&gt;",$BU60,$BI60))</f>
        <v/>
      </c>
      <c r="CH60" s="135" t="str">
        <f aca="false">IF(ISBLANK($C60),"",IF($BZ60&lt;&gt;Constants!$B$8,$BZ60,IF(ISNUMBER($CG60),RANK($CG60,$CG$9:$CG$508,1),COUNT($CG$9:$CG$508)+1)))</f>
        <v/>
      </c>
      <c r="CI60" s="138" t="str">
        <f aca="false">IF($BZ60&lt;&gt;Constants!$B$8,"",IF($BM60="-&gt;",$BV60,$BJ60))</f>
        <v/>
      </c>
      <c r="CJ60" s="135" t="str">
        <f aca="false">IF(ISBLANK($C60),"",IF($BZ60&lt;&gt;Constants!$B$8,$BZ60,IF(ISNUMBER($CI60),RANK($CI60,$CI$9:$CI$508,1),COUNT($CI$9:$CI$508)+1)))</f>
        <v/>
      </c>
      <c r="CK60" s="138" t="str">
        <f aca="false">IF($BZ60&lt;&gt;Constants!$B$8,"",IF($BM60="-&gt;",$BW60,$BK60))</f>
        <v/>
      </c>
      <c r="CL60" s="135" t="str">
        <f aca="false">IF(ISBLANK($C60),"",IF($BZ60&lt;&gt;Constants!$B$8,$BZ60,IF(ISNUMBER($CK60),RANK($CK60,$CK$9:$CK$508,1),COUNT($CK$9:$CK$508)+1)))</f>
        <v/>
      </c>
      <c r="CM60" s="138" t="str">
        <f aca="false">IF($BZ60&lt;&gt;Constants!$B$8,"",IF(AND(NOT($AL60),NOT($AT60),$AJ60,$AK60,$AR60,$AS60),"",IF($BM60="-&gt;",$BX60,$BL60)))</f>
        <v/>
      </c>
      <c r="CN60" s="135" t="str">
        <f aca="false">IF(ISBLANK($C60),"",IF($BZ60&lt;&gt;Constants!$B$8,$BZ60,IF(ISNUMBER($CM60),RANK($CM60,$CM$9:$CM$508,1),COUNT($CM$9:$CM$508)+1)))</f>
        <v/>
      </c>
      <c r="CO60" s="135" t="str">
        <f aca="false">IF(ISBLANK($C60),"",IF($BZ60&lt;&gt;Constants!$B$8,$BZ60,COUNTIFS($CF$9:$CF$508,"&lt;"&amp;$CF60)+COUNTIFS($CF$9:$CF$508,$CF60,$CH$9:$CH$508,"&lt;"&amp;$CH60)+COUNTIFS($CF$9:$CF$508,$CF60,$CH$9:$CH$508,$CH60,$CJ$9:$CJ$508,"&lt;"&amp;$CJ60)+COUNTIFS($CF$9:$CF$508,$CF60,$CH$9:$CH$508,$CH60,$CJ$9:$CJ$508,$CJ60,$CL$9:$CL$508,"&lt;"&amp;$CL60)+COUNTIFS($CF$9:$CF$508,$CF60,$CH$9:$CH$508,$CH60,$CJ$9:$CJ$508,$CJ60,$CL$9:$CL$508,$CL60,$CN$9:$CN$508,"&lt;"&amp;$CN60)+1))</f>
        <v/>
      </c>
      <c r="CP60" s="135" t="str">
        <f aca="false">IF(ISBLANK($C60),"",IF($BZ60&lt;&gt;Constants!$B$8,$BZ60,$CF60-$CO60))</f>
        <v/>
      </c>
      <c r="CQ60" s="141"/>
      <c r="CR60" s="142"/>
      <c r="CS60" s="143" t="str">
        <f aca="false">IF(ISBLANK($C60),"",IF($BZ60=Constants!$B$12,$BY60,""))</f>
        <v/>
      </c>
      <c r="CT60" s="142" t="str">
        <f aca="false">IF(ISBLANK($C60),"",IF($BZ60&lt;&gt;Constants!$B$8,"",IF($BM60="-&gt;",2,1)))</f>
        <v/>
      </c>
      <c r="CU60" s="144" t="str">
        <f aca="false">IF(ISBLANK($C60),"",IF($BZ60&lt;&gt;Constants!$B$8,"",IF($BM60="-&gt;",$BO60,$BC60)))</f>
        <v/>
      </c>
      <c r="CV60" s="144" t="str">
        <f aca="false">IF(ISBLANK($C60),"",IF($BZ60&lt;&gt;Constants!$B$8,"",IF($BM60="-&gt;",$BP60,$BD60)))</f>
        <v/>
      </c>
      <c r="CW60" s="144" t="str">
        <f aca="false">IF(ISBLANK($C60),"",IF($BZ60&lt;&gt;Constants!$B$8,"",IF($BM60="-&gt;",$BQ60+$BR60,$BE60+$BF60)+$CD60))</f>
        <v/>
      </c>
      <c r="CX60" s="144" t="str">
        <f aca="false">IF(ISBLANK($C60),"",IF($BZ60&lt;&gt;Constants!$B$8,"",IF($BM60="-&gt;",$BS60,$BG60)+$CC60))</f>
        <v/>
      </c>
      <c r="CY60" s="145" t="str">
        <f aca="false">IF(ISBLANK($C60),"",IF($BZ60&lt;&gt;Constants!$B$8,$BZ60,$CE60))</f>
        <v/>
      </c>
      <c r="CZ60" s="146" t="str">
        <f aca="false">IF(ISBLANK($C60),"",$CA60)</f>
        <v/>
      </c>
      <c r="DA60" s="147" t="str">
        <f aca="false">IF(ISBLANK($C60),"",$CP60)</f>
        <v/>
      </c>
      <c r="DB60" s="147" t="str">
        <f aca="false">IF(ISBLANK($C60),"",$CO60)</f>
        <v/>
      </c>
      <c r="DC60" s="148" t="str">
        <f aca="false">IF(ISBLANK($C60),"",IFERROR(_xlfn.SWITCH($DB60,Constants!$B$11,COUNTA($C$9:$C$508)+2,Constants!$B$10,COUNTA($C$9:$C$508)+1,Constants!$B$9,COUNTA($C$9:$C$508)),$DB60))</f>
        <v/>
      </c>
      <c r="DD60" s="9"/>
      <c r="DE60" s="149" t="n">
        <f aca="false">IF(OR(ISNUMBER($DB60),$DB60=Constants!$B$11,$DB60=Constants!$B$9,$DB60=Constants!$B$10),1,0)</f>
        <v>0</v>
      </c>
      <c r="DF60" s="149" t="n">
        <v>52</v>
      </c>
      <c r="DG60" s="149" t="str">
        <f aca="false">IF(ISBLANK($C60),"",IF(ISNUMBER($DC60),$DC60+ROW($B60)/1000,""))</f>
        <v/>
      </c>
      <c r="DH60" s="149" t="str">
        <f aca="false">IF(ISNUMBER($DG60),RANK($DG60,$DG$9:$DG$508,1),"")</f>
        <v/>
      </c>
      <c r="DI60" s="149" t="str">
        <f aca="false">IF(ISBLANK($C60),"",$B60)</f>
        <v/>
      </c>
      <c r="DJ60" s="149" t="str">
        <f aca="false">IF(ISBLANK($C60),"",$C60)</f>
        <v/>
      </c>
      <c r="DK60" s="149" t="str">
        <f aca="false">IF(ISBLANK($C60),"",$D60)</f>
        <v/>
      </c>
      <c r="DL60" s="150" t="str">
        <f aca="false">$CZ60</f>
        <v/>
      </c>
      <c r="DM60" s="151" t="str">
        <f aca="false">$CY60</f>
        <v/>
      </c>
      <c r="DN60" s="149" t="str">
        <f aca="false">IF(ISBLANK($C60),"",$DB60)</f>
        <v/>
      </c>
      <c r="DO60" s="152" t="str">
        <f aca="false">IF($DF60&gt;$DE$8,"",VLOOKUP($DF60,$DH$9:$DN$508,7,FALSE()))</f>
        <v/>
      </c>
      <c r="DP60" s="153" t="str">
        <f aca="false">IF($DF60&gt;$DE$8,"",VLOOKUP($DF60,$DH$9:$DN$508,2,FALSE()))</f>
        <v/>
      </c>
      <c r="DQ60" s="153" t="str">
        <f aca="false">IF($DF60&gt;$DE$8,"",VLOOKUP($DF60,$DH$9:$DN$508,3,FALSE()))</f>
        <v/>
      </c>
      <c r="DR60" s="153" t="str">
        <f aca="false">IF($DF60&gt;$DE$8,"",VLOOKUP($DF60,$DH$9:$DN$508,4,FALSE()))</f>
        <v/>
      </c>
      <c r="DS60" s="153" t="str">
        <f aca="false">IF($DF60&gt;$DE$8,"",VLOOKUP($DF60,$DH$9:$DN$508,5,FALSE()))</f>
        <v/>
      </c>
      <c r="DT60" s="154" t="str">
        <f aca="false">IF($DF60&gt;$DE$8,"",VLOOKUP($DF60,$DH$9:$DN$508,6,FALSE()))</f>
        <v/>
      </c>
      <c r="DU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IF(ISBLANK($C61),"",IF(E61=Constants!$B$3,TRUE(),IF(E61=Constants!$B$4,FALSE(),TRUE())))</f>
        <v/>
      </c>
      <c r="AG61" s="135" t="str">
        <f aca="false">IF(ISBLANK($C61),"",IF(F61=Constants!$B$3,TRUE(),IF(F61=Constants!$B$4,FALSE(),TRUE())))</f>
        <v/>
      </c>
      <c r="AH61" s="135" t="str">
        <f aca="false">IF(ISBLANK($C61),"",IF(G61=Constants!$B$3,TRUE(),IF(G61=Constants!$B$4,FALSE(),TRUE())))</f>
        <v/>
      </c>
      <c r="AI61" s="135" t="str">
        <f aca="false">IF(ISBLANK($C61),"",IF(AND(ISNUMBER(H61),H61&gt;=0),H61,Constants!$B$29))</f>
        <v/>
      </c>
      <c r="AJ61" s="135" t="str">
        <f aca="false">IF(ISBLANK($C61),"",IF(I61=Constants!$B$3,TRUE(),IF(I61=Constants!$B$4,FALSE(),TRUE())))</f>
        <v/>
      </c>
      <c r="AK61" s="135" t="str">
        <f aca="false">IF(ISBLANK($C61),"",IF(J61=Constants!$B$3,TRUE(),IF(J61=Constants!$B$4,FALSE(),TRUE())))</f>
        <v/>
      </c>
      <c r="AL61" s="135" t="str">
        <f aca="false">IF(ISBLANK($C61),"",IF(K61=Constants!$B$5,TRUE(),IF(K61=Constants!$B$6,FALSE(),COUNTA(L61:P61)&gt;0)))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IF(ISBLANK($C61),"",IF(N61=Constants!$B$3,TRUE(),IF(N61=Constants!$B$4,FALSE(),TRUE())))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IF(ISBLANK($C61),"",IF(P61=Constants!$B$3,TRUE(),IF(P61=Constants!$B$4,FALSE(),FALSE())))</f>
        <v/>
      </c>
      <c r="AR61" s="135" t="str">
        <f aca="false">IF(ISBLANK($C61),"",IF(Q61=Constants!$B$3,TRUE(),IF(Q61=Constants!$B$4,FALSE(),TRUE())))</f>
        <v/>
      </c>
      <c r="AS61" s="135" t="str">
        <f aca="false">IF(ISBLANK($C61),"",IF(R61=Constants!$B$3,TRUE(),IF(R61=Constants!$B$4,FALSE(),TRUE())))</f>
        <v/>
      </c>
      <c r="AT61" s="135" t="str">
        <f aca="false">IF(ISBLANK($C61),"",IF(S61=Constants!$B$5,TRUE(),IF(S61=Constants!$B$6,FALSE(),COUNTA(T61:X61)&gt;0)))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IF(ISBLANK($C61),"",IF(V61=Constants!$B$3,TRUE(),IF(V61=Constants!$B$4,FALSE(),TRUE())))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IF(ISBLANK($C61),"",IF(X61=Constants!$B$3,TRUE(),IF(X61=Constants!$B$4,FALSE(),FALSE())))</f>
        <v/>
      </c>
      <c r="AZ61" s="135" t="str">
        <f aca="false">IF(ISBLANK($C61),"",MIN(Constants!$B$31,MAX(0,IF(ISNUMBER(Y61),Y61*60,0)+IF(ISNUMBER(Z61),Z61,0))))</f>
        <v/>
      </c>
      <c r="BA61" s="135" t="str">
        <f aca="false">IF(ISBLANK($C61),"",IF(AA61=Constants!$B$3,TRUE(),IF(AA61=Constants!$B$4,FALSE(),FALSE())))</f>
        <v/>
      </c>
      <c r="BB61" s="134" t="str">
        <f aca="false">IF(ISBLANK($C61),"",AND($AL61,OR($AM61="",$AN61="",AND($AO61,$AP61=""))))</f>
        <v/>
      </c>
      <c r="BC61" s="137" t="str">
        <f aca="false">IF($BZ61&lt;&gt;Constants!$B$8,"",IF($AL61,Constants!$B$21*$AN61+Constants!$B$22*IF($AO61,$AP61,Constants!$B$23),Constants!$B$24))</f>
        <v/>
      </c>
      <c r="BD61" s="138" t="str">
        <f aca="false">IF($BZ61&lt;&gt;Constants!$B$8,"",Constants!$B$25*ABS($AD$9-IF($AL61,$AM61,0)))</f>
        <v/>
      </c>
      <c r="BE61" s="138" t="str">
        <f aca="false">IF($BZ61&lt;&gt;Constants!$B$8,"",IF(AND($AL61,$AQ61,$AO61),Constants!$B$27,0))</f>
        <v/>
      </c>
      <c r="BF61" s="138" t="str">
        <f aca="false">IF($BZ61&lt;&gt;Constants!$B$8,"",IF($AL61,($AI61-Constants!$B$29)*Constants!$B$28,0))</f>
        <v/>
      </c>
      <c r="BG61" s="138" t="str">
        <f aca="false">IF($BZ61&lt;&gt;Constants!$B$8,"",IF($AK61,0,Constants!$B$15)+IF($AJ61,0,Constants!$B$16)+IF($AH61,0,Constants!$B$17))</f>
        <v/>
      </c>
      <c r="BH61" s="139" t="str">
        <f aca="false">IF($BZ61&lt;&gt;Constants!$B$8,"",Constants!$B$20+SUM($BC61:$BG61))</f>
        <v/>
      </c>
      <c r="BI61" s="138" t="str">
        <f aca="false">IF($BZ61&lt;&gt;Constants!$B$8,"",$BC61)</f>
        <v/>
      </c>
      <c r="BJ61" s="138" t="str">
        <f aca="false">IF($BZ61&lt;&gt;Constants!$B$8,"",$BD61)</f>
        <v/>
      </c>
      <c r="BK61" s="138" t="str">
        <f aca="false">IF($BZ61&lt;&gt;Constants!$B$8,"",IF($AL61,$AN61,""))</f>
        <v/>
      </c>
      <c r="BL61" s="140" t="str">
        <f aca="false">IF($BZ61&lt;&gt;Constants!$B$8,"",$AI61)</f>
        <v/>
      </c>
      <c r="BM61" s="135" t="str">
        <f aca="false">IF($BZ61&lt;&gt;Constants!$B$8,"",IF(OR($BT61&lt;$BH61,AND($BT61=$BH61,OR($BU61&lt;$BI61,AND($BU61=$BI61,OR($BV61&lt;$BJ61,AND($BV61=$BJ61,OR(AND(ISNUMBER($BW61),OR(NOT(ISNUMBER($BK61)),$BW61&lt;$BK61)),AND(OR(AND($BW61="",$BK61=""),AND(ISNUMBER($BW61),ISNUMBER($BK61),$BW61=$BK61)),$BX61&lt;$BL61)))))))),"-&gt;","&lt;-"))</f>
        <v/>
      </c>
      <c r="BN61" s="134" t="str">
        <f aca="false">IF(ISBLANK($C61),"",AND($AT61,OR($AU61="",$AV61="",AND($AW61,$AX61=""))))</f>
        <v/>
      </c>
      <c r="BO61" s="137" t="str">
        <f aca="false">IF($BZ61&lt;&gt;Constants!$B$8,"",IF($AT61,Constants!$B$21*$AV61+Constants!$B$22*IF($AW61,$AX61,Constants!$B$23),Constants!$B$24))</f>
        <v/>
      </c>
      <c r="BP61" s="138" t="str">
        <f aca="false">IF($BZ61&lt;&gt;Constants!$B$8,"",Constants!$B$25*ABS($AD$9-IF($AT61,$AU61,0)))</f>
        <v/>
      </c>
      <c r="BQ61" s="138" t="str">
        <f aca="false">IF($BZ61&lt;&gt;Constants!$B$8,"",IF(AND($AT61,$AY61,$AW61),Constants!$B$27,0))</f>
        <v/>
      </c>
      <c r="BR61" s="138" t="str">
        <f aca="false">IF($BZ61&lt;&gt;Constants!$B$8,"",IF($AT61,($AI61-Constants!$B$29)*Constants!$B$28,0))</f>
        <v/>
      </c>
      <c r="BS61" s="138" t="str">
        <f aca="false">IF($BZ61&lt;&gt;Constants!$B$8,"",IF($AS61,0,Constants!$B$15)+IF($AR61,0,Constants!$B$16)+IF($AH61,0,Constants!$B$17))</f>
        <v/>
      </c>
      <c r="BT61" s="139" t="str">
        <f aca="false">IF($BZ61&lt;&gt;Constants!$B$8,"",Constants!$B$20+SUM($BO61:$BS61))</f>
        <v/>
      </c>
      <c r="BU61" s="138" t="str">
        <f aca="false">IF($BZ61&lt;&gt;Constants!$B$8,"",$BO61)</f>
        <v/>
      </c>
      <c r="BV61" s="138" t="str">
        <f aca="false">IF($BZ61&lt;&gt;Constants!$B$8,"",$BP61)</f>
        <v/>
      </c>
      <c r="BW61" s="138" t="str">
        <f aca="false">IF($BZ61&lt;&gt;Constants!$B$8,"",IF($AT61,$AV61,""))</f>
        <v/>
      </c>
      <c r="BX61" s="140" t="str">
        <f aca="false">IF($BZ61&lt;&gt;Constants!$B$8,"",$AI61)</f>
        <v/>
      </c>
      <c r="BY61" s="135" t="str">
        <f aca="false">IF(ISBLANK($C61),"",IF(ISBLANK($D$7),$BY$5,IF(NOT(ISNUMBER($D$7)),$BY$6,"")))</f>
        <v/>
      </c>
      <c r="BZ61" s="135" t="str">
        <f aca="false">IF(ISBLANK($C61),"",IF($BA61,Constants!$B$11,IF(COUNTA($E61:$AA61)=0,Constants!$B$10,IF(NOT($AG61),Constants!$B$9,IF(OR($BY61&lt;&gt;"",$BB61,$BN61),Constants!$B$12,Constants!$B$8)))))</f>
        <v/>
      </c>
      <c r="CA61" s="135" t="str">
        <f aca="false">IF(ISBLANK($C61),"",IF($BZ61&lt;&gt;Constants!$B$8,$BZ61,Constants!$B$13))</f>
        <v/>
      </c>
      <c r="CB61" s="138" t="str">
        <f aca="false">IF($BZ61&lt;&gt;Constants!$B$8,"",IF($BM61="-&gt;",$BT61,$BH61))</f>
        <v/>
      </c>
      <c r="CC61" s="138" t="str">
        <f aca="false">IF($BZ61&lt;&gt;Constants!$B$8,"",IF($AF61,0,Constants!$B$18))</f>
        <v/>
      </c>
      <c r="CD61" s="138" t="str">
        <f aca="false">IF($BZ61&lt;&gt;Constants!$B$8,"",((Constants!$B$31-$AZ61)-Constants!$B$31)/Constants!$B$32)</f>
        <v/>
      </c>
      <c r="CE61" s="138" t="str">
        <f aca="false">IF(ISBLANK($C61),"",IF($BZ61&lt;&gt;Constants!$B$8,$BZ61,SUM($CB61:$CD61)))</f>
        <v/>
      </c>
      <c r="CF61" s="135" t="str">
        <f aca="false">IF(ISBLANK($C61),"",IF($BZ61&lt;&gt;Constants!$B$8,$BZ61,RANK($CE61,$CE$9:$CE$508,1)))</f>
        <v/>
      </c>
      <c r="CG61" s="138" t="str">
        <f aca="false">IF($BZ61&lt;&gt;Constants!$B$8,"",IF($BM61="-&gt;",$BU61,$BI61))</f>
        <v/>
      </c>
      <c r="CH61" s="135" t="str">
        <f aca="false">IF(ISBLANK($C61),"",IF($BZ61&lt;&gt;Constants!$B$8,$BZ61,IF(ISNUMBER($CG61),RANK($CG61,$CG$9:$CG$508,1),COUNT($CG$9:$CG$508)+1)))</f>
        <v/>
      </c>
      <c r="CI61" s="138" t="str">
        <f aca="false">IF($BZ61&lt;&gt;Constants!$B$8,"",IF($BM61="-&gt;",$BV61,$BJ61))</f>
        <v/>
      </c>
      <c r="CJ61" s="135" t="str">
        <f aca="false">IF(ISBLANK($C61),"",IF($BZ61&lt;&gt;Constants!$B$8,$BZ61,IF(ISNUMBER($CI61),RANK($CI61,$CI$9:$CI$508,1),COUNT($CI$9:$CI$508)+1)))</f>
        <v/>
      </c>
      <c r="CK61" s="138" t="str">
        <f aca="false">IF($BZ61&lt;&gt;Constants!$B$8,"",IF($BM61="-&gt;",$BW61,$BK61))</f>
        <v/>
      </c>
      <c r="CL61" s="135" t="str">
        <f aca="false">IF(ISBLANK($C61),"",IF($BZ61&lt;&gt;Constants!$B$8,$BZ61,IF(ISNUMBER($CK61),RANK($CK61,$CK$9:$CK$508,1),COUNT($CK$9:$CK$508)+1)))</f>
        <v/>
      </c>
      <c r="CM61" s="138" t="str">
        <f aca="false">IF($BZ61&lt;&gt;Constants!$B$8,"",IF(AND(NOT($AL61),NOT($AT61),$AJ61,$AK61,$AR61,$AS61),"",IF($BM61="-&gt;",$BX61,$BL61)))</f>
        <v/>
      </c>
      <c r="CN61" s="135" t="str">
        <f aca="false">IF(ISBLANK($C61),"",IF($BZ61&lt;&gt;Constants!$B$8,$BZ61,IF(ISNUMBER($CM61),RANK($CM61,$CM$9:$CM$508,1),COUNT($CM$9:$CM$508)+1)))</f>
        <v/>
      </c>
      <c r="CO61" s="135" t="str">
        <f aca="false">IF(ISBLANK($C61),"",IF($BZ61&lt;&gt;Constants!$B$8,$BZ61,COUNTIFS($CF$9:$CF$508,"&lt;"&amp;$CF61)+COUNTIFS($CF$9:$CF$508,$CF61,$CH$9:$CH$508,"&lt;"&amp;$CH61)+COUNTIFS($CF$9:$CF$508,$CF61,$CH$9:$CH$508,$CH61,$CJ$9:$CJ$508,"&lt;"&amp;$CJ61)+COUNTIFS($CF$9:$CF$508,$CF61,$CH$9:$CH$508,$CH61,$CJ$9:$CJ$508,$CJ61,$CL$9:$CL$508,"&lt;"&amp;$CL61)+COUNTIFS($CF$9:$CF$508,$CF61,$CH$9:$CH$508,$CH61,$CJ$9:$CJ$508,$CJ61,$CL$9:$CL$508,$CL61,$CN$9:$CN$508,"&lt;"&amp;$CN61)+1))</f>
        <v/>
      </c>
      <c r="CP61" s="135" t="str">
        <f aca="false">IF(ISBLANK($C61),"",IF($BZ61&lt;&gt;Constants!$B$8,$BZ61,$CF61-$CO61))</f>
        <v/>
      </c>
      <c r="CQ61" s="141"/>
      <c r="CR61" s="142"/>
      <c r="CS61" s="143" t="str">
        <f aca="false">IF(ISBLANK($C61),"",IF($BZ61=Constants!$B$12,$BY61,""))</f>
        <v/>
      </c>
      <c r="CT61" s="142" t="str">
        <f aca="false">IF(ISBLANK($C61),"",IF($BZ61&lt;&gt;Constants!$B$8,"",IF($BM61="-&gt;",2,1)))</f>
        <v/>
      </c>
      <c r="CU61" s="144" t="str">
        <f aca="false">IF(ISBLANK($C61),"",IF($BZ61&lt;&gt;Constants!$B$8,"",IF($BM61="-&gt;",$BO61,$BC61)))</f>
        <v/>
      </c>
      <c r="CV61" s="144" t="str">
        <f aca="false">IF(ISBLANK($C61),"",IF($BZ61&lt;&gt;Constants!$B$8,"",IF($BM61="-&gt;",$BP61,$BD61)))</f>
        <v/>
      </c>
      <c r="CW61" s="144" t="str">
        <f aca="false">IF(ISBLANK($C61),"",IF($BZ61&lt;&gt;Constants!$B$8,"",IF($BM61="-&gt;",$BQ61+$BR61,$BE61+$BF61)+$CD61))</f>
        <v/>
      </c>
      <c r="CX61" s="144" t="str">
        <f aca="false">IF(ISBLANK($C61),"",IF($BZ61&lt;&gt;Constants!$B$8,"",IF($BM61="-&gt;",$BS61,$BG61)+$CC61))</f>
        <v/>
      </c>
      <c r="CY61" s="145" t="str">
        <f aca="false">IF(ISBLANK($C61),"",IF($BZ61&lt;&gt;Constants!$B$8,$BZ61,$CE61))</f>
        <v/>
      </c>
      <c r="CZ61" s="146" t="str">
        <f aca="false">IF(ISBLANK($C61),"",$CA61)</f>
        <v/>
      </c>
      <c r="DA61" s="147" t="str">
        <f aca="false">IF(ISBLANK($C61),"",$CP61)</f>
        <v/>
      </c>
      <c r="DB61" s="147" t="str">
        <f aca="false">IF(ISBLANK($C61),"",$CO61)</f>
        <v/>
      </c>
      <c r="DC61" s="148" t="str">
        <f aca="false">IF(ISBLANK($C61),"",IFERROR(_xlfn.SWITCH($DB61,Constants!$B$11,COUNTA($C$9:$C$508)+2,Constants!$B$10,COUNTA($C$9:$C$508)+1,Constants!$B$9,COUNTA($C$9:$C$508)),$DB61))</f>
        <v/>
      </c>
      <c r="DD61" s="9"/>
      <c r="DE61" s="149" t="n">
        <f aca="false">IF(OR(ISNUMBER($DB61),$DB61=Constants!$B$11,$DB61=Constants!$B$9,$DB61=Constants!$B$10),1,0)</f>
        <v>0</v>
      </c>
      <c r="DF61" s="149" t="n">
        <v>53</v>
      </c>
      <c r="DG61" s="149" t="str">
        <f aca="false">IF(ISBLANK($C61),"",IF(ISNUMBER($DC61),$DC61+ROW($B61)/1000,""))</f>
        <v/>
      </c>
      <c r="DH61" s="149" t="str">
        <f aca="false">IF(ISNUMBER($DG61),RANK($DG61,$DG$9:$DG$508,1),"")</f>
        <v/>
      </c>
      <c r="DI61" s="149" t="str">
        <f aca="false">IF(ISBLANK($C61),"",$B61)</f>
        <v/>
      </c>
      <c r="DJ61" s="149" t="str">
        <f aca="false">IF(ISBLANK($C61),"",$C61)</f>
        <v/>
      </c>
      <c r="DK61" s="149" t="str">
        <f aca="false">IF(ISBLANK($C61),"",$D61)</f>
        <v/>
      </c>
      <c r="DL61" s="150" t="str">
        <f aca="false">$CZ61</f>
        <v/>
      </c>
      <c r="DM61" s="151" t="str">
        <f aca="false">$CY61</f>
        <v/>
      </c>
      <c r="DN61" s="149" t="str">
        <f aca="false">IF(ISBLANK($C61),"",$DB61)</f>
        <v/>
      </c>
      <c r="DO61" s="152" t="str">
        <f aca="false">IF($DF61&gt;$DE$8,"",VLOOKUP($DF61,$DH$9:$DN$508,7,FALSE()))</f>
        <v/>
      </c>
      <c r="DP61" s="153" t="str">
        <f aca="false">IF($DF61&gt;$DE$8,"",VLOOKUP($DF61,$DH$9:$DN$508,2,FALSE()))</f>
        <v/>
      </c>
      <c r="DQ61" s="153" t="str">
        <f aca="false">IF($DF61&gt;$DE$8,"",VLOOKUP($DF61,$DH$9:$DN$508,3,FALSE()))</f>
        <v/>
      </c>
      <c r="DR61" s="153" t="str">
        <f aca="false">IF($DF61&gt;$DE$8,"",VLOOKUP($DF61,$DH$9:$DN$508,4,FALSE()))</f>
        <v/>
      </c>
      <c r="DS61" s="153" t="str">
        <f aca="false">IF($DF61&gt;$DE$8,"",VLOOKUP($DF61,$DH$9:$DN$508,5,FALSE()))</f>
        <v/>
      </c>
      <c r="DT61" s="154" t="str">
        <f aca="false">IF($DF61&gt;$DE$8,"",VLOOKUP($DF61,$DH$9:$DN$508,6,FALSE()))</f>
        <v/>
      </c>
      <c r="DU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IF(ISBLANK($C62),"",IF(E62=Constants!$B$3,TRUE(),IF(E62=Constants!$B$4,FALSE(),TRUE())))</f>
        <v/>
      </c>
      <c r="AG62" s="135" t="str">
        <f aca="false">IF(ISBLANK($C62),"",IF(F62=Constants!$B$3,TRUE(),IF(F62=Constants!$B$4,FALSE(),TRUE())))</f>
        <v/>
      </c>
      <c r="AH62" s="135" t="str">
        <f aca="false">IF(ISBLANK($C62),"",IF(G62=Constants!$B$3,TRUE(),IF(G62=Constants!$B$4,FALSE(),TRUE())))</f>
        <v/>
      </c>
      <c r="AI62" s="135" t="str">
        <f aca="false">IF(ISBLANK($C62),"",IF(AND(ISNUMBER(H62),H62&gt;=0),H62,Constants!$B$29))</f>
        <v/>
      </c>
      <c r="AJ62" s="135" t="str">
        <f aca="false">IF(ISBLANK($C62),"",IF(I62=Constants!$B$3,TRUE(),IF(I62=Constants!$B$4,FALSE(),TRUE())))</f>
        <v/>
      </c>
      <c r="AK62" s="135" t="str">
        <f aca="false">IF(ISBLANK($C62),"",IF(J62=Constants!$B$3,TRUE(),IF(J62=Constants!$B$4,FALSE(),TRUE())))</f>
        <v/>
      </c>
      <c r="AL62" s="135" t="str">
        <f aca="false">IF(ISBLANK($C62),"",IF(K62=Constants!$B$5,TRUE(),IF(K62=Constants!$B$6,FALSE(),COUNTA(L62:P62)&gt;0)))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IF(ISBLANK($C62),"",IF(N62=Constants!$B$3,TRUE(),IF(N62=Constants!$B$4,FALSE(),TRUE())))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IF(ISBLANK($C62),"",IF(P62=Constants!$B$3,TRUE(),IF(P62=Constants!$B$4,FALSE(),FALSE())))</f>
        <v/>
      </c>
      <c r="AR62" s="135" t="str">
        <f aca="false">IF(ISBLANK($C62),"",IF(Q62=Constants!$B$3,TRUE(),IF(Q62=Constants!$B$4,FALSE(),TRUE())))</f>
        <v/>
      </c>
      <c r="AS62" s="135" t="str">
        <f aca="false">IF(ISBLANK($C62),"",IF(R62=Constants!$B$3,TRUE(),IF(R62=Constants!$B$4,FALSE(),TRUE())))</f>
        <v/>
      </c>
      <c r="AT62" s="135" t="str">
        <f aca="false">IF(ISBLANK($C62),"",IF(S62=Constants!$B$5,TRUE(),IF(S62=Constants!$B$6,FALSE(),COUNTA(T62:X62)&gt;0)))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IF(ISBLANK($C62),"",IF(V62=Constants!$B$3,TRUE(),IF(V62=Constants!$B$4,FALSE(),TRUE())))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IF(ISBLANK($C62),"",IF(X62=Constants!$B$3,TRUE(),IF(X62=Constants!$B$4,FALSE(),FALSE())))</f>
        <v/>
      </c>
      <c r="AZ62" s="135" t="str">
        <f aca="false">IF(ISBLANK($C62),"",MIN(Constants!$B$31,MAX(0,IF(ISNUMBER(Y62),Y62*60,0)+IF(ISNUMBER(Z62),Z62,0))))</f>
        <v/>
      </c>
      <c r="BA62" s="135" t="str">
        <f aca="false">IF(ISBLANK($C62),"",IF(AA62=Constants!$B$3,TRUE(),IF(AA62=Constants!$B$4,FALSE(),FALSE())))</f>
        <v/>
      </c>
      <c r="BB62" s="134" t="str">
        <f aca="false">IF(ISBLANK($C62),"",AND($AL62,OR($AM62="",$AN62="",AND($AO62,$AP62=""))))</f>
        <v/>
      </c>
      <c r="BC62" s="137" t="str">
        <f aca="false">IF($BZ62&lt;&gt;Constants!$B$8,"",IF($AL62,Constants!$B$21*$AN62+Constants!$B$22*IF($AO62,$AP62,Constants!$B$23),Constants!$B$24))</f>
        <v/>
      </c>
      <c r="BD62" s="138" t="str">
        <f aca="false">IF($BZ62&lt;&gt;Constants!$B$8,"",Constants!$B$25*ABS($AD$9-IF($AL62,$AM62,0)))</f>
        <v/>
      </c>
      <c r="BE62" s="138" t="str">
        <f aca="false">IF($BZ62&lt;&gt;Constants!$B$8,"",IF(AND($AL62,$AQ62,$AO62),Constants!$B$27,0))</f>
        <v/>
      </c>
      <c r="BF62" s="138" t="str">
        <f aca="false">IF($BZ62&lt;&gt;Constants!$B$8,"",IF($AL62,($AI62-Constants!$B$29)*Constants!$B$28,0))</f>
        <v/>
      </c>
      <c r="BG62" s="138" t="str">
        <f aca="false">IF($BZ62&lt;&gt;Constants!$B$8,"",IF($AK62,0,Constants!$B$15)+IF($AJ62,0,Constants!$B$16)+IF($AH62,0,Constants!$B$17))</f>
        <v/>
      </c>
      <c r="BH62" s="139" t="str">
        <f aca="false">IF($BZ62&lt;&gt;Constants!$B$8,"",Constants!$B$20+SUM($BC62:$BG62))</f>
        <v/>
      </c>
      <c r="BI62" s="138" t="str">
        <f aca="false">IF($BZ62&lt;&gt;Constants!$B$8,"",$BC62)</f>
        <v/>
      </c>
      <c r="BJ62" s="138" t="str">
        <f aca="false">IF($BZ62&lt;&gt;Constants!$B$8,"",$BD62)</f>
        <v/>
      </c>
      <c r="BK62" s="138" t="str">
        <f aca="false">IF($BZ62&lt;&gt;Constants!$B$8,"",IF($AL62,$AN62,""))</f>
        <v/>
      </c>
      <c r="BL62" s="140" t="str">
        <f aca="false">IF($BZ62&lt;&gt;Constants!$B$8,"",$AI62)</f>
        <v/>
      </c>
      <c r="BM62" s="135" t="str">
        <f aca="false">IF($BZ62&lt;&gt;Constants!$B$8,"",IF(OR($BT62&lt;$BH62,AND($BT62=$BH62,OR($BU62&lt;$BI62,AND($BU62=$BI62,OR($BV62&lt;$BJ62,AND($BV62=$BJ62,OR(AND(ISNUMBER($BW62),OR(NOT(ISNUMBER($BK62)),$BW62&lt;$BK62)),AND(OR(AND($BW62="",$BK62=""),AND(ISNUMBER($BW62),ISNUMBER($BK62),$BW62=$BK62)),$BX62&lt;$BL62)))))))),"-&gt;","&lt;-"))</f>
        <v/>
      </c>
      <c r="BN62" s="134" t="str">
        <f aca="false">IF(ISBLANK($C62),"",AND($AT62,OR($AU62="",$AV62="",AND($AW62,$AX62=""))))</f>
        <v/>
      </c>
      <c r="BO62" s="137" t="str">
        <f aca="false">IF($BZ62&lt;&gt;Constants!$B$8,"",IF($AT62,Constants!$B$21*$AV62+Constants!$B$22*IF($AW62,$AX62,Constants!$B$23),Constants!$B$24))</f>
        <v/>
      </c>
      <c r="BP62" s="138" t="str">
        <f aca="false">IF($BZ62&lt;&gt;Constants!$B$8,"",Constants!$B$25*ABS($AD$9-IF($AT62,$AU62,0)))</f>
        <v/>
      </c>
      <c r="BQ62" s="138" t="str">
        <f aca="false">IF($BZ62&lt;&gt;Constants!$B$8,"",IF(AND($AT62,$AY62,$AW62),Constants!$B$27,0))</f>
        <v/>
      </c>
      <c r="BR62" s="138" t="str">
        <f aca="false">IF($BZ62&lt;&gt;Constants!$B$8,"",IF($AT62,($AI62-Constants!$B$29)*Constants!$B$28,0))</f>
        <v/>
      </c>
      <c r="BS62" s="138" t="str">
        <f aca="false">IF($BZ62&lt;&gt;Constants!$B$8,"",IF($AS62,0,Constants!$B$15)+IF($AR62,0,Constants!$B$16)+IF($AH62,0,Constants!$B$17))</f>
        <v/>
      </c>
      <c r="BT62" s="139" t="str">
        <f aca="false">IF($BZ62&lt;&gt;Constants!$B$8,"",Constants!$B$20+SUM($BO62:$BS62))</f>
        <v/>
      </c>
      <c r="BU62" s="138" t="str">
        <f aca="false">IF($BZ62&lt;&gt;Constants!$B$8,"",$BO62)</f>
        <v/>
      </c>
      <c r="BV62" s="138" t="str">
        <f aca="false">IF($BZ62&lt;&gt;Constants!$B$8,"",$BP62)</f>
        <v/>
      </c>
      <c r="BW62" s="138" t="str">
        <f aca="false">IF($BZ62&lt;&gt;Constants!$B$8,"",IF($AT62,$AV62,""))</f>
        <v/>
      </c>
      <c r="BX62" s="140" t="str">
        <f aca="false">IF($BZ62&lt;&gt;Constants!$B$8,"",$AI62)</f>
        <v/>
      </c>
      <c r="BY62" s="135" t="str">
        <f aca="false">IF(ISBLANK($C62),"",IF(ISBLANK($D$7),$BY$5,IF(NOT(ISNUMBER($D$7)),$BY$6,"")))</f>
        <v/>
      </c>
      <c r="BZ62" s="135" t="str">
        <f aca="false">IF(ISBLANK($C62),"",IF($BA62,Constants!$B$11,IF(COUNTA($E62:$AA62)=0,Constants!$B$10,IF(NOT($AG62),Constants!$B$9,IF(OR($BY62&lt;&gt;"",$BB62,$BN62),Constants!$B$12,Constants!$B$8)))))</f>
        <v/>
      </c>
      <c r="CA62" s="135" t="str">
        <f aca="false">IF(ISBLANK($C62),"",IF($BZ62&lt;&gt;Constants!$B$8,$BZ62,Constants!$B$13))</f>
        <v/>
      </c>
      <c r="CB62" s="138" t="str">
        <f aca="false">IF($BZ62&lt;&gt;Constants!$B$8,"",IF($BM62="-&gt;",$BT62,$BH62))</f>
        <v/>
      </c>
      <c r="CC62" s="138" t="str">
        <f aca="false">IF($BZ62&lt;&gt;Constants!$B$8,"",IF($AF62,0,Constants!$B$18))</f>
        <v/>
      </c>
      <c r="CD62" s="138" t="str">
        <f aca="false">IF($BZ62&lt;&gt;Constants!$B$8,"",((Constants!$B$31-$AZ62)-Constants!$B$31)/Constants!$B$32)</f>
        <v/>
      </c>
      <c r="CE62" s="138" t="str">
        <f aca="false">IF(ISBLANK($C62),"",IF($BZ62&lt;&gt;Constants!$B$8,$BZ62,SUM($CB62:$CD62)))</f>
        <v/>
      </c>
      <c r="CF62" s="135" t="str">
        <f aca="false">IF(ISBLANK($C62),"",IF($BZ62&lt;&gt;Constants!$B$8,$BZ62,RANK($CE62,$CE$9:$CE$508,1)))</f>
        <v/>
      </c>
      <c r="CG62" s="138" t="str">
        <f aca="false">IF($BZ62&lt;&gt;Constants!$B$8,"",IF($BM62="-&gt;",$BU62,$BI62))</f>
        <v/>
      </c>
      <c r="CH62" s="135" t="str">
        <f aca="false">IF(ISBLANK($C62),"",IF($BZ62&lt;&gt;Constants!$B$8,$BZ62,IF(ISNUMBER($CG62),RANK($CG62,$CG$9:$CG$508,1),COUNT($CG$9:$CG$508)+1)))</f>
        <v/>
      </c>
      <c r="CI62" s="138" t="str">
        <f aca="false">IF($BZ62&lt;&gt;Constants!$B$8,"",IF($BM62="-&gt;",$BV62,$BJ62))</f>
        <v/>
      </c>
      <c r="CJ62" s="135" t="str">
        <f aca="false">IF(ISBLANK($C62),"",IF($BZ62&lt;&gt;Constants!$B$8,$BZ62,IF(ISNUMBER($CI62),RANK($CI62,$CI$9:$CI$508,1),COUNT($CI$9:$CI$508)+1)))</f>
        <v/>
      </c>
      <c r="CK62" s="138" t="str">
        <f aca="false">IF($BZ62&lt;&gt;Constants!$B$8,"",IF($BM62="-&gt;",$BW62,$BK62))</f>
        <v/>
      </c>
      <c r="CL62" s="135" t="str">
        <f aca="false">IF(ISBLANK($C62),"",IF($BZ62&lt;&gt;Constants!$B$8,$BZ62,IF(ISNUMBER($CK62),RANK($CK62,$CK$9:$CK$508,1),COUNT($CK$9:$CK$508)+1)))</f>
        <v/>
      </c>
      <c r="CM62" s="138" t="str">
        <f aca="false">IF($BZ62&lt;&gt;Constants!$B$8,"",IF(AND(NOT($AL62),NOT($AT62),$AJ62,$AK62,$AR62,$AS62),"",IF($BM62="-&gt;",$BX62,$BL62)))</f>
        <v/>
      </c>
      <c r="CN62" s="135" t="str">
        <f aca="false">IF(ISBLANK($C62),"",IF($BZ62&lt;&gt;Constants!$B$8,$BZ62,IF(ISNUMBER($CM62),RANK($CM62,$CM$9:$CM$508,1),COUNT($CM$9:$CM$508)+1)))</f>
        <v/>
      </c>
      <c r="CO62" s="135" t="str">
        <f aca="false">IF(ISBLANK($C62),"",IF($BZ62&lt;&gt;Constants!$B$8,$BZ62,COUNTIFS($CF$9:$CF$508,"&lt;"&amp;$CF62)+COUNTIFS($CF$9:$CF$508,$CF62,$CH$9:$CH$508,"&lt;"&amp;$CH62)+COUNTIFS($CF$9:$CF$508,$CF62,$CH$9:$CH$508,$CH62,$CJ$9:$CJ$508,"&lt;"&amp;$CJ62)+COUNTIFS($CF$9:$CF$508,$CF62,$CH$9:$CH$508,$CH62,$CJ$9:$CJ$508,$CJ62,$CL$9:$CL$508,"&lt;"&amp;$CL62)+COUNTIFS($CF$9:$CF$508,$CF62,$CH$9:$CH$508,$CH62,$CJ$9:$CJ$508,$CJ62,$CL$9:$CL$508,$CL62,$CN$9:$CN$508,"&lt;"&amp;$CN62)+1))</f>
        <v/>
      </c>
      <c r="CP62" s="135" t="str">
        <f aca="false">IF(ISBLANK($C62),"",IF($BZ62&lt;&gt;Constants!$B$8,$BZ62,$CF62-$CO62))</f>
        <v/>
      </c>
      <c r="CQ62" s="141"/>
      <c r="CR62" s="142"/>
      <c r="CS62" s="143" t="str">
        <f aca="false">IF(ISBLANK($C62),"",IF($BZ62=Constants!$B$12,$BY62,""))</f>
        <v/>
      </c>
      <c r="CT62" s="142" t="str">
        <f aca="false">IF(ISBLANK($C62),"",IF($BZ62&lt;&gt;Constants!$B$8,"",IF($BM62="-&gt;",2,1)))</f>
        <v/>
      </c>
      <c r="CU62" s="144" t="str">
        <f aca="false">IF(ISBLANK($C62),"",IF($BZ62&lt;&gt;Constants!$B$8,"",IF($BM62="-&gt;",$BO62,$BC62)))</f>
        <v/>
      </c>
      <c r="CV62" s="144" t="str">
        <f aca="false">IF(ISBLANK($C62),"",IF($BZ62&lt;&gt;Constants!$B$8,"",IF($BM62="-&gt;",$BP62,$BD62)))</f>
        <v/>
      </c>
      <c r="CW62" s="144" t="str">
        <f aca="false">IF(ISBLANK($C62),"",IF($BZ62&lt;&gt;Constants!$B$8,"",IF($BM62="-&gt;",$BQ62+$BR62,$BE62+$BF62)+$CD62))</f>
        <v/>
      </c>
      <c r="CX62" s="144" t="str">
        <f aca="false">IF(ISBLANK($C62),"",IF($BZ62&lt;&gt;Constants!$B$8,"",IF($BM62="-&gt;",$BS62,$BG62)+$CC62))</f>
        <v/>
      </c>
      <c r="CY62" s="145" t="str">
        <f aca="false">IF(ISBLANK($C62),"",IF($BZ62&lt;&gt;Constants!$B$8,$BZ62,$CE62))</f>
        <v/>
      </c>
      <c r="CZ62" s="146" t="str">
        <f aca="false">IF(ISBLANK($C62),"",$CA62)</f>
        <v/>
      </c>
      <c r="DA62" s="147" t="str">
        <f aca="false">IF(ISBLANK($C62),"",$CP62)</f>
        <v/>
      </c>
      <c r="DB62" s="147" t="str">
        <f aca="false">IF(ISBLANK($C62),"",$CO62)</f>
        <v/>
      </c>
      <c r="DC62" s="148" t="str">
        <f aca="false">IF(ISBLANK($C62),"",IFERROR(_xlfn.SWITCH($DB62,Constants!$B$11,COUNTA($C$9:$C$508)+2,Constants!$B$10,COUNTA($C$9:$C$508)+1,Constants!$B$9,COUNTA($C$9:$C$508)),$DB62))</f>
        <v/>
      </c>
      <c r="DD62" s="9"/>
      <c r="DE62" s="149" t="n">
        <f aca="false">IF(OR(ISNUMBER($DB62),$DB62=Constants!$B$11,$DB62=Constants!$B$9,$DB62=Constants!$B$10),1,0)</f>
        <v>0</v>
      </c>
      <c r="DF62" s="149" t="n">
        <v>54</v>
      </c>
      <c r="DG62" s="149" t="str">
        <f aca="false">IF(ISBLANK($C62),"",IF(ISNUMBER($DC62),$DC62+ROW($B62)/1000,""))</f>
        <v/>
      </c>
      <c r="DH62" s="149" t="str">
        <f aca="false">IF(ISNUMBER($DG62),RANK($DG62,$DG$9:$DG$508,1),"")</f>
        <v/>
      </c>
      <c r="DI62" s="149" t="str">
        <f aca="false">IF(ISBLANK($C62),"",$B62)</f>
        <v/>
      </c>
      <c r="DJ62" s="149" t="str">
        <f aca="false">IF(ISBLANK($C62),"",$C62)</f>
        <v/>
      </c>
      <c r="DK62" s="149" t="str">
        <f aca="false">IF(ISBLANK($C62),"",$D62)</f>
        <v/>
      </c>
      <c r="DL62" s="150" t="str">
        <f aca="false">$CZ62</f>
        <v/>
      </c>
      <c r="DM62" s="151" t="str">
        <f aca="false">$CY62</f>
        <v/>
      </c>
      <c r="DN62" s="149" t="str">
        <f aca="false">IF(ISBLANK($C62),"",$DB62)</f>
        <v/>
      </c>
      <c r="DO62" s="152" t="str">
        <f aca="false">IF($DF62&gt;$DE$8,"",VLOOKUP($DF62,$DH$9:$DN$508,7,FALSE()))</f>
        <v/>
      </c>
      <c r="DP62" s="153" t="str">
        <f aca="false">IF($DF62&gt;$DE$8,"",VLOOKUP($DF62,$DH$9:$DN$508,2,FALSE()))</f>
        <v/>
      </c>
      <c r="DQ62" s="153" t="str">
        <f aca="false">IF($DF62&gt;$DE$8,"",VLOOKUP($DF62,$DH$9:$DN$508,3,FALSE()))</f>
        <v/>
      </c>
      <c r="DR62" s="153" t="str">
        <f aca="false">IF($DF62&gt;$DE$8,"",VLOOKUP($DF62,$DH$9:$DN$508,4,FALSE()))</f>
        <v/>
      </c>
      <c r="DS62" s="153" t="str">
        <f aca="false">IF($DF62&gt;$DE$8,"",VLOOKUP($DF62,$DH$9:$DN$508,5,FALSE()))</f>
        <v/>
      </c>
      <c r="DT62" s="154" t="str">
        <f aca="false">IF($DF62&gt;$DE$8,"",VLOOKUP($DF62,$DH$9:$DN$508,6,FALSE()))</f>
        <v/>
      </c>
      <c r="DU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IF(ISBLANK($C63),"",IF(E63=Constants!$B$3,TRUE(),IF(E63=Constants!$B$4,FALSE(),TRUE())))</f>
        <v/>
      </c>
      <c r="AG63" s="93" t="str">
        <f aca="false">IF(ISBLANK($C63),"",IF(F63=Constants!$B$3,TRUE(),IF(F63=Constants!$B$4,FALSE(),TRUE())))</f>
        <v/>
      </c>
      <c r="AH63" s="93" t="str">
        <f aca="false">IF(ISBLANK($C63),"",IF(G63=Constants!$B$3,TRUE(),IF(G63=Constants!$B$4,FALSE(),TRUE())))</f>
        <v/>
      </c>
      <c r="AI63" s="93" t="str">
        <f aca="false">IF(ISBLANK($C63),"",IF(AND(ISNUMBER(H63),H63&gt;=0),H63,Constants!$B$29))</f>
        <v/>
      </c>
      <c r="AJ63" s="93" t="str">
        <f aca="false">IF(ISBLANK($C63),"",IF(I63=Constants!$B$3,TRUE(),IF(I63=Constants!$B$4,FALSE(),TRUE())))</f>
        <v/>
      </c>
      <c r="AK63" s="93" t="str">
        <f aca="false">IF(ISBLANK($C63),"",IF(J63=Constants!$B$3,TRUE(),IF(J63=Constants!$B$4,FALSE(),TRUE())))</f>
        <v/>
      </c>
      <c r="AL63" s="93" t="str">
        <f aca="false">IF(ISBLANK($C63),"",IF(K63=Constants!$B$5,TRUE(),IF(K63=Constants!$B$6,FALSE(),COUNTA(L63:P63)&gt;0)))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IF(ISBLANK($C63),"",IF(N63=Constants!$B$3,TRUE(),IF(N63=Constants!$B$4,FALSE(),TRUE())))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IF(ISBLANK($C63),"",IF(P63=Constants!$B$3,TRUE(),IF(P63=Constants!$B$4,FALSE(),FALSE())))</f>
        <v/>
      </c>
      <c r="AR63" s="93" t="str">
        <f aca="false">IF(ISBLANK($C63),"",IF(Q63=Constants!$B$3,TRUE(),IF(Q63=Constants!$B$4,FALSE(),TRUE())))</f>
        <v/>
      </c>
      <c r="AS63" s="93" t="str">
        <f aca="false">IF(ISBLANK($C63),"",IF(R63=Constants!$B$3,TRUE(),IF(R63=Constants!$B$4,FALSE(),TRUE())))</f>
        <v/>
      </c>
      <c r="AT63" s="93" t="str">
        <f aca="false">IF(ISBLANK($C63),"",IF(S63=Constants!$B$5,TRUE(),IF(S63=Constants!$B$6,FALSE(),COUNTA(T63:X63)&gt;0)))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IF(ISBLANK($C63),"",IF(V63=Constants!$B$3,TRUE(),IF(V63=Constants!$B$4,FALSE(),TRUE())))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IF(ISBLANK($C63),"",IF(X63=Constants!$B$3,TRUE(),IF(X63=Constants!$B$4,FALSE(),FALSE())))</f>
        <v/>
      </c>
      <c r="AZ63" s="93" t="str">
        <f aca="false">IF(ISBLANK($C63),"",MIN(Constants!$B$31,MAX(0,IF(ISNUMBER(Y63),Y63*60,0)+IF(ISNUMBER(Z63),Z63,0))))</f>
        <v/>
      </c>
      <c r="BA63" s="93" t="str">
        <f aca="false">IF(ISBLANK($C63),"",IF(AA63=Constants!$B$3,TRUE(),IF(AA63=Constants!$B$4,FALSE(),FALSE())))</f>
        <v/>
      </c>
      <c r="BB63" s="92" t="str">
        <f aca="false">IF(ISBLANK($C63),"",AND($AL63,OR($AM63="",$AN63="",AND($AO63,$AP63=""))))</f>
        <v/>
      </c>
      <c r="BC63" s="94" t="str">
        <f aca="false">IF($BZ63&lt;&gt;Constants!$B$8,"",IF($AL63,Constants!$B$21*$AN63+Constants!$B$22*IF($AO63,$AP63,Constants!$B$23),Constants!$B$24))</f>
        <v/>
      </c>
      <c r="BD63" s="97" t="str">
        <f aca="false">IF($BZ63&lt;&gt;Constants!$B$8,"",Constants!$B$25*ABS($AD$9-IF($AL63,$AM63,0)))</f>
        <v/>
      </c>
      <c r="BE63" s="97" t="str">
        <f aca="false">IF($BZ63&lt;&gt;Constants!$B$8,"",IF(AND($AL63,$AQ63,$AO63),Constants!$B$27,0))</f>
        <v/>
      </c>
      <c r="BF63" s="97" t="str">
        <f aca="false">IF($BZ63&lt;&gt;Constants!$B$8,"",IF($AL63,($AI63-Constants!$B$29)*Constants!$B$28,0))</f>
        <v/>
      </c>
      <c r="BG63" s="97" t="str">
        <f aca="false">IF($BZ63&lt;&gt;Constants!$B$8,"",IF($AK63,0,Constants!$B$15)+IF($AJ63,0,Constants!$B$16)+IF($AH63,0,Constants!$B$17))</f>
        <v/>
      </c>
      <c r="BH63" s="98" t="str">
        <f aca="false">IF($BZ63&lt;&gt;Constants!$B$8,"",Constants!$B$20+SUM($BC63:$BG63))</f>
        <v/>
      </c>
      <c r="BI63" s="97" t="str">
        <f aca="false">IF($BZ63&lt;&gt;Constants!$B$8,"",$BC63)</f>
        <v/>
      </c>
      <c r="BJ63" s="97" t="str">
        <f aca="false">IF($BZ63&lt;&gt;Constants!$B$8,"",$BD63)</f>
        <v/>
      </c>
      <c r="BK63" s="97" t="str">
        <f aca="false">IF($BZ63&lt;&gt;Constants!$B$8,"",IF($AL63,$AN63,""))</f>
        <v/>
      </c>
      <c r="BL63" s="99" t="str">
        <f aca="false">IF($BZ63&lt;&gt;Constants!$B$8,"",$AI63)</f>
        <v/>
      </c>
      <c r="BM63" s="93" t="str">
        <f aca="false">IF($BZ63&lt;&gt;Constants!$B$8,"",IF(OR($BT63&lt;$BH63,AND($BT63=$BH63,OR($BU63&lt;$BI63,AND($BU63=$BI63,OR($BV63&lt;$BJ63,AND($BV63=$BJ63,OR(AND(ISNUMBER($BW63),OR(NOT(ISNUMBER($BK63)),$BW63&lt;$BK63)),AND(OR(AND($BW63="",$BK63=""),AND(ISNUMBER($BW63),ISNUMBER($BK63),$BW63=$BK63)),$BX63&lt;$BL63)))))))),"-&gt;","&lt;-"))</f>
        <v/>
      </c>
      <c r="BN63" s="92" t="str">
        <f aca="false">IF(ISBLANK($C63),"",AND($AT63,OR($AU63="",$AV63="",AND($AW63,$AX63=""))))</f>
        <v/>
      </c>
      <c r="BO63" s="94" t="str">
        <f aca="false">IF($BZ63&lt;&gt;Constants!$B$8,"",IF($AT63,Constants!$B$21*$AV63+Constants!$B$22*IF($AW63,$AX63,Constants!$B$23),Constants!$B$24))</f>
        <v/>
      </c>
      <c r="BP63" s="97" t="str">
        <f aca="false">IF($BZ63&lt;&gt;Constants!$B$8,"",Constants!$B$25*ABS($AD$9-IF($AT63,$AU63,0)))</f>
        <v/>
      </c>
      <c r="BQ63" s="97" t="str">
        <f aca="false">IF($BZ63&lt;&gt;Constants!$B$8,"",IF(AND($AT63,$AY63,$AW63),Constants!$B$27,0))</f>
        <v/>
      </c>
      <c r="BR63" s="97" t="str">
        <f aca="false">IF($BZ63&lt;&gt;Constants!$B$8,"",IF($AT63,($AI63-Constants!$B$29)*Constants!$B$28,0))</f>
        <v/>
      </c>
      <c r="BS63" s="97" t="str">
        <f aca="false">IF($BZ63&lt;&gt;Constants!$B$8,"",IF($AS63,0,Constants!$B$15)+IF($AR63,0,Constants!$B$16)+IF($AH63,0,Constants!$B$17))</f>
        <v/>
      </c>
      <c r="BT63" s="98" t="str">
        <f aca="false">IF($BZ63&lt;&gt;Constants!$B$8,"",Constants!$B$20+SUM($BO63:$BS63))</f>
        <v/>
      </c>
      <c r="BU63" s="97" t="str">
        <f aca="false">IF($BZ63&lt;&gt;Constants!$B$8,"",$BO63)</f>
        <v/>
      </c>
      <c r="BV63" s="97" t="str">
        <f aca="false">IF($BZ63&lt;&gt;Constants!$B$8,"",$BP63)</f>
        <v/>
      </c>
      <c r="BW63" s="97" t="str">
        <f aca="false">IF($BZ63&lt;&gt;Constants!$B$8,"",IF($AT63,$AV63,""))</f>
        <v/>
      </c>
      <c r="BX63" s="99" t="str">
        <f aca="false">IF($BZ63&lt;&gt;Constants!$B$8,"",$AI63)</f>
        <v/>
      </c>
      <c r="BY63" s="93" t="str">
        <f aca="false">IF(ISBLANK($C63),"",IF(ISBLANK($D$7),$BY$5,IF(NOT(ISNUMBER($D$7)),$BY$6,"")))</f>
        <v/>
      </c>
      <c r="BZ63" s="93" t="str">
        <f aca="false">IF(ISBLANK($C63),"",IF($BA63,Constants!$B$11,IF(COUNTA($E63:$AA63)=0,Constants!$B$10,IF(NOT($AG63),Constants!$B$9,IF(OR($BY63&lt;&gt;"",$BB63,$BN63),Constants!$B$12,Constants!$B$8)))))</f>
        <v/>
      </c>
      <c r="CA63" s="93" t="str">
        <f aca="false">IF(ISBLANK($C63),"",IF($BZ63&lt;&gt;Constants!$B$8,$BZ63,Constants!$B$13))</f>
        <v/>
      </c>
      <c r="CB63" s="97" t="str">
        <f aca="false">IF($BZ63&lt;&gt;Constants!$B$8,"",IF($BM63="-&gt;",$BT63,$BH63))</f>
        <v/>
      </c>
      <c r="CC63" s="97" t="str">
        <f aca="false">IF($BZ63&lt;&gt;Constants!$B$8,"",IF($AF63,0,Constants!$B$18))</f>
        <v/>
      </c>
      <c r="CD63" s="97" t="str">
        <f aca="false">IF($BZ63&lt;&gt;Constants!$B$8,"",((Constants!$B$31-$AZ63)-Constants!$B$31)/Constants!$B$32)</f>
        <v/>
      </c>
      <c r="CE63" s="97" t="str">
        <f aca="false">IF(ISBLANK($C63),"",IF($BZ63&lt;&gt;Constants!$B$8,$BZ63,SUM($CB63:$CD63)))</f>
        <v/>
      </c>
      <c r="CF63" s="93" t="str">
        <f aca="false">IF(ISBLANK($C63),"",IF($BZ63&lt;&gt;Constants!$B$8,$BZ63,RANK($CE63,$CE$9:$CE$508,1)))</f>
        <v/>
      </c>
      <c r="CG63" s="97" t="str">
        <f aca="false">IF($BZ63&lt;&gt;Constants!$B$8,"",IF($BM63="-&gt;",$BU63,$BI63))</f>
        <v/>
      </c>
      <c r="CH63" s="93" t="str">
        <f aca="false">IF(ISBLANK($C63),"",IF($BZ63&lt;&gt;Constants!$B$8,$BZ63,IF(ISNUMBER($CG63),RANK($CG63,$CG$9:$CG$508,1),COUNT($CG$9:$CG$508)+1)))</f>
        <v/>
      </c>
      <c r="CI63" s="97" t="str">
        <f aca="false">IF($BZ63&lt;&gt;Constants!$B$8,"",IF($BM63="-&gt;",$BV63,$BJ63))</f>
        <v/>
      </c>
      <c r="CJ63" s="93" t="str">
        <f aca="false">IF(ISBLANK($C63),"",IF($BZ63&lt;&gt;Constants!$B$8,$BZ63,IF(ISNUMBER($CI63),RANK($CI63,$CI$9:$CI$508,1),COUNT($CI$9:$CI$508)+1)))</f>
        <v/>
      </c>
      <c r="CK63" s="97" t="str">
        <f aca="false">IF($BZ63&lt;&gt;Constants!$B$8,"",IF($BM63="-&gt;",$BW63,$BK63))</f>
        <v/>
      </c>
      <c r="CL63" s="93" t="str">
        <f aca="false">IF(ISBLANK($C63),"",IF($BZ63&lt;&gt;Constants!$B$8,$BZ63,IF(ISNUMBER($CK63),RANK($CK63,$CK$9:$CK$508,1),COUNT($CK$9:$CK$508)+1)))</f>
        <v/>
      </c>
      <c r="CM63" s="97" t="str">
        <f aca="false">IF($BZ63&lt;&gt;Constants!$B$8,"",IF(AND(NOT($AL63),NOT($AT63),$AJ63,$AK63,$AR63,$AS63),"",IF($BM63="-&gt;",$BX63,$BL63)))</f>
        <v/>
      </c>
      <c r="CN63" s="93" t="str">
        <f aca="false">IF(ISBLANK($C63),"",IF($BZ63&lt;&gt;Constants!$B$8,$BZ63,IF(ISNUMBER($CM63),RANK($CM63,$CM$9:$CM$508,1),COUNT($CM$9:$CM$508)+1)))</f>
        <v/>
      </c>
      <c r="CO63" s="93" t="str">
        <f aca="false">IF(ISBLANK($C63),"",IF($BZ63&lt;&gt;Constants!$B$8,$BZ63,COUNTIFS($CF$9:$CF$508,"&lt;"&amp;$CF63)+COUNTIFS($CF$9:$CF$508,$CF63,$CH$9:$CH$508,"&lt;"&amp;$CH63)+COUNTIFS($CF$9:$CF$508,$CF63,$CH$9:$CH$508,$CH63,$CJ$9:$CJ$508,"&lt;"&amp;$CJ63)+COUNTIFS($CF$9:$CF$508,$CF63,$CH$9:$CH$508,$CH63,$CJ$9:$CJ$508,$CJ63,$CL$9:$CL$508,"&lt;"&amp;$CL63)+COUNTIFS($CF$9:$CF$508,$CF63,$CH$9:$CH$508,$CH63,$CJ$9:$CJ$508,$CJ63,$CL$9:$CL$508,$CL63,$CN$9:$CN$508,"&lt;"&amp;$CN63)+1))</f>
        <v/>
      </c>
      <c r="CP63" s="93" t="str">
        <f aca="false">IF(ISBLANK($C63),"",IF($BZ63&lt;&gt;Constants!$B$8,$BZ63,$CF63-$CO63))</f>
        <v/>
      </c>
      <c r="CQ63" s="100"/>
      <c r="CR63" s="101"/>
      <c r="CS63" s="102" t="str">
        <f aca="false">IF(ISBLANK($C63),"",IF($BZ63=Constants!$B$12,$BY63,""))</f>
        <v/>
      </c>
      <c r="CT63" s="101" t="str">
        <f aca="false">IF(ISBLANK($C63),"",IF($BZ63&lt;&gt;Constants!$B$8,"",IF($BM63="-&gt;",2,1)))</f>
        <v/>
      </c>
      <c r="CU63" s="103" t="str">
        <f aca="false">IF(ISBLANK($C63),"",IF($BZ63&lt;&gt;Constants!$B$8,"",IF($BM63="-&gt;",$BO63,$BC63)))</f>
        <v/>
      </c>
      <c r="CV63" s="103" t="str">
        <f aca="false">IF(ISBLANK($C63),"",IF($BZ63&lt;&gt;Constants!$B$8,"",IF($BM63="-&gt;",$BP63,$BD63)))</f>
        <v/>
      </c>
      <c r="CW63" s="103" t="str">
        <f aca="false">IF(ISBLANK($C63),"",IF($BZ63&lt;&gt;Constants!$B$8,"",IF($BM63="-&gt;",$BQ63+$BR63,$BE63+$BF63)+$CD63))</f>
        <v/>
      </c>
      <c r="CX63" s="103" t="str">
        <f aca="false">IF(ISBLANK($C63),"",IF($BZ63&lt;&gt;Constants!$B$8,"",IF($BM63="-&gt;",$BS63,$BG63)+$CC63))</f>
        <v/>
      </c>
      <c r="CY63" s="104" t="str">
        <f aca="false">IF(ISBLANK($C63),"",IF($BZ63&lt;&gt;Constants!$B$8,$BZ63,$CE63))</f>
        <v/>
      </c>
      <c r="CZ63" s="105" t="str">
        <f aca="false">IF(ISBLANK($C63),"",$CA63)</f>
        <v/>
      </c>
      <c r="DA63" s="106" t="str">
        <f aca="false">IF(ISBLANK($C63),"",$CP63)</f>
        <v/>
      </c>
      <c r="DB63" s="106" t="str">
        <f aca="false">IF(ISBLANK($C63),"",$CO63)</f>
        <v/>
      </c>
      <c r="DC63" s="107" t="str">
        <f aca="false">IF(ISBLANK($C63),"",IFERROR(_xlfn.SWITCH($DB63,Constants!$B$11,COUNTA($C$9:$C$508)+2,Constants!$B$10,COUNTA($C$9:$C$508)+1,Constants!$B$9,COUNTA($C$9:$C$508)),$DB63))</f>
        <v/>
      </c>
      <c r="DD63" s="9"/>
      <c r="DE63" s="108" t="n">
        <f aca="false">IF(OR(ISNUMBER($DB63),$DB63=Constants!$B$11,$DB63=Constants!$B$9,$DB63=Constants!$B$10),1,0)</f>
        <v>0</v>
      </c>
      <c r="DF63" s="108" t="n">
        <v>55</v>
      </c>
      <c r="DG63" s="108" t="str">
        <f aca="false">IF(ISBLANK($C63),"",IF(ISNUMBER($DC63),$DC63+ROW($B63)/1000,""))</f>
        <v/>
      </c>
      <c r="DH63" s="108" t="str">
        <f aca="false">IF(ISNUMBER($DG63),RANK($DG63,$DG$9:$DG$508,1),"")</f>
        <v/>
      </c>
      <c r="DI63" s="108" t="str">
        <f aca="false">IF(ISBLANK($C63),"",$B63)</f>
        <v/>
      </c>
      <c r="DJ63" s="108" t="str">
        <f aca="false">IF(ISBLANK($C63),"",$C63)</f>
        <v/>
      </c>
      <c r="DK63" s="108" t="str">
        <f aca="false">IF(ISBLANK($C63),"",$D63)</f>
        <v/>
      </c>
      <c r="DL63" s="109" t="str">
        <f aca="false">$CZ63</f>
        <v/>
      </c>
      <c r="DM63" s="110" t="str">
        <f aca="false">$CY63</f>
        <v/>
      </c>
      <c r="DN63" s="108" t="str">
        <f aca="false">IF(ISBLANK($C63),"",$DB63)</f>
        <v/>
      </c>
      <c r="DO63" s="111" t="str">
        <f aca="false">IF($DF63&gt;$DE$8,"",VLOOKUP($DF63,$DH$9:$DN$508,7,FALSE()))</f>
        <v/>
      </c>
      <c r="DP63" s="112" t="str">
        <f aca="false">IF($DF63&gt;$DE$8,"",VLOOKUP($DF63,$DH$9:$DN$508,2,FALSE()))</f>
        <v/>
      </c>
      <c r="DQ63" s="112" t="str">
        <f aca="false">IF($DF63&gt;$DE$8,"",VLOOKUP($DF63,$DH$9:$DN$508,3,FALSE()))</f>
        <v/>
      </c>
      <c r="DR63" s="112" t="str">
        <f aca="false">IF($DF63&gt;$DE$8,"",VLOOKUP($DF63,$DH$9:$DN$508,4,FALSE()))</f>
        <v/>
      </c>
      <c r="DS63" s="112" t="str">
        <f aca="false">IF($DF63&gt;$DE$8,"",VLOOKUP($DF63,$DH$9:$DN$508,5,FALSE()))</f>
        <v/>
      </c>
      <c r="DT63" s="113" t="str">
        <f aca="false">IF($DF63&gt;$DE$8,"",VLOOKUP($DF63,$DH$9:$DN$508,6,FALSE()))</f>
        <v/>
      </c>
      <c r="DU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IF(ISBLANK($C64),"",IF(E64=Constants!$B$3,TRUE(),IF(E64=Constants!$B$4,FALSE(),TRUE())))</f>
        <v/>
      </c>
      <c r="AG64" s="93" t="str">
        <f aca="false">IF(ISBLANK($C64),"",IF(F64=Constants!$B$3,TRUE(),IF(F64=Constants!$B$4,FALSE(),TRUE())))</f>
        <v/>
      </c>
      <c r="AH64" s="93" t="str">
        <f aca="false">IF(ISBLANK($C64),"",IF(G64=Constants!$B$3,TRUE(),IF(G64=Constants!$B$4,FALSE(),TRUE())))</f>
        <v/>
      </c>
      <c r="AI64" s="93" t="str">
        <f aca="false">IF(ISBLANK($C64),"",IF(AND(ISNUMBER(H64),H64&gt;=0),H64,Constants!$B$29))</f>
        <v/>
      </c>
      <c r="AJ64" s="93" t="str">
        <f aca="false">IF(ISBLANK($C64),"",IF(I64=Constants!$B$3,TRUE(),IF(I64=Constants!$B$4,FALSE(),TRUE())))</f>
        <v/>
      </c>
      <c r="AK64" s="93" t="str">
        <f aca="false">IF(ISBLANK($C64),"",IF(J64=Constants!$B$3,TRUE(),IF(J64=Constants!$B$4,FALSE(),TRUE())))</f>
        <v/>
      </c>
      <c r="AL64" s="93" t="str">
        <f aca="false">IF(ISBLANK($C64),"",IF(K64=Constants!$B$5,TRUE(),IF(K64=Constants!$B$6,FALSE(),COUNTA(L64:P64)&gt;0)))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IF(ISBLANK($C64),"",IF(N64=Constants!$B$3,TRUE(),IF(N64=Constants!$B$4,FALSE(),TRUE())))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IF(ISBLANK($C64),"",IF(P64=Constants!$B$3,TRUE(),IF(P64=Constants!$B$4,FALSE(),FALSE())))</f>
        <v/>
      </c>
      <c r="AR64" s="93" t="str">
        <f aca="false">IF(ISBLANK($C64),"",IF(Q64=Constants!$B$3,TRUE(),IF(Q64=Constants!$B$4,FALSE(),TRUE())))</f>
        <v/>
      </c>
      <c r="AS64" s="93" t="str">
        <f aca="false">IF(ISBLANK($C64),"",IF(R64=Constants!$B$3,TRUE(),IF(R64=Constants!$B$4,FALSE(),TRUE())))</f>
        <v/>
      </c>
      <c r="AT64" s="93" t="str">
        <f aca="false">IF(ISBLANK($C64),"",IF(S64=Constants!$B$5,TRUE(),IF(S64=Constants!$B$6,FALSE(),COUNTA(T64:X64)&gt;0)))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IF(ISBLANK($C64),"",IF(V64=Constants!$B$3,TRUE(),IF(V64=Constants!$B$4,FALSE(),TRUE())))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IF(ISBLANK($C64),"",IF(X64=Constants!$B$3,TRUE(),IF(X64=Constants!$B$4,FALSE(),FALSE())))</f>
        <v/>
      </c>
      <c r="AZ64" s="93" t="str">
        <f aca="false">IF(ISBLANK($C64),"",MIN(Constants!$B$31,MAX(0,IF(ISNUMBER(Y64),Y64*60,0)+IF(ISNUMBER(Z64),Z64,0))))</f>
        <v/>
      </c>
      <c r="BA64" s="93" t="str">
        <f aca="false">IF(ISBLANK($C64),"",IF(AA64=Constants!$B$3,TRUE(),IF(AA64=Constants!$B$4,FALSE(),FALSE())))</f>
        <v/>
      </c>
      <c r="BB64" s="92" t="str">
        <f aca="false">IF(ISBLANK($C64),"",AND($AL64,OR($AM64="",$AN64="",AND($AO64,$AP64=""))))</f>
        <v/>
      </c>
      <c r="BC64" s="94" t="str">
        <f aca="false">IF($BZ64&lt;&gt;Constants!$B$8,"",IF($AL64,Constants!$B$21*$AN64+Constants!$B$22*IF($AO64,$AP64,Constants!$B$23),Constants!$B$24))</f>
        <v/>
      </c>
      <c r="BD64" s="97" t="str">
        <f aca="false">IF($BZ64&lt;&gt;Constants!$B$8,"",Constants!$B$25*ABS($AD$9-IF($AL64,$AM64,0)))</f>
        <v/>
      </c>
      <c r="BE64" s="97" t="str">
        <f aca="false">IF($BZ64&lt;&gt;Constants!$B$8,"",IF(AND($AL64,$AQ64,$AO64),Constants!$B$27,0))</f>
        <v/>
      </c>
      <c r="BF64" s="97" t="str">
        <f aca="false">IF($BZ64&lt;&gt;Constants!$B$8,"",IF($AL64,($AI64-Constants!$B$29)*Constants!$B$28,0))</f>
        <v/>
      </c>
      <c r="BG64" s="97" t="str">
        <f aca="false">IF($BZ64&lt;&gt;Constants!$B$8,"",IF($AK64,0,Constants!$B$15)+IF($AJ64,0,Constants!$B$16)+IF($AH64,0,Constants!$B$17))</f>
        <v/>
      </c>
      <c r="BH64" s="98" t="str">
        <f aca="false">IF($BZ64&lt;&gt;Constants!$B$8,"",Constants!$B$20+SUM($BC64:$BG64))</f>
        <v/>
      </c>
      <c r="BI64" s="97" t="str">
        <f aca="false">IF($BZ64&lt;&gt;Constants!$B$8,"",$BC64)</f>
        <v/>
      </c>
      <c r="BJ64" s="97" t="str">
        <f aca="false">IF($BZ64&lt;&gt;Constants!$B$8,"",$BD64)</f>
        <v/>
      </c>
      <c r="BK64" s="97" t="str">
        <f aca="false">IF($BZ64&lt;&gt;Constants!$B$8,"",IF($AL64,$AN64,""))</f>
        <v/>
      </c>
      <c r="BL64" s="99" t="str">
        <f aca="false">IF($BZ64&lt;&gt;Constants!$B$8,"",$AI64)</f>
        <v/>
      </c>
      <c r="BM64" s="93" t="str">
        <f aca="false">IF($BZ64&lt;&gt;Constants!$B$8,"",IF(OR($BT64&lt;$BH64,AND($BT64=$BH64,OR($BU64&lt;$BI64,AND($BU64=$BI64,OR($BV64&lt;$BJ64,AND($BV64=$BJ64,OR(AND(ISNUMBER($BW64),OR(NOT(ISNUMBER($BK64)),$BW64&lt;$BK64)),AND(OR(AND($BW64="",$BK64=""),AND(ISNUMBER($BW64),ISNUMBER($BK64),$BW64=$BK64)),$BX64&lt;$BL64)))))))),"-&gt;","&lt;-"))</f>
        <v/>
      </c>
      <c r="BN64" s="92" t="str">
        <f aca="false">IF(ISBLANK($C64),"",AND($AT64,OR($AU64="",$AV64="",AND($AW64,$AX64=""))))</f>
        <v/>
      </c>
      <c r="BO64" s="94" t="str">
        <f aca="false">IF($BZ64&lt;&gt;Constants!$B$8,"",IF($AT64,Constants!$B$21*$AV64+Constants!$B$22*IF($AW64,$AX64,Constants!$B$23),Constants!$B$24))</f>
        <v/>
      </c>
      <c r="BP64" s="97" t="str">
        <f aca="false">IF($BZ64&lt;&gt;Constants!$B$8,"",Constants!$B$25*ABS($AD$9-IF($AT64,$AU64,0)))</f>
        <v/>
      </c>
      <c r="BQ64" s="97" t="str">
        <f aca="false">IF($BZ64&lt;&gt;Constants!$B$8,"",IF(AND($AT64,$AY64,$AW64),Constants!$B$27,0))</f>
        <v/>
      </c>
      <c r="BR64" s="97" t="str">
        <f aca="false">IF($BZ64&lt;&gt;Constants!$B$8,"",IF($AT64,($AI64-Constants!$B$29)*Constants!$B$28,0))</f>
        <v/>
      </c>
      <c r="BS64" s="97" t="str">
        <f aca="false">IF($BZ64&lt;&gt;Constants!$B$8,"",IF($AS64,0,Constants!$B$15)+IF($AR64,0,Constants!$B$16)+IF($AH64,0,Constants!$B$17))</f>
        <v/>
      </c>
      <c r="BT64" s="98" t="str">
        <f aca="false">IF($BZ64&lt;&gt;Constants!$B$8,"",Constants!$B$20+SUM($BO64:$BS64))</f>
        <v/>
      </c>
      <c r="BU64" s="97" t="str">
        <f aca="false">IF($BZ64&lt;&gt;Constants!$B$8,"",$BO64)</f>
        <v/>
      </c>
      <c r="BV64" s="97" t="str">
        <f aca="false">IF($BZ64&lt;&gt;Constants!$B$8,"",$BP64)</f>
        <v/>
      </c>
      <c r="BW64" s="97" t="str">
        <f aca="false">IF($BZ64&lt;&gt;Constants!$B$8,"",IF($AT64,$AV64,""))</f>
        <v/>
      </c>
      <c r="BX64" s="99" t="str">
        <f aca="false">IF($BZ64&lt;&gt;Constants!$B$8,"",$AI64)</f>
        <v/>
      </c>
      <c r="BY64" s="93" t="str">
        <f aca="false">IF(ISBLANK($C64),"",IF(ISBLANK($D$7),$BY$5,IF(NOT(ISNUMBER($D$7)),$BY$6,"")))</f>
        <v/>
      </c>
      <c r="BZ64" s="93" t="str">
        <f aca="false">IF(ISBLANK($C64),"",IF($BA64,Constants!$B$11,IF(COUNTA($E64:$AA64)=0,Constants!$B$10,IF(NOT($AG64),Constants!$B$9,IF(OR($BY64&lt;&gt;"",$BB64,$BN64),Constants!$B$12,Constants!$B$8)))))</f>
        <v/>
      </c>
      <c r="CA64" s="93" t="str">
        <f aca="false">IF(ISBLANK($C64),"",IF($BZ64&lt;&gt;Constants!$B$8,$BZ64,Constants!$B$13))</f>
        <v/>
      </c>
      <c r="CB64" s="97" t="str">
        <f aca="false">IF($BZ64&lt;&gt;Constants!$B$8,"",IF($BM64="-&gt;",$BT64,$BH64))</f>
        <v/>
      </c>
      <c r="CC64" s="97" t="str">
        <f aca="false">IF($BZ64&lt;&gt;Constants!$B$8,"",IF($AF64,0,Constants!$B$18))</f>
        <v/>
      </c>
      <c r="CD64" s="97" t="str">
        <f aca="false">IF($BZ64&lt;&gt;Constants!$B$8,"",((Constants!$B$31-$AZ64)-Constants!$B$31)/Constants!$B$32)</f>
        <v/>
      </c>
      <c r="CE64" s="97" t="str">
        <f aca="false">IF(ISBLANK($C64),"",IF($BZ64&lt;&gt;Constants!$B$8,$BZ64,SUM($CB64:$CD64)))</f>
        <v/>
      </c>
      <c r="CF64" s="93" t="str">
        <f aca="false">IF(ISBLANK($C64),"",IF($BZ64&lt;&gt;Constants!$B$8,$BZ64,RANK($CE64,$CE$9:$CE$508,1)))</f>
        <v/>
      </c>
      <c r="CG64" s="97" t="str">
        <f aca="false">IF($BZ64&lt;&gt;Constants!$B$8,"",IF($BM64="-&gt;",$BU64,$BI64))</f>
        <v/>
      </c>
      <c r="CH64" s="93" t="str">
        <f aca="false">IF(ISBLANK($C64),"",IF($BZ64&lt;&gt;Constants!$B$8,$BZ64,IF(ISNUMBER($CG64),RANK($CG64,$CG$9:$CG$508,1),COUNT($CG$9:$CG$508)+1)))</f>
        <v/>
      </c>
      <c r="CI64" s="97" t="str">
        <f aca="false">IF($BZ64&lt;&gt;Constants!$B$8,"",IF($BM64="-&gt;",$BV64,$BJ64))</f>
        <v/>
      </c>
      <c r="CJ64" s="93" t="str">
        <f aca="false">IF(ISBLANK($C64),"",IF($BZ64&lt;&gt;Constants!$B$8,$BZ64,IF(ISNUMBER($CI64),RANK($CI64,$CI$9:$CI$508,1),COUNT($CI$9:$CI$508)+1)))</f>
        <v/>
      </c>
      <c r="CK64" s="97" t="str">
        <f aca="false">IF($BZ64&lt;&gt;Constants!$B$8,"",IF($BM64="-&gt;",$BW64,$BK64))</f>
        <v/>
      </c>
      <c r="CL64" s="93" t="str">
        <f aca="false">IF(ISBLANK($C64),"",IF($BZ64&lt;&gt;Constants!$B$8,$BZ64,IF(ISNUMBER($CK64),RANK($CK64,$CK$9:$CK$508,1),COUNT($CK$9:$CK$508)+1)))</f>
        <v/>
      </c>
      <c r="CM64" s="97" t="str">
        <f aca="false">IF($BZ64&lt;&gt;Constants!$B$8,"",IF(AND(NOT($AL64),NOT($AT64),$AJ64,$AK64,$AR64,$AS64),"",IF($BM64="-&gt;",$BX64,$BL64)))</f>
        <v/>
      </c>
      <c r="CN64" s="93" t="str">
        <f aca="false">IF(ISBLANK($C64),"",IF($BZ64&lt;&gt;Constants!$B$8,$BZ64,IF(ISNUMBER($CM64),RANK($CM64,$CM$9:$CM$508,1),COUNT($CM$9:$CM$508)+1)))</f>
        <v/>
      </c>
      <c r="CO64" s="93" t="str">
        <f aca="false">IF(ISBLANK($C64),"",IF($BZ64&lt;&gt;Constants!$B$8,$BZ64,COUNTIFS($CF$9:$CF$508,"&lt;"&amp;$CF64)+COUNTIFS($CF$9:$CF$508,$CF64,$CH$9:$CH$508,"&lt;"&amp;$CH64)+COUNTIFS($CF$9:$CF$508,$CF64,$CH$9:$CH$508,$CH64,$CJ$9:$CJ$508,"&lt;"&amp;$CJ64)+COUNTIFS($CF$9:$CF$508,$CF64,$CH$9:$CH$508,$CH64,$CJ$9:$CJ$508,$CJ64,$CL$9:$CL$508,"&lt;"&amp;$CL64)+COUNTIFS($CF$9:$CF$508,$CF64,$CH$9:$CH$508,$CH64,$CJ$9:$CJ$508,$CJ64,$CL$9:$CL$508,$CL64,$CN$9:$CN$508,"&lt;"&amp;$CN64)+1))</f>
        <v/>
      </c>
      <c r="CP64" s="93" t="str">
        <f aca="false">IF(ISBLANK($C64),"",IF($BZ64&lt;&gt;Constants!$B$8,$BZ64,$CF64-$CO64))</f>
        <v/>
      </c>
      <c r="CQ64" s="100"/>
      <c r="CR64" s="101"/>
      <c r="CS64" s="102" t="str">
        <f aca="false">IF(ISBLANK($C64),"",IF($BZ64=Constants!$B$12,$BY64,""))</f>
        <v/>
      </c>
      <c r="CT64" s="101" t="str">
        <f aca="false">IF(ISBLANK($C64),"",IF($BZ64&lt;&gt;Constants!$B$8,"",IF($BM64="-&gt;",2,1)))</f>
        <v/>
      </c>
      <c r="CU64" s="103" t="str">
        <f aca="false">IF(ISBLANK($C64),"",IF($BZ64&lt;&gt;Constants!$B$8,"",IF($BM64="-&gt;",$BO64,$BC64)))</f>
        <v/>
      </c>
      <c r="CV64" s="103" t="str">
        <f aca="false">IF(ISBLANK($C64),"",IF($BZ64&lt;&gt;Constants!$B$8,"",IF($BM64="-&gt;",$BP64,$BD64)))</f>
        <v/>
      </c>
      <c r="CW64" s="103" t="str">
        <f aca="false">IF(ISBLANK($C64),"",IF($BZ64&lt;&gt;Constants!$B$8,"",IF($BM64="-&gt;",$BQ64+$BR64,$BE64+$BF64)+$CD64))</f>
        <v/>
      </c>
      <c r="CX64" s="103" t="str">
        <f aca="false">IF(ISBLANK($C64),"",IF($BZ64&lt;&gt;Constants!$B$8,"",IF($BM64="-&gt;",$BS64,$BG64)+$CC64))</f>
        <v/>
      </c>
      <c r="CY64" s="104" t="str">
        <f aca="false">IF(ISBLANK($C64),"",IF($BZ64&lt;&gt;Constants!$B$8,$BZ64,$CE64))</f>
        <v/>
      </c>
      <c r="CZ64" s="105" t="str">
        <f aca="false">IF(ISBLANK($C64),"",$CA64)</f>
        <v/>
      </c>
      <c r="DA64" s="106" t="str">
        <f aca="false">IF(ISBLANK($C64),"",$CP64)</f>
        <v/>
      </c>
      <c r="DB64" s="106" t="str">
        <f aca="false">IF(ISBLANK($C64),"",$CO64)</f>
        <v/>
      </c>
      <c r="DC64" s="107" t="str">
        <f aca="false">IF(ISBLANK($C64),"",IFERROR(_xlfn.SWITCH($DB64,Constants!$B$11,COUNTA($C$9:$C$508)+2,Constants!$B$10,COUNTA($C$9:$C$508)+1,Constants!$B$9,COUNTA($C$9:$C$508)),$DB64))</f>
        <v/>
      </c>
      <c r="DD64" s="9"/>
      <c r="DE64" s="108" t="n">
        <f aca="false">IF(OR(ISNUMBER($DB64),$DB64=Constants!$B$11,$DB64=Constants!$B$9,$DB64=Constants!$B$10),1,0)</f>
        <v>0</v>
      </c>
      <c r="DF64" s="108" t="n">
        <v>56</v>
      </c>
      <c r="DG64" s="108" t="str">
        <f aca="false">IF(ISBLANK($C64),"",IF(ISNUMBER($DC64),$DC64+ROW($B64)/1000,""))</f>
        <v/>
      </c>
      <c r="DH64" s="108" t="str">
        <f aca="false">IF(ISNUMBER($DG64),RANK($DG64,$DG$9:$DG$508,1),"")</f>
        <v/>
      </c>
      <c r="DI64" s="108" t="str">
        <f aca="false">IF(ISBLANK($C64),"",$B64)</f>
        <v/>
      </c>
      <c r="DJ64" s="108" t="str">
        <f aca="false">IF(ISBLANK($C64),"",$C64)</f>
        <v/>
      </c>
      <c r="DK64" s="108" t="str">
        <f aca="false">IF(ISBLANK($C64),"",$D64)</f>
        <v/>
      </c>
      <c r="DL64" s="109" t="str">
        <f aca="false">$CZ64</f>
        <v/>
      </c>
      <c r="DM64" s="110" t="str">
        <f aca="false">$CY64</f>
        <v/>
      </c>
      <c r="DN64" s="108" t="str">
        <f aca="false">IF(ISBLANK($C64),"",$DB64)</f>
        <v/>
      </c>
      <c r="DO64" s="111" t="str">
        <f aca="false">IF($DF64&gt;$DE$8,"",VLOOKUP($DF64,$DH$9:$DN$508,7,FALSE()))</f>
        <v/>
      </c>
      <c r="DP64" s="112" t="str">
        <f aca="false">IF($DF64&gt;$DE$8,"",VLOOKUP($DF64,$DH$9:$DN$508,2,FALSE()))</f>
        <v/>
      </c>
      <c r="DQ64" s="112" t="str">
        <f aca="false">IF($DF64&gt;$DE$8,"",VLOOKUP($DF64,$DH$9:$DN$508,3,FALSE()))</f>
        <v/>
      </c>
      <c r="DR64" s="112" t="str">
        <f aca="false">IF($DF64&gt;$DE$8,"",VLOOKUP($DF64,$DH$9:$DN$508,4,FALSE()))</f>
        <v/>
      </c>
      <c r="DS64" s="112" t="str">
        <f aca="false">IF($DF64&gt;$DE$8,"",VLOOKUP($DF64,$DH$9:$DN$508,5,FALSE()))</f>
        <v/>
      </c>
      <c r="DT64" s="113" t="str">
        <f aca="false">IF($DF64&gt;$DE$8,"",VLOOKUP($DF64,$DH$9:$DN$508,6,FALSE()))</f>
        <v/>
      </c>
      <c r="DU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IF(ISBLANK($C65),"",IF(E65=Constants!$B$3,TRUE(),IF(E65=Constants!$B$4,FALSE(),TRUE())))</f>
        <v/>
      </c>
      <c r="AG65" s="93" t="str">
        <f aca="false">IF(ISBLANK($C65),"",IF(F65=Constants!$B$3,TRUE(),IF(F65=Constants!$B$4,FALSE(),TRUE())))</f>
        <v/>
      </c>
      <c r="AH65" s="93" t="str">
        <f aca="false">IF(ISBLANK($C65),"",IF(G65=Constants!$B$3,TRUE(),IF(G65=Constants!$B$4,FALSE(),TRUE())))</f>
        <v/>
      </c>
      <c r="AI65" s="93" t="str">
        <f aca="false">IF(ISBLANK($C65),"",IF(AND(ISNUMBER(H65),H65&gt;=0),H65,Constants!$B$29))</f>
        <v/>
      </c>
      <c r="AJ65" s="93" t="str">
        <f aca="false">IF(ISBLANK($C65),"",IF(I65=Constants!$B$3,TRUE(),IF(I65=Constants!$B$4,FALSE(),TRUE())))</f>
        <v/>
      </c>
      <c r="AK65" s="93" t="str">
        <f aca="false">IF(ISBLANK($C65),"",IF(J65=Constants!$B$3,TRUE(),IF(J65=Constants!$B$4,FALSE(),TRUE())))</f>
        <v/>
      </c>
      <c r="AL65" s="93" t="str">
        <f aca="false">IF(ISBLANK($C65),"",IF(K65=Constants!$B$5,TRUE(),IF(K65=Constants!$B$6,FALSE(),COUNTA(L65:P65)&gt;0)))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IF(ISBLANK($C65),"",IF(N65=Constants!$B$3,TRUE(),IF(N65=Constants!$B$4,FALSE(),TRUE())))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IF(ISBLANK($C65),"",IF(P65=Constants!$B$3,TRUE(),IF(P65=Constants!$B$4,FALSE(),FALSE())))</f>
        <v/>
      </c>
      <c r="AR65" s="93" t="str">
        <f aca="false">IF(ISBLANK($C65),"",IF(Q65=Constants!$B$3,TRUE(),IF(Q65=Constants!$B$4,FALSE(),TRUE())))</f>
        <v/>
      </c>
      <c r="AS65" s="93" t="str">
        <f aca="false">IF(ISBLANK($C65),"",IF(R65=Constants!$B$3,TRUE(),IF(R65=Constants!$B$4,FALSE(),TRUE())))</f>
        <v/>
      </c>
      <c r="AT65" s="93" t="str">
        <f aca="false">IF(ISBLANK($C65),"",IF(S65=Constants!$B$5,TRUE(),IF(S65=Constants!$B$6,FALSE(),COUNTA(T65:X65)&gt;0)))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IF(ISBLANK($C65),"",IF(V65=Constants!$B$3,TRUE(),IF(V65=Constants!$B$4,FALSE(),TRUE())))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IF(ISBLANK($C65),"",IF(X65=Constants!$B$3,TRUE(),IF(X65=Constants!$B$4,FALSE(),FALSE())))</f>
        <v/>
      </c>
      <c r="AZ65" s="93" t="str">
        <f aca="false">IF(ISBLANK($C65),"",MIN(Constants!$B$31,MAX(0,IF(ISNUMBER(Y65),Y65*60,0)+IF(ISNUMBER(Z65),Z65,0))))</f>
        <v/>
      </c>
      <c r="BA65" s="93" t="str">
        <f aca="false">IF(ISBLANK($C65),"",IF(AA65=Constants!$B$3,TRUE(),IF(AA65=Constants!$B$4,FALSE(),FALSE())))</f>
        <v/>
      </c>
      <c r="BB65" s="92" t="str">
        <f aca="false">IF(ISBLANK($C65),"",AND($AL65,OR($AM65="",$AN65="",AND($AO65,$AP65=""))))</f>
        <v/>
      </c>
      <c r="BC65" s="94" t="str">
        <f aca="false">IF($BZ65&lt;&gt;Constants!$B$8,"",IF($AL65,Constants!$B$21*$AN65+Constants!$B$22*IF($AO65,$AP65,Constants!$B$23),Constants!$B$24))</f>
        <v/>
      </c>
      <c r="BD65" s="97" t="str">
        <f aca="false">IF($BZ65&lt;&gt;Constants!$B$8,"",Constants!$B$25*ABS($AD$9-IF($AL65,$AM65,0)))</f>
        <v/>
      </c>
      <c r="BE65" s="97" t="str">
        <f aca="false">IF($BZ65&lt;&gt;Constants!$B$8,"",IF(AND($AL65,$AQ65,$AO65),Constants!$B$27,0))</f>
        <v/>
      </c>
      <c r="BF65" s="97" t="str">
        <f aca="false">IF($BZ65&lt;&gt;Constants!$B$8,"",IF($AL65,($AI65-Constants!$B$29)*Constants!$B$28,0))</f>
        <v/>
      </c>
      <c r="BG65" s="97" t="str">
        <f aca="false">IF($BZ65&lt;&gt;Constants!$B$8,"",IF($AK65,0,Constants!$B$15)+IF($AJ65,0,Constants!$B$16)+IF($AH65,0,Constants!$B$17))</f>
        <v/>
      </c>
      <c r="BH65" s="98" t="str">
        <f aca="false">IF($BZ65&lt;&gt;Constants!$B$8,"",Constants!$B$20+SUM($BC65:$BG65))</f>
        <v/>
      </c>
      <c r="BI65" s="97" t="str">
        <f aca="false">IF($BZ65&lt;&gt;Constants!$B$8,"",$BC65)</f>
        <v/>
      </c>
      <c r="BJ65" s="97" t="str">
        <f aca="false">IF($BZ65&lt;&gt;Constants!$B$8,"",$BD65)</f>
        <v/>
      </c>
      <c r="BK65" s="97" t="str">
        <f aca="false">IF($BZ65&lt;&gt;Constants!$B$8,"",IF($AL65,$AN65,""))</f>
        <v/>
      </c>
      <c r="BL65" s="99" t="str">
        <f aca="false">IF($BZ65&lt;&gt;Constants!$B$8,"",$AI65)</f>
        <v/>
      </c>
      <c r="BM65" s="93" t="str">
        <f aca="false">IF($BZ65&lt;&gt;Constants!$B$8,"",IF(OR($BT65&lt;$BH65,AND($BT65=$BH65,OR($BU65&lt;$BI65,AND($BU65=$BI65,OR($BV65&lt;$BJ65,AND($BV65=$BJ65,OR(AND(ISNUMBER($BW65),OR(NOT(ISNUMBER($BK65)),$BW65&lt;$BK65)),AND(OR(AND($BW65="",$BK65=""),AND(ISNUMBER($BW65),ISNUMBER($BK65),$BW65=$BK65)),$BX65&lt;$BL65)))))))),"-&gt;","&lt;-"))</f>
        <v/>
      </c>
      <c r="BN65" s="92" t="str">
        <f aca="false">IF(ISBLANK($C65),"",AND($AT65,OR($AU65="",$AV65="",AND($AW65,$AX65=""))))</f>
        <v/>
      </c>
      <c r="BO65" s="94" t="str">
        <f aca="false">IF($BZ65&lt;&gt;Constants!$B$8,"",IF($AT65,Constants!$B$21*$AV65+Constants!$B$22*IF($AW65,$AX65,Constants!$B$23),Constants!$B$24))</f>
        <v/>
      </c>
      <c r="BP65" s="97" t="str">
        <f aca="false">IF($BZ65&lt;&gt;Constants!$B$8,"",Constants!$B$25*ABS($AD$9-IF($AT65,$AU65,0)))</f>
        <v/>
      </c>
      <c r="BQ65" s="97" t="str">
        <f aca="false">IF($BZ65&lt;&gt;Constants!$B$8,"",IF(AND($AT65,$AY65,$AW65),Constants!$B$27,0))</f>
        <v/>
      </c>
      <c r="BR65" s="97" t="str">
        <f aca="false">IF($BZ65&lt;&gt;Constants!$B$8,"",IF($AT65,($AI65-Constants!$B$29)*Constants!$B$28,0))</f>
        <v/>
      </c>
      <c r="BS65" s="97" t="str">
        <f aca="false">IF($BZ65&lt;&gt;Constants!$B$8,"",IF($AS65,0,Constants!$B$15)+IF($AR65,0,Constants!$B$16)+IF($AH65,0,Constants!$B$17))</f>
        <v/>
      </c>
      <c r="BT65" s="98" t="str">
        <f aca="false">IF($BZ65&lt;&gt;Constants!$B$8,"",Constants!$B$20+SUM($BO65:$BS65))</f>
        <v/>
      </c>
      <c r="BU65" s="97" t="str">
        <f aca="false">IF($BZ65&lt;&gt;Constants!$B$8,"",$BO65)</f>
        <v/>
      </c>
      <c r="BV65" s="97" t="str">
        <f aca="false">IF($BZ65&lt;&gt;Constants!$B$8,"",$BP65)</f>
        <v/>
      </c>
      <c r="BW65" s="97" t="str">
        <f aca="false">IF($BZ65&lt;&gt;Constants!$B$8,"",IF($AT65,$AV65,""))</f>
        <v/>
      </c>
      <c r="BX65" s="99" t="str">
        <f aca="false">IF($BZ65&lt;&gt;Constants!$B$8,"",$AI65)</f>
        <v/>
      </c>
      <c r="BY65" s="93" t="str">
        <f aca="false">IF(ISBLANK($C65),"",IF(ISBLANK($D$7),$BY$5,IF(NOT(ISNUMBER($D$7)),$BY$6,"")))</f>
        <v/>
      </c>
      <c r="BZ65" s="93" t="str">
        <f aca="false">IF(ISBLANK($C65),"",IF($BA65,Constants!$B$11,IF(COUNTA($E65:$AA65)=0,Constants!$B$10,IF(NOT($AG65),Constants!$B$9,IF(OR($BY65&lt;&gt;"",$BB65,$BN65),Constants!$B$12,Constants!$B$8)))))</f>
        <v/>
      </c>
      <c r="CA65" s="93" t="str">
        <f aca="false">IF(ISBLANK($C65),"",IF($BZ65&lt;&gt;Constants!$B$8,$BZ65,Constants!$B$13))</f>
        <v/>
      </c>
      <c r="CB65" s="97" t="str">
        <f aca="false">IF($BZ65&lt;&gt;Constants!$B$8,"",IF($BM65="-&gt;",$BT65,$BH65))</f>
        <v/>
      </c>
      <c r="CC65" s="97" t="str">
        <f aca="false">IF($BZ65&lt;&gt;Constants!$B$8,"",IF($AF65,0,Constants!$B$18))</f>
        <v/>
      </c>
      <c r="CD65" s="97" t="str">
        <f aca="false">IF($BZ65&lt;&gt;Constants!$B$8,"",((Constants!$B$31-$AZ65)-Constants!$B$31)/Constants!$B$32)</f>
        <v/>
      </c>
      <c r="CE65" s="97" t="str">
        <f aca="false">IF(ISBLANK($C65),"",IF($BZ65&lt;&gt;Constants!$B$8,$BZ65,SUM($CB65:$CD65)))</f>
        <v/>
      </c>
      <c r="CF65" s="93" t="str">
        <f aca="false">IF(ISBLANK($C65),"",IF($BZ65&lt;&gt;Constants!$B$8,$BZ65,RANK($CE65,$CE$9:$CE$508,1)))</f>
        <v/>
      </c>
      <c r="CG65" s="97" t="str">
        <f aca="false">IF($BZ65&lt;&gt;Constants!$B$8,"",IF($BM65="-&gt;",$BU65,$BI65))</f>
        <v/>
      </c>
      <c r="CH65" s="93" t="str">
        <f aca="false">IF(ISBLANK($C65),"",IF($BZ65&lt;&gt;Constants!$B$8,$BZ65,IF(ISNUMBER($CG65),RANK($CG65,$CG$9:$CG$508,1),COUNT($CG$9:$CG$508)+1)))</f>
        <v/>
      </c>
      <c r="CI65" s="97" t="str">
        <f aca="false">IF($BZ65&lt;&gt;Constants!$B$8,"",IF($BM65="-&gt;",$BV65,$BJ65))</f>
        <v/>
      </c>
      <c r="CJ65" s="93" t="str">
        <f aca="false">IF(ISBLANK($C65),"",IF($BZ65&lt;&gt;Constants!$B$8,$BZ65,IF(ISNUMBER($CI65),RANK($CI65,$CI$9:$CI$508,1),COUNT($CI$9:$CI$508)+1)))</f>
        <v/>
      </c>
      <c r="CK65" s="97" t="str">
        <f aca="false">IF($BZ65&lt;&gt;Constants!$B$8,"",IF($BM65="-&gt;",$BW65,$BK65))</f>
        <v/>
      </c>
      <c r="CL65" s="93" t="str">
        <f aca="false">IF(ISBLANK($C65),"",IF($BZ65&lt;&gt;Constants!$B$8,$BZ65,IF(ISNUMBER($CK65),RANK($CK65,$CK$9:$CK$508,1),COUNT($CK$9:$CK$508)+1)))</f>
        <v/>
      </c>
      <c r="CM65" s="97" t="str">
        <f aca="false">IF($BZ65&lt;&gt;Constants!$B$8,"",IF(AND(NOT($AL65),NOT($AT65),$AJ65,$AK65,$AR65,$AS65),"",IF($BM65="-&gt;",$BX65,$BL65)))</f>
        <v/>
      </c>
      <c r="CN65" s="93" t="str">
        <f aca="false">IF(ISBLANK($C65),"",IF($BZ65&lt;&gt;Constants!$B$8,$BZ65,IF(ISNUMBER($CM65),RANK($CM65,$CM$9:$CM$508,1),COUNT($CM$9:$CM$508)+1)))</f>
        <v/>
      </c>
      <c r="CO65" s="93" t="str">
        <f aca="false">IF(ISBLANK($C65),"",IF($BZ65&lt;&gt;Constants!$B$8,$BZ65,COUNTIFS($CF$9:$CF$508,"&lt;"&amp;$CF65)+COUNTIFS($CF$9:$CF$508,$CF65,$CH$9:$CH$508,"&lt;"&amp;$CH65)+COUNTIFS($CF$9:$CF$508,$CF65,$CH$9:$CH$508,$CH65,$CJ$9:$CJ$508,"&lt;"&amp;$CJ65)+COUNTIFS($CF$9:$CF$508,$CF65,$CH$9:$CH$508,$CH65,$CJ$9:$CJ$508,$CJ65,$CL$9:$CL$508,"&lt;"&amp;$CL65)+COUNTIFS($CF$9:$CF$508,$CF65,$CH$9:$CH$508,$CH65,$CJ$9:$CJ$508,$CJ65,$CL$9:$CL$508,$CL65,$CN$9:$CN$508,"&lt;"&amp;$CN65)+1))</f>
        <v/>
      </c>
      <c r="CP65" s="93" t="str">
        <f aca="false">IF(ISBLANK($C65),"",IF($BZ65&lt;&gt;Constants!$B$8,$BZ65,$CF65-$CO65))</f>
        <v/>
      </c>
      <c r="CQ65" s="100"/>
      <c r="CR65" s="101"/>
      <c r="CS65" s="102" t="str">
        <f aca="false">IF(ISBLANK($C65),"",IF($BZ65=Constants!$B$12,$BY65,""))</f>
        <v/>
      </c>
      <c r="CT65" s="101" t="str">
        <f aca="false">IF(ISBLANK($C65),"",IF($BZ65&lt;&gt;Constants!$B$8,"",IF($BM65="-&gt;",2,1)))</f>
        <v/>
      </c>
      <c r="CU65" s="103" t="str">
        <f aca="false">IF(ISBLANK($C65),"",IF($BZ65&lt;&gt;Constants!$B$8,"",IF($BM65="-&gt;",$BO65,$BC65)))</f>
        <v/>
      </c>
      <c r="CV65" s="103" t="str">
        <f aca="false">IF(ISBLANK($C65),"",IF($BZ65&lt;&gt;Constants!$B$8,"",IF($BM65="-&gt;",$BP65,$BD65)))</f>
        <v/>
      </c>
      <c r="CW65" s="103" t="str">
        <f aca="false">IF(ISBLANK($C65),"",IF($BZ65&lt;&gt;Constants!$B$8,"",IF($BM65="-&gt;",$BQ65+$BR65,$BE65+$BF65)+$CD65))</f>
        <v/>
      </c>
      <c r="CX65" s="103" t="str">
        <f aca="false">IF(ISBLANK($C65),"",IF($BZ65&lt;&gt;Constants!$B$8,"",IF($BM65="-&gt;",$BS65,$BG65)+$CC65))</f>
        <v/>
      </c>
      <c r="CY65" s="104" t="str">
        <f aca="false">IF(ISBLANK($C65),"",IF($BZ65&lt;&gt;Constants!$B$8,$BZ65,$CE65))</f>
        <v/>
      </c>
      <c r="CZ65" s="105" t="str">
        <f aca="false">IF(ISBLANK($C65),"",$CA65)</f>
        <v/>
      </c>
      <c r="DA65" s="106" t="str">
        <f aca="false">IF(ISBLANK($C65),"",$CP65)</f>
        <v/>
      </c>
      <c r="DB65" s="106" t="str">
        <f aca="false">IF(ISBLANK($C65),"",$CO65)</f>
        <v/>
      </c>
      <c r="DC65" s="107" t="str">
        <f aca="false">IF(ISBLANK($C65),"",IFERROR(_xlfn.SWITCH($DB65,Constants!$B$11,COUNTA($C$9:$C$508)+2,Constants!$B$10,COUNTA($C$9:$C$508)+1,Constants!$B$9,COUNTA($C$9:$C$508)),$DB65))</f>
        <v/>
      </c>
      <c r="DD65" s="9"/>
      <c r="DE65" s="108" t="n">
        <f aca="false">IF(OR(ISNUMBER($DB65),$DB65=Constants!$B$11,$DB65=Constants!$B$9,$DB65=Constants!$B$10),1,0)</f>
        <v>0</v>
      </c>
      <c r="DF65" s="108" t="n">
        <v>57</v>
      </c>
      <c r="DG65" s="108" t="str">
        <f aca="false">IF(ISBLANK($C65),"",IF(ISNUMBER($DC65),$DC65+ROW($B65)/1000,""))</f>
        <v/>
      </c>
      <c r="DH65" s="108" t="str">
        <f aca="false">IF(ISNUMBER($DG65),RANK($DG65,$DG$9:$DG$508,1),"")</f>
        <v/>
      </c>
      <c r="DI65" s="108" t="str">
        <f aca="false">IF(ISBLANK($C65),"",$B65)</f>
        <v/>
      </c>
      <c r="DJ65" s="108" t="str">
        <f aca="false">IF(ISBLANK($C65),"",$C65)</f>
        <v/>
      </c>
      <c r="DK65" s="108" t="str">
        <f aca="false">IF(ISBLANK($C65),"",$D65)</f>
        <v/>
      </c>
      <c r="DL65" s="109" t="str">
        <f aca="false">$CZ65</f>
        <v/>
      </c>
      <c r="DM65" s="110" t="str">
        <f aca="false">$CY65</f>
        <v/>
      </c>
      <c r="DN65" s="108" t="str">
        <f aca="false">IF(ISBLANK($C65),"",$DB65)</f>
        <v/>
      </c>
      <c r="DO65" s="111" t="str">
        <f aca="false">IF($DF65&gt;$DE$8,"",VLOOKUP($DF65,$DH$9:$DN$508,7,FALSE()))</f>
        <v/>
      </c>
      <c r="DP65" s="112" t="str">
        <f aca="false">IF($DF65&gt;$DE$8,"",VLOOKUP($DF65,$DH$9:$DN$508,2,FALSE()))</f>
        <v/>
      </c>
      <c r="DQ65" s="112" t="str">
        <f aca="false">IF($DF65&gt;$DE$8,"",VLOOKUP($DF65,$DH$9:$DN$508,3,FALSE()))</f>
        <v/>
      </c>
      <c r="DR65" s="112" t="str">
        <f aca="false">IF($DF65&gt;$DE$8,"",VLOOKUP($DF65,$DH$9:$DN$508,4,FALSE()))</f>
        <v/>
      </c>
      <c r="DS65" s="112" t="str">
        <f aca="false">IF($DF65&gt;$DE$8,"",VLOOKUP($DF65,$DH$9:$DN$508,5,FALSE()))</f>
        <v/>
      </c>
      <c r="DT65" s="113" t="str">
        <f aca="false">IF($DF65&gt;$DE$8,"",VLOOKUP($DF65,$DH$9:$DN$508,6,FALSE()))</f>
        <v/>
      </c>
      <c r="DU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IF(ISBLANK($C66),"",IF(E66=Constants!$B$3,TRUE(),IF(E66=Constants!$B$4,FALSE(),TRUE())))</f>
        <v/>
      </c>
      <c r="AG66" s="135" t="str">
        <f aca="false">IF(ISBLANK($C66),"",IF(F66=Constants!$B$3,TRUE(),IF(F66=Constants!$B$4,FALSE(),TRUE())))</f>
        <v/>
      </c>
      <c r="AH66" s="135" t="str">
        <f aca="false">IF(ISBLANK($C66),"",IF(G66=Constants!$B$3,TRUE(),IF(G66=Constants!$B$4,FALSE(),TRUE())))</f>
        <v/>
      </c>
      <c r="AI66" s="135" t="str">
        <f aca="false">IF(ISBLANK($C66),"",IF(AND(ISNUMBER(H66),H66&gt;=0),H66,Constants!$B$29))</f>
        <v/>
      </c>
      <c r="AJ66" s="135" t="str">
        <f aca="false">IF(ISBLANK($C66),"",IF(I66=Constants!$B$3,TRUE(),IF(I66=Constants!$B$4,FALSE(),TRUE())))</f>
        <v/>
      </c>
      <c r="AK66" s="135" t="str">
        <f aca="false">IF(ISBLANK($C66),"",IF(J66=Constants!$B$3,TRUE(),IF(J66=Constants!$B$4,FALSE(),TRUE())))</f>
        <v/>
      </c>
      <c r="AL66" s="135" t="str">
        <f aca="false">IF(ISBLANK($C66),"",IF(K66=Constants!$B$5,TRUE(),IF(K66=Constants!$B$6,FALSE(),COUNTA(L66:P66)&gt;0)))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IF(ISBLANK($C66),"",IF(N66=Constants!$B$3,TRUE(),IF(N66=Constants!$B$4,FALSE(),TRUE())))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IF(ISBLANK($C66),"",IF(P66=Constants!$B$3,TRUE(),IF(P66=Constants!$B$4,FALSE(),FALSE())))</f>
        <v/>
      </c>
      <c r="AR66" s="135" t="str">
        <f aca="false">IF(ISBLANK($C66),"",IF(Q66=Constants!$B$3,TRUE(),IF(Q66=Constants!$B$4,FALSE(),TRUE())))</f>
        <v/>
      </c>
      <c r="AS66" s="135" t="str">
        <f aca="false">IF(ISBLANK($C66),"",IF(R66=Constants!$B$3,TRUE(),IF(R66=Constants!$B$4,FALSE(),TRUE())))</f>
        <v/>
      </c>
      <c r="AT66" s="135" t="str">
        <f aca="false">IF(ISBLANK($C66),"",IF(S66=Constants!$B$5,TRUE(),IF(S66=Constants!$B$6,FALSE(),COUNTA(T66:X66)&gt;0)))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IF(ISBLANK($C66),"",IF(V66=Constants!$B$3,TRUE(),IF(V66=Constants!$B$4,FALSE(),TRUE())))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IF(ISBLANK($C66),"",IF(X66=Constants!$B$3,TRUE(),IF(X66=Constants!$B$4,FALSE(),FALSE())))</f>
        <v/>
      </c>
      <c r="AZ66" s="135" t="str">
        <f aca="false">IF(ISBLANK($C66),"",MIN(Constants!$B$31,MAX(0,IF(ISNUMBER(Y66),Y66*60,0)+IF(ISNUMBER(Z66),Z66,0))))</f>
        <v/>
      </c>
      <c r="BA66" s="135" t="str">
        <f aca="false">IF(ISBLANK($C66),"",IF(AA66=Constants!$B$3,TRUE(),IF(AA66=Constants!$B$4,FALSE(),FALSE())))</f>
        <v/>
      </c>
      <c r="BB66" s="134" t="str">
        <f aca="false">IF(ISBLANK($C66),"",AND($AL66,OR($AM66="",$AN66="",AND($AO66,$AP66=""))))</f>
        <v/>
      </c>
      <c r="BC66" s="137" t="str">
        <f aca="false">IF($BZ66&lt;&gt;Constants!$B$8,"",IF($AL66,Constants!$B$21*$AN66+Constants!$B$22*IF($AO66,$AP66,Constants!$B$23),Constants!$B$24))</f>
        <v/>
      </c>
      <c r="BD66" s="138" t="str">
        <f aca="false">IF($BZ66&lt;&gt;Constants!$B$8,"",Constants!$B$25*ABS($AD$9-IF($AL66,$AM66,0)))</f>
        <v/>
      </c>
      <c r="BE66" s="138" t="str">
        <f aca="false">IF($BZ66&lt;&gt;Constants!$B$8,"",IF(AND($AL66,$AQ66,$AO66),Constants!$B$27,0))</f>
        <v/>
      </c>
      <c r="BF66" s="138" t="str">
        <f aca="false">IF($BZ66&lt;&gt;Constants!$B$8,"",IF($AL66,($AI66-Constants!$B$29)*Constants!$B$28,0))</f>
        <v/>
      </c>
      <c r="BG66" s="138" t="str">
        <f aca="false">IF($BZ66&lt;&gt;Constants!$B$8,"",IF($AK66,0,Constants!$B$15)+IF($AJ66,0,Constants!$B$16)+IF($AH66,0,Constants!$B$17))</f>
        <v/>
      </c>
      <c r="BH66" s="139" t="str">
        <f aca="false">IF($BZ66&lt;&gt;Constants!$B$8,"",Constants!$B$20+SUM($BC66:$BG66))</f>
        <v/>
      </c>
      <c r="BI66" s="138" t="str">
        <f aca="false">IF($BZ66&lt;&gt;Constants!$B$8,"",$BC66)</f>
        <v/>
      </c>
      <c r="BJ66" s="138" t="str">
        <f aca="false">IF($BZ66&lt;&gt;Constants!$B$8,"",$BD66)</f>
        <v/>
      </c>
      <c r="BK66" s="138" t="str">
        <f aca="false">IF($BZ66&lt;&gt;Constants!$B$8,"",IF($AL66,$AN66,""))</f>
        <v/>
      </c>
      <c r="BL66" s="140" t="str">
        <f aca="false">IF($BZ66&lt;&gt;Constants!$B$8,"",$AI66)</f>
        <v/>
      </c>
      <c r="BM66" s="135" t="str">
        <f aca="false">IF($BZ66&lt;&gt;Constants!$B$8,"",IF(OR($BT66&lt;$BH66,AND($BT66=$BH66,OR($BU66&lt;$BI66,AND($BU66=$BI66,OR($BV66&lt;$BJ66,AND($BV66=$BJ66,OR(AND(ISNUMBER($BW66),OR(NOT(ISNUMBER($BK66)),$BW66&lt;$BK66)),AND(OR(AND($BW66="",$BK66=""),AND(ISNUMBER($BW66),ISNUMBER($BK66),$BW66=$BK66)),$BX66&lt;$BL66)))))))),"-&gt;","&lt;-"))</f>
        <v/>
      </c>
      <c r="BN66" s="134" t="str">
        <f aca="false">IF(ISBLANK($C66),"",AND($AT66,OR($AU66="",$AV66="",AND($AW66,$AX66=""))))</f>
        <v/>
      </c>
      <c r="BO66" s="137" t="str">
        <f aca="false">IF($BZ66&lt;&gt;Constants!$B$8,"",IF($AT66,Constants!$B$21*$AV66+Constants!$B$22*IF($AW66,$AX66,Constants!$B$23),Constants!$B$24))</f>
        <v/>
      </c>
      <c r="BP66" s="138" t="str">
        <f aca="false">IF($BZ66&lt;&gt;Constants!$B$8,"",Constants!$B$25*ABS($AD$9-IF($AT66,$AU66,0)))</f>
        <v/>
      </c>
      <c r="BQ66" s="138" t="str">
        <f aca="false">IF($BZ66&lt;&gt;Constants!$B$8,"",IF(AND($AT66,$AY66,$AW66),Constants!$B$27,0))</f>
        <v/>
      </c>
      <c r="BR66" s="138" t="str">
        <f aca="false">IF($BZ66&lt;&gt;Constants!$B$8,"",IF($AT66,($AI66-Constants!$B$29)*Constants!$B$28,0))</f>
        <v/>
      </c>
      <c r="BS66" s="138" t="str">
        <f aca="false">IF($BZ66&lt;&gt;Constants!$B$8,"",IF($AS66,0,Constants!$B$15)+IF($AR66,0,Constants!$B$16)+IF($AH66,0,Constants!$B$17))</f>
        <v/>
      </c>
      <c r="BT66" s="139" t="str">
        <f aca="false">IF($BZ66&lt;&gt;Constants!$B$8,"",Constants!$B$20+SUM($BO66:$BS66))</f>
        <v/>
      </c>
      <c r="BU66" s="138" t="str">
        <f aca="false">IF($BZ66&lt;&gt;Constants!$B$8,"",$BO66)</f>
        <v/>
      </c>
      <c r="BV66" s="138" t="str">
        <f aca="false">IF($BZ66&lt;&gt;Constants!$B$8,"",$BP66)</f>
        <v/>
      </c>
      <c r="BW66" s="138" t="str">
        <f aca="false">IF($BZ66&lt;&gt;Constants!$B$8,"",IF($AT66,$AV66,""))</f>
        <v/>
      </c>
      <c r="BX66" s="140" t="str">
        <f aca="false">IF($BZ66&lt;&gt;Constants!$B$8,"",$AI66)</f>
        <v/>
      </c>
      <c r="BY66" s="135" t="str">
        <f aca="false">IF(ISBLANK($C66),"",IF(ISBLANK($D$7),$BY$5,IF(NOT(ISNUMBER($D$7)),$BY$6,"")))</f>
        <v/>
      </c>
      <c r="BZ66" s="135" t="str">
        <f aca="false">IF(ISBLANK($C66),"",IF($BA66,Constants!$B$11,IF(COUNTA($E66:$AA66)=0,Constants!$B$10,IF(NOT($AG66),Constants!$B$9,IF(OR($BY66&lt;&gt;"",$BB66,$BN66),Constants!$B$12,Constants!$B$8)))))</f>
        <v/>
      </c>
      <c r="CA66" s="135" t="str">
        <f aca="false">IF(ISBLANK($C66),"",IF($BZ66&lt;&gt;Constants!$B$8,$BZ66,Constants!$B$13))</f>
        <v/>
      </c>
      <c r="CB66" s="138" t="str">
        <f aca="false">IF($BZ66&lt;&gt;Constants!$B$8,"",IF($BM66="-&gt;",$BT66,$BH66))</f>
        <v/>
      </c>
      <c r="CC66" s="138" t="str">
        <f aca="false">IF($BZ66&lt;&gt;Constants!$B$8,"",IF($AF66,0,Constants!$B$18))</f>
        <v/>
      </c>
      <c r="CD66" s="138" t="str">
        <f aca="false">IF($BZ66&lt;&gt;Constants!$B$8,"",((Constants!$B$31-$AZ66)-Constants!$B$31)/Constants!$B$32)</f>
        <v/>
      </c>
      <c r="CE66" s="138" t="str">
        <f aca="false">IF(ISBLANK($C66),"",IF($BZ66&lt;&gt;Constants!$B$8,$BZ66,SUM($CB66:$CD66)))</f>
        <v/>
      </c>
      <c r="CF66" s="135" t="str">
        <f aca="false">IF(ISBLANK($C66),"",IF($BZ66&lt;&gt;Constants!$B$8,$BZ66,RANK($CE66,$CE$9:$CE$508,1)))</f>
        <v/>
      </c>
      <c r="CG66" s="138" t="str">
        <f aca="false">IF($BZ66&lt;&gt;Constants!$B$8,"",IF($BM66="-&gt;",$BU66,$BI66))</f>
        <v/>
      </c>
      <c r="CH66" s="135" t="str">
        <f aca="false">IF(ISBLANK($C66),"",IF($BZ66&lt;&gt;Constants!$B$8,$BZ66,IF(ISNUMBER($CG66),RANK($CG66,$CG$9:$CG$508,1),COUNT($CG$9:$CG$508)+1)))</f>
        <v/>
      </c>
      <c r="CI66" s="138" t="str">
        <f aca="false">IF($BZ66&lt;&gt;Constants!$B$8,"",IF($BM66="-&gt;",$BV66,$BJ66))</f>
        <v/>
      </c>
      <c r="CJ66" s="135" t="str">
        <f aca="false">IF(ISBLANK($C66),"",IF($BZ66&lt;&gt;Constants!$B$8,$BZ66,IF(ISNUMBER($CI66),RANK($CI66,$CI$9:$CI$508,1),COUNT($CI$9:$CI$508)+1)))</f>
        <v/>
      </c>
      <c r="CK66" s="138" t="str">
        <f aca="false">IF($BZ66&lt;&gt;Constants!$B$8,"",IF($BM66="-&gt;",$BW66,$BK66))</f>
        <v/>
      </c>
      <c r="CL66" s="135" t="str">
        <f aca="false">IF(ISBLANK($C66),"",IF($BZ66&lt;&gt;Constants!$B$8,$BZ66,IF(ISNUMBER($CK66),RANK($CK66,$CK$9:$CK$508,1),COUNT($CK$9:$CK$508)+1)))</f>
        <v/>
      </c>
      <c r="CM66" s="138" t="str">
        <f aca="false">IF($BZ66&lt;&gt;Constants!$B$8,"",IF(AND(NOT($AL66),NOT($AT66),$AJ66,$AK66,$AR66,$AS66),"",IF($BM66="-&gt;",$BX66,$BL66)))</f>
        <v/>
      </c>
      <c r="CN66" s="135" t="str">
        <f aca="false">IF(ISBLANK($C66),"",IF($BZ66&lt;&gt;Constants!$B$8,$BZ66,IF(ISNUMBER($CM66),RANK($CM66,$CM$9:$CM$508,1),COUNT($CM$9:$CM$508)+1)))</f>
        <v/>
      </c>
      <c r="CO66" s="135" t="str">
        <f aca="false">IF(ISBLANK($C66),"",IF($BZ66&lt;&gt;Constants!$B$8,$BZ66,COUNTIFS($CF$9:$CF$508,"&lt;"&amp;$CF66)+COUNTIFS($CF$9:$CF$508,$CF66,$CH$9:$CH$508,"&lt;"&amp;$CH66)+COUNTIFS($CF$9:$CF$508,$CF66,$CH$9:$CH$508,$CH66,$CJ$9:$CJ$508,"&lt;"&amp;$CJ66)+COUNTIFS($CF$9:$CF$508,$CF66,$CH$9:$CH$508,$CH66,$CJ$9:$CJ$508,$CJ66,$CL$9:$CL$508,"&lt;"&amp;$CL66)+COUNTIFS($CF$9:$CF$508,$CF66,$CH$9:$CH$508,$CH66,$CJ$9:$CJ$508,$CJ66,$CL$9:$CL$508,$CL66,$CN$9:$CN$508,"&lt;"&amp;$CN66)+1))</f>
        <v/>
      </c>
      <c r="CP66" s="135" t="str">
        <f aca="false">IF(ISBLANK($C66),"",IF($BZ66&lt;&gt;Constants!$B$8,$BZ66,$CF66-$CO66))</f>
        <v/>
      </c>
      <c r="CQ66" s="141"/>
      <c r="CR66" s="142"/>
      <c r="CS66" s="143" t="str">
        <f aca="false">IF(ISBLANK($C66),"",IF($BZ66=Constants!$B$12,$BY66,""))</f>
        <v/>
      </c>
      <c r="CT66" s="142" t="str">
        <f aca="false">IF(ISBLANK($C66),"",IF($BZ66&lt;&gt;Constants!$B$8,"",IF($BM66="-&gt;",2,1)))</f>
        <v/>
      </c>
      <c r="CU66" s="144" t="str">
        <f aca="false">IF(ISBLANK($C66),"",IF($BZ66&lt;&gt;Constants!$B$8,"",IF($BM66="-&gt;",$BO66,$BC66)))</f>
        <v/>
      </c>
      <c r="CV66" s="144" t="str">
        <f aca="false">IF(ISBLANK($C66),"",IF($BZ66&lt;&gt;Constants!$B$8,"",IF($BM66="-&gt;",$BP66,$BD66)))</f>
        <v/>
      </c>
      <c r="CW66" s="144" t="str">
        <f aca="false">IF(ISBLANK($C66),"",IF($BZ66&lt;&gt;Constants!$B$8,"",IF($BM66="-&gt;",$BQ66+$BR66,$BE66+$BF66)+$CD66))</f>
        <v/>
      </c>
      <c r="CX66" s="144" t="str">
        <f aca="false">IF(ISBLANK($C66),"",IF($BZ66&lt;&gt;Constants!$B$8,"",IF($BM66="-&gt;",$BS66,$BG66)+$CC66))</f>
        <v/>
      </c>
      <c r="CY66" s="145" t="str">
        <f aca="false">IF(ISBLANK($C66),"",IF($BZ66&lt;&gt;Constants!$B$8,$BZ66,$CE66))</f>
        <v/>
      </c>
      <c r="CZ66" s="146" t="str">
        <f aca="false">IF(ISBLANK($C66),"",$CA66)</f>
        <v/>
      </c>
      <c r="DA66" s="147" t="str">
        <f aca="false">IF(ISBLANK($C66),"",$CP66)</f>
        <v/>
      </c>
      <c r="DB66" s="147" t="str">
        <f aca="false">IF(ISBLANK($C66),"",$CO66)</f>
        <v/>
      </c>
      <c r="DC66" s="148" t="str">
        <f aca="false">IF(ISBLANK($C66),"",IFERROR(_xlfn.SWITCH($DB66,Constants!$B$11,COUNTA($C$9:$C$508)+2,Constants!$B$10,COUNTA($C$9:$C$508)+1,Constants!$B$9,COUNTA($C$9:$C$508)),$DB66))</f>
        <v/>
      </c>
      <c r="DD66" s="9"/>
      <c r="DE66" s="149" t="n">
        <f aca="false">IF(OR(ISNUMBER($DB66),$DB66=Constants!$B$11,$DB66=Constants!$B$9,$DB66=Constants!$B$10),1,0)</f>
        <v>0</v>
      </c>
      <c r="DF66" s="149" t="n">
        <v>58</v>
      </c>
      <c r="DG66" s="149" t="str">
        <f aca="false">IF(ISBLANK($C66),"",IF(ISNUMBER($DC66),$DC66+ROW($B66)/1000,""))</f>
        <v/>
      </c>
      <c r="DH66" s="149" t="str">
        <f aca="false">IF(ISNUMBER($DG66),RANK($DG66,$DG$9:$DG$508,1),"")</f>
        <v/>
      </c>
      <c r="DI66" s="149" t="str">
        <f aca="false">IF(ISBLANK($C66),"",$B66)</f>
        <v/>
      </c>
      <c r="DJ66" s="149" t="str">
        <f aca="false">IF(ISBLANK($C66),"",$C66)</f>
        <v/>
      </c>
      <c r="DK66" s="149" t="str">
        <f aca="false">IF(ISBLANK($C66),"",$D66)</f>
        <v/>
      </c>
      <c r="DL66" s="150" t="str">
        <f aca="false">$CZ66</f>
        <v/>
      </c>
      <c r="DM66" s="151" t="str">
        <f aca="false">$CY66</f>
        <v/>
      </c>
      <c r="DN66" s="149" t="str">
        <f aca="false">IF(ISBLANK($C66),"",$DB66)</f>
        <v/>
      </c>
      <c r="DO66" s="152" t="str">
        <f aca="false">IF($DF66&gt;$DE$8,"",VLOOKUP($DF66,$DH$9:$DN$508,7,FALSE()))</f>
        <v/>
      </c>
      <c r="DP66" s="153" t="str">
        <f aca="false">IF($DF66&gt;$DE$8,"",VLOOKUP($DF66,$DH$9:$DN$508,2,FALSE()))</f>
        <v/>
      </c>
      <c r="DQ66" s="153" t="str">
        <f aca="false">IF($DF66&gt;$DE$8,"",VLOOKUP($DF66,$DH$9:$DN$508,3,FALSE()))</f>
        <v/>
      </c>
      <c r="DR66" s="153" t="str">
        <f aca="false">IF($DF66&gt;$DE$8,"",VLOOKUP($DF66,$DH$9:$DN$508,4,FALSE()))</f>
        <v/>
      </c>
      <c r="DS66" s="153" t="str">
        <f aca="false">IF($DF66&gt;$DE$8,"",VLOOKUP($DF66,$DH$9:$DN$508,5,FALSE()))</f>
        <v/>
      </c>
      <c r="DT66" s="154" t="str">
        <f aca="false">IF($DF66&gt;$DE$8,"",VLOOKUP($DF66,$DH$9:$DN$508,6,FALSE()))</f>
        <v/>
      </c>
      <c r="DU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IF(ISBLANK($C67),"",IF(E67=Constants!$B$3,TRUE(),IF(E67=Constants!$B$4,FALSE(),TRUE())))</f>
        <v/>
      </c>
      <c r="AG67" s="135" t="str">
        <f aca="false">IF(ISBLANK($C67),"",IF(F67=Constants!$B$3,TRUE(),IF(F67=Constants!$B$4,FALSE(),TRUE())))</f>
        <v/>
      </c>
      <c r="AH67" s="135" t="str">
        <f aca="false">IF(ISBLANK($C67),"",IF(G67=Constants!$B$3,TRUE(),IF(G67=Constants!$B$4,FALSE(),TRUE())))</f>
        <v/>
      </c>
      <c r="AI67" s="135" t="str">
        <f aca="false">IF(ISBLANK($C67),"",IF(AND(ISNUMBER(H67),H67&gt;=0),H67,Constants!$B$29))</f>
        <v/>
      </c>
      <c r="AJ67" s="135" t="str">
        <f aca="false">IF(ISBLANK($C67),"",IF(I67=Constants!$B$3,TRUE(),IF(I67=Constants!$B$4,FALSE(),TRUE())))</f>
        <v/>
      </c>
      <c r="AK67" s="135" t="str">
        <f aca="false">IF(ISBLANK($C67),"",IF(J67=Constants!$B$3,TRUE(),IF(J67=Constants!$B$4,FALSE(),TRUE())))</f>
        <v/>
      </c>
      <c r="AL67" s="135" t="str">
        <f aca="false">IF(ISBLANK($C67),"",IF(K67=Constants!$B$5,TRUE(),IF(K67=Constants!$B$6,FALSE(),COUNTA(L67:P67)&gt;0)))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IF(ISBLANK($C67),"",IF(N67=Constants!$B$3,TRUE(),IF(N67=Constants!$B$4,FALSE(),TRUE())))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IF(ISBLANK($C67),"",IF(P67=Constants!$B$3,TRUE(),IF(P67=Constants!$B$4,FALSE(),FALSE())))</f>
        <v/>
      </c>
      <c r="AR67" s="135" t="str">
        <f aca="false">IF(ISBLANK($C67),"",IF(Q67=Constants!$B$3,TRUE(),IF(Q67=Constants!$B$4,FALSE(),TRUE())))</f>
        <v/>
      </c>
      <c r="AS67" s="135" t="str">
        <f aca="false">IF(ISBLANK($C67),"",IF(R67=Constants!$B$3,TRUE(),IF(R67=Constants!$B$4,FALSE(),TRUE())))</f>
        <v/>
      </c>
      <c r="AT67" s="135" t="str">
        <f aca="false">IF(ISBLANK($C67),"",IF(S67=Constants!$B$5,TRUE(),IF(S67=Constants!$B$6,FALSE(),COUNTA(T67:X67)&gt;0)))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IF(ISBLANK($C67),"",IF(V67=Constants!$B$3,TRUE(),IF(V67=Constants!$B$4,FALSE(),TRUE())))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IF(ISBLANK($C67),"",IF(X67=Constants!$B$3,TRUE(),IF(X67=Constants!$B$4,FALSE(),FALSE())))</f>
        <v/>
      </c>
      <c r="AZ67" s="135" t="str">
        <f aca="false">IF(ISBLANK($C67),"",MIN(Constants!$B$31,MAX(0,IF(ISNUMBER(Y67),Y67*60,0)+IF(ISNUMBER(Z67),Z67,0))))</f>
        <v/>
      </c>
      <c r="BA67" s="135" t="str">
        <f aca="false">IF(ISBLANK($C67),"",IF(AA67=Constants!$B$3,TRUE(),IF(AA67=Constants!$B$4,FALSE(),FALSE())))</f>
        <v/>
      </c>
      <c r="BB67" s="134" t="str">
        <f aca="false">IF(ISBLANK($C67),"",AND($AL67,OR($AM67="",$AN67="",AND($AO67,$AP67=""))))</f>
        <v/>
      </c>
      <c r="BC67" s="137" t="str">
        <f aca="false">IF($BZ67&lt;&gt;Constants!$B$8,"",IF($AL67,Constants!$B$21*$AN67+Constants!$B$22*IF($AO67,$AP67,Constants!$B$23),Constants!$B$24))</f>
        <v/>
      </c>
      <c r="BD67" s="138" t="str">
        <f aca="false">IF($BZ67&lt;&gt;Constants!$B$8,"",Constants!$B$25*ABS($AD$9-IF($AL67,$AM67,0)))</f>
        <v/>
      </c>
      <c r="BE67" s="138" t="str">
        <f aca="false">IF($BZ67&lt;&gt;Constants!$B$8,"",IF(AND($AL67,$AQ67,$AO67),Constants!$B$27,0))</f>
        <v/>
      </c>
      <c r="BF67" s="138" t="str">
        <f aca="false">IF($BZ67&lt;&gt;Constants!$B$8,"",IF($AL67,($AI67-Constants!$B$29)*Constants!$B$28,0))</f>
        <v/>
      </c>
      <c r="BG67" s="138" t="str">
        <f aca="false">IF($BZ67&lt;&gt;Constants!$B$8,"",IF($AK67,0,Constants!$B$15)+IF($AJ67,0,Constants!$B$16)+IF($AH67,0,Constants!$B$17))</f>
        <v/>
      </c>
      <c r="BH67" s="139" t="str">
        <f aca="false">IF($BZ67&lt;&gt;Constants!$B$8,"",Constants!$B$20+SUM($BC67:$BG67))</f>
        <v/>
      </c>
      <c r="BI67" s="138" t="str">
        <f aca="false">IF($BZ67&lt;&gt;Constants!$B$8,"",$BC67)</f>
        <v/>
      </c>
      <c r="BJ67" s="138" t="str">
        <f aca="false">IF($BZ67&lt;&gt;Constants!$B$8,"",$BD67)</f>
        <v/>
      </c>
      <c r="BK67" s="138" t="str">
        <f aca="false">IF($BZ67&lt;&gt;Constants!$B$8,"",IF($AL67,$AN67,""))</f>
        <v/>
      </c>
      <c r="BL67" s="140" t="str">
        <f aca="false">IF($BZ67&lt;&gt;Constants!$B$8,"",$AI67)</f>
        <v/>
      </c>
      <c r="BM67" s="135" t="str">
        <f aca="false">IF($BZ67&lt;&gt;Constants!$B$8,"",IF(OR($BT67&lt;$BH67,AND($BT67=$BH67,OR($BU67&lt;$BI67,AND($BU67=$BI67,OR($BV67&lt;$BJ67,AND($BV67=$BJ67,OR(AND(ISNUMBER($BW67),OR(NOT(ISNUMBER($BK67)),$BW67&lt;$BK67)),AND(OR(AND($BW67="",$BK67=""),AND(ISNUMBER($BW67),ISNUMBER($BK67),$BW67=$BK67)),$BX67&lt;$BL67)))))))),"-&gt;","&lt;-"))</f>
        <v/>
      </c>
      <c r="BN67" s="134" t="str">
        <f aca="false">IF(ISBLANK($C67),"",AND($AT67,OR($AU67="",$AV67="",AND($AW67,$AX67=""))))</f>
        <v/>
      </c>
      <c r="BO67" s="137" t="str">
        <f aca="false">IF($BZ67&lt;&gt;Constants!$B$8,"",IF($AT67,Constants!$B$21*$AV67+Constants!$B$22*IF($AW67,$AX67,Constants!$B$23),Constants!$B$24))</f>
        <v/>
      </c>
      <c r="BP67" s="138" t="str">
        <f aca="false">IF($BZ67&lt;&gt;Constants!$B$8,"",Constants!$B$25*ABS($AD$9-IF($AT67,$AU67,0)))</f>
        <v/>
      </c>
      <c r="BQ67" s="138" t="str">
        <f aca="false">IF($BZ67&lt;&gt;Constants!$B$8,"",IF(AND($AT67,$AY67,$AW67),Constants!$B$27,0))</f>
        <v/>
      </c>
      <c r="BR67" s="138" t="str">
        <f aca="false">IF($BZ67&lt;&gt;Constants!$B$8,"",IF($AT67,($AI67-Constants!$B$29)*Constants!$B$28,0))</f>
        <v/>
      </c>
      <c r="BS67" s="138" t="str">
        <f aca="false">IF($BZ67&lt;&gt;Constants!$B$8,"",IF($AS67,0,Constants!$B$15)+IF($AR67,0,Constants!$B$16)+IF($AH67,0,Constants!$B$17))</f>
        <v/>
      </c>
      <c r="BT67" s="139" t="str">
        <f aca="false">IF($BZ67&lt;&gt;Constants!$B$8,"",Constants!$B$20+SUM($BO67:$BS67))</f>
        <v/>
      </c>
      <c r="BU67" s="138" t="str">
        <f aca="false">IF($BZ67&lt;&gt;Constants!$B$8,"",$BO67)</f>
        <v/>
      </c>
      <c r="BV67" s="138" t="str">
        <f aca="false">IF($BZ67&lt;&gt;Constants!$B$8,"",$BP67)</f>
        <v/>
      </c>
      <c r="BW67" s="138" t="str">
        <f aca="false">IF($BZ67&lt;&gt;Constants!$B$8,"",IF($AT67,$AV67,""))</f>
        <v/>
      </c>
      <c r="BX67" s="140" t="str">
        <f aca="false">IF($BZ67&lt;&gt;Constants!$B$8,"",$AI67)</f>
        <v/>
      </c>
      <c r="BY67" s="135" t="str">
        <f aca="false">IF(ISBLANK($C67),"",IF(ISBLANK($D$7),$BY$5,IF(NOT(ISNUMBER($D$7)),$BY$6,"")))</f>
        <v/>
      </c>
      <c r="BZ67" s="135" t="str">
        <f aca="false">IF(ISBLANK($C67),"",IF($BA67,Constants!$B$11,IF(COUNTA($E67:$AA67)=0,Constants!$B$10,IF(NOT($AG67),Constants!$B$9,IF(OR($BY67&lt;&gt;"",$BB67,$BN67),Constants!$B$12,Constants!$B$8)))))</f>
        <v/>
      </c>
      <c r="CA67" s="135" t="str">
        <f aca="false">IF(ISBLANK($C67),"",IF($BZ67&lt;&gt;Constants!$B$8,$BZ67,Constants!$B$13))</f>
        <v/>
      </c>
      <c r="CB67" s="138" t="str">
        <f aca="false">IF($BZ67&lt;&gt;Constants!$B$8,"",IF($BM67="-&gt;",$BT67,$BH67))</f>
        <v/>
      </c>
      <c r="CC67" s="138" t="str">
        <f aca="false">IF($BZ67&lt;&gt;Constants!$B$8,"",IF($AF67,0,Constants!$B$18))</f>
        <v/>
      </c>
      <c r="CD67" s="138" t="str">
        <f aca="false">IF($BZ67&lt;&gt;Constants!$B$8,"",((Constants!$B$31-$AZ67)-Constants!$B$31)/Constants!$B$32)</f>
        <v/>
      </c>
      <c r="CE67" s="138" t="str">
        <f aca="false">IF(ISBLANK($C67),"",IF($BZ67&lt;&gt;Constants!$B$8,$BZ67,SUM($CB67:$CD67)))</f>
        <v/>
      </c>
      <c r="CF67" s="135" t="str">
        <f aca="false">IF(ISBLANK($C67),"",IF($BZ67&lt;&gt;Constants!$B$8,$BZ67,RANK($CE67,$CE$9:$CE$508,1)))</f>
        <v/>
      </c>
      <c r="CG67" s="138" t="str">
        <f aca="false">IF($BZ67&lt;&gt;Constants!$B$8,"",IF($BM67="-&gt;",$BU67,$BI67))</f>
        <v/>
      </c>
      <c r="CH67" s="135" t="str">
        <f aca="false">IF(ISBLANK($C67),"",IF($BZ67&lt;&gt;Constants!$B$8,$BZ67,IF(ISNUMBER($CG67),RANK($CG67,$CG$9:$CG$508,1),COUNT($CG$9:$CG$508)+1)))</f>
        <v/>
      </c>
      <c r="CI67" s="138" t="str">
        <f aca="false">IF($BZ67&lt;&gt;Constants!$B$8,"",IF($BM67="-&gt;",$BV67,$BJ67))</f>
        <v/>
      </c>
      <c r="CJ67" s="135" t="str">
        <f aca="false">IF(ISBLANK($C67),"",IF($BZ67&lt;&gt;Constants!$B$8,$BZ67,IF(ISNUMBER($CI67),RANK($CI67,$CI$9:$CI$508,1),COUNT($CI$9:$CI$508)+1)))</f>
        <v/>
      </c>
      <c r="CK67" s="138" t="str">
        <f aca="false">IF($BZ67&lt;&gt;Constants!$B$8,"",IF($BM67="-&gt;",$BW67,$BK67))</f>
        <v/>
      </c>
      <c r="CL67" s="135" t="str">
        <f aca="false">IF(ISBLANK($C67),"",IF($BZ67&lt;&gt;Constants!$B$8,$BZ67,IF(ISNUMBER($CK67),RANK($CK67,$CK$9:$CK$508,1),COUNT($CK$9:$CK$508)+1)))</f>
        <v/>
      </c>
      <c r="CM67" s="138" t="str">
        <f aca="false">IF($BZ67&lt;&gt;Constants!$B$8,"",IF(AND(NOT($AL67),NOT($AT67),$AJ67,$AK67,$AR67,$AS67),"",IF($BM67="-&gt;",$BX67,$BL67)))</f>
        <v/>
      </c>
      <c r="CN67" s="135" t="str">
        <f aca="false">IF(ISBLANK($C67),"",IF($BZ67&lt;&gt;Constants!$B$8,$BZ67,IF(ISNUMBER($CM67),RANK($CM67,$CM$9:$CM$508,1),COUNT($CM$9:$CM$508)+1)))</f>
        <v/>
      </c>
      <c r="CO67" s="135" t="str">
        <f aca="false">IF(ISBLANK($C67),"",IF($BZ67&lt;&gt;Constants!$B$8,$BZ67,COUNTIFS($CF$9:$CF$508,"&lt;"&amp;$CF67)+COUNTIFS($CF$9:$CF$508,$CF67,$CH$9:$CH$508,"&lt;"&amp;$CH67)+COUNTIFS($CF$9:$CF$508,$CF67,$CH$9:$CH$508,$CH67,$CJ$9:$CJ$508,"&lt;"&amp;$CJ67)+COUNTIFS($CF$9:$CF$508,$CF67,$CH$9:$CH$508,$CH67,$CJ$9:$CJ$508,$CJ67,$CL$9:$CL$508,"&lt;"&amp;$CL67)+COUNTIFS($CF$9:$CF$508,$CF67,$CH$9:$CH$508,$CH67,$CJ$9:$CJ$508,$CJ67,$CL$9:$CL$508,$CL67,$CN$9:$CN$508,"&lt;"&amp;$CN67)+1))</f>
        <v/>
      </c>
      <c r="CP67" s="135" t="str">
        <f aca="false">IF(ISBLANK($C67),"",IF($BZ67&lt;&gt;Constants!$B$8,$BZ67,$CF67-$CO67))</f>
        <v/>
      </c>
      <c r="CQ67" s="141"/>
      <c r="CR67" s="142"/>
      <c r="CS67" s="143" t="str">
        <f aca="false">IF(ISBLANK($C67),"",IF($BZ67=Constants!$B$12,$BY67,""))</f>
        <v/>
      </c>
      <c r="CT67" s="142" t="str">
        <f aca="false">IF(ISBLANK($C67),"",IF($BZ67&lt;&gt;Constants!$B$8,"",IF($BM67="-&gt;",2,1)))</f>
        <v/>
      </c>
      <c r="CU67" s="144" t="str">
        <f aca="false">IF(ISBLANK($C67),"",IF($BZ67&lt;&gt;Constants!$B$8,"",IF($BM67="-&gt;",$BO67,$BC67)))</f>
        <v/>
      </c>
      <c r="CV67" s="144" t="str">
        <f aca="false">IF(ISBLANK($C67),"",IF($BZ67&lt;&gt;Constants!$B$8,"",IF($BM67="-&gt;",$BP67,$BD67)))</f>
        <v/>
      </c>
      <c r="CW67" s="144" t="str">
        <f aca="false">IF(ISBLANK($C67),"",IF($BZ67&lt;&gt;Constants!$B$8,"",IF($BM67="-&gt;",$BQ67+$BR67,$BE67+$BF67)+$CD67))</f>
        <v/>
      </c>
      <c r="CX67" s="144" t="str">
        <f aca="false">IF(ISBLANK($C67),"",IF($BZ67&lt;&gt;Constants!$B$8,"",IF($BM67="-&gt;",$BS67,$BG67)+$CC67))</f>
        <v/>
      </c>
      <c r="CY67" s="145" t="str">
        <f aca="false">IF(ISBLANK($C67),"",IF($BZ67&lt;&gt;Constants!$B$8,$BZ67,$CE67))</f>
        <v/>
      </c>
      <c r="CZ67" s="146" t="str">
        <f aca="false">IF(ISBLANK($C67),"",$CA67)</f>
        <v/>
      </c>
      <c r="DA67" s="147" t="str">
        <f aca="false">IF(ISBLANK($C67),"",$CP67)</f>
        <v/>
      </c>
      <c r="DB67" s="147" t="str">
        <f aca="false">IF(ISBLANK($C67),"",$CO67)</f>
        <v/>
      </c>
      <c r="DC67" s="148" t="str">
        <f aca="false">IF(ISBLANK($C67),"",IFERROR(_xlfn.SWITCH($DB67,Constants!$B$11,COUNTA($C$9:$C$508)+2,Constants!$B$10,COUNTA($C$9:$C$508)+1,Constants!$B$9,COUNTA($C$9:$C$508)),$DB67))</f>
        <v/>
      </c>
      <c r="DD67" s="9"/>
      <c r="DE67" s="149" t="n">
        <f aca="false">IF(OR(ISNUMBER($DB67),$DB67=Constants!$B$11,$DB67=Constants!$B$9,$DB67=Constants!$B$10),1,0)</f>
        <v>0</v>
      </c>
      <c r="DF67" s="149" t="n">
        <v>59</v>
      </c>
      <c r="DG67" s="149" t="str">
        <f aca="false">IF(ISBLANK($C67),"",IF(ISNUMBER($DC67),$DC67+ROW($B67)/1000,""))</f>
        <v/>
      </c>
      <c r="DH67" s="149" t="str">
        <f aca="false">IF(ISNUMBER($DG67),RANK($DG67,$DG$9:$DG$508,1),"")</f>
        <v/>
      </c>
      <c r="DI67" s="149" t="str">
        <f aca="false">IF(ISBLANK($C67),"",$B67)</f>
        <v/>
      </c>
      <c r="DJ67" s="149" t="str">
        <f aca="false">IF(ISBLANK($C67),"",$C67)</f>
        <v/>
      </c>
      <c r="DK67" s="149" t="str">
        <f aca="false">IF(ISBLANK($C67),"",$D67)</f>
        <v/>
      </c>
      <c r="DL67" s="150" t="str">
        <f aca="false">$CZ67</f>
        <v/>
      </c>
      <c r="DM67" s="151" t="str">
        <f aca="false">$CY67</f>
        <v/>
      </c>
      <c r="DN67" s="149" t="str">
        <f aca="false">IF(ISBLANK($C67),"",$DB67)</f>
        <v/>
      </c>
      <c r="DO67" s="152" t="str">
        <f aca="false">IF($DF67&gt;$DE$8,"",VLOOKUP($DF67,$DH$9:$DN$508,7,FALSE()))</f>
        <v/>
      </c>
      <c r="DP67" s="153" t="str">
        <f aca="false">IF($DF67&gt;$DE$8,"",VLOOKUP($DF67,$DH$9:$DN$508,2,FALSE()))</f>
        <v/>
      </c>
      <c r="DQ67" s="153" t="str">
        <f aca="false">IF($DF67&gt;$DE$8,"",VLOOKUP($DF67,$DH$9:$DN$508,3,FALSE()))</f>
        <v/>
      </c>
      <c r="DR67" s="153" t="str">
        <f aca="false">IF($DF67&gt;$DE$8,"",VLOOKUP($DF67,$DH$9:$DN$508,4,FALSE()))</f>
        <v/>
      </c>
      <c r="DS67" s="153" t="str">
        <f aca="false">IF($DF67&gt;$DE$8,"",VLOOKUP($DF67,$DH$9:$DN$508,5,FALSE()))</f>
        <v/>
      </c>
      <c r="DT67" s="154" t="str">
        <f aca="false">IF($DF67&gt;$DE$8,"",VLOOKUP($DF67,$DH$9:$DN$508,6,FALSE()))</f>
        <v/>
      </c>
      <c r="DU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IF(ISBLANK($C68),"",IF(E68=Constants!$B$3,TRUE(),IF(E68=Constants!$B$4,FALSE(),TRUE())))</f>
        <v/>
      </c>
      <c r="AG68" s="135" t="str">
        <f aca="false">IF(ISBLANK($C68),"",IF(F68=Constants!$B$3,TRUE(),IF(F68=Constants!$B$4,FALSE(),TRUE())))</f>
        <v/>
      </c>
      <c r="AH68" s="135" t="str">
        <f aca="false">IF(ISBLANK($C68),"",IF(G68=Constants!$B$3,TRUE(),IF(G68=Constants!$B$4,FALSE(),TRUE())))</f>
        <v/>
      </c>
      <c r="AI68" s="135" t="str">
        <f aca="false">IF(ISBLANK($C68),"",IF(AND(ISNUMBER(H68),H68&gt;=0),H68,Constants!$B$29))</f>
        <v/>
      </c>
      <c r="AJ68" s="135" t="str">
        <f aca="false">IF(ISBLANK($C68),"",IF(I68=Constants!$B$3,TRUE(),IF(I68=Constants!$B$4,FALSE(),TRUE())))</f>
        <v/>
      </c>
      <c r="AK68" s="135" t="str">
        <f aca="false">IF(ISBLANK($C68),"",IF(J68=Constants!$B$3,TRUE(),IF(J68=Constants!$B$4,FALSE(),TRUE())))</f>
        <v/>
      </c>
      <c r="AL68" s="135" t="str">
        <f aca="false">IF(ISBLANK($C68),"",IF(K68=Constants!$B$5,TRUE(),IF(K68=Constants!$B$6,FALSE(),COUNTA(L68:P68)&gt;0)))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IF(ISBLANK($C68),"",IF(N68=Constants!$B$3,TRUE(),IF(N68=Constants!$B$4,FALSE(),TRUE())))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IF(ISBLANK($C68),"",IF(P68=Constants!$B$3,TRUE(),IF(P68=Constants!$B$4,FALSE(),FALSE())))</f>
        <v/>
      </c>
      <c r="AR68" s="135" t="str">
        <f aca="false">IF(ISBLANK($C68),"",IF(Q68=Constants!$B$3,TRUE(),IF(Q68=Constants!$B$4,FALSE(),TRUE())))</f>
        <v/>
      </c>
      <c r="AS68" s="135" t="str">
        <f aca="false">IF(ISBLANK($C68),"",IF(R68=Constants!$B$3,TRUE(),IF(R68=Constants!$B$4,FALSE(),TRUE())))</f>
        <v/>
      </c>
      <c r="AT68" s="135" t="str">
        <f aca="false">IF(ISBLANK($C68),"",IF(S68=Constants!$B$5,TRUE(),IF(S68=Constants!$B$6,FALSE(),COUNTA(T68:X68)&gt;0)))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IF(ISBLANK($C68),"",IF(V68=Constants!$B$3,TRUE(),IF(V68=Constants!$B$4,FALSE(),TRUE())))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IF(ISBLANK($C68),"",IF(X68=Constants!$B$3,TRUE(),IF(X68=Constants!$B$4,FALSE(),FALSE())))</f>
        <v/>
      </c>
      <c r="AZ68" s="135" t="str">
        <f aca="false">IF(ISBLANK($C68),"",MIN(Constants!$B$31,MAX(0,IF(ISNUMBER(Y68),Y68*60,0)+IF(ISNUMBER(Z68),Z68,0))))</f>
        <v/>
      </c>
      <c r="BA68" s="135" t="str">
        <f aca="false">IF(ISBLANK($C68),"",IF(AA68=Constants!$B$3,TRUE(),IF(AA68=Constants!$B$4,FALSE(),FALSE())))</f>
        <v/>
      </c>
      <c r="BB68" s="134" t="str">
        <f aca="false">IF(ISBLANK($C68),"",AND($AL68,OR($AM68="",$AN68="",AND($AO68,$AP68=""))))</f>
        <v/>
      </c>
      <c r="BC68" s="137" t="str">
        <f aca="false">IF($BZ68&lt;&gt;Constants!$B$8,"",IF($AL68,Constants!$B$21*$AN68+Constants!$B$22*IF($AO68,$AP68,Constants!$B$23),Constants!$B$24))</f>
        <v/>
      </c>
      <c r="BD68" s="138" t="str">
        <f aca="false">IF($BZ68&lt;&gt;Constants!$B$8,"",Constants!$B$25*ABS($AD$9-IF($AL68,$AM68,0)))</f>
        <v/>
      </c>
      <c r="BE68" s="138" t="str">
        <f aca="false">IF($BZ68&lt;&gt;Constants!$B$8,"",IF(AND($AL68,$AQ68,$AO68),Constants!$B$27,0))</f>
        <v/>
      </c>
      <c r="BF68" s="138" t="str">
        <f aca="false">IF($BZ68&lt;&gt;Constants!$B$8,"",IF($AL68,($AI68-Constants!$B$29)*Constants!$B$28,0))</f>
        <v/>
      </c>
      <c r="BG68" s="138" t="str">
        <f aca="false">IF($BZ68&lt;&gt;Constants!$B$8,"",IF($AK68,0,Constants!$B$15)+IF($AJ68,0,Constants!$B$16)+IF($AH68,0,Constants!$B$17))</f>
        <v/>
      </c>
      <c r="BH68" s="139" t="str">
        <f aca="false">IF($BZ68&lt;&gt;Constants!$B$8,"",Constants!$B$20+SUM($BC68:$BG68))</f>
        <v/>
      </c>
      <c r="BI68" s="138" t="str">
        <f aca="false">IF($BZ68&lt;&gt;Constants!$B$8,"",$BC68)</f>
        <v/>
      </c>
      <c r="BJ68" s="138" t="str">
        <f aca="false">IF($BZ68&lt;&gt;Constants!$B$8,"",$BD68)</f>
        <v/>
      </c>
      <c r="BK68" s="138" t="str">
        <f aca="false">IF($BZ68&lt;&gt;Constants!$B$8,"",IF($AL68,$AN68,""))</f>
        <v/>
      </c>
      <c r="BL68" s="140" t="str">
        <f aca="false">IF($BZ68&lt;&gt;Constants!$B$8,"",$AI68)</f>
        <v/>
      </c>
      <c r="BM68" s="135" t="str">
        <f aca="false">IF($BZ68&lt;&gt;Constants!$B$8,"",IF(OR($BT68&lt;$BH68,AND($BT68=$BH68,OR($BU68&lt;$BI68,AND($BU68=$BI68,OR($BV68&lt;$BJ68,AND($BV68=$BJ68,OR(AND(ISNUMBER($BW68),OR(NOT(ISNUMBER($BK68)),$BW68&lt;$BK68)),AND(OR(AND($BW68="",$BK68=""),AND(ISNUMBER($BW68),ISNUMBER($BK68),$BW68=$BK68)),$BX68&lt;$BL68)))))))),"-&gt;","&lt;-"))</f>
        <v/>
      </c>
      <c r="BN68" s="134" t="str">
        <f aca="false">IF(ISBLANK($C68),"",AND($AT68,OR($AU68="",$AV68="",AND($AW68,$AX68=""))))</f>
        <v/>
      </c>
      <c r="BO68" s="137" t="str">
        <f aca="false">IF($BZ68&lt;&gt;Constants!$B$8,"",IF($AT68,Constants!$B$21*$AV68+Constants!$B$22*IF($AW68,$AX68,Constants!$B$23),Constants!$B$24))</f>
        <v/>
      </c>
      <c r="BP68" s="138" t="str">
        <f aca="false">IF($BZ68&lt;&gt;Constants!$B$8,"",Constants!$B$25*ABS($AD$9-IF($AT68,$AU68,0)))</f>
        <v/>
      </c>
      <c r="BQ68" s="138" t="str">
        <f aca="false">IF($BZ68&lt;&gt;Constants!$B$8,"",IF(AND($AT68,$AY68,$AW68),Constants!$B$27,0))</f>
        <v/>
      </c>
      <c r="BR68" s="138" t="str">
        <f aca="false">IF($BZ68&lt;&gt;Constants!$B$8,"",IF($AT68,($AI68-Constants!$B$29)*Constants!$B$28,0))</f>
        <v/>
      </c>
      <c r="BS68" s="138" t="str">
        <f aca="false">IF($BZ68&lt;&gt;Constants!$B$8,"",IF($AS68,0,Constants!$B$15)+IF($AR68,0,Constants!$B$16)+IF($AH68,0,Constants!$B$17))</f>
        <v/>
      </c>
      <c r="BT68" s="139" t="str">
        <f aca="false">IF($BZ68&lt;&gt;Constants!$B$8,"",Constants!$B$20+SUM($BO68:$BS68))</f>
        <v/>
      </c>
      <c r="BU68" s="138" t="str">
        <f aca="false">IF($BZ68&lt;&gt;Constants!$B$8,"",$BO68)</f>
        <v/>
      </c>
      <c r="BV68" s="138" t="str">
        <f aca="false">IF($BZ68&lt;&gt;Constants!$B$8,"",$BP68)</f>
        <v/>
      </c>
      <c r="BW68" s="138" t="str">
        <f aca="false">IF($BZ68&lt;&gt;Constants!$B$8,"",IF($AT68,$AV68,""))</f>
        <v/>
      </c>
      <c r="BX68" s="140" t="str">
        <f aca="false">IF($BZ68&lt;&gt;Constants!$B$8,"",$AI68)</f>
        <v/>
      </c>
      <c r="BY68" s="135" t="str">
        <f aca="false">IF(ISBLANK($C68),"",IF(ISBLANK($D$7),$BY$5,IF(NOT(ISNUMBER($D$7)),$BY$6,"")))</f>
        <v/>
      </c>
      <c r="BZ68" s="135" t="str">
        <f aca="false">IF(ISBLANK($C68),"",IF($BA68,Constants!$B$11,IF(COUNTA($E68:$AA68)=0,Constants!$B$10,IF(NOT($AG68),Constants!$B$9,IF(OR($BY68&lt;&gt;"",$BB68,$BN68),Constants!$B$12,Constants!$B$8)))))</f>
        <v/>
      </c>
      <c r="CA68" s="135" t="str">
        <f aca="false">IF(ISBLANK($C68),"",IF($BZ68&lt;&gt;Constants!$B$8,$BZ68,Constants!$B$13))</f>
        <v/>
      </c>
      <c r="CB68" s="138" t="str">
        <f aca="false">IF($BZ68&lt;&gt;Constants!$B$8,"",IF($BM68="-&gt;",$BT68,$BH68))</f>
        <v/>
      </c>
      <c r="CC68" s="138" t="str">
        <f aca="false">IF($BZ68&lt;&gt;Constants!$B$8,"",IF($AF68,0,Constants!$B$18))</f>
        <v/>
      </c>
      <c r="CD68" s="138" t="str">
        <f aca="false">IF($BZ68&lt;&gt;Constants!$B$8,"",((Constants!$B$31-$AZ68)-Constants!$B$31)/Constants!$B$32)</f>
        <v/>
      </c>
      <c r="CE68" s="138" t="str">
        <f aca="false">IF(ISBLANK($C68),"",IF($BZ68&lt;&gt;Constants!$B$8,$BZ68,SUM($CB68:$CD68)))</f>
        <v/>
      </c>
      <c r="CF68" s="135" t="str">
        <f aca="false">IF(ISBLANK($C68),"",IF($BZ68&lt;&gt;Constants!$B$8,$BZ68,RANK($CE68,$CE$9:$CE$508,1)))</f>
        <v/>
      </c>
      <c r="CG68" s="138" t="str">
        <f aca="false">IF($BZ68&lt;&gt;Constants!$B$8,"",IF($BM68="-&gt;",$BU68,$BI68))</f>
        <v/>
      </c>
      <c r="CH68" s="135" t="str">
        <f aca="false">IF(ISBLANK($C68),"",IF($BZ68&lt;&gt;Constants!$B$8,$BZ68,IF(ISNUMBER($CG68),RANK($CG68,$CG$9:$CG$508,1),COUNT($CG$9:$CG$508)+1)))</f>
        <v/>
      </c>
      <c r="CI68" s="138" t="str">
        <f aca="false">IF($BZ68&lt;&gt;Constants!$B$8,"",IF($BM68="-&gt;",$BV68,$BJ68))</f>
        <v/>
      </c>
      <c r="CJ68" s="135" t="str">
        <f aca="false">IF(ISBLANK($C68),"",IF($BZ68&lt;&gt;Constants!$B$8,$BZ68,IF(ISNUMBER($CI68),RANK($CI68,$CI$9:$CI$508,1),COUNT($CI$9:$CI$508)+1)))</f>
        <v/>
      </c>
      <c r="CK68" s="138" t="str">
        <f aca="false">IF($BZ68&lt;&gt;Constants!$B$8,"",IF($BM68="-&gt;",$BW68,$BK68))</f>
        <v/>
      </c>
      <c r="CL68" s="135" t="str">
        <f aca="false">IF(ISBLANK($C68),"",IF($BZ68&lt;&gt;Constants!$B$8,$BZ68,IF(ISNUMBER($CK68),RANK($CK68,$CK$9:$CK$508,1),COUNT($CK$9:$CK$508)+1)))</f>
        <v/>
      </c>
      <c r="CM68" s="138" t="str">
        <f aca="false">IF($BZ68&lt;&gt;Constants!$B$8,"",IF(AND(NOT($AL68),NOT($AT68),$AJ68,$AK68,$AR68,$AS68),"",IF($BM68="-&gt;",$BX68,$BL68)))</f>
        <v/>
      </c>
      <c r="CN68" s="135" t="str">
        <f aca="false">IF(ISBLANK($C68),"",IF($BZ68&lt;&gt;Constants!$B$8,$BZ68,IF(ISNUMBER($CM68),RANK($CM68,$CM$9:$CM$508,1),COUNT($CM$9:$CM$508)+1)))</f>
        <v/>
      </c>
      <c r="CO68" s="135" t="str">
        <f aca="false">IF(ISBLANK($C68),"",IF($BZ68&lt;&gt;Constants!$B$8,$BZ68,COUNTIFS($CF$9:$CF$508,"&lt;"&amp;$CF68)+COUNTIFS($CF$9:$CF$508,$CF68,$CH$9:$CH$508,"&lt;"&amp;$CH68)+COUNTIFS($CF$9:$CF$508,$CF68,$CH$9:$CH$508,$CH68,$CJ$9:$CJ$508,"&lt;"&amp;$CJ68)+COUNTIFS($CF$9:$CF$508,$CF68,$CH$9:$CH$508,$CH68,$CJ$9:$CJ$508,$CJ68,$CL$9:$CL$508,"&lt;"&amp;$CL68)+COUNTIFS($CF$9:$CF$508,$CF68,$CH$9:$CH$508,$CH68,$CJ$9:$CJ$508,$CJ68,$CL$9:$CL$508,$CL68,$CN$9:$CN$508,"&lt;"&amp;$CN68)+1))</f>
        <v/>
      </c>
      <c r="CP68" s="135" t="str">
        <f aca="false">IF(ISBLANK($C68),"",IF($BZ68&lt;&gt;Constants!$B$8,$BZ68,$CF68-$CO68))</f>
        <v/>
      </c>
      <c r="CQ68" s="141"/>
      <c r="CR68" s="142"/>
      <c r="CS68" s="143" t="str">
        <f aca="false">IF(ISBLANK($C68),"",IF($BZ68=Constants!$B$12,$BY68,""))</f>
        <v/>
      </c>
      <c r="CT68" s="142" t="str">
        <f aca="false">IF(ISBLANK($C68),"",IF($BZ68&lt;&gt;Constants!$B$8,"",IF($BM68="-&gt;",2,1)))</f>
        <v/>
      </c>
      <c r="CU68" s="144" t="str">
        <f aca="false">IF(ISBLANK($C68),"",IF($BZ68&lt;&gt;Constants!$B$8,"",IF($BM68="-&gt;",$BO68,$BC68)))</f>
        <v/>
      </c>
      <c r="CV68" s="144" t="str">
        <f aca="false">IF(ISBLANK($C68),"",IF($BZ68&lt;&gt;Constants!$B$8,"",IF($BM68="-&gt;",$BP68,$BD68)))</f>
        <v/>
      </c>
      <c r="CW68" s="144" t="str">
        <f aca="false">IF(ISBLANK($C68),"",IF($BZ68&lt;&gt;Constants!$B$8,"",IF($BM68="-&gt;",$BQ68+$BR68,$BE68+$BF68)+$CD68))</f>
        <v/>
      </c>
      <c r="CX68" s="144" t="str">
        <f aca="false">IF(ISBLANK($C68),"",IF($BZ68&lt;&gt;Constants!$B$8,"",IF($BM68="-&gt;",$BS68,$BG68)+$CC68))</f>
        <v/>
      </c>
      <c r="CY68" s="145" t="str">
        <f aca="false">IF(ISBLANK($C68),"",IF($BZ68&lt;&gt;Constants!$B$8,$BZ68,$CE68))</f>
        <v/>
      </c>
      <c r="CZ68" s="146" t="str">
        <f aca="false">IF(ISBLANK($C68),"",$CA68)</f>
        <v/>
      </c>
      <c r="DA68" s="147" t="str">
        <f aca="false">IF(ISBLANK($C68),"",$CP68)</f>
        <v/>
      </c>
      <c r="DB68" s="147" t="str">
        <f aca="false">IF(ISBLANK($C68),"",$CO68)</f>
        <v/>
      </c>
      <c r="DC68" s="148" t="str">
        <f aca="false">IF(ISBLANK($C68),"",IFERROR(_xlfn.SWITCH($DB68,Constants!$B$11,COUNTA($C$9:$C$508)+2,Constants!$B$10,COUNTA($C$9:$C$508)+1,Constants!$B$9,COUNTA($C$9:$C$508)),$DB68))</f>
        <v/>
      </c>
      <c r="DD68" s="9"/>
      <c r="DE68" s="149" t="n">
        <f aca="false">IF(OR(ISNUMBER($DB68),$DB68=Constants!$B$11,$DB68=Constants!$B$9,$DB68=Constants!$B$10),1,0)</f>
        <v>0</v>
      </c>
      <c r="DF68" s="149" t="n">
        <v>60</v>
      </c>
      <c r="DG68" s="149" t="str">
        <f aca="false">IF(ISBLANK($C68),"",IF(ISNUMBER($DC68),$DC68+ROW($B68)/1000,""))</f>
        <v/>
      </c>
      <c r="DH68" s="149" t="str">
        <f aca="false">IF(ISNUMBER($DG68),RANK($DG68,$DG$9:$DG$508,1),"")</f>
        <v/>
      </c>
      <c r="DI68" s="149" t="str">
        <f aca="false">IF(ISBLANK($C68),"",$B68)</f>
        <v/>
      </c>
      <c r="DJ68" s="149" t="str">
        <f aca="false">IF(ISBLANK($C68),"",$C68)</f>
        <v/>
      </c>
      <c r="DK68" s="149" t="str">
        <f aca="false">IF(ISBLANK($C68),"",$D68)</f>
        <v/>
      </c>
      <c r="DL68" s="150" t="str">
        <f aca="false">$CZ68</f>
        <v/>
      </c>
      <c r="DM68" s="151" t="str">
        <f aca="false">$CY68</f>
        <v/>
      </c>
      <c r="DN68" s="149" t="str">
        <f aca="false">IF(ISBLANK($C68),"",$DB68)</f>
        <v/>
      </c>
      <c r="DO68" s="152" t="str">
        <f aca="false">IF($DF68&gt;$DE$8,"",VLOOKUP($DF68,$DH$9:$DN$508,7,FALSE()))</f>
        <v/>
      </c>
      <c r="DP68" s="153" t="str">
        <f aca="false">IF($DF68&gt;$DE$8,"",VLOOKUP($DF68,$DH$9:$DN$508,2,FALSE()))</f>
        <v/>
      </c>
      <c r="DQ68" s="153" t="str">
        <f aca="false">IF($DF68&gt;$DE$8,"",VLOOKUP($DF68,$DH$9:$DN$508,3,FALSE()))</f>
        <v/>
      </c>
      <c r="DR68" s="153" t="str">
        <f aca="false">IF($DF68&gt;$DE$8,"",VLOOKUP($DF68,$DH$9:$DN$508,4,FALSE()))</f>
        <v/>
      </c>
      <c r="DS68" s="153" t="str">
        <f aca="false">IF($DF68&gt;$DE$8,"",VLOOKUP($DF68,$DH$9:$DN$508,5,FALSE()))</f>
        <v/>
      </c>
      <c r="DT68" s="154" t="str">
        <f aca="false">IF($DF68&gt;$DE$8,"",VLOOKUP($DF68,$DH$9:$DN$508,6,FALSE()))</f>
        <v/>
      </c>
      <c r="DU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IF(ISBLANK($C69),"",IF(E69=Constants!$B$3,TRUE(),IF(E69=Constants!$B$4,FALSE(),TRUE())))</f>
        <v/>
      </c>
      <c r="AG69" s="93" t="str">
        <f aca="false">IF(ISBLANK($C69),"",IF(F69=Constants!$B$3,TRUE(),IF(F69=Constants!$B$4,FALSE(),TRUE())))</f>
        <v/>
      </c>
      <c r="AH69" s="93" t="str">
        <f aca="false">IF(ISBLANK($C69),"",IF(G69=Constants!$B$3,TRUE(),IF(G69=Constants!$B$4,FALSE(),TRUE())))</f>
        <v/>
      </c>
      <c r="AI69" s="93" t="str">
        <f aca="false">IF(ISBLANK($C69),"",IF(AND(ISNUMBER(H69),H69&gt;=0),H69,Constants!$B$29))</f>
        <v/>
      </c>
      <c r="AJ69" s="93" t="str">
        <f aca="false">IF(ISBLANK($C69),"",IF(I69=Constants!$B$3,TRUE(),IF(I69=Constants!$B$4,FALSE(),TRUE())))</f>
        <v/>
      </c>
      <c r="AK69" s="93" t="str">
        <f aca="false">IF(ISBLANK($C69),"",IF(J69=Constants!$B$3,TRUE(),IF(J69=Constants!$B$4,FALSE(),TRUE())))</f>
        <v/>
      </c>
      <c r="AL69" s="93" t="str">
        <f aca="false">IF(ISBLANK($C69),"",IF(K69=Constants!$B$5,TRUE(),IF(K69=Constants!$B$6,FALSE(),COUNTA(L69:P69)&gt;0)))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IF(ISBLANK($C69),"",IF(N69=Constants!$B$3,TRUE(),IF(N69=Constants!$B$4,FALSE(),TRUE())))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IF(ISBLANK($C69),"",IF(P69=Constants!$B$3,TRUE(),IF(P69=Constants!$B$4,FALSE(),FALSE())))</f>
        <v/>
      </c>
      <c r="AR69" s="93" t="str">
        <f aca="false">IF(ISBLANK($C69),"",IF(Q69=Constants!$B$3,TRUE(),IF(Q69=Constants!$B$4,FALSE(),TRUE())))</f>
        <v/>
      </c>
      <c r="AS69" s="93" t="str">
        <f aca="false">IF(ISBLANK($C69),"",IF(R69=Constants!$B$3,TRUE(),IF(R69=Constants!$B$4,FALSE(),TRUE())))</f>
        <v/>
      </c>
      <c r="AT69" s="93" t="str">
        <f aca="false">IF(ISBLANK($C69),"",IF(S69=Constants!$B$5,TRUE(),IF(S69=Constants!$B$6,FALSE(),COUNTA(T69:X69)&gt;0)))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IF(ISBLANK($C69),"",IF(V69=Constants!$B$3,TRUE(),IF(V69=Constants!$B$4,FALSE(),TRUE())))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IF(ISBLANK($C69),"",IF(X69=Constants!$B$3,TRUE(),IF(X69=Constants!$B$4,FALSE(),FALSE())))</f>
        <v/>
      </c>
      <c r="AZ69" s="93" t="str">
        <f aca="false">IF(ISBLANK($C69),"",MIN(Constants!$B$31,MAX(0,IF(ISNUMBER(Y69),Y69*60,0)+IF(ISNUMBER(Z69),Z69,0))))</f>
        <v/>
      </c>
      <c r="BA69" s="93" t="str">
        <f aca="false">IF(ISBLANK($C69),"",IF(AA69=Constants!$B$3,TRUE(),IF(AA69=Constants!$B$4,FALSE(),FALSE())))</f>
        <v/>
      </c>
      <c r="BB69" s="92" t="str">
        <f aca="false">IF(ISBLANK($C69),"",AND($AL69,OR($AM69="",$AN69="",AND($AO69,$AP69=""))))</f>
        <v/>
      </c>
      <c r="BC69" s="94" t="str">
        <f aca="false">IF($BZ69&lt;&gt;Constants!$B$8,"",IF($AL69,Constants!$B$21*$AN69+Constants!$B$22*IF($AO69,$AP69,Constants!$B$23),Constants!$B$24))</f>
        <v/>
      </c>
      <c r="BD69" s="97" t="str">
        <f aca="false">IF($BZ69&lt;&gt;Constants!$B$8,"",Constants!$B$25*ABS($AD$9-IF($AL69,$AM69,0)))</f>
        <v/>
      </c>
      <c r="BE69" s="97" t="str">
        <f aca="false">IF($BZ69&lt;&gt;Constants!$B$8,"",IF(AND($AL69,$AQ69,$AO69),Constants!$B$27,0))</f>
        <v/>
      </c>
      <c r="BF69" s="97" t="str">
        <f aca="false">IF($BZ69&lt;&gt;Constants!$B$8,"",IF($AL69,($AI69-Constants!$B$29)*Constants!$B$28,0))</f>
        <v/>
      </c>
      <c r="BG69" s="97" t="str">
        <f aca="false">IF($BZ69&lt;&gt;Constants!$B$8,"",IF($AK69,0,Constants!$B$15)+IF($AJ69,0,Constants!$B$16)+IF($AH69,0,Constants!$B$17))</f>
        <v/>
      </c>
      <c r="BH69" s="98" t="str">
        <f aca="false">IF($BZ69&lt;&gt;Constants!$B$8,"",Constants!$B$20+SUM($BC69:$BG69))</f>
        <v/>
      </c>
      <c r="BI69" s="97" t="str">
        <f aca="false">IF($BZ69&lt;&gt;Constants!$B$8,"",$BC69)</f>
        <v/>
      </c>
      <c r="BJ69" s="97" t="str">
        <f aca="false">IF($BZ69&lt;&gt;Constants!$B$8,"",$BD69)</f>
        <v/>
      </c>
      <c r="BK69" s="97" t="str">
        <f aca="false">IF($BZ69&lt;&gt;Constants!$B$8,"",IF($AL69,$AN69,""))</f>
        <v/>
      </c>
      <c r="BL69" s="99" t="str">
        <f aca="false">IF($BZ69&lt;&gt;Constants!$B$8,"",$AI69)</f>
        <v/>
      </c>
      <c r="BM69" s="93" t="str">
        <f aca="false">IF($BZ69&lt;&gt;Constants!$B$8,"",IF(OR($BT69&lt;$BH69,AND($BT69=$BH69,OR($BU69&lt;$BI69,AND($BU69=$BI69,OR($BV69&lt;$BJ69,AND($BV69=$BJ69,OR(AND(ISNUMBER($BW69),OR(NOT(ISNUMBER($BK69)),$BW69&lt;$BK69)),AND(OR(AND($BW69="",$BK69=""),AND(ISNUMBER($BW69),ISNUMBER($BK69),$BW69=$BK69)),$BX69&lt;$BL69)))))))),"-&gt;","&lt;-"))</f>
        <v/>
      </c>
      <c r="BN69" s="92" t="str">
        <f aca="false">IF(ISBLANK($C69),"",AND($AT69,OR($AU69="",$AV69="",AND($AW69,$AX69=""))))</f>
        <v/>
      </c>
      <c r="BO69" s="94" t="str">
        <f aca="false">IF($BZ69&lt;&gt;Constants!$B$8,"",IF($AT69,Constants!$B$21*$AV69+Constants!$B$22*IF($AW69,$AX69,Constants!$B$23),Constants!$B$24))</f>
        <v/>
      </c>
      <c r="BP69" s="97" t="str">
        <f aca="false">IF($BZ69&lt;&gt;Constants!$B$8,"",Constants!$B$25*ABS($AD$9-IF($AT69,$AU69,0)))</f>
        <v/>
      </c>
      <c r="BQ69" s="97" t="str">
        <f aca="false">IF($BZ69&lt;&gt;Constants!$B$8,"",IF(AND($AT69,$AY69,$AW69),Constants!$B$27,0))</f>
        <v/>
      </c>
      <c r="BR69" s="97" t="str">
        <f aca="false">IF($BZ69&lt;&gt;Constants!$B$8,"",IF($AT69,($AI69-Constants!$B$29)*Constants!$B$28,0))</f>
        <v/>
      </c>
      <c r="BS69" s="97" t="str">
        <f aca="false">IF($BZ69&lt;&gt;Constants!$B$8,"",IF($AS69,0,Constants!$B$15)+IF($AR69,0,Constants!$B$16)+IF($AH69,0,Constants!$B$17))</f>
        <v/>
      </c>
      <c r="BT69" s="98" t="str">
        <f aca="false">IF($BZ69&lt;&gt;Constants!$B$8,"",Constants!$B$20+SUM($BO69:$BS69))</f>
        <v/>
      </c>
      <c r="BU69" s="97" t="str">
        <f aca="false">IF($BZ69&lt;&gt;Constants!$B$8,"",$BO69)</f>
        <v/>
      </c>
      <c r="BV69" s="97" t="str">
        <f aca="false">IF($BZ69&lt;&gt;Constants!$B$8,"",$BP69)</f>
        <v/>
      </c>
      <c r="BW69" s="97" t="str">
        <f aca="false">IF($BZ69&lt;&gt;Constants!$B$8,"",IF($AT69,$AV69,""))</f>
        <v/>
      </c>
      <c r="BX69" s="99" t="str">
        <f aca="false">IF($BZ69&lt;&gt;Constants!$B$8,"",$AI69)</f>
        <v/>
      </c>
      <c r="BY69" s="93" t="str">
        <f aca="false">IF(ISBLANK($C69),"",IF(ISBLANK($D$7),$BY$5,IF(NOT(ISNUMBER($D$7)),$BY$6,"")))</f>
        <v/>
      </c>
      <c r="BZ69" s="93" t="str">
        <f aca="false">IF(ISBLANK($C69),"",IF($BA69,Constants!$B$11,IF(COUNTA($E69:$AA69)=0,Constants!$B$10,IF(NOT($AG69),Constants!$B$9,IF(OR($BY69&lt;&gt;"",$BB69,$BN69),Constants!$B$12,Constants!$B$8)))))</f>
        <v/>
      </c>
      <c r="CA69" s="93" t="str">
        <f aca="false">IF(ISBLANK($C69),"",IF($BZ69&lt;&gt;Constants!$B$8,$BZ69,Constants!$B$13))</f>
        <v/>
      </c>
      <c r="CB69" s="97" t="str">
        <f aca="false">IF($BZ69&lt;&gt;Constants!$B$8,"",IF($BM69="-&gt;",$BT69,$BH69))</f>
        <v/>
      </c>
      <c r="CC69" s="97" t="str">
        <f aca="false">IF($BZ69&lt;&gt;Constants!$B$8,"",IF($AF69,0,Constants!$B$18))</f>
        <v/>
      </c>
      <c r="CD69" s="97" t="str">
        <f aca="false">IF($BZ69&lt;&gt;Constants!$B$8,"",((Constants!$B$31-$AZ69)-Constants!$B$31)/Constants!$B$32)</f>
        <v/>
      </c>
      <c r="CE69" s="97" t="str">
        <f aca="false">IF(ISBLANK($C69),"",IF($BZ69&lt;&gt;Constants!$B$8,$BZ69,SUM($CB69:$CD69)))</f>
        <v/>
      </c>
      <c r="CF69" s="93" t="str">
        <f aca="false">IF(ISBLANK($C69),"",IF($BZ69&lt;&gt;Constants!$B$8,$BZ69,RANK($CE69,$CE$9:$CE$508,1)))</f>
        <v/>
      </c>
      <c r="CG69" s="97" t="str">
        <f aca="false">IF($BZ69&lt;&gt;Constants!$B$8,"",IF($BM69="-&gt;",$BU69,$BI69))</f>
        <v/>
      </c>
      <c r="CH69" s="93" t="str">
        <f aca="false">IF(ISBLANK($C69),"",IF($BZ69&lt;&gt;Constants!$B$8,$BZ69,IF(ISNUMBER($CG69),RANK($CG69,$CG$9:$CG$508,1),COUNT($CG$9:$CG$508)+1)))</f>
        <v/>
      </c>
      <c r="CI69" s="97" t="str">
        <f aca="false">IF($BZ69&lt;&gt;Constants!$B$8,"",IF($BM69="-&gt;",$BV69,$BJ69))</f>
        <v/>
      </c>
      <c r="CJ69" s="93" t="str">
        <f aca="false">IF(ISBLANK($C69),"",IF($BZ69&lt;&gt;Constants!$B$8,$BZ69,IF(ISNUMBER($CI69),RANK($CI69,$CI$9:$CI$508,1),COUNT($CI$9:$CI$508)+1)))</f>
        <v/>
      </c>
      <c r="CK69" s="97" t="str">
        <f aca="false">IF($BZ69&lt;&gt;Constants!$B$8,"",IF($BM69="-&gt;",$BW69,$BK69))</f>
        <v/>
      </c>
      <c r="CL69" s="93" t="str">
        <f aca="false">IF(ISBLANK($C69),"",IF($BZ69&lt;&gt;Constants!$B$8,$BZ69,IF(ISNUMBER($CK69),RANK($CK69,$CK$9:$CK$508,1),COUNT($CK$9:$CK$508)+1)))</f>
        <v/>
      </c>
      <c r="CM69" s="97" t="str">
        <f aca="false">IF($BZ69&lt;&gt;Constants!$B$8,"",IF(AND(NOT($AL69),NOT($AT69),$AJ69,$AK69,$AR69,$AS69),"",IF($BM69="-&gt;",$BX69,$BL69)))</f>
        <v/>
      </c>
      <c r="CN69" s="93" t="str">
        <f aca="false">IF(ISBLANK($C69),"",IF($BZ69&lt;&gt;Constants!$B$8,$BZ69,IF(ISNUMBER($CM69),RANK($CM69,$CM$9:$CM$508,1),COUNT($CM$9:$CM$508)+1)))</f>
        <v/>
      </c>
      <c r="CO69" s="93" t="str">
        <f aca="false">IF(ISBLANK($C69),"",IF($BZ69&lt;&gt;Constants!$B$8,$BZ69,COUNTIFS($CF$9:$CF$508,"&lt;"&amp;$CF69)+COUNTIFS($CF$9:$CF$508,$CF69,$CH$9:$CH$508,"&lt;"&amp;$CH69)+COUNTIFS($CF$9:$CF$508,$CF69,$CH$9:$CH$508,$CH69,$CJ$9:$CJ$508,"&lt;"&amp;$CJ69)+COUNTIFS($CF$9:$CF$508,$CF69,$CH$9:$CH$508,$CH69,$CJ$9:$CJ$508,$CJ69,$CL$9:$CL$508,"&lt;"&amp;$CL69)+COUNTIFS($CF$9:$CF$508,$CF69,$CH$9:$CH$508,$CH69,$CJ$9:$CJ$508,$CJ69,$CL$9:$CL$508,$CL69,$CN$9:$CN$508,"&lt;"&amp;$CN69)+1))</f>
        <v/>
      </c>
      <c r="CP69" s="93" t="str">
        <f aca="false">IF(ISBLANK($C69),"",IF($BZ69&lt;&gt;Constants!$B$8,$BZ69,$CF69-$CO69))</f>
        <v/>
      </c>
      <c r="CQ69" s="100"/>
      <c r="CR69" s="101"/>
      <c r="CS69" s="102" t="str">
        <f aca="false">IF(ISBLANK($C69),"",IF($BZ69=Constants!$B$12,$BY69,""))</f>
        <v/>
      </c>
      <c r="CT69" s="101" t="str">
        <f aca="false">IF(ISBLANK($C69),"",IF($BZ69&lt;&gt;Constants!$B$8,"",IF($BM69="-&gt;",2,1)))</f>
        <v/>
      </c>
      <c r="CU69" s="103" t="str">
        <f aca="false">IF(ISBLANK($C69),"",IF($BZ69&lt;&gt;Constants!$B$8,"",IF($BM69="-&gt;",$BO69,$BC69)))</f>
        <v/>
      </c>
      <c r="CV69" s="103" t="str">
        <f aca="false">IF(ISBLANK($C69),"",IF($BZ69&lt;&gt;Constants!$B$8,"",IF($BM69="-&gt;",$BP69,$BD69)))</f>
        <v/>
      </c>
      <c r="CW69" s="103" t="str">
        <f aca="false">IF(ISBLANK($C69),"",IF($BZ69&lt;&gt;Constants!$B$8,"",IF($BM69="-&gt;",$BQ69+$BR69,$BE69+$BF69)+$CD69))</f>
        <v/>
      </c>
      <c r="CX69" s="103" t="str">
        <f aca="false">IF(ISBLANK($C69),"",IF($BZ69&lt;&gt;Constants!$B$8,"",IF($BM69="-&gt;",$BS69,$BG69)+$CC69))</f>
        <v/>
      </c>
      <c r="CY69" s="104" t="str">
        <f aca="false">IF(ISBLANK($C69),"",IF($BZ69&lt;&gt;Constants!$B$8,$BZ69,$CE69))</f>
        <v/>
      </c>
      <c r="CZ69" s="105" t="str">
        <f aca="false">IF(ISBLANK($C69),"",$CA69)</f>
        <v/>
      </c>
      <c r="DA69" s="106" t="str">
        <f aca="false">IF(ISBLANK($C69),"",$CP69)</f>
        <v/>
      </c>
      <c r="DB69" s="106" t="str">
        <f aca="false">IF(ISBLANK($C69),"",$CO69)</f>
        <v/>
      </c>
      <c r="DC69" s="107" t="str">
        <f aca="false">IF(ISBLANK($C69),"",IFERROR(_xlfn.SWITCH($DB69,Constants!$B$11,COUNTA($C$9:$C$508)+2,Constants!$B$10,COUNTA($C$9:$C$508)+1,Constants!$B$9,COUNTA($C$9:$C$508)),$DB69))</f>
        <v/>
      </c>
      <c r="DD69" s="9"/>
      <c r="DE69" s="108" t="n">
        <f aca="false">IF(OR(ISNUMBER($DB69),$DB69=Constants!$B$11,$DB69=Constants!$B$9,$DB69=Constants!$B$10),1,0)</f>
        <v>0</v>
      </c>
      <c r="DF69" s="108" t="n">
        <v>61</v>
      </c>
      <c r="DG69" s="108" t="str">
        <f aca="false">IF(ISBLANK($C69),"",IF(ISNUMBER($DC69),$DC69+ROW($B69)/1000,""))</f>
        <v/>
      </c>
      <c r="DH69" s="108" t="str">
        <f aca="false">IF(ISNUMBER($DG69),RANK($DG69,$DG$9:$DG$508,1),"")</f>
        <v/>
      </c>
      <c r="DI69" s="108" t="str">
        <f aca="false">IF(ISBLANK($C69),"",$B69)</f>
        <v/>
      </c>
      <c r="DJ69" s="108" t="str">
        <f aca="false">IF(ISBLANK($C69),"",$C69)</f>
        <v/>
      </c>
      <c r="DK69" s="108" t="str">
        <f aca="false">IF(ISBLANK($C69),"",$D69)</f>
        <v/>
      </c>
      <c r="DL69" s="109" t="str">
        <f aca="false">$CZ69</f>
        <v/>
      </c>
      <c r="DM69" s="110" t="str">
        <f aca="false">$CY69</f>
        <v/>
      </c>
      <c r="DN69" s="108" t="str">
        <f aca="false">IF(ISBLANK($C69),"",$DB69)</f>
        <v/>
      </c>
      <c r="DO69" s="111" t="str">
        <f aca="false">IF($DF69&gt;$DE$8,"",VLOOKUP($DF69,$DH$9:$DN$508,7,FALSE()))</f>
        <v/>
      </c>
      <c r="DP69" s="112" t="str">
        <f aca="false">IF($DF69&gt;$DE$8,"",VLOOKUP($DF69,$DH$9:$DN$508,2,FALSE()))</f>
        <v/>
      </c>
      <c r="DQ69" s="112" t="str">
        <f aca="false">IF($DF69&gt;$DE$8,"",VLOOKUP($DF69,$DH$9:$DN$508,3,FALSE()))</f>
        <v/>
      </c>
      <c r="DR69" s="112" t="str">
        <f aca="false">IF($DF69&gt;$DE$8,"",VLOOKUP($DF69,$DH$9:$DN$508,4,FALSE()))</f>
        <v/>
      </c>
      <c r="DS69" s="112" t="str">
        <f aca="false">IF($DF69&gt;$DE$8,"",VLOOKUP($DF69,$DH$9:$DN$508,5,FALSE()))</f>
        <v/>
      </c>
      <c r="DT69" s="113" t="str">
        <f aca="false">IF($DF69&gt;$DE$8,"",VLOOKUP($DF69,$DH$9:$DN$508,6,FALSE()))</f>
        <v/>
      </c>
      <c r="DU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IF(ISBLANK($C70),"",IF(E70=Constants!$B$3,TRUE(),IF(E70=Constants!$B$4,FALSE(),TRUE())))</f>
        <v/>
      </c>
      <c r="AG70" s="93" t="str">
        <f aca="false">IF(ISBLANK($C70),"",IF(F70=Constants!$B$3,TRUE(),IF(F70=Constants!$B$4,FALSE(),TRUE())))</f>
        <v/>
      </c>
      <c r="AH70" s="93" t="str">
        <f aca="false">IF(ISBLANK($C70),"",IF(G70=Constants!$B$3,TRUE(),IF(G70=Constants!$B$4,FALSE(),TRUE())))</f>
        <v/>
      </c>
      <c r="AI70" s="93" t="str">
        <f aca="false">IF(ISBLANK($C70),"",IF(AND(ISNUMBER(H70),H70&gt;=0),H70,Constants!$B$29))</f>
        <v/>
      </c>
      <c r="AJ70" s="93" t="str">
        <f aca="false">IF(ISBLANK($C70),"",IF(I70=Constants!$B$3,TRUE(),IF(I70=Constants!$B$4,FALSE(),TRUE())))</f>
        <v/>
      </c>
      <c r="AK70" s="93" t="str">
        <f aca="false">IF(ISBLANK($C70),"",IF(J70=Constants!$B$3,TRUE(),IF(J70=Constants!$B$4,FALSE(),TRUE())))</f>
        <v/>
      </c>
      <c r="AL70" s="93" t="str">
        <f aca="false">IF(ISBLANK($C70),"",IF(K70=Constants!$B$5,TRUE(),IF(K70=Constants!$B$6,FALSE(),COUNTA(L70:P70)&gt;0)))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IF(ISBLANK($C70),"",IF(N70=Constants!$B$3,TRUE(),IF(N70=Constants!$B$4,FALSE(),TRUE())))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IF(ISBLANK($C70),"",IF(P70=Constants!$B$3,TRUE(),IF(P70=Constants!$B$4,FALSE(),FALSE())))</f>
        <v/>
      </c>
      <c r="AR70" s="93" t="str">
        <f aca="false">IF(ISBLANK($C70),"",IF(Q70=Constants!$B$3,TRUE(),IF(Q70=Constants!$B$4,FALSE(),TRUE())))</f>
        <v/>
      </c>
      <c r="AS70" s="93" t="str">
        <f aca="false">IF(ISBLANK($C70),"",IF(R70=Constants!$B$3,TRUE(),IF(R70=Constants!$B$4,FALSE(),TRUE())))</f>
        <v/>
      </c>
      <c r="AT70" s="93" t="str">
        <f aca="false">IF(ISBLANK($C70),"",IF(S70=Constants!$B$5,TRUE(),IF(S70=Constants!$B$6,FALSE(),COUNTA(T70:X70)&gt;0)))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IF(ISBLANK($C70),"",IF(V70=Constants!$B$3,TRUE(),IF(V70=Constants!$B$4,FALSE(),TRUE())))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IF(ISBLANK($C70),"",IF(X70=Constants!$B$3,TRUE(),IF(X70=Constants!$B$4,FALSE(),FALSE())))</f>
        <v/>
      </c>
      <c r="AZ70" s="93" t="str">
        <f aca="false">IF(ISBLANK($C70),"",MIN(Constants!$B$31,MAX(0,IF(ISNUMBER(Y70),Y70*60,0)+IF(ISNUMBER(Z70),Z70,0))))</f>
        <v/>
      </c>
      <c r="BA70" s="93" t="str">
        <f aca="false">IF(ISBLANK($C70),"",IF(AA70=Constants!$B$3,TRUE(),IF(AA70=Constants!$B$4,FALSE(),FALSE())))</f>
        <v/>
      </c>
      <c r="BB70" s="92" t="str">
        <f aca="false">IF(ISBLANK($C70),"",AND($AL70,OR($AM70="",$AN70="",AND($AO70,$AP70=""))))</f>
        <v/>
      </c>
      <c r="BC70" s="94" t="str">
        <f aca="false">IF($BZ70&lt;&gt;Constants!$B$8,"",IF($AL70,Constants!$B$21*$AN70+Constants!$B$22*IF($AO70,$AP70,Constants!$B$23),Constants!$B$24))</f>
        <v/>
      </c>
      <c r="BD70" s="97" t="str">
        <f aca="false">IF($BZ70&lt;&gt;Constants!$B$8,"",Constants!$B$25*ABS($AD$9-IF($AL70,$AM70,0)))</f>
        <v/>
      </c>
      <c r="BE70" s="97" t="str">
        <f aca="false">IF($BZ70&lt;&gt;Constants!$B$8,"",IF(AND($AL70,$AQ70,$AO70),Constants!$B$27,0))</f>
        <v/>
      </c>
      <c r="BF70" s="97" t="str">
        <f aca="false">IF($BZ70&lt;&gt;Constants!$B$8,"",IF($AL70,($AI70-Constants!$B$29)*Constants!$B$28,0))</f>
        <v/>
      </c>
      <c r="BG70" s="97" t="str">
        <f aca="false">IF($BZ70&lt;&gt;Constants!$B$8,"",IF($AK70,0,Constants!$B$15)+IF($AJ70,0,Constants!$B$16)+IF($AH70,0,Constants!$B$17))</f>
        <v/>
      </c>
      <c r="BH70" s="98" t="str">
        <f aca="false">IF($BZ70&lt;&gt;Constants!$B$8,"",Constants!$B$20+SUM($BC70:$BG70))</f>
        <v/>
      </c>
      <c r="BI70" s="97" t="str">
        <f aca="false">IF($BZ70&lt;&gt;Constants!$B$8,"",$BC70)</f>
        <v/>
      </c>
      <c r="BJ70" s="97" t="str">
        <f aca="false">IF($BZ70&lt;&gt;Constants!$B$8,"",$BD70)</f>
        <v/>
      </c>
      <c r="BK70" s="97" t="str">
        <f aca="false">IF($BZ70&lt;&gt;Constants!$B$8,"",IF($AL70,$AN70,""))</f>
        <v/>
      </c>
      <c r="BL70" s="99" t="str">
        <f aca="false">IF($BZ70&lt;&gt;Constants!$B$8,"",$AI70)</f>
        <v/>
      </c>
      <c r="BM70" s="93" t="str">
        <f aca="false">IF($BZ70&lt;&gt;Constants!$B$8,"",IF(OR($BT70&lt;$BH70,AND($BT70=$BH70,OR($BU70&lt;$BI70,AND($BU70=$BI70,OR($BV70&lt;$BJ70,AND($BV70=$BJ70,OR(AND(ISNUMBER($BW70),OR(NOT(ISNUMBER($BK70)),$BW70&lt;$BK70)),AND(OR(AND($BW70="",$BK70=""),AND(ISNUMBER($BW70),ISNUMBER($BK70),$BW70=$BK70)),$BX70&lt;$BL70)))))))),"-&gt;","&lt;-"))</f>
        <v/>
      </c>
      <c r="BN70" s="92" t="str">
        <f aca="false">IF(ISBLANK($C70),"",AND($AT70,OR($AU70="",$AV70="",AND($AW70,$AX70=""))))</f>
        <v/>
      </c>
      <c r="BO70" s="94" t="str">
        <f aca="false">IF($BZ70&lt;&gt;Constants!$B$8,"",IF($AT70,Constants!$B$21*$AV70+Constants!$B$22*IF($AW70,$AX70,Constants!$B$23),Constants!$B$24))</f>
        <v/>
      </c>
      <c r="BP70" s="97" t="str">
        <f aca="false">IF($BZ70&lt;&gt;Constants!$B$8,"",Constants!$B$25*ABS($AD$9-IF($AT70,$AU70,0)))</f>
        <v/>
      </c>
      <c r="BQ70" s="97" t="str">
        <f aca="false">IF($BZ70&lt;&gt;Constants!$B$8,"",IF(AND($AT70,$AY70,$AW70),Constants!$B$27,0))</f>
        <v/>
      </c>
      <c r="BR70" s="97" t="str">
        <f aca="false">IF($BZ70&lt;&gt;Constants!$B$8,"",IF($AT70,($AI70-Constants!$B$29)*Constants!$B$28,0))</f>
        <v/>
      </c>
      <c r="BS70" s="97" t="str">
        <f aca="false">IF($BZ70&lt;&gt;Constants!$B$8,"",IF($AS70,0,Constants!$B$15)+IF($AR70,0,Constants!$B$16)+IF($AH70,0,Constants!$B$17))</f>
        <v/>
      </c>
      <c r="BT70" s="98" t="str">
        <f aca="false">IF($BZ70&lt;&gt;Constants!$B$8,"",Constants!$B$20+SUM($BO70:$BS70))</f>
        <v/>
      </c>
      <c r="BU70" s="97" t="str">
        <f aca="false">IF($BZ70&lt;&gt;Constants!$B$8,"",$BO70)</f>
        <v/>
      </c>
      <c r="BV70" s="97" t="str">
        <f aca="false">IF($BZ70&lt;&gt;Constants!$B$8,"",$BP70)</f>
        <v/>
      </c>
      <c r="BW70" s="97" t="str">
        <f aca="false">IF($BZ70&lt;&gt;Constants!$B$8,"",IF($AT70,$AV70,""))</f>
        <v/>
      </c>
      <c r="BX70" s="99" t="str">
        <f aca="false">IF($BZ70&lt;&gt;Constants!$B$8,"",$AI70)</f>
        <v/>
      </c>
      <c r="BY70" s="93" t="str">
        <f aca="false">IF(ISBLANK($C70),"",IF(ISBLANK($D$7),$BY$5,IF(NOT(ISNUMBER($D$7)),$BY$6,"")))</f>
        <v/>
      </c>
      <c r="BZ70" s="93" t="str">
        <f aca="false">IF(ISBLANK($C70),"",IF($BA70,Constants!$B$11,IF(COUNTA($E70:$AA70)=0,Constants!$B$10,IF(NOT($AG70),Constants!$B$9,IF(OR($BY70&lt;&gt;"",$BB70,$BN70),Constants!$B$12,Constants!$B$8)))))</f>
        <v/>
      </c>
      <c r="CA70" s="93" t="str">
        <f aca="false">IF(ISBLANK($C70),"",IF($BZ70&lt;&gt;Constants!$B$8,$BZ70,Constants!$B$13))</f>
        <v/>
      </c>
      <c r="CB70" s="97" t="str">
        <f aca="false">IF($BZ70&lt;&gt;Constants!$B$8,"",IF($BM70="-&gt;",$BT70,$BH70))</f>
        <v/>
      </c>
      <c r="CC70" s="97" t="str">
        <f aca="false">IF($BZ70&lt;&gt;Constants!$B$8,"",IF($AF70,0,Constants!$B$18))</f>
        <v/>
      </c>
      <c r="CD70" s="97" t="str">
        <f aca="false">IF($BZ70&lt;&gt;Constants!$B$8,"",((Constants!$B$31-$AZ70)-Constants!$B$31)/Constants!$B$32)</f>
        <v/>
      </c>
      <c r="CE70" s="97" t="str">
        <f aca="false">IF(ISBLANK($C70),"",IF($BZ70&lt;&gt;Constants!$B$8,$BZ70,SUM($CB70:$CD70)))</f>
        <v/>
      </c>
      <c r="CF70" s="93" t="str">
        <f aca="false">IF(ISBLANK($C70),"",IF($BZ70&lt;&gt;Constants!$B$8,$BZ70,RANK($CE70,$CE$9:$CE$508,1)))</f>
        <v/>
      </c>
      <c r="CG70" s="97" t="str">
        <f aca="false">IF($BZ70&lt;&gt;Constants!$B$8,"",IF($BM70="-&gt;",$BU70,$BI70))</f>
        <v/>
      </c>
      <c r="CH70" s="93" t="str">
        <f aca="false">IF(ISBLANK($C70),"",IF($BZ70&lt;&gt;Constants!$B$8,$BZ70,IF(ISNUMBER($CG70),RANK($CG70,$CG$9:$CG$508,1),COUNT($CG$9:$CG$508)+1)))</f>
        <v/>
      </c>
      <c r="CI70" s="97" t="str">
        <f aca="false">IF($BZ70&lt;&gt;Constants!$B$8,"",IF($BM70="-&gt;",$BV70,$BJ70))</f>
        <v/>
      </c>
      <c r="CJ70" s="93" t="str">
        <f aca="false">IF(ISBLANK($C70),"",IF($BZ70&lt;&gt;Constants!$B$8,$BZ70,IF(ISNUMBER($CI70),RANK($CI70,$CI$9:$CI$508,1),COUNT($CI$9:$CI$508)+1)))</f>
        <v/>
      </c>
      <c r="CK70" s="97" t="str">
        <f aca="false">IF($BZ70&lt;&gt;Constants!$B$8,"",IF($BM70="-&gt;",$BW70,$BK70))</f>
        <v/>
      </c>
      <c r="CL70" s="93" t="str">
        <f aca="false">IF(ISBLANK($C70),"",IF($BZ70&lt;&gt;Constants!$B$8,$BZ70,IF(ISNUMBER($CK70),RANK($CK70,$CK$9:$CK$508,1),COUNT($CK$9:$CK$508)+1)))</f>
        <v/>
      </c>
      <c r="CM70" s="97" t="str">
        <f aca="false">IF($BZ70&lt;&gt;Constants!$B$8,"",IF(AND(NOT($AL70),NOT($AT70),$AJ70,$AK70,$AR70,$AS70),"",IF($BM70="-&gt;",$BX70,$BL70)))</f>
        <v/>
      </c>
      <c r="CN70" s="93" t="str">
        <f aca="false">IF(ISBLANK($C70),"",IF($BZ70&lt;&gt;Constants!$B$8,$BZ70,IF(ISNUMBER($CM70),RANK($CM70,$CM$9:$CM$508,1),COUNT($CM$9:$CM$508)+1)))</f>
        <v/>
      </c>
      <c r="CO70" s="93" t="str">
        <f aca="false">IF(ISBLANK($C70),"",IF($BZ70&lt;&gt;Constants!$B$8,$BZ70,COUNTIFS($CF$9:$CF$508,"&lt;"&amp;$CF70)+COUNTIFS($CF$9:$CF$508,$CF70,$CH$9:$CH$508,"&lt;"&amp;$CH70)+COUNTIFS($CF$9:$CF$508,$CF70,$CH$9:$CH$508,$CH70,$CJ$9:$CJ$508,"&lt;"&amp;$CJ70)+COUNTIFS($CF$9:$CF$508,$CF70,$CH$9:$CH$508,$CH70,$CJ$9:$CJ$508,$CJ70,$CL$9:$CL$508,"&lt;"&amp;$CL70)+COUNTIFS($CF$9:$CF$508,$CF70,$CH$9:$CH$508,$CH70,$CJ$9:$CJ$508,$CJ70,$CL$9:$CL$508,$CL70,$CN$9:$CN$508,"&lt;"&amp;$CN70)+1))</f>
        <v/>
      </c>
      <c r="CP70" s="93" t="str">
        <f aca="false">IF(ISBLANK($C70),"",IF($BZ70&lt;&gt;Constants!$B$8,$BZ70,$CF70-$CO70))</f>
        <v/>
      </c>
      <c r="CQ70" s="100"/>
      <c r="CR70" s="101"/>
      <c r="CS70" s="102" t="str">
        <f aca="false">IF(ISBLANK($C70),"",IF($BZ70=Constants!$B$12,$BY70,""))</f>
        <v/>
      </c>
      <c r="CT70" s="101" t="str">
        <f aca="false">IF(ISBLANK($C70),"",IF($BZ70&lt;&gt;Constants!$B$8,"",IF($BM70="-&gt;",2,1)))</f>
        <v/>
      </c>
      <c r="CU70" s="103" t="str">
        <f aca="false">IF(ISBLANK($C70),"",IF($BZ70&lt;&gt;Constants!$B$8,"",IF($BM70="-&gt;",$BO70,$BC70)))</f>
        <v/>
      </c>
      <c r="CV70" s="103" t="str">
        <f aca="false">IF(ISBLANK($C70),"",IF($BZ70&lt;&gt;Constants!$B$8,"",IF($BM70="-&gt;",$BP70,$BD70)))</f>
        <v/>
      </c>
      <c r="CW70" s="103" t="str">
        <f aca="false">IF(ISBLANK($C70),"",IF($BZ70&lt;&gt;Constants!$B$8,"",IF($BM70="-&gt;",$BQ70+$BR70,$BE70+$BF70)+$CD70))</f>
        <v/>
      </c>
      <c r="CX70" s="103" t="str">
        <f aca="false">IF(ISBLANK($C70),"",IF($BZ70&lt;&gt;Constants!$B$8,"",IF($BM70="-&gt;",$BS70,$BG70)+$CC70))</f>
        <v/>
      </c>
      <c r="CY70" s="104" t="str">
        <f aca="false">IF(ISBLANK($C70),"",IF($BZ70&lt;&gt;Constants!$B$8,$BZ70,$CE70))</f>
        <v/>
      </c>
      <c r="CZ70" s="105" t="str">
        <f aca="false">IF(ISBLANK($C70),"",$CA70)</f>
        <v/>
      </c>
      <c r="DA70" s="106" t="str">
        <f aca="false">IF(ISBLANK($C70),"",$CP70)</f>
        <v/>
      </c>
      <c r="DB70" s="106" t="str">
        <f aca="false">IF(ISBLANK($C70),"",$CO70)</f>
        <v/>
      </c>
      <c r="DC70" s="107" t="str">
        <f aca="false">IF(ISBLANK($C70),"",IFERROR(_xlfn.SWITCH($DB70,Constants!$B$11,COUNTA($C$9:$C$508)+2,Constants!$B$10,COUNTA($C$9:$C$508)+1,Constants!$B$9,COUNTA($C$9:$C$508)),$DB70))</f>
        <v/>
      </c>
      <c r="DD70" s="9"/>
      <c r="DE70" s="108" t="n">
        <f aca="false">IF(OR(ISNUMBER($DB70),$DB70=Constants!$B$11,$DB70=Constants!$B$9,$DB70=Constants!$B$10),1,0)</f>
        <v>0</v>
      </c>
      <c r="DF70" s="108" t="n">
        <v>62</v>
      </c>
      <c r="DG70" s="108" t="str">
        <f aca="false">IF(ISBLANK($C70),"",IF(ISNUMBER($DC70),$DC70+ROW($B70)/1000,""))</f>
        <v/>
      </c>
      <c r="DH70" s="108" t="str">
        <f aca="false">IF(ISNUMBER($DG70),RANK($DG70,$DG$9:$DG$508,1),"")</f>
        <v/>
      </c>
      <c r="DI70" s="108" t="str">
        <f aca="false">IF(ISBLANK($C70),"",$B70)</f>
        <v/>
      </c>
      <c r="DJ70" s="108" t="str">
        <f aca="false">IF(ISBLANK($C70),"",$C70)</f>
        <v/>
      </c>
      <c r="DK70" s="108" t="str">
        <f aca="false">IF(ISBLANK($C70),"",$D70)</f>
        <v/>
      </c>
      <c r="DL70" s="109" t="str">
        <f aca="false">$CZ70</f>
        <v/>
      </c>
      <c r="DM70" s="110" t="str">
        <f aca="false">$CY70</f>
        <v/>
      </c>
      <c r="DN70" s="108" t="str">
        <f aca="false">IF(ISBLANK($C70),"",$DB70)</f>
        <v/>
      </c>
      <c r="DO70" s="111" t="str">
        <f aca="false">IF($DF70&gt;$DE$8,"",VLOOKUP($DF70,$DH$9:$DN$508,7,FALSE()))</f>
        <v/>
      </c>
      <c r="DP70" s="112" t="str">
        <f aca="false">IF($DF70&gt;$DE$8,"",VLOOKUP($DF70,$DH$9:$DN$508,2,FALSE()))</f>
        <v/>
      </c>
      <c r="DQ70" s="112" t="str">
        <f aca="false">IF($DF70&gt;$DE$8,"",VLOOKUP($DF70,$DH$9:$DN$508,3,FALSE()))</f>
        <v/>
      </c>
      <c r="DR70" s="112" t="str">
        <f aca="false">IF($DF70&gt;$DE$8,"",VLOOKUP($DF70,$DH$9:$DN$508,4,FALSE()))</f>
        <v/>
      </c>
      <c r="DS70" s="112" t="str">
        <f aca="false">IF($DF70&gt;$DE$8,"",VLOOKUP($DF70,$DH$9:$DN$508,5,FALSE()))</f>
        <v/>
      </c>
      <c r="DT70" s="113" t="str">
        <f aca="false">IF($DF70&gt;$DE$8,"",VLOOKUP($DF70,$DH$9:$DN$508,6,FALSE()))</f>
        <v/>
      </c>
      <c r="DU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IF(ISBLANK($C71),"",IF(E71=Constants!$B$3,TRUE(),IF(E71=Constants!$B$4,FALSE(),TRUE())))</f>
        <v/>
      </c>
      <c r="AG71" s="93" t="str">
        <f aca="false">IF(ISBLANK($C71),"",IF(F71=Constants!$B$3,TRUE(),IF(F71=Constants!$B$4,FALSE(),TRUE())))</f>
        <v/>
      </c>
      <c r="AH71" s="93" t="str">
        <f aca="false">IF(ISBLANK($C71),"",IF(G71=Constants!$B$3,TRUE(),IF(G71=Constants!$B$4,FALSE(),TRUE())))</f>
        <v/>
      </c>
      <c r="AI71" s="93" t="str">
        <f aca="false">IF(ISBLANK($C71),"",IF(AND(ISNUMBER(H71),H71&gt;=0),H71,Constants!$B$29))</f>
        <v/>
      </c>
      <c r="AJ71" s="93" t="str">
        <f aca="false">IF(ISBLANK($C71),"",IF(I71=Constants!$B$3,TRUE(),IF(I71=Constants!$B$4,FALSE(),TRUE())))</f>
        <v/>
      </c>
      <c r="AK71" s="93" t="str">
        <f aca="false">IF(ISBLANK($C71),"",IF(J71=Constants!$B$3,TRUE(),IF(J71=Constants!$B$4,FALSE(),TRUE())))</f>
        <v/>
      </c>
      <c r="AL71" s="93" t="str">
        <f aca="false">IF(ISBLANK($C71),"",IF(K71=Constants!$B$5,TRUE(),IF(K71=Constants!$B$6,FALSE(),COUNTA(L71:P71)&gt;0)))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IF(ISBLANK($C71),"",IF(N71=Constants!$B$3,TRUE(),IF(N71=Constants!$B$4,FALSE(),TRUE())))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IF(ISBLANK($C71),"",IF(P71=Constants!$B$3,TRUE(),IF(P71=Constants!$B$4,FALSE(),FALSE())))</f>
        <v/>
      </c>
      <c r="AR71" s="93" t="str">
        <f aca="false">IF(ISBLANK($C71),"",IF(Q71=Constants!$B$3,TRUE(),IF(Q71=Constants!$B$4,FALSE(),TRUE())))</f>
        <v/>
      </c>
      <c r="AS71" s="93" t="str">
        <f aca="false">IF(ISBLANK($C71),"",IF(R71=Constants!$B$3,TRUE(),IF(R71=Constants!$B$4,FALSE(),TRUE())))</f>
        <v/>
      </c>
      <c r="AT71" s="93" t="str">
        <f aca="false">IF(ISBLANK($C71),"",IF(S71=Constants!$B$5,TRUE(),IF(S71=Constants!$B$6,FALSE(),COUNTA(T71:X71)&gt;0)))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IF(ISBLANK($C71),"",IF(V71=Constants!$B$3,TRUE(),IF(V71=Constants!$B$4,FALSE(),TRUE())))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IF(ISBLANK($C71),"",IF(X71=Constants!$B$3,TRUE(),IF(X71=Constants!$B$4,FALSE(),FALSE())))</f>
        <v/>
      </c>
      <c r="AZ71" s="93" t="str">
        <f aca="false">IF(ISBLANK($C71),"",MIN(Constants!$B$31,MAX(0,IF(ISNUMBER(Y71),Y71*60,0)+IF(ISNUMBER(Z71),Z71,0))))</f>
        <v/>
      </c>
      <c r="BA71" s="93" t="str">
        <f aca="false">IF(ISBLANK($C71),"",IF(AA71=Constants!$B$3,TRUE(),IF(AA71=Constants!$B$4,FALSE(),FALSE())))</f>
        <v/>
      </c>
      <c r="BB71" s="92" t="str">
        <f aca="false">IF(ISBLANK($C71),"",AND($AL71,OR($AM71="",$AN71="",AND($AO71,$AP71=""))))</f>
        <v/>
      </c>
      <c r="BC71" s="94" t="str">
        <f aca="false">IF($BZ71&lt;&gt;Constants!$B$8,"",IF($AL71,Constants!$B$21*$AN71+Constants!$B$22*IF($AO71,$AP71,Constants!$B$23),Constants!$B$24))</f>
        <v/>
      </c>
      <c r="BD71" s="97" t="str">
        <f aca="false">IF($BZ71&lt;&gt;Constants!$B$8,"",Constants!$B$25*ABS($AD$9-IF($AL71,$AM71,0)))</f>
        <v/>
      </c>
      <c r="BE71" s="97" t="str">
        <f aca="false">IF($BZ71&lt;&gt;Constants!$B$8,"",IF(AND($AL71,$AQ71,$AO71),Constants!$B$27,0))</f>
        <v/>
      </c>
      <c r="BF71" s="97" t="str">
        <f aca="false">IF($BZ71&lt;&gt;Constants!$B$8,"",IF($AL71,($AI71-Constants!$B$29)*Constants!$B$28,0))</f>
        <v/>
      </c>
      <c r="BG71" s="97" t="str">
        <f aca="false">IF($BZ71&lt;&gt;Constants!$B$8,"",IF($AK71,0,Constants!$B$15)+IF($AJ71,0,Constants!$B$16)+IF($AH71,0,Constants!$B$17))</f>
        <v/>
      </c>
      <c r="BH71" s="98" t="str">
        <f aca="false">IF($BZ71&lt;&gt;Constants!$B$8,"",Constants!$B$20+SUM($BC71:$BG71))</f>
        <v/>
      </c>
      <c r="BI71" s="97" t="str">
        <f aca="false">IF($BZ71&lt;&gt;Constants!$B$8,"",$BC71)</f>
        <v/>
      </c>
      <c r="BJ71" s="97" t="str">
        <f aca="false">IF($BZ71&lt;&gt;Constants!$B$8,"",$BD71)</f>
        <v/>
      </c>
      <c r="BK71" s="97" t="str">
        <f aca="false">IF($BZ71&lt;&gt;Constants!$B$8,"",IF($AL71,$AN71,""))</f>
        <v/>
      </c>
      <c r="BL71" s="99" t="str">
        <f aca="false">IF($BZ71&lt;&gt;Constants!$B$8,"",$AI71)</f>
        <v/>
      </c>
      <c r="BM71" s="93" t="str">
        <f aca="false">IF($BZ71&lt;&gt;Constants!$B$8,"",IF(OR($BT71&lt;$BH71,AND($BT71=$BH71,OR($BU71&lt;$BI71,AND($BU71=$BI71,OR($BV71&lt;$BJ71,AND($BV71=$BJ71,OR(AND(ISNUMBER($BW71),OR(NOT(ISNUMBER($BK71)),$BW71&lt;$BK71)),AND(OR(AND($BW71="",$BK71=""),AND(ISNUMBER($BW71),ISNUMBER($BK71),$BW71=$BK71)),$BX71&lt;$BL71)))))))),"-&gt;","&lt;-"))</f>
        <v/>
      </c>
      <c r="BN71" s="92" t="str">
        <f aca="false">IF(ISBLANK($C71),"",AND($AT71,OR($AU71="",$AV71="",AND($AW71,$AX71=""))))</f>
        <v/>
      </c>
      <c r="BO71" s="94" t="str">
        <f aca="false">IF($BZ71&lt;&gt;Constants!$B$8,"",IF($AT71,Constants!$B$21*$AV71+Constants!$B$22*IF($AW71,$AX71,Constants!$B$23),Constants!$B$24))</f>
        <v/>
      </c>
      <c r="BP71" s="97" t="str">
        <f aca="false">IF($BZ71&lt;&gt;Constants!$B$8,"",Constants!$B$25*ABS($AD$9-IF($AT71,$AU71,0)))</f>
        <v/>
      </c>
      <c r="BQ71" s="97" t="str">
        <f aca="false">IF($BZ71&lt;&gt;Constants!$B$8,"",IF(AND($AT71,$AY71,$AW71),Constants!$B$27,0))</f>
        <v/>
      </c>
      <c r="BR71" s="97" t="str">
        <f aca="false">IF($BZ71&lt;&gt;Constants!$B$8,"",IF($AT71,($AI71-Constants!$B$29)*Constants!$B$28,0))</f>
        <v/>
      </c>
      <c r="BS71" s="97" t="str">
        <f aca="false">IF($BZ71&lt;&gt;Constants!$B$8,"",IF($AS71,0,Constants!$B$15)+IF($AR71,0,Constants!$B$16)+IF($AH71,0,Constants!$B$17))</f>
        <v/>
      </c>
      <c r="BT71" s="98" t="str">
        <f aca="false">IF($BZ71&lt;&gt;Constants!$B$8,"",Constants!$B$20+SUM($BO71:$BS71))</f>
        <v/>
      </c>
      <c r="BU71" s="97" t="str">
        <f aca="false">IF($BZ71&lt;&gt;Constants!$B$8,"",$BO71)</f>
        <v/>
      </c>
      <c r="BV71" s="97" t="str">
        <f aca="false">IF($BZ71&lt;&gt;Constants!$B$8,"",$BP71)</f>
        <v/>
      </c>
      <c r="BW71" s="97" t="str">
        <f aca="false">IF($BZ71&lt;&gt;Constants!$B$8,"",IF($AT71,$AV71,""))</f>
        <v/>
      </c>
      <c r="BX71" s="99" t="str">
        <f aca="false">IF($BZ71&lt;&gt;Constants!$B$8,"",$AI71)</f>
        <v/>
      </c>
      <c r="BY71" s="93" t="str">
        <f aca="false">IF(ISBLANK($C71),"",IF(ISBLANK($D$7),$BY$5,IF(NOT(ISNUMBER($D$7)),$BY$6,"")))</f>
        <v/>
      </c>
      <c r="BZ71" s="93" t="str">
        <f aca="false">IF(ISBLANK($C71),"",IF($BA71,Constants!$B$11,IF(COUNTA($E71:$AA71)=0,Constants!$B$10,IF(NOT($AG71),Constants!$B$9,IF(OR($BY71&lt;&gt;"",$BB71,$BN71),Constants!$B$12,Constants!$B$8)))))</f>
        <v/>
      </c>
      <c r="CA71" s="93" t="str">
        <f aca="false">IF(ISBLANK($C71),"",IF($BZ71&lt;&gt;Constants!$B$8,$BZ71,Constants!$B$13))</f>
        <v/>
      </c>
      <c r="CB71" s="97" t="str">
        <f aca="false">IF($BZ71&lt;&gt;Constants!$B$8,"",IF($BM71="-&gt;",$BT71,$BH71))</f>
        <v/>
      </c>
      <c r="CC71" s="97" t="str">
        <f aca="false">IF($BZ71&lt;&gt;Constants!$B$8,"",IF($AF71,0,Constants!$B$18))</f>
        <v/>
      </c>
      <c r="CD71" s="97" t="str">
        <f aca="false">IF($BZ71&lt;&gt;Constants!$B$8,"",((Constants!$B$31-$AZ71)-Constants!$B$31)/Constants!$B$32)</f>
        <v/>
      </c>
      <c r="CE71" s="97" t="str">
        <f aca="false">IF(ISBLANK($C71),"",IF($BZ71&lt;&gt;Constants!$B$8,$BZ71,SUM($CB71:$CD71)))</f>
        <v/>
      </c>
      <c r="CF71" s="93" t="str">
        <f aca="false">IF(ISBLANK($C71),"",IF($BZ71&lt;&gt;Constants!$B$8,$BZ71,RANK($CE71,$CE$9:$CE$508,1)))</f>
        <v/>
      </c>
      <c r="CG71" s="97" t="str">
        <f aca="false">IF($BZ71&lt;&gt;Constants!$B$8,"",IF($BM71="-&gt;",$BU71,$BI71))</f>
        <v/>
      </c>
      <c r="CH71" s="93" t="str">
        <f aca="false">IF(ISBLANK($C71),"",IF($BZ71&lt;&gt;Constants!$B$8,$BZ71,IF(ISNUMBER($CG71),RANK($CG71,$CG$9:$CG$508,1),COUNT($CG$9:$CG$508)+1)))</f>
        <v/>
      </c>
      <c r="CI71" s="97" t="str">
        <f aca="false">IF($BZ71&lt;&gt;Constants!$B$8,"",IF($BM71="-&gt;",$BV71,$BJ71))</f>
        <v/>
      </c>
      <c r="CJ71" s="93" t="str">
        <f aca="false">IF(ISBLANK($C71),"",IF($BZ71&lt;&gt;Constants!$B$8,$BZ71,IF(ISNUMBER($CI71),RANK($CI71,$CI$9:$CI$508,1),COUNT($CI$9:$CI$508)+1)))</f>
        <v/>
      </c>
      <c r="CK71" s="97" t="str">
        <f aca="false">IF($BZ71&lt;&gt;Constants!$B$8,"",IF($BM71="-&gt;",$BW71,$BK71))</f>
        <v/>
      </c>
      <c r="CL71" s="93" t="str">
        <f aca="false">IF(ISBLANK($C71),"",IF($BZ71&lt;&gt;Constants!$B$8,$BZ71,IF(ISNUMBER($CK71),RANK($CK71,$CK$9:$CK$508,1),COUNT($CK$9:$CK$508)+1)))</f>
        <v/>
      </c>
      <c r="CM71" s="97" t="str">
        <f aca="false">IF($BZ71&lt;&gt;Constants!$B$8,"",IF(AND(NOT($AL71),NOT($AT71),$AJ71,$AK71,$AR71,$AS71),"",IF($BM71="-&gt;",$BX71,$BL71)))</f>
        <v/>
      </c>
      <c r="CN71" s="93" t="str">
        <f aca="false">IF(ISBLANK($C71),"",IF($BZ71&lt;&gt;Constants!$B$8,$BZ71,IF(ISNUMBER($CM71),RANK($CM71,$CM$9:$CM$508,1),COUNT($CM$9:$CM$508)+1)))</f>
        <v/>
      </c>
      <c r="CO71" s="93" t="str">
        <f aca="false">IF(ISBLANK($C71),"",IF($BZ71&lt;&gt;Constants!$B$8,$BZ71,COUNTIFS($CF$9:$CF$508,"&lt;"&amp;$CF71)+COUNTIFS($CF$9:$CF$508,$CF71,$CH$9:$CH$508,"&lt;"&amp;$CH71)+COUNTIFS($CF$9:$CF$508,$CF71,$CH$9:$CH$508,$CH71,$CJ$9:$CJ$508,"&lt;"&amp;$CJ71)+COUNTIFS($CF$9:$CF$508,$CF71,$CH$9:$CH$508,$CH71,$CJ$9:$CJ$508,$CJ71,$CL$9:$CL$508,"&lt;"&amp;$CL71)+COUNTIFS($CF$9:$CF$508,$CF71,$CH$9:$CH$508,$CH71,$CJ$9:$CJ$508,$CJ71,$CL$9:$CL$508,$CL71,$CN$9:$CN$508,"&lt;"&amp;$CN71)+1))</f>
        <v/>
      </c>
      <c r="CP71" s="93" t="str">
        <f aca="false">IF(ISBLANK($C71),"",IF($BZ71&lt;&gt;Constants!$B$8,$BZ71,$CF71-$CO71))</f>
        <v/>
      </c>
      <c r="CQ71" s="100"/>
      <c r="CR71" s="101"/>
      <c r="CS71" s="102" t="str">
        <f aca="false">IF(ISBLANK($C71),"",IF($BZ71=Constants!$B$12,$BY71,""))</f>
        <v/>
      </c>
      <c r="CT71" s="101" t="str">
        <f aca="false">IF(ISBLANK($C71),"",IF($BZ71&lt;&gt;Constants!$B$8,"",IF($BM71="-&gt;",2,1)))</f>
        <v/>
      </c>
      <c r="CU71" s="103" t="str">
        <f aca="false">IF(ISBLANK($C71),"",IF($BZ71&lt;&gt;Constants!$B$8,"",IF($BM71="-&gt;",$BO71,$BC71)))</f>
        <v/>
      </c>
      <c r="CV71" s="103" t="str">
        <f aca="false">IF(ISBLANK($C71),"",IF($BZ71&lt;&gt;Constants!$B$8,"",IF($BM71="-&gt;",$BP71,$BD71)))</f>
        <v/>
      </c>
      <c r="CW71" s="103" t="str">
        <f aca="false">IF(ISBLANK($C71),"",IF($BZ71&lt;&gt;Constants!$B$8,"",IF($BM71="-&gt;",$BQ71+$BR71,$BE71+$BF71)+$CD71))</f>
        <v/>
      </c>
      <c r="CX71" s="103" t="str">
        <f aca="false">IF(ISBLANK($C71),"",IF($BZ71&lt;&gt;Constants!$B$8,"",IF($BM71="-&gt;",$BS71,$BG71)+$CC71))</f>
        <v/>
      </c>
      <c r="CY71" s="104" t="str">
        <f aca="false">IF(ISBLANK($C71),"",IF($BZ71&lt;&gt;Constants!$B$8,$BZ71,$CE71))</f>
        <v/>
      </c>
      <c r="CZ71" s="105" t="str">
        <f aca="false">IF(ISBLANK($C71),"",$CA71)</f>
        <v/>
      </c>
      <c r="DA71" s="106" t="str">
        <f aca="false">IF(ISBLANK($C71),"",$CP71)</f>
        <v/>
      </c>
      <c r="DB71" s="106" t="str">
        <f aca="false">IF(ISBLANK($C71),"",$CO71)</f>
        <v/>
      </c>
      <c r="DC71" s="107" t="str">
        <f aca="false">IF(ISBLANK($C71),"",IFERROR(_xlfn.SWITCH($DB71,Constants!$B$11,COUNTA($C$9:$C$508)+2,Constants!$B$10,COUNTA($C$9:$C$508)+1,Constants!$B$9,COUNTA($C$9:$C$508)),$DB71))</f>
        <v/>
      </c>
      <c r="DD71" s="9"/>
      <c r="DE71" s="108" t="n">
        <f aca="false">IF(OR(ISNUMBER($DB71),$DB71=Constants!$B$11,$DB71=Constants!$B$9,$DB71=Constants!$B$10),1,0)</f>
        <v>0</v>
      </c>
      <c r="DF71" s="108" t="n">
        <v>63</v>
      </c>
      <c r="DG71" s="108" t="str">
        <f aca="false">IF(ISBLANK($C71),"",IF(ISNUMBER($DC71),$DC71+ROW($B71)/1000,""))</f>
        <v/>
      </c>
      <c r="DH71" s="108" t="str">
        <f aca="false">IF(ISNUMBER($DG71),RANK($DG71,$DG$9:$DG$508,1),"")</f>
        <v/>
      </c>
      <c r="DI71" s="108" t="str">
        <f aca="false">IF(ISBLANK($C71),"",$B71)</f>
        <v/>
      </c>
      <c r="DJ71" s="108" t="str">
        <f aca="false">IF(ISBLANK($C71),"",$C71)</f>
        <v/>
      </c>
      <c r="DK71" s="108" t="str">
        <f aca="false">IF(ISBLANK($C71),"",$D71)</f>
        <v/>
      </c>
      <c r="DL71" s="109" t="str">
        <f aca="false">$CZ71</f>
        <v/>
      </c>
      <c r="DM71" s="110" t="str">
        <f aca="false">$CY71</f>
        <v/>
      </c>
      <c r="DN71" s="108" t="str">
        <f aca="false">IF(ISBLANK($C71),"",$DB71)</f>
        <v/>
      </c>
      <c r="DO71" s="111" t="str">
        <f aca="false">IF($DF71&gt;$DE$8,"",VLOOKUP($DF71,$DH$9:$DN$508,7,FALSE()))</f>
        <v/>
      </c>
      <c r="DP71" s="112" t="str">
        <f aca="false">IF($DF71&gt;$DE$8,"",VLOOKUP($DF71,$DH$9:$DN$508,2,FALSE()))</f>
        <v/>
      </c>
      <c r="DQ71" s="112" t="str">
        <f aca="false">IF($DF71&gt;$DE$8,"",VLOOKUP($DF71,$DH$9:$DN$508,3,FALSE()))</f>
        <v/>
      </c>
      <c r="DR71" s="112" t="str">
        <f aca="false">IF($DF71&gt;$DE$8,"",VLOOKUP($DF71,$DH$9:$DN$508,4,FALSE()))</f>
        <v/>
      </c>
      <c r="DS71" s="112" t="str">
        <f aca="false">IF($DF71&gt;$DE$8,"",VLOOKUP($DF71,$DH$9:$DN$508,5,FALSE()))</f>
        <v/>
      </c>
      <c r="DT71" s="113" t="str">
        <f aca="false">IF($DF71&gt;$DE$8,"",VLOOKUP($DF71,$DH$9:$DN$508,6,FALSE()))</f>
        <v/>
      </c>
      <c r="DU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IF(ISBLANK($C72),"",IF(E72=Constants!$B$3,TRUE(),IF(E72=Constants!$B$4,FALSE(),TRUE())))</f>
        <v/>
      </c>
      <c r="AG72" s="135" t="str">
        <f aca="false">IF(ISBLANK($C72),"",IF(F72=Constants!$B$3,TRUE(),IF(F72=Constants!$B$4,FALSE(),TRUE())))</f>
        <v/>
      </c>
      <c r="AH72" s="135" t="str">
        <f aca="false">IF(ISBLANK($C72),"",IF(G72=Constants!$B$3,TRUE(),IF(G72=Constants!$B$4,FALSE(),TRUE())))</f>
        <v/>
      </c>
      <c r="AI72" s="135" t="str">
        <f aca="false">IF(ISBLANK($C72),"",IF(AND(ISNUMBER(H72),H72&gt;=0),H72,Constants!$B$29))</f>
        <v/>
      </c>
      <c r="AJ72" s="135" t="str">
        <f aca="false">IF(ISBLANK($C72),"",IF(I72=Constants!$B$3,TRUE(),IF(I72=Constants!$B$4,FALSE(),TRUE())))</f>
        <v/>
      </c>
      <c r="AK72" s="135" t="str">
        <f aca="false">IF(ISBLANK($C72),"",IF(J72=Constants!$B$3,TRUE(),IF(J72=Constants!$B$4,FALSE(),TRUE())))</f>
        <v/>
      </c>
      <c r="AL72" s="135" t="str">
        <f aca="false">IF(ISBLANK($C72),"",IF(K72=Constants!$B$5,TRUE(),IF(K72=Constants!$B$6,FALSE(),COUNTA(L72:P72)&gt;0)))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IF(ISBLANK($C72),"",IF(N72=Constants!$B$3,TRUE(),IF(N72=Constants!$B$4,FALSE(),TRUE())))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IF(ISBLANK($C72),"",IF(P72=Constants!$B$3,TRUE(),IF(P72=Constants!$B$4,FALSE(),FALSE())))</f>
        <v/>
      </c>
      <c r="AR72" s="135" t="str">
        <f aca="false">IF(ISBLANK($C72),"",IF(Q72=Constants!$B$3,TRUE(),IF(Q72=Constants!$B$4,FALSE(),TRUE())))</f>
        <v/>
      </c>
      <c r="AS72" s="135" t="str">
        <f aca="false">IF(ISBLANK($C72),"",IF(R72=Constants!$B$3,TRUE(),IF(R72=Constants!$B$4,FALSE(),TRUE())))</f>
        <v/>
      </c>
      <c r="AT72" s="135" t="str">
        <f aca="false">IF(ISBLANK($C72),"",IF(S72=Constants!$B$5,TRUE(),IF(S72=Constants!$B$6,FALSE(),COUNTA(T72:X72)&gt;0)))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IF(ISBLANK($C72),"",IF(V72=Constants!$B$3,TRUE(),IF(V72=Constants!$B$4,FALSE(),TRUE())))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IF(ISBLANK($C72),"",IF(X72=Constants!$B$3,TRUE(),IF(X72=Constants!$B$4,FALSE(),FALSE())))</f>
        <v/>
      </c>
      <c r="AZ72" s="135" t="str">
        <f aca="false">IF(ISBLANK($C72),"",MIN(Constants!$B$31,MAX(0,IF(ISNUMBER(Y72),Y72*60,0)+IF(ISNUMBER(Z72),Z72,0))))</f>
        <v/>
      </c>
      <c r="BA72" s="135" t="str">
        <f aca="false">IF(ISBLANK($C72),"",IF(AA72=Constants!$B$3,TRUE(),IF(AA72=Constants!$B$4,FALSE(),FALSE())))</f>
        <v/>
      </c>
      <c r="BB72" s="134" t="str">
        <f aca="false">IF(ISBLANK($C72),"",AND($AL72,OR($AM72="",$AN72="",AND($AO72,$AP72=""))))</f>
        <v/>
      </c>
      <c r="BC72" s="137" t="str">
        <f aca="false">IF($BZ72&lt;&gt;Constants!$B$8,"",IF($AL72,Constants!$B$21*$AN72+Constants!$B$22*IF($AO72,$AP72,Constants!$B$23),Constants!$B$24))</f>
        <v/>
      </c>
      <c r="BD72" s="138" t="str">
        <f aca="false">IF($BZ72&lt;&gt;Constants!$B$8,"",Constants!$B$25*ABS($AD$9-IF($AL72,$AM72,0)))</f>
        <v/>
      </c>
      <c r="BE72" s="138" t="str">
        <f aca="false">IF($BZ72&lt;&gt;Constants!$B$8,"",IF(AND($AL72,$AQ72,$AO72),Constants!$B$27,0))</f>
        <v/>
      </c>
      <c r="BF72" s="138" t="str">
        <f aca="false">IF($BZ72&lt;&gt;Constants!$B$8,"",IF($AL72,($AI72-Constants!$B$29)*Constants!$B$28,0))</f>
        <v/>
      </c>
      <c r="BG72" s="138" t="str">
        <f aca="false">IF($BZ72&lt;&gt;Constants!$B$8,"",IF($AK72,0,Constants!$B$15)+IF($AJ72,0,Constants!$B$16)+IF($AH72,0,Constants!$B$17))</f>
        <v/>
      </c>
      <c r="BH72" s="139" t="str">
        <f aca="false">IF($BZ72&lt;&gt;Constants!$B$8,"",Constants!$B$20+SUM($BC72:$BG72))</f>
        <v/>
      </c>
      <c r="BI72" s="138" t="str">
        <f aca="false">IF($BZ72&lt;&gt;Constants!$B$8,"",$BC72)</f>
        <v/>
      </c>
      <c r="BJ72" s="138" t="str">
        <f aca="false">IF($BZ72&lt;&gt;Constants!$B$8,"",$BD72)</f>
        <v/>
      </c>
      <c r="BK72" s="138" t="str">
        <f aca="false">IF($BZ72&lt;&gt;Constants!$B$8,"",IF($AL72,$AN72,""))</f>
        <v/>
      </c>
      <c r="BL72" s="140" t="str">
        <f aca="false">IF($BZ72&lt;&gt;Constants!$B$8,"",$AI72)</f>
        <v/>
      </c>
      <c r="BM72" s="135" t="str">
        <f aca="false">IF($BZ72&lt;&gt;Constants!$B$8,"",IF(OR($BT72&lt;$BH72,AND($BT72=$BH72,OR($BU72&lt;$BI72,AND($BU72=$BI72,OR($BV72&lt;$BJ72,AND($BV72=$BJ72,OR(AND(ISNUMBER($BW72),OR(NOT(ISNUMBER($BK72)),$BW72&lt;$BK72)),AND(OR(AND($BW72="",$BK72=""),AND(ISNUMBER($BW72),ISNUMBER($BK72),$BW72=$BK72)),$BX72&lt;$BL72)))))))),"-&gt;","&lt;-"))</f>
        <v/>
      </c>
      <c r="BN72" s="134" t="str">
        <f aca="false">IF(ISBLANK($C72),"",AND($AT72,OR($AU72="",$AV72="",AND($AW72,$AX72=""))))</f>
        <v/>
      </c>
      <c r="BO72" s="137" t="str">
        <f aca="false">IF($BZ72&lt;&gt;Constants!$B$8,"",IF($AT72,Constants!$B$21*$AV72+Constants!$B$22*IF($AW72,$AX72,Constants!$B$23),Constants!$B$24))</f>
        <v/>
      </c>
      <c r="BP72" s="138" t="str">
        <f aca="false">IF($BZ72&lt;&gt;Constants!$B$8,"",Constants!$B$25*ABS($AD$9-IF($AT72,$AU72,0)))</f>
        <v/>
      </c>
      <c r="BQ72" s="138" t="str">
        <f aca="false">IF($BZ72&lt;&gt;Constants!$B$8,"",IF(AND($AT72,$AY72,$AW72),Constants!$B$27,0))</f>
        <v/>
      </c>
      <c r="BR72" s="138" t="str">
        <f aca="false">IF($BZ72&lt;&gt;Constants!$B$8,"",IF($AT72,($AI72-Constants!$B$29)*Constants!$B$28,0))</f>
        <v/>
      </c>
      <c r="BS72" s="138" t="str">
        <f aca="false">IF($BZ72&lt;&gt;Constants!$B$8,"",IF($AS72,0,Constants!$B$15)+IF($AR72,0,Constants!$B$16)+IF($AH72,0,Constants!$B$17))</f>
        <v/>
      </c>
      <c r="BT72" s="139" t="str">
        <f aca="false">IF($BZ72&lt;&gt;Constants!$B$8,"",Constants!$B$20+SUM($BO72:$BS72))</f>
        <v/>
      </c>
      <c r="BU72" s="138" t="str">
        <f aca="false">IF($BZ72&lt;&gt;Constants!$B$8,"",$BO72)</f>
        <v/>
      </c>
      <c r="BV72" s="138" t="str">
        <f aca="false">IF($BZ72&lt;&gt;Constants!$B$8,"",$BP72)</f>
        <v/>
      </c>
      <c r="BW72" s="138" t="str">
        <f aca="false">IF($BZ72&lt;&gt;Constants!$B$8,"",IF($AT72,$AV72,""))</f>
        <v/>
      </c>
      <c r="BX72" s="140" t="str">
        <f aca="false">IF($BZ72&lt;&gt;Constants!$B$8,"",$AI72)</f>
        <v/>
      </c>
      <c r="BY72" s="135" t="str">
        <f aca="false">IF(ISBLANK($C72),"",IF(ISBLANK($D$7),$BY$5,IF(NOT(ISNUMBER($D$7)),$BY$6,"")))</f>
        <v/>
      </c>
      <c r="BZ72" s="135" t="str">
        <f aca="false">IF(ISBLANK($C72),"",IF($BA72,Constants!$B$11,IF(COUNTA($E72:$AA72)=0,Constants!$B$10,IF(NOT($AG72),Constants!$B$9,IF(OR($BY72&lt;&gt;"",$BB72,$BN72),Constants!$B$12,Constants!$B$8)))))</f>
        <v/>
      </c>
      <c r="CA72" s="135" t="str">
        <f aca="false">IF(ISBLANK($C72),"",IF($BZ72&lt;&gt;Constants!$B$8,$BZ72,Constants!$B$13))</f>
        <v/>
      </c>
      <c r="CB72" s="138" t="str">
        <f aca="false">IF($BZ72&lt;&gt;Constants!$B$8,"",IF($BM72="-&gt;",$BT72,$BH72))</f>
        <v/>
      </c>
      <c r="CC72" s="138" t="str">
        <f aca="false">IF($BZ72&lt;&gt;Constants!$B$8,"",IF($AF72,0,Constants!$B$18))</f>
        <v/>
      </c>
      <c r="CD72" s="138" t="str">
        <f aca="false">IF($BZ72&lt;&gt;Constants!$B$8,"",((Constants!$B$31-$AZ72)-Constants!$B$31)/Constants!$B$32)</f>
        <v/>
      </c>
      <c r="CE72" s="138" t="str">
        <f aca="false">IF(ISBLANK($C72),"",IF($BZ72&lt;&gt;Constants!$B$8,$BZ72,SUM($CB72:$CD72)))</f>
        <v/>
      </c>
      <c r="CF72" s="135" t="str">
        <f aca="false">IF(ISBLANK($C72),"",IF($BZ72&lt;&gt;Constants!$B$8,$BZ72,RANK($CE72,$CE$9:$CE$508,1)))</f>
        <v/>
      </c>
      <c r="CG72" s="138" t="str">
        <f aca="false">IF($BZ72&lt;&gt;Constants!$B$8,"",IF($BM72="-&gt;",$BU72,$BI72))</f>
        <v/>
      </c>
      <c r="CH72" s="135" t="str">
        <f aca="false">IF(ISBLANK($C72),"",IF($BZ72&lt;&gt;Constants!$B$8,$BZ72,IF(ISNUMBER($CG72),RANK($CG72,$CG$9:$CG$508,1),COUNT($CG$9:$CG$508)+1)))</f>
        <v/>
      </c>
      <c r="CI72" s="138" t="str">
        <f aca="false">IF($BZ72&lt;&gt;Constants!$B$8,"",IF($BM72="-&gt;",$BV72,$BJ72))</f>
        <v/>
      </c>
      <c r="CJ72" s="135" t="str">
        <f aca="false">IF(ISBLANK($C72),"",IF($BZ72&lt;&gt;Constants!$B$8,$BZ72,IF(ISNUMBER($CI72),RANK($CI72,$CI$9:$CI$508,1),COUNT($CI$9:$CI$508)+1)))</f>
        <v/>
      </c>
      <c r="CK72" s="138" t="str">
        <f aca="false">IF($BZ72&lt;&gt;Constants!$B$8,"",IF($BM72="-&gt;",$BW72,$BK72))</f>
        <v/>
      </c>
      <c r="CL72" s="135" t="str">
        <f aca="false">IF(ISBLANK($C72),"",IF($BZ72&lt;&gt;Constants!$B$8,$BZ72,IF(ISNUMBER($CK72),RANK($CK72,$CK$9:$CK$508,1),COUNT($CK$9:$CK$508)+1)))</f>
        <v/>
      </c>
      <c r="CM72" s="138" t="str">
        <f aca="false">IF($BZ72&lt;&gt;Constants!$B$8,"",IF(AND(NOT($AL72),NOT($AT72),$AJ72,$AK72,$AR72,$AS72),"",IF($BM72="-&gt;",$BX72,$BL72)))</f>
        <v/>
      </c>
      <c r="CN72" s="135" t="str">
        <f aca="false">IF(ISBLANK($C72),"",IF($BZ72&lt;&gt;Constants!$B$8,$BZ72,IF(ISNUMBER($CM72),RANK($CM72,$CM$9:$CM$508,1),COUNT($CM$9:$CM$508)+1)))</f>
        <v/>
      </c>
      <c r="CO72" s="135" t="str">
        <f aca="false">IF(ISBLANK($C72),"",IF($BZ72&lt;&gt;Constants!$B$8,$BZ72,COUNTIFS($CF$9:$CF$508,"&lt;"&amp;$CF72)+COUNTIFS($CF$9:$CF$508,$CF72,$CH$9:$CH$508,"&lt;"&amp;$CH72)+COUNTIFS($CF$9:$CF$508,$CF72,$CH$9:$CH$508,$CH72,$CJ$9:$CJ$508,"&lt;"&amp;$CJ72)+COUNTIFS($CF$9:$CF$508,$CF72,$CH$9:$CH$508,$CH72,$CJ$9:$CJ$508,$CJ72,$CL$9:$CL$508,"&lt;"&amp;$CL72)+COUNTIFS($CF$9:$CF$508,$CF72,$CH$9:$CH$508,$CH72,$CJ$9:$CJ$508,$CJ72,$CL$9:$CL$508,$CL72,$CN$9:$CN$508,"&lt;"&amp;$CN72)+1))</f>
        <v/>
      </c>
      <c r="CP72" s="135" t="str">
        <f aca="false">IF(ISBLANK($C72),"",IF($BZ72&lt;&gt;Constants!$B$8,$BZ72,$CF72-$CO72))</f>
        <v/>
      </c>
      <c r="CQ72" s="141"/>
      <c r="CR72" s="142"/>
      <c r="CS72" s="143" t="str">
        <f aca="false">IF(ISBLANK($C72),"",IF($BZ72=Constants!$B$12,$BY72,""))</f>
        <v/>
      </c>
      <c r="CT72" s="142" t="str">
        <f aca="false">IF(ISBLANK($C72),"",IF($BZ72&lt;&gt;Constants!$B$8,"",IF($BM72="-&gt;",2,1)))</f>
        <v/>
      </c>
      <c r="CU72" s="144" t="str">
        <f aca="false">IF(ISBLANK($C72),"",IF($BZ72&lt;&gt;Constants!$B$8,"",IF($BM72="-&gt;",$BO72,$BC72)))</f>
        <v/>
      </c>
      <c r="CV72" s="144" t="str">
        <f aca="false">IF(ISBLANK($C72),"",IF($BZ72&lt;&gt;Constants!$B$8,"",IF($BM72="-&gt;",$BP72,$BD72)))</f>
        <v/>
      </c>
      <c r="CW72" s="144" t="str">
        <f aca="false">IF(ISBLANK($C72),"",IF($BZ72&lt;&gt;Constants!$B$8,"",IF($BM72="-&gt;",$BQ72+$BR72,$BE72+$BF72)+$CD72))</f>
        <v/>
      </c>
      <c r="CX72" s="144" t="str">
        <f aca="false">IF(ISBLANK($C72),"",IF($BZ72&lt;&gt;Constants!$B$8,"",IF($BM72="-&gt;",$BS72,$BG72)+$CC72))</f>
        <v/>
      </c>
      <c r="CY72" s="145" t="str">
        <f aca="false">IF(ISBLANK($C72),"",IF($BZ72&lt;&gt;Constants!$B$8,$BZ72,$CE72))</f>
        <v/>
      </c>
      <c r="CZ72" s="146" t="str">
        <f aca="false">IF(ISBLANK($C72),"",$CA72)</f>
        <v/>
      </c>
      <c r="DA72" s="147" t="str">
        <f aca="false">IF(ISBLANK($C72),"",$CP72)</f>
        <v/>
      </c>
      <c r="DB72" s="147" t="str">
        <f aca="false">IF(ISBLANK($C72),"",$CO72)</f>
        <v/>
      </c>
      <c r="DC72" s="148" t="str">
        <f aca="false">IF(ISBLANK($C72),"",IFERROR(_xlfn.SWITCH($DB72,Constants!$B$11,COUNTA($C$9:$C$508)+2,Constants!$B$10,COUNTA($C$9:$C$508)+1,Constants!$B$9,COUNTA($C$9:$C$508)),$DB72))</f>
        <v/>
      </c>
      <c r="DD72" s="9"/>
      <c r="DE72" s="149" t="n">
        <f aca="false">IF(OR(ISNUMBER($DB72),$DB72=Constants!$B$11,$DB72=Constants!$B$9,$DB72=Constants!$B$10),1,0)</f>
        <v>0</v>
      </c>
      <c r="DF72" s="149" t="n">
        <v>64</v>
      </c>
      <c r="DG72" s="149" t="str">
        <f aca="false">IF(ISBLANK($C72),"",IF(ISNUMBER($DC72),$DC72+ROW($B72)/1000,""))</f>
        <v/>
      </c>
      <c r="DH72" s="149" t="str">
        <f aca="false">IF(ISNUMBER($DG72),RANK($DG72,$DG$9:$DG$508,1),"")</f>
        <v/>
      </c>
      <c r="DI72" s="149" t="str">
        <f aca="false">IF(ISBLANK($C72),"",$B72)</f>
        <v/>
      </c>
      <c r="DJ72" s="149" t="str">
        <f aca="false">IF(ISBLANK($C72),"",$C72)</f>
        <v/>
      </c>
      <c r="DK72" s="149" t="str">
        <f aca="false">IF(ISBLANK($C72),"",$D72)</f>
        <v/>
      </c>
      <c r="DL72" s="150" t="str">
        <f aca="false">$CZ72</f>
        <v/>
      </c>
      <c r="DM72" s="151" t="str">
        <f aca="false">$CY72</f>
        <v/>
      </c>
      <c r="DN72" s="149" t="str">
        <f aca="false">IF(ISBLANK($C72),"",$DB72)</f>
        <v/>
      </c>
      <c r="DO72" s="152" t="str">
        <f aca="false">IF($DF72&gt;$DE$8,"",VLOOKUP($DF72,$DH$9:$DN$508,7,FALSE()))</f>
        <v/>
      </c>
      <c r="DP72" s="153" t="str">
        <f aca="false">IF($DF72&gt;$DE$8,"",VLOOKUP($DF72,$DH$9:$DN$508,2,FALSE()))</f>
        <v/>
      </c>
      <c r="DQ72" s="153" t="str">
        <f aca="false">IF($DF72&gt;$DE$8,"",VLOOKUP($DF72,$DH$9:$DN$508,3,FALSE()))</f>
        <v/>
      </c>
      <c r="DR72" s="153" t="str">
        <f aca="false">IF($DF72&gt;$DE$8,"",VLOOKUP($DF72,$DH$9:$DN$508,4,FALSE()))</f>
        <v/>
      </c>
      <c r="DS72" s="153" t="str">
        <f aca="false">IF($DF72&gt;$DE$8,"",VLOOKUP($DF72,$DH$9:$DN$508,5,FALSE()))</f>
        <v/>
      </c>
      <c r="DT72" s="154" t="str">
        <f aca="false">IF($DF72&gt;$DE$8,"",VLOOKUP($DF72,$DH$9:$DN$508,6,FALSE()))</f>
        <v/>
      </c>
      <c r="DU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IF(ISBLANK($C73),"",IF(E73=Constants!$B$3,TRUE(),IF(E73=Constants!$B$4,FALSE(),TRUE())))</f>
        <v/>
      </c>
      <c r="AG73" s="135" t="str">
        <f aca="false">IF(ISBLANK($C73),"",IF(F73=Constants!$B$3,TRUE(),IF(F73=Constants!$B$4,FALSE(),TRUE())))</f>
        <v/>
      </c>
      <c r="AH73" s="135" t="str">
        <f aca="false">IF(ISBLANK($C73),"",IF(G73=Constants!$B$3,TRUE(),IF(G73=Constants!$B$4,FALSE(),TRUE())))</f>
        <v/>
      </c>
      <c r="AI73" s="135" t="str">
        <f aca="false">IF(ISBLANK($C73),"",IF(AND(ISNUMBER(H73),H73&gt;=0),H73,Constants!$B$29))</f>
        <v/>
      </c>
      <c r="AJ73" s="135" t="str">
        <f aca="false">IF(ISBLANK($C73),"",IF(I73=Constants!$B$3,TRUE(),IF(I73=Constants!$B$4,FALSE(),TRUE())))</f>
        <v/>
      </c>
      <c r="AK73" s="135" t="str">
        <f aca="false">IF(ISBLANK($C73),"",IF(J73=Constants!$B$3,TRUE(),IF(J73=Constants!$B$4,FALSE(),TRUE())))</f>
        <v/>
      </c>
      <c r="AL73" s="135" t="str">
        <f aca="false">IF(ISBLANK($C73),"",IF(K73=Constants!$B$5,TRUE(),IF(K73=Constants!$B$6,FALSE(),COUNTA(L73:P73)&gt;0)))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IF(ISBLANK($C73),"",IF(N73=Constants!$B$3,TRUE(),IF(N73=Constants!$B$4,FALSE(),TRUE())))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IF(ISBLANK($C73),"",IF(P73=Constants!$B$3,TRUE(),IF(P73=Constants!$B$4,FALSE(),FALSE())))</f>
        <v/>
      </c>
      <c r="AR73" s="135" t="str">
        <f aca="false">IF(ISBLANK($C73),"",IF(Q73=Constants!$B$3,TRUE(),IF(Q73=Constants!$B$4,FALSE(),TRUE())))</f>
        <v/>
      </c>
      <c r="AS73" s="135" t="str">
        <f aca="false">IF(ISBLANK($C73),"",IF(R73=Constants!$B$3,TRUE(),IF(R73=Constants!$B$4,FALSE(),TRUE())))</f>
        <v/>
      </c>
      <c r="AT73" s="135" t="str">
        <f aca="false">IF(ISBLANK($C73),"",IF(S73=Constants!$B$5,TRUE(),IF(S73=Constants!$B$6,FALSE(),COUNTA(T73:X73)&gt;0)))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IF(ISBLANK($C73),"",IF(V73=Constants!$B$3,TRUE(),IF(V73=Constants!$B$4,FALSE(),TRUE())))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IF(ISBLANK($C73),"",IF(X73=Constants!$B$3,TRUE(),IF(X73=Constants!$B$4,FALSE(),FALSE())))</f>
        <v/>
      </c>
      <c r="AZ73" s="135" t="str">
        <f aca="false">IF(ISBLANK($C73),"",MIN(Constants!$B$31,MAX(0,IF(ISNUMBER(Y73),Y73*60,0)+IF(ISNUMBER(Z73),Z73,0))))</f>
        <v/>
      </c>
      <c r="BA73" s="135" t="str">
        <f aca="false">IF(ISBLANK($C73),"",IF(AA73=Constants!$B$3,TRUE(),IF(AA73=Constants!$B$4,FALSE(),FALSE())))</f>
        <v/>
      </c>
      <c r="BB73" s="134" t="str">
        <f aca="false">IF(ISBLANK($C73),"",AND($AL73,OR($AM73="",$AN73="",AND($AO73,$AP73=""))))</f>
        <v/>
      </c>
      <c r="BC73" s="137" t="str">
        <f aca="false">IF($BZ73&lt;&gt;Constants!$B$8,"",IF($AL73,Constants!$B$21*$AN73+Constants!$B$22*IF($AO73,$AP73,Constants!$B$23),Constants!$B$24))</f>
        <v/>
      </c>
      <c r="BD73" s="138" t="str">
        <f aca="false">IF($BZ73&lt;&gt;Constants!$B$8,"",Constants!$B$25*ABS($AD$9-IF($AL73,$AM73,0)))</f>
        <v/>
      </c>
      <c r="BE73" s="138" t="str">
        <f aca="false">IF($BZ73&lt;&gt;Constants!$B$8,"",IF(AND($AL73,$AQ73,$AO73),Constants!$B$27,0))</f>
        <v/>
      </c>
      <c r="BF73" s="138" t="str">
        <f aca="false">IF($BZ73&lt;&gt;Constants!$B$8,"",IF($AL73,($AI73-Constants!$B$29)*Constants!$B$28,0))</f>
        <v/>
      </c>
      <c r="BG73" s="138" t="str">
        <f aca="false">IF($BZ73&lt;&gt;Constants!$B$8,"",IF($AK73,0,Constants!$B$15)+IF($AJ73,0,Constants!$B$16)+IF($AH73,0,Constants!$B$17))</f>
        <v/>
      </c>
      <c r="BH73" s="139" t="str">
        <f aca="false">IF($BZ73&lt;&gt;Constants!$B$8,"",Constants!$B$20+SUM($BC73:$BG73))</f>
        <v/>
      </c>
      <c r="BI73" s="138" t="str">
        <f aca="false">IF($BZ73&lt;&gt;Constants!$B$8,"",$BC73)</f>
        <v/>
      </c>
      <c r="BJ73" s="138" t="str">
        <f aca="false">IF($BZ73&lt;&gt;Constants!$B$8,"",$BD73)</f>
        <v/>
      </c>
      <c r="BK73" s="138" t="str">
        <f aca="false">IF($BZ73&lt;&gt;Constants!$B$8,"",IF($AL73,$AN73,""))</f>
        <v/>
      </c>
      <c r="BL73" s="140" t="str">
        <f aca="false">IF($BZ73&lt;&gt;Constants!$B$8,"",$AI73)</f>
        <v/>
      </c>
      <c r="BM73" s="135" t="str">
        <f aca="false">IF($BZ73&lt;&gt;Constants!$B$8,"",IF(OR($BT73&lt;$BH73,AND($BT73=$BH73,OR($BU73&lt;$BI73,AND($BU73=$BI73,OR($BV73&lt;$BJ73,AND($BV73=$BJ73,OR(AND(ISNUMBER($BW73),OR(NOT(ISNUMBER($BK73)),$BW73&lt;$BK73)),AND(OR(AND($BW73="",$BK73=""),AND(ISNUMBER($BW73),ISNUMBER($BK73),$BW73=$BK73)),$BX73&lt;$BL73)))))))),"-&gt;","&lt;-"))</f>
        <v/>
      </c>
      <c r="BN73" s="134" t="str">
        <f aca="false">IF(ISBLANK($C73),"",AND($AT73,OR($AU73="",$AV73="",AND($AW73,$AX73=""))))</f>
        <v/>
      </c>
      <c r="BO73" s="137" t="str">
        <f aca="false">IF($BZ73&lt;&gt;Constants!$B$8,"",IF($AT73,Constants!$B$21*$AV73+Constants!$B$22*IF($AW73,$AX73,Constants!$B$23),Constants!$B$24))</f>
        <v/>
      </c>
      <c r="BP73" s="138" t="str">
        <f aca="false">IF($BZ73&lt;&gt;Constants!$B$8,"",Constants!$B$25*ABS($AD$9-IF($AT73,$AU73,0)))</f>
        <v/>
      </c>
      <c r="BQ73" s="138" t="str">
        <f aca="false">IF($BZ73&lt;&gt;Constants!$B$8,"",IF(AND($AT73,$AY73,$AW73),Constants!$B$27,0))</f>
        <v/>
      </c>
      <c r="BR73" s="138" t="str">
        <f aca="false">IF($BZ73&lt;&gt;Constants!$B$8,"",IF($AT73,($AI73-Constants!$B$29)*Constants!$B$28,0))</f>
        <v/>
      </c>
      <c r="BS73" s="138" t="str">
        <f aca="false">IF($BZ73&lt;&gt;Constants!$B$8,"",IF($AS73,0,Constants!$B$15)+IF($AR73,0,Constants!$B$16)+IF($AH73,0,Constants!$B$17))</f>
        <v/>
      </c>
      <c r="BT73" s="139" t="str">
        <f aca="false">IF($BZ73&lt;&gt;Constants!$B$8,"",Constants!$B$20+SUM($BO73:$BS73))</f>
        <v/>
      </c>
      <c r="BU73" s="138" t="str">
        <f aca="false">IF($BZ73&lt;&gt;Constants!$B$8,"",$BO73)</f>
        <v/>
      </c>
      <c r="BV73" s="138" t="str">
        <f aca="false">IF($BZ73&lt;&gt;Constants!$B$8,"",$BP73)</f>
        <v/>
      </c>
      <c r="BW73" s="138" t="str">
        <f aca="false">IF($BZ73&lt;&gt;Constants!$B$8,"",IF($AT73,$AV73,""))</f>
        <v/>
      </c>
      <c r="BX73" s="140" t="str">
        <f aca="false">IF($BZ73&lt;&gt;Constants!$B$8,"",$AI73)</f>
        <v/>
      </c>
      <c r="BY73" s="135" t="str">
        <f aca="false">IF(ISBLANK($C73),"",IF(ISBLANK($D$7),$BY$5,IF(NOT(ISNUMBER($D$7)),$BY$6,"")))</f>
        <v/>
      </c>
      <c r="BZ73" s="135" t="str">
        <f aca="false">IF(ISBLANK($C73),"",IF($BA73,Constants!$B$11,IF(COUNTA($E73:$AA73)=0,Constants!$B$10,IF(NOT($AG73),Constants!$B$9,IF(OR($BY73&lt;&gt;"",$BB73,$BN73),Constants!$B$12,Constants!$B$8)))))</f>
        <v/>
      </c>
      <c r="CA73" s="135" t="str">
        <f aca="false">IF(ISBLANK($C73),"",IF($BZ73&lt;&gt;Constants!$B$8,$BZ73,Constants!$B$13))</f>
        <v/>
      </c>
      <c r="CB73" s="138" t="str">
        <f aca="false">IF($BZ73&lt;&gt;Constants!$B$8,"",IF($BM73="-&gt;",$BT73,$BH73))</f>
        <v/>
      </c>
      <c r="CC73" s="138" t="str">
        <f aca="false">IF($BZ73&lt;&gt;Constants!$B$8,"",IF($AF73,0,Constants!$B$18))</f>
        <v/>
      </c>
      <c r="CD73" s="138" t="str">
        <f aca="false">IF($BZ73&lt;&gt;Constants!$B$8,"",((Constants!$B$31-$AZ73)-Constants!$B$31)/Constants!$B$32)</f>
        <v/>
      </c>
      <c r="CE73" s="138" t="str">
        <f aca="false">IF(ISBLANK($C73),"",IF($BZ73&lt;&gt;Constants!$B$8,$BZ73,SUM($CB73:$CD73)))</f>
        <v/>
      </c>
      <c r="CF73" s="135" t="str">
        <f aca="false">IF(ISBLANK($C73),"",IF($BZ73&lt;&gt;Constants!$B$8,$BZ73,RANK($CE73,$CE$9:$CE$508,1)))</f>
        <v/>
      </c>
      <c r="CG73" s="138" t="str">
        <f aca="false">IF($BZ73&lt;&gt;Constants!$B$8,"",IF($BM73="-&gt;",$BU73,$BI73))</f>
        <v/>
      </c>
      <c r="CH73" s="135" t="str">
        <f aca="false">IF(ISBLANK($C73),"",IF($BZ73&lt;&gt;Constants!$B$8,$BZ73,IF(ISNUMBER($CG73),RANK($CG73,$CG$9:$CG$508,1),COUNT($CG$9:$CG$508)+1)))</f>
        <v/>
      </c>
      <c r="CI73" s="138" t="str">
        <f aca="false">IF($BZ73&lt;&gt;Constants!$B$8,"",IF($BM73="-&gt;",$BV73,$BJ73))</f>
        <v/>
      </c>
      <c r="CJ73" s="135" t="str">
        <f aca="false">IF(ISBLANK($C73),"",IF($BZ73&lt;&gt;Constants!$B$8,$BZ73,IF(ISNUMBER($CI73),RANK($CI73,$CI$9:$CI$508,1),COUNT($CI$9:$CI$508)+1)))</f>
        <v/>
      </c>
      <c r="CK73" s="138" t="str">
        <f aca="false">IF($BZ73&lt;&gt;Constants!$B$8,"",IF($BM73="-&gt;",$BW73,$BK73))</f>
        <v/>
      </c>
      <c r="CL73" s="135" t="str">
        <f aca="false">IF(ISBLANK($C73),"",IF($BZ73&lt;&gt;Constants!$B$8,$BZ73,IF(ISNUMBER($CK73),RANK($CK73,$CK$9:$CK$508,1),COUNT($CK$9:$CK$508)+1)))</f>
        <v/>
      </c>
      <c r="CM73" s="138" t="str">
        <f aca="false">IF($BZ73&lt;&gt;Constants!$B$8,"",IF(AND(NOT($AL73),NOT($AT73),$AJ73,$AK73,$AR73,$AS73),"",IF($BM73="-&gt;",$BX73,$BL73)))</f>
        <v/>
      </c>
      <c r="CN73" s="135" t="str">
        <f aca="false">IF(ISBLANK($C73),"",IF($BZ73&lt;&gt;Constants!$B$8,$BZ73,IF(ISNUMBER($CM73),RANK($CM73,$CM$9:$CM$508,1),COUNT($CM$9:$CM$508)+1)))</f>
        <v/>
      </c>
      <c r="CO73" s="135" t="str">
        <f aca="false">IF(ISBLANK($C73),"",IF($BZ73&lt;&gt;Constants!$B$8,$BZ73,COUNTIFS($CF$9:$CF$508,"&lt;"&amp;$CF73)+COUNTIFS($CF$9:$CF$508,$CF73,$CH$9:$CH$508,"&lt;"&amp;$CH73)+COUNTIFS($CF$9:$CF$508,$CF73,$CH$9:$CH$508,$CH73,$CJ$9:$CJ$508,"&lt;"&amp;$CJ73)+COUNTIFS($CF$9:$CF$508,$CF73,$CH$9:$CH$508,$CH73,$CJ$9:$CJ$508,$CJ73,$CL$9:$CL$508,"&lt;"&amp;$CL73)+COUNTIFS($CF$9:$CF$508,$CF73,$CH$9:$CH$508,$CH73,$CJ$9:$CJ$508,$CJ73,$CL$9:$CL$508,$CL73,$CN$9:$CN$508,"&lt;"&amp;$CN73)+1))</f>
        <v/>
      </c>
      <c r="CP73" s="135" t="str">
        <f aca="false">IF(ISBLANK($C73),"",IF($BZ73&lt;&gt;Constants!$B$8,$BZ73,$CF73-$CO73))</f>
        <v/>
      </c>
      <c r="CQ73" s="141"/>
      <c r="CR73" s="142"/>
      <c r="CS73" s="143" t="str">
        <f aca="false">IF(ISBLANK($C73),"",IF($BZ73=Constants!$B$12,$BY73,""))</f>
        <v/>
      </c>
      <c r="CT73" s="142" t="str">
        <f aca="false">IF(ISBLANK($C73),"",IF($BZ73&lt;&gt;Constants!$B$8,"",IF($BM73="-&gt;",2,1)))</f>
        <v/>
      </c>
      <c r="CU73" s="144" t="str">
        <f aca="false">IF(ISBLANK($C73),"",IF($BZ73&lt;&gt;Constants!$B$8,"",IF($BM73="-&gt;",$BO73,$BC73)))</f>
        <v/>
      </c>
      <c r="CV73" s="144" t="str">
        <f aca="false">IF(ISBLANK($C73),"",IF($BZ73&lt;&gt;Constants!$B$8,"",IF($BM73="-&gt;",$BP73,$BD73)))</f>
        <v/>
      </c>
      <c r="CW73" s="144" t="str">
        <f aca="false">IF(ISBLANK($C73),"",IF($BZ73&lt;&gt;Constants!$B$8,"",IF($BM73="-&gt;",$BQ73+$BR73,$BE73+$BF73)+$CD73))</f>
        <v/>
      </c>
      <c r="CX73" s="144" t="str">
        <f aca="false">IF(ISBLANK($C73),"",IF($BZ73&lt;&gt;Constants!$B$8,"",IF($BM73="-&gt;",$BS73,$BG73)+$CC73))</f>
        <v/>
      </c>
      <c r="CY73" s="145" t="str">
        <f aca="false">IF(ISBLANK($C73),"",IF($BZ73&lt;&gt;Constants!$B$8,$BZ73,$CE73))</f>
        <v/>
      </c>
      <c r="CZ73" s="146" t="str">
        <f aca="false">IF(ISBLANK($C73),"",$CA73)</f>
        <v/>
      </c>
      <c r="DA73" s="147" t="str">
        <f aca="false">IF(ISBLANK($C73),"",$CP73)</f>
        <v/>
      </c>
      <c r="DB73" s="147" t="str">
        <f aca="false">IF(ISBLANK($C73),"",$CO73)</f>
        <v/>
      </c>
      <c r="DC73" s="148" t="str">
        <f aca="false">IF(ISBLANK($C73),"",IFERROR(_xlfn.SWITCH($DB73,Constants!$B$11,COUNTA($C$9:$C$508)+2,Constants!$B$10,COUNTA($C$9:$C$508)+1,Constants!$B$9,COUNTA($C$9:$C$508)),$DB73))</f>
        <v/>
      </c>
      <c r="DD73" s="9"/>
      <c r="DE73" s="149" t="n">
        <f aca="false">IF(OR(ISNUMBER($DB73),$DB73=Constants!$B$11,$DB73=Constants!$B$9,$DB73=Constants!$B$10),1,0)</f>
        <v>0</v>
      </c>
      <c r="DF73" s="149" t="n">
        <v>65</v>
      </c>
      <c r="DG73" s="149" t="str">
        <f aca="false">IF(ISBLANK($C73),"",IF(ISNUMBER($DC73),$DC73+ROW($B73)/1000,""))</f>
        <v/>
      </c>
      <c r="DH73" s="149" t="str">
        <f aca="false">IF(ISNUMBER($DG73),RANK($DG73,$DG$9:$DG$508,1),"")</f>
        <v/>
      </c>
      <c r="DI73" s="149" t="str">
        <f aca="false">IF(ISBLANK($C73),"",$B73)</f>
        <v/>
      </c>
      <c r="DJ73" s="149" t="str">
        <f aca="false">IF(ISBLANK($C73),"",$C73)</f>
        <v/>
      </c>
      <c r="DK73" s="149" t="str">
        <f aca="false">IF(ISBLANK($C73),"",$D73)</f>
        <v/>
      </c>
      <c r="DL73" s="150" t="str">
        <f aca="false">$CZ73</f>
        <v/>
      </c>
      <c r="DM73" s="151" t="str">
        <f aca="false">$CY73</f>
        <v/>
      </c>
      <c r="DN73" s="149" t="str">
        <f aca="false">IF(ISBLANK($C73),"",$DB73)</f>
        <v/>
      </c>
      <c r="DO73" s="152" t="str">
        <f aca="false">IF($DF73&gt;$DE$8,"",VLOOKUP($DF73,$DH$9:$DN$508,7,FALSE()))</f>
        <v/>
      </c>
      <c r="DP73" s="153" t="str">
        <f aca="false">IF($DF73&gt;$DE$8,"",VLOOKUP($DF73,$DH$9:$DN$508,2,FALSE()))</f>
        <v/>
      </c>
      <c r="DQ73" s="153" t="str">
        <f aca="false">IF($DF73&gt;$DE$8,"",VLOOKUP($DF73,$DH$9:$DN$508,3,FALSE()))</f>
        <v/>
      </c>
      <c r="DR73" s="153" t="str">
        <f aca="false">IF($DF73&gt;$DE$8,"",VLOOKUP($DF73,$DH$9:$DN$508,4,FALSE()))</f>
        <v/>
      </c>
      <c r="DS73" s="153" t="str">
        <f aca="false">IF($DF73&gt;$DE$8,"",VLOOKUP($DF73,$DH$9:$DN$508,5,FALSE()))</f>
        <v/>
      </c>
      <c r="DT73" s="154" t="str">
        <f aca="false">IF($DF73&gt;$DE$8,"",VLOOKUP($DF73,$DH$9:$DN$508,6,FALSE()))</f>
        <v/>
      </c>
      <c r="DU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IF(ISBLANK($C74),"",IF(E74=Constants!$B$3,TRUE(),IF(E74=Constants!$B$4,FALSE(),TRUE())))</f>
        <v/>
      </c>
      <c r="AG74" s="135" t="str">
        <f aca="false">IF(ISBLANK($C74),"",IF(F74=Constants!$B$3,TRUE(),IF(F74=Constants!$B$4,FALSE(),TRUE())))</f>
        <v/>
      </c>
      <c r="AH74" s="135" t="str">
        <f aca="false">IF(ISBLANK($C74),"",IF(G74=Constants!$B$3,TRUE(),IF(G74=Constants!$B$4,FALSE(),TRUE())))</f>
        <v/>
      </c>
      <c r="AI74" s="135" t="str">
        <f aca="false">IF(ISBLANK($C74),"",IF(AND(ISNUMBER(H74),H74&gt;=0),H74,Constants!$B$29))</f>
        <v/>
      </c>
      <c r="AJ74" s="135" t="str">
        <f aca="false">IF(ISBLANK($C74),"",IF(I74=Constants!$B$3,TRUE(),IF(I74=Constants!$B$4,FALSE(),TRUE())))</f>
        <v/>
      </c>
      <c r="AK74" s="135" t="str">
        <f aca="false">IF(ISBLANK($C74),"",IF(J74=Constants!$B$3,TRUE(),IF(J74=Constants!$B$4,FALSE(),TRUE())))</f>
        <v/>
      </c>
      <c r="AL74" s="135" t="str">
        <f aca="false">IF(ISBLANK($C74),"",IF(K74=Constants!$B$5,TRUE(),IF(K74=Constants!$B$6,FALSE(),COUNTA(L74:P74)&gt;0)))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IF(ISBLANK($C74),"",IF(N74=Constants!$B$3,TRUE(),IF(N74=Constants!$B$4,FALSE(),TRUE())))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IF(ISBLANK($C74),"",IF(P74=Constants!$B$3,TRUE(),IF(P74=Constants!$B$4,FALSE(),FALSE())))</f>
        <v/>
      </c>
      <c r="AR74" s="135" t="str">
        <f aca="false">IF(ISBLANK($C74),"",IF(Q74=Constants!$B$3,TRUE(),IF(Q74=Constants!$B$4,FALSE(),TRUE())))</f>
        <v/>
      </c>
      <c r="AS74" s="135" t="str">
        <f aca="false">IF(ISBLANK($C74),"",IF(R74=Constants!$B$3,TRUE(),IF(R74=Constants!$B$4,FALSE(),TRUE())))</f>
        <v/>
      </c>
      <c r="AT74" s="135" t="str">
        <f aca="false">IF(ISBLANK($C74),"",IF(S74=Constants!$B$5,TRUE(),IF(S74=Constants!$B$6,FALSE(),COUNTA(T74:X74)&gt;0)))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IF(ISBLANK($C74),"",IF(V74=Constants!$B$3,TRUE(),IF(V74=Constants!$B$4,FALSE(),TRUE())))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IF(ISBLANK($C74),"",IF(X74=Constants!$B$3,TRUE(),IF(X74=Constants!$B$4,FALSE(),FALSE())))</f>
        <v/>
      </c>
      <c r="AZ74" s="135" t="str">
        <f aca="false">IF(ISBLANK($C74),"",MIN(Constants!$B$31,MAX(0,IF(ISNUMBER(Y74),Y74*60,0)+IF(ISNUMBER(Z74),Z74,0))))</f>
        <v/>
      </c>
      <c r="BA74" s="135" t="str">
        <f aca="false">IF(ISBLANK($C74),"",IF(AA74=Constants!$B$3,TRUE(),IF(AA74=Constants!$B$4,FALSE(),FALSE())))</f>
        <v/>
      </c>
      <c r="BB74" s="134" t="str">
        <f aca="false">IF(ISBLANK($C74),"",AND($AL74,OR($AM74="",$AN74="",AND($AO74,$AP74=""))))</f>
        <v/>
      </c>
      <c r="BC74" s="137" t="str">
        <f aca="false">IF($BZ74&lt;&gt;Constants!$B$8,"",IF($AL74,Constants!$B$21*$AN74+Constants!$B$22*IF($AO74,$AP74,Constants!$B$23),Constants!$B$24))</f>
        <v/>
      </c>
      <c r="BD74" s="138" t="str">
        <f aca="false">IF($BZ74&lt;&gt;Constants!$B$8,"",Constants!$B$25*ABS($AD$9-IF($AL74,$AM74,0)))</f>
        <v/>
      </c>
      <c r="BE74" s="138" t="str">
        <f aca="false">IF($BZ74&lt;&gt;Constants!$B$8,"",IF(AND($AL74,$AQ74,$AO74),Constants!$B$27,0))</f>
        <v/>
      </c>
      <c r="BF74" s="138" t="str">
        <f aca="false">IF($BZ74&lt;&gt;Constants!$B$8,"",IF($AL74,($AI74-Constants!$B$29)*Constants!$B$28,0))</f>
        <v/>
      </c>
      <c r="BG74" s="138" t="str">
        <f aca="false">IF($BZ74&lt;&gt;Constants!$B$8,"",IF($AK74,0,Constants!$B$15)+IF($AJ74,0,Constants!$B$16)+IF($AH74,0,Constants!$B$17))</f>
        <v/>
      </c>
      <c r="BH74" s="139" t="str">
        <f aca="false">IF($BZ74&lt;&gt;Constants!$B$8,"",Constants!$B$20+SUM($BC74:$BG74))</f>
        <v/>
      </c>
      <c r="BI74" s="138" t="str">
        <f aca="false">IF($BZ74&lt;&gt;Constants!$B$8,"",$BC74)</f>
        <v/>
      </c>
      <c r="BJ74" s="138" t="str">
        <f aca="false">IF($BZ74&lt;&gt;Constants!$B$8,"",$BD74)</f>
        <v/>
      </c>
      <c r="BK74" s="138" t="str">
        <f aca="false">IF($BZ74&lt;&gt;Constants!$B$8,"",IF($AL74,$AN74,""))</f>
        <v/>
      </c>
      <c r="BL74" s="140" t="str">
        <f aca="false">IF($BZ74&lt;&gt;Constants!$B$8,"",$AI74)</f>
        <v/>
      </c>
      <c r="BM74" s="135" t="str">
        <f aca="false">IF($BZ74&lt;&gt;Constants!$B$8,"",IF(OR($BT74&lt;$BH74,AND($BT74=$BH74,OR($BU74&lt;$BI74,AND($BU74=$BI74,OR($BV74&lt;$BJ74,AND($BV74=$BJ74,OR(AND(ISNUMBER($BW74),OR(NOT(ISNUMBER($BK74)),$BW74&lt;$BK74)),AND(OR(AND($BW74="",$BK74=""),AND(ISNUMBER($BW74),ISNUMBER($BK74),$BW74=$BK74)),$BX74&lt;$BL74)))))))),"-&gt;","&lt;-"))</f>
        <v/>
      </c>
      <c r="BN74" s="134" t="str">
        <f aca="false">IF(ISBLANK($C74),"",AND($AT74,OR($AU74="",$AV74="",AND($AW74,$AX74=""))))</f>
        <v/>
      </c>
      <c r="BO74" s="137" t="str">
        <f aca="false">IF($BZ74&lt;&gt;Constants!$B$8,"",IF($AT74,Constants!$B$21*$AV74+Constants!$B$22*IF($AW74,$AX74,Constants!$B$23),Constants!$B$24))</f>
        <v/>
      </c>
      <c r="BP74" s="138" t="str">
        <f aca="false">IF($BZ74&lt;&gt;Constants!$B$8,"",Constants!$B$25*ABS($AD$9-IF($AT74,$AU74,0)))</f>
        <v/>
      </c>
      <c r="BQ74" s="138" t="str">
        <f aca="false">IF($BZ74&lt;&gt;Constants!$B$8,"",IF(AND($AT74,$AY74,$AW74),Constants!$B$27,0))</f>
        <v/>
      </c>
      <c r="BR74" s="138" t="str">
        <f aca="false">IF($BZ74&lt;&gt;Constants!$B$8,"",IF($AT74,($AI74-Constants!$B$29)*Constants!$B$28,0))</f>
        <v/>
      </c>
      <c r="BS74" s="138" t="str">
        <f aca="false">IF($BZ74&lt;&gt;Constants!$B$8,"",IF($AS74,0,Constants!$B$15)+IF($AR74,0,Constants!$B$16)+IF($AH74,0,Constants!$B$17))</f>
        <v/>
      </c>
      <c r="BT74" s="139" t="str">
        <f aca="false">IF($BZ74&lt;&gt;Constants!$B$8,"",Constants!$B$20+SUM($BO74:$BS74))</f>
        <v/>
      </c>
      <c r="BU74" s="138" t="str">
        <f aca="false">IF($BZ74&lt;&gt;Constants!$B$8,"",$BO74)</f>
        <v/>
      </c>
      <c r="BV74" s="138" t="str">
        <f aca="false">IF($BZ74&lt;&gt;Constants!$B$8,"",$BP74)</f>
        <v/>
      </c>
      <c r="BW74" s="138" t="str">
        <f aca="false">IF($BZ74&lt;&gt;Constants!$B$8,"",IF($AT74,$AV74,""))</f>
        <v/>
      </c>
      <c r="BX74" s="140" t="str">
        <f aca="false">IF($BZ74&lt;&gt;Constants!$B$8,"",$AI74)</f>
        <v/>
      </c>
      <c r="BY74" s="135" t="str">
        <f aca="false">IF(ISBLANK($C74),"",IF(ISBLANK($D$7),$BY$5,IF(NOT(ISNUMBER($D$7)),$BY$6,"")))</f>
        <v/>
      </c>
      <c r="BZ74" s="135" t="str">
        <f aca="false">IF(ISBLANK($C74),"",IF($BA74,Constants!$B$11,IF(COUNTA($E74:$AA74)=0,Constants!$B$10,IF(NOT($AG74),Constants!$B$9,IF(OR($BY74&lt;&gt;"",$BB74,$BN74),Constants!$B$12,Constants!$B$8)))))</f>
        <v/>
      </c>
      <c r="CA74" s="135" t="str">
        <f aca="false">IF(ISBLANK($C74),"",IF($BZ74&lt;&gt;Constants!$B$8,$BZ74,Constants!$B$13))</f>
        <v/>
      </c>
      <c r="CB74" s="138" t="str">
        <f aca="false">IF($BZ74&lt;&gt;Constants!$B$8,"",IF($BM74="-&gt;",$BT74,$BH74))</f>
        <v/>
      </c>
      <c r="CC74" s="138" t="str">
        <f aca="false">IF($BZ74&lt;&gt;Constants!$B$8,"",IF($AF74,0,Constants!$B$18))</f>
        <v/>
      </c>
      <c r="CD74" s="138" t="str">
        <f aca="false">IF($BZ74&lt;&gt;Constants!$B$8,"",((Constants!$B$31-$AZ74)-Constants!$B$31)/Constants!$B$32)</f>
        <v/>
      </c>
      <c r="CE74" s="138" t="str">
        <f aca="false">IF(ISBLANK($C74),"",IF($BZ74&lt;&gt;Constants!$B$8,$BZ74,SUM($CB74:$CD74)))</f>
        <v/>
      </c>
      <c r="CF74" s="135" t="str">
        <f aca="false">IF(ISBLANK($C74),"",IF($BZ74&lt;&gt;Constants!$B$8,$BZ74,RANK($CE74,$CE$9:$CE$508,1)))</f>
        <v/>
      </c>
      <c r="CG74" s="138" t="str">
        <f aca="false">IF($BZ74&lt;&gt;Constants!$B$8,"",IF($BM74="-&gt;",$BU74,$BI74))</f>
        <v/>
      </c>
      <c r="CH74" s="135" t="str">
        <f aca="false">IF(ISBLANK($C74),"",IF($BZ74&lt;&gt;Constants!$B$8,$BZ74,IF(ISNUMBER($CG74),RANK($CG74,$CG$9:$CG$508,1),COUNT($CG$9:$CG$508)+1)))</f>
        <v/>
      </c>
      <c r="CI74" s="138" t="str">
        <f aca="false">IF($BZ74&lt;&gt;Constants!$B$8,"",IF($BM74="-&gt;",$BV74,$BJ74))</f>
        <v/>
      </c>
      <c r="CJ74" s="135" t="str">
        <f aca="false">IF(ISBLANK($C74),"",IF($BZ74&lt;&gt;Constants!$B$8,$BZ74,IF(ISNUMBER($CI74),RANK($CI74,$CI$9:$CI$508,1),COUNT($CI$9:$CI$508)+1)))</f>
        <v/>
      </c>
      <c r="CK74" s="138" t="str">
        <f aca="false">IF($BZ74&lt;&gt;Constants!$B$8,"",IF($BM74="-&gt;",$BW74,$BK74))</f>
        <v/>
      </c>
      <c r="CL74" s="135" t="str">
        <f aca="false">IF(ISBLANK($C74),"",IF($BZ74&lt;&gt;Constants!$B$8,$BZ74,IF(ISNUMBER($CK74),RANK($CK74,$CK$9:$CK$508,1),COUNT($CK$9:$CK$508)+1)))</f>
        <v/>
      </c>
      <c r="CM74" s="138" t="str">
        <f aca="false">IF($BZ74&lt;&gt;Constants!$B$8,"",IF(AND(NOT($AL74),NOT($AT74),$AJ74,$AK74,$AR74,$AS74),"",IF($BM74="-&gt;",$BX74,$BL74)))</f>
        <v/>
      </c>
      <c r="CN74" s="135" t="str">
        <f aca="false">IF(ISBLANK($C74),"",IF($BZ74&lt;&gt;Constants!$B$8,$BZ74,IF(ISNUMBER($CM74),RANK($CM74,$CM$9:$CM$508,1),COUNT($CM$9:$CM$508)+1)))</f>
        <v/>
      </c>
      <c r="CO74" s="135" t="str">
        <f aca="false">IF(ISBLANK($C74),"",IF($BZ74&lt;&gt;Constants!$B$8,$BZ74,COUNTIFS($CF$9:$CF$508,"&lt;"&amp;$CF74)+COUNTIFS($CF$9:$CF$508,$CF74,$CH$9:$CH$508,"&lt;"&amp;$CH74)+COUNTIFS($CF$9:$CF$508,$CF74,$CH$9:$CH$508,$CH74,$CJ$9:$CJ$508,"&lt;"&amp;$CJ74)+COUNTIFS($CF$9:$CF$508,$CF74,$CH$9:$CH$508,$CH74,$CJ$9:$CJ$508,$CJ74,$CL$9:$CL$508,"&lt;"&amp;$CL74)+COUNTIFS($CF$9:$CF$508,$CF74,$CH$9:$CH$508,$CH74,$CJ$9:$CJ$508,$CJ74,$CL$9:$CL$508,$CL74,$CN$9:$CN$508,"&lt;"&amp;$CN74)+1))</f>
        <v/>
      </c>
      <c r="CP74" s="135" t="str">
        <f aca="false">IF(ISBLANK($C74),"",IF($BZ74&lt;&gt;Constants!$B$8,$BZ74,$CF74-$CO74))</f>
        <v/>
      </c>
      <c r="CQ74" s="141"/>
      <c r="CR74" s="142"/>
      <c r="CS74" s="143" t="str">
        <f aca="false">IF(ISBLANK($C74),"",IF($BZ74=Constants!$B$12,$BY74,""))</f>
        <v/>
      </c>
      <c r="CT74" s="142" t="str">
        <f aca="false">IF(ISBLANK($C74),"",IF($BZ74&lt;&gt;Constants!$B$8,"",IF($BM74="-&gt;",2,1)))</f>
        <v/>
      </c>
      <c r="CU74" s="144" t="str">
        <f aca="false">IF(ISBLANK($C74),"",IF($BZ74&lt;&gt;Constants!$B$8,"",IF($BM74="-&gt;",$BO74,$BC74)))</f>
        <v/>
      </c>
      <c r="CV74" s="144" t="str">
        <f aca="false">IF(ISBLANK($C74),"",IF($BZ74&lt;&gt;Constants!$B$8,"",IF($BM74="-&gt;",$BP74,$BD74)))</f>
        <v/>
      </c>
      <c r="CW74" s="144" t="str">
        <f aca="false">IF(ISBLANK($C74),"",IF($BZ74&lt;&gt;Constants!$B$8,"",IF($BM74="-&gt;",$BQ74+$BR74,$BE74+$BF74)+$CD74))</f>
        <v/>
      </c>
      <c r="CX74" s="144" t="str">
        <f aca="false">IF(ISBLANK($C74),"",IF($BZ74&lt;&gt;Constants!$B$8,"",IF($BM74="-&gt;",$BS74,$BG74)+$CC74))</f>
        <v/>
      </c>
      <c r="CY74" s="145" t="str">
        <f aca="false">IF(ISBLANK($C74),"",IF($BZ74&lt;&gt;Constants!$B$8,$BZ74,$CE74))</f>
        <v/>
      </c>
      <c r="CZ74" s="146" t="str">
        <f aca="false">IF(ISBLANK($C74),"",$CA74)</f>
        <v/>
      </c>
      <c r="DA74" s="147" t="str">
        <f aca="false">IF(ISBLANK($C74),"",$CP74)</f>
        <v/>
      </c>
      <c r="DB74" s="147" t="str">
        <f aca="false">IF(ISBLANK($C74),"",$CO74)</f>
        <v/>
      </c>
      <c r="DC74" s="148" t="str">
        <f aca="false">IF(ISBLANK($C74),"",IFERROR(_xlfn.SWITCH($DB74,Constants!$B$11,COUNTA($C$9:$C$508)+2,Constants!$B$10,COUNTA($C$9:$C$508)+1,Constants!$B$9,COUNTA($C$9:$C$508)),$DB74))</f>
        <v/>
      </c>
      <c r="DD74" s="9"/>
      <c r="DE74" s="149" t="n">
        <f aca="false">IF(OR(ISNUMBER($DB74),$DB74=Constants!$B$11,$DB74=Constants!$B$9,$DB74=Constants!$B$10),1,0)</f>
        <v>0</v>
      </c>
      <c r="DF74" s="149" t="n">
        <v>66</v>
      </c>
      <c r="DG74" s="149" t="str">
        <f aca="false">IF(ISBLANK($C74),"",IF(ISNUMBER($DC74),$DC74+ROW($B74)/1000,""))</f>
        <v/>
      </c>
      <c r="DH74" s="149" t="str">
        <f aca="false">IF(ISNUMBER($DG74),RANK($DG74,$DG$9:$DG$508,1),"")</f>
        <v/>
      </c>
      <c r="DI74" s="149" t="str">
        <f aca="false">IF(ISBLANK($C74),"",$B74)</f>
        <v/>
      </c>
      <c r="DJ74" s="149" t="str">
        <f aca="false">IF(ISBLANK($C74),"",$C74)</f>
        <v/>
      </c>
      <c r="DK74" s="149" t="str">
        <f aca="false">IF(ISBLANK($C74),"",$D74)</f>
        <v/>
      </c>
      <c r="DL74" s="150" t="str">
        <f aca="false">$CZ74</f>
        <v/>
      </c>
      <c r="DM74" s="151" t="str">
        <f aca="false">$CY74</f>
        <v/>
      </c>
      <c r="DN74" s="149" t="str">
        <f aca="false">IF(ISBLANK($C74),"",$DB74)</f>
        <v/>
      </c>
      <c r="DO74" s="152" t="str">
        <f aca="false">IF($DF74&gt;$DE$8,"",VLOOKUP($DF74,$DH$9:$DN$508,7,FALSE()))</f>
        <v/>
      </c>
      <c r="DP74" s="153" t="str">
        <f aca="false">IF($DF74&gt;$DE$8,"",VLOOKUP($DF74,$DH$9:$DN$508,2,FALSE()))</f>
        <v/>
      </c>
      <c r="DQ74" s="153" t="str">
        <f aca="false">IF($DF74&gt;$DE$8,"",VLOOKUP($DF74,$DH$9:$DN$508,3,FALSE()))</f>
        <v/>
      </c>
      <c r="DR74" s="153" t="str">
        <f aca="false">IF($DF74&gt;$DE$8,"",VLOOKUP($DF74,$DH$9:$DN$508,4,FALSE()))</f>
        <v/>
      </c>
      <c r="DS74" s="153" t="str">
        <f aca="false">IF($DF74&gt;$DE$8,"",VLOOKUP($DF74,$DH$9:$DN$508,5,FALSE()))</f>
        <v/>
      </c>
      <c r="DT74" s="154" t="str">
        <f aca="false">IF($DF74&gt;$DE$8,"",VLOOKUP($DF74,$DH$9:$DN$508,6,FALSE()))</f>
        <v/>
      </c>
      <c r="DU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IF(ISBLANK($C75),"",IF(E75=Constants!$B$3,TRUE(),IF(E75=Constants!$B$4,FALSE(),TRUE())))</f>
        <v/>
      </c>
      <c r="AG75" s="93" t="str">
        <f aca="false">IF(ISBLANK($C75),"",IF(F75=Constants!$B$3,TRUE(),IF(F75=Constants!$B$4,FALSE(),TRUE())))</f>
        <v/>
      </c>
      <c r="AH75" s="93" t="str">
        <f aca="false">IF(ISBLANK($C75),"",IF(G75=Constants!$B$3,TRUE(),IF(G75=Constants!$B$4,FALSE(),TRUE())))</f>
        <v/>
      </c>
      <c r="AI75" s="93" t="str">
        <f aca="false">IF(ISBLANK($C75),"",IF(AND(ISNUMBER(H75),H75&gt;=0),H75,Constants!$B$29))</f>
        <v/>
      </c>
      <c r="AJ75" s="93" t="str">
        <f aca="false">IF(ISBLANK($C75),"",IF(I75=Constants!$B$3,TRUE(),IF(I75=Constants!$B$4,FALSE(),TRUE())))</f>
        <v/>
      </c>
      <c r="AK75" s="93" t="str">
        <f aca="false">IF(ISBLANK($C75),"",IF(J75=Constants!$B$3,TRUE(),IF(J75=Constants!$B$4,FALSE(),TRUE())))</f>
        <v/>
      </c>
      <c r="AL75" s="93" t="str">
        <f aca="false">IF(ISBLANK($C75),"",IF(K75=Constants!$B$5,TRUE(),IF(K75=Constants!$B$6,FALSE(),COUNTA(L75:P75)&gt;0)))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IF(ISBLANK($C75),"",IF(N75=Constants!$B$3,TRUE(),IF(N75=Constants!$B$4,FALSE(),TRUE())))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IF(ISBLANK($C75),"",IF(P75=Constants!$B$3,TRUE(),IF(P75=Constants!$B$4,FALSE(),FALSE())))</f>
        <v/>
      </c>
      <c r="AR75" s="93" t="str">
        <f aca="false">IF(ISBLANK($C75),"",IF(Q75=Constants!$B$3,TRUE(),IF(Q75=Constants!$B$4,FALSE(),TRUE())))</f>
        <v/>
      </c>
      <c r="AS75" s="93" t="str">
        <f aca="false">IF(ISBLANK($C75),"",IF(R75=Constants!$B$3,TRUE(),IF(R75=Constants!$B$4,FALSE(),TRUE())))</f>
        <v/>
      </c>
      <c r="AT75" s="93" t="str">
        <f aca="false">IF(ISBLANK($C75),"",IF(S75=Constants!$B$5,TRUE(),IF(S75=Constants!$B$6,FALSE(),COUNTA(T75:X75)&gt;0)))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IF(ISBLANK($C75),"",IF(V75=Constants!$B$3,TRUE(),IF(V75=Constants!$B$4,FALSE(),TRUE())))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IF(ISBLANK($C75),"",IF(X75=Constants!$B$3,TRUE(),IF(X75=Constants!$B$4,FALSE(),FALSE())))</f>
        <v/>
      </c>
      <c r="AZ75" s="93" t="str">
        <f aca="false">IF(ISBLANK($C75),"",MIN(Constants!$B$31,MAX(0,IF(ISNUMBER(Y75),Y75*60,0)+IF(ISNUMBER(Z75),Z75,0))))</f>
        <v/>
      </c>
      <c r="BA75" s="93" t="str">
        <f aca="false">IF(ISBLANK($C75),"",IF(AA75=Constants!$B$3,TRUE(),IF(AA75=Constants!$B$4,FALSE(),FALSE())))</f>
        <v/>
      </c>
      <c r="BB75" s="92" t="str">
        <f aca="false">IF(ISBLANK($C75),"",AND($AL75,OR($AM75="",$AN75="",AND($AO75,$AP75=""))))</f>
        <v/>
      </c>
      <c r="BC75" s="94" t="str">
        <f aca="false">IF($BZ75&lt;&gt;Constants!$B$8,"",IF($AL75,Constants!$B$21*$AN75+Constants!$B$22*IF($AO75,$AP75,Constants!$B$23),Constants!$B$24))</f>
        <v/>
      </c>
      <c r="BD75" s="97" t="str">
        <f aca="false">IF($BZ75&lt;&gt;Constants!$B$8,"",Constants!$B$25*ABS($AD$9-IF($AL75,$AM75,0)))</f>
        <v/>
      </c>
      <c r="BE75" s="97" t="str">
        <f aca="false">IF($BZ75&lt;&gt;Constants!$B$8,"",IF(AND($AL75,$AQ75,$AO75),Constants!$B$27,0))</f>
        <v/>
      </c>
      <c r="BF75" s="97" t="str">
        <f aca="false">IF($BZ75&lt;&gt;Constants!$B$8,"",IF($AL75,($AI75-Constants!$B$29)*Constants!$B$28,0))</f>
        <v/>
      </c>
      <c r="BG75" s="97" t="str">
        <f aca="false">IF($BZ75&lt;&gt;Constants!$B$8,"",IF($AK75,0,Constants!$B$15)+IF($AJ75,0,Constants!$B$16)+IF($AH75,0,Constants!$B$17))</f>
        <v/>
      </c>
      <c r="BH75" s="98" t="str">
        <f aca="false">IF($BZ75&lt;&gt;Constants!$B$8,"",Constants!$B$20+SUM($BC75:$BG75))</f>
        <v/>
      </c>
      <c r="BI75" s="97" t="str">
        <f aca="false">IF($BZ75&lt;&gt;Constants!$B$8,"",$BC75)</f>
        <v/>
      </c>
      <c r="BJ75" s="97" t="str">
        <f aca="false">IF($BZ75&lt;&gt;Constants!$B$8,"",$BD75)</f>
        <v/>
      </c>
      <c r="BK75" s="97" t="str">
        <f aca="false">IF($BZ75&lt;&gt;Constants!$B$8,"",IF($AL75,$AN75,""))</f>
        <v/>
      </c>
      <c r="BL75" s="99" t="str">
        <f aca="false">IF($BZ75&lt;&gt;Constants!$B$8,"",$AI75)</f>
        <v/>
      </c>
      <c r="BM75" s="93" t="str">
        <f aca="false">IF($BZ75&lt;&gt;Constants!$B$8,"",IF(OR($BT75&lt;$BH75,AND($BT75=$BH75,OR($BU75&lt;$BI75,AND($BU75=$BI75,OR($BV75&lt;$BJ75,AND($BV75=$BJ75,OR(AND(ISNUMBER($BW75),OR(NOT(ISNUMBER($BK75)),$BW75&lt;$BK75)),AND(OR(AND($BW75="",$BK75=""),AND(ISNUMBER($BW75),ISNUMBER($BK75),$BW75=$BK75)),$BX75&lt;$BL75)))))))),"-&gt;","&lt;-"))</f>
        <v/>
      </c>
      <c r="BN75" s="92" t="str">
        <f aca="false">IF(ISBLANK($C75),"",AND($AT75,OR($AU75="",$AV75="",AND($AW75,$AX75=""))))</f>
        <v/>
      </c>
      <c r="BO75" s="94" t="str">
        <f aca="false">IF($BZ75&lt;&gt;Constants!$B$8,"",IF($AT75,Constants!$B$21*$AV75+Constants!$B$22*IF($AW75,$AX75,Constants!$B$23),Constants!$B$24))</f>
        <v/>
      </c>
      <c r="BP75" s="97" t="str">
        <f aca="false">IF($BZ75&lt;&gt;Constants!$B$8,"",Constants!$B$25*ABS($AD$9-IF($AT75,$AU75,0)))</f>
        <v/>
      </c>
      <c r="BQ75" s="97" t="str">
        <f aca="false">IF($BZ75&lt;&gt;Constants!$B$8,"",IF(AND($AT75,$AY75,$AW75),Constants!$B$27,0))</f>
        <v/>
      </c>
      <c r="BR75" s="97" t="str">
        <f aca="false">IF($BZ75&lt;&gt;Constants!$B$8,"",IF($AT75,($AI75-Constants!$B$29)*Constants!$B$28,0))</f>
        <v/>
      </c>
      <c r="BS75" s="97" t="str">
        <f aca="false">IF($BZ75&lt;&gt;Constants!$B$8,"",IF($AS75,0,Constants!$B$15)+IF($AR75,0,Constants!$B$16)+IF($AH75,0,Constants!$B$17))</f>
        <v/>
      </c>
      <c r="BT75" s="98" t="str">
        <f aca="false">IF($BZ75&lt;&gt;Constants!$B$8,"",Constants!$B$20+SUM($BO75:$BS75))</f>
        <v/>
      </c>
      <c r="BU75" s="97" t="str">
        <f aca="false">IF($BZ75&lt;&gt;Constants!$B$8,"",$BO75)</f>
        <v/>
      </c>
      <c r="BV75" s="97" t="str">
        <f aca="false">IF($BZ75&lt;&gt;Constants!$B$8,"",$BP75)</f>
        <v/>
      </c>
      <c r="BW75" s="97" t="str">
        <f aca="false">IF($BZ75&lt;&gt;Constants!$B$8,"",IF($AT75,$AV75,""))</f>
        <v/>
      </c>
      <c r="BX75" s="99" t="str">
        <f aca="false">IF($BZ75&lt;&gt;Constants!$B$8,"",$AI75)</f>
        <v/>
      </c>
      <c r="BY75" s="93" t="str">
        <f aca="false">IF(ISBLANK($C75),"",IF(ISBLANK($D$7),$BY$5,IF(NOT(ISNUMBER($D$7)),$BY$6,"")))</f>
        <v/>
      </c>
      <c r="BZ75" s="93" t="str">
        <f aca="false">IF(ISBLANK($C75),"",IF($BA75,Constants!$B$11,IF(COUNTA($E75:$AA75)=0,Constants!$B$10,IF(NOT($AG75),Constants!$B$9,IF(OR($BY75&lt;&gt;"",$BB75,$BN75),Constants!$B$12,Constants!$B$8)))))</f>
        <v/>
      </c>
      <c r="CA75" s="93" t="str">
        <f aca="false">IF(ISBLANK($C75),"",IF($BZ75&lt;&gt;Constants!$B$8,$BZ75,Constants!$B$13))</f>
        <v/>
      </c>
      <c r="CB75" s="97" t="str">
        <f aca="false">IF($BZ75&lt;&gt;Constants!$B$8,"",IF($BM75="-&gt;",$BT75,$BH75))</f>
        <v/>
      </c>
      <c r="CC75" s="97" t="str">
        <f aca="false">IF($BZ75&lt;&gt;Constants!$B$8,"",IF($AF75,0,Constants!$B$18))</f>
        <v/>
      </c>
      <c r="CD75" s="97" t="str">
        <f aca="false">IF($BZ75&lt;&gt;Constants!$B$8,"",((Constants!$B$31-$AZ75)-Constants!$B$31)/Constants!$B$32)</f>
        <v/>
      </c>
      <c r="CE75" s="97" t="str">
        <f aca="false">IF(ISBLANK($C75),"",IF($BZ75&lt;&gt;Constants!$B$8,$BZ75,SUM($CB75:$CD75)))</f>
        <v/>
      </c>
      <c r="CF75" s="93" t="str">
        <f aca="false">IF(ISBLANK($C75),"",IF($BZ75&lt;&gt;Constants!$B$8,$BZ75,RANK($CE75,$CE$9:$CE$508,1)))</f>
        <v/>
      </c>
      <c r="CG75" s="97" t="str">
        <f aca="false">IF($BZ75&lt;&gt;Constants!$B$8,"",IF($BM75="-&gt;",$BU75,$BI75))</f>
        <v/>
      </c>
      <c r="CH75" s="93" t="str">
        <f aca="false">IF(ISBLANK($C75),"",IF($BZ75&lt;&gt;Constants!$B$8,$BZ75,IF(ISNUMBER($CG75),RANK($CG75,$CG$9:$CG$508,1),COUNT($CG$9:$CG$508)+1)))</f>
        <v/>
      </c>
      <c r="CI75" s="97" t="str">
        <f aca="false">IF($BZ75&lt;&gt;Constants!$B$8,"",IF($BM75="-&gt;",$BV75,$BJ75))</f>
        <v/>
      </c>
      <c r="CJ75" s="93" t="str">
        <f aca="false">IF(ISBLANK($C75),"",IF($BZ75&lt;&gt;Constants!$B$8,$BZ75,IF(ISNUMBER($CI75),RANK($CI75,$CI$9:$CI$508,1),COUNT($CI$9:$CI$508)+1)))</f>
        <v/>
      </c>
      <c r="CK75" s="97" t="str">
        <f aca="false">IF($BZ75&lt;&gt;Constants!$B$8,"",IF($BM75="-&gt;",$BW75,$BK75))</f>
        <v/>
      </c>
      <c r="CL75" s="93" t="str">
        <f aca="false">IF(ISBLANK($C75),"",IF($BZ75&lt;&gt;Constants!$B$8,$BZ75,IF(ISNUMBER($CK75),RANK($CK75,$CK$9:$CK$508,1),COUNT($CK$9:$CK$508)+1)))</f>
        <v/>
      </c>
      <c r="CM75" s="97" t="str">
        <f aca="false">IF($BZ75&lt;&gt;Constants!$B$8,"",IF(AND(NOT($AL75),NOT($AT75),$AJ75,$AK75,$AR75,$AS75),"",IF($BM75="-&gt;",$BX75,$BL75)))</f>
        <v/>
      </c>
      <c r="CN75" s="93" t="str">
        <f aca="false">IF(ISBLANK($C75),"",IF($BZ75&lt;&gt;Constants!$B$8,$BZ75,IF(ISNUMBER($CM75),RANK($CM75,$CM$9:$CM$508,1),COUNT($CM$9:$CM$508)+1)))</f>
        <v/>
      </c>
      <c r="CO75" s="93" t="str">
        <f aca="false">IF(ISBLANK($C75),"",IF($BZ75&lt;&gt;Constants!$B$8,$BZ75,COUNTIFS($CF$9:$CF$508,"&lt;"&amp;$CF75)+COUNTIFS($CF$9:$CF$508,$CF75,$CH$9:$CH$508,"&lt;"&amp;$CH75)+COUNTIFS($CF$9:$CF$508,$CF75,$CH$9:$CH$508,$CH75,$CJ$9:$CJ$508,"&lt;"&amp;$CJ75)+COUNTIFS($CF$9:$CF$508,$CF75,$CH$9:$CH$508,$CH75,$CJ$9:$CJ$508,$CJ75,$CL$9:$CL$508,"&lt;"&amp;$CL75)+COUNTIFS($CF$9:$CF$508,$CF75,$CH$9:$CH$508,$CH75,$CJ$9:$CJ$508,$CJ75,$CL$9:$CL$508,$CL75,$CN$9:$CN$508,"&lt;"&amp;$CN75)+1))</f>
        <v/>
      </c>
      <c r="CP75" s="93" t="str">
        <f aca="false">IF(ISBLANK($C75),"",IF($BZ75&lt;&gt;Constants!$B$8,$BZ75,$CF75-$CO75))</f>
        <v/>
      </c>
      <c r="CQ75" s="100"/>
      <c r="CR75" s="101"/>
      <c r="CS75" s="102" t="str">
        <f aca="false">IF(ISBLANK($C75),"",IF($BZ75=Constants!$B$12,$BY75,""))</f>
        <v/>
      </c>
      <c r="CT75" s="101" t="str">
        <f aca="false">IF(ISBLANK($C75),"",IF($BZ75&lt;&gt;Constants!$B$8,"",IF($BM75="-&gt;",2,1)))</f>
        <v/>
      </c>
      <c r="CU75" s="103" t="str">
        <f aca="false">IF(ISBLANK($C75),"",IF($BZ75&lt;&gt;Constants!$B$8,"",IF($BM75="-&gt;",$BO75,$BC75)))</f>
        <v/>
      </c>
      <c r="CV75" s="103" t="str">
        <f aca="false">IF(ISBLANK($C75),"",IF($BZ75&lt;&gt;Constants!$B$8,"",IF($BM75="-&gt;",$BP75,$BD75)))</f>
        <v/>
      </c>
      <c r="CW75" s="103" t="str">
        <f aca="false">IF(ISBLANK($C75),"",IF($BZ75&lt;&gt;Constants!$B$8,"",IF($BM75="-&gt;",$BQ75+$BR75,$BE75+$BF75)+$CD75))</f>
        <v/>
      </c>
      <c r="CX75" s="103" t="str">
        <f aca="false">IF(ISBLANK($C75),"",IF($BZ75&lt;&gt;Constants!$B$8,"",IF($BM75="-&gt;",$BS75,$BG75)+$CC75))</f>
        <v/>
      </c>
      <c r="CY75" s="104" t="str">
        <f aca="false">IF(ISBLANK($C75),"",IF($BZ75&lt;&gt;Constants!$B$8,$BZ75,$CE75))</f>
        <v/>
      </c>
      <c r="CZ75" s="105" t="str">
        <f aca="false">IF(ISBLANK($C75),"",$CA75)</f>
        <v/>
      </c>
      <c r="DA75" s="106" t="str">
        <f aca="false">IF(ISBLANK($C75),"",$CP75)</f>
        <v/>
      </c>
      <c r="DB75" s="106" t="str">
        <f aca="false">IF(ISBLANK($C75),"",$CO75)</f>
        <v/>
      </c>
      <c r="DC75" s="107" t="str">
        <f aca="false">IF(ISBLANK($C75),"",IFERROR(_xlfn.SWITCH($DB75,Constants!$B$11,COUNTA($C$9:$C$508)+2,Constants!$B$10,COUNTA($C$9:$C$508)+1,Constants!$B$9,COUNTA($C$9:$C$508)),$DB75))</f>
        <v/>
      </c>
      <c r="DD75" s="9"/>
      <c r="DE75" s="108" t="n">
        <f aca="false">IF(OR(ISNUMBER($DB75),$DB75=Constants!$B$11,$DB75=Constants!$B$9,$DB75=Constants!$B$10),1,0)</f>
        <v>0</v>
      </c>
      <c r="DF75" s="108" t="n">
        <v>67</v>
      </c>
      <c r="DG75" s="108" t="str">
        <f aca="false">IF(ISBLANK($C75),"",IF(ISNUMBER($DC75),$DC75+ROW($B75)/1000,""))</f>
        <v/>
      </c>
      <c r="DH75" s="108" t="str">
        <f aca="false">IF(ISNUMBER($DG75),RANK($DG75,$DG$9:$DG$508,1),"")</f>
        <v/>
      </c>
      <c r="DI75" s="108" t="str">
        <f aca="false">IF(ISBLANK($C75),"",$B75)</f>
        <v/>
      </c>
      <c r="DJ75" s="108" t="str">
        <f aca="false">IF(ISBLANK($C75),"",$C75)</f>
        <v/>
      </c>
      <c r="DK75" s="108" t="str">
        <f aca="false">IF(ISBLANK($C75),"",$D75)</f>
        <v/>
      </c>
      <c r="DL75" s="109" t="str">
        <f aca="false">$CZ75</f>
        <v/>
      </c>
      <c r="DM75" s="110" t="str">
        <f aca="false">$CY75</f>
        <v/>
      </c>
      <c r="DN75" s="108" t="str">
        <f aca="false">IF(ISBLANK($C75),"",$DB75)</f>
        <v/>
      </c>
      <c r="DO75" s="111" t="str">
        <f aca="false">IF($DF75&gt;$DE$8,"",VLOOKUP($DF75,$DH$9:$DN$508,7,FALSE()))</f>
        <v/>
      </c>
      <c r="DP75" s="112" t="str">
        <f aca="false">IF($DF75&gt;$DE$8,"",VLOOKUP($DF75,$DH$9:$DN$508,2,FALSE()))</f>
        <v/>
      </c>
      <c r="DQ75" s="112" t="str">
        <f aca="false">IF($DF75&gt;$DE$8,"",VLOOKUP($DF75,$DH$9:$DN$508,3,FALSE()))</f>
        <v/>
      </c>
      <c r="DR75" s="112" t="str">
        <f aca="false">IF($DF75&gt;$DE$8,"",VLOOKUP($DF75,$DH$9:$DN$508,4,FALSE()))</f>
        <v/>
      </c>
      <c r="DS75" s="112" t="str">
        <f aca="false">IF($DF75&gt;$DE$8,"",VLOOKUP($DF75,$DH$9:$DN$508,5,FALSE()))</f>
        <v/>
      </c>
      <c r="DT75" s="113" t="str">
        <f aca="false">IF($DF75&gt;$DE$8,"",VLOOKUP($DF75,$DH$9:$DN$508,6,FALSE()))</f>
        <v/>
      </c>
      <c r="DU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IF(ISBLANK($C76),"",IF(E76=Constants!$B$3,TRUE(),IF(E76=Constants!$B$4,FALSE(),TRUE())))</f>
        <v/>
      </c>
      <c r="AG76" s="93" t="str">
        <f aca="false">IF(ISBLANK($C76),"",IF(F76=Constants!$B$3,TRUE(),IF(F76=Constants!$B$4,FALSE(),TRUE())))</f>
        <v/>
      </c>
      <c r="AH76" s="93" t="str">
        <f aca="false">IF(ISBLANK($C76),"",IF(G76=Constants!$B$3,TRUE(),IF(G76=Constants!$B$4,FALSE(),TRUE())))</f>
        <v/>
      </c>
      <c r="AI76" s="93" t="str">
        <f aca="false">IF(ISBLANK($C76),"",IF(AND(ISNUMBER(H76),H76&gt;=0),H76,Constants!$B$29))</f>
        <v/>
      </c>
      <c r="AJ76" s="93" t="str">
        <f aca="false">IF(ISBLANK($C76),"",IF(I76=Constants!$B$3,TRUE(),IF(I76=Constants!$B$4,FALSE(),TRUE())))</f>
        <v/>
      </c>
      <c r="AK76" s="93" t="str">
        <f aca="false">IF(ISBLANK($C76),"",IF(J76=Constants!$B$3,TRUE(),IF(J76=Constants!$B$4,FALSE(),TRUE())))</f>
        <v/>
      </c>
      <c r="AL76" s="93" t="str">
        <f aca="false">IF(ISBLANK($C76),"",IF(K76=Constants!$B$5,TRUE(),IF(K76=Constants!$B$6,FALSE(),COUNTA(L76:P76)&gt;0)))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IF(ISBLANK($C76),"",IF(N76=Constants!$B$3,TRUE(),IF(N76=Constants!$B$4,FALSE(),TRUE())))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IF(ISBLANK($C76),"",IF(P76=Constants!$B$3,TRUE(),IF(P76=Constants!$B$4,FALSE(),FALSE())))</f>
        <v/>
      </c>
      <c r="AR76" s="93" t="str">
        <f aca="false">IF(ISBLANK($C76),"",IF(Q76=Constants!$B$3,TRUE(),IF(Q76=Constants!$B$4,FALSE(),TRUE())))</f>
        <v/>
      </c>
      <c r="AS76" s="93" t="str">
        <f aca="false">IF(ISBLANK($C76),"",IF(R76=Constants!$B$3,TRUE(),IF(R76=Constants!$B$4,FALSE(),TRUE())))</f>
        <v/>
      </c>
      <c r="AT76" s="93" t="str">
        <f aca="false">IF(ISBLANK($C76),"",IF(S76=Constants!$B$5,TRUE(),IF(S76=Constants!$B$6,FALSE(),COUNTA(T76:X76)&gt;0)))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IF(ISBLANK($C76),"",IF(V76=Constants!$B$3,TRUE(),IF(V76=Constants!$B$4,FALSE(),TRUE())))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IF(ISBLANK($C76),"",IF(X76=Constants!$B$3,TRUE(),IF(X76=Constants!$B$4,FALSE(),FALSE())))</f>
        <v/>
      </c>
      <c r="AZ76" s="93" t="str">
        <f aca="false">IF(ISBLANK($C76),"",MIN(Constants!$B$31,MAX(0,IF(ISNUMBER(Y76),Y76*60,0)+IF(ISNUMBER(Z76),Z76,0))))</f>
        <v/>
      </c>
      <c r="BA76" s="93" t="str">
        <f aca="false">IF(ISBLANK($C76),"",IF(AA76=Constants!$B$3,TRUE(),IF(AA76=Constants!$B$4,FALSE(),FALSE())))</f>
        <v/>
      </c>
      <c r="BB76" s="92" t="str">
        <f aca="false">IF(ISBLANK($C76),"",AND($AL76,OR($AM76="",$AN76="",AND($AO76,$AP76=""))))</f>
        <v/>
      </c>
      <c r="BC76" s="94" t="str">
        <f aca="false">IF($BZ76&lt;&gt;Constants!$B$8,"",IF($AL76,Constants!$B$21*$AN76+Constants!$B$22*IF($AO76,$AP76,Constants!$B$23),Constants!$B$24))</f>
        <v/>
      </c>
      <c r="BD76" s="97" t="str">
        <f aca="false">IF($BZ76&lt;&gt;Constants!$B$8,"",Constants!$B$25*ABS($AD$9-IF($AL76,$AM76,0)))</f>
        <v/>
      </c>
      <c r="BE76" s="97" t="str">
        <f aca="false">IF($BZ76&lt;&gt;Constants!$B$8,"",IF(AND($AL76,$AQ76,$AO76),Constants!$B$27,0))</f>
        <v/>
      </c>
      <c r="BF76" s="97" t="str">
        <f aca="false">IF($BZ76&lt;&gt;Constants!$B$8,"",IF($AL76,($AI76-Constants!$B$29)*Constants!$B$28,0))</f>
        <v/>
      </c>
      <c r="BG76" s="97" t="str">
        <f aca="false">IF($BZ76&lt;&gt;Constants!$B$8,"",IF($AK76,0,Constants!$B$15)+IF($AJ76,0,Constants!$B$16)+IF($AH76,0,Constants!$B$17))</f>
        <v/>
      </c>
      <c r="BH76" s="98" t="str">
        <f aca="false">IF($BZ76&lt;&gt;Constants!$B$8,"",Constants!$B$20+SUM($BC76:$BG76))</f>
        <v/>
      </c>
      <c r="BI76" s="97" t="str">
        <f aca="false">IF($BZ76&lt;&gt;Constants!$B$8,"",$BC76)</f>
        <v/>
      </c>
      <c r="BJ76" s="97" t="str">
        <f aca="false">IF($BZ76&lt;&gt;Constants!$B$8,"",$BD76)</f>
        <v/>
      </c>
      <c r="BK76" s="97" t="str">
        <f aca="false">IF($BZ76&lt;&gt;Constants!$B$8,"",IF($AL76,$AN76,""))</f>
        <v/>
      </c>
      <c r="BL76" s="99" t="str">
        <f aca="false">IF($BZ76&lt;&gt;Constants!$B$8,"",$AI76)</f>
        <v/>
      </c>
      <c r="BM76" s="93" t="str">
        <f aca="false">IF($BZ76&lt;&gt;Constants!$B$8,"",IF(OR($BT76&lt;$BH76,AND($BT76=$BH76,OR($BU76&lt;$BI76,AND($BU76=$BI76,OR($BV76&lt;$BJ76,AND($BV76=$BJ76,OR(AND(ISNUMBER($BW76),OR(NOT(ISNUMBER($BK76)),$BW76&lt;$BK76)),AND(OR(AND($BW76="",$BK76=""),AND(ISNUMBER($BW76),ISNUMBER($BK76),$BW76=$BK76)),$BX76&lt;$BL76)))))))),"-&gt;","&lt;-"))</f>
        <v/>
      </c>
      <c r="BN76" s="92" t="str">
        <f aca="false">IF(ISBLANK($C76),"",AND($AT76,OR($AU76="",$AV76="",AND($AW76,$AX76=""))))</f>
        <v/>
      </c>
      <c r="BO76" s="94" t="str">
        <f aca="false">IF($BZ76&lt;&gt;Constants!$B$8,"",IF($AT76,Constants!$B$21*$AV76+Constants!$B$22*IF($AW76,$AX76,Constants!$B$23),Constants!$B$24))</f>
        <v/>
      </c>
      <c r="BP76" s="97" t="str">
        <f aca="false">IF($BZ76&lt;&gt;Constants!$B$8,"",Constants!$B$25*ABS($AD$9-IF($AT76,$AU76,0)))</f>
        <v/>
      </c>
      <c r="BQ76" s="97" t="str">
        <f aca="false">IF($BZ76&lt;&gt;Constants!$B$8,"",IF(AND($AT76,$AY76,$AW76),Constants!$B$27,0))</f>
        <v/>
      </c>
      <c r="BR76" s="97" t="str">
        <f aca="false">IF($BZ76&lt;&gt;Constants!$B$8,"",IF($AT76,($AI76-Constants!$B$29)*Constants!$B$28,0))</f>
        <v/>
      </c>
      <c r="BS76" s="97" t="str">
        <f aca="false">IF($BZ76&lt;&gt;Constants!$B$8,"",IF($AS76,0,Constants!$B$15)+IF($AR76,0,Constants!$B$16)+IF($AH76,0,Constants!$B$17))</f>
        <v/>
      </c>
      <c r="BT76" s="98" t="str">
        <f aca="false">IF($BZ76&lt;&gt;Constants!$B$8,"",Constants!$B$20+SUM($BO76:$BS76))</f>
        <v/>
      </c>
      <c r="BU76" s="97" t="str">
        <f aca="false">IF($BZ76&lt;&gt;Constants!$B$8,"",$BO76)</f>
        <v/>
      </c>
      <c r="BV76" s="97" t="str">
        <f aca="false">IF($BZ76&lt;&gt;Constants!$B$8,"",$BP76)</f>
        <v/>
      </c>
      <c r="BW76" s="97" t="str">
        <f aca="false">IF($BZ76&lt;&gt;Constants!$B$8,"",IF($AT76,$AV76,""))</f>
        <v/>
      </c>
      <c r="BX76" s="99" t="str">
        <f aca="false">IF($BZ76&lt;&gt;Constants!$B$8,"",$AI76)</f>
        <v/>
      </c>
      <c r="BY76" s="93" t="str">
        <f aca="false">IF(ISBLANK($C76),"",IF(ISBLANK($D$7),$BY$5,IF(NOT(ISNUMBER($D$7)),$BY$6,"")))</f>
        <v/>
      </c>
      <c r="BZ76" s="93" t="str">
        <f aca="false">IF(ISBLANK($C76),"",IF($BA76,Constants!$B$11,IF(COUNTA($E76:$AA76)=0,Constants!$B$10,IF(NOT($AG76),Constants!$B$9,IF(OR($BY76&lt;&gt;"",$BB76,$BN76),Constants!$B$12,Constants!$B$8)))))</f>
        <v/>
      </c>
      <c r="CA76" s="93" t="str">
        <f aca="false">IF(ISBLANK($C76),"",IF($BZ76&lt;&gt;Constants!$B$8,$BZ76,Constants!$B$13))</f>
        <v/>
      </c>
      <c r="CB76" s="97" t="str">
        <f aca="false">IF($BZ76&lt;&gt;Constants!$B$8,"",IF($BM76="-&gt;",$BT76,$BH76))</f>
        <v/>
      </c>
      <c r="CC76" s="97" t="str">
        <f aca="false">IF($BZ76&lt;&gt;Constants!$B$8,"",IF($AF76,0,Constants!$B$18))</f>
        <v/>
      </c>
      <c r="CD76" s="97" t="str">
        <f aca="false">IF($BZ76&lt;&gt;Constants!$B$8,"",((Constants!$B$31-$AZ76)-Constants!$B$31)/Constants!$B$32)</f>
        <v/>
      </c>
      <c r="CE76" s="97" t="str">
        <f aca="false">IF(ISBLANK($C76),"",IF($BZ76&lt;&gt;Constants!$B$8,$BZ76,SUM($CB76:$CD76)))</f>
        <v/>
      </c>
      <c r="CF76" s="93" t="str">
        <f aca="false">IF(ISBLANK($C76),"",IF($BZ76&lt;&gt;Constants!$B$8,$BZ76,RANK($CE76,$CE$9:$CE$508,1)))</f>
        <v/>
      </c>
      <c r="CG76" s="97" t="str">
        <f aca="false">IF($BZ76&lt;&gt;Constants!$B$8,"",IF($BM76="-&gt;",$BU76,$BI76))</f>
        <v/>
      </c>
      <c r="CH76" s="93" t="str">
        <f aca="false">IF(ISBLANK($C76),"",IF($BZ76&lt;&gt;Constants!$B$8,$BZ76,IF(ISNUMBER($CG76),RANK($CG76,$CG$9:$CG$508,1),COUNT($CG$9:$CG$508)+1)))</f>
        <v/>
      </c>
      <c r="CI76" s="97" t="str">
        <f aca="false">IF($BZ76&lt;&gt;Constants!$B$8,"",IF($BM76="-&gt;",$BV76,$BJ76))</f>
        <v/>
      </c>
      <c r="CJ76" s="93" t="str">
        <f aca="false">IF(ISBLANK($C76),"",IF($BZ76&lt;&gt;Constants!$B$8,$BZ76,IF(ISNUMBER($CI76),RANK($CI76,$CI$9:$CI$508,1),COUNT($CI$9:$CI$508)+1)))</f>
        <v/>
      </c>
      <c r="CK76" s="97" t="str">
        <f aca="false">IF($BZ76&lt;&gt;Constants!$B$8,"",IF($BM76="-&gt;",$BW76,$BK76))</f>
        <v/>
      </c>
      <c r="CL76" s="93" t="str">
        <f aca="false">IF(ISBLANK($C76),"",IF($BZ76&lt;&gt;Constants!$B$8,$BZ76,IF(ISNUMBER($CK76),RANK($CK76,$CK$9:$CK$508,1),COUNT($CK$9:$CK$508)+1)))</f>
        <v/>
      </c>
      <c r="CM76" s="97" t="str">
        <f aca="false">IF($BZ76&lt;&gt;Constants!$B$8,"",IF(AND(NOT($AL76),NOT($AT76),$AJ76,$AK76,$AR76,$AS76),"",IF($BM76="-&gt;",$BX76,$BL76)))</f>
        <v/>
      </c>
      <c r="CN76" s="93" t="str">
        <f aca="false">IF(ISBLANK($C76),"",IF($BZ76&lt;&gt;Constants!$B$8,$BZ76,IF(ISNUMBER($CM76),RANK($CM76,$CM$9:$CM$508,1),COUNT($CM$9:$CM$508)+1)))</f>
        <v/>
      </c>
      <c r="CO76" s="93" t="str">
        <f aca="false">IF(ISBLANK($C76),"",IF($BZ76&lt;&gt;Constants!$B$8,$BZ76,COUNTIFS($CF$9:$CF$508,"&lt;"&amp;$CF76)+COUNTIFS($CF$9:$CF$508,$CF76,$CH$9:$CH$508,"&lt;"&amp;$CH76)+COUNTIFS($CF$9:$CF$508,$CF76,$CH$9:$CH$508,$CH76,$CJ$9:$CJ$508,"&lt;"&amp;$CJ76)+COUNTIFS($CF$9:$CF$508,$CF76,$CH$9:$CH$508,$CH76,$CJ$9:$CJ$508,$CJ76,$CL$9:$CL$508,"&lt;"&amp;$CL76)+COUNTIFS($CF$9:$CF$508,$CF76,$CH$9:$CH$508,$CH76,$CJ$9:$CJ$508,$CJ76,$CL$9:$CL$508,$CL76,$CN$9:$CN$508,"&lt;"&amp;$CN76)+1))</f>
        <v/>
      </c>
      <c r="CP76" s="93" t="str">
        <f aca="false">IF(ISBLANK($C76),"",IF($BZ76&lt;&gt;Constants!$B$8,$BZ76,$CF76-$CO76))</f>
        <v/>
      </c>
      <c r="CQ76" s="100"/>
      <c r="CR76" s="101"/>
      <c r="CS76" s="102" t="str">
        <f aca="false">IF(ISBLANK($C76),"",IF($BZ76=Constants!$B$12,$BY76,""))</f>
        <v/>
      </c>
      <c r="CT76" s="101" t="str">
        <f aca="false">IF(ISBLANK($C76),"",IF($BZ76&lt;&gt;Constants!$B$8,"",IF($BM76="-&gt;",2,1)))</f>
        <v/>
      </c>
      <c r="CU76" s="103" t="str">
        <f aca="false">IF(ISBLANK($C76),"",IF($BZ76&lt;&gt;Constants!$B$8,"",IF($BM76="-&gt;",$BO76,$BC76)))</f>
        <v/>
      </c>
      <c r="CV76" s="103" t="str">
        <f aca="false">IF(ISBLANK($C76),"",IF($BZ76&lt;&gt;Constants!$B$8,"",IF($BM76="-&gt;",$BP76,$BD76)))</f>
        <v/>
      </c>
      <c r="CW76" s="103" t="str">
        <f aca="false">IF(ISBLANK($C76),"",IF($BZ76&lt;&gt;Constants!$B$8,"",IF($BM76="-&gt;",$BQ76+$BR76,$BE76+$BF76)+$CD76))</f>
        <v/>
      </c>
      <c r="CX76" s="103" t="str">
        <f aca="false">IF(ISBLANK($C76),"",IF($BZ76&lt;&gt;Constants!$B$8,"",IF($BM76="-&gt;",$BS76,$BG76)+$CC76))</f>
        <v/>
      </c>
      <c r="CY76" s="104" t="str">
        <f aca="false">IF(ISBLANK($C76),"",IF($BZ76&lt;&gt;Constants!$B$8,$BZ76,$CE76))</f>
        <v/>
      </c>
      <c r="CZ76" s="105" t="str">
        <f aca="false">IF(ISBLANK($C76),"",$CA76)</f>
        <v/>
      </c>
      <c r="DA76" s="106" t="str">
        <f aca="false">IF(ISBLANK($C76),"",$CP76)</f>
        <v/>
      </c>
      <c r="DB76" s="106" t="str">
        <f aca="false">IF(ISBLANK($C76),"",$CO76)</f>
        <v/>
      </c>
      <c r="DC76" s="107" t="str">
        <f aca="false">IF(ISBLANK($C76),"",IFERROR(_xlfn.SWITCH($DB76,Constants!$B$11,COUNTA($C$9:$C$508)+2,Constants!$B$10,COUNTA($C$9:$C$508)+1,Constants!$B$9,COUNTA($C$9:$C$508)),$DB76))</f>
        <v/>
      </c>
      <c r="DD76" s="9"/>
      <c r="DE76" s="108" t="n">
        <f aca="false">IF(OR(ISNUMBER($DB76),$DB76=Constants!$B$11,$DB76=Constants!$B$9,$DB76=Constants!$B$10),1,0)</f>
        <v>0</v>
      </c>
      <c r="DF76" s="108" t="n">
        <v>68</v>
      </c>
      <c r="DG76" s="108" t="str">
        <f aca="false">IF(ISBLANK($C76),"",IF(ISNUMBER($DC76),$DC76+ROW($B76)/1000,""))</f>
        <v/>
      </c>
      <c r="DH76" s="108" t="str">
        <f aca="false">IF(ISNUMBER($DG76),RANK($DG76,$DG$9:$DG$508,1),"")</f>
        <v/>
      </c>
      <c r="DI76" s="108" t="str">
        <f aca="false">IF(ISBLANK($C76),"",$B76)</f>
        <v/>
      </c>
      <c r="DJ76" s="108" t="str">
        <f aca="false">IF(ISBLANK($C76),"",$C76)</f>
        <v/>
      </c>
      <c r="DK76" s="108" t="str">
        <f aca="false">IF(ISBLANK($C76),"",$D76)</f>
        <v/>
      </c>
      <c r="DL76" s="109" t="str">
        <f aca="false">$CZ76</f>
        <v/>
      </c>
      <c r="DM76" s="110" t="str">
        <f aca="false">$CY76</f>
        <v/>
      </c>
      <c r="DN76" s="108" t="str">
        <f aca="false">IF(ISBLANK($C76),"",$DB76)</f>
        <v/>
      </c>
      <c r="DO76" s="111" t="str">
        <f aca="false">IF($DF76&gt;$DE$8,"",VLOOKUP($DF76,$DH$9:$DN$508,7,FALSE()))</f>
        <v/>
      </c>
      <c r="DP76" s="112" t="str">
        <f aca="false">IF($DF76&gt;$DE$8,"",VLOOKUP($DF76,$DH$9:$DN$508,2,FALSE()))</f>
        <v/>
      </c>
      <c r="DQ76" s="112" t="str">
        <f aca="false">IF($DF76&gt;$DE$8,"",VLOOKUP($DF76,$DH$9:$DN$508,3,FALSE()))</f>
        <v/>
      </c>
      <c r="DR76" s="112" t="str">
        <f aca="false">IF($DF76&gt;$DE$8,"",VLOOKUP($DF76,$DH$9:$DN$508,4,FALSE()))</f>
        <v/>
      </c>
      <c r="DS76" s="112" t="str">
        <f aca="false">IF($DF76&gt;$DE$8,"",VLOOKUP($DF76,$DH$9:$DN$508,5,FALSE()))</f>
        <v/>
      </c>
      <c r="DT76" s="113" t="str">
        <f aca="false">IF($DF76&gt;$DE$8,"",VLOOKUP($DF76,$DH$9:$DN$508,6,FALSE()))</f>
        <v/>
      </c>
      <c r="DU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IF(ISBLANK($C77),"",IF(E77=Constants!$B$3,TRUE(),IF(E77=Constants!$B$4,FALSE(),TRUE())))</f>
        <v/>
      </c>
      <c r="AG77" s="93" t="str">
        <f aca="false">IF(ISBLANK($C77),"",IF(F77=Constants!$B$3,TRUE(),IF(F77=Constants!$B$4,FALSE(),TRUE())))</f>
        <v/>
      </c>
      <c r="AH77" s="93" t="str">
        <f aca="false">IF(ISBLANK($C77),"",IF(G77=Constants!$B$3,TRUE(),IF(G77=Constants!$B$4,FALSE(),TRUE())))</f>
        <v/>
      </c>
      <c r="AI77" s="93" t="str">
        <f aca="false">IF(ISBLANK($C77),"",IF(AND(ISNUMBER(H77),H77&gt;=0),H77,Constants!$B$29))</f>
        <v/>
      </c>
      <c r="AJ77" s="93" t="str">
        <f aca="false">IF(ISBLANK($C77),"",IF(I77=Constants!$B$3,TRUE(),IF(I77=Constants!$B$4,FALSE(),TRUE())))</f>
        <v/>
      </c>
      <c r="AK77" s="93" t="str">
        <f aca="false">IF(ISBLANK($C77),"",IF(J77=Constants!$B$3,TRUE(),IF(J77=Constants!$B$4,FALSE(),TRUE())))</f>
        <v/>
      </c>
      <c r="AL77" s="93" t="str">
        <f aca="false">IF(ISBLANK($C77),"",IF(K77=Constants!$B$5,TRUE(),IF(K77=Constants!$B$6,FALSE(),COUNTA(L77:P77)&gt;0)))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IF(ISBLANK($C77),"",IF(N77=Constants!$B$3,TRUE(),IF(N77=Constants!$B$4,FALSE(),TRUE())))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IF(ISBLANK($C77),"",IF(P77=Constants!$B$3,TRUE(),IF(P77=Constants!$B$4,FALSE(),FALSE())))</f>
        <v/>
      </c>
      <c r="AR77" s="93" t="str">
        <f aca="false">IF(ISBLANK($C77),"",IF(Q77=Constants!$B$3,TRUE(),IF(Q77=Constants!$B$4,FALSE(),TRUE())))</f>
        <v/>
      </c>
      <c r="AS77" s="93" t="str">
        <f aca="false">IF(ISBLANK($C77),"",IF(R77=Constants!$B$3,TRUE(),IF(R77=Constants!$B$4,FALSE(),TRUE())))</f>
        <v/>
      </c>
      <c r="AT77" s="93" t="str">
        <f aca="false">IF(ISBLANK($C77),"",IF(S77=Constants!$B$5,TRUE(),IF(S77=Constants!$B$6,FALSE(),COUNTA(T77:X77)&gt;0)))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IF(ISBLANK($C77),"",IF(V77=Constants!$B$3,TRUE(),IF(V77=Constants!$B$4,FALSE(),TRUE())))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IF(ISBLANK($C77),"",IF(X77=Constants!$B$3,TRUE(),IF(X77=Constants!$B$4,FALSE(),FALSE())))</f>
        <v/>
      </c>
      <c r="AZ77" s="93" t="str">
        <f aca="false">IF(ISBLANK($C77),"",MIN(Constants!$B$31,MAX(0,IF(ISNUMBER(Y77),Y77*60,0)+IF(ISNUMBER(Z77),Z77,0))))</f>
        <v/>
      </c>
      <c r="BA77" s="93" t="str">
        <f aca="false">IF(ISBLANK($C77),"",IF(AA77=Constants!$B$3,TRUE(),IF(AA77=Constants!$B$4,FALSE(),FALSE())))</f>
        <v/>
      </c>
      <c r="BB77" s="92" t="str">
        <f aca="false">IF(ISBLANK($C77),"",AND($AL77,OR($AM77="",$AN77="",AND($AO77,$AP77=""))))</f>
        <v/>
      </c>
      <c r="BC77" s="94" t="str">
        <f aca="false">IF($BZ77&lt;&gt;Constants!$B$8,"",IF($AL77,Constants!$B$21*$AN77+Constants!$B$22*IF($AO77,$AP77,Constants!$B$23),Constants!$B$24))</f>
        <v/>
      </c>
      <c r="BD77" s="97" t="str">
        <f aca="false">IF($BZ77&lt;&gt;Constants!$B$8,"",Constants!$B$25*ABS($AD$9-IF($AL77,$AM77,0)))</f>
        <v/>
      </c>
      <c r="BE77" s="97" t="str">
        <f aca="false">IF($BZ77&lt;&gt;Constants!$B$8,"",IF(AND($AL77,$AQ77,$AO77),Constants!$B$27,0))</f>
        <v/>
      </c>
      <c r="BF77" s="97" t="str">
        <f aca="false">IF($BZ77&lt;&gt;Constants!$B$8,"",IF($AL77,($AI77-Constants!$B$29)*Constants!$B$28,0))</f>
        <v/>
      </c>
      <c r="BG77" s="97" t="str">
        <f aca="false">IF($BZ77&lt;&gt;Constants!$B$8,"",IF($AK77,0,Constants!$B$15)+IF($AJ77,0,Constants!$B$16)+IF($AH77,0,Constants!$B$17))</f>
        <v/>
      </c>
      <c r="BH77" s="98" t="str">
        <f aca="false">IF($BZ77&lt;&gt;Constants!$B$8,"",Constants!$B$20+SUM($BC77:$BG77))</f>
        <v/>
      </c>
      <c r="BI77" s="97" t="str">
        <f aca="false">IF($BZ77&lt;&gt;Constants!$B$8,"",$BC77)</f>
        <v/>
      </c>
      <c r="BJ77" s="97" t="str">
        <f aca="false">IF($BZ77&lt;&gt;Constants!$B$8,"",$BD77)</f>
        <v/>
      </c>
      <c r="BK77" s="97" t="str">
        <f aca="false">IF($BZ77&lt;&gt;Constants!$B$8,"",IF($AL77,$AN77,""))</f>
        <v/>
      </c>
      <c r="BL77" s="99" t="str">
        <f aca="false">IF($BZ77&lt;&gt;Constants!$B$8,"",$AI77)</f>
        <v/>
      </c>
      <c r="BM77" s="93" t="str">
        <f aca="false">IF($BZ77&lt;&gt;Constants!$B$8,"",IF(OR($BT77&lt;$BH77,AND($BT77=$BH77,OR($BU77&lt;$BI77,AND($BU77=$BI77,OR($BV77&lt;$BJ77,AND($BV77=$BJ77,OR(AND(ISNUMBER($BW77),OR(NOT(ISNUMBER($BK77)),$BW77&lt;$BK77)),AND(OR(AND($BW77="",$BK77=""),AND(ISNUMBER($BW77),ISNUMBER($BK77),$BW77=$BK77)),$BX77&lt;$BL77)))))))),"-&gt;","&lt;-"))</f>
        <v/>
      </c>
      <c r="BN77" s="92" t="str">
        <f aca="false">IF(ISBLANK($C77),"",AND($AT77,OR($AU77="",$AV77="",AND($AW77,$AX77=""))))</f>
        <v/>
      </c>
      <c r="BO77" s="94" t="str">
        <f aca="false">IF($BZ77&lt;&gt;Constants!$B$8,"",IF($AT77,Constants!$B$21*$AV77+Constants!$B$22*IF($AW77,$AX77,Constants!$B$23),Constants!$B$24))</f>
        <v/>
      </c>
      <c r="BP77" s="97" t="str">
        <f aca="false">IF($BZ77&lt;&gt;Constants!$B$8,"",Constants!$B$25*ABS($AD$9-IF($AT77,$AU77,0)))</f>
        <v/>
      </c>
      <c r="BQ77" s="97" t="str">
        <f aca="false">IF($BZ77&lt;&gt;Constants!$B$8,"",IF(AND($AT77,$AY77,$AW77),Constants!$B$27,0))</f>
        <v/>
      </c>
      <c r="BR77" s="97" t="str">
        <f aca="false">IF($BZ77&lt;&gt;Constants!$B$8,"",IF($AT77,($AI77-Constants!$B$29)*Constants!$B$28,0))</f>
        <v/>
      </c>
      <c r="BS77" s="97" t="str">
        <f aca="false">IF($BZ77&lt;&gt;Constants!$B$8,"",IF($AS77,0,Constants!$B$15)+IF($AR77,0,Constants!$B$16)+IF($AH77,0,Constants!$B$17))</f>
        <v/>
      </c>
      <c r="BT77" s="98" t="str">
        <f aca="false">IF($BZ77&lt;&gt;Constants!$B$8,"",Constants!$B$20+SUM($BO77:$BS77))</f>
        <v/>
      </c>
      <c r="BU77" s="97" t="str">
        <f aca="false">IF($BZ77&lt;&gt;Constants!$B$8,"",$BO77)</f>
        <v/>
      </c>
      <c r="BV77" s="97" t="str">
        <f aca="false">IF($BZ77&lt;&gt;Constants!$B$8,"",$BP77)</f>
        <v/>
      </c>
      <c r="BW77" s="97" t="str">
        <f aca="false">IF($BZ77&lt;&gt;Constants!$B$8,"",IF($AT77,$AV77,""))</f>
        <v/>
      </c>
      <c r="BX77" s="99" t="str">
        <f aca="false">IF($BZ77&lt;&gt;Constants!$B$8,"",$AI77)</f>
        <v/>
      </c>
      <c r="BY77" s="93" t="str">
        <f aca="false">IF(ISBLANK($C77),"",IF(ISBLANK($D$7),$BY$5,IF(NOT(ISNUMBER($D$7)),$BY$6,"")))</f>
        <v/>
      </c>
      <c r="BZ77" s="93" t="str">
        <f aca="false">IF(ISBLANK($C77),"",IF($BA77,Constants!$B$11,IF(COUNTA($E77:$AA77)=0,Constants!$B$10,IF(NOT($AG77),Constants!$B$9,IF(OR($BY77&lt;&gt;"",$BB77,$BN77),Constants!$B$12,Constants!$B$8)))))</f>
        <v/>
      </c>
      <c r="CA77" s="93" t="str">
        <f aca="false">IF(ISBLANK($C77),"",IF($BZ77&lt;&gt;Constants!$B$8,$BZ77,Constants!$B$13))</f>
        <v/>
      </c>
      <c r="CB77" s="97" t="str">
        <f aca="false">IF($BZ77&lt;&gt;Constants!$B$8,"",IF($BM77="-&gt;",$BT77,$BH77))</f>
        <v/>
      </c>
      <c r="CC77" s="97" t="str">
        <f aca="false">IF($BZ77&lt;&gt;Constants!$B$8,"",IF($AF77,0,Constants!$B$18))</f>
        <v/>
      </c>
      <c r="CD77" s="97" t="str">
        <f aca="false">IF($BZ77&lt;&gt;Constants!$B$8,"",((Constants!$B$31-$AZ77)-Constants!$B$31)/Constants!$B$32)</f>
        <v/>
      </c>
      <c r="CE77" s="97" t="str">
        <f aca="false">IF(ISBLANK($C77),"",IF($BZ77&lt;&gt;Constants!$B$8,$BZ77,SUM($CB77:$CD77)))</f>
        <v/>
      </c>
      <c r="CF77" s="93" t="str">
        <f aca="false">IF(ISBLANK($C77),"",IF($BZ77&lt;&gt;Constants!$B$8,$BZ77,RANK($CE77,$CE$9:$CE$508,1)))</f>
        <v/>
      </c>
      <c r="CG77" s="97" t="str">
        <f aca="false">IF($BZ77&lt;&gt;Constants!$B$8,"",IF($BM77="-&gt;",$BU77,$BI77))</f>
        <v/>
      </c>
      <c r="CH77" s="93" t="str">
        <f aca="false">IF(ISBLANK($C77),"",IF($BZ77&lt;&gt;Constants!$B$8,$BZ77,IF(ISNUMBER($CG77),RANK($CG77,$CG$9:$CG$508,1),COUNT($CG$9:$CG$508)+1)))</f>
        <v/>
      </c>
      <c r="CI77" s="97" t="str">
        <f aca="false">IF($BZ77&lt;&gt;Constants!$B$8,"",IF($BM77="-&gt;",$BV77,$BJ77))</f>
        <v/>
      </c>
      <c r="CJ77" s="93" t="str">
        <f aca="false">IF(ISBLANK($C77),"",IF($BZ77&lt;&gt;Constants!$B$8,$BZ77,IF(ISNUMBER($CI77),RANK($CI77,$CI$9:$CI$508,1),COUNT($CI$9:$CI$508)+1)))</f>
        <v/>
      </c>
      <c r="CK77" s="97" t="str">
        <f aca="false">IF($BZ77&lt;&gt;Constants!$B$8,"",IF($BM77="-&gt;",$BW77,$BK77))</f>
        <v/>
      </c>
      <c r="CL77" s="93" t="str">
        <f aca="false">IF(ISBLANK($C77),"",IF($BZ77&lt;&gt;Constants!$B$8,$BZ77,IF(ISNUMBER($CK77),RANK($CK77,$CK$9:$CK$508,1),COUNT($CK$9:$CK$508)+1)))</f>
        <v/>
      </c>
      <c r="CM77" s="97" t="str">
        <f aca="false">IF($BZ77&lt;&gt;Constants!$B$8,"",IF(AND(NOT($AL77),NOT($AT77),$AJ77,$AK77,$AR77,$AS77),"",IF($BM77="-&gt;",$BX77,$BL77)))</f>
        <v/>
      </c>
      <c r="CN77" s="93" t="str">
        <f aca="false">IF(ISBLANK($C77),"",IF($BZ77&lt;&gt;Constants!$B$8,$BZ77,IF(ISNUMBER($CM77),RANK($CM77,$CM$9:$CM$508,1),COUNT($CM$9:$CM$508)+1)))</f>
        <v/>
      </c>
      <c r="CO77" s="93" t="str">
        <f aca="false">IF(ISBLANK($C77),"",IF($BZ77&lt;&gt;Constants!$B$8,$BZ77,COUNTIFS($CF$9:$CF$508,"&lt;"&amp;$CF77)+COUNTIFS($CF$9:$CF$508,$CF77,$CH$9:$CH$508,"&lt;"&amp;$CH77)+COUNTIFS($CF$9:$CF$508,$CF77,$CH$9:$CH$508,$CH77,$CJ$9:$CJ$508,"&lt;"&amp;$CJ77)+COUNTIFS($CF$9:$CF$508,$CF77,$CH$9:$CH$508,$CH77,$CJ$9:$CJ$508,$CJ77,$CL$9:$CL$508,"&lt;"&amp;$CL77)+COUNTIFS($CF$9:$CF$508,$CF77,$CH$9:$CH$508,$CH77,$CJ$9:$CJ$508,$CJ77,$CL$9:$CL$508,$CL77,$CN$9:$CN$508,"&lt;"&amp;$CN77)+1))</f>
        <v/>
      </c>
      <c r="CP77" s="93" t="str">
        <f aca="false">IF(ISBLANK($C77),"",IF($BZ77&lt;&gt;Constants!$B$8,$BZ77,$CF77-$CO77))</f>
        <v/>
      </c>
      <c r="CQ77" s="100"/>
      <c r="CR77" s="101"/>
      <c r="CS77" s="102" t="str">
        <f aca="false">IF(ISBLANK($C77),"",IF($BZ77=Constants!$B$12,$BY77,""))</f>
        <v/>
      </c>
      <c r="CT77" s="101" t="str">
        <f aca="false">IF(ISBLANK($C77),"",IF($BZ77&lt;&gt;Constants!$B$8,"",IF($BM77="-&gt;",2,1)))</f>
        <v/>
      </c>
      <c r="CU77" s="103" t="str">
        <f aca="false">IF(ISBLANK($C77),"",IF($BZ77&lt;&gt;Constants!$B$8,"",IF($BM77="-&gt;",$BO77,$BC77)))</f>
        <v/>
      </c>
      <c r="CV77" s="103" t="str">
        <f aca="false">IF(ISBLANK($C77),"",IF($BZ77&lt;&gt;Constants!$B$8,"",IF($BM77="-&gt;",$BP77,$BD77)))</f>
        <v/>
      </c>
      <c r="CW77" s="103" t="str">
        <f aca="false">IF(ISBLANK($C77),"",IF($BZ77&lt;&gt;Constants!$B$8,"",IF($BM77="-&gt;",$BQ77+$BR77,$BE77+$BF77)+$CD77))</f>
        <v/>
      </c>
      <c r="CX77" s="103" t="str">
        <f aca="false">IF(ISBLANK($C77),"",IF($BZ77&lt;&gt;Constants!$B$8,"",IF($BM77="-&gt;",$BS77,$BG77)+$CC77))</f>
        <v/>
      </c>
      <c r="CY77" s="104" t="str">
        <f aca="false">IF(ISBLANK($C77),"",IF($BZ77&lt;&gt;Constants!$B$8,$BZ77,$CE77))</f>
        <v/>
      </c>
      <c r="CZ77" s="105" t="str">
        <f aca="false">IF(ISBLANK($C77),"",$CA77)</f>
        <v/>
      </c>
      <c r="DA77" s="106" t="str">
        <f aca="false">IF(ISBLANK($C77),"",$CP77)</f>
        <v/>
      </c>
      <c r="DB77" s="106" t="str">
        <f aca="false">IF(ISBLANK($C77),"",$CO77)</f>
        <v/>
      </c>
      <c r="DC77" s="107" t="str">
        <f aca="false">IF(ISBLANK($C77),"",IFERROR(_xlfn.SWITCH($DB77,Constants!$B$11,COUNTA($C$9:$C$508)+2,Constants!$B$10,COUNTA($C$9:$C$508)+1,Constants!$B$9,COUNTA($C$9:$C$508)),$DB77))</f>
        <v/>
      </c>
      <c r="DD77" s="9"/>
      <c r="DE77" s="108" t="n">
        <f aca="false">IF(OR(ISNUMBER($DB77),$DB77=Constants!$B$11,$DB77=Constants!$B$9,$DB77=Constants!$B$10),1,0)</f>
        <v>0</v>
      </c>
      <c r="DF77" s="108" t="n">
        <v>69</v>
      </c>
      <c r="DG77" s="108" t="str">
        <f aca="false">IF(ISBLANK($C77),"",IF(ISNUMBER($DC77),$DC77+ROW($B77)/1000,""))</f>
        <v/>
      </c>
      <c r="DH77" s="108" t="str">
        <f aca="false">IF(ISNUMBER($DG77),RANK($DG77,$DG$9:$DG$508,1),"")</f>
        <v/>
      </c>
      <c r="DI77" s="108" t="str">
        <f aca="false">IF(ISBLANK($C77),"",$B77)</f>
        <v/>
      </c>
      <c r="DJ77" s="108" t="str">
        <f aca="false">IF(ISBLANK($C77),"",$C77)</f>
        <v/>
      </c>
      <c r="DK77" s="108" t="str">
        <f aca="false">IF(ISBLANK($C77),"",$D77)</f>
        <v/>
      </c>
      <c r="DL77" s="109" t="str">
        <f aca="false">$CZ77</f>
        <v/>
      </c>
      <c r="DM77" s="110" t="str">
        <f aca="false">$CY77</f>
        <v/>
      </c>
      <c r="DN77" s="108" t="str">
        <f aca="false">IF(ISBLANK($C77),"",$DB77)</f>
        <v/>
      </c>
      <c r="DO77" s="111" t="str">
        <f aca="false">IF($DF77&gt;$DE$8,"",VLOOKUP($DF77,$DH$9:$DN$508,7,FALSE()))</f>
        <v/>
      </c>
      <c r="DP77" s="112" t="str">
        <f aca="false">IF($DF77&gt;$DE$8,"",VLOOKUP($DF77,$DH$9:$DN$508,2,FALSE()))</f>
        <v/>
      </c>
      <c r="DQ77" s="112" t="str">
        <f aca="false">IF($DF77&gt;$DE$8,"",VLOOKUP($DF77,$DH$9:$DN$508,3,FALSE()))</f>
        <v/>
      </c>
      <c r="DR77" s="112" t="str">
        <f aca="false">IF($DF77&gt;$DE$8,"",VLOOKUP($DF77,$DH$9:$DN$508,4,FALSE()))</f>
        <v/>
      </c>
      <c r="DS77" s="112" t="str">
        <f aca="false">IF($DF77&gt;$DE$8,"",VLOOKUP($DF77,$DH$9:$DN$508,5,FALSE()))</f>
        <v/>
      </c>
      <c r="DT77" s="113" t="str">
        <f aca="false">IF($DF77&gt;$DE$8,"",VLOOKUP($DF77,$DH$9:$DN$508,6,FALSE()))</f>
        <v/>
      </c>
      <c r="DU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IF(ISBLANK($C78),"",IF(E78=Constants!$B$3,TRUE(),IF(E78=Constants!$B$4,FALSE(),TRUE())))</f>
        <v/>
      </c>
      <c r="AG78" s="135" t="str">
        <f aca="false">IF(ISBLANK($C78),"",IF(F78=Constants!$B$3,TRUE(),IF(F78=Constants!$B$4,FALSE(),TRUE())))</f>
        <v/>
      </c>
      <c r="AH78" s="135" t="str">
        <f aca="false">IF(ISBLANK($C78),"",IF(G78=Constants!$B$3,TRUE(),IF(G78=Constants!$B$4,FALSE(),TRUE())))</f>
        <v/>
      </c>
      <c r="AI78" s="135" t="str">
        <f aca="false">IF(ISBLANK($C78),"",IF(AND(ISNUMBER(H78),H78&gt;=0),H78,Constants!$B$29))</f>
        <v/>
      </c>
      <c r="AJ78" s="135" t="str">
        <f aca="false">IF(ISBLANK($C78),"",IF(I78=Constants!$B$3,TRUE(),IF(I78=Constants!$B$4,FALSE(),TRUE())))</f>
        <v/>
      </c>
      <c r="AK78" s="135" t="str">
        <f aca="false">IF(ISBLANK($C78),"",IF(J78=Constants!$B$3,TRUE(),IF(J78=Constants!$B$4,FALSE(),TRUE())))</f>
        <v/>
      </c>
      <c r="AL78" s="135" t="str">
        <f aca="false">IF(ISBLANK($C78),"",IF(K78=Constants!$B$5,TRUE(),IF(K78=Constants!$B$6,FALSE(),COUNTA(L78:P78)&gt;0)))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IF(ISBLANK($C78),"",IF(N78=Constants!$B$3,TRUE(),IF(N78=Constants!$B$4,FALSE(),TRUE())))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IF(ISBLANK($C78),"",IF(P78=Constants!$B$3,TRUE(),IF(P78=Constants!$B$4,FALSE(),FALSE())))</f>
        <v/>
      </c>
      <c r="AR78" s="135" t="str">
        <f aca="false">IF(ISBLANK($C78),"",IF(Q78=Constants!$B$3,TRUE(),IF(Q78=Constants!$B$4,FALSE(),TRUE())))</f>
        <v/>
      </c>
      <c r="AS78" s="135" t="str">
        <f aca="false">IF(ISBLANK($C78),"",IF(R78=Constants!$B$3,TRUE(),IF(R78=Constants!$B$4,FALSE(),TRUE())))</f>
        <v/>
      </c>
      <c r="AT78" s="135" t="str">
        <f aca="false">IF(ISBLANK($C78),"",IF(S78=Constants!$B$5,TRUE(),IF(S78=Constants!$B$6,FALSE(),COUNTA(T78:X78)&gt;0)))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IF(ISBLANK($C78),"",IF(V78=Constants!$B$3,TRUE(),IF(V78=Constants!$B$4,FALSE(),TRUE())))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IF(ISBLANK($C78),"",IF(X78=Constants!$B$3,TRUE(),IF(X78=Constants!$B$4,FALSE(),FALSE())))</f>
        <v/>
      </c>
      <c r="AZ78" s="135" t="str">
        <f aca="false">IF(ISBLANK($C78),"",MIN(Constants!$B$31,MAX(0,IF(ISNUMBER(Y78),Y78*60,0)+IF(ISNUMBER(Z78),Z78,0))))</f>
        <v/>
      </c>
      <c r="BA78" s="135" t="str">
        <f aca="false">IF(ISBLANK($C78),"",IF(AA78=Constants!$B$3,TRUE(),IF(AA78=Constants!$B$4,FALSE(),FALSE())))</f>
        <v/>
      </c>
      <c r="BB78" s="134" t="str">
        <f aca="false">IF(ISBLANK($C78),"",AND($AL78,OR($AM78="",$AN78="",AND($AO78,$AP78=""))))</f>
        <v/>
      </c>
      <c r="BC78" s="137" t="str">
        <f aca="false">IF($BZ78&lt;&gt;Constants!$B$8,"",IF($AL78,Constants!$B$21*$AN78+Constants!$B$22*IF($AO78,$AP78,Constants!$B$23),Constants!$B$24))</f>
        <v/>
      </c>
      <c r="BD78" s="138" t="str">
        <f aca="false">IF($BZ78&lt;&gt;Constants!$B$8,"",Constants!$B$25*ABS($AD$9-IF($AL78,$AM78,0)))</f>
        <v/>
      </c>
      <c r="BE78" s="138" t="str">
        <f aca="false">IF($BZ78&lt;&gt;Constants!$B$8,"",IF(AND($AL78,$AQ78,$AO78),Constants!$B$27,0))</f>
        <v/>
      </c>
      <c r="BF78" s="138" t="str">
        <f aca="false">IF($BZ78&lt;&gt;Constants!$B$8,"",IF($AL78,($AI78-Constants!$B$29)*Constants!$B$28,0))</f>
        <v/>
      </c>
      <c r="BG78" s="138" t="str">
        <f aca="false">IF($BZ78&lt;&gt;Constants!$B$8,"",IF($AK78,0,Constants!$B$15)+IF($AJ78,0,Constants!$B$16)+IF($AH78,0,Constants!$B$17))</f>
        <v/>
      </c>
      <c r="BH78" s="139" t="str">
        <f aca="false">IF($BZ78&lt;&gt;Constants!$B$8,"",Constants!$B$20+SUM($BC78:$BG78))</f>
        <v/>
      </c>
      <c r="BI78" s="138" t="str">
        <f aca="false">IF($BZ78&lt;&gt;Constants!$B$8,"",$BC78)</f>
        <v/>
      </c>
      <c r="BJ78" s="138" t="str">
        <f aca="false">IF($BZ78&lt;&gt;Constants!$B$8,"",$BD78)</f>
        <v/>
      </c>
      <c r="BK78" s="138" t="str">
        <f aca="false">IF($BZ78&lt;&gt;Constants!$B$8,"",IF($AL78,$AN78,""))</f>
        <v/>
      </c>
      <c r="BL78" s="140" t="str">
        <f aca="false">IF($BZ78&lt;&gt;Constants!$B$8,"",$AI78)</f>
        <v/>
      </c>
      <c r="BM78" s="135" t="str">
        <f aca="false">IF($BZ78&lt;&gt;Constants!$B$8,"",IF(OR($BT78&lt;$BH78,AND($BT78=$BH78,OR($BU78&lt;$BI78,AND($BU78=$BI78,OR($BV78&lt;$BJ78,AND($BV78=$BJ78,OR(AND(ISNUMBER($BW78),OR(NOT(ISNUMBER($BK78)),$BW78&lt;$BK78)),AND(OR(AND($BW78="",$BK78=""),AND(ISNUMBER($BW78),ISNUMBER($BK78),$BW78=$BK78)),$BX78&lt;$BL78)))))))),"-&gt;","&lt;-"))</f>
        <v/>
      </c>
      <c r="BN78" s="134" t="str">
        <f aca="false">IF(ISBLANK($C78),"",AND($AT78,OR($AU78="",$AV78="",AND($AW78,$AX78=""))))</f>
        <v/>
      </c>
      <c r="BO78" s="137" t="str">
        <f aca="false">IF($BZ78&lt;&gt;Constants!$B$8,"",IF($AT78,Constants!$B$21*$AV78+Constants!$B$22*IF($AW78,$AX78,Constants!$B$23),Constants!$B$24))</f>
        <v/>
      </c>
      <c r="BP78" s="138" t="str">
        <f aca="false">IF($BZ78&lt;&gt;Constants!$B$8,"",Constants!$B$25*ABS($AD$9-IF($AT78,$AU78,0)))</f>
        <v/>
      </c>
      <c r="BQ78" s="138" t="str">
        <f aca="false">IF($BZ78&lt;&gt;Constants!$B$8,"",IF(AND($AT78,$AY78,$AW78),Constants!$B$27,0))</f>
        <v/>
      </c>
      <c r="BR78" s="138" t="str">
        <f aca="false">IF($BZ78&lt;&gt;Constants!$B$8,"",IF($AT78,($AI78-Constants!$B$29)*Constants!$B$28,0))</f>
        <v/>
      </c>
      <c r="BS78" s="138" t="str">
        <f aca="false">IF($BZ78&lt;&gt;Constants!$B$8,"",IF($AS78,0,Constants!$B$15)+IF($AR78,0,Constants!$B$16)+IF($AH78,0,Constants!$B$17))</f>
        <v/>
      </c>
      <c r="BT78" s="139" t="str">
        <f aca="false">IF($BZ78&lt;&gt;Constants!$B$8,"",Constants!$B$20+SUM($BO78:$BS78))</f>
        <v/>
      </c>
      <c r="BU78" s="138" t="str">
        <f aca="false">IF($BZ78&lt;&gt;Constants!$B$8,"",$BO78)</f>
        <v/>
      </c>
      <c r="BV78" s="138" t="str">
        <f aca="false">IF($BZ78&lt;&gt;Constants!$B$8,"",$BP78)</f>
        <v/>
      </c>
      <c r="BW78" s="138" t="str">
        <f aca="false">IF($BZ78&lt;&gt;Constants!$B$8,"",IF($AT78,$AV78,""))</f>
        <v/>
      </c>
      <c r="BX78" s="140" t="str">
        <f aca="false">IF($BZ78&lt;&gt;Constants!$B$8,"",$AI78)</f>
        <v/>
      </c>
      <c r="BY78" s="135" t="str">
        <f aca="false">IF(ISBLANK($C78),"",IF(ISBLANK($D$7),$BY$5,IF(NOT(ISNUMBER($D$7)),$BY$6,"")))</f>
        <v/>
      </c>
      <c r="BZ78" s="135" t="str">
        <f aca="false">IF(ISBLANK($C78),"",IF($BA78,Constants!$B$11,IF(COUNTA($E78:$AA78)=0,Constants!$B$10,IF(NOT($AG78),Constants!$B$9,IF(OR($BY78&lt;&gt;"",$BB78,$BN78),Constants!$B$12,Constants!$B$8)))))</f>
        <v/>
      </c>
      <c r="CA78" s="135" t="str">
        <f aca="false">IF(ISBLANK($C78),"",IF($BZ78&lt;&gt;Constants!$B$8,$BZ78,Constants!$B$13))</f>
        <v/>
      </c>
      <c r="CB78" s="138" t="str">
        <f aca="false">IF($BZ78&lt;&gt;Constants!$B$8,"",IF($BM78="-&gt;",$BT78,$BH78))</f>
        <v/>
      </c>
      <c r="CC78" s="138" t="str">
        <f aca="false">IF($BZ78&lt;&gt;Constants!$B$8,"",IF($AF78,0,Constants!$B$18))</f>
        <v/>
      </c>
      <c r="CD78" s="138" t="str">
        <f aca="false">IF($BZ78&lt;&gt;Constants!$B$8,"",((Constants!$B$31-$AZ78)-Constants!$B$31)/Constants!$B$32)</f>
        <v/>
      </c>
      <c r="CE78" s="138" t="str">
        <f aca="false">IF(ISBLANK($C78),"",IF($BZ78&lt;&gt;Constants!$B$8,$BZ78,SUM($CB78:$CD78)))</f>
        <v/>
      </c>
      <c r="CF78" s="135" t="str">
        <f aca="false">IF(ISBLANK($C78),"",IF($BZ78&lt;&gt;Constants!$B$8,$BZ78,RANK($CE78,$CE$9:$CE$508,1)))</f>
        <v/>
      </c>
      <c r="CG78" s="138" t="str">
        <f aca="false">IF($BZ78&lt;&gt;Constants!$B$8,"",IF($BM78="-&gt;",$BU78,$BI78))</f>
        <v/>
      </c>
      <c r="CH78" s="135" t="str">
        <f aca="false">IF(ISBLANK($C78),"",IF($BZ78&lt;&gt;Constants!$B$8,$BZ78,IF(ISNUMBER($CG78),RANK($CG78,$CG$9:$CG$508,1),COUNT($CG$9:$CG$508)+1)))</f>
        <v/>
      </c>
      <c r="CI78" s="138" t="str">
        <f aca="false">IF($BZ78&lt;&gt;Constants!$B$8,"",IF($BM78="-&gt;",$BV78,$BJ78))</f>
        <v/>
      </c>
      <c r="CJ78" s="135" t="str">
        <f aca="false">IF(ISBLANK($C78),"",IF($BZ78&lt;&gt;Constants!$B$8,$BZ78,IF(ISNUMBER($CI78),RANK($CI78,$CI$9:$CI$508,1),COUNT($CI$9:$CI$508)+1)))</f>
        <v/>
      </c>
      <c r="CK78" s="138" t="str">
        <f aca="false">IF($BZ78&lt;&gt;Constants!$B$8,"",IF($BM78="-&gt;",$BW78,$BK78))</f>
        <v/>
      </c>
      <c r="CL78" s="135" t="str">
        <f aca="false">IF(ISBLANK($C78),"",IF($BZ78&lt;&gt;Constants!$B$8,$BZ78,IF(ISNUMBER($CK78),RANK($CK78,$CK$9:$CK$508,1),COUNT($CK$9:$CK$508)+1)))</f>
        <v/>
      </c>
      <c r="CM78" s="138" t="str">
        <f aca="false">IF($BZ78&lt;&gt;Constants!$B$8,"",IF(AND(NOT($AL78),NOT($AT78),$AJ78,$AK78,$AR78,$AS78),"",IF($BM78="-&gt;",$BX78,$BL78)))</f>
        <v/>
      </c>
      <c r="CN78" s="135" t="str">
        <f aca="false">IF(ISBLANK($C78),"",IF($BZ78&lt;&gt;Constants!$B$8,$BZ78,IF(ISNUMBER($CM78),RANK($CM78,$CM$9:$CM$508,1),COUNT($CM$9:$CM$508)+1)))</f>
        <v/>
      </c>
      <c r="CO78" s="135" t="str">
        <f aca="false">IF(ISBLANK($C78),"",IF($BZ78&lt;&gt;Constants!$B$8,$BZ78,COUNTIFS($CF$9:$CF$508,"&lt;"&amp;$CF78)+COUNTIFS($CF$9:$CF$508,$CF78,$CH$9:$CH$508,"&lt;"&amp;$CH78)+COUNTIFS($CF$9:$CF$508,$CF78,$CH$9:$CH$508,$CH78,$CJ$9:$CJ$508,"&lt;"&amp;$CJ78)+COUNTIFS($CF$9:$CF$508,$CF78,$CH$9:$CH$508,$CH78,$CJ$9:$CJ$508,$CJ78,$CL$9:$CL$508,"&lt;"&amp;$CL78)+COUNTIFS($CF$9:$CF$508,$CF78,$CH$9:$CH$508,$CH78,$CJ$9:$CJ$508,$CJ78,$CL$9:$CL$508,$CL78,$CN$9:$CN$508,"&lt;"&amp;$CN78)+1))</f>
        <v/>
      </c>
      <c r="CP78" s="135" t="str">
        <f aca="false">IF(ISBLANK($C78),"",IF($BZ78&lt;&gt;Constants!$B$8,$BZ78,$CF78-$CO78))</f>
        <v/>
      </c>
      <c r="CQ78" s="141"/>
      <c r="CR78" s="142"/>
      <c r="CS78" s="143" t="str">
        <f aca="false">IF(ISBLANK($C78),"",IF($BZ78=Constants!$B$12,$BY78,""))</f>
        <v/>
      </c>
      <c r="CT78" s="142" t="str">
        <f aca="false">IF(ISBLANK($C78),"",IF($BZ78&lt;&gt;Constants!$B$8,"",IF($BM78="-&gt;",2,1)))</f>
        <v/>
      </c>
      <c r="CU78" s="144" t="str">
        <f aca="false">IF(ISBLANK($C78),"",IF($BZ78&lt;&gt;Constants!$B$8,"",IF($BM78="-&gt;",$BO78,$BC78)))</f>
        <v/>
      </c>
      <c r="CV78" s="144" t="str">
        <f aca="false">IF(ISBLANK($C78),"",IF($BZ78&lt;&gt;Constants!$B$8,"",IF($BM78="-&gt;",$BP78,$BD78)))</f>
        <v/>
      </c>
      <c r="CW78" s="144" t="str">
        <f aca="false">IF(ISBLANK($C78),"",IF($BZ78&lt;&gt;Constants!$B$8,"",IF($BM78="-&gt;",$BQ78+$BR78,$BE78+$BF78)+$CD78))</f>
        <v/>
      </c>
      <c r="CX78" s="144" t="str">
        <f aca="false">IF(ISBLANK($C78),"",IF($BZ78&lt;&gt;Constants!$B$8,"",IF($BM78="-&gt;",$BS78,$BG78)+$CC78))</f>
        <v/>
      </c>
      <c r="CY78" s="145" t="str">
        <f aca="false">IF(ISBLANK($C78),"",IF($BZ78&lt;&gt;Constants!$B$8,$BZ78,$CE78))</f>
        <v/>
      </c>
      <c r="CZ78" s="146" t="str">
        <f aca="false">IF(ISBLANK($C78),"",$CA78)</f>
        <v/>
      </c>
      <c r="DA78" s="147" t="str">
        <f aca="false">IF(ISBLANK($C78),"",$CP78)</f>
        <v/>
      </c>
      <c r="DB78" s="147" t="str">
        <f aca="false">IF(ISBLANK($C78),"",$CO78)</f>
        <v/>
      </c>
      <c r="DC78" s="148" t="str">
        <f aca="false">IF(ISBLANK($C78),"",IFERROR(_xlfn.SWITCH($DB78,Constants!$B$11,COUNTA($C$9:$C$508)+2,Constants!$B$10,COUNTA($C$9:$C$508)+1,Constants!$B$9,COUNTA($C$9:$C$508)),$DB78))</f>
        <v/>
      </c>
      <c r="DD78" s="9"/>
      <c r="DE78" s="149" t="n">
        <f aca="false">IF(OR(ISNUMBER($DB78),$DB78=Constants!$B$11,$DB78=Constants!$B$9,$DB78=Constants!$B$10),1,0)</f>
        <v>0</v>
      </c>
      <c r="DF78" s="149" t="n">
        <v>70</v>
      </c>
      <c r="DG78" s="149" t="str">
        <f aca="false">IF(ISBLANK($C78),"",IF(ISNUMBER($DC78),$DC78+ROW($B78)/1000,""))</f>
        <v/>
      </c>
      <c r="DH78" s="149" t="str">
        <f aca="false">IF(ISNUMBER($DG78),RANK($DG78,$DG$9:$DG$508,1),"")</f>
        <v/>
      </c>
      <c r="DI78" s="149" t="str">
        <f aca="false">IF(ISBLANK($C78),"",$B78)</f>
        <v/>
      </c>
      <c r="DJ78" s="149" t="str">
        <f aca="false">IF(ISBLANK($C78),"",$C78)</f>
        <v/>
      </c>
      <c r="DK78" s="149" t="str">
        <f aca="false">IF(ISBLANK($C78),"",$D78)</f>
        <v/>
      </c>
      <c r="DL78" s="150" t="str">
        <f aca="false">$CZ78</f>
        <v/>
      </c>
      <c r="DM78" s="151" t="str">
        <f aca="false">$CY78</f>
        <v/>
      </c>
      <c r="DN78" s="149" t="str">
        <f aca="false">IF(ISBLANK($C78),"",$DB78)</f>
        <v/>
      </c>
      <c r="DO78" s="152" t="str">
        <f aca="false">IF($DF78&gt;$DE$8,"",VLOOKUP($DF78,$DH$9:$DN$508,7,FALSE()))</f>
        <v/>
      </c>
      <c r="DP78" s="153" t="str">
        <f aca="false">IF($DF78&gt;$DE$8,"",VLOOKUP($DF78,$DH$9:$DN$508,2,FALSE()))</f>
        <v/>
      </c>
      <c r="DQ78" s="153" t="str">
        <f aca="false">IF($DF78&gt;$DE$8,"",VLOOKUP($DF78,$DH$9:$DN$508,3,FALSE()))</f>
        <v/>
      </c>
      <c r="DR78" s="153" t="str">
        <f aca="false">IF($DF78&gt;$DE$8,"",VLOOKUP($DF78,$DH$9:$DN$508,4,FALSE()))</f>
        <v/>
      </c>
      <c r="DS78" s="153" t="str">
        <f aca="false">IF($DF78&gt;$DE$8,"",VLOOKUP($DF78,$DH$9:$DN$508,5,FALSE()))</f>
        <v/>
      </c>
      <c r="DT78" s="154" t="str">
        <f aca="false">IF($DF78&gt;$DE$8,"",VLOOKUP($DF78,$DH$9:$DN$508,6,FALSE()))</f>
        <v/>
      </c>
      <c r="DU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IF(ISBLANK($C79),"",IF(E79=Constants!$B$3,TRUE(),IF(E79=Constants!$B$4,FALSE(),TRUE())))</f>
        <v/>
      </c>
      <c r="AG79" s="135" t="str">
        <f aca="false">IF(ISBLANK($C79),"",IF(F79=Constants!$B$3,TRUE(),IF(F79=Constants!$B$4,FALSE(),TRUE())))</f>
        <v/>
      </c>
      <c r="AH79" s="135" t="str">
        <f aca="false">IF(ISBLANK($C79),"",IF(G79=Constants!$B$3,TRUE(),IF(G79=Constants!$B$4,FALSE(),TRUE())))</f>
        <v/>
      </c>
      <c r="AI79" s="135" t="str">
        <f aca="false">IF(ISBLANK($C79),"",IF(AND(ISNUMBER(H79),H79&gt;=0),H79,Constants!$B$29))</f>
        <v/>
      </c>
      <c r="AJ79" s="135" t="str">
        <f aca="false">IF(ISBLANK($C79),"",IF(I79=Constants!$B$3,TRUE(),IF(I79=Constants!$B$4,FALSE(),TRUE())))</f>
        <v/>
      </c>
      <c r="AK79" s="135" t="str">
        <f aca="false">IF(ISBLANK($C79),"",IF(J79=Constants!$B$3,TRUE(),IF(J79=Constants!$B$4,FALSE(),TRUE())))</f>
        <v/>
      </c>
      <c r="AL79" s="135" t="str">
        <f aca="false">IF(ISBLANK($C79),"",IF(K79=Constants!$B$5,TRUE(),IF(K79=Constants!$B$6,FALSE(),COUNTA(L79:P79)&gt;0)))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IF(ISBLANK($C79),"",IF(N79=Constants!$B$3,TRUE(),IF(N79=Constants!$B$4,FALSE(),TRUE())))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IF(ISBLANK($C79),"",IF(P79=Constants!$B$3,TRUE(),IF(P79=Constants!$B$4,FALSE(),FALSE())))</f>
        <v/>
      </c>
      <c r="AR79" s="135" t="str">
        <f aca="false">IF(ISBLANK($C79),"",IF(Q79=Constants!$B$3,TRUE(),IF(Q79=Constants!$B$4,FALSE(),TRUE())))</f>
        <v/>
      </c>
      <c r="AS79" s="135" t="str">
        <f aca="false">IF(ISBLANK($C79),"",IF(R79=Constants!$B$3,TRUE(),IF(R79=Constants!$B$4,FALSE(),TRUE())))</f>
        <v/>
      </c>
      <c r="AT79" s="135" t="str">
        <f aca="false">IF(ISBLANK($C79),"",IF(S79=Constants!$B$5,TRUE(),IF(S79=Constants!$B$6,FALSE(),COUNTA(T79:X79)&gt;0)))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IF(ISBLANK($C79),"",IF(V79=Constants!$B$3,TRUE(),IF(V79=Constants!$B$4,FALSE(),TRUE())))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IF(ISBLANK($C79),"",IF(X79=Constants!$B$3,TRUE(),IF(X79=Constants!$B$4,FALSE(),FALSE())))</f>
        <v/>
      </c>
      <c r="AZ79" s="135" t="str">
        <f aca="false">IF(ISBLANK($C79),"",MIN(Constants!$B$31,MAX(0,IF(ISNUMBER(Y79),Y79*60,0)+IF(ISNUMBER(Z79),Z79,0))))</f>
        <v/>
      </c>
      <c r="BA79" s="135" t="str">
        <f aca="false">IF(ISBLANK($C79),"",IF(AA79=Constants!$B$3,TRUE(),IF(AA79=Constants!$B$4,FALSE(),FALSE())))</f>
        <v/>
      </c>
      <c r="BB79" s="134" t="str">
        <f aca="false">IF(ISBLANK($C79),"",AND($AL79,OR($AM79="",$AN79="",AND($AO79,$AP79=""))))</f>
        <v/>
      </c>
      <c r="BC79" s="137" t="str">
        <f aca="false">IF($BZ79&lt;&gt;Constants!$B$8,"",IF($AL79,Constants!$B$21*$AN79+Constants!$B$22*IF($AO79,$AP79,Constants!$B$23),Constants!$B$24))</f>
        <v/>
      </c>
      <c r="BD79" s="138" t="str">
        <f aca="false">IF($BZ79&lt;&gt;Constants!$B$8,"",Constants!$B$25*ABS($AD$9-IF($AL79,$AM79,0)))</f>
        <v/>
      </c>
      <c r="BE79" s="138" t="str">
        <f aca="false">IF($BZ79&lt;&gt;Constants!$B$8,"",IF(AND($AL79,$AQ79,$AO79),Constants!$B$27,0))</f>
        <v/>
      </c>
      <c r="BF79" s="138" t="str">
        <f aca="false">IF($BZ79&lt;&gt;Constants!$B$8,"",IF($AL79,($AI79-Constants!$B$29)*Constants!$B$28,0))</f>
        <v/>
      </c>
      <c r="BG79" s="138" t="str">
        <f aca="false">IF($BZ79&lt;&gt;Constants!$B$8,"",IF($AK79,0,Constants!$B$15)+IF($AJ79,0,Constants!$B$16)+IF($AH79,0,Constants!$B$17))</f>
        <v/>
      </c>
      <c r="BH79" s="139" t="str">
        <f aca="false">IF($BZ79&lt;&gt;Constants!$B$8,"",Constants!$B$20+SUM($BC79:$BG79))</f>
        <v/>
      </c>
      <c r="BI79" s="138" t="str">
        <f aca="false">IF($BZ79&lt;&gt;Constants!$B$8,"",$BC79)</f>
        <v/>
      </c>
      <c r="BJ79" s="138" t="str">
        <f aca="false">IF($BZ79&lt;&gt;Constants!$B$8,"",$BD79)</f>
        <v/>
      </c>
      <c r="BK79" s="138" t="str">
        <f aca="false">IF($BZ79&lt;&gt;Constants!$B$8,"",IF($AL79,$AN79,""))</f>
        <v/>
      </c>
      <c r="BL79" s="140" t="str">
        <f aca="false">IF($BZ79&lt;&gt;Constants!$B$8,"",$AI79)</f>
        <v/>
      </c>
      <c r="BM79" s="135" t="str">
        <f aca="false">IF($BZ79&lt;&gt;Constants!$B$8,"",IF(OR($BT79&lt;$BH79,AND($BT79=$BH79,OR($BU79&lt;$BI79,AND($BU79=$BI79,OR($BV79&lt;$BJ79,AND($BV79=$BJ79,OR(AND(ISNUMBER($BW79),OR(NOT(ISNUMBER($BK79)),$BW79&lt;$BK79)),AND(OR(AND($BW79="",$BK79=""),AND(ISNUMBER($BW79),ISNUMBER($BK79),$BW79=$BK79)),$BX79&lt;$BL79)))))))),"-&gt;","&lt;-"))</f>
        <v/>
      </c>
      <c r="BN79" s="134" t="str">
        <f aca="false">IF(ISBLANK($C79),"",AND($AT79,OR($AU79="",$AV79="",AND($AW79,$AX79=""))))</f>
        <v/>
      </c>
      <c r="BO79" s="137" t="str">
        <f aca="false">IF($BZ79&lt;&gt;Constants!$B$8,"",IF($AT79,Constants!$B$21*$AV79+Constants!$B$22*IF($AW79,$AX79,Constants!$B$23),Constants!$B$24))</f>
        <v/>
      </c>
      <c r="BP79" s="138" t="str">
        <f aca="false">IF($BZ79&lt;&gt;Constants!$B$8,"",Constants!$B$25*ABS($AD$9-IF($AT79,$AU79,0)))</f>
        <v/>
      </c>
      <c r="BQ79" s="138" t="str">
        <f aca="false">IF($BZ79&lt;&gt;Constants!$B$8,"",IF(AND($AT79,$AY79,$AW79),Constants!$B$27,0))</f>
        <v/>
      </c>
      <c r="BR79" s="138" t="str">
        <f aca="false">IF($BZ79&lt;&gt;Constants!$B$8,"",IF($AT79,($AI79-Constants!$B$29)*Constants!$B$28,0))</f>
        <v/>
      </c>
      <c r="BS79" s="138" t="str">
        <f aca="false">IF($BZ79&lt;&gt;Constants!$B$8,"",IF($AS79,0,Constants!$B$15)+IF($AR79,0,Constants!$B$16)+IF($AH79,0,Constants!$B$17))</f>
        <v/>
      </c>
      <c r="BT79" s="139" t="str">
        <f aca="false">IF($BZ79&lt;&gt;Constants!$B$8,"",Constants!$B$20+SUM($BO79:$BS79))</f>
        <v/>
      </c>
      <c r="BU79" s="138" t="str">
        <f aca="false">IF($BZ79&lt;&gt;Constants!$B$8,"",$BO79)</f>
        <v/>
      </c>
      <c r="BV79" s="138" t="str">
        <f aca="false">IF($BZ79&lt;&gt;Constants!$B$8,"",$BP79)</f>
        <v/>
      </c>
      <c r="BW79" s="138" t="str">
        <f aca="false">IF($BZ79&lt;&gt;Constants!$B$8,"",IF($AT79,$AV79,""))</f>
        <v/>
      </c>
      <c r="BX79" s="140" t="str">
        <f aca="false">IF($BZ79&lt;&gt;Constants!$B$8,"",$AI79)</f>
        <v/>
      </c>
      <c r="BY79" s="135" t="str">
        <f aca="false">IF(ISBLANK($C79),"",IF(ISBLANK($D$7),$BY$5,IF(NOT(ISNUMBER($D$7)),$BY$6,"")))</f>
        <v/>
      </c>
      <c r="BZ79" s="135" t="str">
        <f aca="false">IF(ISBLANK($C79),"",IF($BA79,Constants!$B$11,IF(COUNTA($E79:$AA79)=0,Constants!$B$10,IF(NOT($AG79),Constants!$B$9,IF(OR($BY79&lt;&gt;"",$BB79,$BN79),Constants!$B$12,Constants!$B$8)))))</f>
        <v/>
      </c>
      <c r="CA79" s="135" t="str">
        <f aca="false">IF(ISBLANK($C79),"",IF($BZ79&lt;&gt;Constants!$B$8,$BZ79,Constants!$B$13))</f>
        <v/>
      </c>
      <c r="CB79" s="138" t="str">
        <f aca="false">IF($BZ79&lt;&gt;Constants!$B$8,"",IF($BM79="-&gt;",$BT79,$BH79))</f>
        <v/>
      </c>
      <c r="CC79" s="138" t="str">
        <f aca="false">IF($BZ79&lt;&gt;Constants!$B$8,"",IF($AF79,0,Constants!$B$18))</f>
        <v/>
      </c>
      <c r="CD79" s="138" t="str">
        <f aca="false">IF($BZ79&lt;&gt;Constants!$B$8,"",((Constants!$B$31-$AZ79)-Constants!$B$31)/Constants!$B$32)</f>
        <v/>
      </c>
      <c r="CE79" s="138" t="str">
        <f aca="false">IF(ISBLANK($C79),"",IF($BZ79&lt;&gt;Constants!$B$8,$BZ79,SUM($CB79:$CD79)))</f>
        <v/>
      </c>
      <c r="CF79" s="135" t="str">
        <f aca="false">IF(ISBLANK($C79),"",IF($BZ79&lt;&gt;Constants!$B$8,$BZ79,RANK($CE79,$CE$9:$CE$508,1)))</f>
        <v/>
      </c>
      <c r="CG79" s="138" t="str">
        <f aca="false">IF($BZ79&lt;&gt;Constants!$B$8,"",IF($BM79="-&gt;",$BU79,$BI79))</f>
        <v/>
      </c>
      <c r="CH79" s="135" t="str">
        <f aca="false">IF(ISBLANK($C79),"",IF($BZ79&lt;&gt;Constants!$B$8,$BZ79,IF(ISNUMBER($CG79),RANK($CG79,$CG$9:$CG$508,1),COUNT($CG$9:$CG$508)+1)))</f>
        <v/>
      </c>
      <c r="CI79" s="138" t="str">
        <f aca="false">IF($BZ79&lt;&gt;Constants!$B$8,"",IF($BM79="-&gt;",$BV79,$BJ79))</f>
        <v/>
      </c>
      <c r="CJ79" s="135" t="str">
        <f aca="false">IF(ISBLANK($C79),"",IF($BZ79&lt;&gt;Constants!$B$8,$BZ79,IF(ISNUMBER($CI79),RANK($CI79,$CI$9:$CI$508,1),COUNT($CI$9:$CI$508)+1)))</f>
        <v/>
      </c>
      <c r="CK79" s="138" t="str">
        <f aca="false">IF($BZ79&lt;&gt;Constants!$B$8,"",IF($BM79="-&gt;",$BW79,$BK79))</f>
        <v/>
      </c>
      <c r="CL79" s="135" t="str">
        <f aca="false">IF(ISBLANK($C79),"",IF($BZ79&lt;&gt;Constants!$B$8,$BZ79,IF(ISNUMBER($CK79),RANK($CK79,$CK$9:$CK$508,1),COUNT($CK$9:$CK$508)+1)))</f>
        <v/>
      </c>
      <c r="CM79" s="138" t="str">
        <f aca="false">IF($BZ79&lt;&gt;Constants!$B$8,"",IF(AND(NOT($AL79),NOT($AT79),$AJ79,$AK79,$AR79,$AS79),"",IF($BM79="-&gt;",$BX79,$BL79)))</f>
        <v/>
      </c>
      <c r="CN79" s="135" t="str">
        <f aca="false">IF(ISBLANK($C79),"",IF($BZ79&lt;&gt;Constants!$B$8,$BZ79,IF(ISNUMBER($CM79),RANK($CM79,$CM$9:$CM$508,1),COUNT($CM$9:$CM$508)+1)))</f>
        <v/>
      </c>
      <c r="CO79" s="135" t="str">
        <f aca="false">IF(ISBLANK($C79),"",IF($BZ79&lt;&gt;Constants!$B$8,$BZ79,COUNTIFS($CF$9:$CF$508,"&lt;"&amp;$CF79)+COUNTIFS($CF$9:$CF$508,$CF79,$CH$9:$CH$508,"&lt;"&amp;$CH79)+COUNTIFS($CF$9:$CF$508,$CF79,$CH$9:$CH$508,$CH79,$CJ$9:$CJ$508,"&lt;"&amp;$CJ79)+COUNTIFS($CF$9:$CF$508,$CF79,$CH$9:$CH$508,$CH79,$CJ$9:$CJ$508,$CJ79,$CL$9:$CL$508,"&lt;"&amp;$CL79)+COUNTIFS($CF$9:$CF$508,$CF79,$CH$9:$CH$508,$CH79,$CJ$9:$CJ$508,$CJ79,$CL$9:$CL$508,$CL79,$CN$9:$CN$508,"&lt;"&amp;$CN79)+1))</f>
        <v/>
      </c>
      <c r="CP79" s="135" t="str">
        <f aca="false">IF(ISBLANK($C79),"",IF($BZ79&lt;&gt;Constants!$B$8,$BZ79,$CF79-$CO79))</f>
        <v/>
      </c>
      <c r="CQ79" s="141"/>
      <c r="CR79" s="142"/>
      <c r="CS79" s="143" t="str">
        <f aca="false">IF(ISBLANK($C79),"",IF($BZ79=Constants!$B$12,$BY79,""))</f>
        <v/>
      </c>
      <c r="CT79" s="142" t="str">
        <f aca="false">IF(ISBLANK($C79),"",IF($BZ79&lt;&gt;Constants!$B$8,"",IF($BM79="-&gt;",2,1)))</f>
        <v/>
      </c>
      <c r="CU79" s="144" t="str">
        <f aca="false">IF(ISBLANK($C79),"",IF($BZ79&lt;&gt;Constants!$B$8,"",IF($BM79="-&gt;",$BO79,$BC79)))</f>
        <v/>
      </c>
      <c r="CV79" s="144" t="str">
        <f aca="false">IF(ISBLANK($C79),"",IF($BZ79&lt;&gt;Constants!$B$8,"",IF($BM79="-&gt;",$BP79,$BD79)))</f>
        <v/>
      </c>
      <c r="CW79" s="144" t="str">
        <f aca="false">IF(ISBLANK($C79),"",IF($BZ79&lt;&gt;Constants!$B$8,"",IF($BM79="-&gt;",$BQ79+$BR79,$BE79+$BF79)+$CD79))</f>
        <v/>
      </c>
      <c r="CX79" s="144" t="str">
        <f aca="false">IF(ISBLANK($C79),"",IF($BZ79&lt;&gt;Constants!$B$8,"",IF($BM79="-&gt;",$BS79,$BG79)+$CC79))</f>
        <v/>
      </c>
      <c r="CY79" s="145" t="str">
        <f aca="false">IF(ISBLANK($C79),"",IF($BZ79&lt;&gt;Constants!$B$8,$BZ79,$CE79))</f>
        <v/>
      </c>
      <c r="CZ79" s="146" t="str">
        <f aca="false">IF(ISBLANK($C79),"",$CA79)</f>
        <v/>
      </c>
      <c r="DA79" s="147" t="str">
        <f aca="false">IF(ISBLANK($C79),"",$CP79)</f>
        <v/>
      </c>
      <c r="DB79" s="147" t="str">
        <f aca="false">IF(ISBLANK($C79),"",$CO79)</f>
        <v/>
      </c>
      <c r="DC79" s="148" t="str">
        <f aca="false">IF(ISBLANK($C79),"",IFERROR(_xlfn.SWITCH($DB79,Constants!$B$11,COUNTA($C$9:$C$508)+2,Constants!$B$10,COUNTA($C$9:$C$508)+1,Constants!$B$9,COUNTA($C$9:$C$508)),$DB79))</f>
        <v/>
      </c>
      <c r="DD79" s="9"/>
      <c r="DE79" s="149" t="n">
        <f aca="false">IF(OR(ISNUMBER($DB79),$DB79=Constants!$B$11,$DB79=Constants!$B$9,$DB79=Constants!$B$10),1,0)</f>
        <v>0</v>
      </c>
      <c r="DF79" s="149" t="n">
        <v>71</v>
      </c>
      <c r="DG79" s="149" t="str">
        <f aca="false">IF(ISBLANK($C79),"",IF(ISNUMBER($DC79),$DC79+ROW($B79)/1000,""))</f>
        <v/>
      </c>
      <c r="DH79" s="149" t="str">
        <f aca="false">IF(ISNUMBER($DG79),RANK($DG79,$DG$9:$DG$508,1),"")</f>
        <v/>
      </c>
      <c r="DI79" s="149" t="str">
        <f aca="false">IF(ISBLANK($C79),"",$B79)</f>
        <v/>
      </c>
      <c r="DJ79" s="149" t="str">
        <f aca="false">IF(ISBLANK($C79),"",$C79)</f>
        <v/>
      </c>
      <c r="DK79" s="149" t="str">
        <f aca="false">IF(ISBLANK($C79),"",$D79)</f>
        <v/>
      </c>
      <c r="DL79" s="150" t="str">
        <f aca="false">$CZ79</f>
        <v/>
      </c>
      <c r="DM79" s="151" t="str">
        <f aca="false">$CY79</f>
        <v/>
      </c>
      <c r="DN79" s="149" t="str">
        <f aca="false">IF(ISBLANK($C79),"",$DB79)</f>
        <v/>
      </c>
      <c r="DO79" s="152" t="str">
        <f aca="false">IF($DF79&gt;$DE$8,"",VLOOKUP($DF79,$DH$9:$DN$508,7,FALSE()))</f>
        <v/>
      </c>
      <c r="DP79" s="153" t="str">
        <f aca="false">IF($DF79&gt;$DE$8,"",VLOOKUP($DF79,$DH$9:$DN$508,2,FALSE()))</f>
        <v/>
      </c>
      <c r="DQ79" s="153" t="str">
        <f aca="false">IF($DF79&gt;$DE$8,"",VLOOKUP($DF79,$DH$9:$DN$508,3,FALSE()))</f>
        <v/>
      </c>
      <c r="DR79" s="153" t="str">
        <f aca="false">IF($DF79&gt;$DE$8,"",VLOOKUP($DF79,$DH$9:$DN$508,4,FALSE()))</f>
        <v/>
      </c>
      <c r="DS79" s="153" t="str">
        <f aca="false">IF($DF79&gt;$DE$8,"",VLOOKUP($DF79,$DH$9:$DN$508,5,FALSE()))</f>
        <v/>
      </c>
      <c r="DT79" s="154" t="str">
        <f aca="false">IF($DF79&gt;$DE$8,"",VLOOKUP($DF79,$DH$9:$DN$508,6,FALSE()))</f>
        <v/>
      </c>
      <c r="DU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IF(ISBLANK($C80),"",IF(E80=Constants!$B$3,TRUE(),IF(E80=Constants!$B$4,FALSE(),TRUE())))</f>
        <v/>
      </c>
      <c r="AG80" s="135" t="str">
        <f aca="false">IF(ISBLANK($C80),"",IF(F80=Constants!$B$3,TRUE(),IF(F80=Constants!$B$4,FALSE(),TRUE())))</f>
        <v/>
      </c>
      <c r="AH80" s="135" t="str">
        <f aca="false">IF(ISBLANK($C80),"",IF(G80=Constants!$B$3,TRUE(),IF(G80=Constants!$B$4,FALSE(),TRUE())))</f>
        <v/>
      </c>
      <c r="AI80" s="135" t="str">
        <f aca="false">IF(ISBLANK($C80),"",IF(AND(ISNUMBER(H80),H80&gt;=0),H80,Constants!$B$29))</f>
        <v/>
      </c>
      <c r="AJ80" s="135" t="str">
        <f aca="false">IF(ISBLANK($C80),"",IF(I80=Constants!$B$3,TRUE(),IF(I80=Constants!$B$4,FALSE(),TRUE())))</f>
        <v/>
      </c>
      <c r="AK80" s="135" t="str">
        <f aca="false">IF(ISBLANK($C80),"",IF(J80=Constants!$B$3,TRUE(),IF(J80=Constants!$B$4,FALSE(),TRUE())))</f>
        <v/>
      </c>
      <c r="AL80" s="135" t="str">
        <f aca="false">IF(ISBLANK($C80),"",IF(K80=Constants!$B$5,TRUE(),IF(K80=Constants!$B$6,FALSE(),COUNTA(L80:P80)&gt;0)))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IF(ISBLANK($C80),"",IF(N80=Constants!$B$3,TRUE(),IF(N80=Constants!$B$4,FALSE(),TRUE())))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IF(ISBLANK($C80),"",IF(P80=Constants!$B$3,TRUE(),IF(P80=Constants!$B$4,FALSE(),FALSE())))</f>
        <v/>
      </c>
      <c r="AR80" s="135" t="str">
        <f aca="false">IF(ISBLANK($C80),"",IF(Q80=Constants!$B$3,TRUE(),IF(Q80=Constants!$B$4,FALSE(),TRUE())))</f>
        <v/>
      </c>
      <c r="AS80" s="135" t="str">
        <f aca="false">IF(ISBLANK($C80),"",IF(R80=Constants!$B$3,TRUE(),IF(R80=Constants!$B$4,FALSE(),TRUE())))</f>
        <v/>
      </c>
      <c r="AT80" s="135" t="str">
        <f aca="false">IF(ISBLANK($C80),"",IF(S80=Constants!$B$5,TRUE(),IF(S80=Constants!$B$6,FALSE(),COUNTA(T80:X80)&gt;0)))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IF(ISBLANK($C80),"",IF(V80=Constants!$B$3,TRUE(),IF(V80=Constants!$B$4,FALSE(),TRUE())))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IF(ISBLANK($C80),"",IF(X80=Constants!$B$3,TRUE(),IF(X80=Constants!$B$4,FALSE(),FALSE())))</f>
        <v/>
      </c>
      <c r="AZ80" s="135" t="str">
        <f aca="false">IF(ISBLANK($C80),"",MIN(Constants!$B$31,MAX(0,IF(ISNUMBER(Y80),Y80*60,0)+IF(ISNUMBER(Z80),Z80,0))))</f>
        <v/>
      </c>
      <c r="BA80" s="135" t="str">
        <f aca="false">IF(ISBLANK($C80),"",IF(AA80=Constants!$B$3,TRUE(),IF(AA80=Constants!$B$4,FALSE(),FALSE())))</f>
        <v/>
      </c>
      <c r="BB80" s="134" t="str">
        <f aca="false">IF(ISBLANK($C80),"",AND($AL80,OR($AM80="",$AN80="",AND($AO80,$AP80=""))))</f>
        <v/>
      </c>
      <c r="BC80" s="137" t="str">
        <f aca="false">IF($BZ80&lt;&gt;Constants!$B$8,"",IF($AL80,Constants!$B$21*$AN80+Constants!$B$22*IF($AO80,$AP80,Constants!$B$23),Constants!$B$24))</f>
        <v/>
      </c>
      <c r="BD80" s="138" t="str">
        <f aca="false">IF($BZ80&lt;&gt;Constants!$B$8,"",Constants!$B$25*ABS($AD$9-IF($AL80,$AM80,0)))</f>
        <v/>
      </c>
      <c r="BE80" s="138" t="str">
        <f aca="false">IF($BZ80&lt;&gt;Constants!$B$8,"",IF(AND($AL80,$AQ80,$AO80),Constants!$B$27,0))</f>
        <v/>
      </c>
      <c r="BF80" s="138" t="str">
        <f aca="false">IF($BZ80&lt;&gt;Constants!$B$8,"",IF($AL80,($AI80-Constants!$B$29)*Constants!$B$28,0))</f>
        <v/>
      </c>
      <c r="BG80" s="138" t="str">
        <f aca="false">IF($BZ80&lt;&gt;Constants!$B$8,"",IF($AK80,0,Constants!$B$15)+IF($AJ80,0,Constants!$B$16)+IF($AH80,0,Constants!$B$17))</f>
        <v/>
      </c>
      <c r="BH80" s="139" t="str">
        <f aca="false">IF($BZ80&lt;&gt;Constants!$B$8,"",Constants!$B$20+SUM($BC80:$BG80))</f>
        <v/>
      </c>
      <c r="BI80" s="138" t="str">
        <f aca="false">IF($BZ80&lt;&gt;Constants!$B$8,"",$BC80)</f>
        <v/>
      </c>
      <c r="BJ80" s="138" t="str">
        <f aca="false">IF($BZ80&lt;&gt;Constants!$B$8,"",$BD80)</f>
        <v/>
      </c>
      <c r="BK80" s="138" t="str">
        <f aca="false">IF($BZ80&lt;&gt;Constants!$B$8,"",IF($AL80,$AN80,""))</f>
        <v/>
      </c>
      <c r="BL80" s="140" t="str">
        <f aca="false">IF($BZ80&lt;&gt;Constants!$B$8,"",$AI80)</f>
        <v/>
      </c>
      <c r="BM80" s="135" t="str">
        <f aca="false">IF($BZ80&lt;&gt;Constants!$B$8,"",IF(OR($BT80&lt;$BH80,AND($BT80=$BH80,OR($BU80&lt;$BI80,AND($BU80=$BI80,OR($BV80&lt;$BJ80,AND($BV80=$BJ80,OR(AND(ISNUMBER($BW80),OR(NOT(ISNUMBER($BK80)),$BW80&lt;$BK80)),AND(OR(AND($BW80="",$BK80=""),AND(ISNUMBER($BW80),ISNUMBER($BK80),$BW80=$BK80)),$BX80&lt;$BL80)))))))),"-&gt;","&lt;-"))</f>
        <v/>
      </c>
      <c r="BN80" s="134" t="str">
        <f aca="false">IF(ISBLANK($C80),"",AND($AT80,OR($AU80="",$AV80="",AND($AW80,$AX80=""))))</f>
        <v/>
      </c>
      <c r="BO80" s="137" t="str">
        <f aca="false">IF($BZ80&lt;&gt;Constants!$B$8,"",IF($AT80,Constants!$B$21*$AV80+Constants!$B$22*IF($AW80,$AX80,Constants!$B$23),Constants!$B$24))</f>
        <v/>
      </c>
      <c r="BP80" s="138" t="str">
        <f aca="false">IF($BZ80&lt;&gt;Constants!$B$8,"",Constants!$B$25*ABS($AD$9-IF($AT80,$AU80,0)))</f>
        <v/>
      </c>
      <c r="BQ80" s="138" t="str">
        <f aca="false">IF($BZ80&lt;&gt;Constants!$B$8,"",IF(AND($AT80,$AY80,$AW80),Constants!$B$27,0))</f>
        <v/>
      </c>
      <c r="BR80" s="138" t="str">
        <f aca="false">IF($BZ80&lt;&gt;Constants!$B$8,"",IF($AT80,($AI80-Constants!$B$29)*Constants!$B$28,0))</f>
        <v/>
      </c>
      <c r="BS80" s="138" t="str">
        <f aca="false">IF($BZ80&lt;&gt;Constants!$B$8,"",IF($AS80,0,Constants!$B$15)+IF($AR80,0,Constants!$B$16)+IF($AH80,0,Constants!$B$17))</f>
        <v/>
      </c>
      <c r="BT80" s="139" t="str">
        <f aca="false">IF($BZ80&lt;&gt;Constants!$B$8,"",Constants!$B$20+SUM($BO80:$BS80))</f>
        <v/>
      </c>
      <c r="BU80" s="138" t="str">
        <f aca="false">IF($BZ80&lt;&gt;Constants!$B$8,"",$BO80)</f>
        <v/>
      </c>
      <c r="BV80" s="138" t="str">
        <f aca="false">IF($BZ80&lt;&gt;Constants!$B$8,"",$BP80)</f>
        <v/>
      </c>
      <c r="BW80" s="138" t="str">
        <f aca="false">IF($BZ80&lt;&gt;Constants!$B$8,"",IF($AT80,$AV80,""))</f>
        <v/>
      </c>
      <c r="BX80" s="140" t="str">
        <f aca="false">IF($BZ80&lt;&gt;Constants!$B$8,"",$AI80)</f>
        <v/>
      </c>
      <c r="BY80" s="135" t="str">
        <f aca="false">IF(ISBLANK($C80),"",IF(ISBLANK($D$7),$BY$5,IF(NOT(ISNUMBER($D$7)),$BY$6,"")))</f>
        <v/>
      </c>
      <c r="BZ80" s="135" t="str">
        <f aca="false">IF(ISBLANK($C80),"",IF($BA80,Constants!$B$11,IF(COUNTA($E80:$AA80)=0,Constants!$B$10,IF(NOT($AG80),Constants!$B$9,IF(OR($BY80&lt;&gt;"",$BB80,$BN80),Constants!$B$12,Constants!$B$8)))))</f>
        <v/>
      </c>
      <c r="CA80" s="135" t="str">
        <f aca="false">IF(ISBLANK($C80),"",IF($BZ80&lt;&gt;Constants!$B$8,$BZ80,Constants!$B$13))</f>
        <v/>
      </c>
      <c r="CB80" s="138" t="str">
        <f aca="false">IF($BZ80&lt;&gt;Constants!$B$8,"",IF($BM80="-&gt;",$BT80,$BH80))</f>
        <v/>
      </c>
      <c r="CC80" s="138" t="str">
        <f aca="false">IF($BZ80&lt;&gt;Constants!$B$8,"",IF($AF80,0,Constants!$B$18))</f>
        <v/>
      </c>
      <c r="CD80" s="138" t="str">
        <f aca="false">IF($BZ80&lt;&gt;Constants!$B$8,"",((Constants!$B$31-$AZ80)-Constants!$B$31)/Constants!$B$32)</f>
        <v/>
      </c>
      <c r="CE80" s="138" t="str">
        <f aca="false">IF(ISBLANK($C80),"",IF($BZ80&lt;&gt;Constants!$B$8,$BZ80,SUM($CB80:$CD80)))</f>
        <v/>
      </c>
      <c r="CF80" s="135" t="str">
        <f aca="false">IF(ISBLANK($C80),"",IF($BZ80&lt;&gt;Constants!$B$8,$BZ80,RANK($CE80,$CE$9:$CE$508,1)))</f>
        <v/>
      </c>
      <c r="CG80" s="138" t="str">
        <f aca="false">IF($BZ80&lt;&gt;Constants!$B$8,"",IF($BM80="-&gt;",$BU80,$BI80))</f>
        <v/>
      </c>
      <c r="CH80" s="135" t="str">
        <f aca="false">IF(ISBLANK($C80),"",IF($BZ80&lt;&gt;Constants!$B$8,$BZ80,IF(ISNUMBER($CG80),RANK($CG80,$CG$9:$CG$508,1),COUNT($CG$9:$CG$508)+1)))</f>
        <v/>
      </c>
      <c r="CI80" s="138" t="str">
        <f aca="false">IF($BZ80&lt;&gt;Constants!$B$8,"",IF($BM80="-&gt;",$BV80,$BJ80))</f>
        <v/>
      </c>
      <c r="CJ80" s="135" t="str">
        <f aca="false">IF(ISBLANK($C80),"",IF($BZ80&lt;&gt;Constants!$B$8,$BZ80,IF(ISNUMBER($CI80),RANK($CI80,$CI$9:$CI$508,1),COUNT($CI$9:$CI$508)+1)))</f>
        <v/>
      </c>
      <c r="CK80" s="138" t="str">
        <f aca="false">IF($BZ80&lt;&gt;Constants!$B$8,"",IF($BM80="-&gt;",$BW80,$BK80))</f>
        <v/>
      </c>
      <c r="CL80" s="135" t="str">
        <f aca="false">IF(ISBLANK($C80),"",IF($BZ80&lt;&gt;Constants!$B$8,$BZ80,IF(ISNUMBER($CK80),RANK($CK80,$CK$9:$CK$508,1),COUNT($CK$9:$CK$508)+1)))</f>
        <v/>
      </c>
      <c r="CM80" s="138" t="str">
        <f aca="false">IF($BZ80&lt;&gt;Constants!$B$8,"",IF(AND(NOT($AL80),NOT($AT80),$AJ80,$AK80,$AR80,$AS80),"",IF($BM80="-&gt;",$BX80,$BL80)))</f>
        <v/>
      </c>
      <c r="CN80" s="135" t="str">
        <f aca="false">IF(ISBLANK($C80),"",IF($BZ80&lt;&gt;Constants!$B$8,$BZ80,IF(ISNUMBER($CM80),RANK($CM80,$CM$9:$CM$508,1),COUNT($CM$9:$CM$508)+1)))</f>
        <v/>
      </c>
      <c r="CO80" s="135" t="str">
        <f aca="false">IF(ISBLANK($C80),"",IF($BZ80&lt;&gt;Constants!$B$8,$BZ80,COUNTIFS($CF$9:$CF$508,"&lt;"&amp;$CF80)+COUNTIFS($CF$9:$CF$508,$CF80,$CH$9:$CH$508,"&lt;"&amp;$CH80)+COUNTIFS($CF$9:$CF$508,$CF80,$CH$9:$CH$508,$CH80,$CJ$9:$CJ$508,"&lt;"&amp;$CJ80)+COUNTIFS($CF$9:$CF$508,$CF80,$CH$9:$CH$508,$CH80,$CJ$9:$CJ$508,$CJ80,$CL$9:$CL$508,"&lt;"&amp;$CL80)+COUNTIFS($CF$9:$CF$508,$CF80,$CH$9:$CH$508,$CH80,$CJ$9:$CJ$508,$CJ80,$CL$9:$CL$508,$CL80,$CN$9:$CN$508,"&lt;"&amp;$CN80)+1))</f>
        <v/>
      </c>
      <c r="CP80" s="135" t="str">
        <f aca="false">IF(ISBLANK($C80),"",IF($BZ80&lt;&gt;Constants!$B$8,$BZ80,$CF80-$CO80))</f>
        <v/>
      </c>
      <c r="CQ80" s="141"/>
      <c r="CR80" s="142"/>
      <c r="CS80" s="143" t="str">
        <f aca="false">IF(ISBLANK($C80),"",IF($BZ80=Constants!$B$12,$BY80,""))</f>
        <v/>
      </c>
      <c r="CT80" s="142" t="str">
        <f aca="false">IF(ISBLANK($C80),"",IF($BZ80&lt;&gt;Constants!$B$8,"",IF($BM80="-&gt;",2,1)))</f>
        <v/>
      </c>
      <c r="CU80" s="144" t="str">
        <f aca="false">IF(ISBLANK($C80),"",IF($BZ80&lt;&gt;Constants!$B$8,"",IF($BM80="-&gt;",$BO80,$BC80)))</f>
        <v/>
      </c>
      <c r="CV80" s="144" t="str">
        <f aca="false">IF(ISBLANK($C80),"",IF($BZ80&lt;&gt;Constants!$B$8,"",IF($BM80="-&gt;",$BP80,$BD80)))</f>
        <v/>
      </c>
      <c r="CW80" s="144" t="str">
        <f aca="false">IF(ISBLANK($C80),"",IF($BZ80&lt;&gt;Constants!$B$8,"",IF($BM80="-&gt;",$BQ80+$BR80,$BE80+$BF80)+$CD80))</f>
        <v/>
      </c>
      <c r="CX80" s="144" t="str">
        <f aca="false">IF(ISBLANK($C80),"",IF($BZ80&lt;&gt;Constants!$B$8,"",IF($BM80="-&gt;",$BS80,$BG80)+$CC80))</f>
        <v/>
      </c>
      <c r="CY80" s="145" t="str">
        <f aca="false">IF(ISBLANK($C80),"",IF($BZ80&lt;&gt;Constants!$B$8,$BZ80,$CE80))</f>
        <v/>
      </c>
      <c r="CZ80" s="146" t="str">
        <f aca="false">IF(ISBLANK($C80),"",$CA80)</f>
        <v/>
      </c>
      <c r="DA80" s="147" t="str">
        <f aca="false">IF(ISBLANK($C80),"",$CP80)</f>
        <v/>
      </c>
      <c r="DB80" s="147" t="str">
        <f aca="false">IF(ISBLANK($C80),"",$CO80)</f>
        <v/>
      </c>
      <c r="DC80" s="148" t="str">
        <f aca="false">IF(ISBLANK($C80),"",IFERROR(_xlfn.SWITCH($DB80,Constants!$B$11,COUNTA($C$9:$C$508)+2,Constants!$B$10,COUNTA($C$9:$C$508)+1,Constants!$B$9,COUNTA($C$9:$C$508)),$DB80))</f>
        <v/>
      </c>
      <c r="DD80" s="9"/>
      <c r="DE80" s="149" t="n">
        <f aca="false">IF(OR(ISNUMBER($DB80),$DB80=Constants!$B$11,$DB80=Constants!$B$9,$DB80=Constants!$B$10),1,0)</f>
        <v>0</v>
      </c>
      <c r="DF80" s="149" t="n">
        <v>72</v>
      </c>
      <c r="DG80" s="149" t="str">
        <f aca="false">IF(ISBLANK($C80),"",IF(ISNUMBER($DC80),$DC80+ROW($B80)/1000,""))</f>
        <v/>
      </c>
      <c r="DH80" s="149" t="str">
        <f aca="false">IF(ISNUMBER($DG80),RANK($DG80,$DG$9:$DG$508,1),"")</f>
        <v/>
      </c>
      <c r="DI80" s="149" t="str">
        <f aca="false">IF(ISBLANK($C80),"",$B80)</f>
        <v/>
      </c>
      <c r="DJ80" s="149" t="str">
        <f aca="false">IF(ISBLANK($C80),"",$C80)</f>
        <v/>
      </c>
      <c r="DK80" s="149" t="str">
        <f aca="false">IF(ISBLANK($C80),"",$D80)</f>
        <v/>
      </c>
      <c r="DL80" s="150" t="str">
        <f aca="false">$CZ80</f>
        <v/>
      </c>
      <c r="DM80" s="151" t="str">
        <f aca="false">$CY80</f>
        <v/>
      </c>
      <c r="DN80" s="149" t="str">
        <f aca="false">IF(ISBLANK($C80),"",$DB80)</f>
        <v/>
      </c>
      <c r="DO80" s="152" t="str">
        <f aca="false">IF($DF80&gt;$DE$8,"",VLOOKUP($DF80,$DH$9:$DN$508,7,FALSE()))</f>
        <v/>
      </c>
      <c r="DP80" s="153" t="str">
        <f aca="false">IF($DF80&gt;$DE$8,"",VLOOKUP($DF80,$DH$9:$DN$508,2,FALSE()))</f>
        <v/>
      </c>
      <c r="DQ80" s="153" t="str">
        <f aca="false">IF($DF80&gt;$DE$8,"",VLOOKUP($DF80,$DH$9:$DN$508,3,FALSE()))</f>
        <v/>
      </c>
      <c r="DR80" s="153" t="str">
        <f aca="false">IF($DF80&gt;$DE$8,"",VLOOKUP($DF80,$DH$9:$DN$508,4,FALSE()))</f>
        <v/>
      </c>
      <c r="DS80" s="153" t="str">
        <f aca="false">IF($DF80&gt;$DE$8,"",VLOOKUP($DF80,$DH$9:$DN$508,5,FALSE()))</f>
        <v/>
      </c>
      <c r="DT80" s="154" t="str">
        <f aca="false">IF($DF80&gt;$DE$8,"",VLOOKUP($DF80,$DH$9:$DN$508,6,FALSE()))</f>
        <v/>
      </c>
      <c r="DU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IF(ISBLANK($C81),"",IF(E81=Constants!$B$3,TRUE(),IF(E81=Constants!$B$4,FALSE(),TRUE())))</f>
        <v/>
      </c>
      <c r="AG81" s="93" t="str">
        <f aca="false">IF(ISBLANK($C81),"",IF(F81=Constants!$B$3,TRUE(),IF(F81=Constants!$B$4,FALSE(),TRUE())))</f>
        <v/>
      </c>
      <c r="AH81" s="93" t="str">
        <f aca="false">IF(ISBLANK($C81),"",IF(G81=Constants!$B$3,TRUE(),IF(G81=Constants!$B$4,FALSE(),TRUE())))</f>
        <v/>
      </c>
      <c r="AI81" s="93" t="str">
        <f aca="false">IF(ISBLANK($C81),"",IF(AND(ISNUMBER(H81),H81&gt;=0),H81,Constants!$B$29))</f>
        <v/>
      </c>
      <c r="AJ81" s="93" t="str">
        <f aca="false">IF(ISBLANK($C81),"",IF(I81=Constants!$B$3,TRUE(),IF(I81=Constants!$B$4,FALSE(),TRUE())))</f>
        <v/>
      </c>
      <c r="AK81" s="93" t="str">
        <f aca="false">IF(ISBLANK($C81),"",IF(J81=Constants!$B$3,TRUE(),IF(J81=Constants!$B$4,FALSE(),TRUE())))</f>
        <v/>
      </c>
      <c r="AL81" s="93" t="str">
        <f aca="false">IF(ISBLANK($C81),"",IF(K81=Constants!$B$5,TRUE(),IF(K81=Constants!$B$6,FALSE(),COUNTA(L81:P81)&gt;0)))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IF(ISBLANK($C81),"",IF(N81=Constants!$B$3,TRUE(),IF(N81=Constants!$B$4,FALSE(),TRUE())))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IF(ISBLANK($C81),"",IF(P81=Constants!$B$3,TRUE(),IF(P81=Constants!$B$4,FALSE(),FALSE())))</f>
        <v/>
      </c>
      <c r="AR81" s="93" t="str">
        <f aca="false">IF(ISBLANK($C81),"",IF(Q81=Constants!$B$3,TRUE(),IF(Q81=Constants!$B$4,FALSE(),TRUE())))</f>
        <v/>
      </c>
      <c r="AS81" s="93" t="str">
        <f aca="false">IF(ISBLANK($C81),"",IF(R81=Constants!$B$3,TRUE(),IF(R81=Constants!$B$4,FALSE(),TRUE())))</f>
        <v/>
      </c>
      <c r="AT81" s="93" t="str">
        <f aca="false">IF(ISBLANK($C81),"",IF(S81=Constants!$B$5,TRUE(),IF(S81=Constants!$B$6,FALSE(),COUNTA(T81:X81)&gt;0)))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IF(ISBLANK($C81),"",IF(V81=Constants!$B$3,TRUE(),IF(V81=Constants!$B$4,FALSE(),TRUE())))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IF(ISBLANK($C81),"",IF(X81=Constants!$B$3,TRUE(),IF(X81=Constants!$B$4,FALSE(),FALSE())))</f>
        <v/>
      </c>
      <c r="AZ81" s="93" t="str">
        <f aca="false">IF(ISBLANK($C81),"",MIN(Constants!$B$31,MAX(0,IF(ISNUMBER(Y81),Y81*60,0)+IF(ISNUMBER(Z81),Z81,0))))</f>
        <v/>
      </c>
      <c r="BA81" s="93" t="str">
        <f aca="false">IF(ISBLANK($C81),"",IF(AA81=Constants!$B$3,TRUE(),IF(AA81=Constants!$B$4,FALSE(),FALSE())))</f>
        <v/>
      </c>
      <c r="BB81" s="92" t="str">
        <f aca="false">IF(ISBLANK($C81),"",AND($AL81,OR($AM81="",$AN81="",AND($AO81,$AP81=""))))</f>
        <v/>
      </c>
      <c r="BC81" s="94" t="str">
        <f aca="false">IF($BZ81&lt;&gt;Constants!$B$8,"",IF($AL81,Constants!$B$21*$AN81+Constants!$B$22*IF($AO81,$AP81,Constants!$B$23),Constants!$B$24))</f>
        <v/>
      </c>
      <c r="BD81" s="97" t="str">
        <f aca="false">IF($BZ81&lt;&gt;Constants!$B$8,"",Constants!$B$25*ABS($AD$9-IF($AL81,$AM81,0)))</f>
        <v/>
      </c>
      <c r="BE81" s="97" t="str">
        <f aca="false">IF($BZ81&lt;&gt;Constants!$B$8,"",IF(AND($AL81,$AQ81,$AO81),Constants!$B$27,0))</f>
        <v/>
      </c>
      <c r="BF81" s="97" t="str">
        <f aca="false">IF($BZ81&lt;&gt;Constants!$B$8,"",IF($AL81,($AI81-Constants!$B$29)*Constants!$B$28,0))</f>
        <v/>
      </c>
      <c r="BG81" s="97" t="str">
        <f aca="false">IF($BZ81&lt;&gt;Constants!$B$8,"",IF($AK81,0,Constants!$B$15)+IF($AJ81,0,Constants!$B$16)+IF($AH81,0,Constants!$B$17))</f>
        <v/>
      </c>
      <c r="BH81" s="98" t="str">
        <f aca="false">IF($BZ81&lt;&gt;Constants!$B$8,"",Constants!$B$20+SUM($BC81:$BG81))</f>
        <v/>
      </c>
      <c r="BI81" s="97" t="str">
        <f aca="false">IF($BZ81&lt;&gt;Constants!$B$8,"",$BC81)</f>
        <v/>
      </c>
      <c r="BJ81" s="97" t="str">
        <f aca="false">IF($BZ81&lt;&gt;Constants!$B$8,"",$BD81)</f>
        <v/>
      </c>
      <c r="BK81" s="97" t="str">
        <f aca="false">IF($BZ81&lt;&gt;Constants!$B$8,"",IF($AL81,$AN81,""))</f>
        <v/>
      </c>
      <c r="BL81" s="99" t="str">
        <f aca="false">IF($BZ81&lt;&gt;Constants!$B$8,"",$AI81)</f>
        <v/>
      </c>
      <c r="BM81" s="93" t="str">
        <f aca="false">IF($BZ81&lt;&gt;Constants!$B$8,"",IF(OR($BT81&lt;$BH81,AND($BT81=$BH81,OR($BU81&lt;$BI81,AND($BU81=$BI81,OR($BV81&lt;$BJ81,AND($BV81=$BJ81,OR(AND(ISNUMBER($BW81),OR(NOT(ISNUMBER($BK81)),$BW81&lt;$BK81)),AND(OR(AND($BW81="",$BK81=""),AND(ISNUMBER($BW81),ISNUMBER($BK81),$BW81=$BK81)),$BX81&lt;$BL81)))))))),"-&gt;","&lt;-"))</f>
        <v/>
      </c>
      <c r="BN81" s="92" t="str">
        <f aca="false">IF(ISBLANK($C81),"",AND($AT81,OR($AU81="",$AV81="",AND($AW81,$AX81=""))))</f>
        <v/>
      </c>
      <c r="BO81" s="94" t="str">
        <f aca="false">IF($BZ81&lt;&gt;Constants!$B$8,"",IF($AT81,Constants!$B$21*$AV81+Constants!$B$22*IF($AW81,$AX81,Constants!$B$23),Constants!$B$24))</f>
        <v/>
      </c>
      <c r="BP81" s="97" t="str">
        <f aca="false">IF($BZ81&lt;&gt;Constants!$B$8,"",Constants!$B$25*ABS($AD$9-IF($AT81,$AU81,0)))</f>
        <v/>
      </c>
      <c r="BQ81" s="97" t="str">
        <f aca="false">IF($BZ81&lt;&gt;Constants!$B$8,"",IF(AND($AT81,$AY81,$AW81),Constants!$B$27,0))</f>
        <v/>
      </c>
      <c r="BR81" s="97" t="str">
        <f aca="false">IF($BZ81&lt;&gt;Constants!$B$8,"",IF($AT81,($AI81-Constants!$B$29)*Constants!$B$28,0))</f>
        <v/>
      </c>
      <c r="BS81" s="97" t="str">
        <f aca="false">IF($BZ81&lt;&gt;Constants!$B$8,"",IF($AS81,0,Constants!$B$15)+IF($AR81,0,Constants!$B$16)+IF($AH81,0,Constants!$B$17))</f>
        <v/>
      </c>
      <c r="BT81" s="98" t="str">
        <f aca="false">IF($BZ81&lt;&gt;Constants!$B$8,"",Constants!$B$20+SUM($BO81:$BS81))</f>
        <v/>
      </c>
      <c r="BU81" s="97" t="str">
        <f aca="false">IF($BZ81&lt;&gt;Constants!$B$8,"",$BO81)</f>
        <v/>
      </c>
      <c r="BV81" s="97" t="str">
        <f aca="false">IF($BZ81&lt;&gt;Constants!$B$8,"",$BP81)</f>
        <v/>
      </c>
      <c r="BW81" s="97" t="str">
        <f aca="false">IF($BZ81&lt;&gt;Constants!$B$8,"",IF($AT81,$AV81,""))</f>
        <v/>
      </c>
      <c r="BX81" s="99" t="str">
        <f aca="false">IF($BZ81&lt;&gt;Constants!$B$8,"",$AI81)</f>
        <v/>
      </c>
      <c r="BY81" s="93" t="str">
        <f aca="false">IF(ISBLANK($C81),"",IF(ISBLANK($D$7),$BY$5,IF(NOT(ISNUMBER($D$7)),$BY$6,"")))</f>
        <v/>
      </c>
      <c r="BZ81" s="93" t="str">
        <f aca="false">IF(ISBLANK($C81),"",IF($BA81,Constants!$B$11,IF(COUNTA($E81:$AA81)=0,Constants!$B$10,IF(NOT($AG81),Constants!$B$9,IF(OR($BY81&lt;&gt;"",$BB81,$BN81),Constants!$B$12,Constants!$B$8)))))</f>
        <v/>
      </c>
      <c r="CA81" s="93" t="str">
        <f aca="false">IF(ISBLANK($C81),"",IF($BZ81&lt;&gt;Constants!$B$8,$BZ81,Constants!$B$13))</f>
        <v/>
      </c>
      <c r="CB81" s="97" t="str">
        <f aca="false">IF($BZ81&lt;&gt;Constants!$B$8,"",IF($BM81="-&gt;",$BT81,$BH81))</f>
        <v/>
      </c>
      <c r="CC81" s="97" t="str">
        <f aca="false">IF($BZ81&lt;&gt;Constants!$B$8,"",IF($AF81,0,Constants!$B$18))</f>
        <v/>
      </c>
      <c r="CD81" s="97" t="str">
        <f aca="false">IF($BZ81&lt;&gt;Constants!$B$8,"",((Constants!$B$31-$AZ81)-Constants!$B$31)/Constants!$B$32)</f>
        <v/>
      </c>
      <c r="CE81" s="97" t="str">
        <f aca="false">IF(ISBLANK($C81),"",IF($BZ81&lt;&gt;Constants!$B$8,$BZ81,SUM($CB81:$CD81)))</f>
        <v/>
      </c>
      <c r="CF81" s="93" t="str">
        <f aca="false">IF(ISBLANK($C81),"",IF($BZ81&lt;&gt;Constants!$B$8,$BZ81,RANK($CE81,$CE$9:$CE$508,1)))</f>
        <v/>
      </c>
      <c r="CG81" s="97" t="str">
        <f aca="false">IF($BZ81&lt;&gt;Constants!$B$8,"",IF($BM81="-&gt;",$BU81,$BI81))</f>
        <v/>
      </c>
      <c r="CH81" s="93" t="str">
        <f aca="false">IF(ISBLANK($C81),"",IF($BZ81&lt;&gt;Constants!$B$8,$BZ81,IF(ISNUMBER($CG81),RANK($CG81,$CG$9:$CG$508,1),COUNT($CG$9:$CG$508)+1)))</f>
        <v/>
      </c>
      <c r="CI81" s="97" t="str">
        <f aca="false">IF($BZ81&lt;&gt;Constants!$B$8,"",IF($BM81="-&gt;",$BV81,$BJ81))</f>
        <v/>
      </c>
      <c r="CJ81" s="93" t="str">
        <f aca="false">IF(ISBLANK($C81),"",IF($BZ81&lt;&gt;Constants!$B$8,$BZ81,IF(ISNUMBER($CI81),RANK($CI81,$CI$9:$CI$508,1),COUNT($CI$9:$CI$508)+1)))</f>
        <v/>
      </c>
      <c r="CK81" s="97" t="str">
        <f aca="false">IF($BZ81&lt;&gt;Constants!$B$8,"",IF($BM81="-&gt;",$BW81,$BK81))</f>
        <v/>
      </c>
      <c r="CL81" s="93" t="str">
        <f aca="false">IF(ISBLANK($C81),"",IF($BZ81&lt;&gt;Constants!$B$8,$BZ81,IF(ISNUMBER($CK81),RANK($CK81,$CK$9:$CK$508,1),COUNT($CK$9:$CK$508)+1)))</f>
        <v/>
      </c>
      <c r="CM81" s="97" t="str">
        <f aca="false">IF($BZ81&lt;&gt;Constants!$B$8,"",IF(AND(NOT($AL81),NOT($AT81),$AJ81,$AK81,$AR81,$AS81),"",IF($BM81="-&gt;",$BX81,$BL81)))</f>
        <v/>
      </c>
      <c r="CN81" s="93" t="str">
        <f aca="false">IF(ISBLANK($C81),"",IF($BZ81&lt;&gt;Constants!$B$8,$BZ81,IF(ISNUMBER($CM81),RANK($CM81,$CM$9:$CM$508,1),COUNT($CM$9:$CM$508)+1)))</f>
        <v/>
      </c>
      <c r="CO81" s="93" t="str">
        <f aca="false">IF(ISBLANK($C81),"",IF($BZ81&lt;&gt;Constants!$B$8,$BZ81,COUNTIFS($CF$9:$CF$508,"&lt;"&amp;$CF81)+COUNTIFS($CF$9:$CF$508,$CF81,$CH$9:$CH$508,"&lt;"&amp;$CH81)+COUNTIFS($CF$9:$CF$508,$CF81,$CH$9:$CH$508,$CH81,$CJ$9:$CJ$508,"&lt;"&amp;$CJ81)+COUNTIFS($CF$9:$CF$508,$CF81,$CH$9:$CH$508,$CH81,$CJ$9:$CJ$508,$CJ81,$CL$9:$CL$508,"&lt;"&amp;$CL81)+COUNTIFS($CF$9:$CF$508,$CF81,$CH$9:$CH$508,$CH81,$CJ$9:$CJ$508,$CJ81,$CL$9:$CL$508,$CL81,$CN$9:$CN$508,"&lt;"&amp;$CN81)+1))</f>
        <v/>
      </c>
      <c r="CP81" s="93" t="str">
        <f aca="false">IF(ISBLANK($C81),"",IF($BZ81&lt;&gt;Constants!$B$8,$BZ81,$CF81-$CO81))</f>
        <v/>
      </c>
      <c r="CQ81" s="100"/>
      <c r="CR81" s="101"/>
      <c r="CS81" s="102" t="str">
        <f aca="false">IF(ISBLANK($C81),"",IF($BZ81=Constants!$B$12,$BY81,""))</f>
        <v/>
      </c>
      <c r="CT81" s="101" t="str">
        <f aca="false">IF(ISBLANK($C81),"",IF($BZ81&lt;&gt;Constants!$B$8,"",IF($BM81="-&gt;",2,1)))</f>
        <v/>
      </c>
      <c r="CU81" s="103" t="str">
        <f aca="false">IF(ISBLANK($C81),"",IF($BZ81&lt;&gt;Constants!$B$8,"",IF($BM81="-&gt;",$BO81,$BC81)))</f>
        <v/>
      </c>
      <c r="CV81" s="103" t="str">
        <f aca="false">IF(ISBLANK($C81),"",IF($BZ81&lt;&gt;Constants!$B$8,"",IF($BM81="-&gt;",$BP81,$BD81)))</f>
        <v/>
      </c>
      <c r="CW81" s="103" t="str">
        <f aca="false">IF(ISBLANK($C81),"",IF($BZ81&lt;&gt;Constants!$B$8,"",IF($BM81="-&gt;",$BQ81+$BR81,$BE81+$BF81)+$CD81))</f>
        <v/>
      </c>
      <c r="CX81" s="103" t="str">
        <f aca="false">IF(ISBLANK($C81),"",IF($BZ81&lt;&gt;Constants!$B$8,"",IF($BM81="-&gt;",$BS81,$BG81)+$CC81))</f>
        <v/>
      </c>
      <c r="CY81" s="104" t="str">
        <f aca="false">IF(ISBLANK($C81),"",IF($BZ81&lt;&gt;Constants!$B$8,$BZ81,$CE81))</f>
        <v/>
      </c>
      <c r="CZ81" s="105" t="str">
        <f aca="false">IF(ISBLANK($C81),"",$CA81)</f>
        <v/>
      </c>
      <c r="DA81" s="106" t="str">
        <f aca="false">IF(ISBLANK($C81),"",$CP81)</f>
        <v/>
      </c>
      <c r="DB81" s="106" t="str">
        <f aca="false">IF(ISBLANK($C81),"",$CO81)</f>
        <v/>
      </c>
      <c r="DC81" s="107" t="str">
        <f aca="false">IF(ISBLANK($C81),"",IFERROR(_xlfn.SWITCH($DB81,Constants!$B$11,COUNTA($C$9:$C$508)+2,Constants!$B$10,COUNTA($C$9:$C$508)+1,Constants!$B$9,COUNTA($C$9:$C$508)),$DB81))</f>
        <v/>
      </c>
      <c r="DD81" s="9"/>
      <c r="DE81" s="108" t="n">
        <f aca="false">IF(OR(ISNUMBER($DB81),$DB81=Constants!$B$11,$DB81=Constants!$B$9,$DB81=Constants!$B$10),1,0)</f>
        <v>0</v>
      </c>
      <c r="DF81" s="108" t="n">
        <v>73</v>
      </c>
      <c r="DG81" s="108" t="str">
        <f aca="false">IF(ISBLANK($C81),"",IF(ISNUMBER($DC81),$DC81+ROW($B81)/1000,""))</f>
        <v/>
      </c>
      <c r="DH81" s="108" t="str">
        <f aca="false">IF(ISNUMBER($DG81),RANK($DG81,$DG$9:$DG$508,1),"")</f>
        <v/>
      </c>
      <c r="DI81" s="108" t="str">
        <f aca="false">IF(ISBLANK($C81),"",$B81)</f>
        <v/>
      </c>
      <c r="DJ81" s="108" t="str">
        <f aca="false">IF(ISBLANK($C81),"",$C81)</f>
        <v/>
      </c>
      <c r="DK81" s="108" t="str">
        <f aca="false">IF(ISBLANK($C81),"",$D81)</f>
        <v/>
      </c>
      <c r="DL81" s="109" t="str">
        <f aca="false">$CZ81</f>
        <v/>
      </c>
      <c r="DM81" s="110" t="str">
        <f aca="false">$CY81</f>
        <v/>
      </c>
      <c r="DN81" s="108" t="str">
        <f aca="false">IF(ISBLANK($C81),"",$DB81)</f>
        <v/>
      </c>
      <c r="DO81" s="111" t="str">
        <f aca="false">IF($DF81&gt;$DE$8,"",VLOOKUP($DF81,$DH$9:$DN$508,7,FALSE()))</f>
        <v/>
      </c>
      <c r="DP81" s="112" t="str">
        <f aca="false">IF($DF81&gt;$DE$8,"",VLOOKUP($DF81,$DH$9:$DN$508,2,FALSE()))</f>
        <v/>
      </c>
      <c r="DQ81" s="112" t="str">
        <f aca="false">IF($DF81&gt;$DE$8,"",VLOOKUP($DF81,$DH$9:$DN$508,3,FALSE()))</f>
        <v/>
      </c>
      <c r="DR81" s="112" t="str">
        <f aca="false">IF($DF81&gt;$DE$8,"",VLOOKUP($DF81,$DH$9:$DN$508,4,FALSE()))</f>
        <v/>
      </c>
      <c r="DS81" s="112" t="str">
        <f aca="false">IF($DF81&gt;$DE$8,"",VLOOKUP($DF81,$DH$9:$DN$508,5,FALSE()))</f>
        <v/>
      </c>
      <c r="DT81" s="113" t="str">
        <f aca="false">IF($DF81&gt;$DE$8,"",VLOOKUP($DF81,$DH$9:$DN$508,6,FALSE()))</f>
        <v/>
      </c>
      <c r="DU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IF(ISBLANK($C82),"",IF(E82=Constants!$B$3,TRUE(),IF(E82=Constants!$B$4,FALSE(),TRUE())))</f>
        <v/>
      </c>
      <c r="AG82" s="93" t="str">
        <f aca="false">IF(ISBLANK($C82),"",IF(F82=Constants!$B$3,TRUE(),IF(F82=Constants!$B$4,FALSE(),TRUE())))</f>
        <v/>
      </c>
      <c r="AH82" s="93" t="str">
        <f aca="false">IF(ISBLANK($C82),"",IF(G82=Constants!$B$3,TRUE(),IF(G82=Constants!$B$4,FALSE(),TRUE())))</f>
        <v/>
      </c>
      <c r="AI82" s="93" t="str">
        <f aca="false">IF(ISBLANK($C82),"",IF(AND(ISNUMBER(H82),H82&gt;=0),H82,Constants!$B$29))</f>
        <v/>
      </c>
      <c r="AJ82" s="93" t="str">
        <f aca="false">IF(ISBLANK($C82),"",IF(I82=Constants!$B$3,TRUE(),IF(I82=Constants!$B$4,FALSE(),TRUE())))</f>
        <v/>
      </c>
      <c r="AK82" s="93" t="str">
        <f aca="false">IF(ISBLANK($C82),"",IF(J82=Constants!$B$3,TRUE(),IF(J82=Constants!$B$4,FALSE(),TRUE())))</f>
        <v/>
      </c>
      <c r="AL82" s="93" t="str">
        <f aca="false">IF(ISBLANK($C82),"",IF(K82=Constants!$B$5,TRUE(),IF(K82=Constants!$B$6,FALSE(),COUNTA(L82:P82)&gt;0)))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IF(ISBLANK($C82),"",IF(N82=Constants!$B$3,TRUE(),IF(N82=Constants!$B$4,FALSE(),TRUE())))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IF(ISBLANK($C82),"",IF(P82=Constants!$B$3,TRUE(),IF(P82=Constants!$B$4,FALSE(),FALSE())))</f>
        <v/>
      </c>
      <c r="AR82" s="93" t="str">
        <f aca="false">IF(ISBLANK($C82),"",IF(Q82=Constants!$B$3,TRUE(),IF(Q82=Constants!$B$4,FALSE(),TRUE())))</f>
        <v/>
      </c>
      <c r="AS82" s="93" t="str">
        <f aca="false">IF(ISBLANK($C82),"",IF(R82=Constants!$B$3,TRUE(),IF(R82=Constants!$B$4,FALSE(),TRUE())))</f>
        <v/>
      </c>
      <c r="AT82" s="93" t="str">
        <f aca="false">IF(ISBLANK($C82),"",IF(S82=Constants!$B$5,TRUE(),IF(S82=Constants!$B$6,FALSE(),COUNTA(T82:X82)&gt;0)))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IF(ISBLANK($C82),"",IF(V82=Constants!$B$3,TRUE(),IF(V82=Constants!$B$4,FALSE(),TRUE())))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IF(ISBLANK($C82),"",IF(X82=Constants!$B$3,TRUE(),IF(X82=Constants!$B$4,FALSE(),FALSE())))</f>
        <v/>
      </c>
      <c r="AZ82" s="93" t="str">
        <f aca="false">IF(ISBLANK($C82),"",MIN(Constants!$B$31,MAX(0,IF(ISNUMBER(Y82),Y82*60,0)+IF(ISNUMBER(Z82),Z82,0))))</f>
        <v/>
      </c>
      <c r="BA82" s="93" t="str">
        <f aca="false">IF(ISBLANK($C82),"",IF(AA82=Constants!$B$3,TRUE(),IF(AA82=Constants!$B$4,FALSE(),FALSE())))</f>
        <v/>
      </c>
      <c r="BB82" s="92" t="str">
        <f aca="false">IF(ISBLANK($C82),"",AND($AL82,OR($AM82="",$AN82="",AND($AO82,$AP82=""))))</f>
        <v/>
      </c>
      <c r="BC82" s="94" t="str">
        <f aca="false">IF($BZ82&lt;&gt;Constants!$B$8,"",IF($AL82,Constants!$B$21*$AN82+Constants!$B$22*IF($AO82,$AP82,Constants!$B$23),Constants!$B$24))</f>
        <v/>
      </c>
      <c r="BD82" s="97" t="str">
        <f aca="false">IF($BZ82&lt;&gt;Constants!$B$8,"",Constants!$B$25*ABS($AD$9-IF($AL82,$AM82,0)))</f>
        <v/>
      </c>
      <c r="BE82" s="97" t="str">
        <f aca="false">IF($BZ82&lt;&gt;Constants!$B$8,"",IF(AND($AL82,$AQ82,$AO82),Constants!$B$27,0))</f>
        <v/>
      </c>
      <c r="BF82" s="97" t="str">
        <f aca="false">IF($BZ82&lt;&gt;Constants!$B$8,"",IF($AL82,($AI82-Constants!$B$29)*Constants!$B$28,0))</f>
        <v/>
      </c>
      <c r="BG82" s="97" t="str">
        <f aca="false">IF($BZ82&lt;&gt;Constants!$B$8,"",IF($AK82,0,Constants!$B$15)+IF($AJ82,0,Constants!$B$16)+IF($AH82,0,Constants!$B$17))</f>
        <v/>
      </c>
      <c r="BH82" s="98" t="str">
        <f aca="false">IF($BZ82&lt;&gt;Constants!$B$8,"",Constants!$B$20+SUM($BC82:$BG82))</f>
        <v/>
      </c>
      <c r="BI82" s="97" t="str">
        <f aca="false">IF($BZ82&lt;&gt;Constants!$B$8,"",$BC82)</f>
        <v/>
      </c>
      <c r="BJ82" s="97" t="str">
        <f aca="false">IF($BZ82&lt;&gt;Constants!$B$8,"",$BD82)</f>
        <v/>
      </c>
      <c r="BK82" s="97" t="str">
        <f aca="false">IF($BZ82&lt;&gt;Constants!$B$8,"",IF($AL82,$AN82,""))</f>
        <v/>
      </c>
      <c r="BL82" s="99" t="str">
        <f aca="false">IF($BZ82&lt;&gt;Constants!$B$8,"",$AI82)</f>
        <v/>
      </c>
      <c r="BM82" s="93" t="str">
        <f aca="false">IF($BZ82&lt;&gt;Constants!$B$8,"",IF(OR($BT82&lt;$BH82,AND($BT82=$BH82,OR($BU82&lt;$BI82,AND($BU82=$BI82,OR($BV82&lt;$BJ82,AND($BV82=$BJ82,OR(AND(ISNUMBER($BW82),OR(NOT(ISNUMBER($BK82)),$BW82&lt;$BK82)),AND(OR(AND($BW82="",$BK82=""),AND(ISNUMBER($BW82),ISNUMBER($BK82),$BW82=$BK82)),$BX82&lt;$BL82)))))))),"-&gt;","&lt;-"))</f>
        <v/>
      </c>
      <c r="BN82" s="92" t="str">
        <f aca="false">IF(ISBLANK($C82),"",AND($AT82,OR($AU82="",$AV82="",AND($AW82,$AX82=""))))</f>
        <v/>
      </c>
      <c r="BO82" s="94" t="str">
        <f aca="false">IF($BZ82&lt;&gt;Constants!$B$8,"",IF($AT82,Constants!$B$21*$AV82+Constants!$B$22*IF($AW82,$AX82,Constants!$B$23),Constants!$B$24))</f>
        <v/>
      </c>
      <c r="BP82" s="97" t="str">
        <f aca="false">IF($BZ82&lt;&gt;Constants!$B$8,"",Constants!$B$25*ABS($AD$9-IF($AT82,$AU82,0)))</f>
        <v/>
      </c>
      <c r="BQ82" s="97" t="str">
        <f aca="false">IF($BZ82&lt;&gt;Constants!$B$8,"",IF(AND($AT82,$AY82,$AW82),Constants!$B$27,0))</f>
        <v/>
      </c>
      <c r="BR82" s="97" t="str">
        <f aca="false">IF($BZ82&lt;&gt;Constants!$B$8,"",IF($AT82,($AI82-Constants!$B$29)*Constants!$B$28,0))</f>
        <v/>
      </c>
      <c r="BS82" s="97" t="str">
        <f aca="false">IF($BZ82&lt;&gt;Constants!$B$8,"",IF($AS82,0,Constants!$B$15)+IF($AR82,0,Constants!$B$16)+IF($AH82,0,Constants!$B$17))</f>
        <v/>
      </c>
      <c r="BT82" s="98" t="str">
        <f aca="false">IF($BZ82&lt;&gt;Constants!$B$8,"",Constants!$B$20+SUM($BO82:$BS82))</f>
        <v/>
      </c>
      <c r="BU82" s="97" t="str">
        <f aca="false">IF($BZ82&lt;&gt;Constants!$B$8,"",$BO82)</f>
        <v/>
      </c>
      <c r="BV82" s="97" t="str">
        <f aca="false">IF($BZ82&lt;&gt;Constants!$B$8,"",$BP82)</f>
        <v/>
      </c>
      <c r="BW82" s="97" t="str">
        <f aca="false">IF($BZ82&lt;&gt;Constants!$B$8,"",IF($AT82,$AV82,""))</f>
        <v/>
      </c>
      <c r="BX82" s="99" t="str">
        <f aca="false">IF($BZ82&lt;&gt;Constants!$B$8,"",$AI82)</f>
        <v/>
      </c>
      <c r="BY82" s="93" t="str">
        <f aca="false">IF(ISBLANK($C82),"",IF(ISBLANK($D$7),$BY$5,IF(NOT(ISNUMBER($D$7)),$BY$6,"")))</f>
        <v/>
      </c>
      <c r="BZ82" s="93" t="str">
        <f aca="false">IF(ISBLANK($C82),"",IF($BA82,Constants!$B$11,IF(COUNTA($E82:$AA82)=0,Constants!$B$10,IF(NOT($AG82),Constants!$B$9,IF(OR($BY82&lt;&gt;"",$BB82,$BN82),Constants!$B$12,Constants!$B$8)))))</f>
        <v/>
      </c>
      <c r="CA82" s="93" t="str">
        <f aca="false">IF(ISBLANK($C82),"",IF($BZ82&lt;&gt;Constants!$B$8,$BZ82,Constants!$B$13))</f>
        <v/>
      </c>
      <c r="CB82" s="97" t="str">
        <f aca="false">IF($BZ82&lt;&gt;Constants!$B$8,"",IF($BM82="-&gt;",$BT82,$BH82))</f>
        <v/>
      </c>
      <c r="CC82" s="97" t="str">
        <f aca="false">IF($BZ82&lt;&gt;Constants!$B$8,"",IF($AF82,0,Constants!$B$18))</f>
        <v/>
      </c>
      <c r="CD82" s="97" t="str">
        <f aca="false">IF($BZ82&lt;&gt;Constants!$B$8,"",((Constants!$B$31-$AZ82)-Constants!$B$31)/Constants!$B$32)</f>
        <v/>
      </c>
      <c r="CE82" s="97" t="str">
        <f aca="false">IF(ISBLANK($C82),"",IF($BZ82&lt;&gt;Constants!$B$8,$BZ82,SUM($CB82:$CD82)))</f>
        <v/>
      </c>
      <c r="CF82" s="93" t="str">
        <f aca="false">IF(ISBLANK($C82),"",IF($BZ82&lt;&gt;Constants!$B$8,$BZ82,RANK($CE82,$CE$9:$CE$508,1)))</f>
        <v/>
      </c>
      <c r="CG82" s="97" t="str">
        <f aca="false">IF($BZ82&lt;&gt;Constants!$B$8,"",IF($BM82="-&gt;",$BU82,$BI82))</f>
        <v/>
      </c>
      <c r="CH82" s="93" t="str">
        <f aca="false">IF(ISBLANK($C82),"",IF($BZ82&lt;&gt;Constants!$B$8,$BZ82,IF(ISNUMBER($CG82),RANK($CG82,$CG$9:$CG$508,1),COUNT($CG$9:$CG$508)+1)))</f>
        <v/>
      </c>
      <c r="CI82" s="97" t="str">
        <f aca="false">IF($BZ82&lt;&gt;Constants!$B$8,"",IF($BM82="-&gt;",$BV82,$BJ82))</f>
        <v/>
      </c>
      <c r="CJ82" s="93" t="str">
        <f aca="false">IF(ISBLANK($C82),"",IF($BZ82&lt;&gt;Constants!$B$8,$BZ82,IF(ISNUMBER($CI82),RANK($CI82,$CI$9:$CI$508,1),COUNT($CI$9:$CI$508)+1)))</f>
        <v/>
      </c>
      <c r="CK82" s="97" t="str">
        <f aca="false">IF($BZ82&lt;&gt;Constants!$B$8,"",IF($BM82="-&gt;",$BW82,$BK82))</f>
        <v/>
      </c>
      <c r="CL82" s="93" t="str">
        <f aca="false">IF(ISBLANK($C82),"",IF($BZ82&lt;&gt;Constants!$B$8,$BZ82,IF(ISNUMBER($CK82),RANK($CK82,$CK$9:$CK$508,1),COUNT($CK$9:$CK$508)+1)))</f>
        <v/>
      </c>
      <c r="CM82" s="97" t="str">
        <f aca="false">IF($BZ82&lt;&gt;Constants!$B$8,"",IF(AND(NOT($AL82),NOT($AT82),$AJ82,$AK82,$AR82,$AS82),"",IF($BM82="-&gt;",$BX82,$BL82)))</f>
        <v/>
      </c>
      <c r="CN82" s="93" t="str">
        <f aca="false">IF(ISBLANK($C82),"",IF($BZ82&lt;&gt;Constants!$B$8,$BZ82,IF(ISNUMBER($CM82),RANK($CM82,$CM$9:$CM$508,1),COUNT($CM$9:$CM$508)+1)))</f>
        <v/>
      </c>
      <c r="CO82" s="93" t="str">
        <f aca="false">IF(ISBLANK($C82),"",IF($BZ82&lt;&gt;Constants!$B$8,$BZ82,COUNTIFS($CF$9:$CF$508,"&lt;"&amp;$CF82)+COUNTIFS($CF$9:$CF$508,$CF82,$CH$9:$CH$508,"&lt;"&amp;$CH82)+COUNTIFS($CF$9:$CF$508,$CF82,$CH$9:$CH$508,$CH82,$CJ$9:$CJ$508,"&lt;"&amp;$CJ82)+COUNTIFS($CF$9:$CF$508,$CF82,$CH$9:$CH$508,$CH82,$CJ$9:$CJ$508,$CJ82,$CL$9:$CL$508,"&lt;"&amp;$CL82)+COUNTIFS($CF$9:$CF$508,$CF82,$CH$9:$CH$508,$CH82,$CJ$9:$CJ$508,$CJ82,$CL$9:$CL$508,$CL82,$CN$9:$CN$508,"&lt;"&amp;$CN82)+1))</f>
        <v/>
      </c>
      <c r="CP82" s="93" t="str">
        <f aca="false">IF(ISBLANK($C82),"",IF($BZ82&lt;&gt;Constants!$B$8,$BZ82,$CF82-$CO82))</f>
        <v/>
      </c>
      <c r="CQ82" s="100"/>
      <c r="CR82" s="101"/>
      <c r="CS82" s="102" t="str">
        <f aca="false">IF(ISBLANK($C82),"",IF($BZ82=Constants!$B$12,$BY82,""))</f>
        <v/>
      </c>
      <c r="CT82" s="101" t="str">
        <f aca="false">IF(ISBLANK($C82),"",IF($BZ82&lt;&gt;Constants!$B$8,"",IF($BM82="-&gt;",2,1)))</f>
        <v/>
      </c>
      <c r="CU82" s="103" t="str">
        <f aca="false">IF(ISBLANK($C82),"",IF($BZ82&lt;&gt;Constants!$B$8,"",IF($BM82="-&gt;",$BO82,$BC82)))</f>
        <v/>
      </c>
      <c r="CV82" s="103" t="str">
        <f aca="false">IF(ISBLANK($C82),"",IF($BZ82&lt;&gt;Constants!$B$8,"",IF($BM82="-&gt;",$BP82,$BD82)))</f>
        <v/>
      </c>
      <c r="CW82" s="103" t="str">
        <f aca="false">IF(ISBLANK($C82),"",IF($BZ82&lt;&gt;Constants!$B$8,"",IF($BM82="-&gt;",$BQ82+$BR82,$BE82+$BF82)+$CD82))</f>
        <v/>
      </c>
      <c r="CX82" s="103" t="str">
        <f aca="false">IF(ISBLANK($C82),"",IF($BZ82&lt;&gt;Constants!$B$8,"",IF($BM82="-&gt;",$BS82,$BG82)+$CC82))</f>
        <v/>
      </c>
      <c r="CY82" s="104" t="str">
        <f aca="false">IF(ISBLANK($C82),"",IF($BZ82&lt;&gt;Constants!$B$8,$BZ82,$CE82))</f>
        <v/>
      </c>
      <c r="CZ82" s="105" t="str">
        <f aca="false">IF(ISBLANK($C82),"",$CA82)</f>
        <v/>
      </c>
      <c r="DA82" s="106" t="str">
        <f aca="false">IF(ISBLANK($C82),"",$CP82)</f>
        <v/>
      </c>
      <c r="DB82" s="106" t="str">
        <f aca="false">IF(ISBLANK($C82),"",$CO82)</f>
        <v/>
      </c>
      <c r="DC82" s="107" t="str">
        <f aca="false">IF(ISBLANK($C82),"",IFERROR(_xlfn.SWITCH($DB82,Constants!$B$11,COUNTA($C$9:$C$508)+2,Constants!$B$10,COUNTA($C$9:$C$508)+1,Constants!$B$9,COUNTA($C$9:$C$508)),$DB82))</f>
        <v/>
      </c>
      <c r="DD82" s="9"/>
      <c r="DE82" s="108" t="n">
        <f aca="false">IF(OR(ISNUMBER($DB82),$DB82=Constants!$B$11,$DB82=Constants!$B$9,$DB82=Constants!$B$10),1,0)</f>
        <v>0</v>
      </c>
      <c r="DF82" s="108" t="n">
        <v>74</v>
      </c>
      <c r="DG82" s="108" t="str">
        <f aca="false">IF(ISBLANK($C82),"",IF(ISNUMBER($DC82),$DC82+ROW($B82)/1000,""))</f>
        <v/>
      </c>
      <c r="DH82" s="108" t="str">
        <f aca="false">IF(ISNUMBER($DG82),RANK($DG82,$DG$9:$DG$508,1),"")</f>
        <v/>
      </c>
      <c r="DI82" s="108" t="str">
        <f aca="false">IF(ISBLANK($C82),"",$B82)</f>
        <v/>
      </c>
      <c r="DJ82" s="108" t="str">
        <f aca="false">IF(ISBLANK($C82),"",$C82)</f>
        <v/>
      </c>
      <c r="DK82" s="108" t="str">
        <f aca="false">IF(ISBLANK($C82),"",$D82)</f>
        <v/>
      </c>
      <c r="DL82" s="109" t="str">
        <f aca="false">$CZ82</f>
        <v/>
      </c>
      <c r="DM82" s="110" t="str">
        <f aca="false">$CY82</f>
        <v/>
      </c>
      <c r="DN82" s="108" t="str">
        <f aca="false">IF(ISBLANK($C82),"",$DB82)</f>
        <v/>
      </c>
      <c r="DO82" s="111" t="str">
        <f aca="false">IF($DF82&gt;$DE$8,"",VLOOKUP($DF82,$DH$9:$DN$508,7,FALSE()))</f>
        <v/>
      </c>
      <c r="DP82" s="112" t="str">
        <f aca="false">IF($DF82&gt;$DE$8,"",VLOOKUP($DF82,$DH$9:$DN$508,2,FALSE()))</f>
        <v/>
      </c>
      <c r="DQ82" s="112" t="str">
        <f aca="false">IF($DF82&gt;$DE$8,"",VLOOKUP($DF82,$DH$9:$DN$508,3,FALSE()))</f>
        <v/>
      </c>
      <c r="DR82" s="112" t="str">
        <f aca="false">IF($DF82&gt;$DE$8,"",VLOOKUP($DF82,$DH$9:$DN$508,4,FALSE()))</f>
        <v/>
      </c>
      <c r="DS82" s="112" t="str">
        <f aca="false">IF($DF82&gt;$DE$8,"",VLOOKUP($DF82,$DH$9:$DN$508,5,FALSE()))</f>
        <v/>
      </c>
      <c r="DT82" s="113" t="str">
        <f aca="false">IF($DF82&gt;$DE$8,"",VLOOKUP($DF82,$DH$9:$DN$508,6,FALSE()))</f>
        <v/>
      </c>
      <c r="DU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IF(ISBLANK($C83),"",IF(E83=Constants!$B$3,TRUE(),IF(E83=Constants!$B$4,FALSE(),TRUE())))</f>
        <v/>
      </c>
      <c r="AG83" s="93" t="str">
        <f aca="false">IF(ISBLANK($C83),"",IF(F83=Constants!$B$3,TRUE(),IF(F83=Constants!$B$4,FALSE(),TRUE())))</f>
        <v/>
      </c>
      <c r="AH83" s="93" t="str">
        <f aca="false">IF(ISBLANK($C83),"",IF(G83=Constants!$B$3,TRUE(),IF(G83=Constants!$B$4,FALSE(),TRUE())))</f>
        <v/>
      </c>
      <c r="AI83" s="93" t="str">
        <f aca="false">IF(ISBLANK($C83),"",IF(AND(ISNUMBER(H83),H83&gt;=0),H83,Constants!$B$29))</f>
        <v/>
      </c>
      <c r="AJ83" s="93" t="str">
        <f aca="false">IF(ISBLANK($C83),"",IF(I83=Constants!$B$3,TRUE(),IF(I83=Constants!$B$4,FALSE(),TRUE())))</f>
        <v/>
      </c>
      <c r="AK83" s="93" t="str">
        <f aca="false">IF(ISBLANK($C83),"",IF(J83=Constants!$B$3,TRUE(),IF(J83=Constants!$B$4,FALSE(),TRUE())))</f>
        <v/>
      </c>
      <c r="AL83" s="93" t="str">
        <f aca="false">IF(ISBLANK($C83),"",IF(K83=Constants!$B$5,TRUE(),IF(K83=Constants!$B$6,FALSE(),COUNTA(L83:P83)&gt;0)))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IF(ISBLANK($C83),"",IF(N83=Constants!$B$3,TRUE(),IF(N83=Constants!$B$4,FALSE(),TRUE())))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IF(ISBLANK($C83),"",IF(P83=Constants!$B$3,TRUE(),IF(P83=Constants!$B$4,FALSE(),FALSE())))</f>
        <v/>
      </c>
      <c r="AR83" s="93" t="str">
        <f aca="false">IF(ISBLANK($C83),"",IF(Q83=Constants!$B$3,TRUE(),IF(Q83=Constants!$B$4,FALSE(),TRUE())))</f>
        <v/>
      </c>
      <c r="AS83" s="93" t="str">
        <f aca="false">IF(ISBLANK($C83),"",IF(R83=Constants!$B$3,TRUE(),IF(R83=Constants!$B$4,FALSE(),TRUE())))</f>
        <v/>
      </c>
      <c r="AT83" s="93" t="str">
        <f aca="false">IF(ISBLANK($C83),"",IF(S83=Constants!$B$5,TRUE(),IF(S83=Constants!$B$6,FALSE(),COUNTA(T83:X83)&gt;0)))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IF(ISBLANK($C83),"",IF(V83=Constants!$B$3,TRUE(),IF(V83=Constants!$B$4,FALSE(),TRUE())))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IF(ISBLANK($C83),"",IF(X83=Constants!$B$3,TRUE(),IF(X83=Constants!$B$4,FALSE(),FALSE())))</f>
        <v/>
      </c>
      <c r="AZ83" s="93" t="str">
        <f aca="false">IF(ISBLANK($C83),"",MIN(Constants!$B$31,MAX(0,IF(ISNUMBER(Y83),Y83*60,0)+IF(ISNUMBER(Z83),Z83,0))))</f>
        <v/>
      </c>
      <c r="BA83" s="93" t="str">
        <f aca="false">IF(ISBLANK($C83),"",IF(AA83=Constants!$B$3,TRUE(),IF(AA83=Constants!$B$4,FALSE(),FALSE())))</f>
        <v/>
      </c>
      <c r="BB83" s="92" t="str">
        <f aca="false">IF(ISBLANK($C83),"",AND($AL83,OR($AM83="",$AN83="",AND($AO83,$AP83=""))))</f>
        <v/>
      </c>
      <c r="BC83" s="94" t="str">
        <f aca="false">IF($BZ83&lt;&gt;Constants!$B$8,"",IF($AL83,Constants!$B$21*$AN83+Constants!$B$22*IF($AO83,$AP83,Constants!$B$23),Constants!$B$24))</f>
        <v/>
      </c>
      <c r="BD83" s="97" t="str">
        <f aca="false">IF($BZ83&lt;&gt;Constants!$B$8,"",Constants!$B$25*ABS($AD$9-IF($AL83,$AM83,0)))</f>
        <v/>
      </c>
      <c r="BE83" s="97" t="str">
        <f aca="false">IF($BZ83&lt;&gt;Constants!$B$8,"",IF(AND($AL83,$AQ83,$AO83),Constants!$B$27,0))</f>
        <v/>
      </c>
      <c r="BF83" s="97" t="str">
        <f aca="false">IF($BZ83&lt;&gt;Constants!$B$8,"",IF($AL83,($AI83-Constants!$B$29)*Constants!$B$28,0))</f>
        <v/>
      </c>
      <c r="BG83" s="97" t="str">
        <f aca="false">IF($BZ83&lt;&gt;Constants!$B$8,"",IF($AK83,0,Constants!$B$15)+IF($AJ83,0,Constants!$B$16)+IF($AH83,0,Constants!$B$17))</f>
        <v/>
      </c>
      <c r="BH83" s="98" t="str">
        <f aca="false">IF($BZ83&lt;&gt;Constants!$B$8,"",Constants!$B$20+SUM($BC83:$BG83))</f>
        <v/>
      </c>
      <c r="BI83" s="97" t="str">
        <f aca="false">IF($BZ83&lt;&gt;Constants!$B$8,"",$BC83)</f>
        <v/>
      </c>
      <c r="BJ83" s="97" t="str">
        <f aca="false">IF($BZ83&lt;&gt;Constants!$B$8,"",$BD83)</f>
        <v/>
      </c>
      <c r="BK83" s="97" t="str">
        <f aca="false">IF($BZ83&lt;&gt;Constants!$B$8,"",IF($AL83,$AN83,""))</f>
        <v/>
      </c>
      <c r="BL83" s="99" t="str">
        <f aca="false">IF($BZ83&lt;&gt;Constants!$B$8,"",$AI83)</f>
        <v/>
      </c>
      <c r="BM83" s="93" t="str">
        <f aca="false">IF($BZ83&lt;&gt;Constants!$B$8,"",IF(OR($BT83&lt;$BH83,AND($BT83=$BH83,OR($BU83&lt;$BI83,AND($BU83=$BI83,OR($BV83&lt;$BJ83,AND($BV83=$BJ83,OR(AND(ISNUMBER($BW83),OR(NOT(ISNUMBER($BK83)),$BW83&lt;$BK83)),AND(OR(AND($BW83="",$BK83=""),AND(ISNUMBER($BW83),ISNUMBER($BK83),$BW83=$BK83)),$BX83&lt;$BL83)))))))),"-&gt;","&lt;-"))</f>
        <v/>
      </c>
      <c r="BN83" s="92" t="str">
        <f aca="false">IF(ISBLANK($C83),"",AND($AT83,OR($AU83="",$AV83="",AND($AW83,$AX83=""))))</f>
        <v/>
      </c>
      <c r="BO83" s="94" t="str">
        <f aca="false">IF($BZ83&lt;&gt;Constants!$B$8,"",IF($AT83,Constants!$B$21*$AV83+Constants!$B$22*IF($AW83,$AX83,Constants!$B$23),Constants!$B$24))</f>
        <v/>
      </c>
      <c r="BP83" s="97" t="str">
        <f aca="false">IF($BZ83&lt;&gt;Constants!$B$8,"",Constants!$B$25*ABS($AD$9-IF($AT83,$AU83,0)))</f>
        <v/>
      </c>
      <c r="BQ83" s="97" t="str">
        <f aca="false">IF($BZ83&lt;&gt;Constants!$B$8,"",IF(AND($AT83,$AY83,$AW83),Constants!$B$27,0))</f>
        <v/>
      </c>
      <c r="BR83" s="97" t="str">
        <f aca="false">IF($BZ83&lt;&gt;Constants!$B$8,"",IF($AT83,($AI83-Constants!$B$29)*Constants!$B$28,0))</f>
        <v/>
      </c>
      <c r="BS83" s="97" t="str">
        <f aca="false">IF($BZ83&lt;&gt;Constants!$B$8,"",IF($AS83,0,Constants!$B$15)+IF($AR83,0,Constants!$B$16)+IF($AH83,0,Constants!$B$17))</f>
        <v/>
      </c>
      <c r="BT83" s="98" t="str">
        <f aca="false">IF($BZ83&lt;&gt;Constants!$B$8,"",Constants!$B$20+SUM($BO83:$BS83))</f>
        <v/>
      </c>
      <c r="BU83" s="97" t="str">
        <f aca="false">IF($BZ83&lt;&gt;Constants!$B$8,"",$BO83)</f>
        <v/>
      </c>
      <c r="BV83" s="97" t="str">
        <f aca="false">IF($BZ83&lt;&gt;Constants!$B$8,"",$BP83)</f>
        <v/>
      </c>
      <c r="BW83" s="97" t="str">
        <f aca="false">IF($BZ83&lt;&gt;Constants!$B$8,"",IF($AT83,$AV83,""))</f>
        <v/>
      </c>
      <c r="BX83" s="99" t="str">
        <f aca="false">IF($BZ83&lt;&gt;Constants!$B$8,"",$AI83)</f>
        <v/>
      </c>
      <c r="BY83" s="93" t="str">
        <f aca="false">IF(ISBLANK($C83),"",IF(ISBLANK($D$7),$BY$5,IF(NOT(ISNUMBER($D$7)),$BY$6,"")))</f>
        <v/>
      </c>
      <c r="BZ83" s="93" t="str">
        <f aca="false">IF(ISBLANK($C83),"",IF($BA83,Constants!$B$11,IF(COUNTA($E83:$AA83)=0,Constants!$B$10,IF(NOT($AG83),Constants!$B$9,IF(OR($BY83&lt;&gt;"",$BB83,$BN83),Constants!$B$12,Constants!$B$8)))))</f>
        <v/>
      </c>
      <c r="CA83" s="93" t="str">
        <f aca="false">IF(ISBLANK($C83),"",IF($BZ83&lt;&gt;Constants!$B$8,$BZ83,Constants!$B$13))</f>
        <v/>
      </c>
      <c r="CB83" s="97" t="str">
        <f aca="false">IF($BZ83&lt;&gt;Constants!$B$8,"",IF($BM83="-&gt;",$BT83,$BH83))</f>
        <v/>
      </c>
      <c r="CC83" s="97" t="str">
        <f aca="false">IF($BZ83&lt;&gt;Constants!$B$8,"",IF($AF83,0,Constants!$B$18))</f>
        <v/>
      </c>
      <c r="CD83" s="97" t="str">
        <f aca="false">IF($BZ83&lt;&gt;Constants!$B$8,"",((Constants!$B$31-$AZ83)-Constants!$B$31)/Constants!$B$32)</f>
        <v/>
      </c>
      <c r="CE83" s="97" t="str">
        <f aca="false">IF(ISBLANK($C83),"",IF($BZ83&lt;&gt;Constants!$B$8,$BZ83,SUM($CB83:$CD83)))</f>
        <v/>
      </c>
      <c r="CF83" s="93" t="str">
        <f aca="false">IF(ISBLANK($C83),"",IF($BZ83&lt;&gt;Constants!$B$8,$BZ83,RANK($CE83,$CE$9:$CE$508,1)))</f>
        <v/>
      </c>
      <c r="CG83" s="97" t="str">
        <f aca="false">IF($BZ83&lt;&gt;Constants!$B$8,"",IF($BM83="-&gt;",$BU83,$BI83))</f>
        <v/>
      </c>
      <c r="CH83" s="93" t="str">
        <f aca="false">IF(ISBLANK($C83),"",IF($BZ83&lt;&gt;Constants!$B$8,$BZ83,IF(ISNUMBER($CG83),RANK($CG83,$CG$9:$CG$508,1),COUNT($CG$9:$CG$508)+1)))</f>
        <v/>
      </c>
      <c r="CI83" s="97" t="str">
        <f aca="false">IF($BZ83&lt;&gt;Constants!$B$8,"",IF($BM83="-&gt;",$BV83,$BJ83))</f>
        <v/>
      </c>
      <c r="CJ83" s="93" t="str">
        <f aca="false">IF(ISBLANK($C83),"",IF($BZ83&lt;&gt;Constants!$B$8,$BZ83,IF(ISNUMBER($CI83),RANK($CI83,$CI$9:$CI$508,1),COUNT($CI$9:$CI$508)+1)))</f>
        <v/>
      </c>
      <c r="CK83" s="97" t="str">
        <f aca="false">IF($BZ83&lt;&gt;Constants!$B$8,"",IF($BM83="-&gt;",$BW83,$BK83))</f>
        <v/>
      </c>
      <c r="CL83" s="93" t="str">
        <f aca="false">IF(ISBLANK($C83),"",IF($BZ83&lt;&gt;Constants!$B$8,$BZ83,IF(ISNUMBER($CK83),RANK($CK83,$CK$9:$CK$508,1),COUNT($CK$9:$CK$508)+1)))</f>
        <v/>
      </c>
      <c r="CM83" s="97" t="str">
        <f aca="false">IF($BZ83&lt;&gt;Constants!$B$8,"",IF(AND(NOT($AL83),NOT($AT83),$AJ83,$AK83,$AR83,$AS83),"",IF($BM83="-&gt;",$BX83,$BL83)))</f>
        <v/>
      </c>
      <c r="CN83" s="93" t="str">
        <f aca="false">IF(ISBLANK($C83),"",IF($BZ83&lt;&gt;Constants!$B$8,$BZ83,IF(ISNUMBER($CM83),RANK($CM83,$CM$9:$CM$508,1),COUNT($CM$9:$CM$508)+1)))</f>
        <v/>
      </c>
      <c r="CO83" s="93" t="str">
        <f aca="false">IF(ISBLANK($C83),"",IF($BZ83&lt;&gt;Constants!$B$8,$BZ83,COUNTIFS($CF$9:$CF$508,"&lt;"&amp;$CF83)+COUNTIFS($CF$9:$CF$508,$CF83,$CH$9:$CH$508,"&lt;"&amp;$CH83)+COUNTIFS($CF$9:$CF$508,$CF83,$CH$9:$CH$508,$CH83,$CJ$9:$CJ$508,"&lt;"&amp;$CJ83)+COUNTIFS($CF$9:$CF$508,$CF83,$CH$9:$CH$508,$CH83,$CJ$9:$CJ$508,$CJ83,$CL$9:$CL$508,"&lt;"&amp;$CL83)+COUNTIFS($CF$9:$CF$508,$CF83,$CH$9:$CH$508,$CH83,$CJ$9:$CJ$508,$CJ83,$CL$9:$CL$508,$CL83,$CN$9:$CN$508,"&lt;"&amp;$CN83)+1))</f>
        <v/>
      </c>
      <c r="CP83" s="93" t="str">
        <f aca="false">IF(ISBLANK($C83),"",IF($BZ83&lt;&gt;Constants!$B$8,$BZ83,$CF83-$CO83))</f>
        <v/>
      </c>
      <c r="CQ83" s="100"/>
      <c r="CR83" s="101"/>
      <c r="CS83" s="102" t="str">
        <f aca="false">IF(ISBLANK($C83),"",IF($BZ83=Constants!$B$12,$BY83,""))</f>
        <v/>
      </c>
      <c r="CT83" s="101" t="str">
        <f aca="false">IF(ISBLANK($C83),"",IF($BZ83&lt;&gt;Constants!$B$8,"",IF($BM83="-&gt;",2,1)))</f>
        <v/>
      </c>
      <c r="CU83" s="103" t="str">
        <f aca="false">IF(ISBLANK($C83),"",IF($BZ83&lt;&gt;Constants!$B$8,"",IF($BM83="-&gt;",$BO83,$BC83)))</f>
        <v/>
      </c>
      <c r="CV83" s="103" t="str">
        <f aca="false">IF(ISBLANK($C83),"",IF($BZ83&lt;&gt;Constants!$B$8,"",IF($BM83="-&gt;",$BP83,$BD83)))</f>
        <v/>
      </c>
      <c r="CW83" s="103" t="str">
        <f aca="false">IF(ISBLANK($C83),"",IF($BZ83&lt;&gt;Constants!$B$8,"",IF($BM83="-&gt;",$BQ83+$BR83,$BE83+$BF83)+$CD83))</f>
        <v/>
      </c>
      <c r="CX83" s="103" t="str">
        <f aca="false">IF(ISBLANK($C83),"",IF($BZ83&lt;&gt;Constants!$B$8,"",IF($BM83="-&gt;",$BS83,$BG83)+$CC83))</f>
        <v/>
      </c>
      <c r="CY83" s="104" t="str">
        <f aca="false">IF(ISBLANK($C83),"",IF($BZ83&lt;&gt;Constants!$B$8,$BZ83,$CE83))</f>
        <v/>
      </c>
      <c r="CZ83" s="105" t="str">
        <f aca="false">IF(ISBLANK($C83),"",$CA83)</f>
        <v/>
      </c>
      <c r="DA83" s="106" t="str">
        <f aca="false">IF(ISBLANK($C83),"",$CP83)</f>
        <v/>
      </c>
      <c r="DB83" s="106" t="str">
        <f aca="false">IF(ISBLANK($C83),"",$CO83)</f>
        <v/>
      </c>
      <c r="DC83" s="107" t="str">
        <f aca="false">IF(ISBLANK($C83),"",IFERROR(_xlfn.SWITCH($DB83,Constants!$B$11,COUNTA($C$9:$C$508)+2,Constants!$B$10,COUNTA($C$9:$C$508)+1,Constants!$B$9,COUNTA($C$9:$C$508)),$DB83))</f>
        <v/>
      </c>
      <c r="DD83" s="9"/>
      <c r="DE83" s="108" t="n">
        <f aca="false">IF(OR(ISNUMBER($DB83),$DB83=Constants!$B$11,$DB83=Constants!$B$9,$DB83=Constants!$B$10),1,0)</f>
        <v>0</v>
      </c>
      <c r="DF83" s="108" t="n">
        <v>75</v>
      </c>
      <c r="DG83" s="108" t="str">
        <f aca="false">IF(ISBLANK($C83),"",IF(ISNUMBER($DC83),$DC83+ROW($B83)/1000,""))</f>
        <v/>
      </c>
      <c r="DH83" s="108" t="str">
        <f aca="false">IF(ISNUMBER($DG83),RANK($DG83,$DG$9:$DG$508,1),"")</f>
        <v/>
      </c>
      <c r="DI83" s="108" t="str">
        <f aca="false">IF(ISBLANK($C83),"",$B83)</f>
        <v/>
      </c>
      <c r="DJ83" s="108" t="str">
        <f aca="false">IF(ISBLANK($C83),"",$C83)</f>
        <v/>
      </c>
      <c r="DK83" s="108" t="str">
        <f aca="false">IF(ISBLANK($C83),"",$D83)</f>
        <v/>
      </c>
      <c r="DL83" s="109" t="str">
        <f aca="false">$CZ83</f>
        <v/>
      </c>
      <c r="DM83" s="110" t="str">
        <f aca="false">$CY83</f>
        <v/>
      </c>
      <c r="DN83" s="108" t="str">
        <f aca="false">IF(ISBLANK($C83),"",$DB83)</f>
        <v/>
      </c>
      <c r="DO83" s="111" t="str">
        <f aca="false">IF($DF83&gt;$DE$8,"",VLOOKUP($DF83,$DH$9:$DN$508,7,FALSE()))</f>
        <v/>
      </c>
      <c r="DP83" s="112" t="str">
        <f aca="false">IF($DF83&gt;$DE$8,"",VLOOKUP($DF83,$DH$9:$DN$508,2,FALSE()))</f>
        <v/>
      </c>
      <c r="DQ83" s="112" t="str">
        <f aca="false">IF($DF83&gt;$DE$8,"",VLOOKUP($DF83,$DH$9:$DN$508,3,FALSE()))</f>
        <v/>
      </c>
      <c r="DR83" s="112" t="str">
        <f aca="false">IF($DF83&gt;$DE$8,"",VLOOKUP($DF83,$DH$9:$DN$508,4,FALSE()))</f>
        <v/>
      </c>
      <c r="DS83" s="112" t="str">
        <f aca="false">IF($DF83&gt;$DE$8,"",VLOOKUP($DF83,$DH$9:$DN$508,5,FALSE()))</f>
        <v/>
      </c>
      <c r="DT83" s="113" t="str">
        <f aca="false">IF($DF83&gt;$DE$8,"",VLOOKUP($DF83,$DH$9:$DN$508,6,FALSE()))</f>
        <v/>
      </c>
      <c r="DU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IF(ISBLANK($C84),"",IF(E84=Constants!$B$3,TRUE(),IF(E84=Constants!$B$4,FALSE(),TRUE())))</f>
        <v/>
      </c>
      <c r="AG84" s="135" t="str">
        <f aca="false">IF(ISBLANK($C84),"",IF(F84=Constants!$B$3,TRUE(),IF(F84=Constants!$B$4,FALSE(),TRUE())))</f>
        <v/>
      </c>
      <c r="AH84" s="135" t="str">
        <f aca="false">IF(ISBLANK($C84),"",IF(G84=Constants!$B$3,TRUE(),IF(G84=Constants!$B$4,FALSE(),TRUE())))</f>
        <v/>
      </c>
      <c r="AI84" s="135" t="str">
        <f aca="false">IF(ISBLANK($C84),"",IF(AND(ISNUMBER(H84),H84&gt;=0),H84,Constants!$B$29))</f>
        <v/>
      </c>
      <c r="AJ84" s="135" t="str">
        <f aca="false">IF(ISBLANK($C84),"",IF(I84=Constants!$B$3,TRUE(),IF(I84=Constants!$B$4,FALSE(),TRUE())))</f>
        <v/>
      </c>
      <c r="AK84" s="135" t="str">
        <f aca="false">IF(ISBLANK($C84),"",IF(J84=Constants!$B$3,TRUE(),IF(J84=Constants!$B$4,FALSE(),TRUE())))</f>
        <v/>
      </c>
      <c r="AL84" s="135" t="str">
        <f aca="false">IF(ISBLANK($C84),"",IF(K84=Constants!$B$5,TRUE(),IF(K84=Constants!$B$6,FALSE(),COUNTA(L84:P84)&gt;0)))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IF(ISBLANK($C84),"",IF(N84=Constants!$B$3,TRUE(),IF(N84=Constants!$B$4,FALSE(),TRUE())))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IF(ISBLANK($C84),"",IF(P84=Constants!$B$3,TRUE(),IF(P84=Constants!$B$4,FALSE(),FALSE())))</f>
        <v/>
      </c>
      <c r="AR84" s="135" t="str">
        <f aca="false">IF(ISBLANK($C84),"",IF(Q84=Constants!$B$3,TRUE(),IF(Q84=Constants!$B$4,FALSE(),TRUE())))</f>
        <v/>
      </c>
      <c r="AS84" s="135" t="str">
        <f aca="false">IF(ISBLANK($C84),"",IF(R84=Constants!$B$3,TRUE(),IF(R84=Constants!$B$4,FALSE(),TRUE())))</f>
        <v/>
      </c>
      <c r="AT84" s="135" t="str">
        <f aca="false">IF(ISBLANK($C84),"",IF(S84=Constants!$B$5,TRUE(),IF(S84=Constants!$B$6,FALSE(),COUNTA(T84:X84)&gt;0)))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IF(ISBLANK($C84),"",IF(V84=Constants!$B$3,TRUE(),IF(V84=Constants!$B$4,FALSE(),TRUE())))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IF(ISBLANK($C84),"",IF(X84=Constants!$B$3,TRUE(),IF(X84=Constants!$B$4,FALSE(),FALSE())))</f>
        <v/>
      </c>
      <c r="AZ84" s="135" t="str">
        <f aca="false">IF(ISBLANK($C84),"",MIN(Constants!$B$31,MAX(0,IF(ISNUMBER(Y84),Y84*60,0)+IF(ISNUMBER(Z84),Z84,0))))</f>
        <v/>
      </c>
      <c r="BA84" s="135" t="str">
        <f aca="false">IF(ISBLANK($C84),"",IF(AA84=Constants!$B$3,TRUE(),IF(AA84=Constants!$B$4,FALSE(),FALSE())))</f>
        <v/>
      </c>
      <c r="BB84" s="134" t="str">
        <f aca="false">IF(ISBLANK($C84),"",AND($AL84,OR($AM84="",$AN84="",AND($AO84,$AP84=""))))</f>
        <v/>
      </c>
      <c r="BC84" s="137" t="str">
        <f aca="false">IF($BZ84&lt;&gt;Constants!$B$8,"",IF($AL84,Constants!$B$21*$AN84+Constants!$B$22*IF($AO84,$AP84,Constants!$B$23),Constants!$B$24))</f>
        <v/>
      </c>
      <c r="BD84" s="138" t="str">
        <f aca="false">IF($BZ84&lt;&gt;Constants!$B$8,"",Constants!$B$25*ABS($AD$9-IF($AL84,$AM84,0)))</f>
        <v/>
      </c>
      <c r="BE84" s="138" t="str">
        <f aca="false">IF($BZ84&lt;&gt;Constants!$B$8,"",IF(AND($AL84,$AQ84,$AO84),Constants!$B$27,0))</f>
        <v/>
      </c>
      <c r="BF84" s="138" t="str">
        <f aca="false">IF($BZ84&lt;&gt;Constants!$B$8,"",IF($AL84,($AI84-Constants!$B$29)*Constants!$B$28,0))</f>
        <v/>
      </c>
      <c r="BG84" s="138" t="str">
        <f aca="false">IF($BZ84&lt;&gt;Constants!$B$8,"",IF($AK84,0,Constants!$B$15)+IF($AJ84,0,Constants!$B$16)+IF($AH84,0,Constants!$B$17))</f>
        <v/>
      </c>
      <c r="BH84" s="139" t="str">
        <f aca="false">IF($BZ84&lt;&gt;Constants!$B$8,"",Constants!$B$20+SUM($BC84:$BG84))</f>
        <v/>
      </c>
      <c r="BI84" s="138" t="str">
        <f aca="false">IF($BZ84&lt;&gt;Constants!$B$8,"",$BC84)</f>
        <v/>
      </c>
      <c r="BJ84" s="138" t="str">
        <f aca="false">IF($BZ84&lt;&gt;Constants!$B$8,"",$BD84)</f>
        <v/>
      </c>
      <c r="BK84" s="138" t="str">
        <f aca="false">IF($BZ84&lt;&gt;Constants!$B$8,"",IF($AL84,$AN84,""))</f>
        <v/>
      </c>
      <c r="BL84" s="140" t="str">
        <f aca="false">IF($BZ84&lt;&gt;Constants!$B$8,"",$AI84)</f>
        <v/>
      </c>
      <c r="BM84" s="135" t="str">
        <f aca="false">IF($BZ84&lt;&gt;Constants!$B$8,"",IF(OR($BT84&lt;$BH84,AND($BT84=$BH84,OR($BU84&lt;$BI84,AND($BU84=$BI84,OR($BV84&lt;$BJ84,AND($BV84=$BJ84,OR(AND(ISNUMBER($BW84),OR(NOT(ISNUMBER($BK84)),$BW84&lt;$BK84)),AND(OR(AND($BW84="",$BK84=""),AND(ISNUMBER($BW84),ISNUMBER($BK84),$BW84=$BK84)),$BX84&lt;$BL84)))))))),"-&gt;","&lt;-"))</f>
        <v/>
      </c>
      <c r="BN84" s="134" t="str">
        <f aca="false">IF(ISBLANK($C84),"",AND($AT84,OR($AU84="",$AV84="",AND($AW84,$AX84=""))))</f>
        <v/>
      </c>
      <c r="BO84" s="137" t="str">
        <f aca="false">IF($BZ84&lt;&gt;Constants!$B$8,"",IF($AT84,Constants!$B$21*$AV84+Constants!$B$22*IF($AW84,$AX84,Constants!$B$23),Constants!$B$24))</f>
        <v/>
      </c>
      <c r="BP84" s="138" t="str">
        <f aca="false">IF($BZ84&lt;&gt;Constants!$B$8,"",Constants!$B$25*ABS($AD$9-IF($AT84,$AU84,0)))</f>
        <v/>
      </c>
      <c r="BQ84" s="138" t="str">
        <f aca="false">IF($BZ84&lt;&gt;Constants!$B$8,"",IF(AND($AT84,$AY84,$AW84),Constants!$B$27,0))</f>
        <v/>
      </c>
      <c r="BR84" s="138" t="str">
        <f aca="false">IF($BZ84&lt;&gt;Constants!$B$8,"",IF($AT84,($AI84-Constants!$B$29)*Constants!$B$28,0))</f>
        <v/>
      </c>
      <c r="BS84" s="138" t="str">
        <f aca="false">IF($BZ84&lt;&gt;Constants!$B$8,"",IF($AS84,0,Constants!$B$15)+IF($AR84,0,Constants!$B$16)+IF($AH84,0,Constants!$B$17))</f>
        <v/>
      </c>
      <c r="BT84" s="139" t="str">
        <f aca="false">IF($BZ84&lt;&gt;Constants!$B$8,"",Constants!$B$20+SUM($BO84:$BS84))</f>
        <v/>
      </c>
      <c r="BU84" s="138" t="str">
        <f aca="false">IF($BZ84&lt;&gt;Constants!$B$8,"",$BO84)</f>
        <v/>
      </c>
      <c r="BV84" s="138" t="str">
        <f aca="false">IF($BZ84&lt;&gt;Constants!$B$8,"",$BP84)</f>
        <v/>
      </c>
      <c r="BW84" s="138" t="str">
        <f aca="false">IF($BZ84&lt;&gt;Constants!$B$8,"",IF($AT84,$AV84,""))</f>
        <v/>
      </c>
      <c r="BX84" s="140" t="str">
        <f aca="false">IF($BZ84&lt;&gt;Constants!$B$8,"",$AI84)</f>
        <v/>
      </c>
      <c r="BY84" s="135" t="str">
        <f aca="false">IF(ISBLANK($C84),"",IF(ISBLANK($D$7),$BY$5,IF(NOT(ISNUMBER($D$7)),$BY$6,"")))</f>
        <v/>
      </c>
      <c r="BZ84" s="135" t="str">
        <f aca="false">IF(ISBLANK($C84),"",IF($BA84,Constants!$B$11,IF(COUNTA($E84:$AA84)=0,Constants!$B$10,IF(NOT($AG84),Constants!$B$9,IF(OR($BY84&lt;&gt;"",$BB84,$BN84),Constants!$B$12,Constants!$B$8)))))</f>
        <v/>
      </c>
      <c r="CA84" s="135" t="str">
        <f aca="false">IF(ISBLANK($C84),"",IF($BZ84&lt;&gt;Constants!$B$8,$BZ84,Constants!$B$13))</f>
        <v/>
      </c>
      <c r="CB84" s="138" t="str">
        <f aca="false">IF($BZ84&lt;&gt;Constants!$B$8,"",IF($BM84="-&gt;",$BT84,$BH84))</f>
        <v/>
      </c>
      <c r="CC84" s="138" t="str">
        <f aca="false">IF($BZ84&lt;&gt;Constants!$B$8,"",IF($AF84,0,Constants!$B$18))</f>
        <v/>
      </c>
      <c r="CD84" s="138" t="str">
        <f aca="false">IF($BZ84&lt;&gt;Constants!$B$8,"",((Constants!$B$31-$AZ84)-Constants!$B$31)/Constants!$B$32)</f>
        <v/>
      </c>
      <c r="CE84" s="138" t="str">
        <f aca="false">IF(ISBLANK($C84),"",IF($BZ84&lt;&gt;Constants!$B$8,$BZ84,SUM($CB84:$CD84)))</f>
        <v/>
      </c>
      <c r="CF84" s="135" t="str">
        <f aca="false">IF(ISBLANK($C84),"",IF($BZ84&lt;&gt;Constants!$B$8,$BZ84,RANK($CE84,$CE$9:$CE$508,1)))</f>
        <v/>
      </c>
      <c r="CG84" s="138" t="str">
        <f aca="false">IF($BZ84&lt;&gt;Constants!$B$8,"",IF($BM84="-&gt;",$BU84,$BI84))</f>
        <v/>
      </c>
      <c r="CH84" s="135" t="str">
        <f aca="false">IF(ISBLANK($C84),"",IF($BZ84&lt;&gt;Constants!$B$8,$BZ84,IF(ISNUMBER($CG84),RANK($CG84,$CG$9:$CG$508,1),COUNT($CG$9:$CG$508)+1)))</f>
        <v/>
      </c>
      <c r="CI84" s="138" t="str">
        <f aca="false">IF($BZ84&lt;&gt;Constants!$B$8,"",IF($BM84="-&gt;",$BV84,$BJ84))</f>
        <v/>
      </c>
      <c r="CJ84" s="135" t="str">
        <f aca="false">IF(ISBLANK($C84),"",IF($BZ84&lt;&gt;Constants!$B$8,$BZ84,IF(ISNUMBER($CI84),RANK($CI84,$CI$9:$CI$508,1),COUNT($CI$9:$CI$508)+1)))</f>
        <v/>
      </c>
      <c r="CK84" s="138" t="str">
        <f aca="false">IF($BZ84&lt;&gt;Constants!$B$8,"",IF($BM84="-&gt;",$BW84,$BK84))</f>
        <v/>
      </c>
      <c r="CL84" s="135" t="str">
        <f aca="false">IF(ISBLANK($C84),"",IF($BZ84&lt;&gt;Constants!$B$8,$BZ84,IF(ISNUMBER($CK84),RANK($CK84,$CK$9:$CK$508,1),COUNT($CK$9:$CK$508)+1)))</f>
        <v/>
      </c>
      <c r="CM84" s="138" t="str">
        <f aca="false">IF($BZ84&lt;&gt;Constants!$B$8,"",IF(AND(NOT($AL84),NOT($AT84),$AJ84,$AK84,$AR84,$AS84),"",IF($BM84="-&gt;",$BX84,$BL84)))</f>
        <v/>
      </c>
      <c r="CN84" s="135" t="str">
        <f aca="false">IF(ISBLANK($C84),"",IF($BZ84&lt;&gt;Constants!$B$8,$BZ84,IF(ISNUMBER($CM84),RANK($CM84,$CM$9:$CM$508,1),COUNT($CM$9:$CM$508)+1)))</f>
        <v/>
      </c>
      <c r="CO84" s="135" t="str">
        <f aca="false">IF(ISBLANK($C84),"",IF($BZ84&lt;&gt;Constants!$B$8,$BZ84,COUNTIFS($CF$9:$CF$508,"&lt;"&amp;$CF84)+COUNTIFS($CF$9:$CF$508,$CF84,$CH$9:$CH$508,"&lt;"&amp;$CH84)+COUNTIFS($CF$9:$CF$508,$CF84,$CH$9:$CH$508,$CH84,$CJ$9:$CJ$508,"&lt;"&amp;$CJ84)+COUNTIFS($CF$9:$CF$508,$CF84,$CH$9:$CH$508,$CH84,$CJ$9:$CJ$508,$CJ84,$CL$9:$CL$508,"&lt;"&amp;$CL84)+COUNTIFS($CF$9:$CF$508,$CF84,$CH$9:$CH$508,$CH84,$CJ$9:$CJ$508,$CJ84,$CL$9:$CL$508,$CL84,$CN$9:$CN$508,"&lt;"&amp;$CN84)+1))</f>
        <v/>
      </c>
      <c r="CP84" s="135" t="str">
        <f aca="false">IF(ISBLANK($C84),"",IF($BZ84&lt;&gt;Constants!$B$8,$BZ84,$CF84-$CO84))</f>
        <v/>
      </c>
      <c r="CQ84" s="141"/>
      <c r="CR84" s="142"/>
      <c r="CS84" s="143" t="str">
        <f aca="false">IF(ISBLANK($C84),"",IF($BZ84=Constants!$B$12,$BY84,""))</f>
        <v/>
      </c>
      <c r="CT84" s="142" t="str">
        <f aca="false">IF(ISBLANK($C84),"",IF($BZ84&lt;&gt;Constants!$B$8,"",IF($BM84="-&gt;",2,1)))</f>
        <v/>
      </c>
      <c r="CU84" s="144" t="str">
        <f aca="false">IF(ISBLANK($C84),"",IF($BZ84&lt;&gt;Constants!$B$8,"",IF($BM84="-&gt;",$BO84,$BC84)))</f>
        <v/>
      </c>
      <c r="CV84" s="144" t="str">
        <f aca="false">IF(ISBLANK($C84),"",IF($BZ84&lt;&gt;Constants!$B$8,"",IF($BM84="-&gt;",$BP84,$BD84)))</f>
        <v/>
      </c>
      <c r="CW84" s="144" t="str">
        <f aca="false">IF(ISBLANK($C84),"",IF($BZ84&lt;&gt;Constants!$B$8,"",IF($BM84="-&gt;",$BQ84+$BR84,$BE84+$BF84)+$CD84))</f>
        <v/>
      </c>
      <c r="CX84" s="144" t="str">
        <f aca="false">IF(ISBLANK($C84),"",IF($BZ84&lt;&gt;Constants!$B$8,"",IF($BM84="-&gt;",$BS84,$BG84)+$CC84))</f>
        <v/>
      </c>
      <c r="CY84" s="145" t="str">
        <f aca="false">IF(ISBLANK($C84),"",IF($BZ84&lt;&gt;Constants!$B$8,$BZ84,$CE84))</f>
        <v/>
      </c>
      <c r="CZ84" s="146" t="str">
        <f aca="false">IF(ISBLANK($C84),"",$CA84)</f>
        <v/>
      </c>
      <c r="DA84" s="147" t="str">
        <f aca="false">IF(ISBLANK($C84),"",$CP84)</f>
        <v/>
      </c>
      <c r="DB84" s="147" t="str">
        <f aca="false">IF(ISBLANK($C84),"",$CO84)</f>
        <v/>
      </c>
      <c r="DC84" s="148" t="str">
        <f aca="false">IF(ISBLANK($C84),"",IFERROR(_xlfn.SWITCH($DB84,Constants!$B$11,COUNTA($C$9:$C$508)+2,Constants!$B$10,COUNTA($C$9:$C$508)+1,Constants!$B$9,COUNTA($C$9:$C$508)),$DB84))</f>
        <v/>
      </c>
      <c r="DD84" s="9"/>
      <c r="DE84" s="149" t="n">
        <f aca="false">IF(OR(ISNUMBER($DB84),$DB84=Constants!$B$11,$DB84=Constants!$B$9,$DB84=Constants!$B$10),1,0)</f>
        <v>0</v>
      </c>
      <c r="DF84" s="149" t="n">
        <v>76</v>
      </c>
      <c r="DG84" s="149" t="str">
        <f aca="false">IF(ISBLANK($C84),"",IF(ISNUMBER($DC84),$DC84+ROW($B84)/1000,""))</f>
        <v/>
      </c>
      <c r="DH84" s="149" t="str">
        <f aca="false">IF(ISNUMBER($DG84),RANK($DG84,$DG$9:$DG$508,1),"")</f>
        <v/>
      </c>
      <c r="DI84" s="149" t="str">
        <f aca="false">IF(ISBLANK($C84),"",$B84)</f>
        <v/>
      </c>
      <c r="DJ84" s="149" t="str">
        <f aca="false">IF(ISBLANK($C84),"",$C84)</f>
        <v/>
      </c>
      <c r="DK84" s="149" t="str">
        <f aca="false">IF(ISBLANK($C84),"",$D84)</f>
        <v/>
      </c>
      <c r="DL84" s="150" t="str">
        <f aca="false">$CZ84</f>
        <v/>
      </c>
      <c r="DM84" s="151" t="str">
        <f aca="false">$CY84</f>
        <v/>
      </c>
      <c r="DN84" s="149" t="str">
        <f aca="false">IF(ISBLANK($C84),"",$DB84)</f>
        <v/>
      </c>
      <c r="DO84" s="152" t="str">
        <f aca="false">IF($DF84&gt;$DE$8,"",VLOOKUP($DF84,$DH$9:$DN$508,7,FALSE()))</f>
        <v/>
      </c>
      <c r="DP84" s="153" t="str">
        <f aca="false">IF($DF84&gt;$DE$8,"",VLOOKUP($DF84,$DH$9:$DN$508,2,FALSE()))</f>
        <v/>
      </c>
      <c r="DQ84" s="153" t="str">
        <f aca="false">IF($DF84&gt;$DE$8,"",VLOOKUP($DF84,$DH$9:$DN$508,3,FALSE()))</f>
        <v/>
      </c>
      <c r="DR84" s="153" t="str">
        <f aca="false">IF($DF84&gt;$DE$8,"",VLOOKUP($DF84,$DH$9:$DN$508,4,FALSE()))</f>
        <v/>
      </c>
      <c r="DS84" s="153" t="str">
        <f aca="false">IF($DF84&gt;$DE$8,"",VLOOKUP($DF84,$DH$9:$DN$508,5,FALSE()))</f>
        <v/>
      </c>
      <c r="DT84" s="154" t="str">
        <f aca="false">IF($DF84&gt;$DE$8,"",VLOOKUP($DF84,$DH$9:$DN$508,6,FALSE()))</f>
        <v/>
      </c>
      <c r="DU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IF(ISBLANK($C85),"",IF(E85=Constants!$B$3,TRUE(),IF(E85=Constants!$B$4,FALSE(),TRUE())))</f>
        <v/>
      </c>
      <c r="AG85" s="135" t="str">
        <f aca="false">IF(ISBLANK($C85),"",IF(F85=Constants!$B$3,TRUE(),IF(F85=Constants!$B$4,FALSE(),TRUE())))</f>
        <v/>
      </c>
      <c r="AH85" s="135" t="str">
        <f aca="false">IF(ISBLANK($C85),"",IF(G85=Constants!$B$3,TRUE(),IF(G85=Constants!$B$4,FALSE(),TRUE())))</f>
        <v/>
      </c>
      <c r="AI85" s="135" t="str">
        <f aca="false">IF(ISBLANK($C85),"",IF(AND(ISNUMBER(H85),H85&gt;=0),H85,Constants!$B$29))</f>
        <v/>
      </c>
      <c r="AJ85" s="135" t="str">
        <f aca="false">IF(ISBLANK($C85),"",IF(I85=Constants!$B$3,TRUE(),IF(I85=Constants!$B$4,FALSE(),TRUE())))</f>
        <v/>
      </c>
      <c r="AK85" s="135" t="str">
        <f aca="false">IF(ISBLANK($C85),"",IF(J85=Constants!$B$3,TRUE(),IF(J85=Constants!$B$4,FALSE(),TRUE())))</f>
        <v/>
      </c>
      <c r="AL85" s="135" t="str">
        <f aca="false">IF(ISBLANK($C85),"",IF(K85=Constants!$B$5,TRUE(),IF(K85=Constants!$B$6,FALSE(),COUNTA(L85:P85)&gt;0)))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IF(ISBLANK($C85),"",IF(N85=Constants!$B$3,TRUE(),IF(N85=Constants!$B$4,FALSE(),TRUE())))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IF(ISBLANK($C85),"",IF(P85=Constants!$B$3,TRUE(),IF(P85=Constants!$B$4,FALSE(),FALSE())))</f>
        <v/>
      </c>
      <c r="AR85" s="135" t="str">
        <f aca="false">IF(ISBLANK($C85),"",IF(Q85=Constants!$B$3,TRUE(),IF(Q85=Constants!$B$4,FALSE(),TRUE())))</f>
        <v/>
      </c>
      <c r="AS85" s="135" t="str">
        <f aca="false">IF(ISBLANK($C85),"",IF(R85=Constants!$B$3,TRUE(),IF(R85=Constants!$B$4,FALSE(),TRUE())))</f>
        <v/>
      </c>
      <c r="AT85" s="135" t="str">
        <f aca="false">IF(ISBLANK($C85),"",IF(S85=Constants!$B$5,TRUE(),IF(S85=Constants!$B$6,FALSE(),COUNTA(T85:X85)&gt;0)))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IF(ISBLANK($C85),"",IF(V85=Constants!$B$3,TRUE(),IF(V85=Constants!$B$4,FALSE(),TRUE())))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IF(ISBLANK($C85),"",IF(X85=Constants!$B$3,TRUE(),IF(X85=Constants!$B$4,FALSE(),FALSE())))</f>
        <v/>
      </c>
      <c r="AZ85" s="135" t="str">
        <f aca="false">IF(ISBLANK($C85),"",MIN(Constants!$B$31,MAX(0,IF(ISNUMBER(Y85),Y85*60,0)+IF(ISNUMBER(Z85),Z85,0))))</f>
        <v/>
      </c>
      <c r="BA85" s="135" t="str">
        <f aca="false">IF(ISBLANK($C85),"",IF(AA85=Constants!$B$3,TRUE(),IF(AA85=Constants!$B$4,FALSE(),FALSE())))</f>
        <v/>
      </c>
      <c r="BB85" s="134" t="str">
        <f aca="false">IF(ISBLANK($C85),"",AND($AL85,OR($AM85="",$AN85="",AND($AO85,$AP85=""))))</f>
        <v/>
      </c>
      <c r="BC85" s="137" t="str">
        <f aca="false">IF($BZ85&lt;&gt;Constants!$B$8,"",IF($AL85,Constants!$B$21*$AN85+Constants!$B$22*IF($AO85,$AP85,Constants!$B$23),Constants!$B$24))</f>
        <v/>
      </c>
      <c r="BD85" s="138" t="str">
        <f aca="false">IF($BZ85&lt;&gt;Constants!$B$8,"",Constants!$B$25*ABS($AD$9-IF($AL85,$AM85,0)))</f>
        <v/>
      </c>
      <c r="BE85" s="138" t="str">
        <f aca="false">IF($BZ85&lt;&gt;Constants!$B$8,"",IF(AND($AL85,$AQ85,$AO85),Constants!$B$27,0))</f>
        <v/>
      </c>
      <c r="BF85" s="138" t="str">
        <f aca="false">IF($BZ85&lt;&gt;Constants!$B$8,"",IF($AL85,($AI85-Constants!$B$29)*Constants!$B$28,0))</f>
        <v/>
      </c>
      <c r="BG85" s="138" t="str">
        <f aca="false">IF($BZ85&lt;&gt;Constants!$B$8,"",IF($AK85,0,Constants!$B$15)+IF($AJ85,0,Constants!$B$16)+IF($AH85,0,Constants!$B$17))</f>
        <v/>
      </c>
      <c r="BH85" s="139" t="str">
        <f aca="false">IF($BZ85&lt;&gt;Constants!$B$8,"",Constants!$B$20+SUM($BC85:$BG85))</f>
        <v/>
      </c>
      <c r="BI85" s="138" t="str">
        <f aca="false">IF($BZ85&lt;&gt;Constants!$B$8,"",$BC85)</f>
        <v/>
      </c>
      <c r="BJ85" s="138" t="str">
        <f aca="false">IF($BZ85&lt;&gt;Constants!$B$8,"",$BD85)</f>
        <v/>
      </c>
      <c r="BK85" s="138" t="str">
        <f aca="false">IF($BZ85&lt;&gt;Constants!$B$8,"",IF($AL85,$AN85,""))</f>
        <v/>
      </c>
      <c r="BL85" s="140" t="str">
        <f aca="false">IF($BZ85&lt;&gt;Constants!$B$8,"",$AI85)</f>
        <v/>
      </c>
      <c r="BM85" s="135" t="str">
        <f aca="false">IF($BZ85&lt;&gt;Constants!$B$8,"",IF(OR($BT85&lt;$BH85,AND($BT85=$BH85,OR($BU85&lt;$BI85,AND($BU85=$BI85,OR($BV85&lt;$BJ85,AND($BV85=$BJ85,OR(AND(ISNUMBER($BW85),OR(NOT(ISNUMBER($BK85)),$BW85&lt;$BK85)),AND(OR(AND($BW85="",$BK85=""),AND(ISNUMBER($BW85),ISNUMBER($BK85),$BW85=$BK85)),$BX85&lt;$BL85)))))))),"-&gt;","&lt;-"))</f>
        <v/>
      </c>
      <c r="BN85" s="134" t="str">
        <f aca="false">IF(ISBLANK($C85),"",AND($AT85,OR($AU85="",$AV85="",AND($AW85,$AX85=""))))</f>
        <v/>
      </c>
      <c r="BO85" s="137" t="str">
        <f aca="false">IF($BZ85&lt;&gt;Constants!$B$8,"",IF($AT85,Constants!$B$21*$AV85+Constants!$B$22*IF($AW85,$AX85,Constants!$B$23),Constants!$B$24))</f>
        <v/>
      </c>
      <c r="BP85" s="138" t="str">
        <f aca="false">IF($BZ85&lt;&gt;Constants!$B$8,"",Constants!$B$25*ABS($AD$9-IF($AT85,$AU85,0)))</f>
        <v/>
      </c>
      <c r="BQ85" s="138" t="str">
        <f aca="false">IF($BZ85&lt;&gt;Constants!$B$8,"",IF(AND($AT85,$AY85,$AW85),Constants!$B$27,0))</f>
        <v/>
      </c>
      <c r="BR85" s="138" t="str">
        <f aca="false">IF($BZ85&lt;&gt;Constants!$B$8,"",IF($AT85,($AI85-Constants!$B$29)*Constants!$B$28,0))</f>
        <v/>
      </c>
      <c r="BS85" s="138" t="str">
        <f aca="false">IF($BZ85&lt;&gt;Constants!$B$8,"",IF($AS85,0,Constants!$B$15)+IF($AR85,0,Constants!$B$16)+IF($AH85,0,Constants!$B$17))</f>
        <v/>
      </c>
      <c r="BT85" s="139" t="str">
        <f aca="false">IF($BZ85&lt;&gt;Constants!$B$8,"",Constants!$B$20+SUM($BO85:$BS85))</f>
        <v/>
      </c>
      <c r="BU85" s="138" t="str">
        <f aca="false">IF($BZ85&lt;&gt;Constants!$B$8,"",$BO85)</f>
        <v/>
      </c>
      <c r="BV85" s="138" t="str">
        <f aca="false">IF($BZ85&lt;&gt;Constants!$B$8,"",$BP85)</f>
        <v/>
      </c>
      <c r="BW85" s="138" t="str">
        <f aca="false">IF($BZ85&lt;&gt;Constants!$B$8,"",IF($AT85,$AV85,""))</f>
        <v/>
      </c>
      <c r="BX85" s="140" t="str">
        <f aca="false">IF($BZ85&lt;&gt;Constants!$B$8,"",$AI85)</f>
        <v/>
      </c>
      <c r="BY85" s="135" t="str">
        <f aca="false">IF(ISBLANK($C85),"",IF(ISBLANK($D$7),$BY$5,IF(NOT(ISNUMBER($D$7)),$BY$6,"")))</f>
        <v/>
      </c>
      <c r="BZ85" s="135" t="str">
        <f aca="false">IF(ISBLANK($C85),"",IF($BA85,Constants!$B$11,IF(COUNTA($E85:$AA85)=0,Constants!$B$10,IF(NOT($AG85),Constants!$B$9,IF(OR($BY85&lt;&gt;"",$BB85,$BN85),Constants!$B$12,Constants!$B$8)))))</f>
        <v/>
      </c>
      <c r="CA85" s="135" t="str">
        <f aca="false">IF(ISBLANK($C85),"",IF($BZ85&lt;&gt;Constants!$B$8,$BZ85,Constants!$B$13))</f>
        <v/>
      </c>
      <c r="CB85" s="138" t="str">
        <f aca="false">IF($BZ85&lt;&gt;Constants!$B$8,"",IF($BM85="-&gt;",$BT85,$BH85))</f>
        <v/>
      </c>
      <c r="CC85" s="138" t="str">
        <f aca="false">IF($BZ85&lt;&gt;Constants!$B$8,"",IF($AF85,0,Constants!$B$18))</f>
        <v/>
      </c>
      <c r="CD85" s="138" t="str">
        <f aca="false">IF($BZ85&lt;&gt;Constants!$B$8,"",((Constants!$B$31-$AZ85)-Constants!$B$31)/Constants!$B$32)</f>
        <v/>
      </c>
      <c r="CE85" s="138" t="str">
        <f aca="false">IF(ISBLANK($C85),"",IF($BZ85&lt;&gt;Constants!$B$8,$BZ85,SUM($CB85:$CD85)))</f>
        <v/>
      </c>
      <c r="CF85" s="135" t="str">
        <f aca="false">IF(ISBLANK($C85),"",IF($BZ85&lt;&gt;Constants!$B$8,$BZ85,RANK($CE85,$CE$9:$CE$508,1)))</f>
        <v/>
      </c>
      <c r="CG85" s="138" t="str">
        <f aca="false">IF($BZ85&lt;&gt;Constants!$B$8,"",IF($BM85="-&gt;",$BU85,$BI85))</f>
        <v/>
      </c>
      <c r="CH85" s="135" t="str">
        <f aca="false">IF(ISBLANK($C85),"",IF($BZ85&lt;&gt;Constants!$B$8,$BZ85,IF(ISNUMBER($CG85),RANK($CG85,$CG$9:$CG$508,1),COUNT($CG$9:$CG$508)+1)))</f>
        <v/>
      </c>
      <c r="CI85" s="138" t="str">
        <f aca="false">IF($BZ85&lt;&gt;Constants!$B$8,"",IF($BM85="-&gt;",$BV85,$BJ85))</f>
        <v/>
      </c>
      <c r="CJ85" s="135" t="str">
        <f aca="false">IF(ISBLANK($C85),"",IF($BZ85&lt;&gt;Constants!$B$8,$BZ85,IF(ISNUMBER($CI85),RANK($CI85,$CI$9:$CI$508,1),COUNT($CI$9:$CI$508)+1)))</f>
        <v/>
      </c>
      <c r="CK85" s="138" t="str">
        <f aca="false">IF($BZ85&lt;&gt;Constants!$B$8,"",IF($BM85="-&gt;",$BW85,$BK85))</f>
        <v/>
      </c>
      <c r="CL85" s="135" t="str">
        <f aca="false">IF(ISBLANK($C85),"",IF($BZ85&lt;&gt;Constants!$B$8,$BZ85,IF(ISNUMBER($CK85),RANK($CK85,$CK$9:$CK$508,1),COUNT($CK$9:$CK$508)+1)))</f>
        <v/>
      </c>
      <c r="CM85" s="138" t="str">
        <f aca="false">IF($BZ85&lt;&gt;Constants!$B$8,"",IF(AND(NOT($AL85),NOT($AT85),$AJ85,$AK85,$AR85,$AS85),"",IF($BM85="-&gt;",$BX85,$BL85)))</f>
        <v/>
      </c>
      <c r="CN85" s="135" t="str">
        <f aca="false">IF(ISBLANK($C85),"",IF($BZ85&lt;&gt;Constants!$B$8,$BZ85,IF(ISNUMBER($CM85),RANK($CM85,$CM$9:$CM$508,1),COUNT($CM$9:$CM$508)+1)))</f>
        <v/>
      </c>
      <c r="CO85" s="135" t="str">
        <f aca="false">IF(ISBLANK($C85),"",IF($BZ85&lt;&gt;Constants!$B$8,$BZ85,COUNTIFS($CF$9:$CF$508,"&lt;"&amp;$CF85)+COUNTIFS($CF$9:$CF$508,$CF85,$CH$9:$CH$508,"&lt;"&amp;$CH85)+COUNTIFS($CF$9:$CF$508,$CF85,$CH$9:$CH$508,$CH85,$CJ$9:$CJ$508,"&lt;"&amp;$CJ85)+COUNTIFS($CF$9:$CF$508,$CF85,$CH$9:$CH$508,$CH85,$CJ$9:$CJ$508,$CJ85,$CL$9:$CL$508,"&lt;"&amp;$CL85)+COUNTIFS($CF$9:$CF$508,$CF85,$CH$9:$CH$508,$CH85,$CJ$9:$CJ$508,$CJ85,$CL$9:$CL$508,$CL85,$CN$9:$CN$508,"&lt;"&amp;$CN85)+1))</f>
        <v/>
      </c>
      <c r="CP85" s="135" t="str">
        <f aca="false">IF(ISBLANK($C85),"",IF($BZ85&lt;&gt;Constants!$B$8,$BZ85,$CF85-$CO85))</f>
        <v/>
      </c>
      <c r="CQ85" s="141"/>
      <c r="CR85" s="142"/>
      <c r="CS85" s="143" t="str">
        <f aca="false">IF(ISBLANK($C85),"",IF($BZ85=Constants!$B$12,$BY85,""))</f>
        <v/>
      </c>
      <c r="CT85" s="142" t="str">
        <f aca="false">IF(ISBLANK($C85),"",IF($BZ85&lt;&gt;Constants!$B$8,"",IF($BM85="-&gt;",2,1)))</f>
        <v/>
      </c>
      <c r="CU85" s="144" t="str">
        <f aca="false">IF(ISBLANK($C85),"",IF($BZ85&lt;&gt;Constants!$B$8,"",IF($BM85="-&gt;",$BO85,$BC85)))</f>
        <v/>
      </c>
      <c r="CV85" s="144" t="str">
        <f aca="false">IF(ISBLANK($C85),"",IF($BZ85&lt;&gt;Constants!$B$8,"",IF($BM85="-&gt;",$BP85,$BD85)))</f>
        <v/>
      </c>
      <c r="CW85" s="144" t="str">
        <f aca="false">IF(ISBLANK($C85),"",IF($BZ85&lt;&gt;Constants!$B$8,"",IF($BM85="-&gt;",$BQ85+$BR85,$BE85+$BF85)+$CD85))</f>
        <v/>
      </c>
      <c r="CX85" s="144" t="str">
        <f aca="false">IF(ISBLANK($C85),"",IF($BZ85&lt;&gt;Constants!$B$8,"",IF($BM85="-&gt;",$BS85,$BG85)+$CC85))</f>
        <v/>
      </c>
      <c r="CY85" s="145" t="str">
        <f aca="false">IF(ISBLANK($C85),"",IF($BZ85&lt;&gt;Constants!$B$8,$BZ85,$CE85))</f>
        <v/>
      </c>
      <c r="CZ85" s="146" t="str">
        <f aca="false">IF(ISBLANK($C85),"",$CA85)</f>
        <v/>
      </c>
      <c r="DA85" s="147" t="str">
        <f aca="false">IF(ISBLANK($C85),"",$CP85)</f>
        <v/>
      </c>
      <c r="DB85" s="147" t="str">
        <f aca="false">IF(ISBLANK($C85),"",$CO85)</f>
        <v/>
      </c>
      <c r="DC85" s="148" t="str">
        <f aca="false">IF(ISBLANK($C85),"",IFERROR(_xlfn.SWITCH($DB85,Constants!$B$11,COUNTA($C$9:$C$508)+2,Constants!$B$10,COUNTA($C$9:$C$508)+1,Constants!$B$9,COUNTA($C$9:$C$508)),$DB85))</f>
        <v/>
      </c>
      <c r="DD85" s="9"/>
      <c r="DE85" s="149" t="n">
        <f aca="false">IF(OR(ISNUMBER($DB85),$DB85=Constants!$B$11,$DB85=Constants!$B$9,$DB85=Constants!$B$10),1,0)</f>
        <v>0</v>
      </c>
      <c r="DF85" s="149" t="n">
        <v>77</v>
      </c>
      <c r="DG85" s="149" t="str">
        <f aca="false">IF(ISBLANK($C85),"",IF(ISNUMBER($DC85),$DC85+ROW($B85)/1000,""))</f>
        <v/>
      </c>
      <c r="DH85" s="149" t="str">
        <f aca="false">IF(ISNUMBER($DG85),RANK($DG85,$DG$9:$DG$508,1),"")</f>
        <v/>
      </c>
      <c r="DI85" s="149" t="str">
        <f aca="false">IF(ISBLANK($C85),"",$B85)</f>
        <v/>
      </c>
      <c r="DJ85" s="149" t="str">
        <f aca="false">IF(ISBLANK($C85),"",$C85)</f>
        <v/>
      </c>
      <c r="DK85" s="149" t="str">
        <f aca="false">IF(ISBLANK($C85),"",$D85)</f>
        <v/>
      </c>
      <c r="DL85" s="150" t="str">
        <f aca="false">$CZ85</f>
        <v/>
      </c>
      <c r="DM85" s="151" t="str">
        <f aca="false">$CY85</f>
        <v/>
      </c>
      <c r="DN85" s="149" t="str">
        <f aca="false">IF(ISBLANK($C85),"",$DB85)</f>
        <v/>
      </c>
      <c r="DO85" s="152" t="str">
        <f aca="false">IF($DF85&gt;$DE$8,"",VLOOKUP($DF85,$DH$9:$DN$508,7,FALSE()))</f>
        <v/>
      </c>
      <c r="DP85" s="153" t="str">
        <f aca="false">IF($DF85&gt;$DE$8,"",VLOOKUP($DF85,$DH$9:$DN$508,2,FALSE()))</f>
        <v/>
      </c>
      <c r="DQ85" s="153" t="str">
        <f aca="false">IF($DF85&gt;$DE$8,"",VLOOKUP($DF85,$DH$9:$DN$508,3,FALSE()))</f>
        <v/>
      </c>
      <c r="DR85" s="153" t="str">
        <f aca="false">IF($DF85&gt;$DE$8,"",VLOOKUP($DF85,$DH$9:$DN$508,4,FALSE()))</f>
        <v/>
      </c>
      <c r="DS85" s="153" t="str">
        <f aca="false">IF($DF85&gt;$DE$8,"",VLOOKUP($DF85,$DH$9:$DN$508,5,FALSE()))</f>
        <v/>
      </c>
      <c r="DT85" s="154" t="str">
        <f aca="false">IF($DF85&gt;$DE$8,"",VLOOKUP($DF85,$DH$9:$DN$508,6,FALSE()))</f>
        <v/>
      </c>
      <c r="DU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IF(ISBLANK($C86),"",IF(E86=Constants!$B$3,TRUE(),IF(E86=Constants!$B$4,FALSE(),TRUE())))</f>
        <v/>
      </c>
      <c r="AG86" s="135" t="str">
        <f aca="false">IF(ISBLANK($C86),"",IF(F86=Constants!$B$3,TRUE(),IF(F86=Constants!$B$4,FALSE(),TRUE())))</f>
        <v/>
      </c>
      <c r="AH86" s="135" t="str">
        <f aca="false">IF(ISBLANK($C86),"",IF(G86=Constants!$B$3,TRUE(),IF(G86=Constants!$B$4,FALSE(),TRUE())))</f>
        <v/>
      </c>
      <c r="AI86" s="135" t="str">
        <f aca="false">IF(ISBLANK($C86),"",IF(AND(ISNUMBER(H86),H86&gt;=0),H86,Constants!$B$29))</f>
        <v/>
      </c>
      <c r="AJ86" s="135" t="str">
        <f aca="false">IF(ISBLANK($C86),"",IF(I86=Constants!$B$3,TRUE(),IF(I86=Constants!$B$4,FALSE(),TRUE())))</f>
        <v/>
      </c>
      <c r="AK86" s="135" t="str">
        <f aca="false">IF(ISBLANK($C86),"",IF(J86=Constants!$B$3,TRUE(),IF(J86=Constants!$B$4,FALSE(),TRUE())))</f>
        <v/>
      </c>
      <c r="AL86" s="135" t="str">
        <f aca="false">IF(ISBLANK($C86),"",IF(K86=Constants!$B$5,TRUE(),IF(K86=Constants!$B$6,FALSE(),COUNTA(L86:P86)&gt;0)))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IF(ISBLANK($C86),"",IF(N86=Constants!$B$3,TRUE(),IF(N86=Constants!$B$4,FALSE(),TRUE())))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IF(ISBLANK($C86),"",IF(P86=Constants!$B$3,TRUE(),IF(P86=Constants!$B$4,FALSE(),FALSE())))</f>
        <v/>
      </c>
      <c r="AR86" s="135" t="str">
        <f aca="false">IF(ISBLANK($C86),"",IF(Q86=Constants!$B$3,TRUE(),IF(Q86=Constants!$B$4,FALSE(),TRUE())))</f>
        <v/>
      </c>
      <c r="AS86" s="135" t="str">
        <f aca="false">IF(ISBLANK($C86),"",IF(R86=Constants!$B$3,TRUE(),IF(R86=Constants!$B$4,FALSE(),TRUE())))</f>
        <v/>
      </c>
      <c r="AT86" s="135" t="str">
        <f aca="false">IF(ISBLANK($C86),"",IF(S86=Constants!$B$5,TRUE(),IF(S86=Constants!$B$6,FALSE(),COUNTA(T86:X86)&gt;0)))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IF(ISBLANK($C86),"",IF(V86=Constants!$B$3,TRUE(),IF(V86=Constants!$B$4,FALSE(),TRUE())))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IF(ISBLANK($C86),"",IF(X86=Constants!$B$3,TRUE(),IF(X86=Constants!$B$4,FALSE(),FALSE())))</f>
        <v/>
      </c>
      <c r="AZ86" s="135" t="str">
        <f aca="false">IF(ISBLANK($C86),"",MIN(Constants!$B$31,MAX(0,IF(ISNUMBER(Y86),Y86*60,0)+IF(ISNUMBER(Z86),Z86,0))))</f>
        <v/>
      </c>
      <c r="BA86" s="135" t="str">
        <f aca="false">IF(ISBLANK($C86),"",IF(AA86=Constants!$B$3,TRUE(),IF(AA86=Constants!$B$4,FALSE(),FALSE())))</f>
        <v/>
      </c>
      <c r="BB86" s="134" t="str">
        <f aca="false">IF(ISBLANK($C86),"",AND($AL86,OR($AM86="",$AN86="",AND($AO86,$AP86=""))))</f>
        <v/>
      </c>
      <c r="BC86" s="137" t="str">
        <f aca="false">IF($BZ86&lt;&gt;Constants!$B$8,"",IF($AL86,Constants!$B$21*$AN86+Constants!$B$22*IF($AO86,$AP86,Constants!$B$23),Constants!$B$24))</f>
        <v/>
      </c>
      <c r="BD86" s="138" t="str">
        <f aca="false">IF($BZ86&lt;&gt;Constants!$B$8,"",Constants!$B$25*ABS($AD$9-IF($AL86,$AM86,0)))</f>
        <v/>
      </c>
      <c r="BE86" s="138" t="str">
        <f aca="false">IF($BZ86&lt;&gt;Constants!$B$8,"",IF(AND($AL86,$AQ86,$AO86),Constants!$B$27,0))</f>
        <v/>
      </c>
      <c r="BF86" s="138" t="str">
        <f aca="false">IF($BZ86&lt;&gt;Constants!$B$8,"",IF($AL86,($AI86-Constants!$B$29)*Constants!$B$28,0))</f>
        <v/>
      </c>
      <c r="BG86" s="138" t="str">
        <f aca="false">IF($BZ86&lt;&gt;Constants!$B$8,"",IF($AK86,0,Constants!$B$15)+IF($AJ86,0,Constants!$B$16)+IF($AH86,0,Constants!$B$17))</f>
        <v/>
      </c>
      <c r="BH86" s="139" t="str">
        <f aca="false">IF($BZ86&lt;&gt;Constants!$B$8,"",Constants!$B$20+SUM($BC86:$BG86))</f>
        <v/>
      </c>
      <c r="BI86" s="138" t="str">
        <f aca="false">IF($BZ86&lt;&gt;Constants!$B$8,"",$BC86)</f>
        <v/>
      </c>
      <c r="BJ86" s="138" t="str">
        <f aca="false">IF($BZ86&lt;&gt;Constants!$B$8,"",$BD86)</f>
        <v/>
      </c>
      <c r="BK86" s="138" t="str">
        <f aca="false">IF($BZ86&lt;&gt;Constants!$B$8,"",IF($AL86,$AN86,""))</f>
        <v/>
      </c>
      <c r="BL86" s="140" t="str">
        <f aca="false">IF($BZ86&lt;&gt;Constants!$B$8,"",$AI86)</f>
        <v/>
      </c>
      <c r="BM86" s="135" t="str">
        <f aca="false">IF($BZ86&lt;&gt;Constants!$B$8,"",IF(OR($BT86&lt;$BH86,AND($BT86=$BH86,OR($BU86&lt;$BI86,AND($BU86=$BI86,OR($BV86&lt;$BJ86,AND($BV86=$BJ86,OR(AND(ISNUMBER($BW86),OR(NOT(ISNUMBER($BK86)),$BW86&lt;$BK86)),AND(OR(AND($BW86="",$BK86=""),AND(ISNUMBER($BW86),ISNUMBER($BK86),$BW86=$BK86)),$BX86&lt;$BL86)))))))),"-&gt;","&lt;-"))</f>
        <v/>
      </c>
      <c r="BN86" s="134" t="str">
        <f aca="false">IF(ISBLANK($C86),"",AND($AT86,OR($AU86="",$AV86="",AND($AW86,$AX86=""))))</f>
        <v/>
      </c>
      <c r="BO86" s="137" t="str">
        <f aca="false">IF($BZ86&lt;&gt;Constants!$B$8,"",IF($AT86,Constants!$B$21*$AV86+Constants!$B$22*IF($AW86,$AX86,Constants!$B$23),Constants!$B$24))</f>
        <v/>
      </c>
      <c r="BP86" s="138" t="str">
        <f aca="false">IF($BZ86&lt;&gt;Constants!$B$8,"",Constants!$B$25*ABS($AD$9-IF($AT86,$AU86,0)))</f>
        <v/>
      </c>
      <c r="BQ86" s="138" t="str">
        <f aca="false">IF($BZ86&lt;&gt;Constants!$B$8,"",IF(AND($AT86,$AY86,$AW86),Constants!$B$27,0))</f>
        <v/>
      </c>
      <c r="BR86" s="138" t="str">
        <f aca="false">IF($BZ86&lt;&gt;Constants!$B$8,"",IF($AT86,($AI86-Constants!$B$29)*Constants!$B$28,0))</f>
        <v/>
      </c>
      <c r="BS86" s="138" t="str">
        <f aca="false">IF($BZ86&lt;&gt;Constants!$B$8,"",IF($AS86,0,Constants!$B$15)+IF($AR86,0,Constants!$B$16)+IF($AH86,0,Constants!$B$17))</f>
        <v/>
      </c>
      <c r="BT86" s="139" t="str">
        <f aca="false">IF($BZ86&lt;&gt;Constants!$B$8,"",Constants!$B$20+SUM($BO86:$BS86))</f>
        <v/>
      </c>
      <c r="BU86" s="138" t="str">
        <f aca="false">IF($BZ86&lt;&gt;Constants!$B$8,"",$BO86)</f>
        <v/>
      </c>
      <c r="BV86" s="138" t="str">
        <f aca="false">IF($BZ86&lt;&gt;Constants!$B$8,"",$BP86)</f>
        <v/>
      </c>
      <c r="BW86" s="138" t="str">
        <f aca="false">IF($BZ86&lt;&gt;Constants!$B$8,"",IF($AT86,$AV86,""))</f>
        <v/>
      </c>
      <c r="BX86" s="140" t="str">
        <f aca="false">IF($BZ86&lt;&gt;Constants!$B$8,"",$AI86)</f>
        <v/>
      </c>
      <c r="BY86" s="135" t="str">
        <f aca="false">IF(ISBLANK($C86),"",IF(ISBLANK($D$7),$BY$5,IF(NOT(ISNUMBER($D$7)),$BY$6,"")))</f>
        <v/>
      </c>
      <c r="BZ86" s="135" t="str">
        <f aca="false">IF(ISBLANK($C86),"",IF($BA86,Constants!$B$11,IF(COUNTA($E86:$AA86)=0,Constants!$B$10,IF(NOT($AG86),Constants!$B$9,IF(OR($BY86&lt;&gt;"",$BB86,$BN86),Constants!$B$12,Constants!$B$8)))))</f>
        <v/>
      </c>
      <c r="CA86" s="135" t="str">
        <f aca="false">IF(ISBLANK($C86),"",IF($BZ86&lt;&gt;Constants!$B$8,$BZ86,Constants!$B$13))</f>
        <v/>
      </c>
      <c r="CB86" s="138" t="str">
        <f aca="false">IF($BZ86&lt;&gt;Constants!$B$8,"",IF($BM86="-&gt;",$BT86,$BH86))</f>
        <v/>
      </c>
      <c r="CC86" s="138" t="str">
        <f aca="false">IF($BZ86&lt;&gt;Constants!$B$8,"",IF($AF86,0,Constants!$B$18))</f>
        <v/>
      </c>
      <c r="CD86" s="138" t="str">
        <f aca="false">IF($BZ86&lt;&gt;Constants!$B$8,"",((Constants!$B$31-$AZ86)-Constants!$B$31)/Constants!$B$32)</f>
        <v/>
      </c>
      <c r="CE86" s="138" t="str">
        <f aca="false">IF(ISBLANK($C86),"",IF($BZ86&lt;&gt;Constants!$B$8,$BZ86,SUM($CB86:$CD86)))</f>
        <v/>
      </c>
      <c r="CF86" s="135" t="str">
        <f aca="false">IF(ISBLANK($C86),"",IF($BZ86&lt;&gt;Constants!$B$8,$BZ86,RANK($CE86,$CE$9:$CE$508,1)))</f>
        <v/>
      </c>
      <c r="CG86" s="138" t="str">
        <f aca="false">IF($BZ86&lt;&gt;Constants!$B$8,"",IF($BM86="-&gt;",$BU86,$BI86))</f>
        <v/>
      </c>
      <c r="CH86" s="135" t="str">
        <f aca="false">IF(ISBLANK($C86),"",IF($BZ86&lt;&gt;Constants!$B$8,$BZ86,IF(ISNUMBER($CG86),RANK($CG86,$CG$9:$CG$508,1),COUNT($CG$9:$CG$508)+1)))</f>
        <v/>
      </c>
      <c r="CI86" s="138" t="str">
        <f aca="false">IF($BZ86&lt;&gt;Constants!$B$8,"",IF($BM86="-&gt;",$BV86,$BJ86))</f>
        <v/>
      </c>
      <c r="CJ86" s="135" t="str">
        <f aca="false">IF(ISBLANK($C86),"",IF($BZ86&lt;&gt;Constants!$B$8,$BZ86,IF(ISNUMBER($CI86),RANK($CI86,$CI$9:$CI$508,1),COUNT($CI$9:$CI$508)+1)))</f>
        <v/>
      </c>
      <c r="CK86" s="138" t="str">
        <f aca="false">IF($BZ86&lt;&gt;Constants!$B$8,"",IF($BM86="-&gt;",$BW86,$BK86))</f>
        <v/>
      </c>
      <c r="CL86" s="135" t="str">
        <f aca="false">IF(ISBLANK($C86),"",IF($BZ86&lt;&gt;Constants!$B$8,$BZ86,IF(ISNUMBER($CK86),RANK($CK86,$CK$9:$CK$508,1),COUNT($CK$9:$CK$508)+1)))</f>
        <v/>
      </c>
      <c r="CM86" s="138" t="str">
        <f aca="false">IF($BZ86&lt;&gt;Constants!$B$8,"",IF(AND(NOT($AL86),NOT($AT86),$AJ86,$AK86,$AR86,$AS86),"",IF($BM86="-&gt;",$BX86,$BL86)))</f>
        <v/>
      </c>
      <c r="CN86" s="135" t="str">
        <f aca="false">IF(ISBLANK($C86),"",IF($BZ86&lt;&gt;Constants!$B$8,$BZ86,IF(ISNUMBER($CM86),RANK($CM86,$CM$9:$CM$508,1),COUNT($CM$9:$CM$508)+1)))</f>
        <v/>
      </c>
      <c r="CO86" s="135" t="str">
        <f aca="false">IF(ISBLANK($C86),"",IF($BZ86&lt;&gt;Constants!$B$8,$BZ86,COUNTIFS($CF$9:$CF$508,"&lt;"&amp;$CF86)+COUNTIFS($CF$9:$CF$508,$CF86,$CH$9:$CH$508,"&lt;"&amp;$CH86)+COUNTIFS($CF$9:$CF$508,$CF86,$CH$9:$CH$508,$CH86,$CJ$9:$CJ$508,"&lt;"&amp;$CJ86)+COUNTIFS($CF$9:$CF$508,$CF86,$CH$9:$CH$508,$CH86,$CJ$9:$CJ$508,$CJ86,$CL$9:$CL$508,"&lt;"&amp;$CL86)+COUNTIFS($CF$9:$CF$508,$CF86,$CH$9:$CH$508,$CH86,$CJ$9:$CJ$508,$CJ86,$CL$9:$CL$508,$CL86,$CN$9:$CN$508,"&lt;"&amp;$CN86)+1))</f>
        <v/>
      </c>
      <c r="CP86" s="135" t="str">
        <f aca="false">IF(ISBLANK($C86),"",IF($BZ86&lt;&gt;Constants!$B$8,$BZ86,$CF86-$CO86))</f>
        <v/>
      </c>
      <c r="CQ86" s="141"/>
      <c r="CR86" s="142"/>
      <c r="CS86" s="143" t="str">
        <f aca="false">IF(ISBLANK($C86),"",IF($BZ86=Constants!$B$12,$BY86,""))</f>
        <v/>
      </c>
      <c r="CT86" s="142" t="str">
        <f aca="false">IF(ISBLANK($C86),"",IF($BZ86&lt;&gt;Constants!$B$8,"",IF($BM86="-&gt;",2,1)))</f>
        <v/>
      </c>
      <c r="CU86" s="144" t="str">
        <f aca="false">IF(ISBLANK($C86),"",IF($BZ86&lt;&gt;Constants!$B$8,"",IF($BM86="-&gt;",$BO86,$BC86)))</f>
        <v/>
      </c>
      <c r="CV86" s="144" t="str">
        <f aca="false">IF(ISBLANK($C86),"",IF($BZ86&lt;&gt;Constants!$B$8,"",IF($BM86="-&gt;",$BP86,$BD86)))</f>
        <v/>
      </c>
      <c r="CW86" s="144" t="str">
        <f aca="false">IF(ISBLANK($C86),"",IF($BZ86&lt;&gt;Constants!$B$8,"",IF($BM86="-&gt;",$BQ86+$BR86,$BE86+$BF86)+$CD86))</f>
        <v/>
      </c>
      <c r="CX86" s="144" t="str">
        <f aca="false">IF(ISBLANK($C86),"",IF($BZ86&lt;&gt;Constants!$B$8,"",IF($BM86="-&gt;",$BS86,$BG86)+$CC86))</f>
        <v/>
      </c>
      <c r="CY86" s="145" t="str">
        <f aca="false">IF(ISBLANK($C86),"",IF($BZ86&lt;&gt;Constants!$B$8,$BZ86,$CE86))</f>
        <v/>
      </c>
      <c r="CZ86" s="146" t="str">
        <f aca="false">IF(ISBLANK($C86),"",$CA86)</f>
        <v/>
      </c>
      <c r="DA86" s="147" t="str">
        <f aca="false">IF(ISBLANK($C86),"",$CP86)</f>
        <v/>
      </c>
      <c r="DB86" s="147" t="str">
        <f aca="false">IF(ISBLANK($C86),"",$CO86)</f>
        <v/>
      </c>
      <c r="DC86" s="148" t="str">
        <f aca="false">IF(ISBLANK($C86),"",IFERROR(_xlfn.SWITCH($DB86,Constants!$B$11,COUNTA($C$9:$C$508)+2,Constants!$B$10,COUNTA($C$9:$C$508)+1,Constants!$B$9,COUNTA($C$9:$C$508)),$DB86))</f>
        <v/>
      </c>
      <c r="DD86" s="9"/>
      <c r="DE86" s="149" t="n">
        <f aca="false">IF(OR(ISNUMBER($DB86),$DB86=Constants!$B$11,$DB86=Constants!$B$9,$DB86=Constants!$B$10),1,0)</f>
        <v>0</v>
      </c>
      <c r="DF86" s="149" t="n">
        <v>78</v>
      </c>
      <c r="DG86" s="149" t="str">
        <f aca="false">IF(ISBLANK($C86),"",IF(ISNUMBER($DC86),$DC86+ROW($B86)/1000,""))</f>
        <v/>
      </c>
      <c r="DH86" s="149" t="str">
        <f aca="false">IF(ISNUMBER($DG86),RANK($DG86,$DG$9:$DG$508,1),"")</f>
        <v/>
      </c>
      <c r="DI86" s="149" t="str">
        <f aca="false">IF(ISBLANK($C86),"",$B86)</f>
        <v/>
      </c>
      <c r="DJ86" s="149" t="str">
        <f aca="false">IF(ISBLANK($C86),"",$C86)</f>
        <v/>
      </c>
      <c r="DK86" s="149" t="str">
        <f aca="false">IF(ISBLANK($C86),"",$D86)</f>
        <v/>
      </c>
      <c r="DL86" s="150" t="str">
        <f aca="false">$CZ86</f>
        <v/>
      </c>
      <c r="DM86" s="151" t="str">
        <f aca="false">$CY86</f>
        <v/>
      </c>
      <c r="DN86" s="149" t="str">
        <f aca="false">IF(ISBLANK($C86),"",$DB86)</f>
        <v/>
      </c>
      <c r="DO86" s="152" t="str">
        <f aca="false">IF($DF86&gt;$DE$8,"",VLOOKUP($DF86,$DH$9:$DN$508,7,FALSE()))</f>
        <v/>
      </c>
      <c r="DP86" s="153" t="str">
        <f aca="false">IF($DF86&gt;$DE$8,"",VLOOKUP($DF86,$DH$9:$DN$508,2,FALSE()))</f>
        <v/>
      </c>
      <c r="DQ86" s="153" t="str">
        <f aca="false">IF($DF86&gt;$DE$8,"",VLOOKUP($DF86,$DH$9:$DN$508,3,FALSE()))</f>
        <v/>
      </c>
      <c r="DR86" s="153" t="str">
        <f aca="false">IF($DF86&gt;$DE$8,"",VLOOKUP($DF86,$DH$9:$DN$508,4,FALSE()))</f>
        <v/>
      </c>
      <c r="DS86" s="153" t="str">
        <f aca="false">IF($DF86&gt;$DE$8,"",VLOOKUP($DF86,$DH$9:$DN$508,5,FALSE()))</f>
        <v/>
      </c>
      <c r="DT86" s="154" t="str">
        <f aca="false">IF($DF86&gt;$DE$8,"",VLOOKUP($DF86,$DH$9:$DN$508,6,FALSE()))</f>
        <v/>
      </c>
      <c r="DU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IF(ISBLANK($C87),"",IF(E87=Constants!$B$3,TRUE(),IF(E87=Constants!$B$4,FALSE(),TRUE())))</f>
        <v/>
      </c>
      <c r="AG87" s="93" t="str">
        <f aca="false">IF(ISBLANK($C87),"",IF(F87=Constants!$B$3,TRUE(),IF(F87=Constants!$B$4,FALSE(),TRUE())))</f>
        <v/>
      </c>
      <c r="AH87" s="93" t="str">
        <f aca="false">IF(ISBLANK($C87),"",IF(G87=Constants!$B$3,TRUE(),IF(G87=Constants!$B$4,FALSE(),TRUE())))</f>
        <v/>
      </c>
      <c r="AI87" s="93" t="str">
        <f aca="false">IF(ISBLANK($C87),"",IF(AND(ISNUMBER(H87),H87&gt;=0),H87,Constants!$B$29))</f>
        <v/>
      </c>
      <c r="AJ87" s="93" t="str">
        <f aca="false">IF(ISBLANK($C87),"",IF(I87=Constants!$B$3,TRUE(),IF(I87=Constants!$B$4,FALSE(),TRUE())))</f>
        <v/>
      </c>
      <c r="AK87" s="93" t="str">
        <f aca="false">IF(ISBLANK($C87),"",IF(J87=Constants!$B$3,TRUE(),IF(J87=Constants!$B$4,FALSE(),TRUE())))</f>
        <v/>
      </c>
      <c r="AL87" s="93" t="str">
        <f aca="false">IF(ISBLANK($C87),"",IF(K87=Constants!$B$5,TRUE(),IF(K87=Constants!$B$6,FALSE(),COUNTA(L87:P87)&gt;0)))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IF(ISBLANK($C87),"",IF(N87=Constants!$B$3,TRUE(),IF(N87=Constants!$B$4,FALSE(),TRUE())))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IF(ISBLANK($C87),"",IF(P87=Constants!$B$3,TRUE(),IF(P87=Constants!$B$4,FALSE(),FALSE())))</f>
        <v/>
      </c>
      <c r="AR87" s="93" t="str">
        <f aca="false">IF(ISBLANK($C87),"",IF(Q87=Constants!$B$3,TRUE(),IF(Q87=Constants!$B$4,FALSE(),TRUE())))</f>
        <v/>
      </c>
      <c r="AS87" s="93" t="str">
        <f aca="false">IF(ISBLANK($C87),"",IF(R87=Constants!$B$3,TRUE(),IF(R87=Constants!$B$4,FALSE(),TRUE())))</f>
        <v/>
      </c>
      <c r="AT87" s="93" t="str">
        <f aca="false">IF(ISBLANK($C87),"",IF(S87=Constants!$B$5,TRUE(),IF(S87=Constants!$B$6,FALSE(),COUNTA(T87:X87)&gt;0)))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IF(ISBLANK($C87),"",IF(V87=Constants!$B$3,TRUE(),IF(V87=Constants!$B$4,FALSE(),TRUE())))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IF(ISBLANK($C87),"",IF(X87=Constants!$B$3,TRUE(),IF(X87=Constants!$B$4,FALSE(),FALSE())))</f>
        <v/>
      </c>
      <c r="AZ87" s="93" t="str">
        <f aca="false">IF(ISBLANK($C87),"",MIN(Constants!$B$31,MAX(0,IF(ISNUMBER(Y87),Y87*60,0)+IF(ISNUMBER(Z87),Z87,0))))</f>
        <v/>
      </c>
      <c r="BA87" s="93" t="str">
        <f aca="false">IF(ISBLANK($C87),"",IF(AA87=Constants!$B$3,TRUE(),IF(AA87=Constants!$B$4,FALSE(),FALSE())))</f>
        <v/>
      </c>
      <c r="BB87" s="92" t="str">
        <f aca="false">IF(ISBLANK($C87),"",AND($AL87,OR($AM87="",$AN87="",AND($AO87,$AP87=""))))</f>
        <v/>
      </c>
      <c r="BC87" s="94" t="str">
        <f aca="false">IF($BZ87&lt;&gt;Constants!$B$8,"",IF($AL87,Constants!$B$21*$AN87+Constants!$B$22*IF($AO87,$AP87,Constants!$B$23),Constants!$B$24))</f>
        <v/>
      </c>
      <c r="BD87" s="97" t="str">
        <f aca="false">IF($BZ87&lt;&gt;Constants!$B$8,"",Constants!$B$25*ABS($AD$9-IF($AL87,$AM87,0)))</f>
        <v/>
      </c>
      <c r="BE87" s="97" t="str">
        <f aca="false">IF($BZ87&lt;&gt;Constants!$B$8,"",IF(AND($AL87,$AQ87,$AO87),Constants!$B$27,0))</f>
        <v/>
      </c>
      <c r="BF87" s="97" t="str">
        <f aca="false">IF($BZ87&lt;&gt;Constants!$B$8,"",IF($AL87,($AI87-Constants!$B$29)*Constants!$B$28,0))</f>
        <v/>
      </c>
      <c r="BG87" s="97" t="str">
        <f aca="false">IF($BZ87&lt;&gt;Constants!$B$8,"",IF($AK87,0,Constants!$B$15)+IF($AJ87,0,Constants!$B$16)+IF($AH87,0,Constants!$B$17))</f>
        <v/>
      </c>
      <c r="BH87" s="98" t="str">
        <f aca="false">IF($BZ87&lt;&gt;Constants!$B$8,"",Constants!$B$20+SUM($BC87:$BG87))</f>
        <v/>
      </c>
      <c r="BI87" s="97" t="str">
        <f aca="false">IF($BZ87&lt;&gt;Constants!$B$8,"",$BC87)</f>
        <v/>
      </c>
      <c r="BJ87" s="97" t="str">
        <f aca="false">IF($BZ87&lt;&gt;Constants!$B$8,"",$BD87)</f>
        <v/>
      </c>
      <c r="BK87" s="97" t="str">
        <f aca="false">IF($BZ87&lt;&gt;Constants!$B$8,"",IF($AL87,$AN87,""))</f>
        <v/>
      </c>
      <c r="BL87" s="99" t="str">
        <f aca="false">IF($BZ87&lt;&gt;Constants!$B$8,"",$AI87)</f>
        <v/>
      </c>
      <c r="BM87" s="93" t="str">
        <f aca="false">IF($BZ87&lt;&gt;Constants!$B$8,"",IF(OR($BT87&lt;$BH87,AND($BT87=$BH87,OR($BU87&lt;$BI87,AND($BU87=$BI87,OR($BV87&lt;$BJ87,AND($BV87=$BJ87,OR(AND(ISNUMBER($BW87),OR(NOT(ISNUMBER($BK87)),$BW87&lt;$BK87)),AND(OR(AND($BW87="",$BK87=""),AND(ISNUMBER($BW87),ISNUMBER($BK87),$BW87=$BK87)),$BX87&lt;$BL87)))))))),"-&gt;","&lt;-"))</f>
        <v/>
      </c>
      <c r="BN87" s="92" t="str">
        <f aca="false">IF(ISBLANK($C87),"",AND($AT87,OR($AU87="",$AV87="",AND($AW87,$AX87=""))))</f>
        <v/>
      </c>
      <c r="BO87" s="94" t="str">
        <f aca="false">IF($BZ87&lt;&gt;Constants!$B$8,"",IF($AT87,Constants!$B$21*$AV87+Constants!$B$22*IF($AW87,$AX87,Constants!$B$23),Constants!$B$24))</f>
        <v/>
      </c>
      <c r="BP87" s="97" t="str">
        <f aca="false">IF($BZ87&lt;&gt;Constants!$B$8,"",Constants!$B$25*ABS($AD$9-IF($AT87,$AU87,0)))</f>
        <v/>
      </c>
      <c r="BQ87" s="97" t="str">
        <f aca="false">IF($BZ87&lt;&gt;Constants!$B$8,"",IF(AND($AT87,$AY87,$AW87),Constants!$B$27,0))</f>
        <v/>
      </c>
      <c r="BR87" s="97" t="str">
        <f aca="false">IF($BZ87&lt;&gt;Constants!$B$8,"",IF($AT87,($AI87-Constants!$B$29)*Constants!$B$28,0))</f>
        <v/>
      </c>
      <c r="BS87" s="97" t="str">
        <f aca="false">IF($BZ87&lt;&gt;Constants!$B$8,"",IF($AS87,0,Constants!$B$15)+IF($AR87,0,Constants!$B$16)+IF($AH87,0,Constants!$B$17))</f>
        <v/>
      </c>
      <c r="BT87" s="98" t="str">
        <f aca="false">IF($BZ87&lt;&gt;Constants!$B$8,"",Constants!$B$20+SUM($BO87:$BS87))</f>
        <v/>
      </c>
      <c r="BU87" s="97" t="str">
        <f aca="false">IF($BZ87&lt;&gt;Constants!$B$8,"",$BO87)</f>
        <v/>
      </c>
      <c r="BV87" s="97" t="str">
        <f aca="false">IF($BZ87&lt;&gt;Constants!$B$8,"",$BP87)</f>
        <v/>
      </c>
      <c r="BW87" s="97" t="str">
        <f aca="false">IF($BZ87&lt;&gt;Constants!$B$8,"",IF($AT87,$AV87,""))</f>
        <v/>
      </c>
      <c r="BX87" s="99" t="str">
        <f aca="false">IF($BZ87&lt;&gt;Constants!$B$8,"",$AI87)</f>
        <v/>
      </c>
      <c r="BY87" s="93" t="str">
        <f aca="false">IF(ISBLANK($C87),"",IF(ISBLANK($D$7),$BY$5,IF(NOT(ISNUMBER($D$7)),$BY$6,"")))</f>
        <v/>
      </c>
      <c r="BZ87" s="93" t="str">
        <f aca="false">IF(ISBLANK($C87),"",IF($BA87,Constants!$B$11,IF(COUNTA($E87:$AA87)=0,Constants!$B$10,IF(NOT($AG87),Constants!$B$9,IF(OR($BY87&lt;&gt;"",$BB87,$BN87),Constants!$B$12,Constants!$B$8)))))</f>
        <v/>
      </c>
      <c r="CA87" s="93" t="str">
        <f aca="false">IF(ISBLANK($C87),"",IF($BZ87&lt;&gt;Constants!$B$8,$BZ87,Constants!$B$13))</f>
        <v/>
      </c>
      <c r="CB87" s="97" t="str">
        <f aca="false">IF($BZ87&lt;&gt;Constants!$B$8,"",IF($BM87="-&gt;",$BT87,$BH87))</f>
        <v/>
      </c>
      <c r="CC87" s="97" t="str">
        <f aca="false">IF($BZ87&lt;&gt;Constants!$B$8,"",IF($AF87,0,Constants!$B$18))</f>
        <v/>
      </c>
      <c r="CD87" s="97" t="str">
        <f aca="false">IF($BZ87&lt;&gt;Constants!$B$8,"",((Constants!$B$31-$AZ87)-Constants!$B$31)/Constants!$B$32)</f>
        <v/>
      </c>
      <c r="CE87" s="97" t="str">
        <f aca="false">IF(ISBLANK($C87),"",IF($BZ87&lt;&gt;Constants!$B$8,$BZ87,SUM($CB87:$CD87)))</f>
        <v/>
      </c>
      <c r="CF87" s="93" t="str">
        <f aca="false">IF(ISBLANK($C87),"",IF($BZ87&lt;&gt;Constants!$B$8,$BZ87,RANK($CE87,$CE$9:$CE$508,1)))</f>
        <v/>
      </c>
      <c r="CG87" s="97" t="str">
        <f aca="false">IF($BZ87&lt;&gt;Constants!$B$8,"",IF($BM87="-&gt;",$BU87,$BI87))</f>
        <v/>
      </c>
      <c r="CH87" s="93" t="str">
        <f aca="false">IF(ISBLANK($C87),"",IF($BZ87&lt;&gt;Constants!$B$8,$BZ87,IF(ISNUMBER($CG87),RANK($CG87,$CG$9:$CG$508,1),COUNT($CG$9:$CG$508)+1)))</f>
        <v/>
      </c>
      <c r="CI87" s="97" t="str">
        <f aca="false">IF($BZ87&lt;&gt;Constants!$B$8,"",IF($BM87="-&gt;",$BV87,$BJ87))</f>
        <v/>
      </c>
      <c r="CJ87" s="93" t="str">
        <f aca="false">IF(ISBLANK($C87),"",IF($BZ87&lt;&gt;Constants!$B$8,$BZ87,IF(ISNUMBER($CI87),RANK($CI87,$CI$9:$CI$508,1),COUNT($CI$9:$CI$508)+1)))</f>
        <v/>
      </c>
      <c r="CK87" s="97" t="str">
        <f aca="false">IF($BZ87&lt;&gt;Constants!$B$8,"",IF($BM87="-&gt;",$BW87,$BK87))</f>
        <v/>
      </c>
      <c r="CL87" s="93" t="str">
        <f aca="false">IF(ISBLANK($C87),"",IF($BZ87&lt;&gt;Constants!$B$8,$BZ87,IF(ISNUMBER($CK87),RANK($CK87,$CK$9:$CK$508,1),COUNT($CK$9:$CK$508)+1)))</f>
        <v/>
      </c>
      <c r="CM87" s="97" t="str">
        <f aca="false">IF($BZ87&lt;&gt;Constants!$B$8,"",IF(AND(NOT($AL87),NOT($AT87),$AJ87,$AK87,$AR87,$AS87),"",IF($BM87="-&gt;",$BX87,$BL87)))</f>
        <v/>
      </c>
      <c r="CN87" s="93" t="str">
        <f aca="false">IF(ISBLANK($C87),"",IF($BZ87&lt;&gt;Constants!$B$8,$BZ87,IF(ISNUMBER($CM87),RANK($CM87,$CM$9:$CM$508,1),COUNT($CM$9:$CM$508)+1)))</f>
        <v/>
      </c>
      <c r="CO87" s="93" t="str">
        <f aca="false">IF(ISBLANK($C87),"",IF($BZ87&lt;&gt;Constants!$B$8,$BZ87,COUNTIFS($CF$9:$CF$508,"&lt;"&amp;$CF87)+COUNTIFS($CF$9:$CF$508,$CF87,$CH$9:$CH$508,"&lt;"&amp;$CH87)+COUNTIFS($CF$9:$CF$508,$CF87,$CH$9:$CH$508,$CH87,$CJ$9:$CJ$508,"&lt;"&amp;$CJ87)+COUNTIFS($CF$9:$CF$508,$CF87,$CH$9:$CH$508,$CH87,$CJ$9:$CJ$508,$CJ87,$CL$9:$CL$508,"&lt;"&amp;$CL87)+COUNTIFS($CF$9:$CF$508,$CF87,$CH$9:$CH$508,$CH87,$CJ$9:$CJ$508,$CJ87,$CL$9:$CL$508,$CL87,$CN$9:$CN$508,"&lt;"&amp;$CN87)+1))</f>
        <v/>
      </c>
      <c r="CP87" s="93" t="str">
        <f aca="false">IF(ISBLANK($C87),"",IF($BZ87&lt;&gt;Constants!$B$8,$BZ87,$CF87-$CO87))</f>
        <v/>
      </c>
      <c r="CQ87" s="100"/>
      <c r="CR87" s="101"/>
      <c r="CS87" s="102" t="str">
        <f aca="false">IF(ISBLANK($C87),"",IF($BZ87=Constants!$B$12,$BY87,""))</f>
        <v/>
      </c>
      <c r="CT87" s="101" t="str">
        <f aca="false">IF(ISBLANK($C87),"",IF($BZ87&lt;&gt;Constants!$B$8,"",IF($BM87="-&gt;",2,1)))</f>
        <v/>
      </c>
      <c r="CU87" s="103" t="str">
        <f aca="false">IF(ISBLANK($C87),"",IF($BZ87&lt;&gt;Constants!$B$8,"",IF($BM87="-&gt;",$BO87,$BC87)))</f>
        <v/>
      </c>
      <c r="CV87" s="103" t="str">
        <f aca="false">IF(ISBLANK($C87),"",IF($BZ87&lt;&gt;Constants!$B$8,"",IF($BM87="-&gt;",$BP87,$BD87)))</f>
        <v/>
      </c>
      <c r="CW87" s="103" t="str">
        <f aca="false">IF(ISBLANK($C87),"",IF($BZ87&lt;&gt;Constants!$B$8,"",IF($BM87="-&gt;",$BQ87+$BR87,$BE87+$BF87)+$CD87))</f>
        <v/>
      </c>
      <c r="CX87" s="103" t="str">
        <f aca="false">IF(ISBLANK($C87),"",IF($BZ87&lt;&gt;Constants!$B$8,"",IF($BM87="-&gt;",$BS87,$BG87)+$CC87))</f>
        <v/>
      </c>
      <c r="CY87" s="104" t="str">
        <f aca="false">IF(ISBLANK($C87),"",IF($BZ87&lt;&gt;Constants!$B$8,$BZ87,$CE87))</f>
        <v/>
      </c>
      <c r="CZ87" s="105" t="str">
        <f aca="false">IF(ISBLANK($C87),"",$CA87)</f>
        <v/>
      </c>
      <c r="DA87" s="106" t="str">
        <f aca="false">IF(ISBLANK($C87),"",$CP87)</f>
        <v/>
      </c>
      <c r="DB87" s="106" t="str">
        <f aca="false">IF(ISBLANK($C87),"",$CO87)</f>
        <v/>
      </c>
      <c r="DC87" s="107" t="str">
        <f aca="false">IF(ISBLANK($C87),"",IFERROR(_xlfn.SWITCH($DB87,Constants!$B$11,COUNTA($C$9:$C$508)+2,Constants!$B$10,COUNTA($C$9:$C$508)+1,Constants!$B$9,COUNTA($C$9:$C$508)),$DB87))</f>
        <v/>
      </c>
      <c r="DD87" s="9"/>
      <c r="DE87" s="108" t="n">
        <f aca="false">IF(OR(ISNUMBER($DB87),$DB87=Constants!$B$11,$DB87=Constants!$B$9,$DB87=Constants!$B$10),1,0)</f>
        <v>0</v>
      </c>
      <c r="DF87" s="108" t="n">
        <v>79</v>
      </c>
      <c r="DG87" s="108" t="str">
        <f aca="false">IF(ISBLANK($C87),"",IF(ISNUMBER($DC87),$DC87+ROW($B87)/1000,""))</f>
        <v/>
      </c>
      <c r="DH87" s="108" t="str">
        <f aca="false">IF(ISNUMBER($DG87),RANK($DG87,$DG$9:$DG$508,1),"")</f>
        <v/>
      </c>
      <c r="DI87" s="108" t="str">
        <f aca="false">IF(ISBLANK($C87),"",$B87)</f>
        <v/>
      </c>
      <c r="DJ87" s="108" t="str">
        <f aca="false">IF(ISBLANK($C87),"",$C87)</f>
        <v/>
      </c>
      <c r="DK87" s="108" t="str">
        <f aca="false">IF(ISBLANK($C87),"",$D87)</f>
        <v/>
      </c>
      <c r="DL87" s="109" t="str">
        <f aca="false">$CZ87</f>
        <v/>
      </c>
      <c r="DM87" s="110" t="str">
        <f aca="false">$CY87</f>
        <v/>
      </c>
      <c r="DN87" s="108" t="str">
        <f aca="false">IF(ISBLANK($C87),"",$DB87)</f>
        <v/>
      </c>
      <c r="DO87" s="111" t="str">
        <f aca="false">IF($DF87&gt;$DE$8,"",VLOOKUP($DF87,$DH$9:$DN$508,7,FALSE()))</f>
        <v/>
      </c>
      <c r="DP87" s="112" t="str">
        <f aca="false">IF($DF87&gt;$DE$8,"",VLOOKUP($DF87,$DH$9:$DN$508,2,FALSE()))</f>
        <v/>
      </c>
      <c r="DQ87" s="112" t="str">
        <f aca="false">IF($DF87&gt;$DE$8,"",VLOOKUP($DF87,$DH$9:$DN$508,3,FALSE()))</f>
        <v/>
      </c>
      <c r="DR87" s="112" t="str">
        <f aca="false">IF($DF87&gt;$DE$8,"",VLOOKUP($DF87,$DH$9:$DN$508,4,FALSE()))</f>
        <v/>
      </c>
      <c r="DS87" s="112" t="str">
        <f aca="false">IF($DF87&gt;$DE$8,"",VLOOKUP($DF87,$DH$9:$DN$508,5,FALSE()))</f>
        <v/>
      </c>
      <c r="DT87" s="113" t="str">
        <f aca="false">IF($DF87&gt;$DE$8,"",VLOOKUP($DF87,$DH$9:$DN$508,6,FALSE()))</f>
        <v/>
      </c>
      <c r="DU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IF(ISBLANK($C88),"",IF(E88=Constants!$B$3,TRUE(),IF(E88=Constants!$B$4,FALSE(),TRUE())))</f>
        <v/>
      </c>
      <c r="AG88" s="93" t="str">
        <f aca="false">IF(ISBLANK($C88),"",IF(F88=Constants!$B$3,TRUE(),IF(F88=Constants!$B$4,FALSE(),TRUE())))</f>
        <v/>
      </c>
      <c r="AH88" s="93" t="str">
        <f aca="false">IF(ISBLANK($C88),"",IF(G88=Constants!$B$3,TRUE(),IF(G88=Constants!$B$4,FALSE(),TRUE())))</f>
        <v/>
      </c>
      <c r="AI88" s="93" t="str">
        <f aca="false">IF(ISBLANK($C88),"",IF(AND(ISNUMBER(H88),H88&gt;=0),H88,Constants!$B$29))</f>
        <v/>
      </c>
      <c r="AJ88" s="93" t="str">
        <f aca="false">IF(ISBLANK($C88),"",IF(I88=Constants!$B$3,TRUE(),IF(I88=Constants!$B$4,FALSE(),TRUE())))</f>
        <v/>
      </c>
      <c r="AK88" s="93" t="str">
        <f aca="false">IF(ISBLANK($C88),"",IF(J88=Constants!$B$3,TRUE(),IF(J88=Constants!$B$4,FALSE(),TRUE())))</f>
        <v/>
      </c>
      <c r="AL88" s="93" t="str">
        <f aca="false">IF(ISBLANK($C88),"",IF(K88=Constants!$B$5,TRUE(),IF(K88=Constants!$B$6,FALSE(),COUNTA(L88:P88)&gt;0)))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IF(ISBLANK($C88),"",IF(N88=Constants!$B$3,TRUE(),IF(N88=Constants!$B$4,FALSE(),TRUE())))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IF(ISBLANK($C88),"",IF(P88=Constants!$B$3,TRUE(),IF(P88=Constants!$B$4,FALSE(),FALSE())))</f>
        <v/>
      </c>
      <c r="AR88" s="93" t="str">
        <f aca="false">IF(ISBLANK($C88),"",IF(Q88=Constants!$B$3,TRUE(),IF(Q88=Constants!$B$4,FALSE(),TRUE())))</f>
        <v/>
      </c>
      <c r="AS88" s="93" t="str">
        <f aca="false">IF(ISBLANK($C88),"",IF(R88=Constants!$B$3,TRUE(),IF(R88=Constants!$B$4,FALSE(),TRUE())))</f>
        <v/>
      </c>
      <c r="AT88" s="93" t="str">
        <f aca="false">IF(ISBLANK($C88),"",IF(S88=Constants!$B$5,TRUE(),IF(S88=Constants!$B$6,FALSE(),COUNTA(T88:X88)&gt;0)))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IF(ISBLANK($C88),"",IF(V88=Constants!$B$3,TRUE(),IF(V88=Constants!$B$4,FALSE(),TRUE())))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IF(ISBLANK($C88),"",IF(X88=Constants!$B$3,TRUE(),IF(X88=Constants!$B$4,FALSE(),FALSE())))</f>
        <v/>
      </c>
      <c r="AZ88" s="93" t="str">
        <f aca="false">IF(ISBLANK($C88),"",MIN(Constants!$B$31,MAX(0,IF(ISNUMBER(Y88),Y88*60,0)+IF(ISNUMBER(Z88),Z88,0))))</f>
        <v/>
      </c>
      <c r="BA88" s="93" t="str">
        <f aca="false">IF(ISBLANK($C88),"",IF(AA88=Constants!$B$3,TRUE(),IF(AA88=Constants!$B$4,FALSE(),FALSE())))</f>
        <v/>
      </c>
      <c r="BB88" s="92" t="str">
        <f aca="false">IF(ISBLANK($C88),"",AND($AL88,OR($AM88="",$AN88="",AND($AO88,$AP88=""))))</f>
        <v/>
      </c>
      <c r="BC88" s="94" t="str">
        <f aca="false">IF($BZ88&lt;&gt;Constants!$B$8,"",IF($AL88,Constants!$B$21*$AN88+Constants!$B$22*IF($AO88,$AP88,Constants!$B$23),Constants!$B$24))</f>
        <v/>
      </c>
      <c r="BD88" s="97" t="str">
        <f aca="false">IF($BZ88&lt;&gt;Constants!$B$8,"",Constants!$B$25*ABS($AD$9-IF($AL88,$AM88,0)))</f>
        <v/>
      </c>
      <c r="BE88" s="97" t="str">
        <f aca="false">IF($BZ88&lt;&gt;Constants!$B$8,"",IF(AND($AL88,$AQ88,$AO88),Constants!$B$27,0))</f>
        <v/>
      </c>
      <c r="BF88" s="97" t="str">
        <f aca="false">IF($BZ88&lt;&gt;Constants!$B$8,"",IF($AL88,($AI88-Constants!$B$29)*Constants!$B$28,0))</f>
        <v/>
      </c>
      <c r="BG88" s="97" t="str">
        <f aca="false">IF($BZ88&lt;&gt;Constants!$B$8,"",IF($AK88,0,Constants!$B$15)+IF($AJ88,0,Constants!$B$16)+IF($AH88,0,Constants!$B$17))</f>
        <v/>
      </c>
      <c r="BH88" s="98" t="str">
        <f aca="false">IF($BZ88&lt;&gt;Constants!$B$8,"",Constants!$B$20+SUM($BC88:$BG88))</f>
        <v/>
      </c>
      <c r="BI88" s="97" t="str">
        <f aca="false">IF($BZ88&lt;&gt;Constants!$B$8,"",$BC88)</f>
        <v/>
      </c>
      <c r="BJ88" s="97" t="str">
        <f aca="false">IF($BZ88&lt;&gt;Constants!$B$8,"",$BD88)</f>
        <v/>
      </c>
      <c r="BK88" s="97" t="str">
        <f aca="false">IF($BZ88&lt;&gt;Constants!$B$8,"",IF($AL88,$AN88,""))</f>
        <v/>
      </c>
      <c r="BL88" s="99" t="str">
        <f aca="false">IF($BZ88&lt;&gt;Constants!$B$8,"",$AI88)</f>
        <v/>
      </c>
      <c r="BM88" s="93" t="str">
        <f aca="false">IF($BZ88&lt;&gt;Constants!$B$8,"",IF(OR($BT88&lt;$BH88,AND($BT88=$BH88,OR($BU88&lt;$BI88,AND($BU88=$BI88,OR($BV88&lt;$BJ88,AND($BV88=$BJ88,OR(AND(ISNUMBER($BW88),OR(NOT(ISNUMBER($BK88)),$BW88&lt;$BK88)),AND(OR(AND($BW88="",$BK88=""),AND(ISNUMBER($BW88),ISNUMBER($BK88),$BW88=$BK88)),$BX88&lt;$BL88)))))))),"-&gt;","&lt;-"))</f>
        <v/>
      </c>
      <c r="BN88" s="92" t="str">
        <f aca="false">IF(ISBLANK($C88),"",AND($AT88,OR($AU88="",$AV88="",AND($AW88,$AX88=""))))</f>
        <v/>
      </c>
      <c r="BO88" s="94" t="str">
        <f aca="false">IF($BZ88&lt;&gt;Constants!$B$8,"",IF($AT88,Constants!$B$21*$AV88+Constants!$B$22*IF($AW88,$AX88,Constants!$B$23),Constants!$B$24))</f>
        <v/>
      </c>
      <c r="BP88" s="97" t="str">
        <f aca="false">IF($BZ88&lt;&gt;Constants!$B$8,"",Constants!$B$25*ABS($AD$9-IF($AT88,$AU88,0)))</f>
        <v/>
      </c>
      <c r="BQ88" s="97" t="str">
        <f aca="false">IF($BZ88&lt;&gt;Constants!$B$8,"",IF(AND($AT88,$AY88,$AW88),Constants!$B$27,0))</f>
        <v/>
      </c>
      <c r="BR88" s="97" t="str">
        <f aca="false">IF($BZ88&lt;&gt;Constants!$B$8,"",IF($AT88,($AI88-Constants!$B$29)*Constants!$B$28,0))</f>
        <v/>
      </c>
      <c r="BS88" s="97" t="str">
        <f aca="false">IF($BZ88&lt;&gt;Constants!$B$8,"",IF($AS88,0,Constants!$B$15)+IF($AR88,0,Constants!$B$16)+IF($AH88,0,Constants!$B$17))</f>
        <v/>
      </c>
      <c r="BT88" s="98" t="str">
        <f aca="false">IF($BZ88&lt;&gt;Constants!$B$8,"",Constants!$B$20+SUM($BO88:$BS88))</f>
        <v/>
      </c>
      <c r="BU88" s="97" t="str">
        <f aca="false">IF($BZ88&lt;&gt;Constants!$B$8,"",$BO88)</f>
        <v/>
      </c>
      <c r="BV88" s="97" t="str">
        <f aca="false">IF($BZ88&lt;&gt;Constants!$B$8,"",$BP88)</f>
        <v/>
      </c>
      <c r="BW88" s="97" t="str">
        <f aca="false">IF($BZ88&lt;&gt;Constants!$B$8,"",IF($AT88,$AV88,""))</f>
        <v/>
      </c>
      <c r="BX88" s="99" t="str">
        <f aca="false">IF($BZ88&lt;&gt;Constants!$B$8,"",$AI88)</f>
        <v/>
      </c>
      <c r="BY88" s="93" t="str">
        <f aca="false">IF(ISBLANK($C88),"",IF(ISBLANK($D$7),$BY$5,IF(NOT(ISNUMBER($D$7)),$BY$6,"")))</f>
        <v/>
      </c>
      <c r="BZ88" s="93" t="str">
        <f aca="false">IF(ISBLANK($C88),"",IF($BA88,Constants!$B$11,IF(COUNTA($E88:$AA88)=0,Constants!$B$10,IF(NOT($AG88),Constants!$B$9,IF(OR($BY88&lt;&gt;"",$BB88,$BN88),Constants!$B$12,Constants!$B$8)))))</f>
        <v/>
      </c>
      <c r="CA88" s="93" t="str">
        <f aca="false">IF(ISBLANK($C88),"",IF($BZ88&lt;&gt;Constants!$B$8,$BZ88,Constants!$B$13))</f>
        <v/>
      </c>
      <c r="CB88" s="97" t="str">
        <f aca="false">IF($BZ88&lt;&gt;Constants!$B$8,"",IF($BM88="-&gt;",$BT88,$BH88))</f>
        <v/>
      </c>
      <c r="CC88" s="97" t="str">
        <f aca="false">IF($BZ88&lt;&gt;Constants!$B$8,"",IF($AF88,0,Constants!$B$18))</f>
        <v/>
      </c>
      <c r="CD88" s="97" t="str">
        <f aca="false">IF($BZ88&lt;&gt;Constants!$B$8,"",((Constants!$B$31-$AZ88)-Constants!$B$31)/Constants!$B$32)</f>
        <v/>
      </c>
      <c r="CE88" s="97" t="str">
        <f aca="false">IF(ISBLANK($C88),"",IF($BZ88&lt;&gt;Constants!$B$8,$BZ88,SUM($CB88:$CD88)))</f>
        <v/>
      </c>
      <c r="CF88" s="93" t="str">
        <f aca="false">IF(ISBLANK($C88),"",IF($BZ88&lt;&gt;Constants!$B$8,$BZ88,RANK($CE88,$CE$9:$CE$508,1)))</f>
        <v/>
      </c>
      <c r="CG88" s="97" t="str">
        <f aca="false">IF($BZ88&lt;&gt;Constants!$B$8,"",IF($BM88="-&gt;",$BU88,$BI88))</f>
        <v/>
      </c>
      <c r="CH88" s="93" t="str">
        <f aca="false">IF(ISBLANK($C88),"",IF($BZ88&lt;&gt;Constants!$B$8,$BZ88,IF(ISNUMBER($CG88),RANK($CG88,$CG$9:$CG$508,1),COUNT($CG$9:$CG$508)+1)))</f>
        <v/>
      </c>
      <c r="CI88" s="97" t="str">
        <f aca="false">IF($BZ88&lt;&gt;Constants!$B$8,"",IF($BM88="-&gt;",$BV88,$BJ88))</f>
        <v/>
      </c>
      <c r="CJ88" s="93" t="str">
        <f aca="false">IF(ISBLANK($C88),"",IF($BZ88&lt;&gt;Constants!$B$8,$BZ88,IF(ISNUMBER($CI88),RANK($CI88,$CI$9:$CI$508,1),COUNT($CI$9:$CI$508)+1)))</f>
        <v/>
      </c>
      <c r="CK88" s="97" t="str">
        <f aca="false">IF($BZ88&lt;&gt;Constants!$B$8,"",IF($BM88="-&gt;",$BW88,$BK88))</f>
        <v/>
      </c>
      <c r="CL88" s="93" t="str">
        <f aca="false">IF(ISBLANK($C88),"",IF($BZ88&lt;&gt;Constants!$B$8,$BZ88,IF(ISNUMBER($CK88),RANK($CK88,$CK$9:$CK$508,1),COUNT($CK$9:$CK$508)+1)))</f>
        <v/>
      </c>
      <c r="CM88" s="97" t="str">
        <f aca="false">IF($BZ88&lt;&gt;Constants!$B$8,"",IF(AND(NOT($AL88),NOT($AT88),$AJ88,$AK88,$AR88,$AS88),"",IF($BM88="-&gt;",$BX88,$BL88)))</f>
        <v/>
      </c>
      <c r="CN88" s="93" t="str">
        <f aca="false">IF(ISBLANK($C88),"",IF($BZ88&lt;&gt;Constants!$B$8,$BZ88,IF(ISNUMBER($CM88),RANK($CM88,$CM$9:$CM$508,1),COUNT($CM$9:$CM$508)+1)))</f>
        <v/>
      </c>
      <c r="CO88" s="93" t="str">
        <f aca="false">IF(ISBLANK($C88),"",IF($BZ88&lt;&gt;Constants!$B$8,$BZ88,COUNTIFS($CF$9:$CF$508,"&lt;"&amp;$CF88)+COUNTIFS($CF$9:$CF$508,$CF88,$CH$9:$CH$508,"&lt;"&amp;$CH88)+COUNTIFS($CF$9:$CF$508,$CF88,$CH$9:$CH$508,$CH88,$CJ$9:$CJ$508,"&lt;"&amp;$CJ88)+COUNTIFS($CF$9:$CF$508,$CF88,$CH$9:$CH$508,$CH88,$CJ$9:$CJ$508,$CJ88,$CL$9:$CL$508,"&lt;"&amp;$CL88)+COUNTIFS($CF$9:$CF$508,$CF88,$CH$9:$CH$508,$CH88,$CJ$9:$CJ$508,$CJ88,$CL$9:$CL$508,$CL88,$CN$9:$CN$508,"&lt;"&amp;$CN88)+1))</f>
        <v/>
      </c>
      <c r="CP88" s="93" t="str">
        <f aca="false">IF(ISBLANK($C88),"",IF($BZ88&lt;&gt;Constants!$B$8,$BZ88,$CF88-$CO88))</f>
        <v/>
      </c>
      <c r="CQ88" s="100"/>
      <c r="CR88" s="101"/>
      <c r="CS88" s="102" t="str">
        <f aca="false">IF(ISBLANK($C88),"",IF($BZ88=Constants!$B$12,$BY88,""))</f>
        <v/>
      </c>
      <c r="CT88" s="101" t="str">
        <f aca="false">IF(ISBLANK($C88),"",IF($BZ88&lt;&gt;Constants!$B$8,"",IF($BM88="-&gt;",2,1)))</f>
        <v/>
      </c>
      <c r="CU88" s="103" t="str">
        <f aca="false">IF(ISBLANK($C88),"",IF($BZ88&lt;&gt;Constants!$B$8,"",IF($BM88="-&gt;",$BO88,$BC88)))</f>
        <v/>
      </c>
      <c r="CV88" s="103" t="str">
        <f aca="false">IF(ISBLANK($C88),"",IF($BZ88&lt;&gt;Constants!$B$8,"",IF($BM88="-&gt;",$BP88,$BD88)))</f>
        <v/>
      </c>
      <c r="CW88" s="103" t="str">
        <f aca="false">IF(ISBLANK($C88),"",IF($BZ88&lt;&gt;Constants!$B$8,"",IF($BM88="-&gt;",$BQ88+$BR88,$BE88+$BF88)+$CD88))</f>
        <v/>
      </c>
      <c r="CX88" s="103" t="str">
        <f aca="false">IF(ISBLANK($C88),"",IF($BZ88&lt;&gt;Constants!$B$8,"",IF($BM88="-&gt;",$BS88,$BG88)+$CC88))</f>
        <v/>
      </c>
      <c r="CY88" s="104" t="str">
        <f aca="false">IF(ISBLANK($C88),"",IF($BZ88&lt;&gt;Constants!$B$8,$BZ88,$CE88))</f>
        <v/>
      </c>
      <c r="CZ88" s="105" t="str">
        <f aca="false">IF(ISBLANK($C88),"",$CA88)</f>
        <v/>
      </c>
      <c r="DA88" s="106" t="str">
        <f aca="false">IF(ISBLANK($C88),"",$CP88)</f>
        <v/>
      </c>
      <c r="DB88" s="106" t="str">
        <f aca="false">IF(ISBLANK($C88),"",$CO88)</f>
        <v/>
      </c>
      <c r="DC88" s="107" t="str">
        <f aca="false">IF(ISBLANK($C88),"",IFERROR(_xlfn.SWITCH($DB88,Constants!$B$11,COUNTA($C$9:$C$508)+2,Constants!$B$10,COUNTA($C$9:$C$508)+1,Constants!$B$9,COUNTA($C$9:$C$508)),$DB88))</f>
        <v/>
      </c>
      <c r="DD88" s="9"/>
      <c r="DE88" s="108" t="n">
        <f aca="false">IF(OR(ISNUMBER($DB88),$DB88=Constants!$B$11,$DB88=Constants!$B$9,$DB88=Constants!$B$10),1,0)</f>
        <v>0</v>
      </c>
      <c r="DF88" s="108" t="n">
        <v>80</v>
      </c>
      <c r="DG88" s="108" t="str">
        <f aca="false">IF(ISBLANK($C88),"",IF(ISNUMBER($DC88),$DC88+ROW($B88)/1000,""))</f>
        <v/>
      </c>
      <c r="DH88" s="108" t="str">
        <f aca="false">IF(ISNUMBER($DG88),RANK($DG88,$DG$9:$DG$508,1),"")</f>
        <v/>
      </c>
      <c r="DI88" s="108" t="str">
        <f aca="false">IF(ISBLANK($C88),"",$B88)</f>
        <v/>
      </c>
      <c r="DJ88" s="108" t="str">
        <f aca="false">IF(ISBLANK($C88),"",$C88)</f>
        <v/>
      </c>
      <c r="DK88" s="108" t="str">
        <f aca="false">IF(ISBLANK($C88),"",$D88)</f>
        <v/>
      </c>
      <c r="DL88" s="109" t="str">
        <f aca="false">$CZ88</f>
        <v/>
      </c>
      <c r="DM88" s="110" t="str">
        <f aca="false">$CY88</f>
        <v/>
      </c>
      <c r="DN88" s="108" t="str">
        <f aca="false">IF(ISBLANK($C88),"",$DB88)</f>
        <v/>
      </c>
      <c r="DO88" s="111" t="str">
        <f aca="false">IF($DF88&gt;$DE$8,"",VLOOKUP($DF88,$DH$9:$DN$508,7,FALSE()))</f>
        <v/>
      </c>
      <c r="DP88" s="112" t="str">
        <f aca="false">IF($DF88&gt;$DE$8,"",VLOOKUP($DF88,$DH$9:$DN$508,2,FALSE()))</f>
        <v/>
      </c>
      <c r="DQ88" s="112" t="str">
        <f aca="false">IF($DF88&gt;$DE$8,"",VLOOKUP($DF88,$DH$9:$DN$508,3,FALSE()))</f>
        <v/>
      </c>
      <c r="DR88" s="112" t="str">
        <f aca="false">IF($DF88&gt;$DE$8,"",VLOOKUP($DF88,$DH$9:$DN$508,4,FALSE()))</f>
        <v/>
      </c>
      <c r="DS88" s="112" t="str">
        <f aca="false">IF($DF88&gt;$DE$8,"",VLOOKUP($DF88,$DH$9:$DN$508,5,FALSE()))</f>
        <v/>
      </c>
      <c r="DT88" s="113" t="str">
        <f aca="false">IF($DF88&gt;$DE$8,"",VLOOKUP($DF88,$DH$9:$DN$508,6,FALSE()))</f>
        <v/>
      </c>
      <c r="DU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IF(ISBLANK($C89),"",IF(E89=Constants!$B$3,TRUE(),IF(E89=Constants!$B$4,FALSE(),TRUE())))</f>
        <v/>
      </c>
      <c r="AG89" s="93" t="str">
        <f aca="false">IF(ISBLANK($C89),"",IF(F89=Constants!$B$3,TRUE(),IF(F89=Constants!$B$4,FALSE(),TRUE())))</f>
        <v/>
      </c>
      <c r="AH89" s="93" t="str">
        <f aca="false">IF(ISBLANK($C89),"",IF(G89=Constants!$B$3,TRUE(),IF(G89=Constants!$B$4,FALSE(),TRUE())))</f>
        <v/>
      </c>
      <c r="AI89" s="93" t="str">
        <f aca="false">IF(ISBLANK($C89),"",IF(AND(ISNUMBER(H89),H89&gt;=0),H89,Constants!$B$29))</f>
        <v/>
      </c>
      <c r="AJ89" s="93" t="str">
        <f aca="false">IF(ISBLANK($C89),"",IF(I89=Constants!$B$3,TRUE(),IF(I89=Constants!$B$4,FALSE(),TRUE())))</f>
        <v/>
      </c>
      <c r="AK89" s="93" t="str">
        <f aca="false">IF(ISBLANK($C89),"",IF(J89=Constants!$B$3,TRUE(),IF(J89=Constants!$B$4,FALSE(),TRUE())))</f>
        <v/>
      </c>
      <c r="AL89" s="93" t="str">
        <f aca="false">IF(ISBLANK($C89),"",IF(K89=Constants!$B$5,TRUE(),IF(K89=Constants!$B$6,FALSE(),COUNTA(L89:P89)&gt;0)))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IF(ISBLANK($C89),"",IF(N89=Constants!$B$3,TRUE(),IF(N89=Constants!$B$4,FALSE(),TRUE())))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IF(ISBLANK($C89),"",IF(P89=Constants!$B$3,TRUE(),IF(P89=Constants!$B$4,FALSE(),FALSE())))</f>
        <v/>
      </c>
      <c r="AR89" s="93" t="str">
        <f aca="false">IF(ISBLANK($C89),"",IF(Q89=Constants!$B$3,TRUE(),IF(Q89=Constants!$B$4,FALSE(),TRUE())))</f>
        <v/>
      </c>
      <c r="AS89" s="93" t="str">
        <f aca="false">IF(ISBLANK($C89),"",IF(R89=Constants!$B$3,TRUE(),IF(R89=Constants!$B$4,FALSE(),TRUE())))</f>
        <v/>
      </c>
      <c r="AT89" s="93" t="str">
        <f aca="false">IF(ISBLANK($C89),"",IF(S89=Constants!$B$5,TRUE(),IF(S89=Constants!$B$6,FALSE(),COUNTA(T89:X89)&gt;0)))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IF(ISBLANK($C89),"",IF(V89=Constants!$B$3,TRUE(),IF(V89=Constants!$B$4,FALSE(),TRUE())))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IF(ISBLANK($C89),"",IF(X89=Constants!$B$3,TRUE(),IF(X89=Constants!$B$4,FALSE(),FALSE())))</f>
        <v/>
      </c>
      <c r="AZ89" s="93" t="str">
        <f aca="false">IF(ISBLANK($C89),"",MIN(Constants!$B$31,MAX(0,IF(ISNUMBER(Y89),Y89*60,0)+IF(ISNUMBER(Z89),Z89,0))))</f>
        <v/>
      </c>
      <c r="BA89" s="93" t="str">
        <f aca="false">IF(ISBLANK($C89),"",IF(AA89=Constants!$B$3,TRUE(),IF(AA89=Constants!$B$4,FALSE(),FALSE())))</f>
        <v/>
      </c>
      <c r="BB89" s="92" t="str">
        <f aca="false">IF(ISBLANK($C89),"",AND($AL89,OR($AM89="",$AN89="",AND($AO89,$AP89=""))))</f>
        <v/>
      </c>
      <c r="BC89" s="94" t="str">
        <f aca="false">IF($BZ89&lt;&gt;Constants!$B$8,"",IF($AL89,Constants!$B$21*$AN89+Constants!$B$22*IF($AO89,$AP89,Constants!$B$23),Constants!$B$24))</f>
        <v/>
      </c>
      <c r="BD89" s="97" t="str">
        <f aca="false">IF($BZ89&lt;&gt;Constants!$B$8,"",Constants!$B$25*ABS($AD$9-IF($AL89,$AM89,0)))</f>
        <v/>
      </c>
      <c r="BE89" s="97" t="str">
        <f aca="false">IF($BZ89&lt;&gt;Constants!$B$8,"",IF(AND($AL89,$AQ89,$AO89),Constants!$B$27,0))</f>
        <v/>
      </c>
      <c r="BF89" s="97" t="str">
        <f aca="false">IF($BZ89&lt;&gt;Constants!$B$8,"",IF($AL89,($AI89-Constants!$B$29)*Constants!$B$28,0))</f>
        <v/>
      </c>
      <c r="BG89" s="97" t="str">
        <f aca="false">IF($BZ89&lt;&gt;Constants!$B$8,"",IF($AK89,0,Constants!$B$15)+IF($AJ89,0,Constants!$B$16)+IF($AH89,0,Constants!$B$17))</f>
        <v/>
      </c>
      <c r="BH89" s="98" t="str">
        <f aca="false">IF($BZ89&lt;&gt;Constants!$B$8,"",Constants!$B$20+SUM($BC89:$BG89))</f>
        <v/>
      </c>
      <c r="BI89" s="97" t="str">
        <f aca="false">IF($BZ89&lt;&gt;Constants!$B$8,"",$BC89)</f>
        <v/>
      </c>
      <c r="BJ89" s="97" t="str">
        <f aca="false">IF($BZ89&lt;&gt;Constants!$B$8,"",$BD89)</f>
        <v/>
      </c>
      <c r="BK89" s="97" t="str">
        <f aca="false">IF($BZ89&lt;&gt;Constants!$B$8,"",IF($AL89,$AN89,""))</f>
        <v/>
      </c>
      <c r="BL89" s="99" t="str">
        <f aca="false">IF($BZ89&lt;&gt;Constants!$B$8,"",$AI89)</f>
        <v/>
      </c>
      <c r="BM89" s="93" t="str">
        <f aca="false">IF($BZ89&lt;&gt;Constants!$B$8,"",IF(OR($BT89&lt;$BH89,AND($BT89=$BH89,OR($BU89&lt;$BI89,AND($BU89=$BI89,OR($BV89&lt;$BJ89,AND($BV89=$BJ89,OR(AND(ISNUMBER($BW89),OR(NOT(ISNUMBER($BK89)),$BW89&lt;$BK89)),AND(OR(AND($BW89="",$BK89=""),AND(ISNUMBER($BW89),ISNUMBER($BK89),$BW89=$BK89)),$BX89&lt;$BL89)))))))),"-&gt;","&lt;-"))</f>
        <v/>
      </c>
      <c r="BN89" s="92" t="str">
        <f aca="false">IF(ISBLANK($C89),"",AND($AT89,OR($AU89="",$AV89="",AND($AW89,$AX89=""))))</f>
        <v/>
      </c>
      <c r="BO89" s="94" t="str">
        <f aca="false">IF($BZ89&lt;&gt;Constants!$B$8,"",IF($AT89,Constants!$B$21*$AV89+Constants!$B$22*IF($AW89,$AX89,Constants!$B$23),Constants!$B$24))</f>
        <v/>
      </c>
      <c r="BP89" s="97" t="str">
        <f aca="false">IF($BZ89&lt;&gt;Constants!$B$8,"",Constants!$B$25*ABS($AD$9-IF($AT89,$AU89,0)))</f>
        <v/>
      </c>
      <c r="BQ89" s="97" t="str">
        <f aca="false">IF($BZ89&lt;&gt;Constants!$B$8,"",IF(AND($AT89,$AY89,$AW89),Constants!$B$27,0))</f>
        <v/>
      </c>
      <c r="BR89" s="97" t="str">
        <f aca="false">IF($BZ89&lt;&gt;Constants!$B$8,"",IF($AT89,($AI89-Constants!$B$29)*Constants!$B$28,0))</f>
        <v/>
      </c>
      <c r="BS89" s="97" t="str">
        <f aca="false">IF($BZ89&lt;&gt;Constants!$B$8,"",IF($AS89,0,Constants!$B$15)+IF($AR89,0,Constants!$B$16)+IF($AH89,0,Constants!$B$17))</f>
        <v/>
      </c>
      <c r="BT89" s="98" t="str">
        <f aca="false">IF($BZ89&lt;&gt;Constants!$B$8,"",Constants!$B$20+SUM($BO89:$BS89))</f>
        <v/>
      </c>
      <c r="BU89" s="97" t="str">
        <f aca="false">IF($BZ89&lt;&gt;Constants!$B$8,"",$BO89)</f>
        <v/>
      </c>
      <c r="BV89" s="97" t="str">
        <f aca="false">IF($BZ89&lt;&gt;Constants!$B$8,"",$BP89)</f>
        <v/>
      </c>
      <c r="BW89" s="97" t="str">
        <f aca="false">IF($BZ89&lt;&gt;Constants!$B$8,"",IF($AT89,$AV89,""))</f>
        <v/>
      </c>
      <c r="BX89" s="99" t="str">
        <f aca="false">IF($BZ89&lt;&gt;Constants!$B$8,"",$AI89)</f>
        <v/>
      </c>
      <c r="BY89" s="93" t="str">
        <f aca="false">IF(ISBLANK($C89),"",IF(ISBLANK($D$7),$BY$5,IF(NOT(ISNUMBER($D$7)),$BY$6,"")))</f>
        <v/>
      </c>
      <c r="BZ89" s="93" t="str">
        <f aca="false">IF(ISBLANK($C89),"",IF($BA89,Constants!$B$11,IF(COUNTA($E89:$AA89)=0,Constants!$B$10,IF(NOT($AG89),Constants!$B$9,IF(OR($BY89&lt;&gt;"",$BB89,$BN89),Constants!$B$12,Constants!$B$8)))))</f>
        <v/>
      </c>
      <c r="CA89" s="93" t="str">
        <f aca="false">IF(ISBLANK($C89),"",IF($BZ89&lt;&gt;Constants!$B$8,$BZ89,Constants!$B$13))</f>
        <v/>
      </c>
      <c r="CB89" s="97" t="str">
        <f aca="false">IF($BZ89&lt;&gt;Constants!$B$8,"",IF($BM89="-&gt;",$BT89,$BH89))</f>
        <v/>
      </c>
      <c r="CC89" s="97" t="str">
        <f aca="false">IF($BZ89&lt;&gt;Constants!$B$8,"",IF($AF89,0,Constants!$B$18))</f>
        <v/>
      </c>
      <c r="CD89" s="97" t="str">
        <f aca="false">IF($BZ89&lt;&gt;Constants!$B$8,"",((Constants!$B$31-$AZ89)-Constants!$B$31)/Constants!$B$32)</f>
        <v/>
      </c>
      <c r="CE89" s="97" t="str">
        <f aca="false">IF(ISBLANK($C89),"",IF($BZ89&lt;&gt;Constants!$B$8,$BZ89,SUM($CB89:$CD89)))</f>
        <v/>
      </c>
      <c r="CF89" s="93" t="str">
        <f aca="false">IF(ISBLANK($C89),"",IF($BZ89&lt;&gt;Constants!$B$8,$BZ89,RANK($CE89,$CE$9:$CE$508,1)))</f>
        <v/>
      </c>
      <c r="CG89" s="97" t="str">
        <f aca="false">IF($BZ89&lt;&gt;Constants!$B$8,"",IF($BM89="-&gt;",$BU89,$BI89))</f>
        <v/>
      </c>
      <c r="CH89" s="93" t="str">
        <f aca="false">IF(ISBLANK($C89),"",IF($BZ89&lt;&gt;Constants!$B$8,$BZ89,IF(ISNUMBER($CG89),RANK($CG89,$CG$9:$CG$508,1),COUNT($CG$9:$CG$508)+1)))</f>
        <v/>
      </c>
      <c r="CI89" s="97" t="str">
        <f aca="false">IF($BZ89&lt;&gt;Constants!$B$8,"",IF($BM89="-&gt;",$BV89,$BJ89))</f>
        <v/>
      </c>
      <c r="CJ89" s="93" t="str">
        <f aca="false">IF(ISBLANK($C89),"",IF($BZ89&lt;&gt;Constants!$B$8,$BZ89,IF(ISNUMBER($CI89),RANK($CI89,$CI$9:$CI$508,1),COUNT($CI$9:$CI$508)+1)))</f>
        <v/>
      </c>
      <c r="CK89" s="97" t="str">
        <f aca="false">IF($BZ89&lt;&gt;Constants!$B$8,"",IF($BM89="-&gt;",$BW89,$BK89))</f>
        <v/>
      </c>
      <c r="CL89" s="93" t="str">
        <f aca="false">IF(ISBLANK($C89),"",IF($BZ89&lt;&gt;Constants!$B$8,$BZ89,IF(ISNUMBER($CK89),RANK($CK89,$CK$9:$CK$508,1),COUNT($CK$9:$CK$508)+1)))</f>
        <v/>
      </c>
      <c r="CM89" s="97" t="str">
        <f aca="false">IF($BZ89&lt;&gt;Constants!$B$8,"",IF(AND(NOT($AL89),NOT($AT89),$AJ89,$AK89,$AR89,$AS89),"",IF($BM89="-&gt;",$BX89,$BL89)))</f>
        <v/>
      </c>
      <c r="CN89" s="93" t="str">
        <f aca="false">IF(ISBLANK($C89),"",IF($BZ89&lt;&gt;Constants!$B$8,$BZ89,IF(ISNUMBER($CM89),RANK($CM89,$CM$9:$CM$508,1),COUNT($CM$9:$CM$508)+1)))</f>
        <v/>
      </c>
      <c r="CO89" s="93" t="str">
        <f aca="false">IF(ISBLANK($C89),"",IF($BZ89&lt;&gt;Constants!$B$8,$BZ89,COUNTIFS($CF$9:$CF$508,"&lt;"&amp;$CF89)+COUNTIFS($CF$9:$CF$508,$CF89,$CH$9:$CH$508,"&lt;"&amp;$CH89)+COUNTIFS($CF$9:$CF$508,$CF89,$CH$9:$CH$508,$CH89,$CJ$9:$CJ$508,"&lt;"&amp;$CJ89)+COUNTIFS($CF$9:$CF$508,$CF89,$CH$9:$CH$508,$CH89,$CJ$9:$CJ$508,$CJ89,$CL$9:$CL$508,"&lt;"&amp;$CL89)+COUNTIFS($CF$9:$CF$508,$CF89,$CH$9:$CH$508,$CH89,$CJ$9:$CJ$508,$CJ89,$CL$9:$CL$508,$CL89,$CN$9:$CN$508,"&lt;"&amp;$CN89)+1))</f>
        <v/>
      </c>
      <c r="CP89" s="93" t="str">
        <f aca="false">IF(ISBLANK($C89),"",IF($BZ89&lt;&gt;Constants!$B$8,$BZ89,$CF89-$CO89))</f>
        <v/>
      </c>
      <c r="CQ89" s="100"/>
      <c r="CR89" s="101"/>
      <c r="CS89" s="102" t="str">
        <f aca="false">IF(ISBLANK($C89),"",IF($BZ89=Constants!$B$12,$BY89,""))</f>
        <v/>
      </c>
      <c r="CT89" s="101" t="str">
        <f aca="false">IF(ISBLANK($C89),"",IF($BZ89&lt;&gt;Constants!$B$8,"",IF($BM89="-&gt;",2,1)))</f>
        <v/>
      </c>
      <c r="CU89" s="103" t="str">
        <f aca="false">IF(ISBLANK($C89),"",IF($BZ89&lt;&gt;Constants!$B$8,"",IF($BM89="-&gt;",$BO89,$BC89)))</f>
        <v/>
      </c>
      <c r="CV89" s="103" t="str">
        <f aca="false">IF(ISBLANK($C89),"",IF($BZ89&lt;&gt;Constants!$B$8,"",IF($BM89="-&gt;",$BP89,$BD89)))</f>
        <v/>
      </c>
      <c r="CW89" s="103" t="str">
        <f aca="false">IF(ISBLANK($C89),"",IF($BZ89&lt;&gt;Constants!$B$8,"",IF($BM89="-&gt;",$BQ89+$BR89,$BE89+$BF89)+$CD89))</f>
        <v/>
      </c>
      <c r="CX89" s="103" t="str">
        <f aca="false">IF(ISBLANK($C89),"",IF($BZ89&lt;&gt;Constants!$B$8,"",IF($BM89="-&gt;",$BS89,$BG89)+$CC89))</f>
        <v/>
      </c>
      <c r="CY89" s="104" t="str">
        <f aca="false">IF(ISBLANK($C89),"",IF($BZ89&lt;&gt;Constants!$B$8,$BZ89,$CE89))</f>
        <v/>
      </c>
      <c r="CZ89" s="105" t="str">
        <f aca="false">IF(ISBLANK($C89),"",$CA89)</f>
        <v/>
      </c>
      <c r="DA89" s="106" t="str">
        <f aca="false">IF(ISBLANK($C89),"",$CP89)</f>
        <v/>
      </c>
      <c r="DB89" s="106" t="str">
        <f aca="false">IF(ISBLANK($C89),"",$CO89)</f>
        <v/>
      </c>
      <c r="DC89" s="107" t="str">
        <f aca="false">IF(ISBLANK($C89),"",IFERROR(_xlfn.SWITCH($DB89,Constants!$B$11,COUNTA($C$9:$C$508)+2,Constants!$B$10,COUNTA($C$9:$C$508)+1,Constants!$B$9,COUNTA($C$9:$C$508)),$DB89))</f>
        <v/>
      </c>
      <c r="DD89" s="9"/>
      <c r="DE89" s="108" t="n">
        <f aca="false">IF(OR(ISNUMBER($DB89),$DB89=Constants!$B$11,$DB89=Constants!$B$9,$DB89=Constants!$B$10),1,0)</f>
        <v>0</v>
      </c>
      <c r="DF89" s="108" t="n">
        <v>81</v>
      </c>
      <c r="DG89" s="108" t="str">
        <f aca="false">IF(ISBLANK($C89),"",IF(ISNUMBER($DC89),$DC89+ROW($B89)/1000,""))</f>
        <v/>
      </c>
      <c r="DH89" s="108" t="str">
        <f aca="false">IF(ISNUMBER($DG89),RANK($DG89,$DG$9:$DG$508,1),"")</f>
        <v/>
      </c>
      <c r="DI89" s="108" t="str">
        <f aca="false">IF(ISBLANK($C89),"",$B89)</f>
        <v/>
      </c>
      <c r="DJ89" s="108" t="str">
        <f aca="false">IF(ISBLANK($C89),"",$C89)</f>
        <v/>
      </c>
      <c r="DK89" s="108" t="str">
        <f aca="false">IF(ISBLANK($C89),"",$D89)</f>
        <v/>
      </c>
      <c r="DL89" s="109" t="str">
        <f aca="false">$CZ89</f>
        <v/>
      </c>
      <c r="DM89" s="110" t="str">
        <f aca="false">$CY89</f>
        <v/>
      </c>
      <c r="DN89" s="108" t="str">
        <f aca="false">IF(ISBLANK($C89),"",$DB89)</f>
        <v/>
      </c>
      <c r="DO89" s="111" t="str">
        <f aca="false">IF($DF89&gt;$DE$8,"",VLOOKUP($DF89,$DH$9:$DN$508,7,FALSE()))</f>
        <v/>
      </c>
      <c r="DP89" s="112" t="str">
        <f aca="false">IF($DF89&gt;$DE$8,"",VLOOKUP($DF89,$DH$9:$DN$508,2,FALSE()))</f>
        <v/>
      </c>
      <c r="DQ89" s="112" t="str">
        <f aca="false">IF($DF89&gt;$DE$8,"",VLOOKUP($DF89,$DH$9:$DN$508,3,FALSE()))</f>
        <v/>
      </c>
      <c r="DR89" s="112" t="str">
        <f aca="false">IF($DF89&gt;$DE$8,"",VLOOKUP($DF89,$DH$9:$DN$508,4,FALSE()))</f>
        <v/>
      </c>
      <c r="DS89" s="112" t="str">
        <f aca="false">IF($DF89&gt;$DE$8,"",VLOOKUP($DF89,$DH$9:$DN$508,5,FALSE()))</f>
        <v/>
      </c>
      <c r="DT89" s="113" t="str">
        <f aca="false">IF($DF89&gt;$DE$8,"",VLOOKUP($DF89,$DH$9:$DN$508,6,FALSE()))</f>
        <v/>
      </c>
      <c r="DU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IF(ISBLANK($C90),"",IF(E90=Constants!$B$3,TRUE(),IF(E90=Constants!$B$4,FALSE(),TRUE())))</f>
        <v/>
      </c>
      <c r="AG90" s="135" t="str">
        <f aca="false">IF(ISBLANK($C90),"",IF(F90=Constants!$B$3,TRUE(),IF(F90=Constants!$B$4,FALSE(),TRUE())))</f>
        <v/>
      </c>
      <c r="AH90" s="135" t="str">
        <f aca="false">IF(ISBLANK($C90),"",IF(G90=Constants!$B$3,TRUE(),IF(G90=Constants!$B$4,FALSE(),TRUE())))</f>
        <v/>
      </c>
      <c r="AI90" s="135" t="str">
        <f aca="false">IF(ISBLANK($C90),"",IF(AND(ISNUMBER(H90),H90&gt;=0),H90,Constants!$B$29))</f>
        <v/>
      </c>
      <c r="AJ90" s="135" t="str">
        <f aca="false">IF(ISBLANK($C90),"",IF(I90=Constants!$B$3,TRUE(),IF(I90=Constants!$B$4,FALSE(),TRUE())))</f>
        <v/>
      </c>
      <c r="AK90" s="135" t="str">
        <f aca="false">IF(ISBLANK($C90),"",IF(J90=Constants!$B$3,TRUE(),IF(J90=Constants!$B$4,FALSE(),TRUE())))</f>
        <v/>
      </c>
      <c r="AL90" s="135" t="str">
        <f aca="false">IF(ISBLANK($C90),"",IF(K90=Constants!$B$5,TRUE(),IF(K90=Constants!$B$6,FALSE(),COUNTA(L90:P90)&gt;0)))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IF(ISBLANK($C90),"",IF(N90=Constants!$B$3,TRUE(),IF(N90=Constants!$B$4,FALSE(),TRUE())))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IF(ISBLANK($C90),"",IF(P90=Constants!$B$3,TRUE(),IF(P90=Constants!$B$4,FALSE(),FALSE())))</f>
        <v/>
      </c>
      <c r="AR90" s="135" t="str">
        <f aca="false">IF(ISBLANK($C90),"",IF(Q90=Constants!$B$3,TRUE(),IF(Q90=Constants!$B$4,FALSE(),TRUE())))</f>
        <v/>
      </c>
      <c r="AS90" s="135" t="str">
        <f aca="false">IF(ISBLANK($C90),"",IF(R90=Constants!$B$3,TRUE(),IF(R90=Constants!$B$4,FALSE(),TRUE())))</f>
        <v/>
      </c>
      <c r="AT90" s="135" t="str">
        <f aca="false">IF(ISBLANK($C90),"",IF(S90=Constants!$B$5,TRUE(),IF(S90=Constants!$B$6,FALSE(),COUNTA(T90:X90)&gt;0)))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IF(ISBLANK($C90),"",IF(V90=Constants!$B$3,TRUE(),IF(V90=Constants!$B$4,FALSE(),TRUE())))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IF(ISBLANK($C90),"",IF(X90=Constants!$B$3,TRUE(),IF(X90=Constants!$B$4,FALSE(),FALSE())))</f>
        <v/>
      </c>
      <c r="AZ90" s="135" t="str">
        <f aca="false">IF(ISBLANK($C90),"",MIN(Constants!$B$31,MAX(0,IF(ISNUMBER(Y90),Y90*60,0)+IF(ISNUMBER(Z90),Z90,0))))</f>
        <v/>
      </c>
      <c r="BA90" s="135" t="str">
        <f aca="false">IF(ISBLANK($C90),"",IF(AA90=Constants!$B$3,TRUE(),IF(AA90=Constants!$B$4,FALSE(),FALSE())))</f>
        <v/>
      </c>
      <c r="BB90" s="134" t="str">
        <f aca="false">IF(ISBLANK($C90),"",AND($AL90,OR($AM90="",$AN90="",AND($AO90,$AP90=""))))</f>
        <v/>
      </c>
      <c r="BC90" s="137" t="str">
        <f aca="false">IF($BZ90&lt;&gt;Constants!$B$8,"",IF($AL90,Constants!$B$21*$AN90+Constants!$B$22*IF($AO90,$AP90,Constants!$B$23),Constants!$B$24))</f>
        <v/>
      </c>
      <c r="BD90" s="138" t="str">
        <f aca="false">IF($BZ90&lt;&gt;Constants!$B$8,"",Constants!$B$25*ABS($AD$9-IF($AL90,$AM90,0)))</f>
        <v/>
      </c>
      <c r="BE90" s="138" t="str">
        <f aca="false">IF($BZ90&lt;&gt;Constants!$B$8,"",IF(AND($AL90,$AQ90,$AO90),Constants!$B$27,0))</f>
        <v/>
      </c>
      <c r="BF90" s="138" t="str">
        <f aca="false">IF($BZ90&lt;&gt;Constants!$B$8,"",IF($AL90,($AI90-Constants!$B$29)*Constants!$B$28,0))</f>
        <v/>
      </c>
      <c r="BG90" s="138" t="str">
        <f aca="false">IF($BZ90&lt;&gt;Constants!$B$8,"",IF($AK90,0,Constants!$B$15)+IF($AJ90,0,Constants!$B$16)+IF($AH90,0,Constants!$B$17))</f>
        <v/>
      </c>
      <c r="BH90" s="139" t="str">
        <f aca="false">IF($BZ90&lt;&gt;Constants!$B$8,"",Constants!$B$20+SUM($BC90:$BG90))</f>
        <v/>
      </c>
      <c r="BI90" s="138" t="str">
        <f aca="false">IF($BZ90&lt;&gt;Constants!$B$8,"",$BC90)</f>
        <v/>
      </c>
      <c r="BJ90" s="138" t="str">
        <f aca="false">IF($BZ90&lt;&gt;Constants!$B$8,"",$BD90)</f>
        <v/>
      </c>
      <c r="BK90" s="138" t="str">
        <f aca="false">IF($BZ90&lt;&gt;Constants!$B$8,"",IF($AL90,$AN90,""))</f>
        <v/>
      </c>
      <c r="BL90" s="140" t="str">
        <f aca="false">IF($BZ90&lt;&gt;Constants!$B$8,"",$AI90)</f>
        <v/>
      </c>
      <c r="BM90" s="135" t="str">
        <f aca="false">IF($BZ90&lt;&gt;Constants!$B$8,"",IF(OR($BT90&lt;$BH90,AND($BT90=$BH90,OR($BU90&lt;$BI90,AND($BU90=$BI90,OR($BV90&lt;$BJ90,AND($BV90=$BJ90,OR(AND(ISNUMBER($BW90),OR(NOT(ISNUMBER($BK90)),$BW90&lt;$BK90)),AND(OR(AND($BW90="",$BK90=""),AND(ISNUMBER($BW90),ISNUMBER($BK90),$BW90=$BK90)),$BX90&lt;$BL90)))))))),"-&gt;","&lt;-"))</f>
        <v/>
      </c>
      <c r="BN90" s="134" t="str">
        <f aca="false">IF(ISBLANK($C90),"",AND($AT90,OR($AU90="",$AV90="",AND($AW90,$AX90=""))))</f>
        <v/>
      </c>
      <c r="BO90" s="137" t="str">
        <f aca="false">IF($BZ90&lt;&gt;Constants!$B$8,"",IF($AT90,Constants!$B$21*$AV90+Constants!$B$22*IF($AW90,$AX90,Constants!$B$23),Constants!$B$24))</f>
        <v/>
      </c>
      <c r="BP90" s="138" t="str">
        <f aca="false">IF($BZ90&lt;&gt;Constants!$B$8,"",Constants!$B$25*ABS($AD$9-IF($AT90,$AU90,0)))</f>
        <v/>
      </c>
      <c r="BQ90" s="138" t="str">
        <f aca="false">IF($BZ90&lt;&gt;Constants!$B$8,"",IF(AND($AT90,$AY90,$AW90),Constants!$B$27,0))</f>
        <v/>
      </c>
      <c r="BR90" s="138" t="str">
        <f aca="false">IF($BZ90&lt;&gt;Constants!$B$8,"",IF($AT90,($AI90-Constants!$B$29)*Constants!$B$28,0))</f>
        <v/>
      </c>
      <c r="BS90" s="138" t="str">
        <f aca="false">IF($BZ90&lt;&gt;Constants!$B$8,"",IF($AS90,0,Constants!$B$15)+IF($AR90,0,Constants!$B$16)+IF($AH90,0,Constants!$B$17))</f>
        <v/>
      </c>
      <c r="BT90" s="139" t="str">
        <f aca="false">IF($BZ90&lt;&gt;Constants!$B$8,"",Constants!$B$20+SUM($BO90:$BS90))</f>
        <v/>
      </c>
      <c r="BU90" s="138" t="str">
        <f aca="false">IF($BZ90&lt;&gt;Constants!$B$8,"",$BO90)</f>
        <v/>
      </c>
      <c r="BV90" s="138" t="str">
        <f aca="false">IF($BZ90&lt;&gt;Constants!$B$8,"",$BP90)</f>
        <v/>
      </c>
      <c r="BW90" s="138" t="str">
        <f aca="false">IF($BZ90&lt;&gt;Constants!$B$8,"",IF($AT90,$AV90,""))</f>
        <v/>
      </c>
      <c r="BX90" s="140" t="str">
        <f aca="false">IF($BZ90&lt;&gt;Constants!$B$8,"",$AI90)</f>
        <v/>
      </c>
      <c r="BY90" s="135" t="str">
        <f aca="false">IF(ISBLANK($C90),"",IF(ISBLANK($D$7),$BY$5,IF(NOT(ISNUMBER($D$7)),$BY$6,"")))</f>
        <v/>
      </c>
      <c r="BZ90" s="135" t="str">
        <f aca="false">IF(ISBLANK($C90),"",IF($BA90,Constants!$B$11,IF(COUNTA($E90:$AA90)=0,Constants!$B$10,IF(NOT($AG90),Constants!$B$9,IF(OR($BY90&lt;&gt;"",$BB90,$BN90),Constants!$B$12,Constants!$B$8)))))</f>
        <v/>
      </c>
      <c r="CA90" s="135" t="str">
        <f aca="false">IF(ISBLANK($C90),"",IF($BZ90&lt;&gt;Constants!$B$8,$BZ90,Constants!$B$13))</f>
        <v/>
      </c>
      <c r="CB90" s="138" t="str">
        <f aca="false">IF($BZ90&lt;&gt;Constants!$B$8,"",IF($BM90="-&gt;",$BT90,$BH90))</f>
        <v/>
      </c>
      <c r="CC90" s="138" t="str">
        <f aca="false">IF($BZ90&lt;&gt;Constants!$B$8,"",IF($AF90,0,Constants!$B$18))</f>
        <v/>
      </c>
      <c r="CD90" s="138" t="str">
        <f aca="false">IF($BZ90&lt;&gt;Constants!$B$8,"",((Constants!$B$31-$AZ90)-Constants!$B$31)/Constants!$B$32)</f>
        <v/>
      </c>
      <c r="CE90" s="138" t="str">
        <f aca="false">IF(ISBLANK($C90),"",IF($BZ90&lt;&gt;Constants!$B$8,$BZ90,SUM($CB90:$CD90)))</f>
        <v/>
      </c>
      <c r="CF90" s="135" t="str">
        <f aca="false">IF(ISBLANK($C90),"",IF($BZ90&lt;&gt;Constants!$B$8,$BZ90,RANK($CE90,$CE$9:$CE$508,1)))</f>
        <v/>
      </c>
      <c r="CG90" s="138" t="str">
        <f aca="false">IF($BZ90&lt;&gt;Constants!$B$8,"",IF($BM90="-&gt;",$BU90,$BI90))</f>
        <v/>
      </c>
      <c r="CH90" s="135" t="str">
        <f aca="false">IF(ISBLANK($C90),"",IF($BZ90&lt;&gt;Constants!$B$8,$BZ90,IF(ISNUMBER($CG90),RANK($CG90,$CG$9:$CG$508,1),COUNT($CG$9:$CG$508)+1)))</f>
        <v/>
      </c>
      <c r="CI90" s="138" t="str">
        <f aca="false">IF($BZ90&lt;&gt;Constants!$B$8,"",IF($BM90="-&gt;",$BV90,$BJ90))</f>
        <v/>
      </c>
      <c r="CJ90" s="135" t="str">
        <f aca="false">IF(ISBLANK($C90),"",IF($BZ90&lt;&gt;Constants!$B$8,$BZ90,IF(ISNUMBER($CI90),RANK($CI90,$CI$9:$CI$508,1),COUNT($CI$9:$CI$508)+1)))</f>
        <v/>
      </c>
      <c r="CK90" s="138" t="str">
        <f aca="false">IF($BZ90&lt;&gt;Constants!$B$8,"",IF($BM90="-&gt;",$BW90,$BK90))</f>
        <v/>
      </c>
      <c r="CL90" s="135" t="str">
        <f aca="false">IF(ISBLANK($C90),"",IF($BZ90&lt;&gt;Constants!$B$8,$BZ90,IF(ISNUMBER($CK90),RANK($CK90,$CK$9:$CK$508,1),COUNT($CK$9:$CK$508)+1)))</f>
        <v/>
      </c>
      <c r="CM90" s="138" t="str">
        <f aca="false">IF($BZ90&lt;&gt;Constants!$B$8,"",IF(AND(NOT($AL90),NOT($AT90),$AJ90,$AK90,$AR90,$AS90),"",IF($BM90="-&gt;",$BX90,$BL90)))</f>
        <v/>
      </c>
      <c r="CN90" s="135" t="str">
        <f aca="false">IF(ISBLANK($C90),"",IF($BZ90&lt;&gt;Constants!$B$8,$BZ90,IF(ISNUMBER($CM90),RANK($CM90,$CM$9:$CM$508,1),COUNT($CM$9:$CM$508)+1)))</f>
        <v/>
      </c>
      <c r="CO90" s="135" t="str">
        <f aca="false">IF(ISBLANK($C90),"",IF($BZ90&lt;&gt;Constants!$B$8,$BZ90,COUNTIFS($CF$9:$CF$508,"&lt;"&amp;$CF90)+COUNTIFS($CF$9:$CF$508,$CF90,$CH$9:$CH$508,"&lt;"&amp;$CH90)+COUNTIFS($CF$9:$CF$508,$CF90,$CH$9:$CH$508,$CH90,$CJ$9:$CJ$508,"&lt;"&amp;$CJ90)+COUNTIFS($CF$9:$CF$508,$CF90,$CH$9:$CH$508,$CH90,$CJ$9:$CJ$508,$CJ90,$CL$9:$CL$508,"&lt;"&amp;$CL90)+COUNTIFS($CF$9:$CF$508,$CF90,$CH$9:$CH$508,$CH90,$CJ$9:$CJ$508,$CJ90,$CL$9:$CL$508,$CL90,$CN$9:$CN$508,"&lt;"&amp;$CN90)+1))</f>
        <v/>
      </c>
      <c r="CP90" s="135" t="str">
        <f aca="false">IF(ISBLANK($C90),"",IF($BZ90&lt;&gt;Constants!$B$8,$BZ90,$CF90-$CO90))</f>
        <v/>
      </c>
      <c r="CQ90" s="141"/>
      <c r="CR90" s="142"/>
      <c r="CS90" s="143" t="str">
        <f aca="false">IF(ISBLANK($C90),"",IF($BZ90=Constants!$B$12,$BY90,""))</f>
        <v/>
      </c>
      <c r="CT90" s="142" t="str">
        <f aca="false">IF(ISBLANK($C90),"",IF($BZ90&lt;&gt;Constants!$B$8,"",IF($BM90="-&gt;",2,1)))</f>
        <v/>
      </c>
      <c r="CU90" s="144" t="str">
        <f aca="false">IF(ISBLANK($C90),"",IF($BZ90&lt;&gt;Constants!$B$8,"",IF($BM90="-&gt;",$BO90,$BC90)))</f>
        <v/>
      </c>
      <c r="CV90" s="144" t="str">
        <f aca="false">IF(ISBLANK($C90),"",IF($BZ90&lt;&gt;Constants!$B$8,"",IF($BM90="-&gt;",$BP90,$BD90)))</f>
        <v/>
      </c>
      <c r="CW90" s="144" t="str">
        <f aca="false">IF(ISBLANK($C90),"",IF($BZ90&lt;&gt;Constants!$B$8,"",IF($BM90="-&gt;",$BQ90+$BR90,$BE90+$BF90)+$CD90))</f>
        <v/>
      </c>
      <c r="CX90" s="144" t="str">
        <f aca="false">IF(ISBLANK($C90),"",IF($BZ90&lt;&gt;Constants!$B$8,"",IF($BM90="-&gt;",$BS90,$BG90)+$CC90))</f>
        <v/>
      </c>
      <c r="CY90" s="145" t="str">
        <f aca="false">IF(ISBLANK($C90),"",IF($BZ90&lt;&gt;Constants!$B$8,$BZ90,$CE90))</f>
        <v/>
      </c>
      <c r="CZ90" s="146" t="str">
        <f aca="false">IF(ISBLANK($C90),"",$CA90)</f>
        <v/>
      </c>
      <c r="DA90" s="147" t="str">
        <f aca="false">IF(ISBLANK($C90),"",$CP90)</f>
        <v/>
      </c>
      <c r="DB90" s="147" t="str">
        <f aca="false">IF(ISBLANK($C90),"",$CO90)</f>
        <v/>
      </c>
      <c r="DC90" s="148" t="str">
        <f aca="false">IF(ISBLANK($C90),"",IFERROR(_xlfn.SWITCH($DB90,Constants!$B$11,COUNTA($C$9:$C$508)+2,Constants!$B$10,COUNTA($C$9:$C$508)+1,Constants!$B$9,COUNTA($C$9:$C$508)),$DB90))</f>
        <v/>
      </c>
      <c r="DD90" s="9"/>
      <c r="DE90" s="149" t="n">
        <f aca="false">IF(OR(ISNUMBER($DB90),$DB90=Constants!$B$11,$DB90=Constants!$B$9,$DB90=Constants!$B$10),1,0)</f>
        <v>0</v>
      </c>
      <c r="DF90" s="149" t="n">
        <v>82</v>
      </c>
      <c r="DG90" s="149" t="str">
        <f aca="false">IF(ISBLANK($C90),"",IF(ISNUMBER($DC90),$DC90+ROW($B90)/1000,""))</f>
        <v/>
      </c>
      <c r="DH90" s="149" t="str">
        <f aca="false">IF(ISNUMBER($DG90),RANK($DG90,$DG$9:$DG$508,1),"")</f>
        <v/>
      </c>
      <c r="DI90" s="149" t="str">
        <f aca="false">IF(ISBLANK($C90),"",$B90)</f>
        <v/>
      </c>
      <c r="DJ90" s="149" t="str">
        <f aca="false">IF(ISBLANK($C90),"",$C90)</f>
        <v/>
      </c>
      <c r="DK90" s="149" t="str">
        <f aca="false">IF(ISBLANK($C90),"",$D90)</f>
        <v/>
      </c>
      <c r="DL90" s="150" t="str">
        <f aca="false">$CZ90</f>
        <v/>
      </c>
      <c r="DM90" s="151" t="str">
        <f aca="false">$CY90</f>
        <v/>
      </c>
      <c r="DN90" s="149" t="str">
        <f aca="false">IF(ISBLANK($C90),"",$DB90)</f>
        <v/>
      </c>
      <c r="DO90" s="152" t="str">
        <f aca="false">IF($DF90&gt;$DE$8,"",VLOOKUP($DF90,$DH$9:$DN$508,7,FALSE()))</f>
        <v/>
      </c>
      <c r="DP90" s="153" t="str">
        <f aca="false">IF($DF90&gt;$DE$8,"",VLOOKUP($DF90,$DH$9:$DN$508,2,FALSE()))</f>
        <v/>
      </c>
      <c r="DQ90" s="153" t="str">
        <f aca="false">IF($DF90&gt;$DE$8,"",VLOOKUP($DF90,$DH$9:$DN$508,3,FALSE()))</f>
        <v/>
      </c>
      <c r="DR90" s="153" t="str">
        <f aca="false">IF($DF90&gt;$DE$8,"",VLOOKUP($DF90,$DH$9:$DN$508,4,FALSE()))</f>
        <v/>
      </c>
      <c r="DS90" s="153" t="str">
        <f aca="false">IF($DF90&gt;$DE$8,"",VLOOKUP($DF90,$DH$9:$DN$508,5,FALSE()))</f>
        <v/>
      </c>
      <c r="DT90" s="154" t="str">
        <f aca="false">IF($DF90&gt;$DE$8,"",VLOOKUP($DF90,$DH$9:$DN$508,6,FALSE()))</f>
        <v/>
      </c>
      <c r="DU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IF(ISBLANK($C91),"",IF(E91=Constants!$B$3,TRUE(),IF(E91=Constants!$B$4,FALSE(),TRUE())))</f>
        <v/>
      </c>
      <c r="AG91" s="135" t="str">
        <f aca="false">IF(ISBLANK($C91),"",IF(F91=Constants!$B$3,TRUE(),IF(F91=Constants!$B$4,FALSE(),TRUE())))</f>
        <v/>
      </c>
      <c r="AH91" s="135" t="str">
        <f aca="false">IF(ISBLANK($C91),"",IF(G91=Constants!$B$3,TRUE(),IF(G91=Constants!$B$4,FALSE(),TRUE())))</f>
        <v/>
      </c>
      <c r="AI91" s="135" t="str">
        <f aca="false">IF(ISBLANK($C91),"",IF(AND(ISNUMBER(H91),H91&gt;=0),H91,Constants!$B$29))</f>
        <v/>
      </c>
      <c r="AJ91" s="135" t="str">
        <f aca="false">IF(ISBLANK($C91),"",IF(I91=Constants!$B$3,TRUE(),IF(I91=Constants!$B$4,FALSE(),TRUE())))</f>
        <v/>
      </c>
      <c r="AK91" s="135" t="str">
        <f aca="false">IF(ISBLANK($C91),"",IF(J91=Constants!$B$3,TRUE(),IF(J91=Constants!$B$4,FALSE(),TRUE())))</f>
        <v/>
      </c>
      <c r="AL91" s="135" t="str">
        <f aca="false">IF(ISBLANK($C91),"",IF(K91=Constants!$B$5,TRUE(),IF(K91=Constants!$B$6,FALSE(),COUNTA(L91:P91)&gt;0)))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IF(ISBLANK($C91),"",IF(N91=Constants!$B$3,TRUE(),IF(N91=Constants!$B$4,FALSE(),TRUE())))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IF(ISBLANK($C91),"",IF(P91=Constants!$B$3,TRUE(),IF(P91=Constants!$B$4,FALSE(),FALSE())))</f>
        <v/>
      </c>
      <c r="AR91" s="135" t="str">
        <f aca="false">IF(ISBLANK($C91),"",IF(Q91=Constants!$B$3,TRUE(),IF(Q91=Constants!$B$4,FALSE(),TRUE())))</f>
        <v/>
      </c>
      <c r="AS91" s="135" t="str">
        <f aca="false">IF(ISBLANK($C91),"",IF(R91=Constants!$B$3,TRUE(),IF(R91=Constants!$B$4,FALSE(),TRUE())))</f>
        <v/>
      </c>
      <c r="AT91" s="135" t="str">
        <f aca="false">IF(ISBLANK($C91),"",IF(S91=Constants!$B$5,TRUE(),IF(S91=Constants!$B$6,FALSE(),COUNTA(T91:X91)&gt;0)))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IF(ISBLANK($C91),"",IF(V91=Constants!$B$3,TRUE(),IF(V91=Constants!$B$4,FALSE(),TRUE())))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IF(ISBLANK($C91),"",IF(X91=Constants!$B$3,TRUE(),IF(X91=Constants!$B$4,FALSE(),FALSE())))</f>
        <v/>
      </c>
      <c r="AZ91" s="135" t="str">
        <f aca="false">IF(ISBLANK($C91),"",MIN(Constants!$B$31,MAX(0,IF(ISNUMBER(Y91),Y91*60,0)+IF(ISNUMBER(Z91),Z91,0))))</f>
        <v/>
      </c>
      <c r="BA91" s="135" t="str">
        <f aca="false">IF(ISBLANK($C91),"",IF(AA91=Constants!$B$3,TRUE(),IF(AA91=Constants!$B$4,FALSE(),FALSE())))</f>
        <v/>
      </c>
      <c r="BB91" s="134" t="str">
        <f aca="false">IF(ISBLANK($C91),"",AND($AL91,OR($AM91="",$AN91="",AND($AO91,$AP91=""))))</f>
        <v/>
      </c>
      <c r="BC91" s="137" t="str">
        <f aca="false">IF($BZ91&lt;&gt;Constants!$B$8,"",IF($AL91,Constants!$B$21*$AN91+Constants!$B$22*IF($AO91,$AP91,Constants!$B$23),Constants!$B$24))</f>
        <v/>
      </c>
      <c r="BD91" s="138" t="str">
        <f aca="false">IF($BZ91&lt;&gt;Constants!$B$8,"",Constants!$B$25*ABS($AD$9-IF($AL91,$AM91,0)))</f>
        <v/>
      </c>
      <c r="BE91" s="138" t="str">
        <f aca="false">IF($BZ91&lt;&gt;Constants!$B$8,"",IF(AND($AL91,$AQ91,$AO91),Constants!$B$27,0))</f>
        <v/>
      </c>
      <c r="BF91" s="138" t="str">
        <f aca="false">IF($BZ91&lt;&gt;Constants!$B$8,"",IF($AL91,($AI91-Constants!$B$29)*Constants!$B$28,0))</f>
        <v/>
      </c>
      <c r="BG91" s="138" t="str">
        <f aca="false">IF($BZ91&lt;&gt;Constants!$B$8,"",IF($AK91,0,Constants!$B$15)+IF($AJ91,0,Constants!$B$16)+IF($AH91,0,Constants!$B$17))</f>
        <v/>
      </c>
      <c r="BH91" s="139" t="str">
        <f aca="false">IF($BZ91&lt;&gt;Constants!$B$8,"",Constants!$B$20+SUM($BC91:$BG91))</f>
        <v/>
      </c>
      <c r="BI91" s="138" t="str">
        <f aca="false">IF($BZ91&lt;&gt;Constants!$B$8,"",$BC91)</f>
        <v/>
      </c>
      <c r="BJ91" s="138" t="str">
        <f aca="false">IF($BZ91&lt;&gt;Constants!$B$8,"",$BD91)</f>
        <v/>
      </c>
      <c r="BK91" s="138" t="str">
        <f aca="false">IF($BZ91&lt;&gt;Constants!$B$8,"",IF($AL91,$AN91,""))</f>
        <v/>
      </c>
      <c r="BL91" s="140" t="str">
        <f aca="false">IF($BZ91&lt;&gt;Constants!$B$8,"",$AI91)</f>
        <v/>
      </c>
      <c r="BM91" s="135" t="str">
        <f aca="false">IF($BZ91&lt;&gt;Constants!$B$8,"",IF(OR($BT91&lt;$BH91,AND($BT91=$BH91,OR($BU91&lt;$BI91,AND($BU91=$BI91,OR($BV91&lt;$BJ91,AND($BV91=$BJ91,OR(AND(ISNUMBER($BW91),OR(NOT(ISNUMBER($BK91)),$BW91&lt;$BK91)),AND(OR(AND($BW91="",$BK91=""),AND(ISNUMBER($BW91),ISNUMBER($BK91),$BW91=$BK91)),$BX91&lt;$BL91)))))))),"-&gt;","&lt;-"))</f>
        <v/>
      </c>
      <c r="BN91" s="134" t="str">
        <f aca="false">IF(ISBLANK($C91),"",AND($AT91,OR($AU91="",$AV91="",AND($AW91,$AX91=""))))</f>
        <v/>
      </c>
      <c r="BO91" s="137" t="str">
        <f aca="false">IF($BZ91&lt;&gt;Constants!$B$8,"",IF($AT91,Constants!$B$21*$AV91+Constants!$B$22*IF($AW91,$AX91,Constants!$B$23),Constants!$B$24))</f>
        <v/>
      </c>
      <c r="BP91" s="138" t="str">
        <f aca="false">IF($BZ91&lt;&gt;Constants!$B$8,"",Constants!$B$25*ABS($AD$9-IF($AT91,$AU91,0)))</f>
        <v/>
      </c>
      <c r="BQ91" s="138" t="str">
        <f aca="false">IF($BZ91&lt;&gt;Constants!$B$8,"",IF(AND($AT91,$AY91,$AW91),Constants!$B$27,0))</f>
        <v/>
      </c>
      <c r="BR91" s="138" t="str">
        <f aca="false">IF($BZ91&lt;&gt;Constants!$B$8,"",IF($AT91,($AI91-Constants!$B$29)*Constants!$B$28,0))</f>
        <v/>
      </c>
      <c r="BS91" s="138" t="str">
        <f aca="false">IF($BZ91&lt;&gt;Constants!$B$8,"",IF($AS91,0,Constants!$B$15)+IF($AR91,0,Constants!$B$16)+IF($AH91,0,Constants!$B$17))</f>
        <v/>
      </c>
      <c r="BT91" s="139" t="str">
        <f aca="false">IF($BZ91&lt;&gt;Constants!$B$8,"",Constants!$B$20+SUM($BO91:$BS91))</f>
        <v/>
      </c>
      <c r="BU91" s="138" t="str">
        <f aca="false">IF($BZ91&lt;&gt;Constants!$B$8,"",$BO91)</f>
        <v/>
      </c>
      <c r="BV91" s="138" t="str">
        <f aca="false">IF($BZ91&lt;&gt;Constants!$B$8,"",$BP91)</f>
        <v/>
      </c>
      <c r="BW91" s="138" t="str">
        <f aca="false">IF($BZ91&lt;&gt;Constants!$B$8,"",IF($AT91,$AV91,""))</f>
        <v/>
      </c>
      <c r="BX91" s="140" t="str">
        <f aca="false">IF($BZ91&lt;&gt;Constants!$B$8,"",$AI91)</f>
        <v/>
      </c>
      <c r="BY91" s="135" t="str">
        <f aca="false">IF(ISBLANK($C91),"",IF(ISBLANK($D$7),$BY$5,IF(NOT(ISNUMBER($D$7)),$BY$6,"")))</f>
        <v/>
      </c>
      <c r="BZ91" s="135" t="str">
        <f aca="false">IF(ISBLANK($C91),"",IF($BA91,Constants!$B$11,IF(COUNTA($E91:$AA91)=0,Constants!$B$10,IF(NOT($AG91),Constants!$B$9,IF(OR($BY91&lt;&gt;"",$BB91,$BN91),Constants!$B$12,Constants!$B$8)))))</f>
        <v/>
      </c>
      <c r="CA91" s="135" t="str">
        <f aca="false">IF(ISBLANK($C91),"",IF($BZ91&lt;&gt;Constants!$B$8,$BZ91,Constants!$B$13))</f>
        <v/>
      </c>
      <c r="CB91" s="138" t="str">
        <f aca="false">IF($BZ91&lt;&gt;Constants!$B$8,"",IF($BM91="-&gt;",$BT91,$BH91))</f>
        <v/>
      </c>
      <c r="CC91" s="138" t="str">
        <f aca="false">IF($BZ91&lt;&gt;Constants!$B$8,"",IF($AF91,0,Constants!$B$18))</f>
        <v/>
      </c>
      <c r="CD91" s="138" t="str">
        <f aca="false">IF($BZ91&lt;&gt;Constants!$B$8,"",((Constants!$B$31-$AZ91)-Constants!$B$31)/Constants!$B$32)</f>
        <v/>
      </c>
      <c r="CE91" s="138" t="str">
        <f aca="false">IF(ISBLANK($C91),"",IF($BZ91&lt;&gt;Constants!$B$8,$BZ91,SUM($CB91:$CD91)))</f>
        <v/>
      </c>
      <c r="CF91" s="135" t="str">
        <f aca="false">IF(ISBLANK($C91),"",IF($BZ91&lt;&gt;Constants!$B$8,$BZ91,RANK($CE91,$CE$9:$CE$508,1)))</f>
        <v/>
      </c>
      <c r="CG91" s="138" t="str">
        <f aca="false">IF($BZ91&lt;&gt;Constants!$B$8,"",IF($BM91="-&gt;",$BU91,$BI91))</f>
        <v/>
      </c>
      <c r="CH91" s="135" t="str">
        <f aca="false">IF(ISBLANK($C91),"",IF($BZ91&lt;&gt;Constants!$B$8,$BZ91,IF(ISNUMBER($CG91),RANK($CG91,$CG$9:$CG$508,1),COUNT($CG$9:$CG$508)+1)))</f>
        <v/>
      </c>
      <c r="CI91" s="138" t="str">
        <f aca="false">IF($BZ91&lt;&gt;Constants!$B$8,"",IF($BM91="-&gt;",$BV91,$BJ91))</f>
        <v/>
      </c>
      <c r="CJ91" s="135" t="str">
        <f aca="false">IF(ISBLANK($C91),"",IF($BZ91&lt;&gt;Constants!$B$8,$BZ91,IF(ISNUMBER($CI91),RANK($CI91,$CI$9:$CI$508,1),COUNT($CI$9:$CI$508)+1)))</f>
        <v/>
      </c>
      <c r="CK91" s="138" t="str">
        <f aca="false">IF($BZ91&lt;&gt;Constants!$B$8,"",IF($BM91="-&gt;",$BW91,$BK91))</f>
        <v/>
      </c>
      <c r="CL91" s="135" t="str">
        <f aca="false">IF(ISBLANK($C91),"",IF($BZ91&lt;&gt;Constants!$B$8,$BZ91,IF(ISNUMBER($CK91),RANK($CK91,$CK$9:$CK$508,1),COUNT($CK$9:$CK$508)+1)))</f>
        <v/>
      </c>
      <c r="CM91" s="138" t="str">
        <f aca="false">IF($BZ91&lt;&gt;Constants!$B$8,"",IF(AND(NOT($AL91),NOT($AT91),$AJ91,$AK91,$AR91,$AS91),"",IF($BM91="-&gt;",$BX91,$BL91)))</f>
        <v/>
      </c>
      <c r="CN91" s="135" t="str">
        <f aca="false">IF(ISBLANK($C91),"",IF($BZ91&lt;&gt;Constants!$B$8,$BZ91,IF(ISNUMBER($CM91),RANK($CM91,$CM$9:$CM$508,1),COUNT($CM$9:$CM$508)+1)))</f>
        <v/>
      </c>
      <c r="CO91" s="135" t="str">
        <f aca="false">IF(ISBLANK($C91),"",IF($BZ91&lt;&gt;Constants!$B$8,$BZ91,COUNTIFS($CF$9:$CF$508,"&lt;"&amp;$CF91)+COUNTIFS($CF$9:$CF$508,$CF91,$CH$9:$CH$508,"&lt;"&amp;$CH91)+COUNTIFS($CF$9:$CF$508,$CF91,$CH$9:$CH$508,$CH91,$CJ$9:$CJ$508,"&lt;"&amp;$CJ91)+COUNTIFS($CF$9:$CF$508,$CF91,$CH$9:$CH$508,$CH91,$CJ$9:$CJ$508,$CJ91,$CL$9:$CL$508,"&lt;"&amp;$CL91)+COUNTIFS($CF$9:$CF$508,$CF91,$CH$9:$CH$508,$CH91,$CJ$9:$CJ$508,$CJ91,$CL$9:$CL$508,$CL91,$CN$9:$CN$508,"&lt;"&amp;$CN91)+1))</f>
        <v/>
      </c>
      <c r="CP91" s="135" t="str">
        <f aca="false">IF(ISBLANK($C91),"",IF($BZ91&lt;&gt;Constants!$B$8,$BZ91,$CF91-$CO91))</f>
        <v/>
      </c>
      <c r="CQ91" s="141"/>
      <c r="CR91" s="142"/>
      <c r="CS91" s="143" t="str">
        <f aca="false">IF(ISBLANK($C91),"",IF($BZ91=Constants!$B$12,$BY91,""))</f>
        <v/>
      </c>
      <c r="CT91" s="142" t="str">
        <f aca="false">IF(ISBLANK($C91),"",IF($BZ91&lt;&gt;Constants!$B$8,"",IF($BM91="-&gt;",2,1)))</f>
        <v/>
      </c>
      <c r="CU91" s="144" t="str">
        <f aca="false">IF(ISBLANK($C91),"",IF($BZ91&lt;&gt;Constants!$B$8,"",IF($BM91="-&gt;",$BO91,$BC91)))</f>
        <v/>
      </c>
      <c r="CV91" s="144" t="str">
        <f aca="false">IF(ISBLANK($C91),"",IF($BZ91&lt;&gt;Constants!$B$8,"",IF($BM91="-&gt;",$BP91,$BD91)))</f>
        <v/>
      </c>
      <c r="CW91" s="144" t="str">
        <f aca="false">IF(ISBLANK($C91),"",IF($BZ91&lt;&gt;Constants!$B$8,"",IF($BM91="-&gt;",$BQ91+$BR91,$BE91+$BF91)+$CD91))</f>
        <v/>
      </c>
      <c r="CX91" s="144" t="str">
        <f aca="false">IF(ISBLANK($C91),"",IF($BZ91&lt;&gt;Constants!$B$8,"",IF($BM91="-&gt;",$BS91,$BG91)+$CC91))</f>
        <v/>
      </c>
      <c r="CY91" s="145" t="str">
        <f aca="false">IF(ISBLANK($C91),"",IF($BZ91&lt;&gt;Constants!$B$8,$BZ91,$CE91))</f>
        <v/>
      </c>
      <c r="CZ91" s="146" t="str">
        <f aca="false">IF(ISBLANK($C91),"",$CA91)</f>
        <v/>
      </c>
      <c r="DA91" s="147" t="str">
        <f aca="false">IF(ISBLANK($C91),"",$CP91)</f>
        <v/>
      </c>
      <c r="DB91" s="147" t="str">
        <f aca="false">IF(ISBLANK($C91),"",$CO91)</f>
        <v/>
      </c>
      <c r="DC91" s="148" t="str">
        <f aca="false">IF(ISBLANK($C91),"",IFERROR(_xlfn.SWITCH($DB91,Constants!$B$11,COUNTA($C$9:$C$508)+2,Constants!$B$10,COUNTA($C$9:$C$508)+1,Constants!$B$9,COUNTA($C$9:$C$508)),$DB91))</f>
        <v/>
      </c>
      <c r="DD91" s="9"/>
      <c r="DE91" s="149" t="n">
        <f aca="false">IF(OR(ISNUMBER($DB91),$DB91=Constants!$B$11,$DB91=Constants!$B$9,$DB91=Constants!$B$10),1,0)</f>
        <v>0</v>
      </c>
      <c r="DF91" s="149" t="n">
        <v>83</v>
      </c>
      <c r="DG91" s="149" t="str">
        <f aca="false">IF(ISBLANK($C91),"",IF(ISNUMBER($DC91),$DC91+ROW($B91)/1000,""))</f>
        <v/>
      </c>
      <c r="DH91" s="149" t="str">
        <f aca="false">IF(ISNUMBER($DG91),RANK($DG91,$DG$9:$DG$508,1),"")</f>
        <v/>
      </c>
      <c r="DI91" s="149" t="str">
        <f aca="false">IF(ISBLANK($C91),"",$B91)</f>
        <v/>
      </c>
      <c r="DJ91" s="149" t="str">
        <f aca="false">IF(ISBLANK($C91),"",$C91)</f>
        <v/>
      </c>
      <c r="DK91" s="149" t="str">
        <f aca="false">IF(ISBLANK($C91),"",$D91)</f>
        <v/>
      </c>
      <c r="DL91" s="150" t="str">
        <f aca="false">$CZ91</f>
        <v/>
      </c>
      <c r="DM91" s="151" t="str">
        <f aca="false">$CY91</f>
        <v/>
      </c>
      <c r="DN91" s="149" t="str">
        <f aca="false">IF(ISBLANK($C91),"",$DB91)</f>
        <v/>
      </c>
      <c r="DO91" s="152" t="str">
        <f aca="false">IF($DF91&gt;$DE$8,"",VLOOKUP($DF91,$DH$9:$DN$508,7,FALSE()))</f>
        <v/>
      </c>
      <c r="DP91" s="153" t="str">
        <f aca="false">IF($DF91&gt;$DE$8,"",VLOOKUP($DF91,$DH$9:$DN$508,2,FALSE()))</f>
        <v/>
      </c>
      <c r="DQ91" s="153" t="str">
        <f aca="false">IF($DF91&gt;$DE$8,"",VLOOKUP($DF91,$DH$9:$DN$508,3,FALSE()))</f>
        <v/>
      </c>
      <c r="DR91" s="153" t="str">
        <f aca="false">IF($DF91&gt;$DE$8,"",VLOOKUP($DF91,$DH$9:$DN$508,4,FALSE()))</f>
        <v/>
      </c>
      <c r="DS91" s="153" t="str">
        <f aca="false">IF($DF91&gt;$DE$8,"",VLOOKUP($DF91,$DH$9:$DN$508,5,FALSE()))</f>
        <v/>
      </c>
      <c r="DT91" s="154" t="str">
        <f aca="false">IF($DF91&gt;$DE$8,"",VLOOKUP($DF91,$DH$9:$DN$508,6,FALSE()))</f>
        <v/>
      </c>
      <c r="DU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IF(ISBLANK($C92),"",IF(E92=Constants!$B$3,TRUE(),IF(E92=Constants!$B$4,FALSE(),TRUE())))</f>
        <v/>
      </c>
      <c r="AG92" s="135" t="str">
        <f aca="false">IF(ISBLANK($C92),"",IF(F92=Constants!$B$3,TRUE(),IF(F92=Constants!$B$4,FALSE(),TRUE())))</f>
        <v/>
      </c>
      <c r="AH92" s="135" t="str">
        <f aca="false">IF(ISBLANK($C92),"",IF(G92=Constants!$B$3,TRUE(),IF(G92=Constants!$B$4,FALSE(),TRUE())))</f>
        <v/>
      </c>
      <c r="AI92" s="135" t="str">
        <f aca="false">IF(ISBLANK($C92),"",IF(AND(ISNUMBER(H92),H92&gt;=0),H92,Constants!$B$29))</f>
        <v/>
      </c>
      <c r="AJ92" s="135" t="str">
        <f aca="false">IF(ISBLANK($C92),"",IF(I92=Constants!$B$3,TRUE(),IF(I92=Constants!$B$4,FALSE(),TRUE())))</f>
        <v/>
      </c>
      <c r="AK92" s="135" t="str">
        <f aca="false">IF(ISBLANK($C92),"",IF(J92=Constants!$B$3,TRUE(),IF(J92=Constants!$B$4,FALSE(),TRUE())))</f>
        <v/>
      </c>
      <c r="AL92" s="135" t="str">
        <f aca="false">IF(ISBLANK($C92),"",IF(K92=Constants!$B$5,TRUE(),IF(K92=Constants!$B$6,FALSE(),COUNTA(L92:P92)&gt;0)))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IF(ISBLANK($C92),"",IF(N92=Constants!$B$3,TRUE(),IF(N92=Constants!$B$4,FALSE(),TRUE())))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IF(ISBLANK($C92),"",IF(P92=Constants!$B$3,TRUE(),IF(P92=Constants!$B$4,FALSE(),FALSE())))</f>
        <v/>
      </c>
      <c r="AR92" s="135" t="str">
        <f aca="false">IF(ISBLANK($C92),"",IF(Q92=Constants!$B$3,TRUE(),IF(Q92=Constants!$B$4,FALSE(),TRUE())))</f>
        <v/>
      </c>
      <c r="AS92" s="135" t="str">
        <f aca="false">IF(ISBLANK($C92),"",IF(R92=Constants!$B$3,TRUE(),IF(R92=Constants!$B$4,FALSE(),TRUE())))</f>
        <v/>
      </c>
      <c r="AT92" s="135" t="str">
        <f aca="false">IF(ISBLANK($C92),"",IF(S92=Constants!$B$5,TRUE(),IF(S92=Constants!$B$6,FALSE(),COUNTA(T92:X92)&gt;0)))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IF(ISBLANK($C92),"",IF(V92=Constants!$B$3,TRUE(),IF(V92=Constants!$B$4,FALSE(),TRUE())))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IF(ISBLANK($C92),"",IF(X92=Constants!$B$3,TRUE(),IF(X92=Constants!$B$4,FALSE(),FALSE())))</f>
        <v/>
      </c>
      <c r="AZ92" s="135" t="str">
        <f aca="false">IF(ISBLANK($C92),"",MIN(Constants!$B$31,MAX(0,IF(ISNUMBER(Y92),Y92*60,0)+IF(ISNUMBER(Z92),Z92,0))))</f>
        <v/>
      </c>
      <c r="BA92" s="135" t="str">
        <f aca="false">IF(ISBLANK($C92),"",IF(AA92=Constants!$B$3,TRUE(),IF(AA92=Constants!$B$4,FALSE(),FALSE())))</f>
        <v/>
      </c>
      <c r="BB92" s="134" t="str">
        <f aca="false">IF(ISBLANK($C92),"",AND($AL92,OR($AM92="",$AN92="",AND($AO92,$AP92=""))))</f>
        <v/>
      </c>
      <c r="BC92" s="137" t="str">
        <f aca="false">IF($BZ92&lt;&gt;Constants!$B$8,"",IF($AL92,Constants!$B$21*$AN92+Constants!$B$22*IF($AO92,$AP92,Constants!$B$23),Constants!$B$24))</f>
        <v/>
      </c>
      <c r="BD92" s="138" t="str">
        <f aca="false">IF($BZ92&lt;&gt;Constants!$B$8,"",Constants!$B$25*ABS($AD$9-IF($AL92,$AM92,0)))</f>
        <v/>
      </c>
      <c r="BE92" s="138" t="str">
        <f aca="false">IF($BZ92&lt;&gt;Constants!$B$8,"",IF(AND($AL92,$AQ92,$AO92),Constants!$B$27,0))</f>
        <v/>
      </c>
      <c r="BF92" s="138" t="str">
        <f aca="false">IF($BZ92&lt;&gt;Constants!$B$8,"",IF($AL92,($AI92-Constants!$B$29)*Constants!$B$28,0))</f>
        <v/>
      </c>
      <c r="BG92" s="138" t="str">
        <f aca="false">IF($BZ92&lt;&gt;Constants!$B$8,"",IF($AK92,0,Constants!$B$15)+IF($AJ92,0,Constants!$B$16)+IF($AH92,0,Constants!$B$17))</f>
        <v/>
      </c>
      <c r="BH92" s="139" t="str">
        <f aca="false">IF($BZ92&lt;&gt;Constants!$B$8,"",Constants!$B$20+SUM($BC92:$BG92))</f>
        <v/>
      </c>
      <c r="BI92" s="138" t="str">
        <f aca="false">IF($BZ92&lt;&gt;Constants!$B$8,"",$BC92)</f>
        <v/>
      </c>
      <c r="BJ92" s="138" t="str">
        <f aca="false">IF($BZ92&lt;&gt;Constants!$B$8,"",$BD92)</f>
        <v/>
      </c>
      <c r="BK92" s="138" t="str">
        <f aca="false">IF($BZ92&lt;&gt;Constants!$B$8,"",IF($AL92,$AN92,""))</f>
        <v/>
      </c>
      <c r="BL92" s="140" t="str">
        <f aca="false">IF($BZ92&lt;&gt;Constants!$B$8,"",$AI92)</f>
        <v/>
      </c>
      <c r="BM92" s="135" t="str">
        <f aca="false">IF($BZ92&lt;&gt;Constants!$B$8,"",IF(OR($BT92&lt;$BH92,AND($BT92=$BH92,OR($BU92&lt;$BI92,AND($BU92=$BI92,OR($BV92&lt;$BJ92,AND($BV92=$BJ92,OR(AND(ISNUMBER($BW92),OR(NOT(ISNUMBER($BK92)),$BW92&lt;$BK92)),AND(OR(AND($BW92="",$BK92=""),AND(ISNUMBER($BW92),ISNUMBER($BK92),$BW92=$BK92)),$BX92&lt;$BL92)))))))),"-&gt;","&lt;-"))</f>
        <v/>
      </c>
      <c r="BN92" s="134" t="str">
        <f aca="false">IF(ISBLANK($C92),"",AND($AT92,OR($AU92="",$AV92="",AND($AW92,$AX92=""))))</f>
        <v/>
      </c>
      <c r="BO92" s="137" t="str">
        <f aca="false">IF($BZ92&lt;&gt;Constants!$B$8,"",IF($AT92,Constants!$B$21*$AV92+Constants!$B$22*IF($AW92,$AX92,Constants!$B$23),Constants!$B$24))</f>
        <v/>
      </c>
      <c r="BP92" s="138" t="str">
        <f aca="false">IF($BZ92&lt;&gt;Constants!$B$8,"",Constants!$B$25*ABS($AD$9-IF($AT92,$AU92,0)))</f>
        <v/>
      </c>
      <c r="BQ92" s="138" t="str">
        <f aca="false">IF($BZ92&lt;&gt;Constants!$B$8,"",IF(AND($AT92,$AY92,$AW92),Constants!$B$27,0))</f>
        <v/>
      </c>
      <c r="BR92" s="138" t="str">
        <f aca="false">IF($BZ92&lt;&gt;Constants!$B$8,"",IF($AT92,($AI92-Constants!$B$29)*Constants!$B$28,0))</f>
        <v/>
      </c>
      <c r="BS92" s="138" t="str">
        <f aca="false">IF($BZ92&lt;&gt;Constants!$B$8,"",IF($AS92,0,Constants!$B$15)+IF($AR92,0,Constants!$B$16)+IF($AH92,0,Constants!$B$17))</f>
        <v/>
      </c>
      <c r="BT92" s="139" t="str">
        <f aca="false">IF($BZ92&lt;&gt;Constants!$B$8,"",Constants!$B$20+SUM($BO92:$BS92))</f>
        <v/>
      </c>
      <c r="BU92" s="138" t="str">
        <f aca="false">IF($BZ92&lt;&gt;Constants!$B$8,"",$BO92)</f>
        <v/>
      </c>
      <c r="BV92" s="138" t="str">
        <f aca="false">IF($BZ92&lt;&gt;Constants!$B$8,"",$BP92)</f>
        <v/>
      </c>
      <c r="BW92" s="138" t="str">
        <f aca="false">IF($BZ92&lt;&gt;Constants!$B$8,"",IF($AT92,$AV92,""))</f>
        <v/>
      </c>
      <c r="BX92" s="140" t="str">
        <f aca="false">IF($BZ92&lt;&gt;Constants!$B$8,"",$AI92)</f>
        <v/>
      </c>
      <c r="BY92" s="135" t="str">
        <f aca="false">IF(ISBLANK($C92),"",IF(ISBLANK($D$7),$BY$5,IF(NOT(ISNUMBER($D$7)),$BY$6,"")))</f>
        <v/>
      </c>
      <c r="BZ92" s="135" t="str">
        <f aca="false">IF(ISBLANK($C92),"",IF($BA92,Constants!$B$11,IF(COUNTA($E92:$AA92)=0,Constants!$B$10,IF(NOT($AG92),Constants!$B$9,IF(OR($BY92&lt;&gt;"",$BB92,$BN92),Constants!$B$12,Constants!$B$8)))))</f>
        <v/>
      </c>
      <c r="CA92" s="135" t="str">
        <f aca="false">IF(ISBLANK($C92),"",IF($BZ92&lt;&gt;Constants!$B$8,$BZ92,Constants!$B$13))</f>
        <v/>
      </c>
      <c r="CB92" s="138" t="str">
        <f aca="false">IF($BZ92&lt;&gt;Constants!$B$8,"",IF($BM92="-&gt;",$BT92,$BH92))</f>
        <v/>
      </c>
      <c r="CC92" s="138" t="str">
        <f aca="false">IF($BZ92&lt;&gt;Constants!$B$8,"",IF($AF92,0,Constants!$B$18))</f>
        <v/>
      </c>
      <c r="CD92" s="138" t="str">
        <f aca="false">IF($BZ92&lt;&gt;Constants!$B$8,"",((Constants!$B$31-$AZ92)-Constants!$B$31)/Constants!$B$32)</f>
        <v/>
      </c>
      <c r="CE92" s="138" t="str">
        <f aca="false">IF(ISBLANK($C92),"",IF($BZ92&lt;&gt;Constants!$B$8,$BZ92,SUM($CB92:$CD92)))</f>
        <v/>
      </c>
      <c r="CF92" s="135" t="str">
        <f aca="false">IF(ISBLANK($C92),"",IF($BZ92&lt;&gt;Constants!$B$8,$BZ92,RANK($CE92,$CE$9:$CE$508,1)))</f>
        <v/>
      </c>
      <c r="CG92" s="138" t="str">
        <f aca="false">IF($BZ92&lt;&gt;Constants!$B$8,"",IF($BM92="-&gt;",$BU92,$BI92))</f>
        <v/>
      </c>
      <c r="CH92" s="135" t="str">
        <f aca="false">IF(ISBLANK($C92),"",IF($BZ92&lt;&gt;Constants!$B$8,$BZ92,IF(ISNUMBER($CG92),RANK($CG92,$CG$9:$CG$508,1),COUNT($CG$9:$CG$508)+1)))</f>
        <v/>
      </c>
      <c r="CI92" s="138" t="str">
        <f aca="false">IF($BZ92&lt;&gt;Constants!$B$8,"",IF($BM92="-&gt;",$BV92,$BJ92))</f>
        <v/>
      </c>
      <c r="CJ92" s="135" t="str">
        <f aca="false">IF(ISBLANK($C92),"",IF($BZ92&lt;&gt;Constants!$B$8,$BZ92,IF(ISNUMBER($CI92),RANK($CI92,$CI$9:$CI$508,1),COUNT($CI$9:$CI$508)+1)))</f>
        <v/>
      </c>
      <c r="CK92" s="138" t="str">
        <f aca="false">IF($BZ92&lt;&gt;Constants!$B$8,"",IF($BM92="-&gt;",$BW92,$BK92))</f>
        <v/>
      </c>
      <c r="CL92" s="135" t="str">
        <f aca="false">IF(ISBLANK($C92),"",IF($BZ92&lt;&gt;Constants!$B$8,$BZ92,IF(ISNUMBER($CK92),RANK($CK92,$CK$9:$CK$508,1),COUNT($CK$9:$CK$508)+1)))</f>
        <v/>
      </c>
      <c r="CM92" s="138" t="str">
        <f aca="false">IF($BZ92&lt;&gt;Constants!$B$8,"",IF(AND(NOT($AL92),NOT($AT92),$AJ92,$AK92,$AR92,$AS92),"",IF($BM92="-&gt;",$BX92,$BL92)))</f>
        <v/>
      </c>
      <c r="CN92" s="135" t="str">
        <f aca="false">IF(ISBLANK($C92),"",IF($BZ92&lt;&gt;Constants!$B$8,$BZ92,IF(ISNUMBER($CM92),RANK($CM92,$CM$9:$CM$508,1),COUNT($CM$9:$CM$508)+1)))</f>
        <v/>
      </c>
      <c r="CO92" s="135" t="str">
        <f aca="false">IF(ISBLANK($C92),"",IF($BZ92&lt;&gt;Constants!$B$8,$BZ92,COUNTIFS($CF$9:$CF$508,"&lt;"&amp;$CF92)+COUNTIFS($CF$9:$CF$508,$CF92,$CH$9:$CH$508,"&lt;"&amp;$CH92)+COUNTIFS($CF$9:$CF$508,$CF92,$CH$9:$CH$508,$CH92,$CJ$9:$CJ$508,"&lt;"&amp;$CJ92)+COUNTIFS($CF$9:$CF$508,$CF92,$CH$9:$CH$508,$CH92,$CJ$9:$CJ$508,$CJ92,$CL$9:$CL$508,"&lt;"&amp;$CL92)+COUNTIFS($CF$9:$CF$508,$CF92,$CH$9:$CH$508,$CH92,$CJ$9:$CJ$508,$CJ92,$CL$9:$CL$508,$CL92,$CN$9:$CN$508,"&lt;"&amp;$CN92)+1))</f>
        <v/>
      </c>
      <c r="CP92" s="135" t="str">
        <f aca="false">IF(ISBLANK($C92),"",IF($BZ92&lt;&gt;Constants!$B$8,$BZ92,$CF92-$CO92))</f>
        <v/>
      </c>
      <c r="CQ92" s="141"/>
      <c r="CR92" s="142"/>
      <c r="CS92" s="143" t="str">
        <f aca="false">IF(ISBLANK($C92),"",IF($BZ92=Constants!$B$12,$BY92,""))</f>
        <v/>
      </c>
      <c r="CT92" s="142" t="str">
        <f aca="false">IF(ISBLANK($C92),"",IF($BZ92&lt;&gt;Constants!$B$8,"",IF($BM92="-&gt;",2,1)))</f>
        <v/>
      </c>
      <c r="CU92" s="144" t="str">
        <f aca="false">IF(ISBLANK($C92),"",IF($BZ92&lt;&gt;Constants!$B$8,"",IF($BM92="-&gt;",$BO92,$BC92)))</f>
        <v/>
      </c>
      <c r="CV92" s="144" t="str">
        <f aca="false">IF(ISBLANK($C92),"",IF($BZ92&lt;&gt;Constants!$B$8,"",IF($BM92="-&gt;",$BP92,$BD92)))</f>
        <v/>
      </c>
      <c r="CW92" s="144" t="str">
        <f aca="false">IF(ISBLANK($C92),"",IF($BZ92&lt;&gt;Constants!$B$8,"",IF($BM92="-&gt;",$BQ92+$BR92,$BE92+$BF92)+$CD92))</f>
        <v/>
      </c>
      <c r="CX92" s="144" t="str">
        <f aca="false">IF(ISBLANK($C92),"",IF($BZ92&lt;&gt;Constants!$B$8,"",IF($BM92="-&gt;",$BS92,$BG92)+$CC92))</f>
        <v/>
      </c>
      <c r="CY92" s="145" t="str">
        <f aca="false">IF(ISBLANK($C92),"",IF($BZ92&lt;&gt;Constants!$B$8,$BZ92,$CE92))</f>
        <v/>
      </c>
      <c r="CZ92" s="146" t="str">
        <f aca="false">IF(ISBLANK($C92),"",$CA92)</f>
        <v/>
      </c>
      <c r="DA92" s="147" t="str">
        <f aca="false">IF(ISBLANK($C92),"",$CP92)</f>
        <v/>
      </c>
      <c r="DB92" s="147" t="str">
        <f aca="false">IF(ISBLANK($C92),"",$CO92)</f>
        <v/>
      </c>
      <c r="DC92" s="148" t="str">
        <f aca="false">IF(ISBLANK($C92),"",IFERROR(_xlfn.SWITCH($DB92,Constants!$B$11,COUNTA($C$9:$C$508)+2,Constants!$B$10,COUNTA($C$9:$C$508)+1,Constants!$B$9,COUNTA($C$9:$C$508)),$DB92))</f>
        <v/>
      </c>
      <c r="DD92" s="9"/>
      <c r="DE92" s="149" t="n">
        <f aca="false">IF(OR(ISNUMBER($DB92),$DB92=Constants!$B$11,$DB92=Constants!$B$9,$DB92=Constants!$B$10),1,0)</f>
        <v>0</v>
      </c>
      <c r="DF92" s="149" t="n">
        <v>84</v>
      </c>
      <c r="DG92" s="149" t="str">
        <f aca="false">IF(ISBLANK($C92),"",IF(ISNUMBER($DC92),$DC92+ROW($B92)/1000,""))</f>
        <v/>
      </c>
      <c r="DH92" s="149" t="str">
        <f aca="false">IF(ISNUMBER($DG92),RANK($DG92,$DG$9:$DG$508,1),"")</f>
        <v/>
      </c>
      <c r="DI92" s="149" t="str">
        <f aca="false">IF(ISBLANK($C92),"",$B92)</f>
        <v/>
      </c>
      <c r="DJ92" s="149" t="str">
        <f aca="false">IF(ISBLANK($C92),"",$C92)</f>
        <v/>
      </c>
      <c r="DK92" s="149" t="str">
        <f aca="false">IF(ISBLANK($C92),"",$D92)</f>
        <v/>
      </c>
      <c r="DL92" s="150" t="str">
        <f aca="false">$CZ92</f>
        <v/>
      </c>
      <c r="DM92" s="151" t="str">
        <f aca="false">$CY92</f>
        <v/>
      </c>
      <c r="DN92" s="149" t="str">
        <f aca="false">IF(ISBLANK($C92),"",$DB92)</f>
        <v/>
      </c>
      <c r="DO92" s="152" t="str">
        <f aca="false">IF($DF92&gt;$DE$8,"",VLOOKUP($DF92,$DH$9:$DN$508,7,FALSE()))</f>
        <v/>
      </c>
      <c r="DP92" s="153" t="str">
        <f aca="false">IF($DF92&gt;$DE$8,"",VLOOKUP($DF92,$DH$9:$DN$508,2,FALSE()))</f>
        <v/>
      </c>
      <c r="DQ92" s="153" t="str">
        <f aca="false">IF($DF92&gt;$DE$8,"",VLOOKUP($DF92,$DH$9:$DN$508,3,FALSE()))</f>
        <v/>
      </c>
      <c r="DR92" s="153" t="str">
        <f aca="false">IF($DF92&gt;$DE$8,"",VLOOKUP($DF92,$DH$9:$DN$508,4,FALSE()))</f>
        <v/>
      </c>
      <c r="DS92" s="153" t="str">
        <f aca="false">IF($DF92&gt;$DE$8,"",VLOOKUP($DF92,$DH$9:$DN$508,5,FALSE()))</f>
        <v/>
      </c>
      <c r="DT92" s="154" t="str">
        <f aca="false">IF($DF92&gt;$DE$8,"",VLOOKUP($DF92,$DH$9:$DN$508,6,FALSE()))</f>
        <v/>
      </c>
      <c r="DU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IF(ISBLANK($C93),"",IF(E93=Constants!$B$3,TRUE(),IF(E93=Constants!$B$4,FALSE(),TRUE())))</f>
        <v/>
      </c>
      <c r="AG93" s="93" t="str">
        <f aca="false">IF(ISBLANK($C93),"",IF(F93=Constants!$B$3,TRUE(),IF(F93=Constants!$B$4,FALSE(),TRUE())))</f>
        <v/>
      </c>
      <c r="AH93" s="93" t="str">
        <f aca="false">IF(ISBLANK($C93),"",IF(G93=Constants!$B$3,TRUE(),IF(G93=Constants!$B$4,FALSE(),TRUE())))</f>
        <v/>
      </c>
      <c r="AI93" s="93" t="str">
        <f aca="false">IF(ISBLANK($C93),"",IF(AND(ISNUMBER(H93),H93&gt;=0),H93,Constants!$B$29))</f>
        <v/>
      </c>
      <c r="AJ93" s="93" t="str">
        <f aca="false">IF(ISBLANK($C93),"",IF(I93=Constants!$B$3,TRUE(),IF(I93=Constants!$B$4,FALSE(),TRUE())))</f>
        <v/>
      </c>
      <c r="AK93" s="93" t="str">
        <f aca="false">IF(ISBLANK($C93),"",IF(J93=Constants!$B$3,TRUE(),IF(J93=Constants!$B$4,FALSE(),TRUE())))</f>
        <v/>
      </c>
      <c r="AL93" s="93" t="str">
        <f aca="false">IF(ISBLANK($C93),"",IF(K93=Constants!$B$5,TRUE(),IF(K93=Constants!$B$6,FALSE(),COUNTA(L93:P93)&gt;0)))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IF(ISBLANK($C93),"",IF(N93=Constants!$B$3,TRUE(),IF(N93=Constants!$B$4,FALSE(),TRUE())))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IF(ISBLANK($C93),"",IF(P93=Constants!$B$3,TRUE(),IF(P93=Constants!$B$4,FALSE(),FALSE())))</f>
        <v/>
      </c>
      <c r="AR93" s="93" t="str">
        <f aca="false">IF(ISBLANK($C93),"",IF(Q93=Constants!$B$3,TRUE(),IF(Q93=Constants!$B$4,FALSE(),TRUE())))</f>
        <v/>
      </c>
      <c r="AS93" s="93" t="str">
        <f aca="false">IF(ISBLANK($C93),"",IF(R93=Constants!$B$3,TRUE(),IF(R93=Constants!$B$4,FALSE(),TRUE())))</f>
        <v/>
      </c>
      <c r="AT93" s="93" t="str">
        <f aca="false">IF(ISBLANK($C93),"",IF(S93=Constants!$B$5,TRUE(),IF(S93=Constants!$B$6,FALSE(),COUNTA(T93:X93)&gt;0)))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IF(ISBLANK($C93),"",IF(V93=Constants!$B$3,TRUE(),IF(V93=Constants!$B$4,FALSE(),TRUE())))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IF(ISBLANK($C93),"",IF(X93=Constants!$B$3,TRUE(),IF(X93=Constants!$B$4,FALSE(),FALSE())))</f>
        <v/>
      </c>
      <c r="AZ93" s="93" t="str">
        <f aca="false">IF(ISBLANK($C93),"",MIN(Constants!$B$31,MAX(0,IF(ISNUMBER(Y93),Y93*60,0)+IF(ISNUMBER(Z93),Z93,0))))</f>
        <v/>
      </c>
      <c r="BA93" s="93" t="str">
        <f aca="false">IF(ISBLANK($C93),"",IF(AA93=Constants!$B$3,TRUE(),IF(AA93=Constants!$B$4,FALSE(),FALSE())))</f>
        <v/>
      </c>
      <c r="BB93" s="92" t="str">
        <f aca="false">IF(ISBLANK($C93),"",AND($AL93,OR($AM93="",$AN93="",AND($AO93,$AP93=""))))</f>
        <v/>
      </c>
      <c r="BC93" s="94" t="str">
        <f aca="false">IF($BZ93&lt;&gt;Constants!$B$8,"",IF($AL93,Constants!$B$21*$AN93+Constants!$B$22*IF($AO93,$AP93,Constants!$B$23),Constants!$B$24))</f>
        <v/>
      </c>
      <c r="BD93" s="97" t="str">
        <f aca="false">IF($BZ93&lt;&gt;Constants!$B$8,"",Constants!$B$25*ABS($AD$9-IF($AL93,$AM93,0)))</f>
        <v/>
      </c>
      <c r="BE93" s="97" t="str">
        <f aca="false">IF($BZ93&lt;&gt;Constants!$B$8,"",IF(AND($AL93,$AQ93,$AO93),Constants!$B$27,0))</f>
        <v/>
      </c>
      <c r="BF93" s="97" t="str">
        <f aca="false">IF($BZ93&lt;&gt;Constants!$B$8,"",IF($AL93,($AI93-Constants!$B$29)*Constants!$B$28,0))</f>
        <v/>
      </c>
      <c r="BG93" s="97" t="str">
        <f aca="false">IF($BZ93&lt;&gt;Constants!$B$8,"",IF($AK93,0,Constants!$B$15)+IF($AJ93,0,Constants!$B$16)+IF($AH93,0,Constants!$B$17))</f>
        <v/>
      </c>
      <c r="BH93" s="98" t="str">
        <f aca="false">IF($BZ93&lt;&gt;Constants!$B$8,"",Constants!$B$20+SUM($BC93:$BG93))</f>
        <v/>
      </c>
      <c r="BI93" s="97" t="str">
        <f aca="false">IF($BZ93&lt;&gt;Constants!$B$8,"",$BC93)</f>
        <v/>
      </c>
      <c r="BJ93" s="97" t="str">
        <f aca="false">IF($BZ93&lt;&gt;Constants!$B$8,"",$BD93)</f>
        <v/>
      </c>
      <c r="BK93" s="97" t="str">
        <f aca="false">IF($BZ93&lt;&gt;Constants!$B$8,"",IF($AL93,$AN93,""))</f>
        <v/>
      </c>
      <c r="BL93" s="99" t="str">
        <f aca="false">IF($BZ93&lt;&gt;Constants!$B$8,"",$AI93)</f>
        <v/>
      </c>
      <c r="BM93" s="93" t="str">
        <f aca="false">IF($BZ93&lt;&gt;Constants!$B$8,"",IF(OR($BT93&lt;$BH93,AND($BT93=$BH93,OR($BU93&lt;$BI93,AND($BU93=$BI93,OR($BV93&lt;$BJ93,AND($BV93=$BJ93,OR(AND(ISNUMBER($BW93),OR(NOT(ISNUMBER($BK93)),$BW93&lt;$BK93)),AND(OR(AND($BW93="",$BK93=""),AND(ISNUMBER($BW93),ISNUMBER($BK93),$BW93=$BK93)),$BX93&lt;$BL93)))))))),"-&gt;","&lt;-"))</f>
        <v/>
      </c>
      <c r="BN93" s="92" t="str">
        <f aca="false">IF(ISBLANK($C93),"",AND($AT93,OR($AU93="",$AV93="",AND($AW93,$AX93=""))))</f>
        <v/>
      </c>
      <c r="BO93" s="94" t="str">
        <f aca="false">IF($BZ93&lt;&gt;Constants!$B$8,"",IF($AT93,Constants!$B$21*$AV93+Constants!$B$22*IF($AW93,$AX93,Constants!$B$23),Constants!$B$24))</f>
        <v/>
      </c>
      <c r="BP93" s="97" t="str">
        <f aca="false">IF($BZ93&lt;&gt;Constants!$B$8,"",Constants!$B$25*ABS($AD$9-IF($AT93,$AU93,0)))</f>
        <v/>
      </c>
      <c r="BQ93" s="97" t="str">
        <f aca="false">IF($BZ93&lt;&gt;Constants!$B$8,"",IF(AND($AT93,$AY93,$AW93),Constants!$B$27,0))</f>
        <v/>
      </c>
      <c r="BR93" s="97" t="str">
        <f aca="false">IF($BZ93&lt;&gt;Constants!$B$8,"",IF($AT93,($AI93-Constants!$B$29)*Constants!$B$28,0))</f>
        <v/>
      </c>
      <c r="BS93" s="97" t="str">
        <f aca="false">IF($BZ93&lt;&gt;Constants!$B$8,"",IF($AS93,0,Constants!$B$15)+IF($AR93,0,Constants!$B$16)+IF($AH93,0,Constants!$B$17))</f>
        <v/>
      </c>
      <c r="BT93" s="98" t="str">
        <f aca="false">IF($BZ93&lt;&gt;Constants!$B$8,"",Constants!$B$20+SUM($BO93:$BS93))</f>
        <v/>
      </c>
      <c r="BU93" s="97" t="str">
        <f aca="false">IF($BZ93&lt;&gt;Constants!$B$8,"",$BO93)</f>
        <v/>
      </c>
      <c r="BV93" s="97" t="str">
        <f aca="false">IF($BZ93&lt;&gt;Constants!$B$8,"",$BP93)</f>
        <v/>
      </c>
      <c r="BW93" s="97" t="str">
        <f aca="false">IF($BZ93&lt;&gt;Constants!$B$8,"",IF($AT93,$AV93,""))</f>
        <v/>
      </c>
      <c r="BX93" s="99" t="str">
        <f aca="false">IF($BZ93&lt;&gt;Constants!$B$8,"",$AI93)</f>
        <v/>
      </c>
      <c r="BY93" s="93" t="str">
        <f aca="false">IF(ISBLANK($C93),"",IF(ISBLANK($D$7),$BY$5,IF(NOT(ISNUMBER($D$7)),$BY$6,"")))</f>
        <v/>
      </c>
      <c r="BZ93" s="93" t="str">
        <f aca="false">IF(ISBLANK($C93),"",IF($BA93,Constants!$B$11,IF(COUNTA($E93:$AA93)=0,Constants!$B$10,IF(NOT($AG93),Constants!$B$9,IF(OR($BY93&lt;&gt;"",$BB93,$BN93),Constants!$B$12,Constants!$B$8)))))</f>
        <v/>
      </c>
      <c r="CA93" s="93" t="str">
        <f aca="false">IF(ISBLANK($C93),"",IF($BZ93&lt;&gt;Constants!$B$8,$BZ93,Constants!$B$13))</f>
        <v/>
      </c>
      <c r="CB93" s="97" t="str">
        <f aca="false">IF($BZ93&lt;&gt;Constants!$B$8,"",IF($BM93="-&gt;",$BT93,$BH93))</f>
        <v/>
      </c>
      <c r="CC93" s="97" t="str">
        <f aca="false">IF($BZ93&lt;&gt;Constants!$B$8,"",IF($AF93,0,Constants!$B$18))</f>
        <v/>
      </c>
      <c r="CD93" s="97" t="str">
        <f aca="false">IF($BZ93&lt;&gt;Constants!$B$8,"",((Constants!$B$31-$AZ93)-Constants!$B$31)/Constants!$B$32)</f>
        <v/>
      </c>
      <c r="CE93" s="97" t="str">
        <f aca="false">IF(ISBLANK($C93),"",IF($BZ93&lt;&gt;Constants!$B$8,$BZ93,SUM($CB93:$CD93)))</f>
        <v/>
      </c>
      <c r="CF93" s="93" t="str">
        <f aca="false">IF(ISBLANK($C93),"",IF($BZ93&lt;&gt;Constants!$B$8,$BZ93,RANK($CE93,$CE$9:$CE$508,1)))</f>
        <v/>
      </c>
      <c r="CG93" s="97" t="str">
        <f aca="false">IF($BZ93&lt;&gt;Constants!$B$8,"",IF($BM93="-&gt;",$BU93,$BI93))</f>
        <v/>
      </c>
      <c r="CH93" s="93" t="str">
        <f aca="false">IF(ISBLANK($C93),"",IF($BZ93&lt;&gt;Constants!$B$8,$BZ93,IF(ISNUMBER($CG93),RANK($CG93,$CG$9:$CG$508,1),COUNT($CG$9:$CG$508)+1)))</f>
        <v/>
      </c>
      <c r="CI93" s="97" t="str">
        <f aca="false">IF($BZ93&lt;&gt;Constants!$B$8,"",IF($BM93="-&gt;",$BV93,$BJ93))</f>
        <v/>
      </c>
      <c r="CJ93" s="93" t="str">
        <f aca="false">IF(ISBLANK($C93),"",IF($BZ93&lt;&gt;Constants!$B$8,$BZ93,IF(ISNUMBER($CI93),RANK($CI93,$CI$9:$CI$508,1),COUNT($CI$9:$CI$508)+1)))</f>
        <v/>
      </c>
      <c r="CK93" s="97" t="str">
        <f aca="false">IF($BZ93&lt;&gt;Constants!$B$8,"",IF($BM93="-&gt;",$BW93,$BK93))</f>
        <v/>
      </c>
      <c r="CL93" s="93" t="str">
        <f aca="false">IF(ISBLANK($C93),"",IF($BZ93&lt;&gt;Constants!$B$8,$BZ93,IF(ISNUMBER($CK93),RANK($CK93,$CK$9:$CK$508,1),COUNT($CK$9:$CK$508)+1)))</f>
        <v/>
      </c>
      <c r="CM93" s="97" t="str">
        <f aca="false">IF($BZ93&lt;&gt;Constants!$B$8,"",IF(AND(NOT($AL93),NOT($AT93),$AJ93,$AK93,$AR93,$AS93),"",IF($BM93="-&gt;",$BX93,$BL93)))</f>
        <v/>
      </c>
      <c r="CN93" s="93" t="str">
        <f aca="false">IF(ISBLANK($C93),"",IF($BZ93&lt;&gt;Constants!$B$8,$BZ93,IF(ISNUMBER($CM93),RANK($CM93,$CM$9:$CM$508,1),COUNT($CM$9:$CM$508)+1)))</f>
        <v/>
      </c>
      <c r="CO93" s="93" t="str">
        <f aca="false">IF(ISBLANK($C93),"",IF($BZ93&lt;&gt;Constants!$B$8,$BZ93,COUNTIFS($CF$9:$CF$508,"&lt;"&amp;$CF93)+COUNTIFS($CF$9:$CF$508,$CF93,$CH$9:$CH$508,"&lt;"&amp;$CH93)+COUNTIFS($CF$9:$CF$508,$CF93,$CH$9:$CH$508,$CH93,$CJ$9:$CJ$508,"&lt;"&amp;$CJ93)+COUNTIFS($CF$9:$CF$508,$CF93,$CH$9:$CH$508,$CH93,$CJ$9:$CJ$508,$CJ93,$CL$9:$CL$508,"&lt;"&amp;$CL93)+COUNTIFS($CF$9:$CF$508,$CF93,$CH$9:$CH$508,$CH93,$CJ$9:$CJ$508,$CJ93,$CL$9:$CL$508,$CL93,$CN$9:$CN$508,"&lt;"&amp;$CN93)+1))</f>
        <v/>
      </c>
      <c r="CP93" s="93" t="str">
        <f aca="false">IF(ISBLANK($C93),"",IF($BZ93&lt;&gt;Constants!$B$8,$BZ93,$CF93-$CO93))</f>
        <v/>
      </c>
      <c r="CQ93" s="100"/>
      <c r="CR93" s="101"/>
      <c r="CS93" s="102" t="str">
        <f aca="false">IF(ISBLANK($C93),"",IF($BZ93=Constants!$B$12,$BY93,""))</f>
        <v/>
      </c>
      <c r="CT93" s="101" t="str">
        <f aca="false">IF(ISBLANK($C93),"",IF($BZ93&lt;&gt;Constants!$B$8,"",IF($BM93="-&gt;",2,1)))</f>
        <v/>
      </c>
      <c r="CU93" s="103" t="str">
        <f aca="false">IF(ISBLANK($C93),"",IF($BZ93&lt;&gt;Constants!$B$8,"",IF($BM93="-&gt;",$BO93,$BC93)))</f>
        <v/>
      </c>
      <c r="CV93" s="103" t="str">
        <f aca="false">IF(ISBLANK($C93),"",IF($BZ93&lt;&gt;Constants!$B$8,"",IF($BM93="-&gt;",$BP93,$BD93)))</f>
        <v/>
      </c>
      <c r="CW93" s="103" t="str">
        <f aca="false">IF(ISBLANK($C93),"",IF($BZ93&lt;&gt;Constants!$B$8,"",IF($BM93="-&gt;",$BQ93+$BR93,$BE93+$BF93)+$CD93))</f>
        <v/>
      </c>
      <c r="CX93" s="103" t="str">
        <f aca="false">IF(ISBLANK($C93),"",IF($BZ93&lt;&gt;Constants!$B$8,"",IF($BM93="-&gt;",$BS93,$BG93)+$CC93))</f>
        <v/>
      </c>
      <c r="CY93" s="104" t="str">
        <f aca="false">IF(ISBLANK($C93),"",IF($BZ93&lt;&gt;Constants!$B$8,$BZ93,$CE93))</f>
        <v/>
      </c>
      <c r="CZ93" s="105" t="str">
        <f aca="false">IF(ISBLANK($C93),"",$CA93)</f>
        <v/>
      </c>
      <c r="DA93" s="106" t="str">
        <f aca="false">IF(ISBLANK($C93),"",$CP93)</f>
        <v/>
      </c>
      <c r="DB93" s="106" t="str">
        <f aca="false">IF(ISBLANK($C93),"",$CO93)</f>
        <v/>
      </c>
      <c r="DC93" s="107" t="str">
        <f aca="false">IF(ISBLANK($C93),"",IFERROR(_xlfn.SWITCH($DB93,Constants!$B$11,COUNTA($C$9:$C$508)+2,Constants!$B$10,COUNTA($C$9:$C$508)+1,Constants!$B$9,COUNTA($C$9:$C$508)),$DB93))</f>
        <v/>
      </c>
      <c r="DD93" s="9"/>
      <c r="DE93" s="108" t="n">
        <f aca="false">IF(OR(ISNUMBER($DB93),$DB93=Constants!$B$11,$DB93=Constants!$B$9,$DB93=Constants!$B$10),1,0)</f>
        <v>0</v>
      </c>
      <c r="DF93" s="108" t="n">
        <v>85</v>
      </c>
      <c r="DG93" s="108" t="str">
        <f aca="false">IF(ISBLANK($C93),"",IF(ISNUMBER($DC93),$DC93+ROW($B93)/1000,""))</f>
        <v/>
      </c>
      <c r="DH93" s="108" t="str">
        <f aca="false">IF(ISNUMBER($DG93),RANK($DG93,$DG$9:$DG$508,1),"")</f>
        <v/>
      </c>
      <c r="DI93" s="108" t="str">
        <f aca="false">IF(ISBLANK($C93),"",$B93)</f>
        <v/>
      </c>
      <c r="DJ93" s="108" t="str">
        <f aca="false">IF(ISBLANK($C93),"",$C93)</f>
        <v/>
      </c>
      <c r="DK93" s="108" t="str">
        <f aca="false">IF(ISBLANK($C93),"",$D93)</f>
        <v/>
      </c>
      <c r="DL93" s="109" t="str">
        <f aca="false">$CZ93</f>
        <v/>
      </c>
      <c r="DM93" s="110" t="str">
        <f aca="false">$CY93</f>
        <v/>
      </c>
      <c r="DN93" s="108" t="str">
        <f aca="false">IF(ISBLANK($C93),"",$DB93)</f>
        <v/>
      </c>
      <c r="DO93" s="111" t="str">
        <f aca="false">IF($DF93&gt;$DE$8,"",VLOOKUP($DF93,$DH$9:$DN$508,7,FALSE()))</f>
        <v/>
      </c>
      <c r="DP93" s="112" t="str">
        <f aca="false">IF($DF93&gt;$DE$8,"",VLOOKUP($DF93,$DH$9:$DN$508,2,FALSE()))</f>
        <v/>
      </c>
      <c r="DQ93" s="112" t="str">
        <f aca="false">IF($DF93&gt;$DE$8,"",VLOOKUP($DF93,$DH$9:$DN$508,3,FALSE()))</f>
        <v/>
      </c>
      <c r="DR93" s="112" t="str">
        <f aca="false">IF($DF93&gt;$DE$8,"",VLOOKUP($DF93,$DH$9:$DN$508,4,FALSE()))</f>
        <v/>
      </c>
      <c r="DS93" s="112" t="str">
        <f aca="false">IF($DF93&gt;$DE$8,"",VLOOKUP($DF93,$DH$9:$DN$508,5,FALSE()))</f>
        <v/>
      </c>
      <c r="DT93" s="113" t="str">
        <f aca="false">IF($DF93&gt;$DE$8,"",VLOOKUP($DF93,$DH$9:$DN$508,6,FALSE()))</f>
        <v/>
      </c>
      <c r="DU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IF(ISBLANK($C94),"",IF(E94=Constants!$B$3,TRUE(),IF(E94=Constants!$B$4,FALSE(),TRUE())))</f>
        <v/>
      </c>
      <c r="AG94" s="93" t="str">
        <f aca="false">IF(ISBLANK($C94),"",IF(F94=Constants!$B$3,TRUE(),IF(F94=Constants!$B$4,FALSE(),TRUE())))</f>
        <v/>
      </c>
      <c r="AH94" s="93" t="str">
        <f aca="false">IF(ISBLANK($C94),"",IF(G94=Constants!$B$3,TRUE(),IF(G94=Constants!$B$4,FALSE(),TRUE())))</f>
        <v/>
      </c>
      <c r="AI94" s="93" t="str">
        <f aca="false">IF(ISBLANK($C94),"",IF(AND(ISNUMBER(H94),H94&gt;=0),H94,Constants!$B$29))</f>
        <v/>
      </c>
      <c r="AJ94" s="93" t="str">
        <f aca="false">IF(ISBLANK($C94),"",IF(I94=Constants!$B$3,TRUE(),IF(I94=Constants!$B$4,FALSE(),TRUE())))</f>
        <v/>
      </c>
      <c r="AK94" s="93" t="str">
        <f aca="false">IF(ISBLANK($C94),"",IF(J94=Constants!$B$3,TRUE(),IF(J94=Constants!$B$4,FALSE(),TRUE())))</f>
        <v/>
      </c>
      <c r="AL94" s="93" t="str">
        <f aca="false">IF(ISBLANK($C94),"",IF(K94=Constants!$B$5,TRUE(),IF(K94=Constants!$B$6,FALSE(),COUNTA(L94:P94)&gt;0)))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IF(ISBLANK($C94),"",IF(N94=Constants!$B$3,TRUE(),IF(N94=Constants!$B$4,FALSE(),TRUE())))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IF(ISBLANK($C94),"",IF(P94=Constants!$B$3,TRUE(),IF(P94=Constants!$B$4,FALSE(),FALSE())))</f>
        <v/>
      </c>
      <c r="AR94" s="93" t="str">
        <f aca="false">IF(ISBLANK($C94),"",IF(Q94=Constants!$B$3,TRUE(),IF(Q94=Constants!$B$4,FALSE(),TRUE())))</f>
        <v/>
      </c>
      <c r="AS94" s="93" t="str">
        <f aca="false">IF(ISBLANK($C94),"",IF(R94=Constants!$B$3,TRUE(),IF(R94=Constants!$B$4,FALSE(),TRUE())))</f>
        <v/>
      </c>
      <c r="AT94" s="93" t="str">
        <f aca="false">IF(ISBLANK($C94),"",IF(S94=Constants!$B$5,TRUE(),IF(S94=Constants!$B$6,FALSE(),COUNTA(T94:X94)&gt;0)))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IF(ISBLANK($C94),"",IF(V94=Constants!$B$3,TRUE(),IF(V94=Constants!$B$4,FALSE(),TRUE())))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IF(ISBLANK($C94),"",IF(X94=Constants!$B$3,TRUE(),IF(X94=Constants!$B$4,FALSE(),FALSE())))</f>
        <v/>
      </c>
      <c r="AZ94" s="93" t="str">
        <f aca="false">IF(ISBLANK($C94),"",MIN(Constants!$B$31,MAX(0,IF(ISNUMBER(Y94),Y94*60,0)+IF(ISNUMBER(Z94),Z94,0))))</f>
        <v/>
      </c>
      <c r="BA94" s="93" t="str">
        <f aca="false">IF(ISBLANK($C94),"",IF(AA94=Constants!$B$3,TRUE(),IF(AA94=Constants!$B$4,FALSE(),FALSE())))</f>
        <v/>
      </c>
      <c r="BB94" s="92" t="str">
        <f aca="false">IF(ISBLANK($C94),"",AND($AL94,OR($AM94="",$AN94="",AND($AO94,$AP94=""))))</f>
        <v/>
      </c>
      <c r="BC94" s="94" t="str">
        <f aca="false">IF($BZ94&lt;&gt;Constants!$B$8,"",IF($AL94,Constants!$B$21*$AN94+Constants!$B$22*IF($AO94,$AP94,Constants!$B$23),Constants!$B$24))</f>
        <v/>
      </c>
      <c r="BD94" s="97" t="str">
        <f aca="false">IF($BZ94&lt;&gt;Constants!$B$8,"",Constants!$B$25*ABS($AD$9-IF($AL94,$AM94,0)))</f>
        <v/>
      </c>
      <c r="BE94" s="97" t="str">
        <f aca="false">IF($BZ94&lt;&gt;Constants!$B$8,"",IF(AND($AL94,$AQ94,$AO94),Constants!$B$27,0))</f>
        <v/>
      </c>
      <c r="BF94" s="97" t="str">
        <f aca="false">IF($BZ94&lt;&gt;Constants!$B$8,"",IF($AL94,($AI94-Constants!$B$29)*Constants!$B$28,0))</f>
        <v/>
      </c>
      <c r="BG94" s="97" t="str">
        <f aca="false">IF($BZ94&lt;&gt;Constants!$B$8,"",IF($AK94,0,Constants!$B$15)+IF($AJ94,0,Constants!$B$16)+IF($AH94,0,Constants!$B$17))</f>
        <v/>
      </c>
      <c r="BH94" s="98" t="str">
        <f aca="false">IF($BZ94&lt;&gt;Constants!$B$8,"",Constants!$B$20+SUM($BC94:$BG94))</f>
        <v/>
      </c>
      <c r="BI94" s="97" t="str">
        <f aca="false">IF($BZ94&lt;&gt;Constants!$B$8,"",$BC94)</f>
        <v/>
      </c>
      <c r="BJ94" s="97" t="str">
        <f aca="false">IF($BZ94&lt;&gt;Constants!$B$8,"",$BD94)</f>
        <v/>
      </c>
      <c r="BK94" s="97" t="str">
        <f aca="false">IF($BZ94&lt;&gt;Constants!$B$8,"",IF($AL94,$AN94,""))</f>
        <v/>
      </c>
      <c r="BL94" s="99" t="str">
        <f aca="false">IF($BZ94&lt;&gt;Constants!$B$8,"",$AI94)</f>
        <v/>
      </c>
      <c r="BM94" s="93" t="str">
        <f aca="false">IF($BZ94&lt;&gt;Constants!$B$8,"",IF(OR($BT94&lt;$BH94,AND($BT94=$BH94,OR($BU94&lt;$BI94,AND($BU94=$BI94,OR($BV94&lt;$BJ94,AND($BV94=$BJ94,OR(AND(ISNUMBER($BW94),OR(NOT(ISNUMBER($BK94)),$BW94&lt;$BK94)),AND(OR(AND($BW94="",$BK94=""),AND(ISNUMBER($BW94),ISNUMBER($BK94),$BW94=$BK94)),$BX94&lt;$BL94)))))))),"-&gt;","&lt;-"))</f>
        <v/>
      </c>
      <c r="BN94" s="92" t="str">
        <f aca="false">IF(ISBLANK($C94),"",AND($AT94,OR($AU94="",$AV94="",AND($AW94,$AX94=""))))</f>
        <v/>
      </c>
      <c r="BO94" s="94" t="str">
        <f aca="false">IF($BZ94&lt;&gt;Constants!$B$8,"",IF($AT94,Constants!$B$21*$AV94+Constants!$B$22*IF($AW94,$AX94,Constants!$B$23),Constants!$B$24))</f>
        <v/>
      </c>
      <c r="BP94" s="97" t="str">
        <f aca="false">IF($BZ94&lt;&gt;Constants!$B$8,"",Constants!$B$25*ABS($AD$9-IF($AT94,$AU94,0)))</f>
        <v/>
      </c>
      <c r="BQ94" s="97" t="str">
        <f aca="false">IF($BZ94&lt;&gt;Constants!$B$8,"",IF(AND($AT94,$AY94,$AW94),Constants!$B$27,0))</f>
        <v/>
      </c>
      <c r="BR94" s="97" t="str">
        <f aca="false">IF($BZ94&lt;&gt;Constants!$B$8,"",IF($AT94,($AI94-Constants!$B$29)*Constants!$B$28,0))</f>
        <v/>
      </c>
      <c r="BS94" s="97" t="str">
        <f aca="false">IF($BZ94&lt;&gt;Constants!$B$8,"",IF($AS94,0,Constants!$B$15)+IF($AR94,0,Constants!$B$16)+IF($AH94,0,Constants!$B$17))</f>
        <v/>
      </c>
      <c r="BT94" s="98" t="str">
        <f aca="false">IF($BZ94&lt;&gt;Constants!$B$8,"",Constants!$B$20+SUM($BO94:$BS94))</f>
        <v/>
      </c>
      <c r="BU94" s="97" t="str">
        <f aca="false">IF($BZ94&lt;&gt;Constants!$B$8,"",$BO94)</f>
        <v/>
      </c>
      <c r="BV94" s="97" t="str">
        <f aca="false">IF($BZ94&lt;&gt;Constants!$B$8,"",$BP94)</f>
        <v/>
      </c>
      <c r="BW94" s="97" t="str">
        <f aca="false">IF($BZ94&lt;&gt;Constants!$B$8,"",IF($AT94,$AV94,""))</f>
        <v/>
      </c>
      <c r="BX94" s="99" t="str">
        <f aca="false">IF($BZ94&lt;&gt;Constants!$B$8,"",$AI94)</f>
        <v/>
      </c>
      <c r="BY94" s="93" t="str">
        <f aca="false">IF(ISBLANK($C94),"",IF(ISBLANK($D$7),$BY$5,IF(NOT(ISNUMBER($D$7)),$BY$6,"")))</f>
        <v/>
      </c>
      <c r="BZ94" s="93" t="str">
        <f aca="false">IF(ISBLANK($C94),"",IF($BA94,Constants!$B$11,IF(COUNTA($E94:$AA94)=0,Constants!$B$10,IF(NOT($AG94),Constants!$B$9,IF(OR($BY94&lt;&gt;"",$BB94,$BN94),Constants!$B$12,Constants!$B$8)))))</f>
        <v/>
      </c>
      <c r="CA94" s="93" t="str">
        <f aca="false">IF(ISBLANK($C94),"",IF($BZ94&lt;&gt;Constants!$B$8,$BZ94,Constants!$B$13))</f>
        <v/>
      </c>
      <c r="CB94" s="97" t="str">
        <f aca="false">IF($BZ94&lt;&gt;Constants!$B$8,"",IF($BM94="-&gt;",$BT94,$BH94))</f>
        <v/>
      </c>
      <c r="CC94" s="97" t="str">
        <f aca="false">IF($BZ94&lt;&gt;Constants!$B$8,"",IF($AF94,0,Constants!$B$18))</f>
        <v/>
      </c>
      <c r="CD94" s="97" t="str">
        <f aca="false">IF($BZ94&lt;&gt;Constants!$B$8,"",((Constants!$B$31-$AZ94)-Constants!$B$31)/Constants!$B$32)</f>
        <v/>
      </c>
      <c r="CE94" s="97" t="str">
        <f aca="false">IF(ISBLANK($C94),"",IF($BZ94&lt;&gt;Constants!$B$8,$BZ94,SUM($CB94:$CD94)))</f>
        <v/>
      </c>
      <c r="CF94" s="93" t="str">
        <f aca="false">IF(ISBLANK($C94),"",IF($BZ94&lt;&gt;Constants!$B$8,$BZ94,RANK($CE94,$CE$9:$CE$508,1)))</f>
        <v/>
      </c>
      <c r="CG94" s="97" t="str">
        <f aca="false">IF($BZ94&lt;&gt;Constants!$B$8,"",IF($BM94="-&gt;",$BU94,$BI94))</f>
        <v/>
      </c>
      <c r="CH94" s="93" t="str">
        <f aca="false">IF(ISBLANK($C94),"",IF($BZ94&lt;&gt;Constants!$B$8,$BZ94,IF(ISNUMBER($CG94),RANK($CG94,$CG$9:$CG$508,1),COUNT($CG$9:$CG$508)+1)))</f>
        <v/>
      </c>
      <c r="CI94" s="97" t="str">
        <f aca="false">IF($BZ94&lt;&gt;Constants!$B$8,"",IF($BM94="-&gt;",$BV94,$BJ94))</f>
        <v/>
      </c>
      <c r="CJ94" s="93" t="str">
        <f aca="false">IF(ISBLANK($C94),"",IF($BZ94&lt;&gt;Constants!$B$8,$BZ94,IF(ISNUMBER($CI94),RANK($CI94,$CI$9:$CI$508,1),COUNT($CI$9:$CI$508)+1)))</f>
        <v/>
      </c>
      <c r="CK94" s="97" t="str">
        <f aca="false">IF($BZ94&lt;&gt;Constants!$B$8,"",IF($BM94="-&gt;",$BW94,$BK94))</f>
        <v/>
      </c>
      <c r="CL94" s="93" t="str">
        <f aca="false">IF(ISBLANK($C94),"",IF($BZ94&lt;&gt;Constants!$B$8,$BZ94,IF(ISNUMBER($CK94),RANK($CK94,$CK$9:$CK$508,1),COUNT($CK$9:$CK$508)+1)))</f>
        <v/>
      </c>
      <c r="CM94" s="97" t="str">
        <f aca="false">IF($BZ94&lt;&gt;Constants!$B$8,"",IF(AND(NOT($AL94),NOT($AT94),$AJ94,$AK94,$AR94,$AS94),"",IF($BM94="-&gt;",$BX94,$BL94)))</f>
        <v/>
      </c>
      <c r="CN94" s="93" t="str">
        <f aca="false">IF(ISBLANK($C94),"",IF($BZ94&lt;&gt;Constants!$B$8,$BZ94,IF(ISNUMBER($CM94),RANK($CM94,$CM$9:$CM$508,1),COUNT($CM$9:$CM$508)+1)))</f>
        <v/>
      </c>
      <c r="CO94" s="93" t="str">
        <f aca="false">IF(ISBLANK($C94),"",IF($BZ94&lt;&gt;Constants!$B$8,$BZ94,COUNTIFS($CF$9:$CF$508,"&lt;"&amp;$CF94)+COUNTIFS($CF$9:$CF$508,$CF94,$CH$9:$CH$508,"&lt;"&amp;$CH94)+COUNTIFS($CF$9:$CF$508,$CF94,$CH$9:$CH$508,$CH94,$CJ$9:$CJ$508,"&lt;"&amp;$CJ94)+COUNTIFS($CF$9:$CF$508,$CF94,$CH$9:$CH$508,$CH94,$CJ$9:$CJ$508,$CJ94,$CL$9:$CL$508,"&lt;"&amp;$CL94)+COUNTIFS($CF$9:$CF$508,$CF94,$CH$9:$CH$508,$CH94,$CJ$9:$CJ$508,$CJ94,$CL$9:$CL$508,$CL94,$CN$9:$CN$508,"&lt;"&amp;$CN94)+1))</f>
        <v/>
      </c>
      <c r="CP94" s="93" t="str">
        <f aca="false">IF(ISBLANK($C94),"",IF($BZ94&lt;&gt;Constants!$B$8,$BZ94,$CF94-$CO94))</f>
        <v/>
      </c>
      <c r="CQ94" s="100"/>
      <c r="CR94" s="101"/>
      <c r="CS94" s="102" t="str">
        <f aca="false">IF(ISBLANK($C94),"",IF($BZ94=Constants!$B$12,$BY94,""))</f>
        <v/>
      </c>
      <c r="CT94" s="101" t="str">
        <f aca="false">IF(ISBLANK($C94),"",IF($BZ94&lt;&gt;Constants!$B$8,"",IF($BM94="-&gt;",2,1)))</f>
        <v/>
      </c>
      <c r="CU94" s="103" t="str">
        <f aca="false">IF(ISBLANK($C94),"",IF($BZ94&lt;&gt;Constants!$B$8,"",IF($BM94="-&gt;",$BO94,$BC94)))</f>
        <v/>
      </c>
      <c r="CV94" s="103" t="str">
        <f aca="false">IF(ISBLANK($C94),"",IF($BZ94&lt;&gt;Constants!$B$8,"",IF($BM94="-&gt;",$BP94,$BD94)))</f>
        <v/>
      </c>
      <c r="CW94" s="103" t="str">
        <f aca="false">IF(ISBLANK($C94),"",IF($BZ94&lt;&gt;Constants!$B$8,"",IF($BM94="-&gt;",$BQ94+$BR94,$BE94+$BF94)+$CD94))</f>
        <v/>
      </c>
      <c r="CX94" s="103" t="str">
        <f aca="false">IF(ISBLANK($C94),"",IF($BZ94&lt;&gt;Constants!$B$8,"",IF($BM94="-&gt;",$BS94,$BG94)+$CC94))</f>
        <v/>
      </c>
      <c r="CY94" s="104" t="str">
        <f aca="false">IF(ISBLANK($C94),"",IF($BZ94&lt;&gt;Constants!$B$8,$BZ94,$CE94))</f>
        <v/>
      </c>
      <c r="CZ94" s="105" t="str">
        <f aca="false">IF(ISBLANK($C94),"",$CA94)</f>
        <v/>
      </c>
      <c r="DA94" s="106" t="str">
        <f aca="false">IF(ISBLANK($C94),"",$CP94)</f>
        <v/>
      </c>
      <c r="DB94" s="106" t="str">
        <f aca="false">IF(ISBLANK($C94),"",$CO94)</f>
        <v/>
      </c>
      <c r="DC94" s="107" t="str">
        <f aca="false">IF(ISBLANK($C94),"",IFERROR(_xlfn.SWITCH($DB94,Constants!$B$11,COUNTA($C$9:$C$508)+2,Constants!$B$10,COUNTA($C$9:$C$508)+1,Constants!$B$9,COUNTA($C$9:$C$508)),$DB94))</f>
        <v/>
      </c>
      <c r="DD94" s="9"/>
      <c r="DE94" s="108" t="n">
        <f aca="false">IF(OR(ISNUMBER($DB94),$DB94=Constants!$B$11,$DB94=Constants!$B$9,$DB94=Constants!$B$10),1,0)</f>
        <v>0</v>
      </c>
      <c r="DF94" s="108" t="n">
        <v>86</v>
      </c>
      <c r="DG94" s="108" t="str">
        <f aca="false">IF(ISBLANK($C94),"",IF(ISNUMBER($DC94),$DC94+ROW($B94)/1000,""))</f>
        <v/>
      </c>
      <c r="DH94" s="108" t="str">
        <f aca="false">IF(ISNUMBER($DG94),RANK($DG94,$DG$9:$DG$508,1),"")</f>
        <v/>
      </c>
      <c r="DI94" s="108" t="str">
        <f aca="false">IF(ISBLANK($C94),"",$B94)</f>
        <v/>
      </c>
      <c r="DJ94" s="108" t="str">
        <f aca="false">IF(ISBLANK($C94),"",$C94)</f>
        <v/>
      </c>
      <c r="DK94" s="108" t="str">
        <f aca="false">IF(ISBLANK($C94),"",$D94)</f>
        <v/>
      </c>
      <c r="DL94" s="109" t="str">
        <f aca="false">$CZ94</f>
        <v/>
      </c>
      <c r="DM94" s="110" t="str">
        <f aca="false">$CY94</f>
        <v/>
      </c>
      <c r="DN94" s="108" t="str">
        <f aca="false">IF(ISBLANK($C94),"",$DB94)</f>
        <v/>
      </c>
      <c r="DO94" s="111" t="str">
        <f aca="false">IF($DF94&gt;$DE$8,"",VLOOKUP($DF94,$DH$9:$DN$508,7,FALSE()))</f>
        <v/>
      </c>
      <c r="DP94" s="112" t="str">
        <f aca="false">IF($DF94&gt;$DE$8,"",VLOOKUP($DF94,$DH$9:$DN$508,2,FALSE()))</f>
        <v/>
      </c>
      <c r="DQ94" s="112" t="str">
        <f aca="false">IF($DF94&gt;$DE$8,"",VLOOKUP($DF94,$DH$9:$DN$508,3,FALSE()))</f>
        <v/>
      </c>
      <c r="DR94" s="112" t="str">
        <f aca="false">IF($DF94&gt;$DE$8,"",VLOOKUP($DF94,$DH$9:$DN$508,4,FALSE()))</f>
        <v/>
      </c>
      <c r="DS94" s="112" t="str">
        <f aca="false">IF($DF94&gt;$DE$8,"",VLOOKUP($DF94,$DH$9:$DN$508,5,FALSE()))</f>
        <v/>
      </c>
      <c r="DT94" s="113" t="str">
        <f aca="false">IF($DF94&gt;$DE$8,"",VLOOKUP($DF94,$DH$9:$DN$508,6,FALSE()))</f>
        <v/>
      </c>
      <c r="DU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IF(ISBLANK($C95),"",IF(E95=Constants!$B$3,TRUE(),IF(E95=Constants!$B$4,FALSE(),TRUE())))</f>
        <v/>
      </c>
      <c r="AG95" s="93" t="str">
        <f aca="false">IF(ISBLANK($C95),"",IF(F95=Constants!$B$3,TRUE(),IF(F95=Constants!$B$4,FALSE(),TRUE())))</f>
        <v/>
      </c>
      <c r="AH95" s="93" t="str">
        <f aca="false">IF(ISBLANK($C95),"",IF(G95=Constants!$B$3,TRUE(),IF(G95=Constants!$B$4,FALSE(),TRUE())))</f>
        <v/>
      </c>
      <c r="AI95" s="93" t="str">
        <f aca="false">IF(ISBLANK($C95),"",IF(AND(ISNUMBER(H95),H95&gt;=0),H95,Constants!$B$29))</f>
        <v/>
      </c>
      <c r="AJ95" s="93" t="str">
        <f aca="false">IF(ISBLANK($C95),"",IF(I95=Constants!$B$3,TRUE(),IF(I95=Constants!$B$4,FALSE(),TRUE())))</f>
        <v/>
      </c>
      <c r="AK95" s="93" t="str">
        <f aca="false">IF(ISBLANK($C95),"",IF(J95=Constants!$B$3,TRUE(),IF(J95=Constants!$B$4,FALSE(),TRUE())))</f>
        <v/>
      </c>
      <c r="AL95" s="93" t="str">
        <f aca="false">IF(ISBLANK($C95),"",IF(K95=Constants!$B$5,TRUE(),IF(K95=Constants!$B$6,FALSE(),COUNTA(L95:P95)&gt;0)))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IF(ISBLANK($C95),"",IF(N95=Constants!$B$3,TRUE(),IF(N95=Constants!$B$4,FALSE(),TRUE())))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IF(ISBLANK($C95),"",IF(P95=Constants!$B$3,TRUE(),IF(P95=Constants!$B$4,FALSE(),FALSE())))</f>
        <v/>
      </c>
      <c r="AR95" s="93" t="str">
        <f aca="false">IF(ISBLANK($C95),"",IF(Q95=Constants!$B$3,TRUE(),IF(Q95=Constants!$B$4,FALSE(),TRUE())))</f>
        <v/>
      </c>
      <c r="AS95" s="93" t="str">
        <f aca="false">IF(ISBLANK($C95),"",IF(R95=Constants!$B$3,TRUE(),IF(R95=Constants!$B$4,FALSE(),TRUE())))</f>
        <v/>
      </c>
      <c r="AT95" s="93" t="str">
        <f aca="false">IF(ISBLANK($C95),"",IF(S95=Constants!$B$5,TRUE(),IF(S95=Constants!$B$6,FALSE(),COUNTA(T95:X95)&gt;0)))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IF(ISBLANK($C95),"",IF(V95=Constants!$B$3,TRUE(),IF(V95=Constants!$B$4,FALSE(),TRUE())))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IF(ISBLANK($C95),"",IF(X95=Constants!$B$3,TRUE(),IF(X95=Constants!$B$4,FALSE(),FALSE())))</f>
        <v/>
      </c>
      <c r="AZ95" s="93" t="str">
        <f aca="false">IF(ISBLANK($C95),"",MIN(Constants!$B$31,MAX(0,IF(ISNUMBER(Y95),Y95*60,0)+IF(ISNUMBER(Z95),Z95,0))))</f>
        <v/>
      </c>
      <c r="BA95" s="93" t="str">
        <f aca="false">IF(ISBLANK($C95),"",IF(AA95=Constants!$B$3,TRUE(),IF(AA95=Constants!$B$4,FALSE(),FALSE())))</f>
        <v/>
      </c>
      <c r="BB95" s="92" t="str">
        <f aca="false">IF(ISBLANK($C95),"",AND($AL95,OR($AM95="",$AN95="",AND($AO95,$AP95=""))))</f>
        <v/>
      </c>
      <c r="BC95" s="94" t="str">
        <f aca="false">IF($BZ95&lt;&gt;Constants!$B$8,"",IF($AL95,Constants!$B$21*$AN95+Constants!$B$22*IF($AO95,$AP95,Constants!$B$23),Constants!$B$24))</f>
        <v/>
      </c>
      <c r="BD95" s="97" t="str">
        <f aca="false">IF($BZ95&lt;&gt;Constants!$B$8,"",Constants!$B$25*ABS($AD$9-IF($AL95,$AM95,0)))</f>
        <v/>
      </c>
      <c r="BE95" s="97" t="str">
        <f aca="false">IF($BZ95&lt;&gt;Constants!$B$8,"",IF(AND($AL95,$AQ95,$AO95),Constants!$B$27,0))</f>
        <v/>
      </c>
      <c r="BF95" s="97" t="str">
        <f aca="false">IF($BZ95&lt;&gt;Constants!$B$8,"",IF($AL95,($AI95-Constants!$B$29)*Constants!$B$28,0))</f>
        <v/>
      </c>
      <c r="BG95" s="97" t="str">
        <f aca="false">IF($BZ95&lt;&gt;Constants!$B$8,"",IF($AK95,0,Constants!$B$15)+IF($AJ95,0,Constants!$B$16)+IF($AH95,0,Constants!$B$17))</f>
        <v/>
      </c>
      <c r="BH95" s="98" t="str">
        <f aca="false">IF($BZ95&lt;&gt;Constants!$B$8,"",Constants!$B$20+SUM($BC95:$BG95))</f>
        <v/>
      </c>
      <c r="BI95" s="97" t="str">
        <f aca="false">IF($BZ95&lt;&gt;Constants!$B$8,"",$BC95)</f>
        <v/>
      </c>
      <c r="BJ95" s="97" t="str">
        <f aca="false">IF($BZ95&lt;&gt;Constants!$B$8,"",$BD95)</f>
        <v/>
      </c>
      <c r="BK95" s="97" t="str">
        <f aca="false">IF($BZ95&lt;&gt;Constants!$B$8,"",IF($AL95,$AN95,""))</f>
        <v/>
      </c>
      <c r="BL95" s="99" t="str">
        <f aca="false">IF($BZ95&lt;&gt;Constants!$B$8,"",$AI95)</f>
        <v/>
      </c>
      <c r="BM95" s="93" t="str">
        <f aca="false">IF($BZ95&lt;&gt;Constants!$B$8,"",IF(OR($BT95&lt;$BH95,AND($BT95=$BH95,OR($BU95&lt;$BI95,AND($BU95=$BI95,OR($BV95&lt;$BJ95,AND($BV95=$BJ95,OR(AND(ISNUMBER($BW95),OR(NOT(ISNUMBER($BK95)),$BW95&lt;$BK95)),AND(OR(AND($BW95="",$BK95=""),AND(ISNUMBER($BW95),ISNUMBER($BK95),$BW95=$BK95)),$BX95&lt;$BL95)))))))),"-&gt;","&lt;-"))</f>
        <v/>
      </c>
      <c r="BN95" s="92" t="str">
        <f aca="false">IF(ISBLANK($C95),"",AND($AT95,OR($AU95="",$AV95="",AND($AW95,$AX95=""))))</f>
        <v/>
      </c>
      <c r="BO95" s="94" t="str">
        <f aca="false">IF($BZ95&lt;&gt;Constants!$B$8,"",IF($AT95,Constants!$B$21*$AV95+Constants!$B$22*IF($AW95,$AX95,Constants!$B$23),Constants!$B$24))</f>
        <v/>
      </c>
      <c r="BP95" s="97" t="str">
        <f aca="false">IF($BZ95&lt;&gt;Constants!$B$8,"",Constants!$B$25*ABS($AD$9-IF($AT95,$AU95,0)))</f>
        <v/>
      </c>
      <c r="BQ95" s="97" t="str">
        <f aca="false">IF($BZ95&lt;&gt;Constants!$B$8,"",IF(AND($AT95,$AY95,$AW95),Constants!$B$27,0))</f>
        <v/>
      </c>
      <c r="BR95" s="97" t="str">
        <f aca="false">IF($BZ95&lt;&gt;Constants!$B$8,"",IF($AT95,($AI95-Constants!$B$29)*Constants!$B$28,0))</f>
        <v/>
      </c>
      <c r="BS95" s="97" t="str">
        <f aca="false">IF($BZ95&lt;&gt;Constants!$B$8,"",IF($AS95,0,Constants!$B$15)+IF($AR95,0,Constants!$B$16)+IF($AH95,0,Constants!$B$17))</f>
        <v/>
      </c>
      <c r="BT95" s="98" t="str">
        <f aca="false">IF($BZ95&lt;&gt;Constants!$B$8,"",Constants!$B$20+SUM($BO95:$BS95))</f>
        <v/>
      </c>
      <c r="BU95" s="97" t="str">
        <f aca="false">IF($BZ95&lt;&gt;Constants!$B$8,"",$BO95)</f>
        <v/>
      </c>
      <c r="BV95" s="97" t="str">
        <f aca="false">IF($BZ95&lt;&gt;Constants!$B$8,"",$BP95)</f>
        <v/>
      </c>
      <c r="BW95" s="97" t="str">
        <f aca="false">IF($BZ95&lt;&gt;Constants!$B$8,"",IF($AT95,$AV95,""))</f>
        <v/>
      </c>
      <c r="BX95" s="99" t="str">
        <f aca="false">IF($BZ95&lt;&gt;Constants!$B$8,"",$AI95)</f>
        <v/>
      </c>
      <c r="BY95" s="93" t="str">
        <f aca="false">IF(ISBLANK($C95),"",IF(ISBLANK($D$7),$BY$5,IF(NOT(ISNUMBER($D$7)),$BY$6,"")))</f>
        <v/>
      </c>
      <c r="BZ95" s="93" t="str">
        <f aca="false">IF(ISBLANK($C95),"",IF($BA95,Constants!$B$11,IF(COUNTA($E95:$AA95)=0,Constants!$B$10,IF(NOT($AG95),Constants!$B$9,IF(OR($BY95&lt;&gt;"",$BB95,$BN95),Constants!$B$12,Constants!$B$8)))))</f>
        <v/>
      </c>
      <c r="CA95" s="93" t="str">
        <f aca="false">IF(ISBLANK($C95),"",IF($BZ95&lt;&gt;Constants!$B$8,$BZ95,Constants!$B$13))</f>
        <v/>
      </c>
      <c r="CB95" s="97" t="str">
        <f aca="false">IF($BZ95&lt;&gt;Constants!$B$8,"",IF($BM95="-&gt;",$BT95,$BH95))</f>
        <v/>
      </c>
      <c r="CC95" s="97" t="str">
        <f aca="false">IF($BZ95&lt;&gt;Constants!$B$8,"",IF($AF95,0,Constants!$B$18))</f>
        <v/>
      </c>
      <c r="CD95" s="97" t="str">
        <f aca="false">IF($BZ95&lt;&gt;Constants!$B$8,"",((Constants!$B$31-$AZ95)-Constants!$B$31)/Constants!$B$32)</f>
        <v/>
      </c>
      <c r="CE95" s="97" t="str">
        <f aca="false">IF(ISBLANK($C95),"",IF($BZ95&lt;&gt;Constants!$B$8,$BZ95,SUM($CB95:$CD95)))</f>
        <v/>
      </c>
      <c r="CF95" s="93" t="str">
        <f aca="false">IF(ISBLANK($C95),"",IF($BZ95&lt;&gt;Constants!$B$8,$BZ95,RANK($CE95,$CE$9:$CE$508,1)))</f>
        <v/>
      </c>
      <c r="CG95" s="97" t="str">
        <f aca="false">IF($BZ95&lt;&gt;Constants!$B$8,"",IF($BM95="-&gt;",$BU95,$BI95))</f>
        <v/>
      </c>
      <c r="CH95" s="93" t="str">
        <f aca="false">IF(ISBLANK($C95),"",IF($BZ95&lt;&gt;Constants!$B$8,$BZ95,IF(ISNUMBER($CG95),RANK($CG95,$CG$9:$CG$508,1),COUNT($CG$9:$CG$508)+1)))</f>
        <v/>
      </c>
      <c r="CI95" s="97" t="str">
        <f aca="false">IF($BZ95&lt;&gt;Constants!$B$8,"",IF($BM95="-&gt;",$BV95,$BJ95))</f>
        <v/>
      </c>
      <c r="CJ95" s="93" t="str">
        <f aca="false">IF(ISBLANK($C95),"",IF($BZ95&lt;&gt;Constants!$B$8,$BZ95,IF(ISNUMBER($CI95),RANK($CI95,$CI$9:$CI$508,1),COUNT($CI$9:$CI$508)+1)))</f>
        <v/>
      </c>
      <c r="CK95" s="97" t="str">
        <f aca="false">IF($BZ95&lt;&gt;Constants!$B$8,"",IF($BM95="-&gt;",$BW95,$BK95))</f>
        <v/>
      </c>
      <c r="CL95" s="93" t="str">
        <f aca="false">IF(ISBLANK($C95),"",IF($BZ95&lt;&gt;Constants!$B$8,$BZ95,IF(ISNUMBER($CK95),RANK($CK95,$CK$9:$CK$508,1),COUNT($CK$9:$CK$508)+1)))</f>
        <v/>
      </c>
      <c r="CM95" s="97" t="str">
        <f aca="false">IF($BZ95&lt;&gt;Constants!$B$8,"",IF(AND(NOT($AL95),NOT($AT95),$AJ95,$AK95,$AR95,$AS95),"",IF($BM95="-&gt;",$BX95,$BL95)))</f>
        <v/>
      </c>
      <c r="CN95" s="93" t="str">
        <f aca="false">IF(ISBLANK($C95),"",IF($BZ95&lt;&gt;Constants!$B$8,$BZ95,IF(ISNUMBER($CM95),RANK($CM95,$CM$9:$CM$508,1),COUNT($CM$9:$CM$508)+1)))</f>
        <v/>
      </c>
      <c r="CO95" s="93" t="str">
        <f aca="false">IF(ISBLANK($C95),"",IF($BZ95&lt;&gt;Constants!$B$8,$BZ95,COUNTIFS($CF$9:$CF$508,"&lt;"&amp;$CF95)+COUNTIFS($CF$9:$CF$508,$CF95,$CH$9:$CH$508,"&lt;"&amp;$CH95)+COUNTIFS($CF$9:$CF$508,$CF95,$CH$9:$CH$508,$CH95,$CJ$9:$CJ$508,"&lt;"&amp;$CJ95)+COUNTIFS($CF$9:$CF$508,$CF95,$CH$9:$CH$508,$CH95,$CJ$9:$CJ$508,$CJ95,$CL$9:$CL$508,"&lt;"&amp;$CL95)+COUNTIFS($CF$9:$CF$508,$CF95,$CH$9:$CH$508,$CH95,$CJ$9:$CJ$508,$CJ95,$CL$9:$CL$508,$CL95,$CN$9:$CN$508,"&lt;"&amp;$CN95)+1))</f>
        <v/>
      </c>
      <c r="CP95" s="93" t="str">
        <f aca="false">IF(ISBLANK($C95),"",IF($BZ95&lt;&gt;Constants!$B$8,$BZ95,$CF95-$CO95))</f>
        <v/>
      </c>
      <c r="CQ95" s="100"/>
      <c r="CR95" s="101"/>
      <c r="CS95" s="102" t="str">
        <f aca="false">IF(ISBLANK($C95),"",IF($BZ95=Constants!$B$12,$BY95,""))</f>
        <v/>
      </c>
      <c r="CT95" s="101" t="str">
        <f aca="false">IF(ISBLANK($C95),"",IF($BZ95&lt;&gt;Constants!$B$8,"",IF($BM95="-&gt;",2,1)))</f>
        <v/>
      </c>
      <c r="CU95" s="103" t="str">
        <f aca="false">IF(ISBLANK($C95),"",IF($BZ95&lt;&gt;Constants!$B$8,"",IF($BM95="-&gt;",$BO95,$BC95)))</f>
        <v/>
      </c>
      <c r="CV95" s="103" t="str">
        <f aca="false">IF(ISBLANK($C95),"",IF($BZ95&lt;&gt;Constants!$B$8,"",IF($BM95="-&gt;",$BP95,$BD95)))</f>
        <v/>
      </c>
      <c r="CW95" s="103" t="str">
        <f aca="false">IF(ISBLANK($C95),"",IF($BZ95&lt;&gt;Constants!$B$8,"",IF($BM95="-&gt;",$BQ95+$BR95,$BE95+$BF95)+$CD95))</f>
        <v/>
      </c>
      <c r="CX95" s="103" t="str">
        <f aca="false">IF(ISBLANK($C95),"",IF($BZ95&lt;&gt;Constants!$B$8,"",IF($BM95="-&gt;",$BS95,$BG95)+$CC95))</f>
        <v/>
      </c>
      <c r="CY95" s="104" t="str">
        <f aca="false">IF(ISBLANK($C95),"",IF($BZ95&lt;&gt;Constants!$B$8,$BZ95,$CE95))</f>
        <v/>
      </c>
      <c r="CZ95" s="105" t="str">
        <f aca="false">IF(ISBLANK($C95),"",$CA95)</f>
        <v/>
      </c>
      <c r="DA95" s="106" t="str">
        <f aca="false">IF(ISBLANK($C95),"",$CP95)</f>
        <v/>
      </c>
      <c r="DB95" s="106" t="str">
        <f aca="false">IF(ISBLANK($C95),"",$CO95)</f>
        <v/>
      </c>
      <c r="DC95" s="107" t="str">
        <f aca="false">IF(ISBLANK($C95),"",IFERROR(_xlfn.SWITCH($DB95,Constants!$B$11,COUNTA($C$9:$C$508)+2,Constants!$B$10,COUNTA($C$9:$C$508)+1,Constants!$B$9,COUNTA($C$9:$C$508)),$DB95))</f>
        <v/>
      </c>
      <c r="DD95" s="9"/>
      <c r="DE95" s="108" t="n">
        <f aca="false">IF(OR(ISNUMBER($DB95),$DB95=Constants!$B$11,$DB95=Constants!$B$9,$DB95=Constants!$B$10),1,0)</f>
        <v>0</v>
      </c>
      <c r="DF95" s="108" t="n">
        <v>87</v>
      </c>
      <c r="DG95" s="108" t="str">
        <f aca="false">IF(ISBLANK($C95),"",IF(ISNUMBER($DC95),$DC95+ROW($B95)/1000,""))</f>
        <v/>
      </c>
      <c r="DH95" s="108" t="str">
        <f aca="false">IF(ISNUMBER($DG95),RANK($DG95,$DG$9:$DG$508,1),"")</f>
        <v/>
      </c>
      <c r="DI95" s="108" t="str">
        <f aca="false">IF(ISBLANK($C95),"",$B95)</f>
        <v/>
      </c>
      <c r="DJ95" s="108" t="str">
        <f aca="false">IF(ISBLANK($C95),"",$C95)</f>
        <v/>
      </c>
      <c r="DK95" s="108" t="str">
        <f aca="false">IF(ISBLANK($C95),"",$D95)</f>
        <v/>
      </c>
      <c r="DL95" s="109" t="str">
        <f aca="false">$CZ95</f>
        <v/>
      </c>
      <c r="DM95" s="110" t="str">
        <f aca="false">$CY95</f>
        <v/>
      </c>
      <c r="DN95" s="108" t="str">
        <f aca="false">IF(ISBLANK($C95),"",$DB95)</f>
        <v/>
      </c>
      <c r="DO95" s="111" t="str">
        <f aca="false">IF($DF95&gt;$DE$8,"",VLOOKUP($DF95,$DH$9:$DN$508,7,FALSE()))</f>
        <v/>
      </c>
      <c r="DP95" s="112" t="str">
        <f aca="false">IF($DF95&gt;$DE$8,"",VLOOKUP($DF95,$DH$9:$DN$508,2,FALSE()))</f>
        <v/>
      </c>
      <c r="DQ95" s="112" t="str">
        <f aca="false">IF($DF95&gt;$DE$8,"",VLOOKUP($DF95,$DH$9:$DN$508,3,FALSE()))</f>
        <v/>
      </c>
      <c r="DR95" s="112" t="str">
        <f aca="false">IF($DF95&gt;$DE$8,"",VLOOKUP($DF95,$DH$9:$DN$508,4,FALSE()))</f>
        <v/>
      </c>
      <c r="DS95" s="112" t="str">
        <f aca="false">IF($DF95&gt;$DE$8,"",VLOOKUP($DF95,$DH$9:$DN$508,5,FALSE()))</f>
        <v/>
      </c>
      <c r="DT95" s="113" t="str">
        <f aca="false">IF($DF95&gt;$DE$8,"",VLOOKUP($DF95,$DH$9:$DN$508,6,FALSE()))</f>
        <v/>
      </c>
      <c r="DU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IF(ISBLANK($C96),"",IF(E96=Constants!$B$3,TRUE(),IF(E96=Constants!$B$4,FALSE(),TRUE())))</f>
        <v/>
      </c>
      <c r="AG96" s="135" t="str">
        <f aca="false">IF(ISBLANK($C96),"",IF(F96=Constants!$B$3,TRUE(),IF(F96=Constants!$B$4,FALSE(),TRUE())))</f>
        <v/>
      </c>
      <c r="AH96" s="135" t="str">
        <f aca="false">IF(ISBLANK($C96),"",IF(G96=Constants!$B$3,TRUE(),IF(G96=Constants!$B$4,FALSE(),TRUE())))</f>
        <v/>
      </c>
      <c r="AI96" s="135" t="str">
        <f aca="false">IF(ISBLANK($C96),"",IF(AND(ISNUMBER(H96),H96&gt;=0),H96,Constants!$B$29))</f>
        <v/>
      </c>
      <c r="AJ96" s="135" t="str">
        <f aca="false">IF(ISBLANK($C96),"",IF(I96=Constants!$B$3,TRUE(),IF(I96=Constants!$B$4,FALSE(),TRUE())))</f>
        <v/>
      </c>
      <c r="AK96" s="135" t="str">
        <f aca="false">IF(ISBLANK($C96),"",IF(J96=Constants!$B$3,TRUE(),IF(J96=Constants!$B$4,FALSE(),TRUE())))</f>
        <v/>
      </c>
      <c r="AL96" s="135" t="str">
        <f aca="false">IF(ISBLANK($C96),"",IF(K96=Constants!$B$5,TRUE(),IF(K96=Constants!$B$6,FALSE(),COUNTA(L96:P96)&gt;0)))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IF(ISBLANK($C96),"",IF(N96=Constants!$B$3,TRUE(),IF(N96=Constants!$B$4,FALSE(),TRUE())))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IF(ISBLANK($C96),"",IF(P96=Constants!$B$3,TRUE(),IF(P96=Constants!$B$4,FALSE(),FALSE())))</f>
        <v/>
      </c>
      <c r="AR96" s="135" t="str">
        <f aca="false">IF(ISBLANK($C96),"",IF(Q96=Constants!$B$3,TRUE(),IF(Q96=Constants!$B$4,FALSE(),TRUE())))</f>
        <v/>
      </c>
      <c r="AS96" s="135" t="str">
        <f aca="false">IF(ISBLANK($C96),"",IF(R96=Constants!$B$3,TRUE(),IF(R96=Constants!$B$4,FALSE(),TRUE())))</f>
        <v/>
      </c>
      <c r="AT96" s="135" t="str">
        <f aca="false">IF(ISBLANK($C96),"",IF(S96=Constants!$B$5,TRUE(),IF(S96=Constants!$B$6,FALSE(),COUNTA(T96:X96)&gt;0)))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IF(ISBLANK($C96),"",IF(V96=Constants!$B$3,TRUE(),IF(V96=Constants!$B$4,FALSE(),TRUE())))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IF(ISBLANK($C96),"",IF(X96=Constants!$B$3,TRUE(),IF(X96=Constants!$B$4,FALSE(),FALSE())))</f>
        <v/>
      </c>
      <c r="AZ96" s="135" t="str">
        <f aca="false">IF(ISBLANK($C96),"",MIN(Constants!$B$31,MAX(0,IF(ISNUMBER(Y96),Y96*60,0)+IF(ISNUMBER(Z96),Z96,0))))</f>
        <v/>
      </c>
      <c r="BA96" s="135" t="str">
        <f aca="false">IF(ISBLANK($C96),"",IF(AA96=Constants!$B$3,TRUE(),IF(AA96=Constants!$B$4,FALSE(),FALSE())))</f>
        <v/>
      </c>
      <c r="BB96" s="134" t="str">
        <f aca="false">IF(ISBLANK($C96),"",AND($AL96,OR($AM96="",$AN96="",AND($AO96,$AP96=""))))</f>
        <v/>
      </c>
      <c r="BC96" s="137" t="str">
        <f aca="false">IF($BZ96&lt;&gt;Constants!$B$8,"",IF($AL96,Constants!$B$21*$AN96+Constants!$B$22*IF($AO96,$AP96,Constants!$B$23),Constants!$B$24))</f>
        <v/>
      </c>
      <c r="BD96" s="138" t="str">
        <f aca="false">IF($BZ96&lt;&gt;Constants!$B$8,"",Constants!$B$25*ABS($AD$9-IF($AL96,$AM96,0)))</f>
        <v/>
      </c>
      <c r="BE96" s="138" t="str">
        <f aca="false">IF($BZ96&lt;&gt;Constants!$B$8,"",IF(AND($AL96,$AQ96,$AO96),Constants!$B$27,0))</f>
        <v/>
      </c>
      <c r="BF96" s="138" t="str">
        <f aca="false">IF($BZ96&lt;&gt;Constants!$B$8,"",IF($AL96,($AI96-Constants!$B$29)*Constants!$B$28,0))</f>
        <v/>
      </c>
      <c r="BG96" s="138" t="str">
        <f aca="false">IF($BZ96&lt;&gt;Constants!$B$8,"",IF($AK96,0,Constants!$B$15)+IF($AJ96,0,Constants!$B$16)+IF($AH96,0,Constants!$B$17))</f>
        <v/>
      </c>
      <c r="BH96" s="139" t="str">
        <f aca="false">IF($BZ96&lt;&gt;Constants!$B$8,"",Constants!$B$20+SUM($BC96:$BG96))</f>
        <v/>
      </c>
      <c r="BI96" s="138" t="str">
        <f aca="false">IF($BZ96&lt;&gt;Constants!$B$8,"",$BC96)</f>
        <v/>
      </c>
      <c r="BJ96" s="138" t="str">
        <f aca="false">IF($BZ96&lt;&gt;Constants!$B$8,"",$BD96)</f>
        <v/>
      </c>
      <c r="BK96" s="138" t="str">
        <f aca="false">IF($BZ96&lt;&gt;Constants!$B$8,"",IF($AL96,$AN96,""))</f>
        <v/>
      </c>
      <c r="BL96" s="140" t="str">
        <f aca="false">IF($BZ96&lt;&gt;Constants!$B$8,"",$AI96)</f>
        <v/>
      </c>
      <c r="BM96" s="135" t="str">
        <f aca="false">IF($BZ96&lt;&gt;Constants!$B$8,"",IF(OR($BT96&lt;$BH96,AND($BT96=$BH96,OR($BU96&lt;$BI96,AND($BU96=$BI96,OR($BV96&lt;$BJ96,AND($BV96=$BJ96,OR(AND(ISNUMBER($BW96),OR(NOT(ISNUMBER($BK96)),$BW96&lt;$BK96)),AND(OR(AND($BW96="",$BK96=""),AND(ISNUMBER($BW96),ISNUMBER($BK96),$BW96=$BK96)),$BX96&lt;$BL96)))))))),"-&gt;","&lt;-"))</f>
        <v/>
      </c>
      <c r="BN96" s="134" t="str">
        <f aca="false">IF(ISBLANK($C96),"",AND($AT96,OR($AU96="",$AV96="",AND($AW96,$AX96=""))))</f>
        <v/>
      </c>
      <c r="BO96" s="137" t="str">
        <f aca="false">IF($BZ96&lt;&gt;Constants!$B$8,"",IF($AT96,Constants!$B$21*$AV96+Constants!$B$22*IF($AW96,$AX96,Constants!$B$23),Constants!$B$24))</f>
        <v/>
      </c>
      <c r="BP96" s="138" t="str">
        <f aca="false">IF($BZ96&lt;&gt;Constants!$B$8,"",Constants!$B$25*ABS($AD$9-IF($AT96,$AU96,0)))</f>
        <v/>
      </c>
      <c r="BQ96" s="138" t="str">
        <f aca="false">IF($BZ96&lt;&gt;Constants!$B$8,"",IF(AND($AT96,$AY96,$AW96),Constants!$B$27,0))</f>
        <v/>
      </c>
      <c r="BR96" s="138" t="str">
        <f aca="false">IF($BZ96&lt;&gt;Constants!$B$8,"",IF($AT96,($AI96-Constants!$B$29)*Constants!$B$28,0))</f>
        <v/>
      </c>
      <c r="BS96" s="138" t="str">
        <f aca="false">IF($BZ96&lt;&gt;Constants!$B$8,"",IF($AS96,0,Constants!$B$15)+IF($AR96,0,Constants!$B$16)+IF($AH96,0,Constants!$B$17))</f>
        <v/>
      </c>
      <c r="BT96" s="139" t="str">
        <f aca="false">IF($BZ96&lt;&gt;Constants!$B$8,"",Constants!$B$20+SUM($BO96:$BS96))</f>
        <v/>
      </c>
      <c r="BU96" s="138" t="str">
        <f aca="false">IF($BZ96&lt;&gt;Constants!$B$8,"",$BO96)</f>
        <v/>
      </c>
      <c r="BV96" s="138" t="str">
        <f aca="false">IF($BZ96&lt;&gt;Constants!$B$8,"",$BP96)</f>
        <v/>
      </c>
      <c r="BW96" s="138" t="str">
        <f aca="false">IF($BZ96&lt;&gt;Constants!$B$8,"",IF($AT96,$AV96,""))</f>
        <v/>
      </c>
      <c r="BX96" s="140" t="str">
        <f aca="false">IF($BZ96&lt;&gt;Constants!$B$8,"",$AI96)</f>
        <v/>
      </c>
      <c r="BY96" s="135" t="str">
        <f aca="false">IF(ISBLANK($C96),"",IF(ISBLANK($D$7),$BY$5,IF(NOT(ISNUMBER($D$7)),$BY$6,"")))</f>
        <v/>
      </c>
      <c r="BZ96" s="135" t="str">
        <f aca="false">IF(ISBLANK($C96),"",IF($BA96,Constants!$B$11,IF(COUNTA($E96:$AA96)=0,Constants!$B$10,IF(NOT($AG96),Constants!$B$9,IF(OR($BY96&lt;&gt;"",$BB96,$BN96),Constants!$B$12,Constants!$B$8)))))</f>
        <v/>
      </c>
      <c r="CA96" s="135" t="str">
        <f aca="false">IF(ISBLANK($C96),"",IF($BZ96&lt;&gt;Constants!$B$8,$BZ96,Constants!$B$13))</f>
        <v/>
      </c>
      <c r="CB96" s="138" t="str">
        <f aca="false">IF($BZ96&lt;&gt;Constants!$B$8,"",IF($BM96="-&gt;",$BT96,$BH96))</f>
        <v/>
      </c>
      <c r="CC96" s="138" t="str">
        <f aca="false">IF($BZ96&lt;&gt;Constants!$B$8,"",IF($AF96,0,Constants!$B$18))</f>
        <v/>
      </c>
      <c r="CD96" s="138" t="str">
        <f aca="false">IF($BZ96&lt;&gt;Constants!$B$8,"",((Constants!$B$31-$AZ96)-Constants!$B$31)/Constants!$B$32)</f>
        <v/>
      </c>
      <c r="CE96" s="138" t="str">
        <f aca="false">IF(ISBLANK($C96),"",IF($BZ96&lt;&gt;Constants!$B$8,$BZ96,SUM($CB96:$CD96)))</f>
        <v/>
      </c>
      <c r="CF96" s="135" t="str">
        <f aca="false">IF(ISBLANK($C96),"",IF($BZ96&lt;&gt;Constants!$B$8,$BZ96,RANK($CE96,$CE$9:$CE$508,1)))</f>
        <v/>
      </c>
      <c r="CG96" s="138" t="str">
        <f aca="false">IF($BZ96&lt;&gt;Constants!$B$8,"",IF($BM96="-&gt;",$BU96,$BI96))</f>
        <v/>
      </c>
      <c r="CH96" s="135" t="str">
        <f aca="false">IF(ISBLANK($C96),"",IF($BZ96&lt;&gt;Constants!$B$8,$BZ96,IF(ISNUMBER($CG96),RANK($CG96,$CG$9:$CG$508,1),COUNT($CG$9:$CG$508)+1)))</f>
        <v/>
      </c>
      <c r="CI96" s="138" t="str">
        <f aca="false">IF($BZ96&lt;&gt;Constants!$B$8,"",IF($BM96="-&gt;",$BV96,$BJ96))</f>
        <v/>
      </c>
      <c r="CJ96" s="135" t="str">
        <f aca="false">IF(ISBLANK($C96),"",IF($BZ96&lt;&gt;Constants!$B$8,$BZ96,IF(ISNUMBER($CI96),RANK($CI96,$CI$9:$CI$508,1),COUNT($CI$9:$CI$508)+1)))</f>
        <v/>
      </c>
      <c r="CK96" s="138" t="str">
        <f aca="false">IF($BZ96&lt;&gt;Constants!$B$8,"",IF($BM96="-&gt;",$BW96,$BK96))</f>
        <v/>
      </c>
      <c r="CL96" s="135" t="str">
        <f aca="false">IF(ISBLANK($C96),"",IF($BZ96&lt;&gt;Constants!$B$8,$BZ96,IF(ISNUMBER($CK96),RANK($CK96,$CK$9:$CK$508,1),COUNT($CK$9:$CK$508)+1)))</f>
        <v/>
      </c>
      <c r="CM96" s="138" t="str">
        <f aca="false">IF($BZ96&lt;&gt;Constants!$B$8,"",IF(AND(NOT($AL96),NOT($AT96),$AJ96,$AK96,$AR96,$AS96),"",IF($BM96="-&gt;",$BX96,$BL96)))</f>
        <v/>
      </c>
      <c r="CN96" s="135" t="str">
        <f aca="false">IF(ISBLANK($C96),"",IF($BZ96&lt;&gt;Constants!$B$8,$BZ96,IF(ISNUMBER($CM96),RANK($CM96,$CM$9:$CM$508,1),COUNT($CM$9:$CM$508)+1)))</f>
        <v/>
      </c>
      <c r="CO96" s="135" t="str">
        <f aca="false">IF(ISBLANK($C96),"",IF($BZ96&lt;&gt;Constants!$B$8,$BZ96,COUNTIFS($CF$9:$CF$508,"&lt;"&amp;$CF96)+COUNTIFS($CF$9:$CF$508,$CF96,$CH$9:$CH$508,"&lt;"&amp;$CH96)+COUNTIFS($CF$9:$CF$508,$CF96,$CH$9:$CH$508,$CH96,$CJ$9:$CJ$508,"&lt;"&amp;$CJ96)+COUNTIFS($CF$9:$CF$508,$CF96,$CH$9:$CH$508,$CH96,$CJ$9:$CJ$508,$CJ96,$CL$9:$CL$508,"&lt;"&amp;$CL96)+COUNTIFS($CF$9:$CF$508,$CF96,$CH$9:$CH$508,$CH96,$CJ$9:$CJ$508,$CJ96,$CL$9:$CL$508,$CL96,$CN$9:$CN$508,"&lt;"&amp;$CN96)+1))</f>
        <v/>
      </c>
      <c r="CP96" s="135" t="str">
        <f aca="false">IF(ISBLANK($C96),"",IF($BZ96&lt;&gt;Constants!$B$8,$BZ96,$CF96-$CO96))</f>
        <v/>
      </c>
      <c r="CQ96" s="141"/>
      <c r="CR96" s="142"/>
      <c r="CS96" s="143" t="str">
        <f aca="false">IF(ISBLANK($C96),"",IF($BZ96=Constants!$B$12,$BY96,""))</f>
        <v/>
      </c>
      <c r="CT96" s="142" t="str">
        <f aca="false">IF(ISBLANK($C96),"",IF($BZ96&lt;&gt;Constants!$B$8,"",IF($BM96="-&gt;",2,1)))</f>
        <v/>
      </c>
      <c r="CU96" s="144" t="str">
        <f aca="false">IF(ISBLANK($C96),"",IF($BZ96&lt;&gt;Constants!$B$8,"",IF($BM96="-&gt;",$BO96,$BC96)))</f>
        <v/>
      </c>
      <c r="CV96" s="144" t="str">
        <f aca="false">IF(ISBLANK($C96),"",IF($BZ96&lt;&gt;Constants!$B$8,"",IF($BM96="-&gt;",$BP96,$BD96)))</f>
        <v/>
      </c>
      <c r="CW96" s="144" t="str">
        <f aca="false">IF(ISBLANK($C96),"",IF($BZ96&lt;&gt;Constants!$B$8,"",IF($BM96="-&gt;",$BQ96+$BR96,$BE96+$BF96)+$CD96))</f>
        <v/>
      </c>
      <c r="CX96" s="144" t="str">
        <f aca="false">IF(ISBLANK($C96),"",IF($BZ96&lt;&gt;Constants!$B$8,"",IF($BM96="-&gt;",$BS96,$BG96)+$CC96))</f>
        <v/>
      </c>
      <c r="CY96" s="145" t="str">
        <f aca="false">IF(ISBLANK($C96),"",IF($BZ96&lt;&gt;Constants!$B$8,$BZ96,$CE96))</f>
        <v/>
      </c>
      <c r="CZ96" s="146" t="str">
        <f aca="false">IF(ISBLANK($C96),"",$CA96)</f>
        <v/>
      </c>
      <c r="DA96" s="147" t="str">
        <f aca="false">IF(ISBLANK($C96),"",$CP96)</f>
        <v/>
      </c>
      <c r="DB96" s="147" t="str">
        <f aca="false">IF(ISBLANK($C96),"",$CO96)</f>
        <v/>
      </c>
      <c r="DC96" s="148" t="str">
        <f aca="false">IF(ISBLANK($C96),"",IFERROR(_xlfn.SWITCH($DB96,Constants!$B$11,COUNTA($C$9:$C$508)+2,Constants!$B$10,COUNTA($C$9:$C$508)+1,Constants!$B$9,COUNTA($C$9:$C$508)),$DB96))</f>
        <v/>
      </c>
      <c r="DD96" s="9"/>
      <c r="DE96" s="149" t="n">
        <f aca="false">IF(OR(ISNUMBER($DB96),$DB96=Constants!$B$11,$DB96=Constants!$B$9,$DB96=Constants!$B$10),1,0)</f>
        <v>0</v>
      </c>
      <c r="DF96" s="149" t="n">
        <v>88</v>
      </c>
      <c r="DG96" s="149" t="str">
        <f aca="false">IF(ISBLANK($C96),"",IF(ISNUMBER($DC96),$DC96+ROW($B96)/1000,""))</f>
        <v/>
      </c>
      <c r="DH96" s="149" t="str">
        <f aca="false">IF(ISNUMBER($DG96),RANK($DG96,$DG$9:$DG$508,1),"")</f>
        <v/>
      </c>
      <c r="DI96" s="149" t="str">
        <f aca="false">IF(ISBLANK($C96),"",$B96)</f>
        <v/>
      </c>
      <c r="DJ96" s="149" t="str">
        <f aca="false">IF(ISBLANK($C96),"",$C96)</f>
        <v/>
      </c>
      <c r="DK96" s="149" t="str">
        <f aca="false">IF(ISBLANK($C96),"",$D96)</f>
        <v/>
      </c>
      <c r="DL96" s="150" t="str">
        <f aca="false">$CZ96</f>
        <v/>
      </c>
      <c r="DM96" s="151" t="str">
        <f aca="false">$CY96</f>
        <v/>
      </c>
      <c r="DN96" s="149" t="str">
        <f aca="false">IF(ISBLANK($C96),"",$DB96)</f>
        <v/>
      </c>
      <c r="DO96" s="152" t="str">
        <f aca="false">IF($DF96&gt;$DE$8,"",VLOOKUP($DF96,$DH$9:$DN$508,7,FALSE()))</f>
        <v/>
      </c>
      <c r="DP96" s="153" t="str">
        <f aca="false">IF($DF96&gt;$DE$8,"",VLOOKUP($DF96,$DH$9:$DN$508,2,FALSE()))</f>
        <v/>
      </c>
      <c r="DQ96" s="153" t="str">
        <f aca="false">IF($DF96&gt;$DE$8,"",VLOOKUP($DF96,$DH$9:$DN$508,3,FALSE()))</f>
        <v/>
      </c>
      <c r="DR96" s="153" t="str">
        <f aca="false">IF($DF96&gt;$DE$8,"",VLOOKUP($DF96,$DH$9:$DN$508,4,FALSE()))</f>
        <v/>
      </c>
      <c r="DS96" s="153" t="str">
        <f aca="false">IF($DF96&gt;$DE$8,"",VLOOKUP($DF96,$DH$9:$DN$508,5,FALSE()))</f>
        <v/>
      </c>
      <c r="DT96" s="154" t="str">
        <f aca="false">IF($DF96&gt;$DE$8,"",VLOOKUP($DF96,$DH$9:$DN$508,6,FALSE()))</f>
        <v/>
      </c>
      <c r="DU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IF(ISBLANK($C97),"",IF(E97=Constants!$B$3,TRUE(),IF(E97=Constants!$B$4,FALSE(),TRUE())))</f>
        <v/>
      </c>
      <c r="AG97" s="135" t="str">
        <f aca="false">IF(ISBLANK($C97),"",IF(F97=Constants!$B$3,TRUE(),IF(F97=Constants!$B$4,FALSE(),TRUE())))</f>
        <v/>
      </c>
      <c r="AH97" s="135" t="str">
        <f aca="false">IF(ISBLANK($C97),"",IF(G97=Constants!$B$3,TRUE(),IF(G97=Constants!$B$4,FALSE(),TRUE())))</f>
        <v/>
      </c>
      <c r="AI97" s="135" t="str">
        <f aca="false">IF(ISBLANK($C97),"",IF(AND(ISNUMBER(H97),H97&gt;=0),H97,Constants!$B$29))</f>
        <v/>
      </c>
      <c r="AJ97" s="135" t="str">
        <f aca="false">IF(ISBLANK($C97),"",IF(I97=Constants!$B$3,TRUE(),IF(I97=Constants!$B$4,FALSE(),TRUE())))</f>
        <v/>
      </c>
      <c r="AK97" s="135" t="str">
        <f aca="false">IF(ISBLANK($C97),"",IF(J97=Constants!$B$3,TRUE(),IF(J97=Constants!$B$4,FALSE(),TRUE())))</f>
        <v/>
      </c>
      <c r="AL97" s="135" t="str">
        <f aca="false">IF(ISBLANK($C97),"",IF(K97=Constants!$B$5,TRUE(),IF(K97=Constants!$B$6,FALSE(),COUNTA(L97:P97)&gt;0)))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IF(ISBLANK($C97),"",IF(N97=Constants!$B$3,TRUE(),IF(N97=Constants!$B$4,FALSE(),TRUE())))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IF(ISBLANK($C97),"",IF(P97=Constants!$B$3,TRUE(),IF(P97=Constants!$B$4,FALSE(),FALSE())))</f>
        <v/>
      </c>
      <c r="AR97" s="135" t="str">
        <f aca="false">IF(ISBLANK($C97),"",IF(Q97=Constants!$B$3,TRUE(),IF(Q97=Constants!$B$4,FALSE(),TRUE())))</f>
        <v/>
      </c>
      <c r="AS97" s="135" t="str">
        <f aca="false">IF(ISBLANK($C97),"",IF(R97=Constants!$B$3,TRUE(),IF(R97=Constants!$B$4,FALSE(),TRUE())))</f>
        <v/>
      </c>
      <c r="AT97" s="135" t="str">
        <f aca="false">IF(ISBLANK($C97),"",IF(S97=Constants!$B$5,TRUE(),IF(S97=Constants!$B$6,FALSE(),COUNTA(T97:X97)&gt;0)))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IF(ISBLANK($C97),"",IF(V97=Constants!$B$3,TRUE(),IF(V97=Constants!$B$4,FALSE(),TRUE())))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IF(ISBLANK($C97),"",IF(X97=Constants!$B$3,TRUE(),IF(X97=Constants!$B$4,FALSE(),FALSE())))</f>
        <v/>
      </c>
      <c r="AZ97" s="135" t="str">
        <f aca="false">IF(ISBLANK($C97),"",MIN(Constants!$B$31,MAX(0,IF(ISNUMBER(Y97),Y97*60,0)+IF(ISNUMBER(Z97),Z97,0))))</f>
        <v/>
      </c>
      <c r="BA97" s="135" t="str">
        <f aca="false">IF(ISBLANK($C97),"",IF(AA97=Constants!$B$3,TRUE(),IF(AA97=Constants!$B$4,FALSE(),FALSE())))</f>
        <v/>
      </c>
      <c r="BB97" s="134" t="str">
        <f aca="false">IF(ISBLANK($C97),"",AND($AL97,OR($AM97="",$AN97="",AND($AO97,$AP97=""))))</f>
        <v/>
      </c>
      <c r="BC97" s="137" t="str">
        <f aca="false">IF($BZ97&lt;&gt;Constants!$B$8,"",IF($AL97,Constants!$B$21*$AN97+Constants!$B$22*IF($AO97,$AP97,Constants!$B$23),Constants!$B$24))</f>
        <v/>
      </c>
      <c r="BD97" s="138" t="str">
        <f aca="false">IF($BZ97&lt;&gt;Constants!$B$8,"",Constants!$B$25*ABS($AD$9-IF($AL97,$AM97,0)))</f>
        <v/>
      </c>
      <c r="BE97" s="138" t="str">
        <f aca="false">IF($BZ97&lt;&gt;Constants!$B$8,"",IF(AND($AL97,$AQ97,$AO97),Constants!$B$27,0))</f>
        <v/>
      </c>
      <c r="BF97" s="138" t="str">
        <f aca="false">IF($BZ97&lt;&gt;Constants!$B$8,"",IF($AL97,($AI97-Constants!$B$29)*Constants!$B$28,0))</f>
        <v/>
      </c>
      <c r="BG97" s="138" t="str">
        <f aca="false">IF($BZ97&lt;&gt;Constants!$B$8,"",IF($AK97,0,Constants!$B$15)+IF($AJ97,0,Constants!$B$16)+IF($AH97,0,Constants!$B$17))</f>
        <v/>
      </c>
      <c r="BH97" s="139" t="str">
        <f aca="false">IF($BZ97&lt;&gt;Constants!$B$8,"",Constants!$B$20+SUM($BC97:$BG97))</f>
        <v/>
      </c>
      <c r="BI97" s="138" t="str">
        <f aca="false">IF($BZ97&lt;&gt;Constants!$B$8,"",$BC97)</f>
        <v/>
      </c>
      <c r="BJ97" s="138" t="str">
        <f aca="false">IF($BZ97&lt;&gt;Constants!$B$8,"",$BD97)</f>
        <v/>
      </c>
      <c r="BK97" s="138" t="str">
        <f aca="false">IF($BZ97&lt;&gt;Constants!$B$8,"",IF($AL97,$AN97,""))</f>
        <v/>
      </c>
      <c r="BL97" s="140" t="str">
        <f aca="false">IF($BZ97&lt;&gt;Constants!$B$8,"",$AI97)</f>
        <v/>
      </c>
      <c r="BM97" s="135" t="str">
        <f aca="false">IF($BZ97&lt;&gt;Constants!$B$8,"",IF(OR($BT97&lt;$BH97,AND($BT97=$BH97,OR($BU97&lt;$BI97,AND($BU97=$BI97,OR($BV97&lt;$BJ97,AND($BV97=$BJ97,OR(AND(ISNUMBER($BW97),OR(NOT(ISNUMBER($BK97)),$BW97&lt;$BK97)),AND(OR(AND($BW97="",$BK97=""),AND(ISNUMBER($BW97),ISNUMBER($BK97),$BW97=$BK97)),$BX97&lt;$BL97)))))))),"-&gt;","&lt;-"))</f>
        <v/>
      </c>
      <c r="BN97" s="134" t="str">
        <f aca="false">IF(ISBLANK($C97),"",AND($AT97,OR($AU97="",$AV97="",AND($AW97,$AX97=""))))</f>
        <v/>
      </c>
      <c r="BO97" s="137" t="str">
        <f aca="false">IF($BZ97&lt;&gt;Constants!$B$8,"",IF($AT97,Constants!$B$21*$AV97+Constants!$B$22*IF($AW97,$AX97,Constants!$B$23),Constants!$B$24))</f>
        <v/>
      </c>
      <c r="BP97" s="138" t="str">
        <f aca="false">IF($BZ97&lt;&gt;Constants!$B$8,"",Constants!$B$25*ABS($AD$9-IF($AT97,$AU97,0)))</f>
        <v/>
      </c>
      <c r="BQ97" s="138" t="str">
        <f aca="false">IF($BZ97&lt;&gt;Constants!$B$8,"",IF(AND($AT97,$AY97,$AW97),Constants!$B$27,0))</f>
        <v/>
      </c>
      <c r="BR97" s="138" t="str">
        <f aca="false">IF($BZ97&lt;&gt;Constants!$B$8,"",IF($AT97,($AI97-Constants!$B$29)*Constants!$B$28,0))</f>
        <v/>
      </c>
      <c r="BS97" s="138" t="str">
        <f aca="false">IF($BZ97&lt;&gt;Constants!$B$8,"",IF($AS97,0,Constants!$B$15)+IF($AR97,0,Constants!$B$16)+IF($AH97,0,Constants!$B$17))</f>
        <v/>
      </c>
      <c r="BT97" s="139" t="str">
        <f aca="false">IF($BZ97&lt;&gt;Constants!$B$8,"",Constants!$B$20+SUM($BO97:$BS97))</f>
        <v/>
      </c>
      <c r="BU97" s="138" t="str">
        <f aca="false">IF($BZ97&lt;&gt;Constants!$B$8,"",$BO97)</f>
        <v/>
      </c>
      <c r="BV97" s="138" t="str">
        <f aca="false">IF($BZ97&lt;&gt;Constants!$B$8,"",$BP97)</f>
        <v/>
      </c>
      <c r="BW97" s="138" t="str">
        <f aca="false">IF($BZ97&lt;&gt;Constants!$B$8,"",IF($AT97,$AV97,""))</f>
        <v/>
      </c>
      <c r="BX97" s="140" t="str">
        <f aca="false">IF($BZ97&lt;&gt;Constants!$B$8,"",$AI97)</f>
        <v/>
      </c>
      <c r="BY97" s="135" t="str">
        <f aca="false">IF(ISBLANK($C97),"",IF(ISBLANK($D$7),$BY$5,IF(NOT(ISNUMBER($D$7)),$BY$6,"")))</f>
        <v/>
      </c>
      <c r="BZ97" s="135" t="str">
        <f aca="false">IF(ISBLANK($C97),"",IF($BA97,Constants!$B$11,IF(COUNTA($E97:$AA97)=0,Constants!$B$10,IF(NOT($AG97),Constants!$B$9,IF(OR($BY97&lt;&gt;"",$BB97,$BN97),Constants!$B$12,Constants!$B$8)))))</f>
        <v/>
      </c>
      <c r="CA97" s="135" t="str">
        <f aca="false">IF(ISBLANK($C97),"",IF($BZ97&lt;&gt;Constants!$B$8,$BZ97,Constants!$B$13))</f>
        <v/>
      </c>
      <c r="CB97" s="138" t="str">
        <f aca="false">IF($BZ97&lt;&gt;Constants!$B$8,"",IF($BM97="-&gt;",$BT97,$BH97))</f>
        <v/>
      </c>
      <c r="CC97" s="138" t="str">
        <f aca="false">IF($BZ97&lt;&gt;Constants!$B$8,"",IF($AF97,0,Constants!$B$18))</f>
        <v/>
      </c>
      <c r="CD97" s="138" t="str">
        <f aca="false">IF($BZ97&lt;&gt;Constants!$B$8,"",((Constants!$B$31-$AZ97)-Constants!$B$31)/Constants!$B$32)</f>
        <v/>
      </c>
      <c r="CE97" s="138" t="str">
        <f aca="false">IF(ISBLANK($C97),"",IF($BZ97&lt;&gt;Constants!$B$8,$BZ97,SUM($CB97:$CD97)))</f>
        <v/>
      </c>
      <c r="CF97" s="135" t="str">
        <f aca="false">IF(ISBLANK($C97),"",IF($BZ97&lt;&gt;Constants!$B$8,$BZ97,RANK($CE97,$CE$9:$CE$508,1)))</f>
        <v/>
      </c>
      <c r="CG97" s="138" t="str">
        <f aca="false">IF($BZ97&lt;&gt;Constants!$B$8,"",IF($BM97="-&gt;",$BU97,$BI97))</f>
        <v/>
      </c>
      <c r="CH97" s="135" t="str">
        <f aca="false">IF(ISBLANK($C97),"",IF($BZ97&lt;&gt;Constants!$B$8,$BZ97,IF(ISNUMBER($CG97),RANK($CG97,$CG$9:$CG$508,1),COUNT($CG$9:$CG$508)+1)))</f>
        <v/>
      </c>
      <c r="CI97" s="138" t="str">
        <f aca="false">IF($BZ97&lt;&gt;Constants!$B$8,"",IF($BM97="-&gt;",$BV97,$BJ97))</f>
        <v/>
      </c>
      <c r="CJ97" s="135" t="str">
        <f aca="false">IF(ISBLANK($C97),"",IF($BZ97&lt;&gt;Constants!$B$8,$BZ97,IF(ISNUMBER($CI97),RANK($CI97,$CI$9:$CI$508,1),COUNT($CI$9:$CI$508)+1)))</f>
        <v/>
      </c>
      <c r="CK97" s="138" t="str">
        <f aca="false">IF($BZ97&lt;&gt;Constants!$B$8,"",IF($BM97="-&gt;",$BW97,$BK97))</f>
        <v/>
      </c>
      <c r="CL97" s="135" t="str">
        <f aca="false">IF(ISBLANK($C97),"",IF($BZ97&lt;&gt;Constants!$B$8,$BZ97,IF(ISNUMBER($CK97),RANK($CK97,$CK$9:$CK$508,1),COUNT($CK$9:$CK$508)+1)))</f>
        <v/>
      </c>
      <c r="CM97" s="138" t="str">
        <f aca="false">IF($BZ97&lt;&gt;Constants!$B$8,"",IF(AND(NOT($AL97),NOT($AT97),$AJ97,$AK97,$AR97,$AS97),"",IF($BM97="-&gt;",$BX97,$BL97)))</f>
        <v/>
      </c>
      <c r="CN97" s="135" t="str">
        <f aca="false">IF(ISBLANK($C97),"",IF($BZ97&lt;&gt;Constants!$B$8,$BZ97,IF(ISNUMBER($CM97),RANK($CM97,$CM$9:$CM$508,1),COUNT($CM$9:$CM$508)+1)))</f>
        <v/>
      </c>
      <c r="CO97" s="135" t="str">
        <f aca="false">IF(ISBLANK($C97),"",IF($BZ97&lt;&gt;Constants!$B$8,$BZ97,COUNTIFS($CF$9:$CF$508,"&lt;"&amp;$CF97)+COUNTIFS($CF$9:$CF$508,$CF97,$CH$9:$CH$508,"&lt;"&amp;$CH97)+COUNTIFS($CF$9:$CF$508,$CF97,$CH$9:$CH$508,$CH97,$CJ$9:$CJ$508,"&lt;"&amp;$CJ97)+COUNTIFS($CF$9:$CF$508,$CF97,$CH$9:$CH$508,$CH97,$CJ$9:$CJ$508,$CJ97,$CL$9:$CL$508,"&lt;"&amp;$CL97)+COUNTIFS($CF$9:$CF$508,$CF97,$CH$9:$CH$508,$CH97,$CJ$9:$CJ$508,$CJ97,$CL$9:$CL$508,$CL97,$CN$9:$CN$508,"&lt;"&amp;$CN97)+1))</f>
        <v/>
      </c>
      <c r="CP97" s="135" t="str">
        <f aca="false">IF(ISBLANK($C97),"",IF($BZ97&lt;&gt;Constants!$B$8,$BZ97,$CF97-$CO97))</f>
        <v/>
      </c>
      <c r="CQ97" s="141"/>
      <c r="CR97" s="142"/>
      <c r="CS97" s="143" t="str">
        <f aca="false">IF(ISBLANK($C97),"",IF($BZ97=Constants!$B$12,$BY97,""))</f>
        <v/>
      </c>
      <c r="CT97" s="142" t="str">
        <f aca="false">IF(ISBLANK($C97),"",IF($BZ97&lt;&gt;Constants!$B$8,"",IF($BM97="-&gt;",2,1)))</f>
        <v/>
      </c>
      <c r="CU97" s="144" t="str">
        <f aca="false">IF(ISBLANK($C97),"",IF($BZ97&lt;&gt;Constants!$B$8,"",IF($BM97="-&gt;",$BO97,$BC97)))</f>
        <v/>
      </c>
      <c r="CV97" s="144" t="str">
        <f aca="false">IF(ISBLANK($C97),"",IF($BZ97&lt;&gt;Constants!$B$8,"",IF($BM97="-&gt;",$BP97,$BD97)))</f>
        <v/>
      </c>
      <c r="CW97" s="144" t="str">
        <f aca="false">IF(ISBLANK($C97),"",IF($BZ97&lt;&gt;Constants!$B$8,"",IF($BM97="-&gt;",$BQ97+$BR97,$BE97+$BF97)+$CD97))</f>
        <v/>
      </c>
      <c r="CX97" s="144" t="str">
        <f aca="false">IF(ISBLANK($C97),"",IF($BZ97&lt;&gt;Constants!$B$8,"",IF($BM97="-&gt;",$BS97,$BG97)+$CC97))</f>
        <v/>
      </c>
      <c r="CY97" s="145" t="str">
        <f aca="false">IF(ISBLANK($C97),"",IF($BZ97&lt;&gt;Constants!$B$8,$BZ97,$CE97))</f>
        <v/>
      </c>
      <c r="CZ97" s="146" t="str">
        <f aca="false">IF(ISBLANK($C97),"",$CA97)</f>
        <v/>
      </c>
      <c r="DA97" s="147" t="str">
        <f aca="false">IF(ISBLANK($C97),"",$CP97)</f>
        <v/>
      </c>
      <c r="DB97" s="147" t="str">
        <f aca="false">IF(ISBLANK($C97),"",$CO97)</f>
        <v/>
      </c>
      <c r="DC97" s="148" t="str">
        <f aca="false">IF(ISBLANK($C97),"",IFERROR(_xlfn.SWITCH($DB97,Constants!$B$11,COUNTA($C$9:$C$508)+2,Constants!$B$10,COUNTA($C$9:$C$508)+1,Constants!$B$9,COUNTA($C$9:$C$508)),$DB97))</f>
        <v/>
      </c>
      <c r="DD97" s="9"/>
      <c r="DE97" s="149" t="n">
        <f aca="false">IF(OR(ISNUMBER($DB97),$DB97=Constants!$B$11,$DB97=Constants!$B$9,$DB97=Constants!$B$10),1,0)</f>
        <v>0</v>
      </c>
      <c r="DF97" s="149" t="n">
        <v>89</v>
      </c>
      <c r="DG97" s="149" t="str">
        <f aca="false">IF(ISBLANK($C97),"",IF(ISNUMBER($DC97),$DC97+ROW($B97)/1000,""))</f>
        <v/>
      </c>
      <c r="DH97" s="149" t="str">
        <f aca="false">IF(ISNUMBER($DG97),RANK($DG97,$DG$9:$DG$508,1),"")</f>
        <v/>
      </c>
      <c r="DI97" s="149" t="str">
        <f aca="false">IF(ISBLANK($C97),"",$B97)</f>
        <v/>
      </c>
      <c r="DJ97" s="149" t="str">
        <f aca="false">IF(ISBLANK($C97),"",$C97)</f>
        <v/>
      </c>
      <c r="DK97" s="149" t="str">
        <f aca="false">IF(ISBLANK($C97),"",$D97)</f>
        <v/>
      </c>
      <c r="DL97" s="150" t="str">
        <f aca="false">$CZ97</f>
        <v/>
      </c>
      <c r="DM97" s="151" t="str">
        <f aca="false">$CY97</f>
        <v/>
      </c>
      <c r="DN97" s="149" t="str">
        <f aca="false">IF(ISBLANK($C97),"",$DB97)</f>
        <v/>
      </c>
      <c r="DO97" s="152" t="str">
        <f aca="false">IF($DF97&gt;$DE$8,"",VLOOKUP($DF97,$DH$9:$DN$508,7,FALSE()))</f>
        <v/>
      </c>
      <c r="DP97" s="153" t="str">
        <f aca="false">IF($DF97&gt;$DE$8,"",VLOOKUP($DF97,$DH$9:$DN$508,2,FALSE()))</f>
        <v/>
      </c>
      <c r="DQ97" s="153" t="str">
        <f aca="false">IF($DF97&gt;$DE$8,"",VLOOKUP($DF97,$DH$9:$DN$508,3,FALSE()))</f>
        <v/>
      </c>
      <c r="DR97" s="153" t="str">
        <f aca="false">IF($DF97&gt;$DE$8,"",VLOOKUP($DF97,$DH$9:$DN$508,4,FALSE()))</f>
        <v/>
      </c>
      <c r="DS97" s="153" t="str">
        <f aca="false">IF($DF97&gt;$DE$8,"",VLOOKUP($DF97,$DH$9:$DN$508,5,FALSE()))</f>
        <v/>
      </c>
      <c r="DT97" s="154" t="str">
        <f aca="false">IF($DF97&gt;$DE$8,"",VLOOKUP($DF97,$DH$9:$DN$508,6,FALSE()))</f>
        <v/>
      </c>
      <c r="DU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IF(ISBLANK($C98),"",IF(E98=Constants!$B$3,TRUE(),IF(E98=Constants!$B$4,FALSE(),TRUE())))</f>
        <v/>
      </c>
      <c r="AG98" s="135" t="str">
        <f aca="false">IF(ISBLANK($C98),"",IF(F98=Constants!$B$3,TRUE(),IF(F98=Constants!$B$4,FALSE(),TRUE())))</f>
        <v/>
      </c>
      <c r="AH98" s="135" t="str">
        <f aca="false">IF(ISBLANK($C98),"",IF(G98=Constants!$B$3,TRUE(),IF(G98=Constants!$B$4,FALSE(),TRUE())))</f>
        <v/>
      </c>
      <c r="AI98" s="135" t="str">
        <f aca="false">IF(ISBLANK($C98),"",IF(AND(ISNUMBER(H98),H98&gt;=0),H98,Constants!$B$29))</f>
        <v/>
      </c>
      <c r="AJ98" s="135" t="str">
        <f aca="false">IF(ISBLANK($C98),"",IF(I98=Constants!$B$3,TRUE(),IF(I98=Constants!$B$4,FALSE(),TRUE())))</f>
        <v/>
      </c>
      <c r="AK98" s="135" t="str">
        <f aca="false">IF(ISBLANK($C98),"",IF(J98=Constants!$B$3,TRUE(),IF(J98=Constants!$B$4,FALSE(),TRUE())))</f>
        <v/>
      </c>
      <c r="AL98" s="135" t="str">
        <f aca="false">IF(ISBLANK($C98),"",IF(K98=Constants!$B$5,TRUE(),IF(K98=Constants!$B$6,FALSE(),COUNTA(L98:P98)&gt;0)))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IF(ISBLANK($C98),"",IF(N98=Constants!$B$3,TRUE(),IF(N98=Constants!$B$4,FALSE(),TRUE())))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IF(ISBLANK($C98),"",IF(P98=Constants!$B$3,TRUE(),IF(P98=Constants!$B$4,FALSE(),FALSE())))</f>
        <v/>
      </c>
      <c r="AR98" s="135" t="str">
        <f aca="false">IF(ISBLANK($C98),"",IF(Q98=Constants!$B$3,TRUE(),IF(Q98=Constants!$B$4,FALSE(),TRUE())))</f>
        <v/>
      </c>
      <c r="AS98" s="135" t="str">
        <f aca="false">IF(ISBLANK($C98),"",IF(R98=Constants!$B$3,TRUE(),IF(R98=Constants!$B$4,FALSE(),TRUE())))</f>
        <v/>
      </c>
      <c r="AT98" s="135" t="str">
        <f aca="false">IF(ISBLANK($C98),"",IF(S98=Constants!$B$5,TRUE(),IF(S98=Constants!$B$6,FALSE(),COUNTA(T98:X98)&gt;0)))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IF(ISBLANK($C98),"",IF(V98=Constants!$B$3,TRUE(),IF(V98=Constants!$B$4,FALSE(),TRUE())))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IF(ISBLANK($C98),"",IF(X98=Constants!$B$3,TRUE(),IF(X98=Constants!$B$4,FALSE(),FALSE())))</f>
        <v/>
      </c>
      <c r="AZ98" s="135" t="str">
        <f aca="false">IF(ISBLANK($C98),"",MIN(Constants!$B$31,MAX(0,IF(ISNUMBER(Y98),Y98*60,0)+IF(ISNUMBER(Z98),Z98,0))))</f>
        <v/>
      </c>
      <c r="BA98" s="135" t="str">
        <f aca="false">IF(ISBLANK($C98),"",IF(AA98=Constants!$B$3,TRUE(),IF(AA98=Constants!$B$4,FALSE(),FALSE())))</f>
        <v/>
      </c>
      <c r="BB98" s="134" t="str">
        <f aca="false">IF(ISBLANK($C98),"",AND($AL98,OR($AM98="",$AN98="",AND($AO98,$AP98=""))))</f>
        <v/>
      </c>
      <c r="BC98" s="137" t="str">
        <f aca="false">IF($BZ98&lt;&gt;Constants!$B$8,"",IF($AL98,Constants!$B$21*$AN98+Constants!$B$22*IF($AO98,$AP98,Constants!$B$23),Constants!$B$24))</f>
        <v/>
      </c>
      <c r="BD98" s="138" t="str">
        <f aca="false">IF($BZ98&lt;&gt;Constants!$B$8,"",Constants!$B$25*ABS($AD$9-IF($AL98,$AM98,0)))</f>
        <v/>
      </c>
      <c r="BE98" s="138" t="str">
        <f aca="false">IF($BZ98&lt;&gt;Constants!$B$8,"",IF(AND($AL98,$AQ98,$AO98),Constants!$B$27,0))</f>
        <v/>
      </c>
      <c r="BF98" s="138" t="str">
        <f aca="false">IF($BZ98&lt;&gt;Constants!$B$8,"",IF($AL98,($AI98-Constants!$B$29)*Constants!$B$28,0))</f>
        <v/>
      </c>
      <c r="BG98" s="138" t="str">
        <f aca="false">IF($BZ98&lt;&gt;Constants!$B$8,"",IF($AK98,0,Constants!$B$15)+IF($AJ98,0,Constants!$B$16)+IF($AH98,0,Constants!$B$17))</f>
        <v/>
      </c>
      <c r="BH98" s="139" t="str">
        <f aca="false">IF($BZ98&lt;&gt;Constants!$B$8,"",Constants!$B$20+SUM($BC98:$BG98))</f>
        <v/>
      </c>
      <c r="BI98" s="138" t="str">
        <f aca="false">IF($BZ98&lt;&gt;Constants!$B$8,"",$BC98)</f>
        <v/>
      </c>
      <c r="BJ98" s="138" t="str">
        <f aca="false">IF($BZ98&lt;&gt;Constants!$B$8,"",$BD98)</f>
        <v/>
      </c>
      <c r="BK98" s="138" t="str">
        <f aca="false">IF($BZ98&lt;&gt;Constants!$B$8,"",IF($AL98,$AN98,""))</f>
        <v/>
      </c>
      <c r="BL98" s="140" t="str">
        <f aca="false">IF($BZ98&lt;&gt;Constants!$B$8,"",$AI98)</f>
        <v/>
      </c>
      <c r="BM98" s="135" t="str">
        <f aca="false">IF($BZ98&lt;&gt;Constants!$B$8,"",IF(OR($BT98&lt;$BH98,AND($BT98=$BH98,OR($BU98&lt;$BI98,AND($BU98=$BI98,OR($BV98&lt;$BJ98,AND($BV98=$BJ98,OR(AND(ISNUMBER($BW98),OR(NOT(ISNUMBER($BK98)),$BW98&lt;$BK98)),AND(OR(AND($BW98="",$BK98=""),AND(ISNUMBER($BW98),ISNUMBER($BK98),$BW98=$BK98)),$BX98&lt;$BL98)))))))),"-&gt;","&lt;-"))</f>
        <v/>
      </c>
      <c r="BN98" s="134" t="str">
        <f aca="false">IF(ISBLANK($C98),"",AND($AT98,OR($AU98="",$AV98="",AND($AW98,$AX98=""))))</f>
        <v/>
      </c>
      <c r="BO98" s="137" t="str">
        <f aca="false">IF($BZ98&lt;&gt;Constants!$B$8,"",IF($AT98,Constants!$B$21*$AV98+Constants!$B$22*IF($AW98,$AX98,Constants!$B$23),Constants!$B$24))</f>
        <v/>
      </c>
      <c r="BP98" s="138" t="str">
        <f aca="false">IF($BZ98&lt;&gt;Constants!$B$8,"",Constants!$B$25*ABS($AD$9-IF($AT98,$AU98,0)))</f>
        <v/>
      </c>
      <c r="BQ98" s="138" t="str">
        <f aca="false">IF($BZ98&lt;&gt;Constants!$B$8,"",IF(AND($AT98,$AY98,$AW98),Constants!$B$27,0))</f>
        <v/>
      </c>
      <c r="BR98" s="138" t="str">
        <f aca="false">IF($BZ98&lt;&gt;Constants!$B$8,"",IF($AT98,($AI98-Constants!$B$29)*Constants!$B$28,0))</f>
        <v/>
      </c>
      <c r="BS98" s="138" t="str">
        <f aca="false">IF($BZ98&lt;&gt;Constants!$B$8,"",IF($AS98,0,Constants!$B$15)+IF($AR98,0,Constants!$B$16)+IF($AH98,0,Constants!$B$17))</f>
        <v/>
      </c>
      <c r="BT98" s="139" t="str">
        <f aca="false">IF($BZ98&lt;&gt;Constants!$B$8,"",Constants!$B$20+SUM($BO98:$BS98))</f>
        <v/>
      </c>
      <c r="BU98" s="138" t="str">
        <f aca="false">IF($BZ98&lt;&gt;Constants!$B$8,"",$BO98)</f>
        <v/>
      </c>
      <c r="BV98" s="138" t="str">
        <f aca="false">IF($BZ98&lt;&gt;Constants!$B$8,"",$BP98)</f>
        <v/>
      </c>
      <c r="BW98" s="138" t="str">
        <f aca="false">IF($BZ98&lt;&gt;Constants!$B$8,"",IF($AT98,$AV98,""))</f>
        <v/>
      </c>
      <c r="BX98" s="140" t="str">
        <f aca="false">IF($BZ98&lt;&gt;Constants!$B$8,"",$AI98)</f>
        <v/>
      </c>
      <c r="BY98" s="135" t="str">
        <f aca="false">IF(ISBLANK($C98),"",IF(ISBLANK($D$7),$BY$5,IF(NOT(ISNUMBER($D$7)),$BY$6,"")))</f>
        <v/>
      </c>
      <c r="BZ98" s="135" t="str">
        <f aca="false">IF(ISBLANK($C98),"",IF($BA98,Constants!$B$11,IF(COUNTA($E98:$AA98)=0,Constants!$B$10,IF(NOT($AG98),Constants!$B$9,IF(OR($BY98&lt;&gt;"",$BB98,$BN98),Constants!$B$12,Constants!$B$8)))))</f>
        <v/>
      </c>
      <c r="CA98" s="135" t="str">
        <f aca="false">IF(ISBLANK($C98),"",IF($BZ98&lt;&gt;Constants!$B$8,$BZ98,Constants!$B$13))</f>
        <v/>
      </c>
      <c r="CB98" s="138" t="str">
        <f aca="false">IF($BZ98&lt;&gt;Constants!$B$8,"",IF($BM98="-&gt;",$BT98,$BH98))</f>
        <v/>
      </c>
      <c r="CC98" s="138" t="str">
        <f aca="false">IF($BZ98&lt;&gt;Constants!$B$8,"",IF($AF98,0,Constants!$B$18))</f>
        <v/>
      </c>
      <c r="CD98" s="138" t="str">
        <f aca="false">IF($BZ98&lt;&gt;Constants!$B$8,"",((Constants!$B$31-$AZ98)-Constants!$B$31)/Constants!$B$32)</f>
        <v/>
      </c>
      <c r="CE98" s="138" t="str">
        <f aca="false">IF(ISBLANK($C98),"",IF($BZ98&lt;&gt;Constants!$B$8,$BZ98,SUM($CB98:$CD98)))</f>
        <v/>
      </c>
      <c r="CF98" s="135" t="str">
        <f aca="false">IF(ISBLANK($C98),"",IF($BZ98&lt;&gt;Constants!$B$8,$BZ98,RANK($CE98,$CE$9:$CE$508,1)))</f>
        <v/>
      </c>
      <c r="CG98" s="138" t="str">
        <f aca="false">IF($BZ98&lt;&gt;Constants!$B$8,"",IF($BM98="-&gt;",$BU98,$BI98))</f>
        <v/>
      </c>
      <c r="CH98" s="135" t="str">
        <f aca="false">IF(ISBLANK($C98),"",IF($BZ98&lt;&gt;Constants!$B$8,$BZ98,IF(ISNUMBER($CG98),RANK($CG98,$CG$9:$CG$508,1),COUNT($CG$9:$CG$508)+1)))</f>
        <v/>
      </c>
      <c r="CI98" s="138" t="str">
        <f aca="false">IF($BZ98&lt;&gt;Constants!$B$8,"",IF($BM98="-&gt;",$BV98,$BJ98))</f>
        <v/>
      </c>
      <c r="CJ98" s="135" t="str">
        <f aca="false">IF(ISBLANK($C98),"",IF($BZ98&lt;&gt;Constants!$B$8,$BZ98,IF(ISNUMBER($CI98),RANK($CI98,$CI$9:$CI$508,1),COUNT($CI$9:$CI$508)+1)))</f>
        <v/>
      </c>
      <c r="CK98" s="138" t="str">
        <f aca="false">IF($BZ98&lt;&gt;Constants!$B$8,"",IF($BM98="-&gt;",$BW98,$BK98))</f>
        <v/>
      </c>
      <c r="CL98" s="135" t="str">
        <f aca="false">IF(ISBLANK($C98),"",IF($BZ98&lt;&gt;Constants!$B$8,$BZ98,IF(ISNUMBER($CK98),RANK($CK98,$CK$9:$CK$508,1),COUNT($CK$9:$CK$508)+1)))</f>
        <v/>
      </c>
      <c r="CM98" s="138" t="str">
        <f aca="false">IF($BZ98&lt;&gt;Constants!$B$8,"",IF(AND(NOT($AL98),NOT($AT98),$AJ98,$AK98,$AR98,$AS98),"",IF($BM98="-&gt;",$BX98,$BL98)))</f>
        <v/>
      </c>
      <c r="CN98" s="135" t="str">
        <f aca="false">IF(ISBLANK($C98),"",IF($BZ98&lt;&gt;Constants!$B$8,$BZ98,IF(ISNUMBER($CM98),RANK($CM98,$CM$9:$CM$508,1),COUNT($CM$9:$CM$508)+1)))</f>
        <v/>
      </c>
      <c r="CO98" s="135" t="str">
        <f aca="false">IF(ISBLANK($C98),"",IF($BZ98&lt;&gt;Constants!$B$8,$BZ98,COUNTIFS($CF$9:$CF$508,"&lt;"&amp;$CF98)+COUNTIFS($CF$9:$CF$508,$CF98,$CH$9:$CH$508,"&lt;"&amp;$CH98)+COUNTIFS($CF$9:$CF$508,$CF98,$CH$9:$CH$508,$CH98,$CJ$9:$CJ$508,"&lt;"&amp;$CJ98)+COUNTIFS($CF$9:$CF$508,$CF98,$CH$9:$CH$508,$CH98,$CJ$9:$CJ$508,$CJ98,$CL$9:$CL$508,"&lt;"&amp;$CL98)+COUNTIFS($CF$9:$CF$508,$CF98,$CH$9:$CH$508,$CH98,$CJ$9:$CJ$508,$CJ98,$CL$9:$CL$508,$CL98,$CN$9:$CN$508,"&lt;"&amp;$CN98)+1))</f>
        <v/>
      </c>
      <c r="CP98" s="135" t="str">
        <f aca="false">IF(ISBLANK($C98),"",IF($BZ98&lt;&gt;Constants!$B$8,$BZ98,$CF98-$CO98))</f>
        <v/>
      </c>
      <c r="CQ98" s="141"/>
      <c r="CR98" s="142"/>
      <c r="CS98" s="143" t="str">
        <f aca="false">IF(ISBLANK($C98),"",IF($BZ98=Constants!$B$12,$BY98,""))</f>
        <v/>
      </c>
      <c r="CT98" s="142" t="str">
        <f aca="false">IF(ISBLANK($C98),"",IF($BZ98&lt;&gt;Constants!$B$8,"",IF($BM98="-&gt;",2,1)))</f>
        <v/>
      </c>
      <c r="CU98" s="144" t="str">
        <f aca="false">IF(ISBLANK($C98),"",IF($BZ98&lt;&gt;Constants!$B$8,"",IF($BM98="-&gt;",$BO98,$BC98)))</f>
        <v/>
      </c>
      <c r="CV98" s="144" t="str">
        <f aca="false">IF(ISBLANK($C98),"",IF($BZ98&lt;&gt;Constants!$B$8,"",IF($BM98="-&gt;",$BP98,$BD98)))</f>
        <v/>
      </c>
      <c r="CW98" s="144" t="str">
        <f aca="false">IF(ISBLANK($C98),"",IF($BZ98&lt;&gt;Constants!$B$8,"",IF($BM98="-&gt;",$BQ98+$BR98,$BE98+$BF98)+$CD98))</f>
        <v/>
      </c>
      <c r="CX98" s="144" t="str">
        <f aca="false">IF(ISBLANK($C98),"",IF($BZ98&lt;&gt;Constants!$B$8,"",IF($BM98="-&gt;",$BS98,$BG98)+$CC98))</f>
        <v/>
      </c>
      <c r="CY98" s="145" t="str">
        <f aca="false">IF(ISBLANK($C98),"",IF($BZ98&lt;&gt;Constants!$B$8,$BZ98,$CE98))</f>
        <v/>
      </c>
      <c r="CZ98" s="146" t="str">
        <f aca="false">IF(ISBLANK($C98),"",$CA98)</f>
        <v/>
      </c>
      <c r="DA98" s="147" t="str">
        <f aca="false">IF(ISBLANK($C98),"",$CP98)</f>
        <v/>
      </c>
      <c r="DB98" s="147" t="str">
        <f aca="false">IF(ISBLANK($C98),"",$CO98)</f>
        <v/>
      </c>
      <c r="DC98" s="148" t="str">
        <f aca="false">IF(ISBLANK($C98),"",IFERROR(_xlfn.SWITCH($DB98,Constants!$B$11,COUNTA($C$9:$C$508)+2,Constants!$B$10,COUNTA($C$9:$C$508)+1,Constants!$B$9,COUNTA($C$9:$C$508)),$DB98))</f>
        <v/>
      </c>
      <c r="DD98" s="9"/>
      <c r="DE98" s="149" t="n">
        <f aca="false">IF(OR(ISNUMBER($DB98),$DB98=Constants!$B$11,$DB98=Constants!$B$9,$DB98=Constants!$B$10),1,0)</f>
        <v>0</v>
      </c>
      <c r="DF98" s="149" t="n">
        <v>90</v>
      </c>
      <c r="DG98" s="149" t="str">
        <f aca="false">IF(ISBLANK($C98),"",IF(ISNUMBER($DC98),$DC98+ROW($B98)/1000,""))</f>
        <v/>
      </c>
      <c r="DH98" s="149" t="str">
        <f aca="false">IF(ISNUMBER($DG98),RANK($DG98,$DG$9:$DG$508,1),"")</f>
        <v/>
      </c>
      <c r="DI98" s="149" t="str">
        <f aca="false">IF(ISBLANK($C98),"",$B98)</f>
        <v/>
      </c>
      <c r="DJ98" s="149" t="str">
        <f aca="false">IF(ISBLANK($C98),"",$C98)</f>
        <v/>
      </c>
      <c r="DK98" s="149" t="str">
        <f aca="false">IF(ISBLANK($C98),"",$D98)</f>
        <v/>
      </c>
      <c r="DL98" s="150" t="str">
        <f aca="false">$CZ98</f>
        <v/>
      </c>
      <c r="DM98" s="151" t="str">
        <f aca="false">$CY98</f>
        <v/>
      </c>
      <c r="DN98" s="149" t="str">
        <f aca="false">IF(ISBLANK($C98),"",$DB98)</f>
        <v/>
      </c>
      <c r="DO98" s="152" t="str">
        <f aca="false">IF($DF98&gt;$DE$8,"",VLOOKUP($DF98,$DH$9:$DN$508,7,FALSE()))</f>
        <v/>
      </c>
      <c r="DP98" s="153" t="str">
        <f aca="false">IF($DF98&gt;$DE$8,"",VLOOKUP($DF98,$DH$9:$DN$508,2,FALSE()))</f>
        <v/>
      </c>
      <c r="DQ98" s="153" t="str">
        <f aca="false">IF($DF98&gt;$DE$8,"",VLOOKUP($DF98,$DH$9:$DN$508,3,FALSE()))</f>
        <v/>
      </c>
      <c r="DR98" s="153" t="str">
        <f aca="false">IF($DF98&gt;$DE$8,"",VLOOKUP($DF98,$DH$9:$DN$508,4,FALSE()))</f>
        <v/>
      </c>
      <c r="DS98" s="153" t="str">
        <f aca="false">IF($DF98&gt;$DE$8,"",VLOOKUP($DF98,$DH$9:$DN$508,5,FALSE()))</f>
        <v/>
      </c>
      <c r="DT98" s="154" t="str">
        <f aca="false">IF($DF98&gt;$DE$8,"",VLOOKUP($DF98,$DH$9:$DN$508,6,FALSE()))</f>
        <v/>
      </c>
      <c r="DU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IF(ISBLANK($C99),"",IF(E99=Constants!$B$3,TRUE(),IF(E99=Constants!$B$4,FALSE(),TRUE())))</f>
        <v/>
      </c>
      <c r="AG99" s="93" t="str">
        <f aca="false">IF(ISBLANK($C99),"",IF(F99=Constants!$B$3,TRUE(),IF(F99=Constants!$B$4,FALSE(),TRUE())))</f>
        <v/>
      </c>
      <c r="AH99" s="93" t="str">
        <f aca="false">IF(ISBLANK($C99),"",IF(G99=Constants!$B$3,TRUE(),IF(G99=Constants!$B$4,FALSE(),TRUE())))</f>
        <v/>
      </c>
      <c r="AI99" s="93" t="str">
        <f aca="false">IF(ISBLANK($C99),"",IF(AND(ISNUMBER(H99),H99&gt;=0),H99,Constants!$B$29))</f>
        <v/>
      </c>
      <c r="AJ99" s="93" t="str">
        <f aca="false">IF(ISBLANK($C99),"",IF(I99=Constants!$B$3,TRUE(),IF(I99=Constants!$B$4,FALSE(),TRUE())))</f>
        <v/>
      </c>
      <c r="AK99" s="93" t="str">
        <f aca="false">IF(ISBLANK($C99),"",IF(J99=Constants!$B$3,TRUE(),IF(J99=Constants!$B$4,FALSE(),TRUE())))</f>
        <v/>
      </c>
      <c r="AL99" s="93" t="str">
        <f aca="false">IF(ISBLANK($C99),"",IF(K99=Constants!$B$5,TRUE(),IF(K99=Constants!$B$6,FALSE(),COUNTA(L99:P99)&gt;0)))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IF(ISBLANK($C99),"",IF(N99=Constants!$B$3,TRUE(),IF(N99=Constants!$B$4,FALSE(),TRUE())))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IF(ISBLANK($C99),"",IF(P99=Constants!$B$3,TRUE(),IF(P99=Constants!$B$4,FALSE(),FALSE())))</f>
        <v/>
      </c>
      <c r="AR99" s="93" t="str">
        <f aca="false">IF(ISBLANK($C99),"",IF(Q99=Constants!$B$3,TRUE(),IF(Q99=Constants!$B$4,FALSE(),TRUE())))</f>
        <v/>
      </c>
      <c r="AS99" s="93" t="str">
        <f aca="false">IF(ISBLANK($C99),"",IF(R99=Constants!$B$3,TRUE(),IF(R99=Constants!$B$4,FALSE(),TRUE())))</f>
        <v/>
      </c>
      <c r="AT99" s="93" t="str">
        <f aca="false">IF(ISBLANK($C99),"",IF(S99=Constants!$B$5,TRUE(),IF(S99=Constants!$B$6,FALSE(),COUNTA(T99:X99)&gt;0)))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IF(ISBLANK($C99),"",IF(V99=Constants!$B$3,TRUE(),IF(V99=Constants!$B$4,FALSE(),TRUE())))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IF(ISBLANK($C99),"",IF(X99=Constants!$B$3,TRUE(),IF(X99=Constants!$B$4,FALSE(),FALSE())))</f>
        <v/>
      </c>
      <c r="AZ99" s="93" t="str">
        <f aca="false">IF(ISBLANK($C99),"",MIN(Constants!$B$31,MAX(0,IF(ISNUMBER(Y99),Y99*60,0)+IF(ISNUMBER(Z99),Z99,0))))</f>
        <v/>
      </c>
      <c r="BA99" s="93" t="str">
        <f aca="false">IF(ISBLANK($C99),"",IF(AA99=Constants!$B$3,TRUE(),IF(AA99=Constants!$B$4,FALSE(),FALSE())))</f>
        <v/>
      </c>
      <c r="BB99" s="92" t="str">
        <f aca="false">IF(ISBLANK($C99),"",AND($AL99,OR($AM99="",$AN99="",AND($AO99,$AP99=""))))</f>
        <v/>
      </c>
      <c r="BC99" s="94" t="str">
        <f aca="false">IF($BZ99&lt;&gt;Constants!$B$8,"",IF($AL99,Constants!$B$21*$AN99+Constants!$B$22*IF($AO99,$AP99,Constants!$B$23),Constants!$B$24))</f>
        <v/>
      </c>
      <c r="BD99" s="97" t="str">
        <f aca="false">IF($BZ99&lt;&gt;Constants!$B$8,"",Constants!$B$25*ABS($AD$9-IF($AL99,$AM99,0)))</f>
        <v/>
      </c>
      <c r="BE99" s="97" t="str">
        <f aca="false">IF($BZ99&lt;&gt;Constants!$B$8,"",IF(AND($AL99,$AQ99,$AO99),Constants!$B$27,0))</f>
        <v/>
      </c>
      <c r="BF99" s="97" t="str">
        <f aca="false">IF($BZ99&lt;&gt;Constants!$B$8,"",IF($AL99,($AI99-Constants!$B$29)*Constants!$B$28,0))</f>
        <v/>
      </c>
      <c r="BG99" s="97" t="str">
        <f aca="false">IF($BZ99&lt;&gt;Constants!$B$8,"",IF($AK99,0,Constants!$B$15)+IF($AJ99,0,Constants!$B$16)+IF($AH99,0,Constants!$B$17))</f>
        <v/>
      </c>
      <c r="BH99" s="98" t="str">
        <f aca="false">IF($BZ99&lt;&gt;Constants!$B$8,"",Constants!$B$20+SUM($BC99:$BG99))</f>
        <v/>
      </c>
      <c r="BI99" s="97" t="str">
        <f aca="false">IF($BZ99&lt;&gt;Constants!$B$8,"",$BC99)</f>
        <v/>
      </c>
      <c r="BJ99" s="97" t="str">
        <f aca="false">IF($BZ99&lt;&gt;Constants!$B$8,"",$BD99)</f>
        <v/>
      </c>
      <c r="BK99" s="97" t="str">
        <f aca="false">IF($BZ99&lt;&gt;Constants!$B$8,"",IF($AL99,$AN99,""))</f>
        <v/>
      </c>
      <c r="BL99" s="99" t="str">
        <f aca="false">IF($BZ99&lt;&gt;Constants!$B$8,"",$AI99)</f>
        <v/>
      </c>
      <c r="BM99" s="93" t="str">
        <f aca="false">IF($BZ99&lt;&gt;Constants!$B$8,"",IF(OR($BT99&lt;$BH99,AND($BT99=$BH99,OR($BU99&lt;$BI99,AND($BU99=$BI99,OR($BV99&lt;$BJ99,AND($BV99=$BJ99,OR(AND(ISNUMBER($BW99),OR(NOT(ISNUMBER($BK99)),$BW99&lt;$BK99)),AND(OR(AND($BW99="",$BK99=""),AND(ISNUMBER($BW99),ISNUMBER($BK99),$BW99=$BK99)),$BX99&lt;$BL99)))))))),"-&gt;","&lt;-"))</f>
        <v/>
      </c>
      <c r="BN99" s="92" t="str">
        <f aca="false">IF(ISBLANK($C99),"",AND($AT99,OR($AU99="",$AV99="",AND($AW99,$AX99=""))))</f>
        <v/>
      </c>
      <c r="BO99" s="94" t="str">
        <f aca="false">IF($BZ99&lt;&gt;Constants!$B$8,"",IF($AT99,Constants!$B$21*$AV99+Constants!$B$22*IF($AW99,$AX99,Constants!$B$23),Constants!$B$24))</f>
        <v/>
      </c>
      <c r="BP99" s="97" t="str">
        <f aca="false">IF($BZ99&lt;&gt;Constants!$B$8,"",Constants!$B$25*ABS($AD$9-IF($AT99,$AU99,0)))</f>
        <v/>
      </c>
      <c r="BQ99" s="97" t="str">
        <f aca="false">IF($BZ99&lt;&gt;Constants!$B$8,"",IF(AND($AT99,$AY99,$AW99),Constants!$B$27,0))</f>
        <v/>
      </c>
      <c r="BR99" s="97" t="str">
        <f aca="false">IF($BZ99&lt;&gt;Constants!$B$8,"",IF($AT99,($AI99-Constants!$B$29)*Constants!$B$28,0))</f>
        <v/>
      </c>
      <c r="BS99" s="97" t="str">
        <f aca="false">IF($BZ99&lt;&gt;Constants!$B$8,"",IF($AS99,0,Constants!$B$15)+IF($AR99,0,Constants!$B$16)+IF($AH99,0,Constants!$B$17))</f>
        <v/>
      </c>
      <c r="BT99" s="98" t="str">
        <f aca="false">IF($BZ99&lt;&gt;Constants!$B$8,"",Constants!$B$20+SUM($BO99:$BS99))</f>
        <v/>
      </c>
      <c r="BU99" s="97" t="str">
        <f aca="false">IF($BZ99&lt;&gt;Constants!$B$8,"",$BO99)</f>
        <v/>
      </c>
      <c r="BV99" s="97" t="str">
        <f aca="false">IF($BZ99&lt;&gt;Constants!$B$8,"",$BP99)</f>
        <v/>
      </c>
      <c r="BW99" s="97" t="str">
        <f aca="false">IF($BZ99&lt;&gt;Constants!$B$8,"",IF($AT99,$AV99,""))</f>
        <v/>
      </c>
      <c r="BX99" s="99" t="str">
        <f aca="false">IF($BZ99&lt;&gt;Constants!$B$8,"",$AI99)</f>
        <v/>
      </c>
      <c r="BY99" s="93" t="str">
        <f aca="false">IF(ISBLANK($C99),"",IF(ISBLANK($D$7),$BY$5,IF(NOT(ISNUMBER($D$7)),$BY$6,"")))</f>
        <v/>
      </c>
      <c r="BZ99" s="93" t="str">
        <f aca="false">IF(ISBLANK($C99),"",IF($BA99,Constants!$B$11,IF(COUNTA($E99:$AA99)=0,Constants!$B$10,IF(NOT($AG99),Constants!$B$9,IF(OR($BY99&lt;&gt;"",$BB99,$BN99),Constants!$B$12,Constants!$B$8)))))</f>
        <v/>
      </c>
      <c r="CA99" s="93" t="str">
        <f aca="false">IF(ISBLANK($C99),"",IF($BZ99&lt;&gt;Constants!$B$8,$BZ99,Constants!$B$13))</f>
        <v/>
      </c>
      <c r="CB99" s="97" t="str">
        <f aca="false">IF($BZ99&lt;&gt;Constants!$B$8,"",IF($BM99="-&gt;",$BT99,$BH99))</f>
        <v/>
      </c>
      <c r="CC99" s="97" t="str">
        <f aca="false">IF($BZ99&lt;&gt;Constants!$B$8,"",IF($AF99,0,Constants!$B$18))</f>
        <v/>
      </c>
      <c r="CD99" s="97" t="str">
        <f aca="false">IF($BZ99&lt;&gt;Constants!$B$8,"",((Constants!$B$31-$AZ99)-Constants!$B$31)/Constants!$B$32)</f>
        <v/>
      </c>
      <c r="CE99" s="97" t="str">
        <f aca="false">IF(ISBLANK($C99),"",IF($BZ99&lt;&gt;Constants!$B$8,$BZ99,SUM($CB99:$CD99)))</f>
        <v/>
      </c>
      <c r="CF99" s="93" t="str">
        <f aca="false">IF(ISBLANK($C99),"",IF($BZ99&lt;&gt;Constants!$B$8,$BZ99,RANK($CE99,$CE$9:$CE$508,1)))</f>
        <v/>
      </c>
      <c r="CG99" s="97" t="str">
        <f aca="false">IF($BZ99&lt;&gt;Constants!$B$8,"",IF($BM99="-&gt;",$BU99,$BI99))</f>
        <v/>
      </c>
      <c r="CH99" s="93" t="str">
        <f aca="false">IF(ISBLANK($C99),"",IF($BZ99&lt;&gt;Constants!$B$8,$BZ99,IF(ISNUMBER($CG99),RANK($CG99,$CG$9:$CG$508,1),COUNT($CG$9:$CG$508)+1)))</f>
        <v/>
      </c>
      <c r="CI99" s="97" t="str">
        <f aca="false">IF($BZ99&lt;&gt;Constants!$B$8,"",IF($BM99="-&gt;",$BV99,$BJ99))</f>
        <v/>
      </c>
      <c r="CJ99" s="93" t="str">
        <f aca="false">IF(ISBLANK($C99),"",IF($BZ99&lt;&gt;Constants!$B$8,$BZ99,IF(ISNUMBER($CI99),RANK($CI99,$CI$9:$CI$508,1),COUNT($CI$9:$CI$508)+1)))</f>
        <v/>
      </c>
      <c r="CK99" s="97" t="str">
        <f aca="false">IF($BZ99&lt;&gt;Constants!$B$8,"",IF($BM99="-&gt;",$BW99,$BK99))</f>
        <v/>
      </c>
      <c r="CL99" s="93" t="str">
        <f aca="false">IF(ISBLANK($C99),"",IF($BZ99&lt;&gt;Constants!$B$8,$BZ99,IF(ISNUMBER($CK99),RANK($CK99,$CK$9:$CK$508,1),COUNT($CK$9:$CK$508)+1)))</f>
        <v/>
      </c>
      <c r="CM99" s="97" t="str">
        <f aca="false">IF($BZ99&lt;&gt;Constants!$B$8,"",IF(AND(NOT($AL99),NOT($AT99),$AJ99,$AK99,$AR99,$AS99),"",IF($BM99="-&gt;",$BX99,$BL99)))</f>
        <v/>
      </c>
      <c r="CN99" s="93" t="str">
        <f aca="false">IF(ISBLANK($C99),"",IF($BZ99&lt;&gt;Constants!$B$8,$BZ99,IF(ISNUMBER($CM99),RANK($CM99,$CM$9:$CM$508,1),COUNT($CM$9:$CM$508)+1)))</f>
        <v/>
      </c>
      <c r="CO99" s="93" t="str">
        <f aca="false">IF(ISBLANK($C99),"",IF($BZ99&lt;&gt;Constants!$B$8,$BZ99,COUNTIFS($CF$9:$CF$508,"&lt;"&amp;$CF99)+COUNTIFS($CF$9:$CF$508,$CF99,$CH$9:$CH$508,"&lt;"&amp;$CH99)+COUNTIFS($CF$9:$CF$508,$CF99,$CH$9:$CH$508,$CH99,$CJ$9:$CJ$508,"&lt;"&amp;$CJ99)+COUNTIFS($CF$9:$CF$508,$CF99,$CH$9:$CH$508,$CH99,$CJ$9:$CJ$508,$CJ99,$CL$9:$CL$508,"&lt;"&amp;$CL99)+COUNTIFS($CF$9:$CF$508,$CF99,$CH$9:$CH$508,$CH99,$CJ$9:$CJ$508,$CJ99,$CL$9:$CL$508,$CL99,$CN$9:$CN$508,"&lt;"&amp;$CN99)+1))</f>
        <v/>
      </c>
      <c r="CP99" s="93" t="str">
        <f aca="false">IF(ISBLANK($C99),"",IF($BZ99&lt;&gt;Constants!$B$8,$BZ99,$CF99-$CO99))</f>
        <v/>
      </c>
      <c r="CQ99" s="100"/>
      <c r="CR99" s="101"/>
      <c r="CS99" s="102" t="str">
        <f aca="false">IF(ISBLANK($C99),"",IF($BZ99=Constants!$B$12,$BY99,""))</f>
        <v/>
      </c>
      <c r="CT99" s="101" t="str">
        <f aca="false">IF(ISBLANK($C99),"",IF($BZ99&lt;&gt;Constants!$B$8,"",IF($BM99="-&gt;",2,1)))</f>
        <v/>
      </c>
      <c r="CU99" s="103" t="str">
        <f aca="false">IF(ISBLANK($C99),"",IF($BZ99&lt;&gt;Constants!$B$8,"",IF($BM99="-&gt;",$BO99,$BC99)))</f>
        <v/>
      </c>
      <c r="CV99" s="103" t="str">
        <f aca="false">IF(ISBLANK($C99),"",IF($BZ99&lt;&gt;Constants!$B$8,"",IF($BM99="-&gt;",$BP99,$BD99)))</f>
        <v/>
      </c>
      <c r="CW99" s="103" t="str">
        <f aca="false">IF(ISBLANK($C99),"",IF($BZ99&lt;&gt;Constants!$B$8,"",IF($BM99="-&gt;",$BQ99+$BR99,$BE99+$BF99)+$CD99))</f>
        <v/>
      </c>
      <c r="CX99" s="103" t="str">
        <f aca="false">IF(ISBLANK($C99),"",IF($BZ99&lt;&gt;Constants!$B$8,"",IF($BM99="-&gt;",$BS99,$BG99)+$CC99))</f>
        <v/>
      </c>
      <c r="CY99" s="104" t="str">
        <f aca="false">IF(ISBLANK($C99),"",IF($BZ99&lt;&gt;Constants!$B$8,$BZ99,$CE99))</f>
        <v/>
      </c>
      <c r="CZ99" s="105" t="str">
        <f aca="false">IF(ISBLANK($C99),"",$CA99)</f>
        <v/>
      </c>
      <c r="DA99" s="106" t="str">
        <f aca="false">IF(ISBLANK($C99),"",$CP99)</f>
        <v/>
      </c>
      <c r="DB99" s="106" t="str">
        <f aca="false">IF(ISBLANK($C99),"",$CO99)</f>
        <v/>
      </c>
      <c r="DC99" s="107" t="str">
        <f aca="false">IF(ISBLANK($C99),"",IFERROR(_xlfn.SWITCH($DB99,Constants!$B$11,COUNTA($C$9:$C$508)+2,Constants!$B$10,COUNTA($C$9:$C$508)+1,Constants!$B$9,COUNTA($C$9:$C$508)),$DB99))</f>
        <v/>
      </c>
      <c r="DD99" s="9"/>
      <c r="DE99" s="108" t="n">
        <f aca="false">IF(OR(ISNUMBER($DB99),$DB99=Constants!$B$11,$DB99=Constants!$B$9,$DB99=Constants!$B$10),1,0)</f>
        <v>0</v>
      </c>
      <c r="DF99" s="108" t="n">
        <v>91</v>
      </c>
      <c r="DG99" s="108" t="str">
        <f aca="false">IF(ISBLANK($C99),"",IF(ISNUMBER($DC99),$DC99+ROW($B99)/1000,""))</f>
        <v/>
      </c>
      <c r="DH99" s="108" t="str">
        <f aca="false">IF(ISNUMBER($DG99),RANK($DG99,$DG$9:$DG$508,1),"")</f>
        <v/>
      </c>
      <c r="DI99" s="108" t="str">
        <f aca="false">IF(ISBLANK($C99),"",$B99)</f>
        <v/>
      </c>
      <c r="DJ99" s="108" t="str">
        <f aca="false">IF(ISBLANK($C99),"",$C99)</f>
        <v/>
      </c>
      <c r="DK99" s="108" t="str">
        <f aca="false">IF(ISBLANK($C99),"",$D99)</f>
        <v/>
      </c>
      <c r="DL99" s="109" t="str">
        <f aca="false">$CZ99</f>
        <v/>
      </c>
      <c r="DM99" s="110" t="str">
        <f aca="false">$CY99</f>
        <v/>
      </c>
      <c r="DN99" s="108" t="str">
        <f aca="false">IF(ISBLANK($C99),"",$DB99)</f>
        <v/>
      </c>
      <c r="DO99" s="111" t="str">
        <f aca="false">IF($DF99&gt;$DE$8,"",VLOOKUP($DF99,$DH$9:$DN$508,7,FALSE()))</f>
        <v/>
      </c>
      <c r="DP99" s="112" t="str">
        <f aca="false">IF($DF99&gt;$DE$8,"",VLOOKUP($DF99,$DH$9:$DN$508,2,FALSE()))</f>
        <v/>
      </c>
      <c r="DQ99" s="112" t="str">
        <f aca="false">IF($DF99&gt;$DE$8,"",VLOOKUP($DF99,$DH$9:$DN$508,3,FALSE()))</f>
        <v/>
      </c>
      <c r="DR99" s="112" t="str">
        <f aca="false">IF($DF99&gt;$DE$8,"",VLOOKUP($DF99,$DH$9:$DN$508,4,FALSE()))</f>
        <v/>
      </c>
      <c r="DS99" s="112" t="str">
        <f aca="false">IF($DF99&gt;$DE$8,"",VLOOKUP($DF99,$DH$9:$DN$508,5,FALSE()))</f>
        <v/>
      </c>
      <c r="DT99" s="113" t="str">
        <f aca="false">IF($DF99&gt;$DE$8,"",VLOOKUP($DF99,$DH$9:$DN$508,6,FALSE()))</f>
        <v/>
      </c>
      <c r="DU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IF(ISBLANK($C100),"",IF(E100=Constants!$B$3,TRUE(),IF(E100=Constants!$B$4,FALSE(),TRUE())))</f>
        <v/>
      </c>
      <c r="AG100" s="93" t="str">
        <f aca="false">IF(ISBLANK($C100),"",IF(F100=Constants!$B$3,TRUE(),IF(F100=Constants!$B$4,FALSE(),TRUE())))</f>
        <v/>
      </c>
      <c r="AH100" s="93" t="str">
        <f aca="false">IF(ISBLANK($C100),"",IF(G100=Constants!$B$3,TRUE(),IF(G100=Constants!$B$4,FALSE(),TRUE())))</f>
        <v/>
      </c>
      <c r="AI100" s="93" t="str">
        <f aca="false">IF(ISBLANK($C100),"",IF(AND(ISNUMBER(H100),H100&gt;=0),H100,Constants!$B$29))</f>
        <v/>
      </c>
      <c r="AJ100" s="93" t="str">
        <f aca="false">IF(ISBLANK($C100),"",IF(I100=Constants!$B$3,TRUE(),IF(I100=Constants!$B$4,FALSE(),TRUE())))</f>
        <v/>
      </c>
      <c r="AK100" s="93" t="str">
        <f aca="false">IF(ISBLANK($C100),"",IF(J100=Constants!$B$3,TRUE(),IF(J100=Constants!$B$4,FALSE(),TRUE())))</f>
        <v/>
      </c>
      <c r="AL100" s="93" t="str">
        <f aca="false">IF(ISBLANK($C100),"",IF(K100=Constants!$B$5,TRUE(),IF(K100=Constants!$B$6,FALSE(),COUNTA(L100:P100)&gt;0)))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IF(ISBLANK($C100),"",IF(N100=Constants!$B$3,TRUE(),IF(N100=Constants!$B$4,FALSE(),TRUE())))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IF(ISBLANK($C100),"",IF(P100=Constants!$B$3,TRUE(),IF(P100=Constants!$B$4,FALSE(),FALSE())))</f>
        <v/>
      </c>
      <c r="AR100" s="93" t="str">
        <f aca="false">IF(ISBLANK($C100),"",IF(Q100=Constants!$B$3,TRUE(),IF(Q100=Constants!$B$4,FALSE(),TRUE())))</f>
        <v/>
      </c>
      <c r="AS100" s="93" t="str">
        <f aca="false">IF(ISBLANK($C100),"",IF(R100=Constants!$B$3,TRUE(),IF(R100=Constants!$B$4,FALSE(),TRUE())))</f>
        <v/>
      </c>
      <c r="AT100" s="93" t="str">
        <f aca="false">IF(ISBLANK($C100),"",IF(S100=Constants!$B$5,TRUE(),IF(S100=Constants!$B$6,FALSE(),COUNTA(T100:X100)&gt;0)))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IF(ISBLANK($C100),"",IF(V100=Constants!$B$3,TRUE(),IF(V100=Constants!$B$4,FALSE(),TRUE())))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IF(ISBLANK($C100),"",IF(X100=Constants!$B$3,TRUE(),IF(X100=Constants!$B$4,FALSE(),FALSE())))</f>
        <v/>
      </c>
      <c r="AZ100" s="93" t="str">
        <f aca="false">IF(ISBLANK($C100),"",MIN(Constants!$B$31,MAX(0,IF(ISNUMBER(Y100),Y100*60,0)+IF(ISNUMBER(Z100),Z100,0))))</f>
        <v/>
      </c>
      <c r="BA100" s="93" t="str">
        <f aca="false">IF(ISBLANK($C100),"",IF(AA100=Constants!$B$3,TRUE(),IF(AA100=Constants!$B$4,FALSE(),FALSE())))</f>
        <v/>
      </c>
      <c r="BB100" s="92" t="str">
        <f aca="false">IF(ISBLANK($C100),"",AND($AL100,OR($AM100="",$AN100="",AND($AO100,$AP100=""))))</f>
        <v/>
      </c>
      <c r="BC100" s="94" t="str">
        <f aca="false">IF($BZ100&lt;&gt;Constants!$B$8,"",IF($AL100,Constants!$B$21*$AN100+Constants!$B$22*IF($AO100,$AP100,Constants!$B$23),Constants!$B$24))</f>
        <v/>
      </c>
      <c r="BD100" s="97" t="str">
        <f aca="false">IF($BZ100&lt;&gt;Constants!$B$8,"",Constants!$B$25*ABS($AD$9-IF($AL100,$AM100,0)))</f>
        <v/>
      </c>
      <c r="BE100" s="97" t="str">
        <f aca="false">IF($BZ100&lt;&gt;Constants!$B$8,"",IF(AND($AL100,$AQ100,$AO100),Constants!$B$27,0))</f>
        <v/>
      </c>
      <c r="BF100" s="97" t="str">
        <f aca="false">IF($BZ100&lt;&gt;Constants!$B$8,"",IF($AL100,($AI100-Constants!$B$29)*Constants!$B$28,0))</f>
        <v/>
      </c>
      <c r="BG100" s="97" t="str">
        <f aca="false">IF($BZ100&lt;&gt;Constants!$B$8,"",IF($AK100,0,Constants!$B$15)+IF($AJ100,0,Constants!$B$16)+IF($AH100,0,Constants!$B$17))</f>
        <v/>
      </c>
      <c r="BH100" s="98" t="str">
        <f aca="false">IF($BZ100&lt;&gt;Constants!$B$8,"",Constants!$B$20+SUM($BC100:$BG100))</f>
        <v/>
      </c>
      <c r="BI100" s="97" t="str">
        <f aca="false">IF($BZ100&lt;&gt;Constants!$B$8,"",$BC100)</f>
        <v/>
      </c>
      <c r="BJ100" s="97" t="str">
        <f aca="false">IF($BZ100&lt;&gt;Constants!$B$8,"",$BD100)</f>
        <v/>
      </c>
      <c r="BK100" s="97" t="str">
        <f aca="false">IF($BZ100&lt;&gt;Constants!$B$8,"",IF($AL100,$AN100,""))</f>
        <v/>
      </c>
      <c r="BL100" s="99" t="str">
        <f aca="false">IF($BZ100&lt;&gt;Constants!$B$8,"",$AI100)</f>
        <v/>
      </c>
      <c r="BM100" s="93" t="str">
        <f aca="false">IF($BZ100&lt;&gt;Constants!$B$8,"",IF(OR($BT100&lt;$BH100,AND($BT100=$BH100,OR($BU100&lt;$BI100,AND($BU100=$BI100,OR($BV100&lt;$BJ100,AND($BV100=$BJ100,OR(AND(ISNUMBER($BW100),OR(NOT(ISNUMBER($BK100)),$BW100&lt;$BK100)),AND(OR(AND($BW100="",$BK100=""),AND(ISNUMBER($BW100),ISNUMBER($BK100),$BW100=$BK100)),$BX100&lt;$BL100)))))))),"-&gt;","&lt;-"))</f>
        <v/>
      </c>
      <c r="BN100" s="92" t="str">
        <f aca="false">IF(ISBLANK($C100),"",AND($AT100,OR($AU100="",$AV100="",AND($AW100,$AX100=""))))</f>
        <v/>
      </c>
      <c r="BO100" s="94" t="str">
        <f aca="false">IF($BZ100&lt;&gt;Constants!$B$8,"",IF($AT100,Constants!$B$21*$AV100+Constants!$B$22*IF($AW100,$AX100,Constants!$B$23),Constants!$B$24))</f>
        <v/>
      </c>
      <c r="BP100" s="97" t="str">
        <f aca="false">IF($BZ100&lt;&gt;Constants!$B$8,"",Constants!$B$25*ABS($AD$9-IF($AT100,$AU100,0)))</f>
        <v/>
      </c>
      <c r="BQ100" s="97" t="str">
        <f aca="false">IF($BZ100&lt;&gt;Constants!$B$8,"",IF(AND($AT100,$AY100,$AW100),Constants!$B$27,0))</f>
        <v/>
      </c>
      <c r="BR100" s="97" t="str">
        <f aca="false">IF($BZ100&lt;&gt;Constants!$B$8,"",IF($AT100,($AI100-Constants!$B$29)*Constants!$B$28,0))</f>
        <v/>
      </c>
      <c r="BS100" s="97" t="str">
        <f aca="false">IF($BZ100&lt;&gt;Constants!$B$8,"",IF($AS100,0,Constants!$B$15)+IF($AR100,0,Constants!$B$16)+IF($AH100,0,Constants!$B$17))</f>
        <v/>
      </c>
      <c r="BT100" s="98" t="str">
        <f aca="false">IF($BZ100&lt;&gt;Constants!$B$8,"",Constants!$B$20+SUM($BO100:$BS100))</f>
        <v/>
      </c>
      <c r="BU100" s="97" t="str">
        <f aca="false">IF($BZ100&lt;&gt;Constants!$B$8,"",$BO100)</f>
        <v/>
      </c>
      <c r="BV100" s="97" t="str">
        <f aca="false">IF($BZ100&lt;&gt;Constants!$B$8,"",$BP100)</f>
        <v/>
      </c>
      <c r="BW100" s="97" t="str">
        <f aca="false">IF($BZ100&lt;&gt;Constants!$B$8,"",IF($AT100,$AV100,""))</f>
        <v/>
      </c>
      <c r="BX100" s="99" t="str">
        <f aca="false">IF($BZ100&lt;&gt;Constants!$B$8,"",$AI100)</f>
        <v/>
      </c>
      <c r="BY100" s="93" t="str">
        <f aca="false">IF(ISBLANK($C100),"",IF(ISBLANK($D$7),$BY$5,IF(NOT(ISNUMBER($D$7)),$BY$6,"")))</f>
        <v/>
      </c>
      <c r="BZ100" s="93" t="str">
        <f aca="false">IF(ISBLANK($C100),"",IF($BA100,Constants!$B$11,IF(COUNTA($E100:$AA100)=0,Constants!$B$10,IF(NOT($AG100),Constants!$B$9,IF(OR($BY100&lt;&gt;"",$BB100,$BN100),Constants!$B$12,Constants!$B$8)))))</f>
        <v/>
      </c>
      <c r="CA100" s="93" t="str">
        <f aca="false">IF(ISBLANK($C100),"",IF($BZ100&lt;&gt;Constants!$B$8,$BZ100,Constants!$B$13))</f>
        <v/>
      </c>
      <c r="CB100" s="97" t="str">
        <f aca="false">IF($BZ100&lt;&gt;Constants!$B$8,"",IF($BM100="-&gt;",$BT100,$BH100))</f>
        <v/>
      </c>
      <c r="CC100" s="97" t="str">
        <f aca="false">IF($BZ100&lt;&gt;Constants!$B$8,"",IF($AF100,0,Constants!$B$18))</f>
        <v/>
      </c>
      <c r="CD100" s="97" t="str">
        <f aca="false">IF($BZ100&lt;&gt;Constants!$B$8,"",((Constants!$B$31-$AZ100)-Constants!$B$31)/Constants!$B$32)</f>
        <v/>
      </c>
      <c r="CE100" s="97" t="str">
        <f aca="false">IF(ISBLANK($C100),"",IF($BZ100&lt;&gt;Constants!$B$8,$BZ100,SUM($CB100:$CD100)))</f>
        <v/>
      </c>
      <c r="CF100" s="93" t="str">
        <f aca="false">IF(ISBLANK($C100),"",IF($BZ100&lt;&gt;Constants!$B$8,$BZ100,RANK($CE100,$CE$9:$CE$508,1)))</f>
        <v/>
      </c>
      <c r="CG100" s="97" t="str">
        <f aca="false">IF($BZ100&lt;&gt;Constants!$B$8,"",IF($BM100="-&gt;",$BU100,$BI100))</f>
        <v/>
      </c>
      <c r="CH100" s="93" t="str">
        <f aca="false">IF(ISBLANK($C100),"",IF($BZ100&lt;&gt;Constants!$B$8,$BZ100,IF(ISNUMBER($CG100),RANK($CG100,$CG$9:$CG$508,1),COUNT($CG$9:$CG$508)+1)))</f>
        <v/>
      </c>
      <c r="CI100" s="97" t="str">
        <f aca="false">IF($BZ100&lt;&gt;Constants!$B$8,"",IF($BM100="-&gt;",$BV100,$BJ100))</f>
        <v/>
      </c>
      <c r="CJ100" s="93" t="str">
        <f aca="false">IF(ISBLANK($C100),"",IF($BZ100&lt;&gt;Constants!$B$8,$BZ100,IF(ISNUMBER($CI100),RANK($CI100,$CI$9:$CI$508,1),COUNT($CI$9:$CI$508)+1)))</f>
        <v/>
      </c>
      <c r="CK100" s="97" t="str">
        <f aca="false">IF($BZ100&lt;&gt;Constants!$B$8,"",IF($BM100="-&gt;",$BW100,$BK100))</f>
        <v/>
      </c>
      <c r="CL100" s="93" t="str">
        <f aca="false">IF(ISBLANK($C100),"",IF($BZ100&lt;&gt;Constants!$B$8,$BZ100,IF(ISNUMBER($CK100),RANK($CK100,$CK$9:$CK$508,1),COUNT($CK$9:$CK$508)+1)))</f>
        <v/>
      </c>
      <c r="CM100" s="97" t="str">
        <f aca="false">IF($BZ100&lt;&gt;Constants!$B$8,"",IF(AND(NOT($AL100),NOT($AT100),$AJ100,$AK100,$AR100,$AS100),"",IF($BM100="-&gt;",$BX100,$BL100)))</f>
        <v/>
      </c>
      <c r="CN100" s="93" t="str">
        <f aca="false">IF(ISBLANK($C100),"",IF($BZ100&lt;&gt;Constants!$B$8,$BZ100,IF(ISNUMBER($CM100),RANK($CM100,$CM$9:$CM$508,1),COUNT($CM$9:$CM$508)+1)))</f>
        <v/>
      </c>
      <c r="CO100" s="93" t="str">
        <f aca="false">IF(ISBLANK($C100),"",IF($BZ100&lt;&gt;Constants!$B$8,$BZ100,COUNTIFS($CF$9:$CF$508,"&lt;"&amp;$CF100)+COUNTIFS($CF$9:$CF$508,$CF100,$CH$9:$CH$508,"&lt;"&amp;$CH100)+COUNTIFS($CF$9:$CF$508,$CF100,$CH$9:$CH$508,$CH100,$CJ$9:$CJ$508,"&lt;"&amp;$CJ100)+COUNTIFS($CF$9:$CF$508,$CF100,$CH$9:$CH$508,$CH100,$CJ$9:$CJ$508,$CJ100,$CL$9:$CL$508,"&lt;"&amp;$CL100)+COUNTIFS($CF$9:$CF$508,$CF100,$CH$9:$CH$508,$CH100,$CJ$9:$CJ$508,$CJ100,$CL$9:$CL$508,$CL100,$CN$9:$CN$508,"&lt;"&amp;$CN100)+1))</f>
        <v/>
      </c>
      <c r="CP100" s="93" t="str">
        <f aca="false">IF(ISBLANK($C100),"",IF($BZ100&lt;&gt;Constants!$B$8,$BZ100,$CF100-$CO100))</f>
        <v/>
      </c>
      <c r="CQ100" s="100"/>
      <c r="CR100" s="101"/>
      <c r="CS100" s="102" t="str">
        <f aca="false">IF(ISBLANK($C100),"",IF($BZ100=Constants!$B$12,$BY100,""))</f>
        <v/>
      </c>
      <c r="CT100" s="101" t="str">
        <f aca="false">IF(ISBLANK($C100),"",IF($BZ100&lt;&gt;Constants!$B$8,"",IF($BM100="-&gt;",2,1)))</f>
        <v/>
      </c>
      <c r="CU100" s="103" t="str">
        <f aca="false">IF(ISBLANK($C100),"",IF($BZ100&lt;&gt;Constants!$B$8,"",IF($BM100="-&gt;",$BO100,$BC100)))</f>
        <v/>
      </c>
      <c r="CV100" s="103" t="str">
        <f aca="false">IF(ISBLANK($C100),"",IF($BZ100&lt;&gt;Constants!$B$8,"",IF($BM100="-&gt;",$BP100,$BD100)))</f>
        <v/>
      </c>
      <c r="CW100" s="103" t="str">
        <f aca="false">IF(ISBLANK($C100),"",IF($BZ100&lt;&gt;Constants!$B$8,"",IF($BM100="-&gt;",$BQ100+$BR100,$BE100+$BF100)+$CD100))</f>
        <v/>
      </c>
      <c r="CX100" s="103" t="str">
        <f aca="false">IF(ISBLANK($C100),"",IF($BZ100&lt;&gt;Constants!$B$8,"",IF($BM100="-&gt;",$BS100,$BG100)+$CC100))</f>
        <v/>
      </c>
      <c r="CY100" s="104" t="str">
        <f aca="false">IF(ISBLANK($C100),"",IF($BZ100&lt;&gt;Constants!$B$8,$BZ100,$CE100))</f>
        <v/>
      </c>
      <c r="CZ100" s="105" t="str">
        <f aca="false">IF(ISBLANK($C100),"",$CA100)</f>
        <v/>
      </c>
      <c r="DA100" s="106" t="str">
        <f aca="false">IF(ISBLANK($C100),"",$CP100)</f>
        <v/>
      </c>
      <c r="DB100" s="106" t="str">
        <f aca="false">IF(ISBLANK($C100),"",$CO100)</f>
        <v/>
      </c>
      <c r="DC100" s="107" t="str">
        <f aca="false">IF(ISBLANK($C100),"",IFERROR(_xlfn.SWITCH($DB100,Constants!$B$11,COUNTA($C$9:$C$508)+2,Constants!$B$10,COUNTA($C$9:$C$508)+1,Constants!$B$9,COUNTA($C$9:$C$508)),$DB100))</f>
        <v/>
      </c>
      <c r="DD100" s="9"/>
      <c r="DE100" s="108" t="n">
        <f aca="false">IF(OR(ISNUMBER($DB100),$DB100=Constants!$B$11,$DB100=Constants!$B$9,$DB100=Constants!$B$10),1,0)</f>
        <v>0</v>
      </c>
      <c r="DF100" s="108" t="n">
        <v>92</v>
      </c>
      <c r="DG100" s="108" t="str">
        <f aca="false">IF(ISBLANK($C100),"",IF(ISNUMBER($DC100),$DC100+ROW($B100)/1000,""))</f>
        <v/>
      </c>
      <c r="DH100" s="108" t="str">
        <f aca="false">IF(ISNUMBER($DG100),RANK($DG100,$DG$9:$DG$508,1),"")</f>
        <v/>
      </c>
      <c r="DI100" s="108" t="str">
        <f aca="false">IF(ISBLANK($C100),"",$B100)</f>
        <v/>
      </c>
      <c r="DJ100" s="108" t="str">
        <f aca="false">IF(ISBLANK($C100),"",$C100)</f>
        <v/>
      </c>
      <c r="DK100" s="108" t="str">
        <f aca="false">IF(ISBLANK($C100),"",$D100)</f>
        <v/>
      </c>
      <c r="DL100" s="109" t="str">
        <f aca="false">$CZ100</f>
        <v/>
      </c>
      <c r="DM100" s="110" t="str">
        <f aca="false">$CY100</f>
        <v/>
      </c>
      <c r="DN100" s="108" t="str">
        <f aca="false">IF(ISBLANK($C100),"",$DB100)</f>
        <v/>
      </c>
      <c r="DO100" s="111" t="str">
        <f aca="false">IF($DF100&gt;$DE$8,"",VLOOKUP($DF100,$DH$9:$DN$508,7,FALSE()))</f>
        <v/>
      </c>
      <c r="DP100" s="112" t="str">
        <f aca="false">IF($DF100&gt;$DE$8,"",VLOOKUP($DF100,$DH$9:$DN$508,2,FALSE()))</f>
        <v/>
      </c>
      <c r="DQ100" s="112" t="str">
        <f aca="false">IF($DF100&gt;$DE$8,"",VLOOKUP($DF100,$DH$9:$DN$508,3,FALSE()))</f>
        <v/>
      </c>
      <c r="DR100" s="112" t="str">
        <f aca="false">IF($DF100&gt;$DE$8,"",VLOOKUP($DF100,$DH$9:$DN$508,4,FALSE()))</f>
        <v/>
      </c>
      <c r="DS100" s="112" t="str">
        <f aca="false">IF($DF100&gt;$DE$8,"",VLOOKUP($DF100,$DH$9:$DN$508,5,FALSE()))</f>
        <v/>
      </c>
      <c r="DT100" s="113" t="str">
        <f aca="false">IF($DF100&gt;$DE$8,"",VLOOKUP($DF100,$DH$9:$DN$508,6,FALSE()))</f>
        <v/>
      </c>
      <c r="DU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IF(ISBLANK($C101),"",IF(E101=Constants!$B$3,TRUE(),IF(E101=Constants!$B$4,FALSE(),TRUE())))</f>
        <v/>
      </c>
      <c r="AG101" s="93" t="str">
        <f aca="false">IF(ISBLANK($C101),"",IF(F101=Constants!$B$3,TRUE(),IF(F101=Constants!$B$4,FALSE(),TRUE())))</f>
        <v/>
      </c>
      <c r="AH101" s="93" t="str">
        <f aca="false">IF(ISBLANK($C101),"",IF(G101=Constants!$B$3,TRUE(),IF(G101=Constants!$B$4,FALSE(),TRUE())))</f>
        <v/>
      </c>
      <c r="AI101" s="93" t="str">
        <f aca="false">IF(ISBLANK($C101),"",IF(AND(ISNUMBER(H101),H101&gt;=0),H101,Constants!$B$29))</f>
        <v/>
      </c>
      <c r="AJ101" s="93" t="str">
        <f aca="false">IF(ISBLANK($C101),"",IF(I101=Constants!$B$3,TRUE(),IF(I101=Constants!$B$4,FALSE(),TRUE())))</f>
        <v/>
      </c>
      <c r="AK101" s="93" t="str">
        <f aca="false">IF(ISBLANK($C101),"",IF(J101=Constants!$B$3,TRUE(),IF(J101=Constants!$B$4,FALSE(),TRUE())))</f>
        <v/>
      </c>
      <c r="AL101" s="93" t="str">
        <f aca="false">IF(ISBLANK($C101),"",IF(K101=Constants!$B$5,TRUE(),IF(K101=Constants!$B$6,FALSE(),COUNTA(L101:P101)&gt;0)))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IF(ISBLANK($C101),"",IF(N101=Constants!$B$3,TRUE(),IF(N101=Constants!$B$4,FALSE(),TRUE())))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IF(ISBLANK($C101),"",IF(P101=Constants!$B$3,TRUE(),IF(P101=Constants!$B$4,FALSE(),FALSE())))</f>
        <v/>
      </c>
      <c r="AR101" s="93" t="str">
        <f aca="false">IF(ISBLANK($C101),"",IF(Q101=Constants!$B$3,TRUE(),IF(Q101=Constants!$B$4,FALSE(),TRUE())))</f>
        <v/>
      </c>
      <c r="AS101" s="93" t="str">
        <f aca="false">IF(ISBLANK($C101),"",IF(R101=Constants!$B$3,TRUE(),IF(R101=Constants!$B$4,FALSE(),TRUE())))</f>
        <v/>
      </c>
      <c r="AT101" s="93" t="str">
        <f aca="false">IF(ISBLANK($C101),"",IF(S101=Constants!$B$5,TRUE(),IF(S101=Constants!$B$6,FALSE(),COUNTA(T101:X101)&gt;0)))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IF(ISBLANK($C101),"",IF(V101=Constants!$B$3,TRUE(),IF(V101=Constants!$B$4,FALSE(),TRUE())))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IF(ISBLANK($C101),"",IF(X101=Constants!$B$3,TRUE(),IF(X101=Constants!$B$4,FALSE(),FALSE())))</f>
        <v/>
      </c>
      <c r="AZ101" s="93" t="str">
        <f aca="false">IF(ISBLANK($C101),"",MIN(Constants!$B$31,MAX(0,IF(ISNUMBER(Y101),Y101*60,0)+IF(ISNUMBER(Z101),Z101,0))))</f>
        <v/>
      </c>
      <c r="BA101" s="93" t="str">
        <f aca="false">IF(ISBLANK($C101),"",IF(AA101=Constants!$B$3,TRUE(),IF(AA101=Constants!$B$4,FALSE(),FALSE())))</f>
        <v/>
      </c>
      <c r="BB101" s="92" t="str">
        <f aca="false">IF(ISBLANK($C101),"",AND($AL101,OR($AM101="",$AN101="",AND($AO101,$AP101=""))))</f>
        <v/>
      </c>
      <c r="BC101" s="94" t="str">
        <f aca="false">IF($BZ101&lt;&gt;Constants!$B$8,"",IF($AL101,Constants!$B$21*$AN101+Constants!$B$22*IF($AO101,$AP101,Constants!$B$23),Constants!$B$24))</f>
        <v/>
      </c>
      <c r="BD101" s="97" t="str">
        <f aca="false">IF($BZ101&lt;&gt;Constants!$B$8,"",Constants!$B$25*ABS($AD$9-IF($AL101,$AM101,0)))</f>
        <v/>
      </c>
      <c r="BE101" s="97" t="str">
        <f aca="false">IF($BZ101&lt;&gt;Constants!$B$8,"",IF(AND($AL101,$AQ101,$AO101),Constants!$B$27,0))</f>
        <v/>
      </c>
      <c r="BF101" s="97" t="str">
        <f aca="false">IF($BZ101&lt;&gt;Constants!$B$8,"",IF($AL101,($AI101-Constants!$B$29)*Constants!$B$28,0))</f>
        <v/>
      </c>
      <c r="BG101" s="97" t="str">
        <f aca="false">IF($BZ101&lt;&gt;Constants!$B$8,"",IF($AK101,0,Constants!$B$15)+IF($AJ101,0,Constants!$B$16)+IF($AH101,0,Constants!$B$17))</f>
        <v/>
      </c>
      <c r="BH101" s="98" t="str">
        <f aca="false">IF($BZ101&lt;&gt;Constants!$B$8,"",Constants!$B$20+SUM($BC101:$BG101))</f>
        <v/>
      </c>
      <c r="BI101" s="97" t="str">
        <f aca="false">IF($BZ101&lt;&gt;Constants!$B$8,"",$BC101)</f>
        <v/>
      </c>
      <c r="BJ101" s="97" t="str">
        <f aca="false">IF($BZ101&lt;&gt;Constants!$B$8,"",$BD101)</f>
        <v/>
      </c>
      <c r="BK101" s="97" t="str">
        <f aca="false">IF($BZ101&lt;&gt;Constants!$B$8,"",IF($AL101,$AN101,""))</f>
        <v/>
      </c>
      <c r="BL101" s="99" t="str">
        <f aca="false">IF($BZ101&lt;&gt;Constants!$B$8,"",$AI101)</f>
        <v/>
      </c>
      <c r="BM101" s="93" t="str">
        <f aca="false">IF($BZ101&lt;&gt;Constants!$B$8,"",IF(OR($BT101&lt;$BH101,AND($BT101=$BH101,OR($BU101&lt;$BI101,AND($BU101=$BI101,OR($BV101&lt;$BJ101,AND($BV101=$BJ101,OR(AND(ISNUMBER($BW101),OR(NOT(ISNUMBER($BK101)),$BW101&lt;$BK101)),AND(OR(AND($BW101="",$BK101=""),AND(ISNUMBER($BW101),ISNUMBER($BK101),$BW101=$BK101)),$BX101&lt;$BL101)))))))),"-&gt;","&lt;-"))</f>
        <v/>
      </c>
      <c r="BN101" s="92" t="str">
        <f aca="false">IF(ISBLANK($C101),"",AND($AT101,OR($AU101="",$AV101="",AND($AW101,$AX101=""))))</f>
        <v/>
      </c>
      <c r="BO101" s="94" t="str">
        <f aca="false">IF($BZ101&lt;&gt;Constants!$B$8,"",IF($AT101,Constants!$B$21*$AV101+Constants!$B$22*IF($AW101,$AX101,Constants!$B$23),Constants!$B$24))</f>
        <v/>
      </c>
      <c r="BP101" s="97" t="str">
        <f aca="false">IF($BZ101&lt;&gt;Constants!$B$8,"",Constants!$B$25*ABS($AD$9-IF($AT101,$AU101,0)))</f>
        <v/>
      </c>
      <c r="BQ101" s="97" t="str">
        <f aca="false">IF($BZ101&lt;&gt;Constants!$B$8,"",IF(AND($AT101,$AY101,$AW101),Constants!$B$27,0))</f>
        <v/>
      </c>
      <c r="BR101" s="97" t="str">
        <f aca="false">IF($BZ101&lt;&gt;Constants!$B$8,"",IF($AT101,($AI101-Constants!$B$29)*Constants!$B$28,0))</f>
        <v/>
      </c>
      <c r="BS101" s="97" t="str">
        <f aca="false">IF($BZ101&lt;&gt;Constants!$B$8,"",IF($AS101,0,Constants!$B$15)+IF($AR101,0,Constants!$B$16)+IF($AH101,0,Constants!$B$17))</f>
        <v/>
      </c>
      <c r="BT101" s="98" t="str">
        <f aca="false">IF($BZ101&lt;&gt;Constants!$B$8,"",Constants!$B$20+SUM($BO101:$BS101))</f>
        <v/>
      </c>
      <c r="BU101" s="97" t="str">
        <f aca="false">IF($BZ101&lt;&gt;Constants!$B$8,"",$BO101)</f>
        <v/>
      </c>
      <c r="BV101" s="97" t="str">
        <f aca="false">IF($BZ101&lt;&gt;Constants!$B$8,"",$BP101)</f>
        <v/>
      </c>
      <c r="BW101" s="97" t="str">
        <f aca="false">IF($BZ101&lt;&gt;Constants!$B$8,"",IF($AT101,$AV101,""))</f>
        <v/>
      </c>
      <c r="BX101" s="99" t="str">
        <f aca="false">IF($BZ101&lt;&gt;Constants!$B$8,"",$AI101)</f>
        <v/>
      </c>
      <c r="BY101" s="93" t="str">
        <f aca="false">IF(ISBLANK($C101),"",IF(ISBLANK($D$7),$BY$5,IF(NOT(ISNUMBER($D$7)),$BY$6,"")))</f>
        <v/>
      </c>
      <c r="BZ101" s="93" t="str">
        <f aca="false">IF(ISBLANK($C101),"",IF($BA101,Constants!$B$11,IF(COUNTA($E101:$AA101)=0,Constants!$B$10,IF(NOT($AG101),Constants!$B$9,IF(OR($BY101&lt;&gt;"",$BB101,$BN101),Constants!$B$12,Constants!$B$8)))))</f>
        <v/>
      </c>
      <c r="CA101" s="93" t="str">
        <f aca="false">IF(ISBLANK($C101),"",IF($BZ101&lt;&gt;Constants!$B$8,$BZ101,Constants!$B$13))</f>
        <v/>
      </c>
      <c r="CB101" s="97" t="str">
        <f aca="false">IF($BZ101&lt;&gt;Constants!$B$8,"",IF($BM101="-&gt;",$BT101,$BH101))</f>
        <v/>
      </c>
      <c r="CC101" s="97" t="str">
        <f aca="false">IF($BZ101&lt;&gt;Constants!$B$8,"",IF($AF101,0,Constants!$B$18))</f>
        <v/>
      </c>
      <c r="CD101" s="97" t="str">
        <f aca="false">IF($BZ101&lt;&gt;Constants!$B$8,"",((Constants!$B$31-$AZ101)-Constants!$B$31)/Constants!$B$32)</f>
        <v/>
      </c>
      <c r="CE101" s="97" t="str">
        <f aca="false">IF(ISBLANK($C101),"",IF($BZ101&lt;&gt;Constants!$B$8,$BZ101,SUM($CB101:$CD101)))</f>
        <v/>
      </c>
      <c r="CF101" s="93" t="str">
        <f aca="false">IF(ISBLANK($C101),"",IF($BZ101&lt;&gt;Constants!$B$8,$BZ101,RANK($CE101,$CE$9:$CE$508,1)))</f>
        <v/>
      </c>
      <c r="CG101" s="97" t="str">
        <f aca="false">IF($BZ101&lt;&gt;Constants!$B$8,"",IF($BM101="-&gt;",$BU101,$BI101))</f>
        <v/>
      </c>
      <c r="CH101" s="93" t="str">
        <f aca="false">IF(ISBLANK($C101),"",IF($BZ101&lt;&gt;Constants!$B$8,$BZ101,IF(ISNUMBER($CG101),RANK($CG101,$CG$9:$CG$508,1),COUNT($CG$9:$CG$508)+1)))</f>
        <v/>
      </c>
      <c r="CI101" s="97" t="str">
        <f aca="false">IF($BZ101&lt;&gt;Constants!$B$8,"",IF($BM101="-&gt;",$BV101,$BJ101))</f>
        <v/>
      </c>
      <c r="CJ101" s="93" t="str">
        <f aca="false">IF(ISBLANK($C101),"",IF($BZ101&lt;&gt;Constants!$B$8,$BZ101,IF(ISNUMBER($CI101),RANK($CI101,$CI$9:$CI$508,1),COUNT($CI$9:$CI$508)+1)))</f>
        <v/>
      </c>
      <c r="CK101" s="97" t="str">
        <f aca="false">IF($BZ101&lt;&gt;Constants!$B$8,"",IF($BM101="-&gt;",$BW101,$BK101))</f>
        <v/>
      </c>
      <c r="CL101" s="93" t="str">
        <f aca="false">IF(ISBLANK($C101),"",IF($BZ101&lt;&gt;Constants!$B$8,$BZ101,IF(ISNUMBER($CK101),RANK($CK101,$CK$9:$CK$508,1),COUNT($CK$9:$CK$508)+1)))</f>
        <v/>
      </c>
      <c r="CM101" s="97" t="str">
        <f aca="false">IF($BZ101&lt;&gt;Constants!$B$8,"",IF(AND(NOT($AL101),NOT($AT101),$AJ101,$AK101,$AR101,$AS101),"",IF($BM101="-&gt;",$BX101,$BL101)))</f>
        <v/>
      </c>
      <c r="CN101" s="93" t="str">
        <f aca="false">IF(ISBLANK($C101),"",IF($BZ101&lt;&gt;Constants!$B$8,$BZ101,IF(ISNUMBER($CM101),RANK($CM101,$CM$9:$CM$508,1),COUNT($CM$9:$CM$508)+1)))</f>
        <v/>
      </c>
      <c r="CO101" s="93" t="str">
        <f aca="false">IF(ISBLANK($C101),"",IF($BZ101&lt;&gt;Constants!$B$8,$BZ101,COUNTIFS($CF$9:$CF$508,"&lt;"&amp;$CF101)+COUNTIFS($CF$9:$CF$508,$CF101,$CH$9:$CH$508,"&lt;"&amp;$CH101)+COUNTIFS($CF$9:$CF$508,$CF101,$CH$9:$CH$508,$CH101,$CJ$9:$CJ$508,"&lt;"&amp;$CJ101)+COUNTIFS($CF$9:$CF$508,$CF101,$CH$9:$CH$508,$CH101,$CJ$9:$CJ$508,$CJ101,$CL$9:$CL$508,"&lt;"&amp;$CL101)+COUNTIFS($CF$9:$CF$508,$CF101,$CH$9:$CH$508,$CH101,$CJ$9:$CJ$508,$CJ101,$CL$9:$CL$508,$CL101,$CN$9:$CN$508,"&lt;"&amp;$CN101)+1))</f>
        <v/>
      </c>
      <c r="CP101" s="93" t="str">
        <f aca="false">IF(ISBLANK($C101),"",IF($BZ101&lt;&gt;Constants!$B$8,$BZ101,$CF101-$CO101))</f>
        <v/>
      </c>
      <c r="CQ101" s="100"/>
      <c r="CR101" s="101"/>
      <c r="CS101" s="102" t="str">
        <f aca="false">IF(ISBLANK($C101),"",IF($BZ101=Constants!$B$12,$BY101,""))</f>
        <v/>
      </c>
      <c r="CT101" s="101" t="str">
        <f aca="false">IF(ISBLANK($C101),"",IF($BZ101&lt;&gt;Constants!$B$8,"",IF($BM101="-&gt;",2,1)))</f>
        <v/>
      </c>
      <c r="CU101" s="103" t="str">
        <f aca="false">IF(ISBLANK($C101),"",IF($BZ101&lt;&gt;Constants!$B$8,"",IF($BM101="-&gt;",$BO101,$BC101)))</f>
        <v/>
      </c>
      <c r="CV101" s="103" t="str">
        <f aca="false">IF(ISBLANK($C101),"",IF($BZ101&lt;&gt;Constants!$B$8,"",IF($BM101="-&gt;",$BP101,$BD101)))</f>
        <v/>
      </c>
      <c r="CW101" s="103" t="str">
        <f aca="false">IF(ISBLANK($C101),"",IF($BZ101&lt;&gt;Constants!$B$8,"",IF($BM101="-&gt;",$BQ101+$BR101,$BE101+$BF101)+$CD101))</f>
        <v/>
      </c>
      <c r="CX101" s="103" t="str">
        <f aca="false">IF(ISBLANK($C101),"",IF($BZ101&lt;&gt;Constants!$B$8,"",IF($BM101="-&gt;",$BS101,$BG101)+$CC101))</f>
        <v/>
      </c>
      <c r="CY101" s="104" t="str">
        <f aca="false">IF(ISBLANK($C101),"",IF($BZ101&lt;&gt;Constants!$B$8,$BZ101,$CE101))</f>
        <v/>
      </c>
      <c r="CZ101" s="105" t="str">
        <f aca="false">IF(ISBLANK($C101),"",$CA101)</f>
        <v/>
      </c>
      <c r="DA101" s="106" t="str">
        <f aca="false">IF(ISBLANK($C101),"",$CP101)</f>
        <v/>
      </c>
      <c r="DB101" s="106" t="str">
        <f aca="false">IF(ISBLANK($C101),"",$CO101)</f>
        <v/>
      </c>
      <c r="DC101" s="107" t="str">
        <f aca="false">IF(ISBLANK($C101),"",IFERROR(_xlfn.SWITCH($DB101,Constants!$B$11,COUNTA($C$9:$C$508)+2,Constants!$B$10,COUNTA($C$9:$C$508)+1,Constants!$B$9,COUNTA($C$9:$C$508)),$DB101))</f>
        <v/>
      </c>
      <c r="DD101" s="9"/>
      <c r="DE101" s="108" t="n">
        <f aca="false">IF(OR(ISNUMBER($DB101),$DB101=Constants!$B$11,$DB101=Constants!$B$9,$DB101=Constants!$B$10),1,0)</f>
        <v>0</v>
      </c>
      <c r="DF101" s="108" t="n">
        <v>93</v>
      </c>
      <c r="DG101" s="108" t="str">
        <f aca="false">IF(ISBLANK($C101),"",IF(ISNUMBER($DC101),$DC101+ROW($B101)/1000,""))</f>
        <v/>
      </c>
      <c r="DH101" s="108" t="str">
        <f aca="false">IF(ISNUMBER($DG101),RANK($DG101,$DG$9:$DG$508,1),"")</f>
        <v/>
      </c>
      <c r="DI101" s="108" t="str">
        <f aca="false">IF(ISBLANK($C101),"",$B101)</f>
        <v/>
      </c>
      <c r="DJ101" s="108" t="str">
        <f aca="false">IF(ISBLANK($C101),"",$C101)</f>
        <v/>
      </c>
      <c r="DK101" s="108" t="str">
        <f aca="false">IF(ISBLANK($C101),"",$D101)</f>
        <v/>
      </c>
      <c r="DL101" s="109" t="str">
        <f aca="false">$CZ101</f>
        <v/>
      </c>
      <c r="DM101" s="110" t="str">
        <f aca="false">$CY101</f>
        <v/>
      </c>
      <c r="DN101" s="108" t="str">
        <f aca="false">IF(ISBLANK($C101),"",$DB101)</f>
        <v/>
      </c>
      <c r="DO101" s="111" t="str">
        <f aca="false">IF($DF101&gt;$DE$8,"",VLOOKUP($DF101,$DH$9:$DN$508,7,FALSE()))</f>
        <v/>
      </c>
      <c r="DP101" s="112" t="str">
        <f aca="false">IF($DF101&gt;$DE$8,"",VLOOKUP($DF101,$DH$9:$DN$508,2,FALSE()))</f>
        <v/>
      </c>
      <c r="DQ101" s="112" t="str">
        <f aca="false">IF($DF101&gt;$DE$8,"",VLOOKUP($DF101,$DH$9:$DN$508,3,FALSE()))</f>
        <v/>
      </c>
      <c r="DR101" s="112" t="str">
        <f aca="false">IF($DF101&gt;$DE$8,"",VLOOKUP($DF101,$DH$9:$DN$508,4,FALSE()))</f>
        <v/>
      </c>
      <c r="DS101" s="112" t="str">
        <f aca="false">IF($DF101&gt;$DE$8,"",VLOOKUP($DF101,$DH$9:$DN$508,5,FALSE()))</f>
        <v/>
      </c>
      <c r="DT101" s="113" t="str">
        <f aca="false">IF($DF101&gt;$DE$8,"",VLOOKUP($DF101,$DH$9:$DN$508,6,FALSE()))</f>
        <v/>
      </c>
      <c r="DU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IF(ISBLANK($C102),"",IF(E102=Constants!$B$3,TRUE(),IF(E102=Constants!$B$4,FALSE(),TRUE())))</f>
        <v/>
      </c>
      <c r="AG102" s="135" t="str">
        <f aca="false">IF(ISBLANK($C102),"",IF(F102=Constants!$B$3,TRUE(),IF(F102=Constants!$B$4,FALSE(),TRUE())))</f>
        <v/>
      </c>
      <c r="AH102" s="135" t="str">
        <f aca="false">IF(ISBLANK($C102),"",IF(G102=Constants!$B$3,TRUE(),IF(G102=Constants!$B$4,FALSE(),TRUE())))</f>
        <v/>
      </c>
      <c r="AI102" s="135" t="str">
        <f aca="false">IF(ISBLANK($C102),"",IF(AND(ISNUMBER(H102),H102&gt;=0),H102,Constants!$B$29))</f>
        <v/>
      </c>
      <c r="AJ102" s="135" t="str">
        <f aca="false">IF(ISBLANK($C102),"",IF(I102=Constants!$B$3,TRUE(),IF(I102=Constants!$B$4,FALSE(),TRUE())))</f>
        <v/>
      </c>
      <c r="AK102" s="135" t="str">
        <f aca="false">IF(ISBLANK($C102),"",IF(J102=Constants!$B$3,TRUE(),IF(J102=Constants!$B$4,FALSE(),TRUE())))</f>
        <v/>
      </c>
      <c r="AL102" s="135" t="str">
        <f aca="false">IF(ISBLANK($C102),"",IF(K102=Constants!$B$5,TRUE(),IF(K102=Constants!$B$6,FALSE(),COUNTA(L102:P102)&gt;0)))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IF(ISBLANK($C102),"",IF(N102=Constants!$B$3,TRUE(),IF(N102=Constants!$B$4,FALSE(),TRUE())))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IF(ISBLANK($C102),"",IF(P102=Constants!$B$3,TRUE(),IF(P102=Constants!$B$4,FALSE(),FALSE())))</f>
        <v/>
      </c>
      <c r="AR102" s="135" t="str">
        <f aca="false">IF(ISBLANK($C102),"",IF(Q102=Constants!$B$3,TRUE(),IF(Q102=Constants!$B$4,FALSE(),TRUE())))</f>
        <v/>
      </c>
      <c r="AS102" s="135" t="str">
        <f aca="false">IF(ISBLANK($C102),"",IF(R102=Constants!$B$3,TRUE(),IF(R102=Constants!$B$4,FALSE(),TRUE())))</f>
        <v/>
      </c>
      <c r="AT102" s="135" t="str">
        <f aca="false">IF(ISBLANK($C102),"",IF(S102=Constants!$B$5,TRUE(),IF(S102=Constants!$B$6,FALSE(),COUNTA(T102:X102)&gt;0)))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IF(ISBLANK($C102),"",IF(V102=Constants!$B$3,TRUE(),IF(V102=Constants!$B$4,FALSE(),TRUE())))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IF(ISBLANK($C102),"",IF(X102=Constants!$B$3,TRUE(),IF(X102=Constants!$B$4,FALSE(),FALSE())))</f>
        <v/>
      </c>
      <c r="AZ102" s="135" t="str">
        <f aca="false">IF(ISBLANK($C102),"",MIN(Constants!$B$31,MAX(0,IF(ISNUMBER(Y102),Y102*60,0)+IF(ISNUMBER(Z102),Z102,0))))</f>
        <v/>
      </c>
      <c r="BA102" s="135" t="str">
        <f aca="false">IF(ISBLANK($C102),"",IF(AA102=Constants!$B$3,TRUE(),IF(AA102=Constants!$B$4,FALSE(),FALSE())))</f>
        <v/>
      </c>
      <c r="BB102" s="134" t="str">
        <f aca="false">IF(ISBLANK($C102),"",AND($AL102,OR($AM102="",$AN102="",AND($AO102,$AP102=""))))</f>
        <v/>
      </c>
      <c r="BC102" s="137" t="str">
        <f aca="false">IF($BZ102&lt;&gt;Constants!$B$8,"",IF($AL102,Constants!$B$21*$AN102+Constants!$B$22*IF($AO102,$AP102,Constants!$B$23),Constants!$B$24))</f>
        <v/>
      </c>
      <c r="BD102" s="138" t="str">
        <f aca="false">IF($BZ102&lt;&gt;Constants!$B$8,"",Constants!$B$25*ABS($AD$9-IF($AL102,$AM102,0)))</f>
        <v/>
      </c>
      <c r="BE102" s="138" t="str">
        <f aca="false">IF($BZ102&lt;&gt;Constants!$B$8,"",IF(AND($AL102,$AQ102,$AO102),Constants!$B$27,0))</f>
        <v/>
      </c>
      <c r="BF102" s="138" t="str">
        <f aca="false">IF($BZ102&lt;&gt;Constants!$B$8,"",IF($AL102,($AI102-Constants!$B$29)*Constants!$B$28,0))</f>
        <v/>
      </c>
      <c r="BG102" s="138" t="str">
        <f aca="false">IF($BZ102&lt;&gt;Constants!$B$8,"",IF($AK102,0,Constants!$B$15)+IF($AJ102,0,Constants!$B$16)+IF($AH102,0,Constants!$B$17))</f>
        <v/>
      </c>
      <c r="BH102" s="139" t="str">
        <f aca="false">IF($BZ102&lt;&gt;Constants!$B$8,"",Constants!$B$20+SUM($BC102:$BG102))</f>
        <v/>
      </c>
      <c r="BI102" s="138" t="str">
        <f aca="false">IF($BZ102&lt;&gt;Constants!$B$8,"",$BC102)</f>
        <v/>
      </c>
      <c r="BJ102" s="138" t="str">
        <f aca="false">IF($BZ102&lt;&gt;Constants!$B$8,"",$BD102)</f>
        <v/>
      </c>
      <c r="BK102" s="138" t="str">
        <f aca="false">IF($BZ102&lt;&gt;Constants!$B$8,"",IF($AL102,$AN102,""))</f>
        <v/>
      </c>
      <c r="BL102" s="140" t="str">
        <f aca="false">IF($BZ102&lt;&gt;Constants!$B$8,"",$AI102)</f>
        <v/>
      </c>
      <c r="BM102" s="135" t="str">
        <f aca="false">IF($BZ102&lt;&gt;Constants!$B$8,"",IF(OR($BT102&lt;$BH102,AND($BT102=$BH102,OR($BU102&lt;$BI102,AND($BU102=$BI102,OR($BV102&lt;$BJ102,AND($BV102=$BJ102,OR(AND(ISNUMBER($BW102),OR(NOT(ISNUMBER($BK102)),$BW102&lt;$BK102)),AND(OR(AND($BW102="",$BK102=""),AND(ISNUMBER($BW102),ISNUMBER($BK102),$BW102=$BK102)),$BX102&lt;$BL102)))))))),"-&gt;","&lt;-"))</f>
        <v/>
      </c>
      <c r="BN102" s="134" t="str">
        <f aca="false">IF(ISBLANK($C102),"",AND($AT102,OR($AU102="",$AV102="",AND($AW102,$AX102=""))))</f>
        <v/>
      </c>
      <c r="BO102" s="137" t="str">
        <f aca="false">IF($BZ102&lt;&gt;Constants!$B$8,"",IF($AT102,Constants!$B$21*$AV102+Constants!$B$22*IF($AW102,$AX102,Constants!$B$23),Constants!$B$24))</f>
        <v/>
      </c>
      <c r="BP102" s="138" t="str">
        <f aca="false">IF($BZ102&lt;&gt;Constants!$B$8,"",Constants!$B$25*ABS($AD$9-IF($AT102,$AU102,0)))</f>
        <v/>
      </c>
      <c r="BQ102" s="138" t="str">
        <f aca="false">IF($BZ102&lt;&gt;Constants!$B$8,"",IF(AND($AT102,$AY102,$AW102),Constants!$B$27,0))</f>
        <v/>
      </c>
      <c r="BR102" s="138" t="str">
        <f aca="false">IF($BZ102&lt;&gt;Constants!$B$8,"",IF($AT102,($AI102-Constants!$B$29)*Constants!$B$28,0))</f>
        <v/>
      </c>
      <c r="BS102" s="138" t="str">
        <f aca="false">IF($BZ102&lt;&gt;Constants!$B$8,"",IF($AS102,0,Constants!$B$15)+IF($AR102,0,Constants!$B$16)+IF($AH102,0,Constants!$B$17))</f>
        <v/>
      </c>
      <c r="BT102" s="139" t="str">
        <f aca="false">IF($BZ102&lt;&gt;Constants!$B$8,"",Constants!$B$20+SUM($BO102:$BS102))</f>
        <v/>
      </c>
      <c r="BU102" s="138" t="str">
        <f aca="false">IF($BZ102&lt;&gt;Constants!$B$8,"",$BO102)</f>
        <v/>
      </c>
      <c r="BV102" s="138" t="str">
        <f aca="false">IF($BZ102&lt;&gt;Constants!$B$8,"",$BP102)</f>
        <v/>
      </c>
      <c r="BW102" s="138" t="str">
        <f aca="false">IF($BZ102&lt;&gt;Constants!$B$8,"",IF($AT102,$AV102,""))</f>
        <v/>
      </c>
      <c r="BX102" s="140" t="str">
        <f aca="false">IF($BZ102&lt;&gt;Constants!$B$8,"",$AI102)</f>
        <v/>
      </c>
      <c r="BY102" s="135" t="str">
        <f aca="false">IF(ISBLANK($C102),"",IF(ISBLANK($D$7),$BY$5,IF(NOT(ISNUMBER($D$7)),$BY$6,"")))</f>
        <v/>
      </c>
      <c r="BZ102" s="135" t="str">
        <f aca="false">IF(ISBLANK($C102),"",IF($BA102,Constants!$B$11,IF(COUNTA($E102:$AA102)=0,Constants!$B$10,IF(NOT($AG102),Constants!$B$9,IF(OR($BY102&lt;&gt;"",$BB102,$BN102),Constants!$B$12,Constants!$B$8)))))</f>
        <v/>
      </c>
      <c r="CA102" s="135" t="str">
        <f aca="false">IF(ISBLANK($C102),"",IF($BZ102&lt;&gt;Constants!$B$8,$BZ102,Constants!$B$13))</f>
        <v/>
      </c>
      <c r="CB102" s="138" t="str">
        <f aca="false">IF($BZ102&lt;&gt;Constants!$B$8,"",IF($BM102="-&gt;",$BT102,$BH102))</f>
        <v/>
      </c>
      <c r="CC102" s="138" t="str">
        <f aca="false">IF($BZ102&lt;&gt;Constants!$B$8,"",IF($AF102,0,Constants!$B$18))</f>
        <v/>
      </c>
      <c r="CD102" s="138" t="str">
        <f aca="false">IF($BZ102&lt;&gt;Constants!$B$8,"",((Constants!$B$31-$AZ102)-Constants!$B$31)/Constants!$B$32)</f>
        <v/>
      </c>
      <c r="CE102" s="138" t="str">
        <f aca="false">IF(ISBLANK($C102),"",IF($BZ102&lt;&gt;Constants!$B$8,$BZ102,SUM($CB102:$CD102)))</f>
        <v/>
      </c>
      <c r="CF102" s="135" t="str">
        <f aca="false">IF(ISBLANK($C102),"",IF($BZ102&lt;&gt;Constants!$B$8,$BZ102,RANK($CE102,$CE$9:$CE$508,1)))</f>
        <v/>
      </c>
      <c r="CG102" s="138" t="str">
        <f aca="false">IF($BZ102&lt;&gt;Constants!$B$8,"",IF($BM102="-&gt;",$BU102,$BI102))</f>
        <v/>
      </c>
      <c r="CH102" s="135" t="str">
        <f aca="false">IF(ISBLANK($C102),"",IF($BZ102&lt;&gt;Constants!$B$8,$BZ102,IF(ISNUMBER($CG102),RANK($CG102,$CG$9:$CG$508,1),COUNT($CG$9:$CG$508)+1)))</f>
        <v/>
      </c>
      <c r="CI102" s="138" t="str">
        <f aca="false">IF($BZ102&lt;&gt;Constants!$B$8,"",IF($BM102="-&gt;",$BV102,$BJ102))</f>
        <v/>
      </c>
      <c r="CJ102" s="135" t="str">
        <f aca="false">IF(ISBLANK($C102),"",IF($BZ102&lt;&gt;Constants!$B$8,$BZ102,IF(ISNUMBER($CI102),RANK($CI102,$CI$9:$CI$508,1),COUNT($CI$9:$CI$508)+1)))</f>
        <v/>
      </c>
      <c r="CK102" s="138" t="str">
        <f aca="false">IF($BZ102&lt;&gt;Constants!$B$8,"",IF($BM102="-&gt;",$BW102,$BK102))</f>
        <v/>
      </c>
      <c r="CL102" s="135" t="str">
        <f aca="false">IF(ISBLANK($C102),"",IF($BZ102&lt;&gt;Constants!$B$8,$BZ102,IF(ISNUMBER($CK102),RANK($CK102,$CK$9:$CK$508,1),COUNT($CK$9:$CK$508)+1)))</f>
        <v/>
      </c>
      <c r="CM102" s="138" t="str">
        <f aca="false">IF($BZ102&lt;&gt;Constants!$B$8,"",IF(AND(NOT($AL102),NOT($AT102),$AJ102,$AK102,$AR102,$AS102),"",IF($BM102="-&gt;",$BX102,$BL102)))</f>
        <v/>
      </c>
      <c r="CN102" s="135" t="str">
        <f aca="false">IF(ISBLANK($C102),"",IF($BZ102&lt;&gt;Constants!$B$8,$BZ102,IF(ISNUMBER($CM102),RANK($CM102,$CM$9:$CM$508,1),COUNT($CM$9:$CM$508)+1)))</f>
        <v/>
      </c>
      <c r="CO102" s="135" t="str">
        <f aca="false">IF(ISBLANK($C102),"",IF($BZ102&lt;&gt;Constants!$B$8,$BZ102,COUNTIFS($CF$9:$CF$508,"&lt;"&amp;$CF102)+COUNTIFS($CF$9:$CF$508,$CF102,$CH$9:$CH$508,"&lt;"&amp;$CH102)+COUNTIFS($CF$9:$CF$508,$CF102,$CH$9:$CH$508,$CH102,$CJ$9:$CJ$508,"&lt;"&amp;$CJ102)+COUNTIFS($CF$9:$CF$508,$CF102,$CH$9:$CH$508,$CH102,$CJ$9:$CJ$508,$CJ102,$CL$9:$CL$508,"&lt;"&amp;$CL102)+COUNTIFS($CF$9:$CF$508,$CF102,$CH$9:$CH$508,$CH102,$CJ$9:$CJ$508,$CJ102,$CL$9:$CL$508,$CL102,$CN$9:$CN$508,"&lt;"&amp;$CN102)+1))</f>
        <v/>
      </c>
      <c r="CP102" s="135" t="str">
        <f aca="false">IF(ISBLANK($C102),"",IF($BZ102&lt;&gt;Constants!$B$8,$BZ102,$CF102-$CO102))</f>
        <v/>
      </c>
      <c r="CQ102" s="141"/>
      <c r="CR102" s="142"/>
      <c r="CS102" s="143" t="str">
        <f aca="false">IF(ISBLANK($C102),"",IF($BZ102=Constants!$B$12,$BY102,""))</f>
        <v/>
      </c>
      <c r="CT102" s="142" t="str">
        <f aca="false">IF(ISBLANK($C102),"",IF($BZ102&lt;&gt;Constants!$B$8,"",IF($BM102="-&gt;",2,1)))</f>
        <v/>
      </c>
      <c r="CU102" s="144" t="str">
        <f aca="false">IF(ISBLANK($C102),"",IF($BZ102&lt;&gt;Constants!$B$8,"",IF($BM102="-&gt;",$BO102,$BC102)))</f>
        <v/>
      </c>
      <c r="CV102" s="144" t="str">
        <f aca="false">IF(ISBLANK($C102),"",IF($BZ102&lt;&gt;Constants!$B$8,"",IF($BM102="-&gt;",$BP102,$BD102)))</f>
        <v/>
      </c>
      <c r="CW102" s="144" t="str">
        <f aca="false">IF(ISBLANK($C102),"",IF($BZ102&lt;&gt;Constants!$B$8,"",IF($BM102="-&gt;",$BQ102+$BR102,$BE102+$BF102)+$CD102))</f>
        <v/>
      </c>
      <c r="CX102" s="144" t="str">
        <f aca="false">IF(ISBLANK($C102),"",IF($BZ102&lt;&gt;Constants!$B$8,"",IF($BM102="-&gt;",$BS102,$BG102)+$CC102))</f>
        <v/>
      </c>
      <c r="CY102" s="145" t="str">
        <f aca="false">IF(ISBLANK($C102),"",IF($BZ102&lt;&gt;Constants!$B$8,$BZ102,$CE102))</f>
        <v/>
      </c>
      <c r="CZ102" s="146" t="str">
        <f aca="false">IF(ISBLANK($C102),"",$CA102)</f>
        <v/>
      </c>
      <c r="DA102" s="147" t="str">
        <f aca="false">IF(ISBLANK($C102),"",$CP102)</f>
        <v/>
      </c>
      <c r="DB102" s="147" t="str">
        <f aca="false">IF(ISBLANK($C102),"",$CO102)</f>
        <v/>
      </c>
      <c r="DC102" s="148" t="str">
        <f aca="false">IF(ISBLANK($C102),"",IFERROR(_xlfn.SWITCH($DB102,Constants!$B$11,COUNTA($C$9:$C$508)+2,Constants!$B$10,COUNTA($C$9:$C$508)+1,Constants!$B$9,COUNTA($C$9:$C$508)),$DB102))</f>
        <v/>
      </c>
      <c r="DD102" s="9"/>
      <c r="DE102" s="149" t="n">
        <f aca="false">IF(OR(ISNUMBER($DB102),$DB102=Constants!$B$11,$DB102=Constants!$B$9,$DB102=Constants!$B$10),1,0)</f>
        <v>0</v>
      </c>
      <c r="DF102" s="149" t="n">
        <v>94</v>
      </c>
      <c r="DG102" s="149" t="str">
        <f aca="false">IF(ISBLANK($C102),"",IF(ISNUMBER($DC102),$DC102+ROW($B102)/1000,""))</f>
        <v/>
      </c>
      <c r="DH102" s="149" t="str">
        <f aca="false">IF(ISNUMBER($DG102),RANK($DG102,$DG$9:$DG$508,1),"")</f>
        <v/>
      </c>
      <c r="DI102" s="149" t="str">
        <f aca="false">IF(ISBLANK($C102),"",$B102)</f>
        <v/>
      </c>
      <c r="DJ102" s="149" t="str">
        <f aca="false">IF(ISBLANK($C102),"",$C102)</f>
        <v/>
      </c>
      <c r="DK102" s="149" t="str">
        <f aca="false">IF(ISBLANK($C102),"",$D102)</f>
        <v/>
      </c>
      <c r="DL102" s="150" t="str">
        <f aca="false">$CZ102</f>
        <v/>
      </c>
      <c r="DM102" s="151" t="str">
        <f aca="false">$CY102</f>
        <v/>
      </c>
      <c r="DN102" s="149" t="str">
        <f aca="false">IF(ISBLANK($C102),"",$DB102)</f>
        <v/>
      </c>
      <c r="DO102" s="152" t="str">
        <f aca="false">IF($DF102&gt;$DE$8,"",VLOOKUP($DF102,$DH$9:$DN$508,7,FALSE()))</f>
        <v/>
      </c>
      <c r="DP102" s="153" t="str">
        <f aca="false">IF($DF102&gt;$DE$8,"",VLOOKUP($DF102,$DH$9:$DN$508,2,FALSE()))</f>
        <v/>
      </c>
      <c r="DQ102" s="153" t="str">
        <f aca="false">IF($DF102&gt;$DE$8,"",VLOOKUP($DF102,$DH$9:$DN$508,3,FALSE()))</f>
        <v/>
      </c>
      <c r="DR102" s="153" t="str">
        <f aca="false">IF($DF102&gt;$DE$8,"",VLOOKUP($DF102,$DH$9:$DN$508,4,FALSE()))</f>
        <v/>
      </c>
      <c r="DS102" s="153" t="str">
        <f aca="false">IF($DF102&gt;$DE$8,"",VLOOKUP($DF102,$DH$9:$DN$508,5,FALSE()))</f>
        <v/>
      </c>
      <c r="DT102" s="154" t="str">
        <f aca="false">IF($DF102&gt;$DE$8,"",VLOOKUP($DF102,$DH$9:$DN$508,6,FALSE()))</f>
        <v/>
      </c>
      <c r="DU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IF(ISBLANK($C103),"",IF(E103=Constants!$B$3,TRUE(),IF(E103=Constants!$B$4,FALSE(),TRUE())))</f>
        <v/>
      </c>
      <c r="AG103" s="135" t="str">
        <f aca="false">IF(ISBLANK($C103),"",IF(F103=Constants!$B$3,TRUE(),IF(F103=Constants!$B$4,FALSE(),TRUE())))</f>
        <v/>
      </c>
      <c r="AH103" s="135" t="str">
        <f aca="false">IF(ISBLANK($C103),"",IF(G103=Constants!$B$3,TRUE(),IF(G103=Constants!$B$4,FALSE(),TRUE())))</f>
        <v/>
      </c>
      <c r="AI103" s="135" t="str">
        <f aca="false">IF(ISBLANK($C103),"",IF(AND(ISNUMBER(H103),H103&gt;=0),H103,Constants!$B$29))</f>
        <v/>
      </c>
      <c r="AJ103" s="135" t="str">
        <f aca="false">IF(ISBLANK($C103),"",IF(I103=Constants!$B$3,TRUE(),IF(I103=Constants!$B$4,FALSE(),TRUE())))</f>
        <v/>
      </c>
      <c r="AK103" s="135" t="str">
        <f aca="false">IF(ISBLANK($C103),"",IF(J103=Constants!$B$3,TRUE(),IF(J103=Constants!$B$4,FALSE(),TRUE())))</f>
        <v/>
      </c>
      <c r="AL103" s="135" t="str">
        <f aca="false">IF(ISBLANK($C103),"",IF(K103=Constants!$B$5,TRUE(),IF(K103=Constants!$B$6,FALSE(),COUNTA(L103:P103)&gt;0)))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IF(ISBLANK($C103),"",IF(N103=Constants!$B$3,TRUE(),IF(N103=Constants!$B$4,FALSE(),TRUE())))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IF(ISBLANK($C103),"",IF(P103=Constants!$B$3,TRUE(),IF(P103=Constants!$B$4,FALSE(),FALSE())))</f>
        <v/>
      </c>
      <c r="AR103" s="135" t="str">
        <f aca="false">IF(ISBLANK($C103),"",IF(Q103=Constants!$B$3,TRUE(),IF(Q103=Constants!$B$4,FALSE(),TRUE())))</f>
        <v/>
      </c>
      <c r="AS103" s="135" t="str">
        <f aca="false">IF(ISBLANK($C103),"",IF(R103=Constants!$B$3,TRUE(),IF(R103=Constants!$B$4,FALSE(),TRUE())))</f>
        <v/>
      </c>
      <c r="AT103" s="135" t="str">
        <f aca="false">IF(ISBLANK($C103),"",IF(S103=Constants!$B$5,TRUE(),IF(S103=Constants!$B$6,FALSE(),COUNTA(T103:X103)&gt;0)))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IF(ISBLANK($C103),"",IF(V103=Constants!$B$3,TRUE(),IF(V103=Constants!$B$4,FALSE(),TRUE())))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IF(ISBLANK($C103),"",IF(X103=Constants!$B$3,TRUE(),IF(X103=Constants!$B$4,FALSE(),FALSE())))</f>
        <v/>
      </c>
      <c r="AZ103" s="135" t="str">
        <f aca="false">IF(ISBLANK($C103),"",MIN(Constants!$B$31,MAX(0,IF(ISNUMBER(Y103),Y103*60,0)+IF(ISNUMBER(Z103),Z103,0))))</f>
        <v/>
      </c>
      <c r="BA103" s="135" t="str">
        <f aca="false">IF(ISBLANK($C103),"",IF(AA103=Constants!$B$3,TRUE(),IF(AA103=Constants!$B$4,FALSE(),FALSE())))</f>
        <v/>
      </c>
      <c r="BB103" s="134" t="str">
        <f aca="false">IF(ISBLANK($C103),"",AND($AL103,OR($AM103="",$AN103="",AND($AO103,$AP103=""))))</f>
        <v/>
      </c>
      <c r="BC103" s="137" t="str">
        <f aca="false">IF($BZ103&lt;&gt;Constants!$B$8,"",IF($AL103,Constants!$B$21*$AN103+Constants!$B$22*IF($AO103,$AP103,Constants!$B$23),Constants!$B$24))</f>
        <v/>
      </c>
      <c r="BD103" s="138" t="str">
        <f aca="false">IF($BZ103&lt;&gt;Constants!$B$8,"",Constants!$B$25*ABS($AD$9-IF($AL103,$AM103,0)))</f>
        <v/>
      </c>
      <c r="BE103" s="138" t="str">
        <f aca="false">IF($BZ103&lt;&gt;Constants!$B$8,"",IF(AND($AL103,$AQ103,$AO103),Constants!$B$27,0))</f>
        <v/>
      </c>
      <c r="BF103" s="138" t="str">
        <f aca="false">IF($BZ103&lt;&gt;Constants!$B$8,"",IF($AL103,($AI103-Constants!$B$29)*Constants!$B$28,0))</f>
        <v/>
      </c>
      <c r="BG103" s="138" t="str">
        <f aca="false">IF($BZ103&lt;&gt;Constants!$B$8,"",IF($AK103,0,Constants!$B$15)+IF($AJ103,0,Constants!$B$16)+IF($AH103,0,Constants!$B$17))</f>
        <v/>
      </c>
      <c r="BH103" s="139" t="str">
        <f aca="false">IF($BZ103&lt;&gt;Constants!$B$8,"",Constants!$B$20+SUM($BC103:$BG103))</f>
        <v/>
      </c>
      <c r="BI103" s="138" t="str">
        <f aca="false">IF($BZ103&lt;&gt;Constants!$B$8,"",$BC103)</f>
        <v/>
      </c>
      <c r="BJ103" s="138" t="str">
        <f aca="false">IF($BZ103&lt;&gt;Constants!$B$8,"",$BD103)</f>
        <v/>
      </c>
      <c r="BK103" s="138" t="str">
        <f aca="false">IF($BZ103&lt;&gt;Constants!$B$8,"",IF($AL103,$AN103,""))</f>
        <v/>
      </c>
      <c r="BL103" s="140" t="str">
        <f aca="false">IF($BZ103&lt;&gt;Constants!$B$8,"",$AI103)</f>
        <v/>
      </c>
      <c r="BM103" s="135" t="str">
        <f aca="false">IF($BZ103&lt;&gt;Constants!$B$8,"",IF(OR($BT103&lt;$BH103,AND($BT103=$BH103,OR($BU103&lt;$BI103,AND($BU103=$BI103,OR($BV103&lt;$BJ103,AND($BV103=$BJ103,OR(AND(ISNUMBER($BW103),OR(NOT(ISNUMBER($BK103)),$BW103&lt;$BK103)),AND(OR(AND($BW103="",$BK103=""),AND(ISNUMBER($BW103),ISNUMBER($BK103),$BW103=$BK103)),$BX103&lt;$BL103)))))))),"-&gt;","&lt;-"))</f>
        <v/>
      </c>
      <c r="BN103" s="134" t="str">
        <f aca="false">IF(ISBLANK($C103),"",AND($AT103,OR($AU103="",$AV103="",AND($AW103,$AX103=""))))</f>
        <v/>
      </c>
      <c r="BO103" s="137" t="str">
        <f aca="false">IF($BZ103&lt;&gt;Constants!$B$8,"",IF($AT103,Constants!$B$21*$AV103+Constants!$B$22*IF($AW103,$AX103,Constants!$B$23),Constants!$B$24))</f>
        <v/>
      </c>
      <c r="BP103" s="138" t="str">
        <f aca="false">IF($BZ103&lt;&gt;Constants!$B$8,"",Constants!$B$25*ABS($AD$9-IF($AT103,$AU103,0)))</f>
        <v/>
      </c>
      <c r="BQ103" s="138" t="str">
        <f aca="false">IF($BZ103&lt;&gt;Constants!$B$8,"",IF(AND($AT103,$AY103,$AW103),Constants!$B$27,0))</f>
        <v/>
      </c>
      <c r="BR103" s="138" t="str">
        <f aca="false">IF($BZ103&lt;&gt;Constants!$B$8,"",IF($AT103,($AI103-Constants!$B$29)*Constants!$B$28,0))</f>
        <v/>
      </c>
      <c r="BS103" s="138" t="str">
        <f aca="false">IF($BZ103&lt;&gt;Constants!$B$8,"",IF($AS103,0,Constants!$B$15)+IF($AR103,0,Constants!$B$16)+IF($AH103,0,Constants!$B$17))</f>
        <v/>
      </c>
      <c r="BT103" s="139" t="str">
        <f aca="false">IF($BZ103&lt;&gt;Constants!$B$8,"",Constants!$B$20+SUM($BO103:$BS103))</f>
        <v/>
      </c>
      <c r="BU103" s="138" t="str">
        <f aca="false">IF($BZ103&lt;&gt;Constants!$B$8,"",$BO103)</f>
        <v/>
      </c>
      <c r="BV103" s="138" t="str">
        <f aca="false">IF($BZ103&lt;&gt;Constants!$B$8,"",$BP103)</f>
        <v/>
      </c>
      <c r="BW103" s="138" t="str">
        <f aca="false">IF($BZ103&lt;&gt;Constants!$B$8,"",IF($AT103,$AV103,""))</f>
        <v/>
      </c>
      <c r="BX103" s="140" t="str">
        <f aca="false">IF($BZ103&lt;&gt;Constants!$B$8,"",$AI103)</f>
        <v/>
      </c>
      <c r="BY103" s="135" t="str">
        <f aca="false">IF(ISBLANK($C103),"",IF(ISBLANK($D$7),$BY$5,IF(NOT(ISNUMBER($D$7)),$BY$6,"")))</f>
        <v/>
      </c>
      <c r="BZ103" s="135" t="str">
        <f aca="false">IF(ISBLANK($C103),"",IF($BA103,Constants!$B$11,IF(COUNTA($E103:$AA103)=0,Constants!$B$10,IF(NOT($AG103),Constants!$B$9,IF(OR($BY103&lt;&gt;"",$BB103,$BN103),Constants!$B$12,Constants!$B$8)))))</f>
        <v/>
      </c>
      <c r="CA103" s="135" t="str">
        <f aca="false">IF(ISBLANK($C103),"",IF($BZ103&lt;&gt;Constants!$B$8,$BZ103,Constants!$B$13))</f>
        <v/>
      </c>
      <c r="CB103" s="138" t="str">
        <f aca="false">IF($BZ103&lt;&gt;Constants!$B$8,"",IF($BM103="-&gt;",$BT103,$BH103))</f>
        <v/>
      </c>
      <c r="CC103" s="138" t="str">
        <f aca="false">IF($BZ103&lt;&gt;Constants!$B$8,"",IF($AF103,0,Constants!$B$18))</f>
        <v/>
      </c>
      <c r="CD103" s="138" t="str">
        <f aca="false">IF($BZ103&lt;&gt;Constants!$B$8,"",((Constants!$B$31-$AZ103)-Constants!$B$31)/Constants!$B$32)</f>
        <v/>
      </c>
      <c r="CE103" s="138" t="str">
        <f aca="false">IF(ISBLANK($C103),"",IF($BZ103&lt;&gt;Constants!$B$8,$BZ103,SUM($CB103:$CD103)))</f>
        <v/>
      </c>
      <c r="CF103" s="135" t="str">
        <f aca="false">IF(ISBLANK($C103),"",IF($BZ103&lt;&gt;Constants!$B$8,$BZ103,RANK($CE103,$CE$9:$CE$508,1)))</f>
        <v/>
      </c>
      <c r="CG103" s="138" t="str">
        <f aca="false">IF($BZ103&lt;&gt;Constants!$B$8,"",IF($BM103="-&gt;",$BU103,$BI103))</f>
        <v/>
      </c>
      <c r="CH103" s="135" t="str">
        <f aca="false">IF(ISBLANK($C103),"",IF($BZ103&lt;&gt;Constants!$B$8,$BZ103,IF(ISNUMBER($CG103),RANK($CG103,$CG$9:$CG$508,1),COUNT($CG$9:$CG$508)+1)))</f>
        <v/>
      </c>
      <c r="CI103" s="138" t="str">
        <f aca="false">IF($BZ103&lt;&gt;Constants!$B$8,"",IF($BM103="-&gt;",$BV103,$BJ103))</f>
        <v/>
      </c>
      <c r="CJ103" s="135" t="str">
        <f aca="false">IF(ISBLANK($C103),"",IF($BZ103&lt;&gt;Constants!$B$8,$BZ103,IF(ISNUMBER($CI103),RANK($CI103,$CI$9:$CI$508,1),COUNT($CI$9:$CI$508)+1)))</f>
        <v/>
      </c>
      <c r="CK103" s="138" t="str">
        <f aca="false">IF($BZ103&lt;&gt;Constants!$B$8,"",IF($BM103="-&gt;",$BW103,$BK103))</f>
        <v/>
      </c>
      <c r="CL103" s="135" t="str">
        <f aca="false">IF(ISBLANK($C103),"",IF($BZ103&lt;&gt;Constants!$B$8,$BZ103,IF(ISNUMBER($CK103),RANK($CK103,$CK$9:$CK$508,1),COUNT($CK$9:$CK$508)+1)))</f>
        <v/>
      </c>
      <c r="CM103" s="138" t="str">
        <f aca="false">IF($BZ103&lt;&gt;Constants!$B$8,"",IF(AND(NOT($AL103),NOT($AT103),$AJ103,$AK103,$AR103,$AS103),"",IF($BM103="-&gt;",$BX103,$BL103)))</f>
        <v/>
      </c>
      <c r="CN103" s="135" t="str">
        <f aca="false">IF(ISBLANK($C103),"",IF($BZ103&lt;&gt;Constants!$B$8,$BZ103,IF(ISNUMBER($CM103),RANK($CM103,$CM$9:$CM$508,1),COUNT($CM$9:$CM$508)+1)))</f>
        <v/>
      </c>
      <c r="CO103" s="135" t="str">
        <f aca="false">IF(ISBLANK($C103),"",IF($BZ103&lt;&gt;Constants!$B$8,$BZ103,COUNTIFS($CF$9:$CF$508,"&lt;"&amp;$CF103)+COUNTIFS($CF$9:$CF$508,$CF103,$CH$9:$CH$508,"&lt;"&amp;$CH103)+COUNTIFS($CF$9:$CF$508,$CF103,$CH$9:$CH$508,$CH103,$CJ$9:$CJ$508,"&lt;"&amp;$CJ103)+COUNTIFS($CF$9:$CF$508,$CF103,$CH$9:$CH$508,$CH103,$CJ$9:$CJ$508,$CJ103,$CL$9:$CL$508,"&lt;"&amp;$CL103)+COUNTIFS($CF$9:$CF$508,$CF103,$CH$9:$CH$508,$CH103,$CJ$9:$CJ$508,$CJ103,$CL$9:$CL$508,$CL103,$CN$9:$CN$508,"&lt;"&amp;$CN103)+1))</f>
        <v/>
      </c>
      <c r="CP103" s="135" t="str">
        <f aca="false">IF(ISBLANK($C103),"",IF($BZ103&lt;&gt;Constants!$B$8,$BZ103,$CF103-$CO103))</f>
        <v/>
      </c>
      <c r="CQ103" s="141"/>
      <c r="CR103" s="142"/>
      <c r="CS103" s="143" t="str">
        <f aca="false">IF(ISBLANK($C103),"",IF($BZ103=Constants!$B$12,$BY103,""))</f>
        <v/>
      </c>
      <c r="CT103" s="142" t="str">
        <f aca="false">IF(ISBLANK($C103),"",IF($BZ103&lt;&gt;Constants!$B$8,"",IF($BM103="-&gt;",2,1)))</f>
        <v/>
      </c>
      <c r="CU103" s="144" t="str">
        <f aca="false">IF(ISBLANK($C103),"",IF($BZ103&lt;&gt;Constants!$B$8,"",IF($BM103="-&gt;",$BO103,$BC103)))</f>
        <v/>
      </c>
      <c r="CV103" s="144" t="str">
        <f aca="false">IF(ISBLANK($C103),"",IF($BZ103&lt;&gt;Constants!$B$8,"",IF($BM103="-&gt;",$BP103,$BD103)))</f>
        <v/>
      </c>
      <c r="CW103" s="144" t="str">
        <f aca="false">IF(ISBLANK($C103),"",IF($BZ103&lt;&gt;Constants!$B$8,"",IF($BM103="-&gt;",$BQ103+$BR103,$BE103+$BF103)+$CD103))</f>
        <v/>
      </c>
      <c r="CX103" s="144" t="str">
        <f aca="false">IF(ISBLANK($C103),"",IF($BZ103&lt;&gt;Constants!$B$8,"",IF($BM103="-&gt;",$BS103,$BG103)+$CC103))</f>
        <v/>
      </c>
      <c r="CY103" s="145" t="str">
        <f aca="false">IF(ISBLANK($C103),"",IF($BZ103&lt;&gt;Constants!$B$8,$BZ103,$CE103))</f>
        <v/>
      </c>
      <c r="CZ103" s="146" t="str">
        <f aca="false">IF(ISBLANK($C103),"",$CA103)</f>
        <v/>
      </c>
      <c r="DA103" s="147" t="str">
        <f aca="false">IF(ISBLANK($C103),"",$CP103)</f>
        <v/>
      </c>
      <c r="DB103" s="147" t="str">
        <f aca="false">IF(ISBLANK($C103),"",$CO103)</f>
        <v/>
      </c>
      <c r="DC103" s="148" t="str">
        <f aca="false">IF(ISBLANK($C103),"",IFERROR(_xlfn.SWITCH($DB103,Constants!$B$11,COUNTA($C$9:$C$508)+2,Constants!$B$10,COUNTA($C$9:$C$508)+1,Constants!$B$9,COUNTA($C$9:$C$508)),$DB103))</f>
        <v/>
      </c>
      <c r="DD103" s="9"/>
      <c r="DE103" s="149" t="n">
        <f aca="false">IF(OR(ISNUMBER($DB103),$DB103=Constants!$B$11,$DB103=Constants!$B$9,$DB103=Constants!$B$10),1,0)</f>
        <v>0</v>
      </c>
      <c r="DF103" s="149" t="n">
        <v>95</v>
      </c>
      <c r="DG103" s="149" t="str">
        <f aca="false">IF(ISBLANK($C103),"",IF(ISNUMBER($DC103),$DC103+ROW($B103)/1000,""))</f>
        <v/>
      </c>
      <c r="DH103" s="149" t="str">
        <f aca="false">IF(ISNUMBER($DG103),RANK($DG103,$DG$9:$DG$508,1),"")</f>
        <v/>
      </c>
      <c r="DI103" s="149" t="str">
        <f aca="false">IF(ISBLANK($C103),"",$B103)</f>
        <v/>
      </c>
      <c r="DJ103" s="149" t="str">
        <f aca="false">IF(ISBLANK($C103),"",$C103)</f>
        <v/>
      </c>
      <c r="DK103" s="149" t="str">
        <f aca="false">IF(ISBLANK($C103),"",$D103)</f>
        <v/>
      </c>
      <c r="DL103" s="150" t="str">
        <f aca="false">$CZ103</f>
        <v/>
      </c>
      <c r="DM103" s="151" t="str">
        <f aca="false">$CY103</f>
        <v/>
      </c>
      <c r="DN103" s="149" t="str">
        <f aca="false">IF(ISBLANK($C103),"",$DB103)</f>
        <v/>
      </c>
      <c r="DO103" s="152" t="str">
        <f aca="false">IF($DF103&gt;$DE$8,"",VLOOKUP($DF103,$DH$9:$DN$508,7,FALSE()))</f>
        <v/>
      </c>
      <c r="DP103" s="153" t="str">
        <f aca="false">IF($DF103&gt;$DE$8,"",VLOOKUP($DF103,$DH$9:$DN$508,2,FALSE()))</f>
        <v/>
      </c>
      <c r="DQ103" s="153" t="str">
        <f aca="false">IF($DF103&gt;$DE$8,"",VLOOKUP($DF103,$DH$9:$DN$508,3,FALSE()))</f>
        <v/>
      </c>
      <c r="DR103" s="153" t="str">
        <f aca="false">IF($DF103&gt;$DE$8,"",VLOOKUP($DF103,$DH$9:$DN$508,4,FALSE()))</f>
        <v/>
      </c>
      <c r="DS103" s="153" t="str">
        <f aca="false">IF($DF103&gt;$DE$8,"",VLOOKUP($DF103,$DH$9:$DN$508,5,FALSE()))</f>
        <v/>
      </c>
      <c r="DT103" s="154" t="str">
        <f aca="false">IF($DF103&gt;$DE$8,"",VLOOKUP($DF103,$DH$9:$DN$508,6,FALSE()))</f>
        <v/>
      </c>
      <c r="DU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IF(ISBLANK($C104),"",IF(E104=Constants!$B$3,TRUE(),IF(E104=Constants!$B$4,FALSE(),TRUE())))</f>
        <v/>
      </c>
      <c r="AG104" s="135" t="str">
        <f aca="false">IF(ISBLANK($C104),"",IF(F104=Constants!$B$3,TRUE(),IF(F104=Constants!$B$4,FALSE(),TRUE())))</f>
        <v/>
      </c>
      <c r="AH104" s="135" t="str">
        <f aca="false">IF(ISBLANK($C104),"",IF(G104=Constants!$B$3,TRUE(),IF(G104=Constants!$B$4,FALSE(),TRUE())))</f>
        <v/>
      </c>
      <c r="AI104" s="135" t="str">
        <f aca="false">IF(ISBLANK($C104),"",IF(AND(ISNUMBER(H104),H104&gt;=0),H104,Constants!$B$29))</f>
        <v/>
      </c>
      <c r="AJ104" s="135" t="str">
        <f aca="false">IF(ISBLANK($C104),"",IF(I104=Constants!$B$3,TRUE(),IF(I104=Constants!$B$4,FALSE(),TRUE())))</f>
        <v/>
      </c>
      <c r="AK104" s="135" t="str">
        <f aca="false">IF(ISBLANK($C104),"",IF(J104=Constants!$B$3,TRUE(),IF(J104=Constants!$B$4,FALSE(),TRUE())))</f>
        <v/>
      </c>
      <c r="AL104" s="135" t="str">
        <f aca="false">IF(ISBLANK($C104),"",IF(K104=Constants!$B$5,TRUE(),IF(K104=Constants!$B$6,FALSE(),COUNTA(L104:P104)&gt;0)))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IF(ISBLANK($C104),"",IF(N104=Constants!$B$3,TRUE(),IF(N104=Constants!$B$4,FALSE(),TRUE())))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IF(ISBLANK($C104),"",IF(P104=Constants!$B$3,TRUE(),IF(P104=Constants!$B$4,FALSE(),FALSE())))</f>
        <v/>
      </c>
      <c r="AR104" s="135" t="str">
        <f aca="false">IF(ISBLANK($C104),"",IF(Q104=Constants!$B$3,TRUE(),IF(Q104=Constants!$B$4,FALSE(),TRUE())))</f>
        <v/>
      </c>
      <c r="AS104" s="135" t="str">
        <f aca="false">IF(ISBLANK($C104),"",IF(R104=Constants!$B$3,TRUE(),IF(R104=Constants!$B$4,FALSE(),TRUE())))</f>
        <v/>
      </c>
      <c r="AT104" s="135" t="str">
        <f aca="false">IF(ISBLANK($C104),"",IF(S104=Constants!$B$5,TRUE(),IF(S104=Constants!$B$6,FALSE(),COUNTA(T104:X104)&gt;0)))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IF(ISBLANK($C104),"",IF(V104=Constants!$B$3,TRUE(),IF(V104=Constants!$B$4,FALSE(),TRUE())))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IF(ISBLANK($C104),"",IF(X104=Constants!$B$3,TRUE(),IF(X104=Constants!$B$4,FALSE(),FALSE())))</f>
        <v/>
      </c>
      <c r="AZ104" s="135" t="str">
        <f aca="false">IF(ISBLANK($C104),"",MIN(Constants!$B$31,MAX(0,IF(ISNUMBER(Y104),Y104*60,0)+IF(ISNUMBER(Z104),Z104,0))))</f>
        <v/>
      </c>
      <c r="BA104" s="135" t="str">
        <f aca="false">IF(ISBLANK($C104),"",IF(AA104=Constants!$B$3,TRUE(),IF(AA104=Constants!$B$4,FALSE(),FALSE())))</f>
        <v/>
      </c>
      <c r="BB104" s="134" t="str">
        <f aca="false">IF(ISBLANK($C104),"",AND($AL104,OR($AM104="",$AN104="",AND($AO104,$AP104=""))))</f>
        <v/>
      </c>
      <c r="BC104" s="137" t="str">
        <f aca="false">IF($BZ104&lt;&gt;Constants!$B$8,"",IF($AL104,Constants!$B$21*$AN104+Constants!$B$22*IF($AO104,$AP104,Constants!$B$23),Constants!$B$24))</f>
        <v/>
      </c>
      <c r="BD104" s="138" t="str">
        <f aca="false">IF($BZ104&lt;&gt;Constants!$B$8,"",Constants!$B$25*ABS($AD$9-IF($AL104,$AM104,0)))</f>
        <v/>
      </c>
      <c r="BE104" s="138" t="str">
        <f aca="false">IF($BZ104&lt;&gt;Constants!$B$8,"",IF(AND($AL104,$AQ104,$AO104),Constants!$B$27,0))</f>
        <v/>
      </c>
      <c r="BF104" s="138" t="str">
        <f aca="false">IF($BZ104&lt;&gt;Constants!$B$8,"",IF($AL104,($AI104-Constants!$B$29)*Constants!$B$28,0))</f>
        <v/>
      </c>
      <c r="BG104" s="138" t="str">
        <f aca="false">IF($BZ104&lt;&gt;Constants!$B$8,"",IF($AK104,0,Constants!$B$15)+IF($AJ104,0,Constants!$B$16)+IF($AH104,0,Constants!$B$17))</f>
        <v/>
      </c>
      <c r="BH104" s="139" t="str">
        <f aca="false">IF($BZ104&lt;&gt;Constants!$B$8,"",Constants!$B$20+SUM($BC104:$BG104))</f>
        <v/>
      </c>
      <c r="BI104" s="138" t="str">
        <f aca="false">IF($BZ104&lt;&gt;Constants!$B$8,"",$BC104)</f>
        <v/>
      </c>
      <c r="BJ104" s="138" t="str">
        <f aca="false">IF($BZ104&lt;&gt;Constants!$B$8,"",$BD104)</f>
        <v/>
      </c>
      <c r="BK104" s="138" t="str">
        <f aca="false">IF($BZ104&lt;&gt;Constants!$B$8,"",IF($AL104,$AN104,""))</f>
        <v/>
      </c>
      <c r="BL104" s="140" t="str">
        <f aca="false">IF($BZ104&lt;&gt;Constants!$B$8,"",$AI104)</f>
        <v/>
      </c>
      <c r="BM104" s="135" t="str">
        <f aca="false">IF($BZ104&lt;&gt;Constants!$B$8,"",IF(OR($BT104&lt;$BH104,AND($BT104=$BH104,OR($BU104&lt;$BI104,AND($BU104=$BI104,OR($BV104&lt;$BJ104,AND($BV104=$BJ104,OR(AND(ISNUMBER($BW104),OR(NOT(ISNUMBER($BK104)),$BW104&lt;$BK104)),AND(OR(AND($BW104="",$BK104=""),AND(ISNUMBER($BW104),ISNUMBER($BK104),$BW104=$BK104)),$BX104&lt;$BL104)))))))),"-&gt;","&lt;-"))</f>
        <v/>
      </c>
      <c r="BN104" s="134" t="str">
        <f aca="false">IF(ISBLANK($C104),"",AND($AT104,OR($AU104="",$AV104="",AND($AW104,$AX104=""))))</f>
        <v/>
      </c>
      <c r="BO104" s="137" t="str">
        <f aca="false">IF($BZ104&lt;&gt;Constants!$B$8,"",IF($AT104,Constants!$B$21*$AV104+Constants!$B$22*IF($AW104,$AX104,Constants!$B$23),Constants!$B$24))</f>
        <v/>
      </c>
      <c r="BP104" s="138" t="str">
        <f aca="false">IF($BZ104&lt;&gt;Constants!$B$8,"",Constants!$B$25*ABS($AD$9-IF($AT104,$AU104,0)))</f>
        <v/>
      </c>
      <c r="BQ104" s="138" t="str">
        <f aca="false">IF($BZ104&lt;&gt;Constants!$B$8,"",IF(AND($AT104,$AY104,$AW104),Constants!$B$27,0))</f>
        <v/>
      </c>
      <c r="BR104" s="138" t="str">
        <f aca="false">IF($BZ104&lt;&gt;Constants!$B$8,"",IF($AT104,($AI104-Constants!$B$29)*Constants!$B$28,0))</f>
        <v/>
      </c>
      <c r="BS104" s="138" t="str">
        <f aca="false">IF($BZ104&lt;&gt;Constants!$B$8,"",IF($AS104,0,Constants!$B$15)+IF($AR104,0,Constants!$B$16)+IF($AH104,0,Constants!$B$17))</f>
        <v/>
      </c>
      <c r="BT104" s="139" t="str">
        <f aca="false">IF($BZ104&lt;&gt;Constants!$B$8,"",Constants!$B$20+SUM($BO104:$BS104))</f>
        <v/>
      </c>
      <c r="BU104" s="138" t="str">
        <f aca="false">IF($BZ104&lt;&gt;Constants!$B$8,"",$BO104)</f>
        <v/>
      </c>
      <c r="BV104" s="138" t="str">
        <f aca="false">IF($BZ104&lt;&gt;Constants!$B$8,"",$BP104)</f>
        <v/>
      </c>
      <c r="BW104" s="138" t="str">
        <f aca="false">IF($BZ104&lt;&gt;Constants!$B$8,"",IF($AT104,$AV104,""))</f>
        <v/>
      </c>
      <c r="BX104" s="140" t="str">
        <f aca="false">IF($BZ104&lt;&gt;Constants!$B$8,"",$AI104)</f>
        <v/>
      </c>
      <c r="BY104" s="135" t="str">
        <f aca="false">IF(ISBLANK($C104),"",IF(ISBLANK($D$7),$BY$5,IF(NOT(ISNUMBER($D$7)),$BY$6,"")))</f>
        <v/>
      </c>
      <c r="BZ104" s="135" t="str">
        <f aca="false">IF(ISBLANK($C104),"",IF($BA104,Constants!$B$11,IF(COUNTA($E104:$AA104)=0,Constants!$B$10,IF(NOT($AG104),Constants!$B$9,IF(OR($BY104&lt;&gt;"",$BB104,$BN104),Constants!$B$12,Constants!$B$8)))))</f>
        <v/>
      </c>
      <c r="CA104" s="135" t="str">
        <f aca="false">IF(ISBLANK($C104),"",IF($BZ104&lt;&gt;Constants!$B$8,$BZ104,Constants!$B$13))</f>
        <v/>
      </c>
      <c r="CB104" s="138" t="str">
        <f aca="false">IF($BZ104&lt;&gt;Constants!$B$8,"",IF($BM104="-&gt;",$BT104,$BH104))</f>
        <v/>
      </c>
      <c r="CC104" s="138" t="str">
        <f aca="false">IF($BZ104&lt;&gt;Constants!$B$8,"",IF($AF104,0,Constants!$B$18))</f>
        <v/>
      </c>
      <c r="CD104" s="138" t="str">
        <f aca="false">IF($BZ104&lt;&gt;Constants!$B$8,"",((Constants!$B$31-$AZ104)-Constants!$B$31)/Constants!$B$32)</f>
        <v/>
      </c>
      <c r="CE104" s="138" t="str">
        <f aca="false">IF(ISBLANK($C104),"",IF($BZ104&lt;&gt;Constants!$B$8,$BZ104,SUM($CB104:$CD104)))</f>
        <v/>
      </c>
      <c r="CF104" s="135" t="str">
        <f aca="false">IF(ISBLANK($C104),"",IF($BZ104&lt;&gt;Constants!$B$8,$BZ104,RANK($CE104,$CE$9:$CE$508,1)))</f>
        <v/>
      </c>
      <c r="CG104" s="138" t="str">
        <f aca="false">IF($BZ104&lt;&gt;Constants!$B$8,"",IF($BM104="-&gt;",$BU104,$BI104))</f>
        <v/>
      </c>
      <c r="CH104" s="135" t="str">
        <f aca="false">IF(ISBLANK($C104),"",IF($BZ104&lt;&gt;Constants!$B$8,$BZ104,IF(ISNUMBER($CG104),RANK($CG104,$CG$9:$CG$508,1),COUNT($CG$9:$CG$508)+1)))</f>
        <v/>
      </c>
      <c r="CI104" s="138" t="str">
        <f aca="false">IF($BZ104&lt;&gt;Constants!$B$8,"",IF($BM104="-&gt;",$BV104,$BJ104))</f>
        <v/>
      </c>
      <c r="CJ104" s="135" t="str">
        <f aca="false">IF(ISBLANK($C104),"",IF($BZ104&lt;&gt;Constants!$B$8,$BZ104,IF(ISNUMBER($CI104),RANK($CI104,$CI$9:$CI$508,1),COUNT($CI$9:$CI$508)+1)))</f>
        <v/>
      </c>
      <c r="CK104" s="138" t="str">
        <f aca="false">IF($BZ104&lt;&gt;Constants!$B$8,"",IF($BM104="-&gt;",$BW104,$BK104))</f>
        <v/>
      </c>
      <c r="CL104" s="135" t="str">
        <f aca="false">IF(ISBLANK($C104),"",IF($BZ104&lt;&gt;Constants!$B$8,$BZ104,IF(ISNUMBER($CK104),RANK($CK104,$CK$9:$CK$508,1),COUNT($CK$9:$CK$508)+1)))</f>
        <v/>
      </c>
      <c r="CM104" s="138" t="str">
        <f aca="false">IF($BZ104&lt;&gt;Constants!$B$8,"",IF(AND(NOT($AL104),NOT($AT104),$AJ104,$AK104,$AR104,$AS104),"",IF($BM104="-&gt;",$BX104,$BL104)))</f>
        <v/>
      </c>
      <c r="CN104" s="135" t="str">
        <f aca="false">IF(ISBLANK($C104),"",IF($BZ104&lt;&gt;Constants!$B$8,$BZ104,IF(ISNUMBER($CM104),RANK($CM104,$CM$9:$CM$508,1),COUNT($CM$9:$CM$508)+1)))</f>
        <v/>
      </c>
      <c r="CO104" s="135" t="str">
        <f aca="false">IF(ISBLANK($C104),"",IF($BZ104&lt;&gt;Constants!$B$8,$BZ104,COUNTIFS($CF$9:$CF$508,"&lt;"&amp;$CF104)+COUNTIFS($CF$9:$CF$508,$CF104,$CH$9:$CH$508,"&lt;"&amp;$CH104)+COUNTIFS($CF$9:$CF$508,$CF104,$CH$9:$CH$508,$CH104,$CJ$9:$CJ$508,"&lt;"&amp;$CJ104)+COUNTIFS($CF$9:$CF$508,$CF104,$CH$9:$CH$508,$CH104,$CJ$9:$CJ$508,$CJ104,$CL$9:$CL$508,"&lt;"&amp;$CL104)+COUNTIFS($CF$9:$CF$508,$CF104,$CH$9:$CH$508,$CH104,$CJ$9:$CJ$508,$CJ104,$CL$9:$CL$508,$CL104,$CN$9:$CN$508,"&lt;"&amp;$CN104)+1))</f>
        <v/>
      </c>
      <c r="CP104" s="135" t="str">
        <f aca="false">IF(ISBLANK($C104),"",IF($BZ104&lt;&gt;Constants!$B$8,$BZ104,$CF104-$CO104))</f>
        <v/>
      </c>
      <c r="CQ104" s="141"/>
      <c r="CR104" s="142"/>
      <c r="CS104" s="143" t="str">
        <f aca="false">IF(ISBLANK($C104),"",IF($BZ104=Constants!$B$12,$BY104,""))</f>
        <v/>
      </c>
      <c r="CT104" s="142" t="str">
        <f aca="false">IF(ISBLANK($C104),"",IF($BZ104&lt;&gt;Constants!$B$8,"",IF($BM104="-&gt;",2,1)))</f>
        <v/>
      </c>
      <c r="CU104" s="144" t="str">
        <f aca="false">IF(ISBLANK($C104),"",IF($BZ104&lt;&gt;Constants!$B$8,"",IF($BM104="-&gt;",$BO104,$BC104)))</f>
        <v/>
      </c>
      <c r="CV104" s="144" t="str">
        <f aca="false">IF(ISBLANK($C104),"",IF($BZ104&lt;&gt;Constants!$B$8,"",IF($BM104="-&gt;",$BP104,$BD104)))</f>
        <v/>
      </c>
      <c r="CW104" s="144" t="str">
        <f aca="false">IF(ISBLANK($C104),"",IF($BZ104&lt;&gt;Constants!$B$8,"",IF($BM104="-&gt;",$BQ104+$BR104,$BE104+$BF104)+$CD104))</f>
        <v/>
      </c>
      <c r="CX104" s="144" t="str">
        <f aca="false">IF(ISBLANK($C104),"",IF($BZ104&lt;&gt;Constants!$B$8,"",IF($BM104="-&gt;",$BS104,$BG104)+$CC104))</f>
        <v/>
      </c>
      <c r="CY104" s="145" t="str">
        <f aca="false">IF(ISBLANK($C104),"",IF($BZ104&lt;&gt;Constants!$B$8,$BZ104,$CE104))</f>
        <v/>
      </c>
      <c r="CZ104" s="146" t="str">
        <f aca="false">IF(ISBLANK($C104),"",$CA104)</f>
        <v/>
      </c>
      <c r="DA104" s="147" t="str">
        <f aca="false">IF(ISBLANK($C104),"",$CP104)</f>
        <v/>
      </c>
      <c r="DB104" s="147" t="str">
        <f aca="false">IF(ISBLANK($C104),"",$CO104)</f>
        <v/>
      </c>
      <c r="DC104" s="148" t="str">
        <f aca="false">IF(ISBLANK($C104),"",IFERROR(_xlfn.SWITCH($DB104,Constants!$B$11,COUNTA($C$9:$C$508)+2,Constants!$B$10,COUNTA($C$9:$C$508)+1,Constants!$B$9,COUNTA($C$9:$C$508)),$DB104))</f>
        <v/>
      </c>
      <c r="DD104" s="9"/>
      <c r="DE104" s="149" t="n">
        <f aca="false">IF(OR(ISNUMBER($DB104),$DB104=Constants!$B$11,$DB104=Constants!$B$9,$DB104=Constants!$B$10),1,0)</f>
        <v>0</v>
      </c>
      <c r="DF104" s="149" t="n">
        <v>96</v>
      </c>
      <c r="DG104" s="149" t="str">
        <f aca="false">IF(ISBLANK($C104),"",IF(ISNUMBER($DC104),$DC104+ROW($B104)/1000,""))</f>
        <v/>
      </c>
      <c r="DH104" s="149" t="str">
        <f aca="false">IF(ISNUMBER($DG104),RANK($DG104,$DG$9:$DG$508,1),"")</f>
        <v/>
      </c>
      <c r="DI104" s="149" t="str">
        <f aca="false">IF(ISBLANK($C104),"",$B104)</f>
        <v/>
      </c>
      <c r="DJ104" s="149" t="str">
        <f aca="false">IF(ISBLANK($C104),"",$C104)</f>
        <v/>
      </c>
      <c r="DK104" s="149" t="str">
        <f aca="false">IF(ISBLANK($C104),"",$D104)</f>
        <v/>
      </c>
      <c r="DL104" s="150" t="str">
        <f aca="false">$CZ104</f>
        <v/>
      </c>
      <c r="DM104" s="151" t="str">
        <f aca="false">$CY104</f>
        <v/>
      </c>
      <c r="DN104" s="149" t="str">
        <f aca="false">IF(ISBLANK($C104),"",$DB104)</f>
        <v/>
      </c>
      <c r="DO104" s="152" t="str">
        <f aca="false">IF($DF104&gt;$DE$8,"",VLOOKUP($DF104,$DH$9:$DN$508,7,FALSE()))</f>
        <v/>
      </c>
      <c r="DP104" s="153" t="str">
        <f aca="false">IF($DF104&gt;$DE$8,"",VLOOKUP($DF104,$DH$9:$DN$508,2,FALSE()))</f>
        <v/>
      </c>
      <c r="DQ104" s="153" t="str">
        <f aca="false">IF($DF104&gt;$DE$8,"",VLOOKUP($DF104,$DH$9:$DN$508,3,FALSE()))</f>
        <v/>
      </c>
      <c r="DR104" s="153" t="str">
        <f aca="false">IF($DF104&gt;$DE$8,"",VLOOKUP($DF104,$DH$9:$DN$508,4,FALSE()))</f>
        <v/>
      </c>
      <c r="DS104" s="153" t="str">
        <f aca="false">IF($DF104&gt;$DE$8,"",VLOOKUP($DF104,$DH$9:$DN$508,5,FALSE()))</f>
        <v/>
      </c>
      <c r="DT104" s="154" t="str">
        <f aca="false">IF($DF104&gt;$DE$8,"",VLOOKUP($DF104,$DH$9:$DN$508,6,FALSE()))</f>
        <v/>
      </c>
      <c r="DU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IF(ISBLANK($C105),"",IF(E105=Constants!$B$3,TRUE(),IF(E105=Constants!$B$4,FALSE(),TRUE())))</f>
        <v/>
      </c>
      <c r="AG105" s="93" t="str">
        <f aca="false">IF(ISBLANK($C105),"",IF(F105=Constants!$B$3,TRUE(),IF(F105=Constants!$B$4,FALSE(),TRUE())))</f>
        <v/>
      </c>
      <c r="AH105" s="93" t="str">
        <f aca="false">IF(ISBLANK($C105),"",IF(G105=Constants!$B$3,TRUE(),IF(G105=Constants!$B$4,FALSE(),TRUE())))</f>
        <v/>
      </c>
      <c r="AI105" s="93" t="str">
        <f aca="false">IF(ISBLANK($C105),"",IF(AND(ISNUMBER(H105),H105&gt;=0),H105,Constants!$B$29))</f>
        <v/>
      </c>
      <c r="AJ105" s="93" t="str">
        <f aca="false">IF(ISBLANK($C105),"",IF(I105=Constants!$B$3,TRUE(),IF(I105=Constants!$B$4,FALSE(),TRUE())))</f>
        <v/>
      </c>
      <c r="AK105" s="93" t="str">
        <f aca="false">IF(ISBLANK($C105),"",IF(J105=Constants!$B$3,TRUE(),IF(J105=Constants!$B$4,FALSE(),TRUE())))</f>
        <v/>
      </c>
      <c r="AL105" s="93" t="str">
        <f aca="false">IF(ISBLANK($C105),"",IF(K105=Constants!$B$5,TRUE(),IF(K105=Constants!$B$6,FALSE(),COUNTA(L105:P105)&gt;0)))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IF(ISBLANK($C105),"",IF(N105=Constants!$B$3,TRUE(),IF(N105=Constants!$B$4,FALSE(),TRUE())))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IF(ISBLANK($C105),"",IF(P105=Constants!$B$3,TRUE(),IF(P105=Constants!$B$4,FALSE(),FALSE())))</f>
        <v/>
      </c>
      <c r="AR105" s="93" t="str">
        <f aca="false">IF(ISBLANK($C105),"",IF(Q105=Constants!$B$3,TRUE(),IF(Q105=Constants!$B$4,FALSE(),TRUE())))</f>
        <v/>
      </c>
      <c r="AS105" s="93" t="str">
        <f aca="false">IF(ISBLANK($C105),"",IF(R105=Constants!$B$3,TRUE(),IF(R105=Constants!$B$4,FALSE(),TRUE())))</f>
        <v/>
      </c>
      <c r="AT105" s="93" t="str">
        <f aca="false">IF(ISBLANK($C105),"",IF(S105=Constants!$B$5,TRUE(),IF(S105=Constants!$B$6,FALSE(),COUNTA(T105:X105)&gt;0)))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IF(ISBLANK($C105),"",IF(V105=Constants!$B$3,TRUE(),IF(V105=Constants!$B$4,FALSE(),TRUE())))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IF(ISBLANK($C105),"",IF(X105=Constants!$B$3,TRUE(),IF(X105=Constants!$B$4,FALSE(),FALSE())))</f>
        <v/>
      </c>
      <c r="AZ105" s="93" t="str">
        <f aca="false">IF(ISBLANK($C105),"",MIN(Constants!$B$31,MAX(0,IF(ISNUMBER(Y105),Y105*60,0)+IF(ISNUMBER(Z105),Z105,0))))</f>
        <v/>
      </c>
      <c r="BA105" s="93" t="str">
        <f aca="false">IF(ISBLANK($C105),"",IF(AA105=Constants!$B$3,TRUE(),IF(AA105=Constants!$B$4,FALSE(),FALSE())))</f>
        <v/>
      </c>
      <c r="BB105" s="92" t="str">
        <f aca="false">IF(ISBLANK($C105),"",AND($AL105,OR($AM105="",$AN105="",AND($AO105,$AP105=""))))</f>
        <v/>
      </c>
      <c r="BC105" s="94" t="str">
        <f aca="false">IF($BZ105&lt;&gt;Constants!$B$8,"",IF($AL105,Constants!$B$21*$AN105+Constants!$B$22*IF($AO105,$AP105,Constants!$B$23),Constants!$B$24))</f>
        <v/>
      </c>
      <c r="BD105" s="97" t="str">
        <f aca="false">IF($BZ105&lt;&gt;Constants!$B$8,"",Constants!$B$25*ABS($AD$9-IF($AL105,$AM105,0)))</f>
        <v/>
      </c>
      <c r="BE105" s="97" t="str">
        <f aca="false">IF($BZ105&lt;&gt;Constants!$B$8,"",IF(AND($AL105,$AQ105,$AO105),Constants!$B$27,0))</f>
        <v/>
      </c>
      <c r="BF105" s="97" t="str">
        <f aca="false">IF($BZ105&lt;&gt;Constants!$B$8,"",IF($AL105,($AI105-Constants!$B$29)*Constants!$B$28,0))</f>
        <v/>
      </c>
      <c r="BG105" s="97" t="str">
        <f aca="false">IF($BZ105&lt;&gt;Constants!$B$8,"",IF($AK105,0,Constants!$B$15)+IF($AJ105,0,Constants!$B$16)+IF($AH105,0,Constants!$B$17))</f>
        <v/>
      </c>
      <c r="BH105" s="98" t="str">
        <f aca="false">IF($BZ105&lt;&gt;Constants!$B$8,"",Constants!$B$20+SUM($BC105:$BG105))</f>
        <v/>
      </c>
      <c r="BI105" s="97" t="str">
        <f aca="false">IF($BZ105&lt;&gt;Constants!$B$8,"",$BC105)</f>
        <v/>
      </c>
      <c r="BJ105" s="97" t="str">
        <f aca="false">IF($BZ105&lt;&gt;Constants!$B$8,"",$BD105)</f>
        <v/>
      </c>
      <c r="BK105" s="97" t="str">
        <f aca="false">IF($BZ105&lt;&gt;Constants!$B$8,"",IF($AL105,$AN105,""))</f>
        <v/>
      </c>
      <c r="BL105" s="99" t="str">
        <f aca="false">IF($BZ105&lt;&gt;Constants!$B$8,"",$AI105)</f>
        <v/>
      </c>
      <c r="BM105" s="93" t="str">
        <f aca="false">IF($BZ105&lt;&gt;Constants!$B$8,"",IF(OR($BT105&lt;$BH105,AND($BT105=$BH105,OR($BU105&lt;$BI105,AND($BU105=$BI105,OR($BV105&lt;$BJ105,AND($BV105=$BJ105,OR(AND(ISNUMBER($BW105),OR(NOT(ISNUMBER($BK105)),$BW105&lt;$BK105)),AND(OR(AND($BW105="",$BK105=""),AND(ISNUMBER($BW105),ISNUMBER($BK105),$BW105=$BK105)),$BX105&lt;$BL105)))))))),"-&gt;","&lt;-"))</f>
        <v/>
      </c>
      <c r="BN105" s="92" t="str">
        <f aca="false">IF(ISBLANK($C105),"",AND($AT105,OR($AU105="",$AV105="",AND($AW105,$AX105=""))))</f>
        <v/>
      </c>
      <c r="BO105" s="94" t="str">
        <f aca="false">IF($BZ105&lt;&gt;Constants!$B$8,"",IF($AT105,Constants!$B$21*$AV105+Constants!$B$22*IF($AW105,$AX105,Constants!$B$23),Constants!$B$24))</f>
        <v/>
      </c>
      <c r="BP105" s="97" t="str">
        <f aca="false">IF($BZ105&lt;&gt;Constants!$B$8,"",Constants!$B$25*ABS($AD$9-IF($AT105,$AU105,0)))</f>
        <v/>
      </c>
      <c r="BQ105" s="97" t="str">
        <f aca="false">IF($BZ105&lt;&gt;Constants!$B$8,"",IF(AND($AT105,$AY105,$AW105),Constants!$B$27,0))</f>
        <v/>
      </c>
      <c r="BR105" s="97" t="str">
        <f aca="false">IF($BZ105&lt;&gt;Constants!$B$8,"",IF($AT105,($AI105-Constants!$B$29)*Constants!$B$28,0))</f>
        <v/>
      </c>
      <c r="BS105" s="97" t="str">
        <f aca="false">IF($BZ105&lt;&gt;Constants!$B$8,"",IF($AS105,0,Constants!$B$15)+IF($AR105,0,Constants!$B$16)+IF($AH105,0,Constants!$B$17))</f>
        <v/>
      </c>
      <c r="BT105" s="98" t="str">
        <f aca="false">IF($BZ105&lt;&gt;Constants!$B$8,"",Constants!$B$20+SUM($BO105:$BS105))</f>
        <v/>
      </c>
      <c r="BU105" s="97" t="str">
        <f aca="false">IF($BZ105&lt;&gt;Constants!$B$8,"",$BO105)</f>
        <v/>
      </c>
      <c r="BV105" s="97" t="str">
        <f aca="false">IF($BZ105&lt;&gt;Constants!$B$8,"",$BP105)</f>
        <v/>
      </c>
      <c r="BW105" s="97" t="str">
        <f aca="false">IF($BZ105&lt;&gt;Constants!$B$8,"",IF($AT105,$AV105,""))</f>
        <v/>
      </c>
      <c r="BX105" s="99" t="str">
        <f aca="false">IF($BZ105&lt;&gt;Constants!$B$8,"",$AI105)</f>
        <v/>
      </c>
      <c r="BY105" s="93" t="str">
        <f aca="false">IF(ISBLANK($C105),"",IF(ISBLANK($D$7),$BY$5,IF(NOT(ISNUMBER($D$7)),$BY$6,"")))</f>
        <v/>
      </c>
      <c r="BZ105" s="93" t="str">
        <f aca="false">IF(ISBLANK($C105),"",IF($BA105,Constants!$B$11,IF(COUNTA($E105:$AA105)=0,Constants!$B$10,IF(NOT($AG105),Constants!$B$9,IF(OR($BY105&lt;&gt;"",$BB105,$BN105),Constants!$B$12,Constants!$B$8)))))</f>
        <v/>
      </c>
      <c r="CA105" s="93" t="str">
        <f aca="false">IF(ISBLANK($C105),"",IF($BZ105&lt;&gt;Constants!$B$8,$BZ105,Constants!$B$13))</f>
        <v/>
      </c>
      <c r="CB105" s="97" t="str">
        <f aca="false">IF($BZ105&lt;&gt;Constants!$B$8,"",IF($BM105="-&gt;",$BT105,$BH105))</f>
        <v/>
      </c>
      <c r="CC105" s="97" t="str">
        <f aca="false">IF($BZ105&lt;&gt;Constants!$B$8,"",IF($AF105,0,Constants!$B$18))</f>
        <v/>
      </c>
      <c r="CD105" s="97" t="str">
        <f aca="false">IF($BZ105&lt;&gt;Constants!$B$8,"",((Constants!$B$31-$AZ105)-Constants!$B$31)/Constants!$B$32)</f>
        <v/>
      </c>
      <c r="CE105" s="97" t="str">
        <f aca="false">IF(ISBLANK($C105),"",IF($BZ105&lt;&gt;Constants!$B$8,$BZ105,SUM($CB105:$CD105)))</f>
        <v/>
      </c>
      <c r="CF105" s="93" t="str">
        <f aca="false">IF(ISBLANK($C105),"",IF($BZ105&lt;&gt;Constants!$B$8,$BZ105,RANK($CE105,$CE$9:$CE$508,1)))</f>
        <v/>
      </c>
      <c r="CG105" s="97" t="str">
        <f aca="false">IF($BZ105&lt;&gt;Constants!$B$8,"",IF($BM105="-&gt;",$BU105,$BI105))</f>
        <v/>
      </c>
      <c r="CH105" s="93" t="str">
        <f aca="false">IF(ISBLANK($C105),"",IF($BZ105&lt;&gt;Constants!$B$8,$BZ105,IF(ISNUMBER($CG105),RANK($CG105,$CG$9:$CG$508,1),COUNT($CG$9:$CG$508)+1)))</f>
        <v/>
      </c>
      <c r="CI105" s="97" t="str">
        <f aca="false">IF($BZ105&lt;&gt;Constants!$B$8,"",IF($BM105="-&gt;",$BV105,$BJ105))</f>
        <v/>
      </c>
      <c r="CJ105" s="93" t="str">
        <f aca="false">IF(ISBLANK($C105),"",IF($BZ105&lt;&gt;Constants!$B$8,$BZ105,IF(ISNUMBER($CI105),RANK($CI105,$CI$9:$CI$508,1),COUNT($CI$9:$CI$508)+1)))</f>
        <v/>
      </c>
      <c r="CK105" s="97" t="str">
        <f aca="false">IF($BZ105&lt;&gt;Constants!$B$8,"",IF($BM105="-&gt;",$BW105,$BK105))</f>
        <v/>
      </c>
      <c r="CL105" s="93" t="str">
        <f aca="false">IF(ISBLANK($C105),"",IF($BZ105&lt;&gt;Constants!$B$8,$BZ105,IF(ISNUMBER($CK105),RANK($CK105,$CK$9:$CK$508,1),COUNT($CK$9:$CK$508)+1)))</f>
        <v/>
      </c>
      <c r="CM105" s="97" t="str">
        <f aca="false">IF($BZ105&lt;&gt;Constants!$B$8,"",IF(AND(NOT($AL105),NOT($AT105),$AJ105,$AK105,$AR105,$AS105),"",IF($BM105="-&gt;",$BX105,$BL105)))</f>
        <v/>
      </c>
      <c r="CN105" s="93" t="str">
        <f aca="false">IF(ISBLANK($C105),"",IF($BZ105&lt;&gt;Constants!$B$8,$BZ105,IF(ISNUMBER($CM105),RANK($CM105,$CM$9:$CM$508,1),COUNT($CM$9:$CM$508)+1)))</f>
        <v/>
      </c>
      <c r="CO105" s="93" t="str">
        <f aca="false">IF(ISBLANK($C105),"",IF($BZ105&lt;&gt;Constants!$B$8,$BZ105,COUNTIFS($CF$9:$CF$508,"&lt;"&amp;$CF105)+COUNTIFS($CF$9:$CF$508,$CF105,$CH$9:$CH$508,"&lt;"&amp;$CH105)+COUNTIFS($CF$9:$CF$508,$CF105,$CH$9:$CH$508,$CH105,$CJ$9:$CJ$508,"&lt;"&amp;$CJ105)+COUNTIFS($CF$9:$CF$508,$CF105,$CH$9:$CH$508,$CH105,$CJ$9:$CJ$508,$CJ105,$CL$9:$CL$508,"&lt;"&amp;$CL105)+COUNTIFS($CF$9:$CF$508,$CF105,$CH$9:$CH$508,$CH105,$CJ$9:$CJ$508,$CJ105,$CL$9:$CL$508,$CL105,$CN$9:$CN$508,"&lt;"&amp;$CN105)+1))</f>
        <v/>
      </c>
      <c r="CP105" s="93" t="str">
        <f aca="false">IF(ISBLANK($C105),"",IF($BZ105&lt;&gt;Constants!$B$8,$BZ105,$CF105-$CO105))</f>
        <v/>
      </c>
      <c r="CQ105" s="100"/>
      <c r="CR105" s="101"/>
      <c r="CS105" s="102" t="str">
        <f aca="false">IF(ISBLANK($C105),"",IF($BZ105=Constants!$B$12,$BY105,""))</f>
        <v/>
      </c>
      <c r="CT105" s="101" t="str">
        <f aca="false">IF(ISBLANK($C105),"",IF($BZ105&lt;&gt;Constants!$B$8,"",IF($BM105="-&gt;",2,1)))</f>
        <v/>
      </c>
      <c r="CU105" s="103" t="str">
        <f aca="false">IF(ISBLANK($C105),"",IF($BZ105&lt;&gt;Constants!$B$8,"",IF($BM105="-&gt;",$BO105,$BC105)))</f>
        <v/>
      </c>
      <c r="CV105" s="103" t="str">
        <f aca="false">IF(ISBLANK($C105),"",IF($BZ105&lt;&gt;Constants!$B$8,"",IF($BM105="-&gt;",$BP105,$BD105)))</f>
        <v/>
      </c>
      <c r="CW105" s="103" t="str">
        <f aca="false">IF(ISBLANK($C105),"",IF($BZ105&lt;&gt;Constants!$B$8,"",IF($BM105="-&gt;",$BQ105+$BR105,$BE105+$BF105)+$CD105))</f>
        <v/>
      </c>
      <c r="CX105" s="103" t="str">
        <f aca="false">IF(ISBLANK($C105),"",IF($BZ105&lt;&gt;Constants!$B$8,"",IF($BM105="-&gt;",$BS105,$BG105)+$CC105))</f>
        <v/>
      </c>
      <c r="CY105" s="104" t="str">
        <f aca="false">IF(ISBLANK($C105),"",IF($BZ105&lt;&gt;Constants!$B$8,$BZ105,$CE105))</f>
        <v/>
      </c>
      <c r="CZ105" s="105" t="str">
        <f aca="false">IF(ISBLANK($C105),"",$CA105)</f>
        <v/>
      </c>
      <c r="DA105" s="106" t="str">
        <f aca="false">IF(ISBLANK($C105),"",$CP105)</f>
        <v/>
      </c>
      <c r="DB105" s="106" t="str">
        <f aca="false">IF(ISBLANK($C105),"",$CO105)</f>
        <v/>
      </c>
      <c r="DC105" s="107" t="str">
        <f aca="false">IF(ISBLANK($C105),"",IFERROR(_xlfn.SWITCH($DB105,Constants!$B$11,COUNTA($C$9:$C$508)+2,Constants!$B$10,COUNTA($C$9:$C$508)+1,Constants!$B$9,COUNTA($C$9:$C$508)),$DB105))</f>
        <v/>
      </c>
      <c r="DD105" s="9"/>
      <c r="DE105" s="108" t="n">
        <f aca="false">IF(OR(ISNUMBER($DB105),$DB105=Constants!$B$11,$DB105=Constants!$B$9,$DB105=Constants!$B$10),1,0)</f>
        <v>0</v>
      </c>
      <c r="DF105" s="108" t="n">
        <v>97</v>
      </c>
      <c r="DG105" s="108" t="str">
        <f aca="false">IF(ISBLANK($C105),"",IF(ISNUMBER($DC105),$DC105+ROW($B105)/1000,""))</f>
        <v/>
      </c>
      <c r="DH105" s="108" t="str">
        <f aca="false">IF(ISNUMBER($DG105),RANK($DG105,$DG$9:$DG$508,1),"")</f>
        <v/>
      </c>
      <c r="DI105" s="108" t="str">
        <f aca="false">IF(ISBLANK($C105),"",$B105)</f>
        <v/>
      </c>
      <c r="DJ105" s="108" t="str">
        <f aca="false">IF(ISBLANK($C105),"",$C105)</f>
        <v/>
      </c>
      <c r="DK105" s="108" t="str">
        <f aca="false">IF(ISBLANK($C105),"",$D105)</f>
        <v/>
      </c>
      <c r="DL105" s="109" t="str">
        <f aca="false">$CZ105</f>
        <v/>
      </c>
      <c r="DM105" s="110" t="str">
        <f aca="false">$CY105</f>
        <v/>
      </c>
      <c r="DN105" s="108" t="str">
        <f aca="false">IF(ISBLANK($C105),"",$DB105)</f>
        <v/>
      </c>
      <c r="DO105" s="111" t="str">
        <f aca="false">IF($DF105&gt;$DE$8,"",VLOOKUP($DF105,$DH$9:$DN$508,7,FALSE()))</f>
        <v/>
      </c>
      <c r="DP105" s="112" t="str">
        <f aca="false">IF($DF105&gt;$DE$8,"",VLOOKUP($DF105,$DH$9:$DN$508,2,FALSE()))</f>
        <v/>
      </c>
      <c r="DQ105" s="112" t="str">
        <f aca="false">IF($DF105&gt;$DE$8,"",VLOOKUP($DF105,$DH$9:$DN$508,3,FALSE()))</f>
        <v/>
      </c>
      <c r="DR105" s="112" t="str">
        <f aca="false">IF($DF105&gt;$DE$8,"",VLOOKUP($DF105,$DH$9:$DN$508,4,FALSE()))</f>
        <v/>
      </c>
      <c r="DS105" s="112" t="str">
        <f aca="false">IF($DF105&gt;$DE$8,"",VLOOKUP($DF105,$DH$9:$DN$508,5,FALSE()))</f>
        <v/>
      </c>
      <c r="DT105" s="113" t="str">
        <f aca="false">IF($DF105&gt;$DE$8,"",VLOOKUP($DF105,$DH$9:$DN$508,6,FALSE()))</f>
        <v/>
      </c>
      <c r="DU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IF(ISBLANK($C106),"",IF(E106=Constants!$B$3,TRUE(),IF(E106=Constants!$B$4,FALSE(),TRUE())))</f>
        <v/>
      </c>
      <c r="AG106" s="93" t="str">
        <f aca="false">IF(ISBLANK($C106),"",IF(F106=Constants!$B$3,TRUE(),IF(F106=Constants!$B$4,FALSE(),TRUE())))</f>
        <v/>
      </c>
      <c r="AH106" s="93" t="str">
        <f aca="false">IF(ISBLANK($C106),"",IF(G106=Constants!$B$3,TRUE(),IF(G106=Constants!$B$4,FALSE(),TRUE())))</f>
        <v/>
      </c>
      <c r="AI106" s="93" t="str">
        <f aca="false">IF(ISBLANK($C106),"",IF(AND(ISNUMBER(H106),H106&gt;=0),H106,Constants!$B$29))</f>
        <v/>
      </c>
      <c r="AJ106" s="93" t="str">
        <f aca="false">IF(ISBLANK($C106),"",IF(I106=Constants!$B$3,TRUE(),IF(I106=Constants!$B$4,FALSE(),TRUE())))</f>
        <v/>
      </c>
      <c r="AK106" s="93" t="str">
        <f aca="false">IF(ISBLANK($C106),"",IF(J106=Constants!$B$3,TRUE(),IF(J106=Constants!$B$4,FALSE(),TRUE())))</f>
        <v/>
      </c>
      <c r="AL106" s="93" t="str">
        <f aca="false">IF(ISBLANK($C106),"",IF(K106=Constants!$B$5,TRUE(),IF(K106=Constants!$B$6,FALSE(),COUNTA(L106:P106)&gt;0)))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IF(ISBLANK($C106),"",IF(N106=Constants!$B$3,TRUE(),IF(N106=Constants!$B$4,FALSE(),TRUE())))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IF(ISBLANK($C106),"",IF(P106=Constants!$B$3,TRUE(),IF(P106=Constants!$B$4,FALSE(),FALSE())))</f>
        <v/>
      </c>
      <c r="AR106" s="93" t="str">
        <f aca="false">IF(ISBLANK($C106),"",IF(Q106=Constants!$B$3,TRUE(),IF(Q106=Constants!$B$4,FALSE(),TRUE())))</f>
        <v/>
      </c>
      <c r="AS106" s="93" t="str">
        <f aca="false">IF(ISBLANK($C106),"",IF(R106=Constants!$B$3,TRUE(),IF(R106=Constants!$B$4,FALSE(),TRUE())))</f>
        <v/>
      </c>
      <c r="AT106" s="93" t="str">
        <f aca="false">IF(ISBLANK($C106),"",IF(S106=Constants!$B$5,TRUE(),IF(S106=Constants!$B$6,FALSE(),COUNTA(T106:X106)&gt;0)))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IF(ISBLANK($C106),"",IF(V106=Constants!$B$3,TRUE(),IF(V106=Constants!$B$4,FALSE(),TRUE())))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IF(ISBLANK($C106),"",IF(X106=Constants!$B$3,TRUE(),IF(X106=Constants!$B$4,FALSE(),FALSE())))</f>
        <v/>
      </c>
      <c r="AZ106" s="93" t="str">
        <f aca="false">IF(ISBLANK($C106),"",MIN(Constants!$B$31,MAX(0,IF(ISNUMBER(Y106),Y106*60,0)+IF(ISNUMBER(Z106),Z106,0))))</f>
        <v/>
      </c>
      <c r="BA106" s="93" t="str">
        <f aca="false">IF(ISBLANK($C106),"",IF(AA106=Constants!$B$3,TRUE(),IF(AA106=Constants!$B$4,FALSE(),FALSE())))</f>
        <v/>
      </c>
      <c r="BB106" s="92" t="str">
        <f aca="false">IF(ISBLANK($C106),"",AND($AL106,OR($AM106="",$AN106="",AND($AO106,$AP106=""))))</f>
        <v/>
      </c>
      <c r="BC106" s="94" t="str">
        <f aca="false">IF($BZ106&lt;&gt;Constants!$B$8,"",IF($AL106,Constants!$B$21*$AN106+Constants!$B$22*IF($AO106,$AP106,Constants!$B$23),Constants!$B$24))</f>
        <v/>
      </c>
      <c r="BD106" s="97" t="str">
        <f aca="false">IF($BZ106&lt;&gt;Constants!$B$8,"",Constants!$B$25*ABS($AD$9-IF($AL106,$AM106,0)))</f>
        <v/>
      </c>
      <c r="BE106" s="97" t="str">
        <f aca="false">IF($BZ106&lt;&gt;Constants!$B$8,"",IF(AND($AL106,$AQ106,$AO106),Constants!$B$27,0))</f>
        <v/>
      </c>
      <c r="BF106" s="97" t="str">
        <f aca="false">IF($BZ106&lt;&gt;Constants!$B$8,"",IF($AL106,($AI106-Constants!$B$29)*Constants!$B$28,0))</f>
        <v/>
      </c>
      <c r="BG106" s="97" t="str">
        <f aca="false">IF($BZ106&lt;&gt;Constants!$B$8,"",IF($AK106,0,Constants!$B$15)+IF($AJ106,0,Constants!$B$16)+IF($AH106,0,Constants!$B$17))</f>
        <v/>
      </c>
      <c r="BH106" s="98" t="str">
        <f aca="false">IF($BZ106&lt;&gt;Constants!$B$8,"",Constants!$B$20+SUM($BC106:$BG106))</f>
        <v/>
      </c>
      <c r="BI106" s="97" t="str">
        <f aca="false">IF($BZ106&lt;&gt;Constants!$B$8,"",$BC106)</f>
        <v/>
      </c>
      <c r="BJ106" s="97" t="str">
        <f aca="false">IF($BZ106&lt;&gt;Constants!$B$8,"",$BD106)</f>
        <v/>
      </c>
      <c r="BK106" s="97" t="str">
        <f aca="false">IF($BZ106&lt;&gt;Constants!$B$8,"",IF($AL106,$AN106,""))</f>
        <v/>
      </c>
      <c r="BL106" s="99" t="str">
        <f aca="false">IF($BZ106&lt;&gt;Constants!$B$8,"",$AI106)</f>
        <v/>
      </c>
      <c r="BM106" s="93" t="str">
        <f aca="false">IF($BZ106&lt;&gt;Constants!$B$8,"",IF(OR($BT106&lt;$BH106,AND($BT106=$BH106,OR($BU106&lt;$BI106,AND($BU106=$BI106,OR($BV106&lt;$BJ106,AND($BV106=$BJ106,OR(AND(ISNUMBER($BW106),OR(NOT(ISNUMBER($BK106)),$BW106&lt;$BK106)),AND(OR(AND($BW106="",$BK106=""),AND(ISNUMBER($BW106),ISNUMBER($BK106),$BW106=$BK106)),$BX106&lt;$BL106)))))))),"-&gt;","&lt;-"))</f>
        <v/>
      </c>
      <c r="BN106" s="92" t="str">
        <f aca="false">IF(ISBLANK($C106),"",AND($AT106,OR($AU106="",$AV106="",AND($AW106,$AX106=""))))</f>
        <v/>
      </c>
      <c r="BO106" s="94" t="str">
        <f aca="false">IF($BZ106&lt;&gt;Constants!$B$8,"",IF($AT106,Constants!$B$21*$AV106+Constants!$B$22*IF($AW106,$AX106,Constants!$B$23),Constants!$B$24))</f>
        <v/>
      </c>
      <c r="BP106" s="97" t="str">
        <f aca="false">IF($BZ106&lt;&gt;Constants!$B$8,"",Constants!$B$25*ABS($AD$9-IF($AT106,$AU106,0)))</f>
        <v/>
      </c>
      <c r="BQ106" s="97" t="str">
        <f aca="false">IF($BZ106&lt;&gt;Constants!$B$8,"",IF(AND($AT106,$AY106,$AW106),Constants!$B$27,0))</f>
        <v/>
      </c>
      <c r="BR106" s="97" t="str">
        <f aca="false">IF($BZ106&lt;&gt;Constants!$B$8,"",IF($AT106,($AI106-Constants!$B$29)*Constants!$B$28,0))</f>
        <v/>
      </c>
      <c r="BS106" s="97" t="str">
        <f aca="false">IF($BZ106&lt;&gt;Constants!$B$8,"",IF($AS106,0,Constants!$B$15)+IF($AR106,0,Constants!$B$16)+IF($AH106,0,Constants!$B$17))</f>
        <v/>
      </c>
      <c r="BT106" s="98" t="str">
        <f aca="false">IF($BZ106&lt;&gt;Constants!$B$8,"",Constants!$B$20+SUM($BO106:$BS106))</f>
        <v/>
      </c>
      <c r="BU106" s="97" t="str">
        <f aca="false">IF($BZ106&lt;&gt;Constants!$B$8,"",$BO106)</f>
        <v/>
      </c>
      <c r="BV106" s="97" t="str">
        <f aca="false">IF($BZ106&lt;&gt;Constants!$B$8,"",$BP106)</f>
        <v/>
      </c>
      <c r="BW106" s="97" t="str">
        <f aca="false">IF($BZ106&lt;&gt;Constants!$B$8,"",IF($AT106,$AV106,""))</f>
        <v/>
      </c>
      <c r="BX106" s="99" t="str">
        <f aca="false">IF($BZ106&lt;&gt;Constants!$B$8,"",$AI106)</f>
        <v/>
      </c>
      <c r="BY106" s="93" t="str">
        <f aca="false">IF(ISBLANK($C106),"",IF(ISBLANK($D$7),$BY$5,IF(NOT(ISNUMBER($D$7)),$BY$6,"")))</f>
        <v/>
      </c>
      <c r="BZ106" s="93" t="str">
        <f aca="false">IF(ISBLANK($C106),"",IF($BA106,Constants!$B$11,IF(COUNTA($E106:$AA106)=0,Constants!$B$10,IF(NOT($AG106),Constants!$B$9,IF(OR($BY106&lt;&gt;"",$BB106,$BN106),Constants!$B$12,Constants!$B$8)))))</f>
        <v/>
      </c>
      <c r="CA106" s="93" t="str">
        <f aca="false">IF(ISBLANK($C106),"",IF($BZ106&lt;&gt;Constants!$B$8,$BZ106,Constants!$B$13))</f>
        <v/>
      </c>
      <c r="CB106" s="97" t="str">
        <f aca="false">IF($BZ106&lt;&gt;Constants!$B$8,"",IF($BM106="-&gt;",$BT106,$BH106))</f>
        <v/>
      </c>
      <c r="CC106" s="97" t="str">
        <f aca="false">IF($BZ106&lt;&gt;Constants!$B$8,"",IF($AF106,0,Constants!$B$18))</f>
        <v/>
      </c>
      <c r="CD106" s="97" t="str">
        <f aca="false">IF($BZ106&lt;&gt;Constants!$B$8,"",((Constants!$B$31-$AZ106)-Constants!$B$31)/Constants!$B$32)</f>
        <v/>
      </c>
      <c r="CE106" s="97" t="str">
        <f aca="false">IF(ISBLANK($C106),"",IF($BZ106&lt;&gt;Constants!$B$8,$BZ106,SUM($CB106:$CD106)))</f>
        <v/>
      </c>
      <c r="CF106" s="93" t="str">
        <f aca="false">IF(ISBLANK($C106),"",IF($BZ106&lt;&gt;Constants!$B$8,$BZ106,RANK($CE106,$CE$9:$CE$508,1)))</f>
        <v/>
      </c>
      <c r="CG106" s="97" t="str">
        <f aca="false">IF($BZ106&lt;&gt;Constants!$B$8,"",IF($BM106="-&gt;",$BU106,$BI106))</f>
        <v/>
      </c>
      <c r="CH106" s="93" t="str">
        <f aca="false">IF(ISBLANK($C106),"",IF($BZ106&lt;&gt;Constants!$B$8,$BZ106,IF(ISNUMBER($CG106),RANK($CG106,$CG$9:$CG$508,1),COUNT($CG$9:$CG$508)+1)))</f>
        <v/>
      </c>
      <c r="CI106" s="97" t="str">
        <f aca="false">IF($BZ106&lt;&gt;Constants!$B$8,"",IF($BM106="-&gt;",$BV106,$BJ106))</f>
        <v/>
      </c>
      <c r="CJ106" s="93" t="str">
        <f aca="false">IF(ISBLANK($C106),"",IF($BZ106&lt;&gt;Constants!$B$8,$BZ106,IF(ISNUMBER($CI106),RANK($CI106,$CI$9:$CI$508,1),COUNT($CI$9:$CI$508)+1)))</f>
        <v/>
      </c>
      <c r="CK106" s="97" t="str">
        <f aca="false">IF($BZ106&lt;&gt;Constants!$B$8,"",IF($BM106="-&gt;",$BW106,$BK106))</f>
        <v/>
      </c>
      <c r="CL106" s="93" t="str">
        <f aca="false">IF(ISBLANK($C106),"",IF($BZ106&lt;&gt;Constants!$B$8,$BZ106,IF(ISNUMBER($CK106),RANK($CK106,$CK$9:$CK$508,1),COUNT($CK$9:$CK$508)+1)))</f>
        <v/>
      </c>
      <c r="CM106" s="97" t="str">
        <f aca="false">IF($BZ106&lt;&gt;Constants!$B$8,"",IF(AND(NOT($AL106),NOT($AT106),$AJ106,$AK106,$AR106,$AS106),"",IF($BM106="-&gt;",$BX106,$BL106)))</f>
        <v/>
      </c>
      <c r="CN106" s="93" t="str">
        <f aca="false">IF(ISBLANK($C106),"",IF($BZ106&lt;&gt;Constants!$B$8,$BZ106,IF(ISNUMBER($CM106),RANK($CM106,$CM$9:$CM$508,1),COUNT($CM$9:$CM$508)+1)))</f>
        <v/>
      </c>
      <c r="CO106" s="93" t="str">
        <f aca="false">IF(ISBLANK($C106),"",IF($BZ106&lt;&gt;Constants!$B$8,$BZ106,COUNTIFS($CF$9:$CF$508,"&lt;"&amp;$CF106)+COUNTIFS($CF$9:$CF$508,$CF106,$CH$9:$CH$508,"&lt;"&amp;$CH106)+COUNTIFS($CF$9:$CF$508,$CF106,$CH$9:$CH$508,$CH106,$CJ$9:$CJ$508,"&lt;"&amp;$CJ106)+COUNTIFS($CF$9:$CF$508,$CF106,$CH$9:$CH$508,$CH106,$CJ$9:$CJ$508,$CJ106,$CL$9:$CL$508,"&lt;"&amp;$CL106)+COUNTIFS($CF$9:$CF$508,$CF106,$CH$9:$CH$508,$CH106,$CJ$9:$CJ$508,$CJ106,$CL$9:$CL$508,$CL106,$CN$9:$CN$508,"&lt;"&amp;$CN106)+1))</f>
        <v/>
      </c>
      <c r="CP106" s="93" t="str">
        <f aca="false">IF(ISBLANK($C106),"",IF($BZ106&lt;&gt;Constants!$B$8,$BZ106,$CF106-$CO106))</f>
        <v/>
      </c>
      <c r="CQ106" s="100"/>
      <c r="CR106" s="101"/>
      <c r="CS106" s="102" t="str">
        <f aca="false">IF(ISBLANK($C106),"",IF($BZ106=Constants!$B$12,$BY106,""))</f>
        <v/>
      </c>
      <c r="CT106" s="101" t="str">
        <f aca="false">IF(ISBLANK($C106),"",IF($BZ106&lt;&gt;Constants!$B$8,"",IF($BM106="-&gt;",2,1)))</f>
        <v/>
      </c>
      <c r="CU106" s="103" t="str">
        <f aca="false">IF(ISBLANK($C106),"",IF($BZ106&lt;&gt;Constants!$B$8,"",IF($BM106="-&gt;",$BO106,$BC106)))</f>
        <v/>
      </c>
      <c r="CV106" s="103" t="str">
        <f aca="false">IF(ISBLANK($C106),"",IF($BZ106&lt;&gt;Constants!$B$8,"",IF($BM106="-&gt;",$BP106,$BD106)))</f>
        <v/>
      </c>
      <c r="CW106" s="103" t="str">
        <f aca="false">IF(ISBLANK($C106),"",IF($BZ106&lt;&gt;Constants!$B$8,"",IF($BM106="-&gt;",$BQ106+$BR106,$BE106+$BF106)+$CD106))</f>
        <v/>
      </c>
      <c r="CX106" s="103" t="str">
        <f aca="false">IF(ISBLANK($C106),"",IF($BZ106&lt;&gt;Constants!$B$8,"",IF($BM106="-&gt;",$BS106,$BG106)+$CC106))</f>
        <v/>
      </c>
      <c r="CY106" s="104" t="str">
        <f aca="false">IF(ISBLANK($C106),"",IF($BZ106&lt;&gt;Constants!$B$8,$BZ106,$CE106))</f>
        <v/>
      </c>
      <c r="CZ106" s="105" t="str">
        <f aca="false">IF(ISBLANK($C106),"",$CA106)</f>
        <v/>
      </c>
      <c r="DA106" s="106" t="str">
        <f aca="false">IF(ISBLANK($C106),"",$CP106)</f>
        <v/>
      </c>
      <c r="DB106" s="106" t="str">
        <f aca="false">IF(ISBLANK($C106),"",$CO106)</f>
        <v/>
      </c>
      <c r="DC106" s="107" t="str">
        <f aca="false">IF(ISBLANK($C106),"",IFERROR(_xlfn.SWITCH($DB106,Constants!$B$11,COUNTA($C$9:$C$508)+2,Constants!$B$10,COUNTA($C$9:$C$508)+1,Constants!$B$9,COUNTA($C$9:$C$508)),$DB106))</f>
        <v/>
      </c>
      <c r="DD106" s="9"/>
      <c r="DE106" s="108" t="n">
        <f aca="false">IF(OR(ISNUMBER($DB106),$DB106=Constants!$B$11,$DB106=Constants!$B$9,$DB106=Constants!$B$10),1,0)</f>
        <v>0</v>
      </c>
      <c r="DF106" s="108" t="n">
        <v>98</v>
      </c>
      <c r="DG106" s="108" t="str">
        <f aca="false">IF(ISBLANK($C106),"",IF(ISNUMBER($DC106),$DC106+ROW($B106)/1000,""))</f>
        <v/>
      </c>
      <c r="DH106" s="108" t="str">
        <f aca="false">IF(ISNUMBER($DG106),RANK($DG106,$DG$9:$DG$508,1),"")</f>
        <v/>
      </c>
      <c r="DI106" s="108" t="str">
        <f aca="false">IF(ISBLANK($C106),"",$B106)</f>
        <v/>
      </c>
      <c r="DJ106" s="108" t="str">
        <f aca="false">IF(ISBLANK($C106),"",$C106)</f>
        <v/>
      </c>
      <c r="DK106" s="108" t="str">
        <f aca="false">IF(ISBLANK($C106),"",$D106)</f>
        <v/>
      </c>
      <c r="DL106" s="109" t="str">
        <f aca="false">$CZ106</f>
        <v/>
      </c>
      <c r="DM106" s="110" t="str">
        <f aca="false">$CY106</f>
        <v/>
      </c>
      <c r="DN106" s="108" t="str">
        <f aca="false">IF(ISBLANK($C106),"",$DB106)</f>
        <v/>
      </c>
      <c r="DO106" s="111" t="str">
        <f aca="false">IF($DF106&gt;$DE$8,"",VLOOKUP($DF106,$DH$9:$DN$508,7,FALSE()))</f>
        <v/>
      </c>
      <c r="DP106" s="112" t="str">
        <f aca="false">IF($DF106&gt;$DE$8,"",VLOOKUP($DF106,$DH$9:$DN$508,2,FALSE()))</f>
        <v/>
      </c>
      <c r="DQ106" s="112" t="str">
        <f aca="false">IF($DF106&gt;$DE$8,"",VLOOKUP($DF106,$DH$9:$DN$508,3,FALSE()))</f>
        <v/>
      </c>
      <c r="DR106" s="112" t="str">
        <f aca="false">IF($DF106&gt;$DE$8,"",VLOOKUP($DF106,$DH$9:$DN$508,4,FALSE()))</f>
        <v/>
      </c>
      <c r="DS106" s="112" t="str">
        <f aca="false">IF($DF106&gt;$DE$8,"",VLOOKUP($DF106,$DH$9:$DN$508,5,FALSE()))</f>
        <v/>
      </c>
      <c r="DT106" s="113" t="str">
        <f aca="false">IF($DF106&gt;$DE$8,"",VLOOKUP($DF106,$DH$9:$DN$508,6,FALSE()))</f>
        <v/>
      </c>
      <c r="DU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IF(ISBLANK($C107),"",IF(E107=Constants!$B$3,TRUE(),IF(E107=Constants!$B$4,FALSE(),TRUE())))</f>
        <v/>
      </c>
      <c r="AG107" s="93" t="str">
        <f aca="false">IF(ISBLANK($C107),"",IF(F107=Constants!$B$3,TRUE(),IF(F107=Constants!$B$4,FALSE(),TRUE())))</f>
        <v/>
      </c>
      <c r="AH107" s="93" t="str">
        <f aca="false">IF(ISBLANK($C107),"",IF(G107=Constants!$B$3,TRUE(),IF(G107=Constants!$B$4,FALSE(),TRUE())))</f>
        <v/>
      </c>
      <c r="AI107" s="93" t="str">
        <f aca="false">IF(ISBLANK($C107),"",IF(AND(ISNUMBER(H107),H107&gt;=0),H107,Constants!$B$29))</f>
        <v/>
      </c>
      <c r="AJ107" s="93" t="str">
        <f aca="false">IF(ISBLANK($C107),"",IF(I107=Constants!$B$3,TRUE(),IF(I107=Constants!$B$4,FALSE(),TRUE())))</f>
        <v/>
      </c>
      <c r="AK107" s="93" t="str">
        <f aca="false">IF(ISBLANK($C107),"",IF(J107=Constants!$B$3,TRUE(),IF(J107=Constants!$B$4,FALSE(),TRUE())))</f>
        <v/>
      </c>
      <c r="AL107" s="93" t="str">
        <f aca="false">IF(ISBLANK($C107),"",IF(K107=Constants!$B$5,TRUE(),IF(K107=Constants!$B$6,FALSE(),COUNTA(L107:P107)&gt;0)))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IF(ISBLANK($C107),"",IF(N107=Constants!$B$3,TRUE(),IF(N107=Constants!$B$4,FALSE(),TRUE())))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IF(ISBLANK($C107),"",IF(P107=Constants!$B$3,TRUE(),IF(P107=Constants!$B$4,FALSE(),FALSE())))</f>
        <v/>
      </c>
      <c r="AR107" s="93" t="str">
        <f aca="false">IF(ISBLANK($C107),"",IF(Q107=Constants!$B$3,TRUE(),IF(Q107=Constants!$B$4,FALSE(),TRUE())))</f>
        <v/>
      </c>
      <c r="AS107" s="93" t="str">
        <f aca="false">IF(ISBLANK($C107),"",IF(R107=Constants!$B$3,TRUE(),IF(R107=Constants!$B$4,FALSE(),TRUE())))</f>
        <v/>
      </c>
      <c r="AT107" s="93" t="str">
        <f aca="false">IF(ISBLANK($C107),"",IF(S107=Constants!$B$5,TRUE(),IF(S107=Constants!$B$6,FALSE(),COUNTA(T107:X107)&gt;0)))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IF(ISBLANK($C107),"",IF(V107=Constants!$B$3,TRUE(),IF(V107=Constants!$B$4,FALSE(),TRUE())))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IF(ISBLANK($C107),"",IF(X107=Constants!$B$3,TRUE(),IF(X107=Constants!$B$4,FALSE(),FALSE())))</f>
        <v/>
      </c>
      <c r="AZ107" s="93" t="str">
        <f aca="false">IF(ISBLANK($C107),"",MIN(Constants!$B$31,MAX(0,IF(ISNUMBER(Y107),Y107*60,0)+IF(ISNUMBER(Z107),Z107,0))))</f>
        <v/>
      </c>
      <c r="BA107" s="93" t="str">
        <f aca="false">IF(ISBLANK($C107),"",IF(AA107=Constants!$B$3,TRUE(),IF(AA107=Constants!$B$4,FALSE(),FALSE())))</f>
        <v/>
      </c>
      <c r="BB107" s="92" t="str">
        <f aca="false">IF(ISBLANK($C107),"",AND($AL107,OR($AM107="",$AN107="",AND($AO107,$AP107=""))))</f>
        <v/>
      </c>
      <c r="BC107" s="94" t="str">
        <f aca="false">IF($BZ107&lt;&gt;Constants!$B$8,"",IF($AL107,Constants!$B$21*$AN107+Constants!$B$22*IF($AO107,$AP107,Constants!$B$23),Constants!$B$24))</f>
        <v/>
      </c>
      <c r="BD107" s="97" t="str">
        <f aca="false">IF($BZ107&lt;&gt;Constants!$B$8,"",Constants!$B$25*ABS($AD$9-IF($AL107,$AM107,0)))</f>
        <v/>
      </c>
      <c r="BE107" s="97" t="str">
        <f aca="false">IF($BZ107&lt;&gt;Constants!$B$8,"",IF(AND($AL107,$AQ107,$AO107),Constants!$B$27,0))</f>
        <v/>
      </c>
      <c r="BF107" s="97" t="str">
        <f aca="false">IF($BZ107&lt;&gt;Constants!$B$8,"",IF($AL107,($AI107-Constants!$B$29)*Constants!$B$28,0))</f>
        <v/>
      </c>
      <c r="BG107" s="97" t="str">
        <f aca="false">IF($BZ107&lt;&gt;Constants!$B$8,"",IF($AK107,0,Constants!$B$15)+IF($AJ107,0,Constants!$B$16)+IF($AH107,0,Constants!$B$17))</f>
        <v/>
      </c>
      <c r="BH107" s="98" t="str">
        <f aca="false">IF($BZ107&lt;&gt;Constants!$B$8,"",Constants!$B$20+SUM($BC107:$BG107))</f>
        <v/>
      </c>
      <c r="BI107" s="97" t="str">
        <f aca="false">IF($BZ107&lt;&gt;Constants!$B$8,"",$BC107)</f>
        <v/>
      </c>
      <c r="BJ107" s="97" t="str">
        <f aca="false">IF($BZ107&lt;&gt;Constants!$B$8,"",$BD107)</f>
        <v/>
      </c>
      <c r="BK107" s="97" t="str">
        <f aca="false">IF($BZ107&lt;&gt;Constants!$B$8,"",IF($AL107,$AN107,""))</f>
        <v/>
      </c>
      <c r="BL107" s="99" t="str">
        <f aca="false">IF($BZ107&lt;&gt;Constants!$B$8,"",$AI107)</f>
        <v/>
      </c>
      <c r="BM107" s="93" t="str">
        <f aca="false">IF($BZ107&lt;&gt;Constants!$B$8,"",IF(OR($BT107&lt;$BH107,AND($BT107=$BH107,OR($BU107&lt;$BI107,AND($BU107=$BI107,OR($BV107&lt;$BJ107,AND($BV107=$BJ107,OR(AND(ISNUMBER($BW107),OR(NOT(ISNUMBER($BK107)),$BW107&lt;$BK107)),AND(OR(AND($BW107="",$BK107=""),AND(ISNUMBER($BW107),ISNUMBER($BK107),$BW107=$BK107)),$BX107&lt;$BL107)))))))),"-&gt;","&lt;-"))</f>
        <v/>
      </c>
      <c r="BN107" s="92" t="str">
        <f aca="false">IF(ISBLANK($C107),"",AND($AT107,OR($AU107="",$AV107="",AND($AW107,$AX107=""))))</f>
        <v/>
      </c>
      <c r="BO107" s="94" t="str">
        <f aca="false">IF($BZ107&lt;&gt;Constants!$B$8,"",IF($AT107,Constants!$B$21*$AV107+Constants!$B$22*IF($AW107,$AX107,Constants!$B$23),Constants!$B$24))</f>
        <v/>
      </c>
      <c r="BP107" s="97" t="str">
        <f aca="false">IF($BZ107&lt;&gt;Constants!$B$8,"",Constants!$B$25*ABS($AD$9-IF($AT107,$AU107,0)))</f>
        <v/>
      </c>
      <c r="BQ107" s="97" t="str">
        <f aca="false">IF($BZ107&lt;&gt;Constants!$B$8,"",IF(AND($AT107,$AY107,$AW107),Constants!$B$27,0))</f>
        <v/>
      </c>
      <c r="BR107" s="97" t="str">
        <f aca="false">IF($BZ107&lt;&gt;Constants!$B$8,"",IF($AT107,($AI107-Constants!$B$29)*Constants!$B$28,0))</f>
        <v/>
      </c>
      <c r="BS107" s="97" t="str">
        <f aca="false">IF($BZ107&lt;&gt;Constants!$B$8,"",IF($AS107,0,Constants!$B$15)+IF($AR107,0,Constants!$B$16)+IF($AH107,0,Constants!$B$17))</f>
        <v/>
      </c>
      <c r="BT107" s="98" t="str">
        <f aca="false">IF($BZ107&lt;&gt;Constants!$B$8,"",Constants!$B$20+SUM($BO107:$BS107))</f>
        <v/>
      </c>
      <c r="BU107" s="97" t="str">
        <f aca="false">IF($BZ107&lt;&gt;Constants!$B$8,"",$BO107)</f>
        <v/>
      </c>
      <c r="BV107" s="97" t="str">
        <f aca="false">IF($BZ107&lt;&gt;Constants!$B$8,"",$BP107)</f>
        <v/>
      </c>
      <c r="BW107" s="97" t="str">
        <f aca="false">IF($BZ107&lt;&gt;Constants!$B$8,"",IF($AT107,$AV107,""))</f>
        <v/>
      </c>
      <c r="BX107" s="99" t="str">
        <f aca="false">IF($BZ107&lt;&gt;Constants!$B$8,"",$AI107)</f>
        <v/>
      </c>
      <c r="BY107" s="93" t="str">
        <f aca="false">IF(ISBLANK($C107),"",IF(ISBLANK($D$7),$BY$5,IF(NOT(ISNUMBER($D$7)),$BY$6,"")))</f>
        <v/>
      </c>
      <c r="BZ107" s="93" t="str">
        <f aca="false">IF(ISBLANK($C107),"",IF($BA107,Constants!$B$11,IF(COUNTA($E107:$AA107)=0,Constants!$B$10,IF(NOT($AG107),Constants!$B$9,IF(OR($BY107&lt;&gt;"",$BB107,$BN107),Constants!$B$12,Constants!$B$8)))))</f>
        <v/>
      </c>
      <c r="CA107" s="93" t="str">
        <f aca="false">IF(ISBLANK($C107),"",IF($BZ107&lt;&gt;Constants!$B$8,$BZ107,Constants!$B$13))</f>
        <v/>
      </c>
      <c r="CB107" s="97" t="str">
        <f aca="false">IF($BZ107&lt;&gt;Constants!$B$8,"",IF($BM107="-&gt;",$BT107,$BH107))</f>
        <v/>
      </c>
      <c r="CC107" s="97" t="str">
        <f aca="false">IF($BZ107&lt;&gt;Constants!$B$8,"",IF($AF107,0,Constants!$B$18))</f>
        <v/>
      </c>
      <c r="CD107" s="97" t="str">
        <f aca="false">IF($BZ107&lt;&gt;Constants!$B$8,"",((Constants!$B$31-$AZ107)-Constants!$B$31)/Constants!$B$32)</f>
        <v/>
      </c>
      <c r="CE107" s="97" t="str">
        <f aca="false">IF(ISBLANK($C107),"",IF($BZ107&lt;&gt;Constants!$B$8,$BZ107,SUM($CB107:$CD107)))</f>
        <v/>
      </c>
      <c r="CF107" s="93" t="str">
        <f aca="false">IF(ISBLANK($C107),"",IF($BZ107&lt;&gt;Constants!$B$8,$BZ107,RANK($CE107,$CE$9:$CE$508,1)))</f>
        <v/>
      </c>
      <c r="CG107" s="97" t="str">
        <f aca="false">IF($BZ107&lt;&gt;Constants!$B$8,"",IF($BM107="-&gt;",$BU107,$BI107))</f>
        <v/>
      </c>
      <c r="CH107" s="93" t="str">
        <f aca="false">IF(ISBLANK($C107),"",IF($BZ107&lt;&gt;Constants!$B$8,$BZ107,IF(ISNUMBER($CG107),RANK($CG107,$CG$9:$CG$508,1),COUNT($CG$9:$CG$508)+1)))</f>
        <v/>
      </c>
      <c r="CI107" s="97" t="str">
        <f aca="false">IF($BZ107&lt;&gt;Constants!$B$8,"",IF($BM107="-&gt;",$BV107,$BJ107))</f>
        <v/>
      </c>
      <c r="CJ107" s="93" t="str">
        <f aca="false">IF(ISBLANK($C107),"",IF($BZ107&lt;&gt;Constants!$B$8,$BZ107,IF(ISNUMBER($CI107),RANK($CI107,$CI$9:$CI$508,1),COUNT($CI$9:$CI$508)+1)))</f>
        <v/>
      </c>
      <c r="CK107" s="97" t="str">
        <f aca="false">IF($BZ107&lt;&gt;Constants!$B$8,"",IF($BM107="-&gt;",$BW107,$BK107))</f>
        <v/>
      </c>
      <c r="CL107" s="93" t="str">
        <f aca="false">IF(ISBLANK($C107),"",IF($BZ107&lt;&gt;Constants!$B$8,$BZ107,IF(ISNUMBER($CK107),RANK($CK107,$CK$9:$CK$508,1),COUNT($CK$9:$CK$508)+1)))</f>
        <v/>
      </c>
      <c r="CM107" s="97" t="str">
        <f aca="false">IF($BZ107&lt;&gt;Constants!$B$8,"",IF(AND(NOT($AL107),NOT($AT107),$AJ107,$AK107,$AR107,$AS107),"",IF($BM107="-&gt;",$BX107,$BL107)))</f>
        <v/>
      </c>
      <c r="CN107" s="93" t="str">
        <f aca="false">IF(ISBLANK($C107),"",IF($BZ107&lt;&gt;Constants!$B$8,$BZ107,IF(ISNUMBER($CM107),RANK($CM107,$CM$9:$CM$508,1),COUNT($CM$9:$CM$508)+1)))</f>
        <v/>
      </c>
      <c r="CO107" s="93" t="str">
        <f aca="false">IF(ISBLANK($C107),"",IF($BZ107&lt;&gt;Constants!$B$8,$BZ107,COUNTIFS($CF$9:$CF$508,"&lt;"&amp;$CF107)+COUNTIFS($CF$9:$CF$508,$CF107,$CH$9:$CH$508,"&lt;"&amp;$CH107)+COUNTIFS($CF$9:$CF$508,$CF107,$CH$9:$CH$508,$CH107,$CJ$9:$CJ$508,"&lt;"&amp;$CJ107)+COUNTIFS($CF$9:$CF$508,$CF107,$CH$9:$CH$508,$CH107,$CJ$9:$CJ$508,$CJ107,$CL$9:$CL$508,"&lt;"&amp;$CL107)+COUNTIFS($CF$9:$CF$508,$CF107,$CH$9:$CH$508,$CH107,$CJ$9:$CJ$508,$CJ107,$CL$9:$CL$508,$CL107,$CN$9:$CN$508,"&lt;"&amp;$CN107)+1))</f>
        <v/>
      </c>
      <c r="CP107" s="93" t="str">
        <f aca="false">IF(ISBLANK($C107),"",IF($BZ107&lt;&gt;Constants!$B$8,$BZ107,$CF107-$CO107))</f>
        <v/>
      </c>
      <c r="CQ107" s="100"/>
      <c r="CR107" s="101"/>
      <c r="CS107" s="102" t="str">
        <f aca="false">IF(ISBLANK($C107),"",IF($BZ107=Constants!$B$12,$BY107,""))</f>
        <v/>
      </c>
      <c r="CT107" s="101" t="str">
        <f aca="false">IF(ISBLANK($C107),"",IF($BZ107&lt;&gt;Constants!$B$8,"",IF($BM107="-&gt;",2,1)))</f>
        <v/>
      </c>
      <c r="CU107" s="103" t="str">
        <f aca="false">IF(ISBLANK($C107),"",IF($BZ107&lt;&gt;Constants!$B$8,"",IF($BM107="-&gt;",$BO107,$BC107)))</f>
        <v/>
      </c>
      <c r="CV107" s="103" t="str">
        <f aca="false">IF(ISBLANK($C107),"",IF($BZ107&lt;&gt;Constants!$B$8,"",IF($BM107="-&gt;",$BP107,$BD107)))</f>
        <v/>
      </c>
      <c r="CW107" s="103" t="str">
        <f aca="false">IF(ISBLANK($C107),"",IF($BZ107&lt;&gt;Constants!$B$8,"",IF($BM107="-&gt;",$BQ107+$BR107,$BE107+$BF107)+$CD107))</f>
        <v/>
      </c>
      <c r="CX107" s="103" t="str">
        <f aca="false">IF(ISBLANK($C107),"",IF($BZ107&lt;&gt;Constants!$B$8,"",IF($BM107="-&gt;",$BS107,$BG107)+$CC107))</f>
        <v/>
      </c>
      <c r="CY107" s="104" t="str">
        <f aca="false">IF(ISBLANK($C107),"",IF($BZ107&lt;&gt;Constants!$B$8,$BZ107,$CE107))</f>
        <v/>
      </c>
      <c r="CZ107" s="105" t="str">
        <f aca="false">IF(ISBLANK($C107),"",$CA107)</f>
        <v/>
      </c>
      <c r="DA107" s="106" t="str">
        <f aca="false">IF(ISBLANK($C107),"",$CP107)</f>
        <v/>
      </c>
      <c r="DB107" s="106" t="str">
        <f aca="false">IF(ISBLANK($C107),"",$CO107)</f>
        <v/>
      </c>
      <c r="DC107" s="107" t="str">
        <f aca="false">IF(ISBLANK($C107),"",IFERROR(_xlfn.SWITCH($DB107,Constants!$B$11,COUNTA($C$9:$C$508)+2,Constants!$B$10,COUNTA($C$9:$C$508)+1,Constants!$B$9,COUNTA($C$9:$C$508)),$DB107))</f>
        <v/>
      </c>
      <c r="DD107" s="9"/>
      <c r="DE107" s="108" t="n">
        <f aca="false">IF(OR(ISNUMBER($DB107),$DB107=Constants!$B$11,$DB107=Constants!$B$9,$DB107=Constants!$B$10),1,0)</f>
        <v>0</v>
      </c>
      <c r="DF107" s="108" t="n">
        <v>99</v>
      </c>
      <c r="DG107" s="108" t="str">
        <f aca="false">IF(ISBLANK($C107),"",IF(ISNUMBER($DC107),$DC107+ROW($B107)/1000,""))</f>
        <v/>
      </c>
      <c r="DH107" s="108" t="str">
        <f aca="false">IF(ISNUMBER($DG107),RANK($DG107,$DG$9:$DG$508,1),"")</f>
        <v/>
      </c>
      <c r="DI107" s="108" t="str">
        <f aca="false">IF(ISBLANK($C107),"",$B107)</f>
        <v/>
      </c>
      <c r="DJ107" s="108" t="str">
        <f aca="false">IF(ISBLANK($C107),"",$C107)</f>
        <v/>
      </c>
      <c r="DK107" s="108" t="str">
        <f aca="false">IF(ISBLANK($C107),"",$D107)</f>
        <v/>
      </c>
      <c r="DL107" s="109" t="str">
        <f aca="false">$CZ107</f>
        <v/>
      </c>
      <c r="DM107" s="110" t="str">
        <f aca="false">$CY107</f>
        <v/>
      </c>
      <c r="DN107" s="108" t="str">
        <f aca="false">IF(ISBLANK($C107),"",$DB107)</f>
        <v/>
      </c>
      <c r="DO107" s="111" t="str">
        <f aca="false">IF($DF107&gt;$DE$8,"",VLOOKUP($DF107,$DH$9:$DN$508,7,FALSE()))</f>
        <v/>
      </c>
      <c r="DP107" s="112" t="str">
        <f aca="false">IF($DF107&gt;$DE$8,"",VLOOKUP($DF107,$DH$9:$DN$508,2,FALSE()))</f>
        <v/>
      </c>
      <c r="DQ107" s="112" t="str">
        <f aca="false">IF($DF107&gt;$DE$8,"",VLOOKUP($DF107,$DH$9:$DN$508,3,FALSE()))</f>
        <v/>
      </c>
      <c r="DR107" s="112" t="str">
        <f aca="false">IF($DF107&gt;$DE$8,"",VLOOKUP($DF107,$DH$9:$DN$508,4,FALSE()))</f>
        <v/>
      </c>
      <c r="DS107" s="112" t="str">
        <f aca="false">IF($DF107&gt;$DE$8,"",VLOOKUP($DF107,$DH$9:$DN$508,5,FALSE()))</f>
        <v/>
      </c>
      <c r="DT107" s="113" t="str">
        <f aca="false">IF($DF107&gt;$DE$8,"",VLOOKUP($DF107,$DH$9:$DN$508,6,FALSE()))</f>
        <v/>
      </c>
      <c r="DU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IF(ISBLANK($C108),"",IF(E108=Constants!$B$3,TRUE(),IF(E108=Constants!$B$4,FALSE(),TRUE())))</f>
        <v/>
      </c>
      <c r="AG108" s="135" t="str">
        <f aca="false">IF(ISBLANK($C108),"",IF(F108=Constants!$B$3,TRUE(),IF(F108=Constants!$B$4,FALSE(),TRUE())))</f>
        <v/>
      </c>
      <c r="AH108" s="135" t="str">
        <f aca="false">IF(ISBLANK($C108),"",IF(G108=Constants!$B$3,TRUE(),IF(G108=Constants!$B$4,FALSE(),TRUE())))</f>
        <v/>
      </c>
      <c r="AI108" s="135" t="str">
        <f aca="false">IF(ISBLANK($C108),"",IF(AND(ISNUMBER(H108),H108&gt;=0),H108,Constants!$B$29))</f>
        <v/>
      </c>
      <c r="AJ108" s="135" t="str">
        <f aca="false">IF(ISBLANK($C108),"",IF(I108=Constants!$B$3,TRUE(),IF(I108=Constants!$B$4,FALSE(),TRUE())))</f>
        <v/>
      </c>
      <c r="AK108" s="135" t="str">
        <f aca="false">IF(ISBLANK($C108),"",IF(J108=Constants!$B$3,TRUE(),IF(J108=Constants!$B$4,FALSE(),TRUE())))</f>
        <v/>
      </c>
      <c r="AL108" s="135" t="str">
        <f aca="false">IF(ISBLANK($C108),"",IF(K108=Constants!$B$5,TRUE(),IF(K108=Constants!$B$6,FALSE(),COUNTA(L108:P108)&gt;0)))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IF(ISBLANK($C108),"",IF(N108=Constants!$B$3,TRUE(),IF(N108=Constants!$B$4,FALSE(),TRUE())))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IF(ISBLANK($C108),"",IF(P108=Constants!$B$3,TRUE(),IF(P108=Constants!$B$4,FALSE(),FALSE())))</f>
        <v/>
      </c>
      <c r="AR108" s="135" t="str">
        <f aca="false">IF(ISBLANK($C108),"",IF(Q108=Constants!$B$3,TRUE(),IF(Q108=Constants!$B$4,FALSE(),TRUE())))</f>
        <v/>
      </c>
      <c r="AS108" s="135" t="str">
        <f aca="false">IF(ISBLANK($C108),"",IF(R108=Constants!$B$3,TRUE(),IF(R108=Constants!$B$4,FALSE(),TRUE())))</f>
        <v/>
      </c>
      <c r="AT108" s="135" t="str">
        <f aca="false">IF(ISBLANK($C108),"",IF(S108=Constants!$B$5,TRUE(),IF(S108=Constants!$B$6,FALSE(),COUNTA(T108:X108)&gt;0)))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IF(ISBLANK($C108),"",IF(V108=Constants!$B$3,TRUE(),IF(V108=Constants!$B$4,FALSE(),TRUE())))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IF(ISBLANK($C108),"",IF(X108=Constants!$B$3,TRUE(),IF(X108=Constants!$B$4,FALSE(),FALSE())))</f>
        <v/>
      </c>
      <c r="AZ108" s="135" t="str">
        <f aca="false">IF(ISBLANK($C108),"",MIN(Constants!$B$31,MAX(0,IF(ISNUMBER(Y108),Y108*60,0)+IF(ISNUMBER(Z108),Z108,0))))</f>
        <v/>
      </c>
      <c r="BA108" s="135" t="str">
        <f aca="false">IF(ISBLANK($C108),"",IF(AA108=Constants!$B$3,TRUE(),IF(AA108=Constants!$B$4,FALSE(),FALSE())))</f>
        <v/>
      </c>
      <c r="BB108" s="134" t="str">
        <f aca="false">IF(ISBLANK($C108),"",AND($AL108,OR($AM108="",$AN108="",AND($AO108,$AP108=""))))</f>
        <v/>
      </c>
      <c r="BC108" s="137" t="str">
        <f aca="false">IF($BZ108&lt;&gt;Constants!$B$8,"",IF($AL108,Constants!$B$21*$AN108+Constants!$B$22*IF($AO108,$AP108,Constants!$B$23),Constants!$B$24))</f>
        <v/>
      </c>
      <c r="BD108" s="138" t="str">
        <f aca="false">IF($BZ108&lt;&gt;Constants!$B$8,"",Constants!$B$25*ABS($AD$9-IF($AL108,$AM108,0)))</f>
        <v/>
      </c>
      <c r="BE108" s="138" t="str">
        <f aca="false">IF($BZ108&lt;&gt;Constants!$B$8,"",IF(AND($AL108,$AQ108,$AO108),Constants!$B$27,0))</f>
        <v/>
      </c>
      <c r="BF108" s="138" t="str">
        <f aca="false">IF($BZ108&lt;&gt;Constants!$B$8,"",IF($AL108,($AI108-Constants!$B$29)*Constants!$B$28,0))</f>
        <v/>
      </c>
      <c r="BG108" s="138" t="str">
        <f aca="false">IF($BZ108&lt;&gt;Constants!$B$8,"",IF($AK108,0,Constants!$B$15)+IF($AJ108,0,Constants!$B$16)+IF($AH108,0,Constants!$B$17))</f>
        <v/>
      </c>
      <c r="BH108" s="139" t="str">
        <f aca="false">IF($BZ108&lt;&gt;Constants!$B$8,"",Constants!$B$20+SUM($BC108:$BG108))</f>
        <v/>
      </c>
      <c r="BI108" s="138" t="str">
        <f aca="false">IF($BZ108&lt;&gt;Constants!$B$8,"",$BC108)</f>
        <v/>
      </c>
      <c r="BJ108" s="138" t="str">
        <f aca="false">IF($BZ108&lt;&gt;Constants!$B$8,"",$BD108)</f>
        <v/>
      </c>
      <c r="BK108" s="138" t="str">
        <f aca="false">IF($BZ108&lt;&gt;Constants!$B$8,"",IF($AL108,$AN108,""))</f>
        <v/>
      </c>
      <c r="BL108" s="140" t="str">
        <f aca="false">IF($BZ108&lt;&gt;Constants!$B$8,"",$AI108)</f>
        <v/>
      </c>
      <c r="BM108" s="135" t="str">
        <f aca="false">IF($BZ108&lt;&gt;Constants!$B$8,"",IF(OR($BT108&lt;$BH108,AND($BT108=$BH108,OR($BU108&lt;$BI108,AND($BU108=$BI108,OR($BV108&lt;$BJ108,AND($BV108=$BJ108,OR(AND(ISNUMBER($BW108),OR(NOT(ISNUMBER($BK108)),$BW108&lt;$BK108)),AND(OR(AND($BW108="",$BK108=""),AND(ISNUMBER($BW108),ISNUMBER($BK108),$BW108=$BK108)),$BX108&lt;$BL108)))))))),"-&gt;","&lt;-"))</f>
        <v/>
      </c>
      <c r="BN108" s="134" t="str">
        <f aca="false">IF(ISBLANK($C108),"",AND($AT108,OR($AU108="",$AV108="",AND($AW108,$AX108=""))))</f>
        <v/>
      </c>
      <c r="BO108" s="137" t="str">
        <f aca="false">IF($BZ108&lt;&gt;Constants!$B$8,"",IF($AT108,Constants!$B$21*$AV108+Constants!$B$22*IF($AW108,$AX108,Constants!$B$23),Constants!$B$24))</f>
        <v/>
      </c>
      <c r="BP108" s="138" t="str">
        <f aca="false">IF($BZ108&lt;&gt;Constants!$B$8,"",Constants!$B$25*ABS($AD$9-IF($AT108,$AU108,0)))</f>
        <v/>
      </c>
      <c r="BQ108" s="138" t="str">
        <f aca="false">IF($BZ108&lt;&gt;Constants!$B$8,"",IF(AND($AT108,$AY108,$AW108),Constants!$B$27,0))</f>
        <v/>
      </c>
      <c r="BR108" s="138" t="str">
        <f aca="false">IF($BZ108&lt;&gt;Constants!$B$8,"",IF($AT108,($AI108-Constants!$B$29)*Constants!$B$28,0))</f>
        <v/>
      </c>
      <c r="BS108" s="138" t="str">
        <f aca="false">IF($BZ108&lt;&gt;Constants!$B$8,"",IF($AS108,0,Constants!$B$15)+IF($AR108,0,Constants!$B$16)+IF($AH108,0,Constants!$B$17))</f>
        <v/>
      </c>
      <c r="BT108" s="139" t="str">
        <f aca="false">IF($BZ108&lt;&gt;Constants!$B$8,"",Constants!$B$20+SUM($BO108:$BS108))</f>
        <v/>
      </c>
      <c r="BU108" s="138" t="str">
        <f aca="false">IF($BZ108&lt;&gt;Constants!$B$8,"",$BO108)</f>
        <v/>
      </c>
      <c r="BV108" s="138" t="str">
        <f aca="false">IF($BZ108&lt;&gt;Constants!$B$8,"",$BP108)</f>
        <v/>
      </c>
      <c r="BW108" s="138" t="str">
        <f aca="false">IF($BZ108&lt;&gt;Constants!$B$8,"",IF($AT108,$AV108,""))</f>
        <v/>
      </c>
      <c r="BX108" s="140" t="str">
        <f aca="false">IF($BZ108&lt;&gt;Constants!$B$8,"",$AI108)</f>
        <v/>
      </c>
      <c r="BY108" s="135" t="str">
        <f aca="false">IF(ISBLANK($C108),"",IF(ISBLANK($D$7),$BY$5,IF(NOT(ISNUMBER($D$7)),$BY$6,"")))</f>
        <v/>
      </c>
      <c r="BZ108" s="135" t="str">
        <f aca="false">IF(ISBLANK($C108),"",IF($BA108,Constants!$B$11,IF(COUNTA($E108:$AA108)=0,Constants!$B$10,IF(NOT($AG108),Constants!$B$9,IF(OR($BY108&lt;&gt;"",$BB108,$BN108),Constants!$B$12,Constants!$B$8)))))</f>
        <v/>
      </c>
      <c r="CA108" s="135" t="str">
        <f aca="false">IF(ISBLANK($C108),"",IF($BZ108&lt;&gt;Constants!$B$8,$BZ108,Constants!$B$13))</f>
        <v/>
      </c>
      <c r="CB108" s="138" t="str">
        <f aca="false">IF($BZ108&lt;&gt;Constants!$B$8,"",IF($BM108="-&gt;",$BT108,$BH108))</f>
        <v/>
      </c>
      <c r="CC108" s="138" t="str">
        <f aca="false">IF($BZ108&lt;&gt;Constants!$B$8,"",IF($AF108,0,Constants!$B$18))</f>
        <v/>
      </c>
      <c r="CD108" s="138" t="str">
        <f aca="false">IF($BZ108&lt;&gt;Constants!$B$8,"",((Constants!$B$31-$AZ108)-Constants!$B$31)/Constants!$B$32)</f>
        <v/>
      </c>
      <c r="CE108" s="138" t="str">
        <f aca="false">IF(ISBLANK($C108),"",IF($BZ108&lt;&gt;Constants!$B$8,$BZ108,SUM($CB108:$CD108)))</f>
        <v/>
      </c>
      <c r="CF108" s="135" t="str">
        <f aca="false">IF(ISBLANK($C108),"",IF($BZ108&lt;&gt;Constants!$B$8,$BZ108,RANK($CE108,$CE$9:$CE$508,1)))</f>
        <v/>
      </c>
      <c r="CG108" s="138" t="str">
        <f aca="false">IF($BZ108&lt;&gt;Constants!$B$8,"",IF($BM108="-&gt;",$BU108,$BI108))</f>
        <v/>
      </c>
      <c r="CH108" s="135" t="str">
        <f aca="false">IF(ISBLANK($C108),"",IF($BZ108&lt;&gt;Constants!$B$8,$BZ108,IF(ISNUMBER($CG108),RANK($CG108,$CG$9:$CG$508,1),COUNT($CG$9:$CG$508)+1)))</f>
        <v/>
      </c>
      <c r="CI108" s="138" t="str">
        <f aca="false">IF($BZ108&lt;&gt;Constants!$B$8,"",IF($BM108="-&gt;",$BV108,$BJ108))</f>
        <v/>
      </c>
      <c r="CJ108" s="135" t="str">
        <f aca="false">IF(ISBLANK($C108),"",IF($BZ108&lt;&gt;Constants!$B$8,$BZ108,IF(ISNUMBER($CI108),RANK($CI108,$CI$9:$CI$508,1),COUNT($CI$9:$CI$508)+1)))</f>
        <v/>
      </c>
      <c r="CK108" s="138" t="str">
        <f aca="false">IF($BZ108&lt;&gt;Constants!$B$8,"",IF($BM108="-&gt;",$BW108,$BK108))</f>
        <v/>
      </c>
      <c r="CL108" s="135" t="str">
        <f aca="false">IF(ISBLANK($C108),"",IF($BZ108&lt;&gt;Constants!$B$8,$BZ108,IF(ISNUMBER($CK108),RANK($CK108,$CK$9:$CK$508,1),COUNT($CK$9:$CK$508)+1)))</f>
        <v/>
      </c>
      <c r="CM108" s="138" t="str">
        <f aca="false">IF($BZ108&lt;&gt;Constants!$B$8,"",IF(AND(NOT($AL108),NOT($AT108),$AJ108,$AK108,$AR108,$AS108),"",IF($BM108="-&gt;",$BX108,$BL108)))</f>
        <v/>
      </c>
      <c r="CN108" s="135" t="str">
        <f aca="false">IF(ISBLANK($C108),"",IF($BZ108&lt;&gt;Constants!$B$8,$BZ108,IF(ISNUMBER($CM108),RANK($CM108,$CM$9:$CM$508,1),COUNT($CM$9:$CM$508)+1)))</f>
        <v/>
      </c>
      <c r="CO108" s="135" t="str">
        <f aca="false">IF(ISBLANK($C108),"",IF($BZ108&lt;&gt;Constants!$B$8,$BZ108,COUNTIFS($CF$9:$CF$508,"&lt;"&amp;$CF108)+COUNTIFS($CF$9:$CF$508,$CF108,$CH$9:$CH$508,"&lt;"&amp;$CH108)+COUNTIFS($CF$9:$CF$508,$CF108,$CH$9:$CH$508,$CH108,$CJ$9:$CJ$508,"&lt;"&amp;$CJ108)+COUNTIFS($CF$9:$CF$508,$CF108,$CH$9:$CH$508,$CH108,$CJ$9:$CJ$508,$CJ108,$CL$9:$CL$508,"&lt;"&amp;$CL108)+COUNTIFS($CF$9:$CF$508,$CF108,$CH$9:$CH$508,$CH108,$CJ$9:$CJ$508,$CJ108,$CL$9:$CL$508,$CL108,$CN$9:$CN$508,"&lt;"&amp;$CN108)+1))</f>
        <v/>
      </c>
      <c r="CP108" s="135" t="str">
        <f aca="false">IF(ISBLANK($C108),"",IF($BZ108&lt;&gt;Constants!$B$8,$BZ108,$CF108-$CO108))</f>
        <v/>
      </c>
      <c r="CQ108" s="141"/>
      <c r="CR108" s="142"/>
      <c r="CS108" s="143" t="str">
        <f aca="false">IF(ISBLANK($C108),"",IF($BZ108=Constants!$B$12,$BY108,""))</f>
        <v/>
      </c>
      <c r="CT108" s="142" t="str">
        <f aca="false">IF(ISBLANK($C108),"",IF($BZ108&lt;&gt;Constants!$B$8,"",IF($BM108="-&gt;",2,1)))</f>
        <v/>
      </c>
      <c r="CU108" s="144" t="str">
        <f aca="false">IF(ISBLANK($C108),"",IF($BZ108&lt;&gt;Constants!$B$8,"",IF($BM108="-&gt;",$BO108,$BC108)))</f>
        <v/>
      </c>
      <c r="CV108" s="144" t="str">
        <f aca="false">IF(ISBLANK($C108),"",IF($BZ108&lt;&gt;Constants!$B$8,"",IF($BM108="-&gt;",$BP108,$BD108)))</f>
        <v/>
      </c>
      <c r="CW108" s="144" t="str">
        <f aca="false">IF(ISBLANK($C108),"",IF($BZ108&lt;&gt;Constants!$B$8,"",IF($BM108="-&gt;",$BQ108+$BR108,$BE108+$BF108)+$CD108))</f>
        <v/>
      </c>
      <c r="CX108" s="144" t="str">
        <f aca="false">IF(ISBLANK($C108),"",IF($BZ108&lt;&gt;Constants!$B$8,"",IF($BM108="-&gt;",$BS108,$BG108)+$CC108))</f>
        <v/>
      </c>
      <c r="CY108" s="145" t="str">
        <f aca="false">IF(ISBLANK($C108),"",IF($BZ108&lt;&gt;Constants!$B$8,$BZ108,$CE108))</f>
        <v/>
      </c>
      <c r="CZ108" s="146" t="str">
        <f aca="false">IF(ISBLANK($C108),"",$CA108)</f>
        <v/>
      </c>
      <c r="DA108" s="147" t="str">
        <f aca="false">IF(ISBLANK($C108),"",$CP108)</f>
        <v/>
      </c>
      <c r="DB108" s="147" t="str">
        <f aca="false">IF(ISBLANK($C108),"",$CO108)</f>
        <v/>
      </c>
      <c r="DC108" s="148" t="str">
        <f aca="false">IF(ISBLANK($C108),"",IFERROR(_xlfn.SWITCH($DB108,Constants!$B$11,COUNTA($C$9:$C$508)+2,Constants!$B$10,COUNTA($C$9:$C$508)+1,Constants!$B$9,COUNTA($C$9:$C$508)),$DB108))</f>
        <v/>
      </c>
      <c r="DD108" s="9"/>
      <c r="DE108" s="149" t="n">
        <f aca="false">IF(OR(ISNUMBER($DB108),$DB108=Constants!$B$11,$DB108=Constants!$B$9,$DB108=Constants!$B$10),1,0)</f>
        <v>0</v>
      </c>
      <c r="DF108" s="149" t="n">
        <v>100</v>
      </c>
      <c r="DG108" s="149" t="str">
        <f aca="false">IF(ISBLANK($C108),"",IF(ISNUMBER($DC108),$DC108+ROW($B108)/1000,""))</f>
        <v/>
      </c>
      <c r="DH108" s="149" t="str">
        <f aca="false">IF(ISNUMBER($DG108),RANK($DG108,$DG$9:$DG$508,1),"")</f>
        <v/>
      </c>
      <c r="DI108" s="149" t="str">
        <f aca="false">IF(ISBLANK($C108),"",$B108)</f>
        <v/>
      </c>
      <c r="DJ108" s="149" t="str">
        <f aca="false">IF(ISBLANK($C108),"",$C108)</f>
        <v/>
      </c>
      <c r="DK108" s="149" t="str">
        <f aca="false">IF(ISBLANK($C108),"",$D108)</f>
        <v/>
      </c>
      <c r="DL108" s="150" t="str">
        <f aca="false">$CZ108</f>
        <v/>
      </c>
      <c r="DM108" s="151" t="str">
        <f aca="false">$CY108</f>
        <v/>
      </c>
      <c r="DN108" s="149" t="str">
        <f aca="false">IF(ISBLANK($C108),"",$DB108)</f>
        <v/>
      </c>
      <c r="DO108" s="152" t="str">
        <f aca="false">IF($DF108&gt;$DE$8,"",VLOOKUP($DF108,$DH$9:$DN$508,7,FALSE()))</f>
        <v/>
      </c>
      <c r="DP108" s="153" t="str">
        <f aca="false">IF($DF108&gt;$DE$8,"",VLOOKUP($DF108,$DH$9:$DN$508,2,FALSE()))</f>
        <v/>
      </c>
      <c r="DQ108" s="153" t="str">
        <f aca="false">IF($DF108&gt;$DE$8,"",VLOOKUP($DF108,$DH$9:$DN$508,3,FALSE()))</f>
        <v/>
      </c>
      <c r="DR108" s="153" t="str">
        <f aca="false">IF($DF108&gt;$DE$8,"",VLOOKUP($DF108,$DH$9:$DN$508,4,FALSE()))</f>
        <v/>
      </c>
      <c r="DS108" s="153" t="str">
        <f aca="false">IF($DF108&gt;$DE$8,"",VLOOKUP($DF108,$DH$9:$DN$508,5,FALSE()))</f>
        <v/>
      </c>
      <c r="DT108" s="154" t="str">
        <f aca="false">IF($DF108&gt;$DE$8,"",VLOOKUP($DF108,$DH$9:$DN$508,6,FALSE()))</f>
        <v/>
      </c>
      <c r="DU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IF(ISBLANK($C109),"",IF(E109=Constants!$B$3,TRUE(),IF(E109=Constants!$B$4,FALSE(),TRUE())))</f>
        <v/>
      </c>
      <c r="AG109" s="135" t="str">
        <f aca="false">IF(ISBLANK($C109),"",IF(F109=Constants!$B$3,TRUE(),IF(F109=Constants!$B$4,FALSE(),TRUE())))</f>
        <v/>
      </c>
      <c r="AH109" s="135" t="str">
        <f aca="false">IF(ISBLANK($C109),"",IF(G109=Constants!$B$3,TRUE(),IF(G109=Constants!$B$4,FALSE(),TRUE())))</f>
        <v/>
      </c>
      <c r="AI109" s="135" t="str">
        <f aca="false">IF(ISBLANK($C109),"",IF(AND(ISNUMBER(H109),H109&gt;=0),H109,Constants!$B$29))</f>
        <v/>
      </c>
      <c r="AJ109" s="135" t="str">
        <f aca="false">IF(ISBLANK($C109),"",IF(I109=Constants!$B$3,TRUE(),IF(I109=Constants!$B$4,FALSE(),TRUE())))</f>
        <v/>
      </c>
      <c r="AK109" s="135" t="str">
        <f aca="false">IF(ISBLANK($C109),"",IF(J109=Constants!$B$3,TRUE(),IF(J109=Constants!$B$4,FALSE(),TRUE())))</f>
        <v/>
      </c>
      <c r="AL109" s="135" t="str">
        <f aca="false">IF(ISBLANK($C109),"",IF(K109=Constants!$B$5,TRUE(),IF(K109=Constants!$B$6,FALSE(),COUNTA(L109:P109)&gt;0)))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IF(ISBLANK($C109),"",IF(N109=Constants!$B$3,TRUE(),IF(N109=Constants!$B$4,FALSE(),TRUE())))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IF(ISBLANK($C109),"",IF(P109=Constants!$B$3,TRUE(),IF(P109=Constants!$B$4,FALSE(),FALSE())))</f>
        <v/>
      </c>
      <c r="AR109" s="135" t="str">
        <f aca="false">IF(ISBLANK($C109),"",IF(Q109=Constants!$B$3,TRUE(),IF(Q109=Constants!$B$4,FALSE(),TRUE())))</f>
        <v/>
      </c>
      <c r="AS109" s="135" t="str">
        <f aca="false">IF(ISBLANK($C109),"",IF(R109=Constants!$B$3,TRUE(),IF(R109=Constants!$B$4,FALSE(),TRUE())))</f>
        <v/>
      </c>
      <c r="AT109" s="135" t="str">
        <f aca="false">IF(ISBLANK($C109),"",IF(S109=Constants!$B$5,TRUE(),IF(S109=Constants!$B$6,FALSE(),COUNTA(T109:X109)&gt;0)))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IF(ISBLANK($C109),"",IF(V109=Constants!$B$3,TRUE(),IF(V109=Constants!$B$4,FALSE(),TRUE())))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IF(ISBLANK($C109),"",IF(X109=Constants!$B$3,TRUE(),IF(X109=Constants!$B$4,FALSE(),FALSE())))</f>
        <v/>
      </c>
      <c r="AZ109" s="135" t="str">
        <f aca="false">IF(ISBLANK($C109),"",MIN(Constants!$B$31,MAX(0,IF(ISNUMBER(Y109),Y109*60,0)+IF(ISNUMBER(Z109),Z109,0))))</f>
        <v/>
      </c>
      <c r="BA109" s="135" t="str">
        <f aca="false">IF(ISBLANK($C109),"",IF(AA109=Constants!$B$3,TRUE(),IF(AA109=Constants!$B$4,FALSE(),FALSE())))</f>
        <v/>
      </c>
      <c r="BB109" s="134" t="str">
        <f aca="false">IF(ISBLANK($C109),"",AND($AL109,OR($AM109="",$AN109="",AND($AO109,$AP109=""))))</f>
        <v/>
      </c>
      <c r="BC109" s="137" t="str">
        <f aca="false">IF($BZ109&lt;&gt;Constants!$B$8,"",IF($AL109,Constants!$B$21*$AN109+Constants!$B$22*IF($AO109,$AP109,Constants!$B$23),Constants!$B$24))</f>
        <v/>
      </c>
      <c r="BD109" s="138" t="str">
        <f aca="false">IF($BZ109&lt;&gt;Constants!$B$8,"",Constants!$B$25*ABS($AD$9-IF($AL109,$AM109,0)))</f>
        <v/>
      </c>
      <c r="BE109" s="138" t="str">
        <f aca="false">IF($BZ109&lt;&gt;Constants!$B$8,"",IF(AND($AL109,$AQ109,$AO109),Constants!$B$27,0))</f>
        <v/>
      </c>
      <c r="BF109" s="138" t="str">
        <f aca="false">IF($BZ109&lt;&gt;Constants!$B$8,"",IF($AL109,($AI109-Constants!$B$29)*Constants!$B$28,0))</f>
        <v/>
      </c>
      <c r="BG109" s="138" t="str">
        <f aca="false">IF($BZ109&lt;&gt;Constants!$B$8,"",IF($AK109,0,Constants!$B$15)+IF($AJ109,0,Constants!$B$16)+IF($AH109,0,Constants!$B$17))</f>
        <v/>
      </c>
      <c r="BH109" s="139" t="str">
        <f aca="false">IF($BZ109&lt;&gt;Constants!$B$8,"",Constants!$B$20+SUM($BC109:$BG109))</f>
        <v/>
      </c>
      <c r="BI109" s="138" t="str">
        <f aca="false">IF($BZ109&lt;&gt;Constants!$B$8,"",$BC109)</f>
        <v/>
      </c>
      <c r="BJ109" s="138" t="str">
        <f aca="false">IF($BZ109&lt;&gt;Constants!$B$8,"",$BD109)</f>
        <v/>
      </c>
      <c r="BK109" s="138" t="str">
        <f aca="false">IF($BZ109&lt;&gt;Constants!$B$8,"",IF($AL109,$AN109,""))</f>
        <v/>
      </c>
      <c r="BL109" s="140" t="str">
        <f aca="false">IF($BZ109&lt;&gt;Constants!$B$8,"",$AI109)</f>
        <v/>
      </c>
      <c r="BM109" s="135" t="str">
        <f aca="false">IF($BZ109&lt;&gt;Constants!$B$8,"",IF(OR($BT109&lt;$BH109,AND($BT109=$BH109,OR($BU109&lt;$BI109,AND($BU109=$BI109,OR($BV109&lt;$BJ109,AND($BV109=$BJ109,OR(AND(ISNUMBER($BW109),OR(NOT(ISNUMBER($BK109)),$BW109&lt;$BK109)),AND(OR(AND($BW109="",$BK109=""),AND(ISNUMBER($BW109),ISNUMBER($BK109),$BW109=$BK109)),$BX109&lt;$BL109)))))))),"-&gt;","&lt;-"))</f>
        <v/>
      </c>
      <c r="BN109" s="134" t="str">
        <f aca="false">IF(ISBLANK($C109),"",AND($AT109,OR($AU109="",$AV109="",AND($AW109,$AX109=""))))</f>
        <v/>
      </c>
      <c r="BO109" s="137" t="str">
        <f aca="false">IF($BZ109&lt;&gt;Constants!$B$8,"",IF($AT109,Constants!$B$21*$AV109+Constants!$B$22*IF($AW109,$AX109,Constants!$B$23),Constants!$B$24))</f>
        <v/>
      </c>
      <c r="BP109" s="138" t="str">
        <f aca="false">IF($BZ109&lt;&gt;Constants!$B$8,"",Constants!$B$25*ABS($AD$9-IF($AT109,$AU109,0)))</f>
        <v/>
      </c>
      <c r="BQ109" s="138" t="str">
        <f aca="false">IF($BZ109&lt;&gt;Constants!$B$8,"",IF(AND($AT109,$AY109,$AW109),Constants!$B$27,0))</f>
        <v/>
      </c>
      <c r="BR109" s="138" t="str">
        <f aca="false">IF($BZ109&lt;&gt;Constants!$B$8,"",IF($AT109,($AI109-Constants!$B$29)*Constants!$B$28,0))</f>
        <v/>
      </c>
      <c r="BS109" s="138" t="str">
        <f aca="false">IF($BZ109&lt;&gt;Constants!$B$8,"",IF($AS109,0,Constants!$B$15)+IF($AR109,0,Constants!$B$16)+IF($AH109,0,Constants!$B$17))</f>
        <v/>
      </c>
      <c r="BT109" s="139" t="str">
        <f aca="false">IF($BZ109&lt;&gt;Constants!$B$8,"",Constants!$B$20+SUM($BO109:$BS109))</f>
        <v/>
      </c>
      <c r="BU109" s="138" t="str">
        <f aca="false">IF($BZ109&lt;&gt;Constants!$B$8,"",$BO109)</f>
        <v/>
      </c>
      <c r="BV109" s="138" t="str">
        <f aca="false">IF($BZ109&lt;&gt;Constants!$B$8,"",$BP109)</f>
        <v/>
      </c>
      <c r="BW109" s="138" t="str">
        <f aca="false">IF($BZ109&lt;&gt;Constants!$B$8,"",IF($AT109,$AV109,""))</f>
        <v/>
      </c>
      <c r="BX109" s="140" t="str">
        <f aca="false">IF($BZ109&lt;&gt;Constants!$B$8,"",$AI109)</f>
        <v/>
      </c>
      <c r="BY109" s="135" t="str">
        <f aca="false">IF(ISBLANK($C109),"",IF(ISBLANK($D$7),$BY$5,IF(NOT(ISNUMBER($D$7)),$BY$6,"")))</f>
        <v/>
      </c>
      <c r="BZ109" s="135" t="str">
        <f aca="false">IF(ISBLANK($C109),"",IF($BA109,Constants!$B$11,IF(COUNTA($E109:$AA109)=0,Constants!$B$10,IF(NOT($AG109),Constants!$B$9,IF(OR($BY109&lt;&gt;"",$BB109,$BN109),Constants!$B$12,Constants!$B$8)))))</f>
        <v/>
      </c>
      <c r="CA109" s="135" t="str">
        <f aca="false">IF(ISBLANK($C109),"",IF($BZ109&lt;&gt;Constants!$B$8,$BZ109,Constants!$B$13))</f>
        <v/>
      </c>
      <c r="CB109" s="138" t="str">
        <f aca="false">IF($BZ109&lt;&gt;Constants!$B$8,"",IF($BM109="-&gt;",$BT109,$BH109))</f>
        <v/>
      </c>
      <c r="CC109" s="138" t="str">
        <f aca="false">IF($BZ109&lt;&gt;Constants!$B$8,"",IF($AF109,0,Constants!$B$18))</f>
        <v/>
      </c>
      <c r="CD109" s="138" t="str">
        <f aca="false">IF($BZ109&lt;&gt;Constants!$B$8,"",((Constants!$B$31-$AZ109)-Constants!$B$31)/Constants!$B$32)</f>
        <v/>
      </c>
      <c r="CE109" s="138" t="str">
        <f aca="false">IF(ISBLANK($C109),"",IF($BZ109&lt;&gt;Constants!$B$8,$BZ109,SUM($CB109:$CD109)))</f>
        <v/>
      </c>
      <c r="CF109" s="135" t="str">
        <f aca="false">IF(ISBLANK($C109),"",IF($BZ109&lt;&gt;Constants!$B$8,$BZ109,RANK($CE109,$CE$9:$CE$508,1)))</f>
        <v/>
      </c>
      <c r="CG109" s="138" t="str">
        <f aca="false">IF($BZ109&lt;&gt;Constants!$B$8,"",IF($BM109="-&gt;",$BU109,$BI109))</f>
        <v/>
      </c>
      <c r="CH109" s="135" t="str">
        <f aca="false">IF(ISBLANK($C109),"",IF($BZ109&lt;&gt;Constants!$B$8,$BZ109,IF(ISNUMBER($CG109),RANK($CG109,$CG$9:$CG$508,1),COUNT($CG$9:$CG$508)+1)))</f>
        <v/>
      </c>
      <c r="CI109" s="138" t="str">
        <f aca="false">IF($BZ109&lt;&gt;Constants!$B$8,"",IF($BM109="-&gt;",$BV109,$BJ109))</f>
        <v/>
      </c>
      <c r="CJ109" s="135" t="str">
        <f aca="false">IF(ISBLANK($C109),"",IF($BZ109&lt;&gt;Constants!$B$8,$BZ109,IF(ISNUMBER($CI109),RANK($CI109,$CI$9:$CI$508,1),COUNT($CI$9:$CI$508)+1)))</f>
        <v/>
      </c>
      <c r="CK109" s="138" t="str">
        <f aca="false">IF($BZ109&lt;&gt;Constants!$B$8,"",IF($BM109="-&gt;",$BW109,$BK109))</f>
        <v/>
      </c>
      <c r="CL109" s="135" t="str">
        <f aca="false">IF(ISBLANK($C109),"",IF($BZ109&lt;&gt;Constants!$B$8,$BZ109,IF(ISNUMBER($CK109),RANK($CK109,$CK$9:$CK$508,1),COUNT($CK$9:$CK$508)+1)))</f>
        <v/>
      </c>
      <c r="CM109" s="138" t="str">
        <f aca="false">IF($BZ109&lt;&gt;Constants!$B$8,"",IF(AND(NOT($AL109),NOT($AT109),$AJ109,$AK109,$AR109,$AS109),"",IF($BM109="-&gt;",$BX109,$BL109)))</f>
        <v/>
      </c>
      <c r="CN109" s="135" t="str">
        <f aca="false">IF(ISBLANK($C109),"",IF($BZ109&lt;&gt;Constants!$B$8,$BZ109,IF(ISNUMBER($CM109),RANK($CM109,$CM$9:$CM$508,1),COUNT($CM$9:$CM$508)+1)))</f>
        <v/>
      </c>
      <c r="CO109" s="135" t="str">
        <f aca="false">IF(ISBLANK($C109),"",IF($BZ109&lt;&gt;Constants!$B$8,$BZ109,COUNTIFS($CF$9:$CF$508,"&lt;"&amp;$CF109)+COUNTIFS($CF$9:$CF$508,$CF109,$CH$9:$CH$508,"&lt;"&amp;$CH109)+COUNTIFS($CF$9:$CF$508,$CF109,$CH$9:$CH$508,$CH109,$CJ$9:$CJ$508,"&lt;"&amp;$CJ109)+COUNTIFS($CF$9:$CF$508,$CF109,$CH$9:$CH$508,$CH109,$CJ$9:$CJ$508,$CJ109,$CL$9:$CL$508,"&lt;"&amp;$CL109)+COUNTIFS($CF$9:$CF$508,$CF109,$CH$9:$CH$508,$CH109,$CJ$9:$CJ$508,$CJ109,$CL$9:$CL$508,$CL109,$CN$9:$CN$508,"&lt;"&amp;$CN109)+1))</f>
        <v/>
      </c>
      <c r="CP109" s="135" t="str">
        <f aca="false">IF(ISBLANK($C109),"",IF($BZ109&lt;&gt;Constants!$B$8,$BZ109,$CF109-$CO109))</f>
        <v/>
      </c>
      <c r="CQ109" s="141"/>
      <c r="CR109" s="142"/>
      <c r="CS109" s="143" t="str">
        <f aca="false">IF(ISBLANK($C109),"",IF($BZ109=Constants!$B$12,$BY109,""))</f>
        <v/>
      </c>
      <c r="CT109" s="142" t="str">
        <f aca="false">IF(ISBLANK($C109),"",IF($BZ109&lt;&gt;Constants!$B$8,"",IF($BM109="-&gt;",2,1)))</f>
        <v/>
      </c>
      <c r="CU109" s="144" t="str">
        <f aca="false">IF(ISBLANK($C109),"",IF($BZ109&lt;&gt;Constants!$B$8,"",IF($BM109="-&gt;",$BO109,$BC109)))</f>
        <v/>
      </c>
      <c r="CV109" s="144" t="str">
        <f aca="false">IF(ISBLANK($C109),"",IF($BZ109&lt;&gt;Constants!$B$8,"",IF($BM109="-&gt;",$BP109,$BD109)))</f>
        <v/>
      </c>
      <c r="CW109" s="144" t="str">
        <f aca="false">IF(ISBLANK($C109),"",IF($BZ109&lt;&gt;Constants!$B$8,"",IF($BM109="-&gt;",$BQ109+$BR109,$BE109+$BF109)+$CD109))</f>
        <v/>
      </c>
      <c r="CX109" s="144" t="str">
        <f aca="false">IF(ISBLANK($C109),"",IF($BZ109&lt;&gt;Constants!$B$8,"",IF($BM109="-&gt;",$BS109,$BG109)+$CC109))</f>
        <v/>
      </c>
      <c r="CY109" s="145" t="str">
        <f aca="false">IF(ISBLANK($C109),"",IF($BZ109&lt;&gt;Constants!$B$8,$BZ109,$CE109))</f>
        <v/>
      </c>
      <c r="CZ109" s="146" t="str">
        <f aca="false">IF(ISBLANK($C109),"",$CA109)</f>
        <v/>
      </c>
      <c r="DA109" s="147" t="str">
        <f aca="false">IF(ISBLANK($C109),"",$CP109)</f>
        <v/>
      </c>
      <c r="DB109" s="147" t="str">
        <f aca="false">IF(ISBLANK($C109),"",$CO109)</f>
        <v/>
      </c>
      <c r="DC109" s="148" t="str">
        <f aca="false">IF(ISBLANK($C109),"",IFERROR(_xlfn.SWITCH($DB109,Constants!$B$11,COUNTA($C$9:$C$508)+2,Constants!$B$10,COUNTA($C$9:$C$508)+1,Constants!$B$9,COUNTA($C$9:$C$508)),$DB109))</f>
        <v/>
      </c>
      <c r="DD109" s="9"/>
      <c r="DE109" s="149" t="n">
        <f aca="false">IF(OR(ISNUMBER($DB109),$DB109=Constants!$B$11,$DB109=Constants!$B$9,$DB109=Constants!$B$10),1,0)</f>
        <v>0</v>
      </c>
      <c r="DF109" s="149" t="n">
        <v>101</v>
      </c>
      <c r="DG109" s="149" t="str">
        <f aca="false">IF(ISBLANK($C109),"",IF(ISNUMBER($DC109),$DC109+ROW($B109)/1000,""))</f>
        <v/>
      </c>
      <c r="DH109" s="149" t="str">
        <f aca="false">IF(ISNUMBER($DG109),RANK($DG109,$DG$9:$DG$508,1),"")</f>
        <v/>
      </c>
      <c r="DI109" s="149" t="str">
        <f aca="false">IF(ISBLANK($C109),"",$B109)</f>
        <v/>
      </c>
      <c r="DJ109" s="149" t="str">
        <f aca="false">IF(ISBLANK($C109),"",$C109)</f>
        <v/>
      </c>
      <c r="DK109" s="149" t="str">
        <f aca="false">IF(ISBLANK($C109),"",$D109)</f>
        <v/>
      </c>
      <c r="DL109" s="150" t="str">
        <f aca="false">$CZ109</f>
        <v/>
      </c>
      <c r="DM109" s="151" t="str">
        <f aca="false">$CY109</f>
        <v/>
      </c>
      <c r="DN109" s="149" t="str">
        <f aca="false">IF(ISBLANK($C109),"",$DB109)</f>
        <v/>
      </c>
      <c r="DO109" s="152" t="str">
        <f aca="false">IF($DF109&gt;$DE$8,"",VLOOKUP($DF109,$DH$9:$DN$508,7,FALSE()))</f>
        <v/>
      </c>
      <c r="DP109" s="153" t="str">
        <f aca="false">IF($DF109&gt;$DE$8,"",VLOOKUP($DF109,$DH$9:$DN$508,2,FALSE()))</f>
        <v/>
      </c>
      <c r="DQ109" s="153" t="str">
        <f aca="false">IF($DF109&gt;$DE$8,"",VLOOKUP($DF109,$DH$9:$DN$508,3,FALSE()))</f>
        <v/>
      </c>
      <c r="DR109" s="153" t="str">
        <f aca="false">IF($DF109&gt;$DE$8,"",VLOOKUP($DF109,$DH$9:$DN$508,4,FALSE()))</f>
        <v/>
      </c>
      <c r="DS109" s="153" t="str">
        <f aca="false">IF($DF109&gt;$DE$8,"",VLOOKUP($DF109,$DH$9:$DN$508,5,FALSE()))</f>
        <v/>
      </c>
      <c r="DT109" s="154" t="str">
        <f aca="false">IF($DF109&gt;$DE$8,"",VLOOKUP($DF109,$DH$9:$DN$508,6,FALSE()))</f>
        <v/>
      </c>
      <c r="DU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IF(ISBLANK($C110),"",IF(E110=Constants!$B$3,TRUE(),IF(E110=Constants!$B$4,FALSE(),TRUE())))</f>
        <v/>
      </c>
      <c r="AG110" s="135" t="str">
        <f aca="false">IF(ISBLANK($C110),"",IF(F110=Constants!$B$3,TRUE(),IF(F110=Constants!$B$4,FALSE(),TRUE())))</f>
        <v/>
      </c>
      <c r="AH110" s="135" t="str">
        <f aca="false">IF(ISBLANK($C110),"",IF(G110=Constants!$B$3,TRUE(),IF(G110=Constants!$B$4,FALSE(),TRUE())))</f>
        <v/>
      </c>
      <c r="AI110" s="135" t="str">
        <f aca="false">IF(ISBLANK($C110),"",IF(AND(ISNUMBER(H110),H110&gt;=0),H110,Constants!$B$29))</f>
        <v/>
      </c>
      <c r="AJ110" s="135" t="str">
        <f aca="false">IF(ISBLANK($C110),"",IF(I110=Constants!$B$3,TRUE(),IF(I110=Constants!$B$4,FALSE(),TRUE())))</f>
        <v/>
      </c>
      <c r="AK110" s="135" t="str">
        <f aca="false">IF(ISBLANK($C110),"",IF(J110=Constants!$B$3,TRUE(),IF(J110=Constants!$B$4,FALSE(),TRUE())))</f>
        <v/>
      </c>
      <c r="AL110" s="135" t="str">
        <f aca="false">IF(ISBLANK($C110),"",IF(K110=Constants!$B$5,TRUE(),IF(K110=Constants!$B$6,FALSE(),COUNTA(L110:P110)&gt;0)))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IF(ISBLANK($C110),"",IF(N110=Constants!$B$3,TRUE(),IF(N110=Constants!$B$4,FALSE(),TRUE())))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IF(ISBLANK($C110),"",IF(P110=Constants!$B$3,TRUE(),IF(P110=Constants!$B$4,FALSE(),FALSE())))</f>
        <v/>
      </c>
      <c r="AR110" s="135" t="str">
        <f aca="false">IF(ISBLANK($C110),"",IF(Q110=Constants!$B$3,TRUE(),IF(Q110=Constants!$B$4,FALSE(),TRUE())))</f>
        <v/>
      </c>
      <c r="AS110" s="135" t="str">
        <f aca="false">IF(ISBLANK($C110),"",IF(R110=Constants!$B$3,TRUE(),IF(R110=Constants!$B$4,FALSE(),TRUE())))</f>
        <v/>
      </c>
      <c r="AT110" s="135" t="str">
        <f aca="false">IF(ISBLANK($C110),"",IF(S110=Constants!$B$5,TRUE(),IF(S110=Constants!$B$6,FALSE(),COUNTA(T110:X110)&gt;0)))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IF(ISBLANK($C110),"",IF(V110=Constants!$B$3,TRUE(),IF(V110=Constants!$B$4,FALSE(),TRUE())))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IF(ISBLANK($C110),"",IF(X110=Constants!$B$3,TRUE(),IF(X110=Constants!$B$4,FALSE(),FALSE())))</f>
        <v/>
      </c>
      <c r="AZ110" s="135" t="str">
        <f aca="false">IF(ISBLANK($C110),"",MIN(Constants!$B$31,MAX(0,IF(ISNUMBER(Y110),Y110*60,0)+IF(ISNUMBER(Z110),Z110,0))))</f>
        <v/>
      </c>
      <c r="BA110" s="135" t="str">
        <f aca="false">IF(ISBLANK($C110),"",IF(AA110=Constants!$B$3,TRUE(),IF(AA110=Constants!$B$4,FALSE(),FALSE())))</f>
        <v/>
      </c>
      <c r="BB110" s="134" t="str">
        <f aca="false">IF(ISBLANK($C110),"",AND($AL110,OR($AM110="",$AN110="",AND($AO110,$AP110=""))))</f>
        <v/>
      </c>
      <c r="BC110" s="137" t="str">
        <f aca="false">IF($BZ110&lt;&gt;Constants!$B$8,"",IF($AL110,Constants!$B$21*$AN110+Constants!$B$22*IF($AO110,$AP110,Constants!$B$23),Constants!$B$24))</f>
        <v/>
      </c>
      <c r="BD110" s="138" t="str">
        <f aca="false">IF($BZ110&lt;&gt;Constants!$B$8,"",Constants!$B$25*ABS($AD$9-IF($AL110,$AM110,0)))</f>
        <v/>
      </c>
      <c r="BE110" s="138" t="str">
        <f aca="false">IF($BZ110&lt;&gt;Constants!$B$8,"",IF(AND($AL110,$AQ110,$AO110),Constants!$B$27,0))</f>
        <v/>
      </c>
      <c r="BF110" s="138" t="str">
        <f aca="false">IF($BZ110&lt;&gt;Constants!$B$8,"",IF($AL110,($AI110-Constants!$B$29)*Constants!$B$28,0))</f>
        <v/>
      </c>
      <c r="BG110" s="138" t="str">
        <f aca="false">IF($BZ110&lt;&gt;Constants!$B$8,"",IF($AK110,0,Constants!$B$15)+IF($AJ110,0,Constants!$B$16)+IF($AH110,0,Constants!$B$17))</f>
        <v/>
      </c>
      <c r="BH110" s="139" t="str">
        <f aca="false">IF($BZ110&lt;&gt;Constants!$B$8,"",Constants!$B$20+SUM($BC110:$BG110))</f>
        <v/>
      </c>
      <c r="BI110" s="138" t="str">
        <f aca="false">IF($BZ110&lt;&gt;Constants!$B$8,"",$BC110)</f>
        <v/>
      </c>
      <c r="BJ110" s="138" t="str">
        <f aca="false">IF($BZ110&lt;&gt;Constants!$B$8,"",$BD110)</f>
        <v/>
      </c>
      <c r="BK110" s="138" t="str">
        <f aca="false">IF($BZ110&lt;&gt;Constants!$B$8,"",IF($AL110,$AN110,""))</f>
        <v/>
      </c>
      <c r="BL110" s="140" t="str">
        <f aca="false">IF($BZ110&lt;&gt;Constants!$B$8,"",$AI110)</f>
        <v/>
      </c>
      <c r="BM110" s="135" t="str">
        <f aca="false">IF($BZ110&lt;&gt;Constants!$B$8,"",IF(OR($BT110&lt;$BH110,AND($BT110=$BH110,OR($BU110&lt;$BI110,AND($BU110=$BI110,OR($BV110&lt;$BJ110,AND($BV110=$BJ110,OR(AND(ISNUMBER($BW110),OR(NOT(ISNUMBER($BK110)),$BW110&lt;$BK110)),AND(OR(AND($BW110="",$BK110=""),AND(ISNUMBER($BW110),ISNUMBER($BK110),$BW110=$BK110)),$BX110&lt;$BL110)))))))),"-&gt;","&lt;-"))</f>
        <v/>
      </c>
      <c r="BN110" s="134" t="str">
        <f aca="false">IF(ISBLANK($C110),"",AND($AT110,OR($AU110="",$AV110="",AND($AW110,$AX110=""))))</f>
        <v/>
      </c>
      <c r="BO110" s="137" t="str">
        <f aca="false">IF($BZ110&lt;&gt;Constants!$B$8,"",IF($AT110,Constants!$B$21*$AV110+Constants!$B$22*IF($AW110,$AX110,Constants!$B$23),Constants!$B$24))</f>
        <v/>
      </c>
      <c r="BP110" s="138" t="str">
        <f aca="false">IF($BZ110&lt;&gt;Constants!$B$8,"",Constants!$B$25*ABS($AD$9-IF($AT110,$AU110,0)))</f>
        <v/>
      </c>
      <c r="BQ110" s="138" t="str">
        <f aca="false">IF($BZ110&lt;&gt;Constants!$B$8,"",IF(AND($AT110,$AY110,$AW110),Constants!$B$27,0))</f>
        <v/>
      </c>
      <c r="BR110" s="138" t="str">
        <f aca="false">IF($BZ110&lt;&gt;Constants!$B$8,"",IF($AT110,($AI110-Constants!$B$29)*Constants!$B$28,0))</f>
        <v/>
      </c>
      <c r="BS110" s="138" t="str">
        <f aca="false">IF($BZ110&lt;&gt;Constants!$B$8,"",IF($AS110,0,Constants!$B$15)+IF($AR110,0,Constants!$B$16)+IF($AH110,0,Constants!$B$17))</f>
        <v/>
      </c>
      <c r="BT110" s="139" t="str">
        <f aca="false">IF($BZ110&lt;&gt;Constants!$B$8,"",Constants!$B$20+SUM($BO110:$BS110))</f>
        <v/>
      </c>
      <c r="BU110" s="138" t="str">
        <f aca="false">IF($BZ110&lt;&gt;Constants!$B$8,"",$BO110)</f>
        <v/>
      </c>
      <c r="BV110" s="138" t="str">
        <f aca="false">IF($BZ110&lt;&gt;Constants!$B$8,"",$BP110)</f>
        <v/>
      </c>
      <c r="BW110" s="138" t="str">
        <f aca="false">IF($BZ110&lt;&gt;Constants!$B$8,"",IF($AT110,$AV110,""))</f>
        <v/>
      </c>
      <c r="BX110" s="140" t="str">
        <f aca="false">IF($BZ110&lt;&gt;Constants!$B$8,"",$AI110)</f>
        <v/>
      </c>
      <c r="BY110" s="135" t="str">
        <f aca="false">IF(ISBLANK($C110),"",IF(ISBLANK($D$7),$BY$5,IF(NOT(ISNUMBER($D$7)),$BY$6,"")))</f>
        <v/>
      </c>
      <c r="BZ110" s="135" t="str">
        <f aca="false">IF(ISBLANK($C110),"",IF($BA110,Constants!$B$11,IF(COUNTA($E110:$AA110)=0,Constants!$B$10,IF(NOT($AG110),Constants!$B$9,IF(OR($BY110&lt;&gt;"",$BB110,$BN110),Constants!$B$12,Constants!$B$8)))))</f>
        <v/>
      </c>
      <c r="CA110" s="135" t="str">
        <f aca="false">IF(ISBLANK($C110),"",IF($BZ110&lt;&gt;Constants!$B$8,$BZ110,Constants!$B$13))</f>
        <v/>
      </c>
      <c r="CB110" s="138" t="str">
        <f aca="false">IF($BZ110&lt;&gt;Constants!$B$8,"",IF($BM110="-&gt;",$BT110,$BH110))</f>
        <v/>
      </c>
      <c r="CC110" s="138" t="str">
        <f aca="false">IF($BZ110&lt;&gt;Constants!$B$8,"",IF($AF110,0,Constants!$B$18))</f>
        <v/>
      </c>
      <c r="CD110" s="138" t="str">
        <f aca="false">IF($BZ110&lt;&gt;Constants!$B$8,"",((Constants!$B$31-$AZ110)-Constants!$B$31)/Constants!$B$32)</f>
        <v/>
      </c>
      <c r="CE110" s="138" t="str">
        <f aca="false">IF(ISBLANK($C110),"",IF($BZ110&lt;&gt;Constants!$B$8,$BZ110,SUM($CB110:$CD110)))</f>
        <v/>
      </c>
      <c r="CF110" s="135" t="str">
        <f aca="false">IF(ISBLANK($C110),"",IF($BZ110&lt;&gt;Constants!$B$8,$BZ110,RANK($CE110,$CE$9:$CE$508,1)))</f>
        <v/>
      </c>
      <c r="CG110" s="138" t="str">
        <f aca="false">IF($BZ110&lt;&gt;Constants!$B$8,"",IF($BM110="-&gt;",$BU110,$BI110))</f>
        <v/>
      </c>
      <c r="CH110" s="135" t="str">
        <f aca="false">IF(ISBLANK($C110),"",IF($BZ110&lt;&gt;Constants!$B$8,$BZ110,IF(ISNUMBER($CG110),RANK($CG110,$CG$9:$CG$508,1),COUNT($CG$9:$CG$508)+1)))</f>
        <v/>
      </c>
      <c r="CI110" s="138" t="str">
        <f aca="false">IF($BZ110&lt;&gt;Constants!$B$8,"",IF($BM110="-&gt;",$BV110,$BJ110))</f>
        <v/>
      </c>
      <c r="CJ110" s="135" t="str">
        <f aca="false">IF(ISBLANK($C110),"",IF($BZ110&lt;&gt;Constants!$B$8,$BZ110,IF(ISNUMBER($CI110),RANK($CI110,$CI$9:$CI$508,1),COUNT($CI$9:$CI$508)+1)))</f>
        <v/>
      </c>
      <c r="CK110" s="138" t="str">
        <f aca="false">IF($BZ110&lt;&gt;Constants!$B$8,"",IF($BM110="-&gt;",$BW110,$BK110))</f>
        <v/>
      </c>
      <c r="CL110" s="135" t="str">
        <f aca="false">IF(ISBLANK($C110),"",IF($BZ110&lt;&gt;Constants!$B$8,$BZ110,IF(ISNUMBER($CK110),RANK($CK110,$CK$9:$CK$508,1),COUNT($CK$9:$CK$508)+1)))</f>
        <v/>
      </c>
      <c r="CM110" s="138" t="str">
        <f aca="false">IF($BZ110&lt;&gt;Constants!$B$8,"",IF(AND(NOT($AL110),NOT($AT110),$AJ110,$AK110,$AR110,$AS110),"",IF($BM110="-&gt;",$BX110,$BL110)))</f>
        <v/>
      </c>
      <c r="CN110" s="135" t="str">
        <f aca="false">IF(ISBLANK($C110),"",IF($BZ110&lt;&gt;Constants!$B$8,$BZ110,IF(ISNUMBER($CM110),RANK($CM110,$CM$9:$CM$508,1),COUNT($CM$9:$CM$508)+1)))</f>
        <v/>
      </c>
      <c r="CO110" s="135" t="str">
        <f aca="false">IF(ISBLANK($C110),"",IF($BZ110&lt;&gt;Constants!$B$8,$BZ110,COUNTIFS($CF$9:$CF$508,"&lt;"&amp;$CF110)+COUNTIFS($CF$9:$CF$508,$CF110,$CH$9:$CH$508,"&lt;"&amp;$CH110)+COUNTIFS($CF$9:$CF$508,$CF110,$CH$9:$CH$508,$CH110,$CJ$9:$CJ$508,"&lt;"&amp;$CJ110)+COUNTIFS($CF$9:$CF$508,$CF110,$CH$9:$CH$508,$CH110,$CJ$9:$CJ$508,$CJ110,$CL$9:$CL$508,"&lt;"&amp;$CL110)+COUNTIFS($CF$9:$CF$508,$CF110,$CH$9:$CH$508,$CH110,$CJ$9:$CJ$508,$CJ110,$CL$9:$CL$508,$CL110,$CN$9:$CN$508,"&lt;"&amp;$CN110)+1))</f>
        <v/>
      </c>
      <c r="CP110" s="135" t="str">
        <f aca="false">IF(ISBLANK($C110),"",IF($BZ110&lt;&gt;Constants!$B$8,$BZ110,$CF110-$CO110))</f>
        <v/>
      </c>
      <c r="CQ110" s="141"/>
      <c r="CR110" s="142"/>
      <c r="CS110" s="143" t="str">
        <f aca="false">IF(ISBLANK($C110),"",IF($BZ110=Constants!$B$12,$BY110,""))</f>
        <v/>
      </c>
      <c r="CT110" s="142" t="str">
        <f aca="false">IF(ISBLANK($C110),"",IF($BZ110&lt;&gt;Constants!$B$8,"",IF($BM110="-&gt;",2,1)))</f>
        <v/>
      </c>
      <c r="CU110" s="144" t="str">
        <f aca="false">IF(ISBLANK($C110),"",IF($BZ110&lt;&gt;Constants!$B$8,"",IF($BM110="-&gt;",$BO110,$BC110)))</f>
        <v/>
      </c>
      <c r="CV110" s="144" t="str">
        <f aca="false">IF(ISBLANK($C110),"",IF($BZ110&lt;&gt;Constants!$B$8,"",IF($BM110="-&gt;",$BP110,$BD110)))</f>
        <v/>
      </c>
      <c r="CW110" s="144" t="str">
        <f aca="false">IF(ISBLANK($C110),"",IF($BZ110&lt;&gt;Constants!$B$8,"",IF($BM110="-&gt;",$BQ110+$BR110,$BE110+$BF110)+$CD110))</f>
        <v/>
      </c>
      <c r="CX110" s="144" t="str">
        <f aca="false">IF(ISBLANK($C110),"",IF($BZ110&lt;&gt;Constants!$B$8,"",IF($BM110="-&gt;",$BS110,$BG110)+$CC110))</f>
        <v/>
      </c>
      <c r="CY110" s="145" t="str">
        <f aca="false">IF(ISBLANK($C110),"",IF($BZ110&lt;&gt;Constants!$B$8,$BZ110,$CE110))</f>
        <v/>
      </c>
      <c r="CZ110" s="146" t="str">
        <f aca="false">IF(ISBLANK($C110),"",$CA110)</f>
        <v/>
      </c>
      <c r="DA110" s="147" t="str">
        <f aca="false">IF(ISBLANK($C110),"",$CP110)</f>
        <v/>
      </c>
      <c r="DB110" s="147" t="str">
        <f aca="false">IF(ISBLANK($C110),"",$CO110)</f>
        <v/>
      </c>
      <c r="DC110" s="148" t="str">
        <f aca="false">IF(ISBLANK($C110),"",IFERROR(_xlfn.SWITCH($DB110,Constants!$B$11,COUNTA($C$9:$C$508)+2,Constants!$B$10,COUNTA($C$9:$C$508)+1,Constants!$B$9,COUNTA($C$9:$C$508)),$DB110))</f>
        <v/>
      </c>
      <c r="DD110" s="9"/>
      <c r="DE110" s="149" t="n">
        <f aca="false">IF(OR(ISNUMBER($DB110),$DB110=Constants!$B$11,$DB110=Constants!$B$9,$DB110=Constants!$B$10),1,0)</f>
        <v>0</v>
      </c>
      <c r="DF110" s="149" t="n">
        <v>102</v>
      </c>
      <c r="DG110" s="149" t="str">
        <f aca="false">IF(ISBLANK($C110),"",IF(ISNUMBER($DC110),$DC110+ROW($B110)/1000,""))</f>
        <v/>
      </c>
      <c r="DH110" s="149" t="str">
        <f aca="false">IF(ISNUMBER($DG110),RANK($DG110,$DG$9:$DG$508,1),"")</f>
        <v/>
      </c>
      <c r="DI110" s="149" t="str">
        <f aca="false">IF(ISBLANK($C110),"",$B110)</f>
        <v/>
      </c>
      <c r="DJ110" s="149" t="str">
        <f aca="false">IF(ISBLANK($C110),"",$C110)</f>
        <v/>
      </c>
      <c r="DK110" s="149" t="str">
        <f aca="false">IF(ISBLANK($C110),"",$D110)</f>
        <v/>
      </c>
      <c r="DL110" s="150" t="str">
        <f aca="false">$CZ110</f>
        <v/>
      </c>
      <c r="DM110" s="151" t="str">
        <f aca="false">$CY110</f>
        <v/>
      </c>
      <c r="DN110" s="149" t="str">
        <f aca="false">IF(ISBLANK($C110),"",$DB110)</f>
        <v/>
      </c>
      <c r="DO110" s="152" t="str">
        <f aca="false">IF($DF110&gt;$DE$8,"",VLOOKUP($DF110,$DH$9:$DN$508,7,FALSE()))</f>
        <v/>
      </c>
      <c r="DP110" s="153" t="str">
        <f aca="false">IF($DF110&gt;$DE$8,"",VLOOKUP($DF110,$DH$9:$DN$508,2,FALSE()))</f>
        <v/>
      </c>
      <c r="DQ110" s="153" t="str">
        <f aca="false">IF($DF110&gt;$DE$8,"",VLOOKUP($DF110,$DH$9:$DN$508,3,FALSE()))</f>
        <v/>
      </c>
      <c r="DR110" s="153" t="str">
        <f aca="false">IF($DF110&gt;$DE$8,"",VLOOKUP($DF110,$DH$9:$DN$508,4,FALSE()))</f>
        <v/>
      </c>
      <c r="DS110" s="153" t="str">
        <f aca="false">IF($DF110&gt;$DE$8,"",VLOOKUP($DF110,$DH$9:$DN$508,5,FALSE()))</f>
        <v/>
      </c>
      <c r="DT110" s="154" t="str">
        <f aca="false">IF($DF110&gt;$DE$8,"",VLOOKUP($DF110,$DH$9:$DN$508,6,FALSE()))</f>
        <v/>
      </c>
      <c r="DU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IF(ISBLANK($C111),"",IF(E111=Constants!$B$3,TRUE(),IF(E111=Constants!$B$4,FALSE(),TRUE())))</f>
        <v/>
      </c>
      <c r="AG111" s="93" t="str">
        <f aca="false">IF(ISBLANK($C111),"",IF(F111=Constants!$B$3,TRUE(),IF(F111=Constants!$B$4,FALSE(),TRUE())))</f>
        <v/>
      </c>
      <c r="AH111" s="93" t="str">
        <f aca="false">IF(ISBLANK($C111),"",IF(G111=Constants!$B$3,TRUE(),IF(G111=Constants!$B$4,FALSE(),TRUE())))</f>
        <v/>
      </c>
      <c r="AI111" s="93" t="str">
        <f aca="false">IF(ISBLANK($C111),"",IF(AND(ISNUMBER(H111),H111&gt;=0),H111,Constants!$B$29))</f>
        <v/>
      </c>
      <c r="AJ111" s="93" t="str">
        <f aca="false">IF(ISBLANK($C111),"",IF(I111=Constants!$B$3,TRUE(),IF(I111=Constants!$B$4,FALSE(),TRUE())))</f>
        <v/>
      </c>
      <c r="AK111" s="93" t="str">
        <f aca="false">IF(ISBLANK($C111),"",IF(J111=Constants!$B$3,TRUE(),IF(J111=Constants!$B$4,FALSE(),TRUE())))</f>
        <v/>
      </c>
      <c r="AL111" s="93" t="str">
        <f aca="false">IF(ISBLANK($C111),"",IF(K111=Constants!$B$5,TRUE(),IF(K111=Constants!$B$6,FALSE(),COUNTA(L111:P111)&gt;0)))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IF(ISBLANK($C111),"",IF(N111=Constants!$B$3,TRUE(),IF(N111=Constants!$B$4,FALSE(),TRUE())))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IF(ISBLANK($C111),"",IF(P111=Constants!$B$3,TRUE(),IF(P111=Constants!$B$4,FALSE(),FALSE())))</f>
        <v/>
      </c>
      <c r="AR111" s="93" t="str">
        <f aca="false">IF(ISBLANK($C111),"",IF(Q111=Constants!$B$3,TRUE(),IF(Q111=Constants!$B$4,FALSE(),TRUE())))</f>
        <v/>
      </c>
      <c r="AS111" s="93" t="str">
        <f aca="false">IF(ISBLANK($C111),"",IF(R111=Constants!$B$3,TRUE(),IF(R111=Constants!$B$4,FALSE(),TRUE())))</f>
        <v/>
      </c>
      <c r="AT111" s="93" t="str">
        <f aca="false">IF(ISBLANK($C111),"",IF(S111=Constants!$B$5,TRUE(),IF(S111=Constants!$B$6,FALSE(),COUNTA(T111:X111)&gt;0)))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IF(ISBLANK($C111),"",IF(V111=Constants!$B$3,TRUE(),IF(V111=Constants!$B$4,FALSE(),TRUE())))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IF(ISBLANK($C111),"",IF(X111=Constants!$B$3,TRUE(),IF(X111=Constants!$B$4,FALSE(),FALSE())))</f>
        <v/>
      </c>
      <c r="AZ111" s="93" t="str">
        <f aca="false">IF(ISBLANK($C111),"",MIN(Constants!$B$31,MAX(0,IF(ISNUMBER(Y111),Y111*60,0)+IF(ISNUMBER(Z111),Z111,0))))</f>
        <v/>
      </c>
      <c r="BA111" s="93" t="str">
        <f aca="false">IF(ISBLANK($C111),"",IF(AA111=Constants!$B$3,TRUE(),IF(AA111=Constants!$B$4,FALSE(),FALSE())))</f>
        <v/>
      </c>
      <c r="BB111" s="92" t="str">
        <f aca="false">IF(ISBLANK($C111),"",AND($AL111,OR($AM111="",$AN111="",AND($AO111,$AP111=""))))</f>
        <v/>
      </c>
      <c r="BC111" s="94" t="str">
        <f aca="false">IF($BZ111&lt;&gt;Constants!$B$8,"",IF($AL111,Constants!$B$21*$AN111+Constants!$B$22*IF($AO111,$AP111,Constants!$B$23),Constants!$B$24))</f>
        <v/>
      </c>
      <c r="BD111" s="97" t="str">
        <f aca="false">IF($BZ111&lt;&gt;Constants!$B$8,"",Constants!$B$25*ABS($AD$9-IF($AL111,$AM111,0)))</f>
        <v/>
      </c>
      <c r="BE111" s="97" t="str">
        <f aca="false">IF($BZ111&lt;&gt;Constants!$B$8,"",IF(AND($AL111,$AQ111,$AO111),Constants!$B$27,0))</f>
        <v/>
      </c>
      <c r="BF111" s="97" t="str">
        <f aca="false">IF($BZ111&lt;&gt;Constants!$B$8,"",IF($AL111,($AI111-Constants!$B$29)*Constants!$B$28,0))</f>
        <v/>
      </c>
      <c r="BG111" s="97" t="str">
        <f aca="false">IF($BZ111&lt;&gt;Constants!$B$8,"",IF($AK111,0,Constants!$B$15)+IF($AJ111,0,Constants!$B$16)+IF($AH111,0,Constants!$B$17))</f>
        <v/>
      </c>
      <c r="BH111" s="98" t="str">
        <f aca="false">IF($BZ111&lt;&gt;Constants!$B$8,"",Constants!$B$20+SUM($BC111:$BG111))</f>
        <v/>
      </c>
      <c r="BI111" s="97" t="str">
        <f aca="false">IF($BZ111&lt;&gt;Constants!$B$8,"",$BC111)</f>
        <v/>
      </c>
      <c r="BJ111" s="97" t="str">
        <f aca="false">IF($BZ111&lt;&gt;Constants!$B$8,"",$BD111)</f>
        <v/>
      </c>
      <c r="BK111" s="97" t="str">
        <f aca="false">IF($BZ111&lt;&gt;Constants!$B$8,"",IF($AL111,$AN111,""))</f>
        <v/>
      </c>
      <c r="BL111" s="99" t="str">
        <f aca="false">IF($BZ111&lt;&gt;Constants!$B$8,"",$AI111)</f>
        <v/>
      </c>
      <c r="BM111" s="93" t="str">
        <f aca="false">IF($BZ111&lt;&gt;Constants!$B$8,"",IF(OR($BT111&lt;$BH111,AND($BT111=$BH111,OR($BU111&lt;$BI111,AND($BU111=$BI111,OR($BV111&lt;$BJ111,AND($BV111=$BJ111,OR(AND(ISNUMBER($BW111),OR(NOT(ISNUMBER($BK111)),$BW111&lt;$BK111)),AND(OR(AND($BW111="",$BK111=""),AND(ISNUMBER($BW111),ISNUMBER($BK111),$BW111=$BK111)),$BX111&lt;$BL111)))))))),"-&gt;","&lt;-"))</f>
        <v/>
      </c>
      <c r="BN111" s="92" t="str">
        <f aca="false">IF(ISBLANK($C111),"",AND($AT111,OR($AU111="",$AV111="",AND($AW111,$AX111=""))))</f>
        <v/>
      </c>
      <c r="BO111" s="94" t="str">
        <f aca="false">IF($BZ111&lt;&gt;Constants!$B$8,"",IF($AT111,Constants!$B$21*$AV111+Constants!$B$22*IF($AW111,$AX111,Constants!$B$23),Constants!$B$24))</f>
        <v/>
      </c>
      <c r="BP111" s="97" t="str">
        <f aca="false">IF($BZ111&lt;&gt;Constants!$B$8,"",Constants!$B$25*ABS($AD$9-IF($AT111,$AU111,0)))</f>
        <v/>
      </c>
      <c r="BQ111" s="97" t="str">
        <f aca="false">IF($BZ111&lt;&gt;Constants!$B$8,"",IF(AND($AT111,$AY111,$AW111),Constants!$B$27,0))</f>
        <v/>
      </c>
      <c r="BR111" s="97" t="str">
        <f aca="false">IF($BZ111&lt;&gt;Constants!$B$8,"",IF($AT111,($AI111-Constants!$B$29)*Constants!$B$28,0))</f>
        <v/>
      </c>
      <c r="BS111" s="97" t="str">
        <f aca="false">IF($BZ111&lt;&gt;Constants!$B$8,"",IF($AS111,0,Constants!$B$15)+IF($AR111,0,Constants!$B$16)+IF($AH111,0,Constants!$B$17))</f>
        <v/>
      </c>
      <c r="BT111" s="98" t="str">
        <f aca="false">IF($BZ111&lt;&gt;Constants!$B$8,"",Constants!$B$20+SUM($BO111:$BS111))</f>
        <v/>
      </c>
      <c r="BU111" s="97" t="str">
        <f aca="false">IF($BZ111&lt;&gt;Constants!$B$8,"",$BO111)</f>
        <v/>
      </c>
      <c r="BV111" s="97" t="str">
        <f aca="false">IF($BZ111&lt;&gt;Constants!$B$8,"",$BP111)</f>
        <v/>
      </c>
      <c r="BW111" s="97" t="str">
        <f aca="false">IF($BZ111&lt;&gt;Constants!$B$8,"",IF($AT111,$AV111,""))</f>
        <v/>
      </c>
      <c r="BX111" s="99" t="str">
        <f aca="false">IF($BZ111&lt;&gt;Constants!$B$8,"",$AI111)</f>
        <v/>
      </c>
      <c r="BY111" s="93" t="str">
        <f aca="false">IF(ISBLANK($C111),"",IF(ISBLANK($D$7),$BY$5,IF(NOT(ISNUMBER($D$7)),$BY$6,"")))</f>
        <v/>
      </c>
      <c r="BZ111" s="93" t="str">
        <f aca="false">IF(ISBLANK($C111),"",IF($BA111,Constants!$B$11,IF(COUNTA($E111:$AA111)=0,Constants!$B$10,IF(NOT($AG111),Constants!$B$9,IF(OR($BY111&lt;&gt;"",$BB111,$BN111),Constants!$B$12,Constants!$B$8)))))</f>
        <v/>
      </c>
      <c r="CA111" s="93" t="str">
        <f aca="false">IF(ISBLANK($C111),"",IF($BZ111&lt;&gt;Constants!$B$8,$BZ111,Constants!$B$13))</f>
        <v/>
      </c>
      <c r="CB111" s="97" t="str">
        <f aca="false">IF($BZ111&lt;&gt;Constants!$B$8,"",IF($BM111="-&gt;",$BT111,$BH111))</f>
        <v/>
      </c>
      <c r="CC111" s="97" t="str">
        <f aca="false">IF($BZ111&lt;&gt;Constants!$B$8,"",IF($AF111,0,Constants!$B$18))</f>
        <v/>
      </c>
      <c r="CD111" s="97" t="str">
        <f aca="false">IF($BZ111&lt;&gt;Constants!$B$8,"",((Constants!$B$31-$AZ111)-Constants!$B$31)/Constants!$B$32)</f>
        <v/>
      </c>
      <c r="CE111" s="97" t="str">
        <f aca="false">IF(ISBLANK($C111),"",IF($BZ111&lt;&gt;Constants!$B$8,$BZ111,SUM($CB111:$CD111)))</f>
        <v/>
      </c>
      <c r="CF111" s="93" t="str">
        <f aca="false">IF(ISBLANK($C111),"",IF($BZ111&lt;&gt;Constants!$B$8,$BZ111,RANK($CE111,$CE$9:$CE$508,1)))</f>
        <v/>
      </c>
      <c r="CG111" s="97" t="str">
        <f aca="false">IF($BZ111&lt;&gt;Constants!$B$8,"",IF($BM111="-&gt;",$BU111,$BI111))</f>
        <v/>
      </c>
      <c r="CH111" s="93" t="str">
        <f aca="false">IF(ISBLANK($C111),"",IF($BZ111&lt;&gt;Constants!$B$8,$BZ111,IF(ISNUMBER($CG111),RANK($CG111,$CG$9:$CG$508,1),COUNT($CG$9:$CG$508)+1)))</f>
        <v/>
      </c>
      <c r="CI111" s="97" t="str">
        <f aca="false">IF($BZ111&lt;&gt;Constants!$B$8,"",IF($BM111="-&gt;",$BV111,$BJ111))</f>
        <v/>
      </c>
      <c r="CJ111" s="93" t="str">
        <f aca="false">IF(ISBLANK($C111),"",IF($BZ111&lt;&gt;Constants!$B$8,$BZ111,IF(ISNUMBER($CI111),RANK($CI111,$CI$9:$CI$508,1),COUNT($CI$9:$CI$508)+1)))</f>
        <v/>
      </c>
      <c r="CK111" s="97" t="str">
        <f aca="false">IF($BZ111&lt;&gt;Constants!$B$8,"",IF($BM111="-&gt;",$BW111,$BK111))</f>
        <v/>
      </c>
      <c r="CL111" s="93" t="str">
        <f aca="false">IF(ISBLANK($C111),"",IF($BZ111&lt;&gt;Constants!$B$8,$BZ111,IF(ISNUMBER($CK111),RANK($CK111,$CK$9:$CK$508,1),COUNT($CK$9:$CK$508)+1)))</f>
        <v/>
      </c>
      <c r="CM111" s="97" t="str">
        <f aca="false">IF($BZ111&lt;&gt;Constants!$B$8,"",IF(AND(NOT($AL111),NOT($AT111),$AJ111,$AK111,$AR111,$AS111),"",IF($BM111="-&gt;",$BX111,$BL111)))</f>
        <v/>
      </c>
      <c r="CN111" s="93" t="str">
        <f aca="false">IF(ISBLANK($C111),"",IF($BZ111&lt;&gt;Constants!$B$8,$BZ111,IF(ISNUMBER($CM111),RANK($CM111,$CM$9:$CM$508,1),COUNT($CM$9:$CM$508)+1)))</f>
        <v/>
      </c>
      <c r="CO111" s="93" t="str">
        <f aca="false">IF(ISBLANK($C111),"",IF($BZ111&lt;&gt;Constants!$B$8,$BZ111,COUNTIFS($CF$9:$CF$508,"&lt;"&amp;$CF111)+COUNTIFS($CF$9:$CF$508,$CF111,$CH$9:$CH$508,"&lt;"&amp;$CH111)+COUNTIFS($CF$9:$CF$508,$CF111,$CH$9:$CH$508,$CH111,$CJ$9:$CJ$508,"&lt;"&amp;$CJ111)+COUNTIFS($CF$9:$CF$508,$CF111,$CH$9:$CH$508,$CH111,$CJ$9:$CJ$508,$CJ111,$CL$9:$CL$508,"&lt;"&amp;$CL111)+COUNTIFS($CF$9:$CF$508,$CF111,$CH$9:$CH$508,$CH111,$CJ$9:$CJ$508,$CJ111,$CL$9:$CL$508,$CL111,$CN$9:$CN$508,"&lt;"&amp;$CN111)+1))</f>
        <v/>
      </c>
      <c r="CP111" s="93" t="str">
        <f aca="false">IF(ISBLANK($C111),"",IF($BZ111&lt;&gt;Constants!$B$8,$BZ111,$CF111-$CO111))</f>
        <v/>
      </c>
      <c r="CQ111" s="100"/>
      <c r="CR111" s="101"/>
      <c r="CS111" s="102" t="str">
        <f aca="false">IF(ISBLANK($C111),"",IF($BZ111=Constants!$B$12,$BY111,""))</f>
        <v/>
      </c>
      <c r="CT111" s="101" t="str">
        <f aca="false">IF(ISBLANK($C111),"",IF($BZ111&lt;&gt;Constants!$B$8,"",IF($BM111="-&gt;",2,1)))</f>
        <v/>
      </c>
      <c r="CU111" s="103" t="str">
        <f aca="false">IF(ISBLANK($C111),"",IF($BZ111&lt;&gt;Constants!$B$8,"",IF($BM111="-&gt;",$BO111,$BC111)))</f>
        <v/>
      </c>
      <c r="CV111" s="103" t="str">
        <f aca="false">IF(ISBLANK($C111),"",IF($BZ111&lt;&gt;Constants!$B$8,"",IF($BM111="-&gt;",$BP111,$BD111)))</f>
        <v/>
      </c>
      <c r="CW111" s="103" t="str">
        <f aca="false">IF(ISBLANK($C111),"",IF($BZ111&lt;&gt;Constants!$B$8,"",IF($BM111="-&gt;",$BQ111+$BR111,$BE111+$BF111)+$CD111))</f>
        <v/>
      </c>
      <c r="CX111" s="103" t="str">
        <f aca="false">IF(ISBLANK($C111),"",IF($BZ111&lt;&gt;Constants!$B$8,"",IF($BM111="-&gt;",$BS111,$BG111)+$CC111))</f>
        <v/>
      </c>
      <c r="CY111" s="104" t="str">
        <f aca="false">IF(ISBLANK($C111),"",IF($BZ111&lt;&gt;Constants!$B$8,$BZ111,$CE111))</f>
        <v/>
      </c>
      <c r="CZ111" s="105" t="str">
        <f aca="false">IF(ISBLANK($C111),"",$CA111)</f>
        <v/>
      </c>
      <c r="DA111" s="106" t="str">
        <f aca="false">IF(ISBLANK($C111),"",$CP111)</f>
        <v/>
      </c>
      <c r="DB111" s="106" t="str">
        <f aca="false">IF(ISBLANK($C111),"",$CO111)</f>
        <v/>
      </c>
      <c r="DC111" s="107" t="str">
        <f aca="false">IF(ISBLANK($C111),"",IFERROR(_xlfn.SWITCH($DB111,Constants!$B$11,COUNTA($C$9:$C$508)+2,Constants!$B$10,COUNTA($C$9:$C$508)+1,Constants!$B$9,COUNTA($C$9:$C$508)),$DB111))</f>
        <v/>
      </c>
      <c r="DD111" s="9"/>
      <c r="DE111" s="108" t="n">
        <f aca="false">IF(OR(ISNUMBER($DB111),$DB111=Constants!$B$11,$DB111=Constants!$B$9,$DB111=Constants!$B$10),1,0)</f>
        <v>0</v>
      </c>
      <c r="DF111" s="108" t="n">
        <v>103</v>
      </c>
      <c r="DG111" s="108" t="str">
        <f aca="false">IF(ISBLANK($C111),"",IF(ISNUMBER($DC111),$DC111+ROW($B111)/1000,""))</f>
        <v/>
      </c>
      <c r="DH111" s="108" t="str">
        <f aca="false">IF(ISNUMBER($DG111),RANK($DG111,$DG$9:$DG$508,1),"")</f>
        <v/>
      </c>
      <c r="DI111" s="108" t="str">
        <f aca="false">IF(ISBLANK($C111),"",$B111)</f>
        <v/>
      </c>
      <c r="DJ111" s="108" t="str">
        <f aca="false">IF(ISBLANK($C111),"",$C111)</f>
        <v/>
      </c>
      <c r="DK111" s="108" t="str">
        <f aca="false">IF(ISBLANK($C111),"",$D111)</f>
        <v/>
      </c>
      <c r="DL111" s="109" t="str">
        <f aca="false">$CZ111</f>
        <v/>
      </c>
      <c r="DM111" s="110" t="str">
        <f aca="false">$CY111</f>
        <v/>
      </c>
      <c r="DN111" s="108" t="str">
        <f aca="false">IF(ISBLANK($C111),"",$DB111)</f>
        <v/>
      </c>
      <c r="DO111" s="111" t="str">
        <f aca="false">IF($DF111&gt;$DE$8,"",VLOOKUP($DF111,$DH$9:$DN$508,7,FALSE()))</f>
        <v/>
      </c>
      <c r="DP111" s="112" t="str">
        <f aca="false">IF($DF111&gt;$DE$8,"",VLOOKUP($DF111,$DH$9:$DN$508,2,FALSE()))</f>
        <v/>
      </c>
      <c r="DQ111" s="112" t="str">
        <f aca="false">IF($DF111&gt;$DE$8,"",VLOOKUP($DF111,$DH$9:$DN$508,3,FALSE()))</f>
        <v/>
      </c>
      <c r="DR111" s="112" t="str">
        <f aca="false">IF($DF111&gt;$DE$8,"",VLOOKUP($DF111,$DH$9:$DN$508,4,FALSE()))</f>
        <v/>
      </c>
      <c r="DS111" s="112" t="str">
        <f aca="false">IF($DF111&gt;$DE$8,"",VLOOKUP($DF111,$DH$9:$DN$508,5,FALSE()))</f>
        <v/>
      </c>
      <c r="DT111" s="113" t="str">
        <f aca="false">IF($DF111&gt;$DE$8,"",VLOOKUP($DF111,$DH$9:$DN$508,6,FALSE()))</f>
        <v/>
      </c>
      <c r="DU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IF(ISBLANK($C112),"",IF(E112=Constants!$B$3,TRUE(),IF(E112=Constants!$B$4,FALSE(),TRUE())))</f>
        <v/>
      </c>
      <c r="AG112" s="93" t="str">
        <f aca="false">IF(ISBLANK($C112),"",IF(F112=Constants!$B$3,TRUE(),IF(F112=Constants!$B$4,FALSE(),TRUE())))</f>
        <v/>
      </c>
      <c r="AH112" s="93" t="str">
        <f aca="false">IF(ISBLANK($C112),"",IF(G112=Constants!$B$3,TRUE(),IF(G112=Constants!$B$4,FALSE(),TRUE())))</f>
        <v/>
      </c>
      <c r="AI112" s="93" t="str">
        <f aca="false">IF(ISBLANK($C112),"",IF(AND(ISNUMBER(H112),H112&gt;=0),H112,Constants!$B$29))</f>
        <v/>
      </c>
      <c r="AJ112" s="93" t="str">
        <f aca="false">IF(ISBLANK($C112),"",IF(I112=Constants!$B$3,TRUE(),IF(I112=Constants!$B$4,FALSE(),TRUE())))</f>
        <v/>
      </c>
      <c r="AK112" s="93" t="str">
        <f aca="false">IF(ISBLANK($C112),"",IF(J112=Constants!$B$3,TRUE(),IF(J112=Constants!$B$4,FALSE(),TRUE())))</f>
        <v/>
      </c>
      <c r="AL112" s="93" t="str">
        <f aca="false">IF(ISBLANK($C112),"",IF(K112=Constants!$B$5,TRUE(),IF(K112=Constants!$B$6,FALSE(),COUNTA(L112:P112)&gt;0)))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IF(ISBLANK($C112),"",IF(N112=Constants!$B$3,TRUE(),IF(N112=Constants!$B$4,FALSE(),TRUE())))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IF(ISBLANK($C112),"",IF(P112=Constants!$B$3,TRUE(),IF(P112=Constants!$B$4,FALSE(),FALSE())))</f>
        <v/>
      </c>
      <c r="AR112" s="93" t="str">
        <f aca="false">IF(ISBLANK($C112),"",IF(Q112=Constants!$B$3,TRUE(),IF(Q112=Constants!$B$4,FALSE(),TRUE())))</f>
        <v/>
      </c>
      <c r="AS112" s="93" t="str">
        <f aca="false">IF(ISBLANK($C112),"",IF(R112=Constants!$B$3,TRUE(),IF(R112=Constants!$B$4,FALSE(),TRUE())))</f>
        <v/>
      </c>
      <c r="AT112" s="93" t="str">
        <f aca="false">IF(ISBLANK($C112),"",IF(S112=Constants!$B$5,TRUE(),IF(S112=Constants!$B$6,FALSE(),COUNTA(T112:X112)&gt;0)))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IF(ISBLANK($C112),"",IF(V112=Constants!$B$3,TRUE(),IF(V112=Constants!$B$4,FALSE(),TRUE())))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IF(ISBLANK($C112),"",IF(X112=Constants!$B$3,TRUE(),IF(X112=Constants!$B$4,FALSE(),FALSE())))</f>
        <v/>
      </c>
      <c r="AZ112" s="93" t="str">
        <f aca="false">IF(ISBLANK($C112),"",MIN(Constants!$B$31,MAX(0,IF(ISNUMBER(Y112),Y112*60,0)+IF(ISNUMBER(Z112),Z112,0))))</f>
        <v/>
      </c>
      <c r="BA112" s="93" t="str">
        <f aca="false">IF(ISBLANK($C112),"",IF(AA112=Constants!$B$3,TRUE(),IF(AA112=Constants!$B$4,FALSE(),FALSE())))</f>
        <v/>
      </c>
      <c r="BB112" s="92" t="str">
        <f aca="false">IF(ISBLANK($C112),"",AND($AL112,OR($AM112="",$AN112="",AND($AO112,$AP112=""))))</f>
        <v/>
      </c>
      <c r="BC112" s="94" t="str">
        <f aca="false">IF($BZ112&lt;&gt;Constants!$B$8,"",IF($AL112,Constants!$B$21*$AN112+Constants!$B$22*IF($AO112,$AP112,Constants!$B$23),Constants!$B$24))</f>
        <v/>
      </c>
      <c r="BD112" s="97" t="str">
        <f aca="false">IF($BZ112&lt;&gt;Constants!$B$8,"",Constants!$B$25*ABS($AD$9-IF($AL112,$AM112,0)))</f>
        <v/>
      </c>
      <c r="BE112" s="97" t="str">
        <f aca="false">IF($BZ112&lt;&gt;Constants!$B$8,"",IF(AND($AL112,$AQ112,$AO112),Constants!$B$27,0))</f>
        <v/>
      </c>
      <c r="BF112" s="97" t="str">
        <f aca="false">IF($BZ112&lt;&gt;Constants!$B$8,"",IF($AL112,($AI112-Constants!$B$29)*Constants!$B$28,0))</f>
        <v/>
      </c>
      <c r="BG112" s="97" t="str">
        <f aca="false">IF($BZ112&lt;&gt;Constants!$B$8,"",IF($AK112,0,Constants!$B$15)+IF($AJ112,0,Constants!$B$16)+IF($AH112,0,Constants!$B$17))</f>
        <v/>
      </c>
      <c r="BH112" s="98" t="str">
        <f aca="false">IF($BZ112&lt;&gt;Constants!$B$8,"",Constants!$B$20+SUM($BC112:$BG112))</f>
        <v/>
      </c>
      <c r="BI112" s="97" t="str">
        <f aca="false">IF($BZ112&lt;&gt;Constants!$B$8,"",$BC112)</f>
        <v/>
      </c>
      <c r="BJ112" s="97" t="str">
        <f aca="false">IF($BZ112&lt;&gt;Constants!$B$8,"",$BD112)</f>
        <v/>
      </c>
      <c r="BK112" s="97" t="str">
        <f aca="false">IF($BZ112&lt;&gt;Constants!$B$8,"",IF($AL112,$AN112,""))</f>
        <v/>
      </c>
      <c r="BL112" s="99" t="str">
        <f aca="false">IF($BZ112&lt;&gt;Constants!$B$8,"",$AI112)</f>
        <v/>
      </c>
      <c r="BM112" s="93" t="str">
        <f aca="false">IF($BZ112&lt;&gt;Constants!$B$8,"",IF(OR($BT112&lt;$BH112,AND($BT112=$BH112,OR($BU112&lt;$BI112,AND($BU112=$BI112,OR($BV112&lt;$BJ112,AND($BV112=$BJ112,OR(AND(ISNUMBER($BW112),OR(NOT(ISNUMBER($BK112)),$BW112&lt;$BK112)),AND(OR(AND($BW112="",$BK112=""),AND(ISNUMBER($BW112),ISNUMBER($BK112),$BW112=$BK112)),$BX112&lt;$BL112)))))))),"-&gt;","&lt;-"))</f>
        <v/>
      </c>
      <c r="BN112" s="92" t="str">
        <f aca="false">IF(ISBLANK($C112),"",AND($AT112,OR($AU112="",$AV112="",AND($AW112,$AX112=""))))</f>
        <v/>
      </c>
      <c r="BO112" s="94" t="str">
        <f aca="false">IF($BZ112&lt;&gt;Constants!$B$8,"",IF($AT112,Constants!$B$21*$AV112+Constants!$B$22*IF($AW112,$AX112,Constants!$B$23),Constants!$B$24))</f>
        <v/>
      </c>
      <c r="BP112" s="97" t="str">
        <f aca="false">IF($BZ112&lt;&gt;Constants!$B$8,"",Constants!$B$25*ABS($AD$9-IF($AT112,$AU112,0)))</f>
        <v/>
      </c>
      <c r="BQ112" s="97" t="str">
        <f aca="false">IF($BZ112&lt;&gt;Constants!$B$8,"",IF(AND($AT112,$AY112,$AW112),Constants!$B$27,0))</f>
        <v/>
      </c>
      <c r="BR112" s="97" t="str">
        <f aca="false">IF($BZ112&lt;&gt;Constants!$B$8,"",IF($AT112,($AI112-Constants!$B$29)*Constants!$B$28,0))</f>
        <v/>
      </c>
      <c r="BS112" s="97" t="str">
        <f aca="false">IF($BZ112&lt;&gt;Constants!$B$8,"",IF($AS112,0,Constants!$B$15)+IF($AR112,0,Constants!$B$16)+IF($AH112,0,Constants!$B$17))</f>
        <v/>
      </c>
      <c r="BT112" s="98" t="str">
        <f aca="false">IF($BZ112&lt;&gt;Constants!$B$8,"",Constants!$B$20+SUM($BO112:$BS112))</f>
        <v/>
      </c>
      <c r="BU112" s="97" t="str">
        <f aca="false">IF($BZ112&lt;&gt;Constants!$B$8,"",$BO112)</f>
        <v/>
      </c>
      <c r="BV112" s="97" t="str">
        <f aca="false">IF($BZ112&lt;&gt;Constants!$B$8,"",$BP112)</f>
        <v/>
      </c>
      <c r="BW112" s="97" t="str">
        <f aca="false">IF($BZ112&lt;&gt;Constants!$B$8,"",IF($AT112,$AV112,""))</f>
        <v/>
      </c>
      <c r="BX112" s="99" t="str">
        <f aca="false">IF($BZ112&lt;&gt;Constants!$B$8,"",$AI112)</f>
        <v/>
      </c>
      <c r="BY112" s="93" t="str">
        <f aca="false">IF(ISBLANK($C112),"",IF(ISBLANK($D$7),$BY$5,IF(NOT(ISNUMBER($D$7)),$BY$6,"")))</f>
        <v/>
      </c>
      <c r="BZ112" s="93" t="str">
        <f aca="false">IF(ISBLANK($C112),"",IF($BA112,Constants!$B$11,IF(COUNTA($E112:$AA112)=0,Constants!$B$10,IF(NOT($AG112),Constants!$B$9,IF(OR($BY112&lt;&gt;"",$BB112,$BN112),Constants!$B$12,Constants!$B$8)))))</f>
        <v/>
      </c>
      <c r="CA112" s="93" t="str">
        <f aca="false">IF(ISBLANK($C112),"",IF($BZ112&lt;&gt;Constants!$B$8,$BZ112,Constants!$B$13))</f>
        <v/>
      </c>
      <c r="CB112" s="97" t="str">
        <f aca="false">IF($BZ112&lt;&gt;Constants!$B$8,"",IF($BM112="-&gt;",$BT112,$BH112))</f>
        <v/>
      </c>
      <c r="CC112" s="97" t="str">
        <f aca="false">IF($BZ112&lt;&gt;Constants!$B$8,"",IF($AF112,0,Constants!$B$18))</f>
        <v/>
      </c>
      <c r="CD112" s="97" t="str">
        <f aca="false">IF($BZ112&lt;&gt;Constants!$B$8,"",((Constants!$B$31-$AZ112)-Constants!$B$31)/Constants!$B$32)</f>
        <v/>
      </c>
      <c r="CE112" s="97" t="str">
        <f aca="false">IF(ISBLANK($C112),"",IF($BZ112&lt;&gt;Constants!$B$8,$BZ112,SUM($CB112:$CD112)))</f>
        <v/>
      </c>
      <c r="CF112" s="93" t="str">
        <f aca="false">IF(ISBLANK($C112),"",IF($BZ112&lt;&gt;Constants!$B$8,$BZ112,RANK($CE112,$CE$9:$CE$508,1)))</f>
        <v/>
      </c>
      <c r="CG112" s="97" t="str">
        <f aca="false">IF($BZ112&lt;&gt;Constants!$B$8,"",IF($BM112="-&gt;",$BU112,$BI112))</f>
        <v/>
      </c>
      <c r="CH112" s="93" t="str">
        <f aca="false">IF(ISBLANK($C112),"",IF($BZ112&lt;&gt;Constants!$B$8,$BZ112,IF(ISNUMBER($CG112),RANK($CG112,$CG$9:$CG$508,1),COUNT($CG$9:$CG$508)+1)))</f>
        <v/>
      </c>
      <c r="CI112" s="97" t="str">
        <f aca="false">IF($BZ112&lt;&gt;Constants!$B$8,"",IF($BM112="-&gt;",$BV112,$BJ112))</f>
        <v/>
      </c>
      <c r="CJ112" s="93" t="str">
        <f aca="false">IF(ISBLANK($C112),"",IF($BZ112&lt;&gt;Constants!$B$8,$BZ112,IF(ISNUMBER($CI112),RANK($CI112,$CI$9:$CI$508,1),COUNT($CI$9:$CI$508)+1)))</f>
        <v/>
      </c>
      <c r="CK112" s="97" t="str">
        <f aca="false">IF($BZ112&lt;&gt;Constants!$B$8,"",IF($BM112="-&gt;",$BW112,$BK112))</f>
        <v/>
      </c>
      <c r="CL112" s="93" t="str">
        <f aca="false">IF(ISBLANK($C112),"",IF($BZ112&lt;&gt;Constants!$B$8,$BZ112,IF(ISNUMBER($CK112),RANK($CK112,$CK$9:$CK$508,1),COUNT($CK$9:$CK$508)+1)))</f>
        <v/>
      </c>
      <c r="CM112" s="97" t="str">
        <f aca="false">IF($BZ112&lt;&gt;Constants!$B$8,"",IF(AND(NOT($AL112),NOT($AT112),$AJ112,$AK112,$AR112,$AS112),"",IF($BM112="-&gt;",$BX112,$BL112)))</f>
        <v/>
      </c>
      <c r="CN112" s="93" t="str">
        <f aca="false">IF(ISBLANK($C112),"",IF($BZ112&lt;&gt;Constants!$B$8,$BZ112,IF(ISNUMBER($CM112),RANK($CM112,$CM$9:$CM$508,1),COUNT($CM$9:$CM$508)+1)))</f>
        <v/>
      </c>
      <c r="CO112" s="93" t="str">
        <f aca="false">IF(ISBLANK($C112),"",IF($BZ112&lt;&gt;Constants!$B$8,$BZ112,COUNTIFS($CF$9:$CF$508,"&lt;"&amp;$CF112)+COUNTIFS($CF$9:$CF$508,$CF112,$CH$9:$CH$508,"&lt;"&amp;$CH112)+COUNTIFS($CF$9:$CF$508,$CF112,$CH$9:$CH$508,$CH112,$CJ$9:$CJ$508,"&lt;"&amp;$CJ112)+COUNTIFS($CF$9:$CF$508,$CF112,$CH$9:$CH$508,$CH112,$CJ$9:$CJ$508,$CJ112,$CL$9:$CL$508,"&lt;"&amp;$CL112)+COUNTIFS($CF$9:$CF$508,$CF112,$CH$9:$CH$508,$CH112,$CJ$9:$CJ$508,$CJ112,$CL$9:$CL$508,$CL112,$CN$9:$CN$508,"&lt;"&amp;$CN112)+1))</f>
        <v/>
      </c>
      <c r="CP112" s="93" t="str">
        <f aca="false">IF(ISBLANK($C112),"",IF($BZ112&lt;&gt;Constants!$B$8,$BZ112,$CF112-$CO112))</f>
        <v/>
      </c>
      <c r="CQ112" s="100"/>
      <c r="CR112" s="101"/>
      <c r="CS112" s="102" t="str">
        <f aca="false">IF(ISBLANK($C112),"",IF($BZ112=Constants!$B$12,$BY112,""))</f>
        <v/>
      </c>
      <c r="CT112" s="101" t="str">
        <f aca="false">IF(ISBLANK($C112),"",IF($BZ112&lt;&gt;Constants!$B$8,"",IF($BM112="-&gt;",2,1)))</f>
        <v/>
      </c>
      <c r="CU112" s="103" t="str">
        <f aca="false">IF(ISBLANK($C112),"",IF($BZ112&lt;&gt;Constants!$B$8,"",IF($BM112="-&gt;",$BO112,$BC112)))</f>
        <v/>
      </c>
      <c r="CV112" s="103" t="str">
        <f aca="false">IF(ISBLANK($C112),"",IF($BZ112&lt;&gt;Constants!$B$8,"",IF($BM112="-&gt;",$BP112,$BD112)))</f>
        <v/>
      </c>
      <c r="CW112" s="103" t="str">
        <f aca="false">IF(ISBLANK($C112),"",IF($BZ112&lt;&gt;Constants!$B$8,"",IF($BM112="-&gt;",$BQ112+$BR112,$BE112+$BF112)+$CD112))</f>
        <v/>
      </c>
      <c r="CX112" s="103" t="str">
        <f aca="false">IF(ISBLANK($C112),"",IF($BZ112&lt;&gt;Constants!$B$8,"",IF($BM112="-&gt;",$BS112,$BG112)+$CC112))</f>
        <v/>
      </c>
      <c r="CY112" s="104" t="str">
        <f aca="false">IF(ISBLANK($C112),"",IF($BZ112&lt;&gt;Constants!$B$8,$BZ112,$CE112))</f>
        <v/>
      </c>
      <c r="CZ112" s="105" t="str">
        <f aca="false">IF(ISBLANK($C112),"",$CA112)</f>
        <v/>
      </c>
      <c r="DA112" s="106" t="str">
        <f aca="false">IF(ISBLANK($C112),"",$CP112)</f>
        <v/>
      </c>
      <c r="DB112" s="106" t="str">
        <f aca="false">IF(ISBLANK($C112),"",$CO112)</f>
        <v/>
      </c>
      <c r="DC112" s="107" t="str">
        <f aca="false">IF(ISBLANK($C112),"",IFERROR(_xlfn.SWITCH($DB112,Constants!$B$11,COUNTA($C$9:$C$508)+2,Constants!$B$10,COUNTA($C$9:$C$508)+1,Constants!$B$9,COUNTA($C$9:$C$508)),$DB112))</f>
        <v/>
      </c>
      <c r="DD112" s="9"/>
      <c r="DE112" s="108" t="n">
        <f aca="false">IF(OR(ISNUMBER($DB112),$DB112=Constants!$B$11,$DB112=Constants!$B$9,$DB112=Constants!$B$10),1,0)</f>
        <v>0</v>
      </c>
      <c r="DF112" s="108" t="n">
        <v>104</v>
      </c>
      <c r="DG112" s="108" t="str">
        <f aca="false">IF(ISBLANK($C112),"",IF(ISNUMBER($DC112),$DC112+ROW($B112)/1000,""))</f>
        <v/>
      </c>
      <c r="DH112" s="108" t="str">
        <f aca="false">IF(ISNUMBER($DG112),RANK($DG112,$DG$9:$DG$508,1),"")</f>
        <v/>
      </c>
      <c r="DI112" s="108" t="str">
        <f aca="false">IF(ISBLANK($C112),"",$B112)</f>
        <v/>
      </c>
      <c r="DJ112" s="108" t="str">
        <f aca="false">IF(ISBLANK($C112),"",$C112)</f>
        <v/>
      </c>
      <c r="DK112" s="108" t="str">
        <f aca="false">IF(ISBLANK($C112),"",$D112)</f>
        <v/>
      </c>
      <c r="DL112" s="109" t="str">
        <f aca="false">$CZ112</f>
        <v/>
      </c>
      <c r="DM112" s="110" t="str">
        <f aca="false">$CY112</f>
        <v/>
      </c>
      <c r="DN112" s="108" t="str">
        <f aca="false">IF(ISBLANK($C112),"",$DB112)</f>
        <v/>
      </c>
      <c r="DO112" s="111" t="str">
        <f aca="false">IF($DF112&gt;$DE$8,"",VLOOKUP($DF112,$DH$9:$DN$508,7,FALSE()))</f>
        <v/>
      </c>
      <c r="DP112" s="112" t="str">
        <f aca="false">IF($DF112&gt;$DE$8,"",VLOOKUP($DF112,$DH$9:$DN$508,2,FALSE()))</f>
        <v/>
      </c>
      <c r="DQ112" s="112" t="str">
        <f aca="false">IF($DF112&gt;$DE$8,"",VLOOKUP($DF112,$DH$9:$DN$508,3,FALSE()))</f>
        <v/>
      </c>
      <c r="DR112" s="112" t="str">
        <f aca="false">IF($DF112&gt;$DE$8,"",VLOOKUP($DF112,$DH$9:$DN$508,4,FALSE()))</f>
        <v/>
      </c>
      <c r="DS112" s="112" t="str">
        <f aca="false">IF($DF112&gt;$DE$8,"",VLOOKUP($DF112,$DH$9:$DN$508,5,FALSE()))</f>
        <v/>
      </c>
      <c r="DT112" s="113" t="str">
        <f aca="false">IF($DF112&gt;$DE$8,"",VLOOKUP($DF112,$DH$9:$DN$508,6,FALSE()))</f>
        <v/>
      </c>
      <c r="DU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IF(ISBLANK($C113),"",IF(E113=Constants!$B$3,TRUE(),IF(E113=Constants!$B$4,FALSE(),TRUE())))</f>
        <v/>
      </c>
      <c r="AG113" s="93" t="str">
        <f aca="false">IF(ISBLANK($C113),"",IF(F113=Constants!$B$3,TRUE(),IF(F113=Constants!$B$4,FALSE(),TRUE())))</f>
        <v/>
      </c>
      <c r="AH113" s="93" t="str">
        <f aca="false">IF(ISBLANK($C113),"",IF(G113=Constants!$B$3,TRUE(),IF(G113=Constants!$B$4,FALSE(),TRUE())))</f>
        <v/>
      </c>
      <c r="AI113" s="93" t="str">
        <f aca="false">IF(ISBLANK($C113),"",IF(AND(ISNUMBER(H113),H113&gt;=0),H113,Constants!$B$29))</f>
        <v/>
      </c>
      <c r="AJ113" s="93" t="str">
        <f aca="false">IF(ISBLANK($C113),"",IF(I113=Constants!$B$3,TRUE(),IF(I113=Constants!$B$4,FALSE(),TRUE())))</f>
        <v/>
      </c>
      <c r="AK113" s="93" t="str">
        <f aca="false">IF(ISBLANK($C113),"",IF(J113=Constants!$B$3,TRUE(),IF(J113=Constants!$B$4,FALSE(),TRUE())))</f>
        <v/>
      </c>
      <c r="AL113" s="93" t="str">
        <f aca="false">IF(ISBLANK($C113),"",IF(K113=Constants!$B$5,TRUE(),IF(K113=Constants!$B$6,FALSE(),COUNTA(L113:P113)&gt;0)))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IF(ISBLANK($C113),"",IF(N113=Constants!$B$3,TRUE(),IF(N113=Constants!$B$4,FALSE(),TRUE())))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IF(ISBLANK($C113),"",IF(P113=Constants!$B$3,TRUE(),IF(P113=Constants!$B$4,FALSE(),FALSE())))</f>
        <v/>
      </c>
      <c r="AR113" s="93" t="str">
        <f aca="false">IF(ISBLANK($C113),"",IF(Q113=Constants!$B$3,TRUE(),IF(Q113=Constants!$B$4,FALSE(),TRUE())))</f>
        <v/>
      </c>
      <c r="AS113" s="93" t="str">
        <f aca="false">IF(ISBLANK($C113),"",IF(R113=Constants!$B$3,TRUE(),IF(R113=Constants!$B$4,FALSE(),TRUE())))</f>
        <v/>
      </c>
      <c r="AT113" s="93" t="str">
        <f aca="false">IF(ISBLANK($C113),"",IF(S113=Constants!$B$5,TRUE(),IF(S113=Constants!$B$6,FALSE(),COUNTA(T113:X113)&gt;0)))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IF(ISBLANK($C113),"",IF(V113=Constants!$B$3,TRUE(),IF(V113=Constants!$B$4,FALSE(),TRUE())))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IF(ISBLANK($C113),"",IF(X113=Constants!$B$3,TRUE(),IF(X113=Constants!$B$4,FALSE(),FALSE())))</f>
        <v/>
      </c>
      <c r="AZ113" s="93" t="str">
        <f aca="false">IF(ISBLANK($C113),"",MIN(Constants!$B$31,MAX(0,IF(ISNUMBER(Y113),Y113*60,0)+IF(ISNUMBER(Z113),Z113,0))))</f>
        <v/>
      </c>
      <c r="BA113" s="93" t="str">
        <f aca="false">IF(ISBLANK($C113),"",IF(AA113=Constants!$B$3,TRUE(),IF(AA113=Constants!$B$4,FALSE(),FALSE())))</f>
        <v/>
      </c>
      <c r="BB113" s="92" t="str">
        <f aca="false">IF(ISBLANK($C113),"",AND($AL113,OR($AM113="",$AN113="",AND($AO113,$AP113=""))))</f>
        <v/>
      </c>
      <c r="BC113" s="94" t="str">
        <f aca="false">IF($BZ113&lt;&gt;Constants!$B$8,"",IF($AL113,Constants!$B$21*$AN113+Constants!$B$22*IF($AO113,$AP113,Constants!$B$23),Constants!$B$24))</f>
        <v/>
      </c>
      <c r="BD113" s="97" t="str">
        <f aca="false">IF($BZ113&lt;&gt;Constants!$B$8,"",Constants!$B$25*ABS($AD$9-IF($AL113,$AM113,0)))</f>
        <v/>
      </c>
      <c r="BE113" s="97" t="str">
        <f aca="false">IF($BZ113&lt;&gt;Constants!$B$8,"",IF(AND($AL113,$AQ113,$AO113),Constants!$B$27,0))</f>
        <v/>
      </c>
      <c r="BF113" s="97" t="str">
        <f aca="false">IF($BZ113&lt;&gt;Constants!$B$8,"",IF($AL113,($AI113-Constants!$B$29)*Constants!$B$28,0))</f>
        <v/>
      </c>
      <c r="BG113" s="97" t="str">
        <f aca="false">IF($BZ113&lt;&gt;Constants!$B$8,"",IF($AK113,0,Constants!$B$15)+IF($AJ113,0,Constants!$B$16)+IF($AH113,0,Constants!$B$17))</f>
        <v/>
      </c>
      <c r="BH113" s="98" t="str">
        <f aca="false">IF($BZ113&lt;&gt;Constants!$B$8,"",Constants!$B$20+SUM($BC113:$BG113))</f>
        <v/>
      </c>
      <c r="BI113" s="97" t="str">
        <f aca="false">IF($BZ113&lt;&gt;Constants!$B$8,"",$BC113)</f>
        <v/>
      </c>
      <c r="BJ113" s="97" t="str">
        <f aca="false">IF($BZ113&lt;&gt;Constants!$B$8,"",$BD113)</f>
        <v/>
      </c>
      <c r="BK113" s="97" t="str">
        <f aca="false">IF($BZ113&lt;&gt;Constants!$B$8,"",IF($AL113,$AN113,""))</f>
        <v/>
      </c>
      <c r="BL113" s="99" t="str">
        <f aca="false">IF($BZ113&lt;&gt;Constants!$B$8,"",$AI113)</f>
        <v/>
      </c>
      <c r="BM113" s="93" t="str">
        <f aca="false">IF($BZ113&lt;&gt;Constants!$B$8,"",IF(OR($BT113&lt;$BH113,AND($BT113=$BH113,OR($BU113&lt;$BI113,AND($BU113=$BI113,OR($BV113&lt;$BJ113,AND($BV113=$BJ113,OR(AND(ISNUMBER($BW113),OR(NOT(ISNUMBER($BK113)),$BW113&lt;$BK113)),AND(OR(AND($BW113="",$BK113=""),AND(ISNUMBER($BW113),ISNUMBER($BK113),$BW113=$BK113)),$BX113&lt;$BL113)))))))),"-&gt;","&lt;-"))</f>
        <v/>
      </c>
      <c r="BN113" s="92" t="str">
        <f aca="false">IF(ISBLANK($C113),"",AND($AT113,OR($AU113="",$AV113="",AND($AW113,$AX113=""))))</f>
        <v/>
      </c>
      <c r="BO113" s="94" t="str">
        <f aca="false">IF($BZ113&lt;&gt;Constants!$B$8,"",IF($AT113,Constants!$B$21*$AV113+Constants!$B$22*IF($AW113,$AX113,Constants!$B$23),Constants!$B$24))</f>
        <v/>
      </c>
      <c r="BP113" s="97" t="str">
        <f aca="false">IF($BZ113&lt;&gt;Constants!$B$8,"",Constants!$B$25*ABS($AD$9-IF($AT113,$AU113,0)))</f>
        <v/>
      </c>
      <c r="BQ113" s="97" t="str">
        <f aca="false">IF($BZ113&lt;&gt;Constants!$B$8,"",IF(AND($AT113,$AY113,$AW113),Constants!$B$27,0))</f>
        <v/>
      </c>
      <c r="BR113" s="97" t="str">
        <f aca="false">IF($BZ113&lt;&gt;Constants!$B$8,"",IF($AT113,($AI113-Constants!$B$29)*Constants!$B$28,0))</f>
        <v/>
      </c>
      <c r="BS113" s="97" t="str">
        <f aca="false">IF($BZ113&lt;&gt;Constants!$B$8,"",IF($AS113,0,Constants!$B$15)+IF($AR113,0,Constants!$B$16)+IF($AH113,0,Constants!$B$17))</f>
        <v/>
      </c>
      <c r="BT113" s="98" t="str">
        <f aca="false">IF($BZ113&lt;&gt;Constants!$B$8,"",Constants!$B$20+SUM($BO113:$BS113))</f>
        <v/>
      </c>
      <c r="BU113" s="97" t="str">
        <f aca="false">IF($BZ113&lt;&gt;Constants!$B$8,"",$BO113)</f>
        <v/>
      </c>
      <c r="BV113" s="97" t="str">
        <f aca="false">IF($BZ113&lt;&gt;Constants!$B$8,"",$BP113)</f>
        <v/>
      </c>
      <c r="BW113" s="97" t="str">
        <f aca="false">IF($BZ113&lt;&gt;Constants!$B$8,"",IF($AT113,$AV113,""))</f>
        <v/>
      </c>
      <c r="BX113" s="99" t="str">
        <f aca="false">IF($BZ113&lt;&gt;Constants!$B$8,"",$AI113)</f>
        <v/>
      </c>
      <c r="BY113" s="93" t="str">
        <f aca="false">IF(ISBLANK($C113),"",IF(ISBLANK($D$7),$BY$5,IF(NOT(ISNUMBER($D$7)),$BY$6,"")))</f>
        <v/>
      </c>
      <c r="BZ113" s="93" t="str">
        <f aca="false">IF(ISBLANK($C113),"",IF($BA113,Constants!$B$11,IF(COUNTA($E113:$AA113)=0,Constants!$B$10,IF(NOT($AG113),Constants!$B$9,IF(OR($BY113&lt;&gt;"",$BB113,$BN113),Constants!$B$12,Constants!$B$8)))))</f>
        <v/>
      </c>
      <c r="CA113" s="93" t="str">
        <f aca="false">IF(ISBLANK($C113),"",IF($BZ113&lt;&gt;Constants!$B$8,$BZ113,Constants!$B$13))</f>
        <v/>
      </c>
      <c r="CB113" s="97" t="str">
        <f aca="false">IF($BZ113&lt;&gt;Constants!$B$8,"",IF($BM113="-&gt;",$BT113,$BH113))</f>
        <v/>
      </c>
      <c r="CC113" s="97" t="str">
        <f aca="false">IF($BZ113&lt;&gt;Constants!$B$8,"",IF($AF113,0,Constants!$B$18))</f>
        <v/>
      </c>
      <c r="CD113" s="97" t="str">
        <f aca="false">IF($BZ113&lt;&gt;Constants!$B$8,"",((Constants!$B$31-$AZ113)-Constants!$B$31)/Constants!$B$32)</f>
        <v/>
      </c>
      <c r="CE113" s="97" t="str">
        <f aca="false">IF(ISBLANK($C113),"",IF($BZ113&lt;&gt;Constants!$B$8,$BZ113,SUM($CB113:$CD113)))</f>
        <v/>
      </c>
      <c r="CF113" s="93" t="str">
        <f aca="false">IF(ISBLANK($C113),"",IF($BZ113&lt;&gt;Constants!$B$8,$BZ113,RANK($CE113,$CE$9:$CE$508,1)))</f>
        <v/>
      </c>
      <c r="CG113" s="97" t="str">
        <f aca="false">IF($BZ113&lt;&gt;Constants!$B$8,"",IF($BM113="-&gt;",$BU113,$BI113))</f>
        <v/>
      </c>
      <c r="CH113" s="93" t="str">
        <f aca="false">IF(ISBLANK($C113),"",IF($BZ113&lt;&gt;Constants!$B$8,$BZ113,IF(ISNUMBER($CG113),RANK($CG113,$CG$9:$CG$508,1),COUNT($CG$9:$CG$508)+1)))</f>
        <v/>
      </c>
      <c r="CI113" s="97" t="str">
        <f aca="false">IF($BZ113&lt;&gt;Constants!$B$8,"",IF($BM113="-&gt;",$BV113,$BJ113))</f>
        <v/>
      </c>
      <c r="CJ113" s="93" t="str">
        <f aca="false">IF(ISBLANK($C113),"",IF($BZ113&lt;&gt;Constants!$B$8,$BZ113,IF(ISNUMBER($CI113),RANK($CI113,$CI$9:$CI$508,1),COUNT($CI$9:$CI$508)+1)))</f>
        <v/>
      </c>
      <c r="CK113" s="97" t="str">
        <f aca="false">IF($BZ113&lt;&gt;Constants!$B$8,"",IF($BM113="-&gt;",$BW113,$BK113))</f>
        <v/>
      </c>
      <c r="CL113" s="93" t="str">
        <f aca="false">IF(ISBLANK($C113),"",IF($BZ113&lt;&gt;Constants!$B$8,$BZ113,IF(ISNUMBER($CK113),RANK($CK113,$CK$9:$CK$508,1),COUNT($CK$9:$CK$508)+1)))</f>
        <v/>
      </c>
      <c r="CM113" s="97" t="str">
        <f aca="false">IF($BZ113&lt;&gt;Constants!$B$8,"",IF(AND(NOT($AL113),NOT($AT113),$AJ113,$AK113,$AR113,$AS113),"",IF($BM113="-&gt;",$BX113,$BL113)))</f>
        <v/>
      </c>
      <c r="CN113" s="93" t="str">
        <f aca="false">IF(ISBLANK($C113),"",IF($BZ113&lt;&gt;Constants!$B$8,$BZ113,IF(ISNUMBER($CM113),RANK($CM113,$CM$9:$CM$508,1),COUNT($CM$9:$CM$508)+1)))</f>
        <v/>
      </c>
      <c r="CO113" s="93" t="str">
        <f aca="false">IF(ISBLANK($C113),"",IF($BZ113&lt;&gt;Constants!$B$8,$BZ113,COUNTIFS($CF$9:$CF$508,"&lt;"&amp;$CF113)+COUNTIFS($CF$9:$CF$508,$CF113,$CH$9:$CH$508,"&lt;"&amp;$CH113)+COUNTIFS($CF$9:$CF$508,$CF113,$CH$9:$CH$508,$CH113,$CJ$9:$CJ$508,"&lt;"&amp;$CJ113)+COUNTIFS($CF$9:$CF$508,$CF113,$CH$9:$CH$508,$CH113,$CJ$9:$CJ$508,$CJ113,$CL$9:$CL$508,"&lt;"&amp;$CL113)+COUNTIFS($CF$9:$CF$508,$CF113,$CH$9:$CH$508,$CH113,$CJ$9:$CJ$508,$CJ113,$CL$9:$CL$508,$CL113,$CN$9:$CN$508,"&lt;"&amp;$CN113)+1))</f>
        <v/>
      </c>
      <c r="CP113" s="93" t="str">
        <f aca="false">IF(ISBLANK($C113),"",IF($BZ113&lt;&gt;Constants!$B$8,$BZ113,$CF113-$CO113))</f>
        <v/>
      </c>
      <c r="CQ113" s="100"/>
      <c r="CR113" s="101"/>
      <c r="CS113" s="102" t="str">
        <f aca="false">IF(ISBLANK($C113),"",IF($BZ113=Constants!$B$12,$BY113,""))</f>
        <v/>
      </c>
      <c r="CT113" s="101" t="str">
        <f aca="false">IF(ISBLANK($C113),"",IF($BZ113&lt;&gt;Constants!$B$8,"",IF($BM113="-&gt;",2,1)))</f>
        <v/>
      </c>
      <c r="CU113" s="103" t="str">
        <f aca="false">IF(ISBLANK($C113),"",IF($BZ113&lt;&gt;Constants!$B$8,"",IF($BM113="-&gt;",$BO113,$BC113)))</f>
        <v/>
      </c>
      <c r="CV113" s="103" t="str">
        <f aca="false">IF(ISBLANK($C113),"",IF($BZ113&lt;&gt;Constants!$B$8,"",IF($BM113="-&gt;",$BP113,$BD113)))</f>
        <v/>
      </c>
      <c r="CW113" s="103" t="str">
        <f aca="false">IF(ISBLANK($C113),"",IF($BZ113&lt;&gt;Constants!$B$8,"",IF($BM113="-&gt;",$BQ113+$BR113,$BE113+$BF113)+$CD113))</f>
        <v/>
      </c>
      <c r="CX113" s="103" t="str">
        <f aca="false">IF(ISBLANK($C113),"",IF($BZ113&lt;&gt;Constants!$B$8,"",IF($BM113="-&gt;",$BS113,$BG113)+$CC113))</f>
        <v/>
      </c>
      <c r="CY113" s="104" t="str">
        <f aca="false">IF(ISBLANK($C113),"",IF($BZ113&lt;&gt;Constants!$B$8,$BZ113,$CE113))</f>
        <v/>
      </c>
      <c r="CZ113" s="105" t="str">
        <f aca="false">IF(ISBLANK($C113),"",$CA113)</f>
        <v/>
      </c>
      <c r="DA113" s="106" t="str">
        <f aca="false">IF(ISBLANK($C113),"",$CP113)</f>
        <v/>
      </c>
      <c r="DB113" s="106" t="str">
        <f aca="false">IF(ISBLANK($C113),"",$CO113)</f>
        <v/>
      </c>
      <c r="DC113" s="107" t="str">
        <f aca="false">IF(ISBLANK($C113),"",IFERROR(_xlfn.SWITCH($DB113,Constants!$B$11,COUNTA($C$9:$C$508)+2,Constants!$B$10,COUNTA($C$9:$C$508)+1,Constants!$B$9,COUNTA($C$9:$C$508)),$DB113))</f>
        <v/>
      </c>
      <c r="DD113" s="9"/>
      <c r="DE113" s="108" t="n">
        <f aca="false">IF(OR(ISNUMBER($DB113),$DB113=Constants!$B$11,$DB113=Constants!$B$9,$DB113=Constants!$B$10),1,0)</f>
        <v>0</v>
      </c>
      <c r="DF113" s="108" t="n">
        <v>105</v>
      </c>
      <c r="DG113" s="108" t="str">
        <f aca="false">IF(ISBLANK($C113),"",IF(ISNUMBER($DC113),$DC113+ROW($B113)/1000,""))</f>
        <v/>
      </c>
      <c r="DH113" s="108" t="str">
        <f aca="false">IF(ISNUMBER($DG113),RANK($DG113,$DG$9:$DG$508,1),"")</f>
        <v/>
      </c>
      <c r="DI113" s="108" t="str">
        <f aca="false">IF(ISBLANK($C113),"",$B113)</f>
        <v/>
      </c>
      <c r="DJ113" s="108" t="str">
        <f aca="false">IF(ISBLANK($C113),"",$C113)</f>
        <v/>
      </c>
      <c r="DK113" s="108" t="str">
        <f aca="false">IF(ISBLANK($C113),"",$D113)</f>
        <v/>
      </c>
      <c r="DL113" s="109" t="str">
        <f aca="false">$CZ113</f>
        <v/>
      </c>
      <c r="DM113" s="110" t="str">
        <f aca="false">$CY113</f>
        <v/>
      </c>
      <c r="DN113" s="108" t="str">
        <f aca="false">IF(ISBLANK($C113),"",$DB113)</f>
        <v/>
      </c>
      <c r="DO113" s="111" t="str">
        <f aca="false">IF($DF113&gt;$DE$8,"",VLOOKUP($DF113,$DH$9:$DN$508,7,FALSE()))</f>
        <v/>
      </c>
      <c r="DP113" s="112" t="str">
        <f aca="false">IF($DF113&gt;$DE$8,"",VLOOKUP($DF113,$DH$9:$DN$508,2,FALSE()))</f>
        <v/>
      </c>
      <c r="DQ113" s="112" t="str">
        <f aca="false">IF($DF113&gt;$DE$8,"",VLOOKUP($DF113,$DH$9:$DN$508,3,FALSE()))</f>
        <v/>
      </c>
      <c r="DR113" s="112" t="str">
        <f aca="false">IF($DF113&gt;$DE$8,"",VLOOKUP($DF113,$DH$9:$DN$508,4,FALSE()))</f>
        <v/>
      </c>
      <c r="DS113" s="112" t="str">
        <f aca="false">IF($DF113&gt;$DE$8,"",VLOOKUP($DF113,$DH$9:$DN$508,5,FALSE()))</f>
        <v/>
      </c>
      <c r="DT113" s="113" t="str">
        <f aca="false">IF($DF113&gt;$DE$8,"",VLOOKUP($DF113,$DH$9:$DN$508,6,FALSE()))</f>
        <v/>
      </c>
      <c r="DU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IF(ISBLANK($C114),"",IF(E114=Constants!$B$3,TRUE(),IF(E114=Constants!$B$4,FALSE(),TRUE())))</f>
        <v/>
      </c>
      <c r="AG114" s="135" t="str">
        <f aca="false">IF(ISBLANK($C114),"",IF(F114=Constants!$B$3,TRUE(),IF(F114=Constants!$B$4,FALSE(),TRUE())))</f>
        <v/>
      </c>
      <c r="AH114" s="135" t="str">
        <f aca="false">IF(ISBLANK($C114),"",IF(G114=Constants!$B$3,TRUE(),IF(G114=Constants!$B$4,FALSE(),TRUE())))</f>
        <v/>
      </c>
      <c r="AI114" s="135" t="str">
        <f aca="false">IF(ISBLANK($C114),"",IF(AND(ISNUMBER(H114),H114&gt;=0),H114,Constants!$B$29))</f>
        <v/>
      </c>
      <c r="AJ114" s="135" t="str">
        <f aca="false">IF(ISBLANK($C114),"",IF(I114=Constants!$B$3,TRUE(),IF(I114=Constants!$B$4,FALSE(),TRUE())))</f>
        <v/>
      </c>
      <c r="AK114" s="135" t="str">
        <f aca="false">IF(ISBLANK($C114),"",IF(J114=Constants!$B$3,TRUE(),IF(J114=Constants!$B$4,FALSE(),TRUE())))</f>
        <v/>
      </c>
      <c r="AL114" s="135" t="str">
        <f aca="false">IF(ISBLANK($C114),"",IF(K114=Constants!$B$5,TRUE(),IF(K114=Constants!$B$6,FALSE(),COUNTA(L114:P114)&gt;0)))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IF(ISBLANK($C114),"",IF(N114=Constants!$B$3,TRUE(),IF(N114=Constants!$B$4,FALSE(),TRUE())))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IF(ISBLANK($C114),"",IF(P114=Constants!$B$3,TRUE(),IF(P114=Constants!$B$4,FALSE(),FALSE())))</f>
        <v/>
      </c>
      <c r="AR114" s="135" t="str">
        <f aca="false">IF(ISBLANK($C114),"",IF(Q114=Constants!$B$3,TRUE(),IF(Q114=Constants!$B$4,FALSE(),TRUE())))</f>
        <v/>
      </c>
      <c r="AS114" s="135" t="str">
        <f aca="false">IF(ISBLANK($C114),"",IF(R114=Constants!$B$3,TRUE(),IF(R114=Constants!$B$4,FALSE(),TRUE())))</f>
        <v/>
      </c>
      <c r="AT114" s="135" t="str">
        <f aca="false">IF(ISBLANK($C114),"",IF(S114=Constants!$B$5,TRUE(),IF(S114=Constants!$B$6,FALSE(),COUNTA(T114:X114)&gt;0)))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IF(ISBLANK($C114),"",IF(V114=Constants!$B$3,TRUE(),IF(V114=Constants!$B$4,FALSE(),TRUE())))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IF(ISBLANK($C114),"",IF(X114=Constants!$B$3,TRUE(),IF(X114=Constants!$B$4,FALSE(),FALSE())))</f>
        <v/>
      </c>
      <c r="AZ114" s="135" t="str">
        <f aca="false">IF(ISBLANK($C114),"",MIN(Constants!$B$31,MAX(0,IF(ISNUMBER(Y114),Y114*60,0)+IF(ISNUMBER(Z114),Z114,0))))</f>
        <v/>
      </c>
      <c r="BA114" s="135" t="str">
        <f aca="false">IF(ISBLANK($C114),"",IF(AA114=Constants!$B$3,TRUE(),IF(AA114=Constants!$B$4,FALSE(),FALSE())))</f>
        <v/>
      </c>
      <c r="BB114" s="134" t="str">
        <f aca="false">IF(ISBLANK($C114),"",AND($AL114,OR($AM114="",$AN114="",AND($AO114,$AP114=""))))</f>
        <v/>
      </c>
      <c r="BC114" s="137" t="str">
        <f aca="false">IF($BZ114&lt;&gt;Constants!$B$8,"",IF($AL114,Constants!$B$21*$AN114+Constants!$B$22*IF($AO114,$AP114,Constants!$B$23),Constants!$B$24))</f>
        <v/>
      </c>
      <c r="BD114" s="138" t="str">
        <f aca="false">IF($BZ114&lt;&gt;Constants!$B$8,"",Constants!$B$25*ABS($AD$9-IF($AL114,$AM114,0)))</f>
        <v/>
      </c>
      <c r="BE114" s="138" t="str">
        <f aca="false">IF($BZ114&lt;&gt;Constants!$B$8,"",IF(AND($AL114,$AQ114,$AO114),Constants!$B$27,0))</f>
        <v/>
      </c>
      <c r="BF114" s="138" t="str">
        <f aca="false">IF($BZ114&lt;&gt;Constants!$B$8,"",IF($AL114,($AI114-Constants!$B$29)*Constants!$B$28,0))</f>
        <v/>
      </c>
      <c r="BG114" s="138" t="str">
        <f aca="false">IF($BZ114&lt;&gt;Constants!$B$8,"",IF($AK114,0,Constants!$B$15)+IF($AJ114,0,Constants!$B$16)+IF($AH114,0,Constants!$B$17))</f>
        <v/>
      </c>
      <c r="BH114" s="139" t="str">
        <f aca="false">IF($BZ114&lt;&gt;Constants!$B$8,"",Constants!$B$20+SUM($BC114:$BG114))</f>
        <v/>
      </c>
      <c r="BI114" s="138" t="str">
        <f aca="false">IF($BZ114&lt;&gt;Constants!$B$8,"",$BC114)</f>
        <v/>
      </c>
      <c r="BJ114" s="138" t="str">
        <f aca="false">IF($BZ114&lt;&gt;Constants!$B$8,"",$BD114)</f>
        <v/>
      </c>
      <c r="BK114" s="138" t="str">
        <f aca="false">IF($BZ114&lt;&gt;Constants!$B$8,"",IF($AL114,$AN114,""))</f>
        <v/>
      </c>
      <c r="BL114" s="140" t="str">
        <f aca="false">IF($BZ114&lt;&gt;Constants!$B$8,"",$AI114)</f>
        <v/>
      </c>
      <c r="BM114" s="135" t="str">
        <f aca="false">IF($BZ114&lt;&gt;Constants!$B$8,"",IF(OR($BT114&lt;$BH114,AND($BT114=$BH114,OR($BU114&lt;$BI114,AND($BU114=$BI114,OR($BV114&lt;$BJ114,AND($BV114=$BJ114,OR(AND(ISNUMBER($BW114),OR(NOT(ISNUMBER($BK114)),$BW114&lt;$BK114)),AND(OR(AND($BW114="",$BK114=""),AND(ISNUMBER($BW114),ISNUMBER($BK114),$BW114=$BK114)),$BX114&lt;$BL114)))))))),"-&gt;","&lt;-"))</f>
        <v/>
      </c>
      <c r="BN114" s="134" t="str">
        <f aca="false">IF(ISBLANK($C114),"",AND($AT114,OR($AU114="",$AV114="",AND($AW114,$AX114=""))))</f>
        <v/>
      </c>
      <c r="BO114" s="137" t="str">
        <f aca="false">IF($BZ114&lt;&gt;Constants!$B$8,"",IF($AT114,Constants!$B$21*$AV114+Constants!$B$22*IF($AW114,$AX114,Constants!$B$23),Constants!$B$24))</f>
        <v/>
      </c>
      <c r="BP114" s="138" t="str">
        <f aca="false">IF($BZ114&lt;&gt;Constants!$B$8,"",Constants!$B$25*ABS($AD$9-IF($AT114,$AU114,0)))</f>
        <v/>
      </c>
      <c r="BQ114" s="138" t="str">
        <f aca="false">IF($BZ114&lt;&gt;Constants!$B$8,"",IF(AND($AT114,$AY114,$AW114),Constants!$B$27,0))</f>
        <v/>
      </c>
      <c r="BR114" s="138" t="str">
        <f aca="false">IF($BZ114&lt;&gt;Constants!$B$8,"",IF($AT114,($AI114-Constants!$B$29)*Constants!$B$28,0))</f>
        <v/>
      </c>
      <c r="BS114" s="138" t="str">
        <f aca="false">IF($BZ114&lt;&gt;Constants!$B$8,"",IF($AS114,0,Constants!$B$15)+IF($AR114,0,Constants!$B$16)+IF($AH114,0,Constants!$B$17))</f>
        <v/>
      </c>
      <c r="BT114" s="139" t="str">
        <f aca="false">IF($BZ114&lt;&gt;Constants!$B$8,"",Constants!$B$20+SUM($BO114:$BS114))</f>
        <v/>
      </c>
      <c r="BU114" s="138" t="str">
        <f aca="false">IF($BZ114&lt;&gt;Constants!$B$8,"",$BO114)</f>
        <v/>
      </c>
      <c r="BV114" s="138" t="str">
        <f aca="false">IF($BZ114&lt;&gt;Constants!$B$8,"",$BP114)</f>
        <v/>
      </c>
      <c r="BW114" s="138" t="str">
        <f aca="false">IF($BZ114&lt;&gt;Constants!$B$8,"",IF($AT114,$AV114,""))</f>
        <v/>
      </c>
      <c r="BX114" s="140" t="str">
        <f aca="false">IF($BZ114&lt;&gt;Constants!$B$8,"",$AI114)</f>
        <v/>
      </c>
      <c r="BY114" s="135" t="str">
        <f aca="false">IF(ISBLANK($C114),"",IF(ISBLANK($D$7),$BY$5,IF(NOT(ISNUMBER($D$7)),$BY$6,"")))</f>
        <v/>
      </c>
      <c r="BZ114" s="135" t="str">
        <f aca="false">IF(ISBLANK($C114),"",IF($BA114,Constants!$B$11,IF(COUNTA($E114:$AA114)=0,Constants!$B$10,IF(NOT($AG114),Constants!$B$9,IF(OR($BY114&lt;&gt;"",$BB114,$BN114),Constants!$B$12,Constants!$B$8)))))</f>
        <v/>
      </c>
      <c r="CA114" s="135" t="str">
        <f aca="false">IF(ISBLANK($C114),"",IF($BZ114&lt;&gt;Constants!$B$8,$BZ114,Constants!$B$13))</f>
        <v/>
      </c>
      <c r="CB114" s="138" t="str">
        <f aca="false">IF($BZ114&lt;&gt;Constants!$B$8,"",IF($BM114="-&gt;",$BT114,$BH114))</f>
        <v/>
      </c>
      <c r="CC114" s="138" t="str">
        <f aca="false">IF($BZ114&lt;&gt;Constants!$B$8,"",IF($AF114,0,Constants!$B$18))</f>
        <v/>
      </c>
      <c r="CD114" s="138" t="str">
        <f aca="false">IF($BZ114&lt;&gt;Constants!$B$8,"",((Constants!$B$31-$AZ114)-Constants!$B$31)/Constants!$B$32)</f>
        <v/>
      </c>
      <c r="CE114" s="138" t="str">
        <f aca="false">IF(ISBLANK($C114),"",IF($BZ114&lt;&gt;Constants!$B$8,$BZ114,SUM($CB114:$CD114)))</f>
        <v/>
      </c>
      <c r="CF114" s="135" t="str">
        <f aca="false">IF(ISBLANK($C114),"",IF($BZ114&lt;&gt;Constants!$B$8,$BZ114,RANK($CE114,$CE$9:$CE$508,1)))</f>
        <v/>
      </c>
      <c r="CG114" s="138" t="str">
        <f aca="false">IF($BZ114&lt;&gt;Constants!$B$8,"",IF($BM114="-&gt;",$BU114,$BI114))</f>
        <v/>
      </c>
      <c r="CH114" s="135" t="str">
        <f aca="false">IF(ISBLANK($C114),"",IF($BZ114&lt;&gt;Constants!$B$8,$BZ114,IF(ISNUMBER($CG114),RANK($CG114,$CG$9:$CG$508,1),COUNT($CG$9:$CG$508)+1)))</f>
        <v/>
      </c>
      <c r="CI114" s="138" t="str">
        <f aca="false">IF($BZ114&lt;&gt;Constants!$B$8,"",IF($BM114="-&gt;",$BV114,$BJ114))</f>
        <v/>
      </c>
      <c r="CJ114" s="135" t="str">
        <f aca="false">IF(ISBLANK($C114),"",IF($BZ114&lt;&gt;Constants!$B$8,$BZ114,IF(ISNUMBER($CI114),RANK($CI114,$CI$9:$CI$508,1),COUNT($CI$9:$CI$508)+1)))</f>
        <v/>
      </c>
      <c r="CK114" s="138" t="str">
        <f aca="false">IF($BZ114&lt;&gt;Constants!$B$8,"",IF($BM114="-&gt;",$BW114,$BK114))</f>
        <v/>
      </c>
      <c r="CL114" s="135" t="str">
        <f aca="false">IF(ISBLANK($C114),"",IF($BZ114&lt;&gt;Constants!$B$8,$BZ114,IF(ISNUMBER($CK114),RANK($CK114,$CK$9:$CK$508,1),COUNT($CK$9:$CK$508)+1)))</f>
        <v/>
      </c>
      <c r="CM114" s="138" t="str">
        <f aca="false">IF($BZ114&lt;&gt;Constants!$B$8,"",IF(AND(NOT($AL114),NOT($AT114),$AJ114,$AK114,$AR114,$AS114),"",IF($BM114="-&gt;",$BX114,$BL114)))</f>
        <v/>
      </c>
      <c r="CN114" s="135" t="str">
        <f aca="false">IF(ISBLANK($C114),"",IF($BZ114&lt;&gt;Constants!$B$8,$BZ114,IF(ISNUMBER($CM114),RANK($CM114,$CM$9:$CM$508,1),COUNT($CM$9:$CM$508)+1)))</f>
        <v/>
      </c>
      <c r="CO114" s="135" t="str">
        <f aca="false">IF(ISBLANK($C114),"",IF($BZ114&lt;&gt;Constants!$B$8,$BZ114,COUNTIFS($CF$9:$CF$508,"&lt;"&amp;$CF114)+COUNTIFS($CF$9:$CF$508,$CF114,$CH$9:$CH$508,"&lt;"&amp;$CH114)+COUNTIFS($CF$9:$CF$508,$CF114,$CH$9:$CH$508,$CH114,$CJ$9:$CJ$508,"&lt;"&amp;$CJ114)+COUNTIFS($CF$9:$CF$508,$CF114,$CH$9:$CH$508,$CH114,$CJ$9:$CJ$508,$CJ114,$CL$9:$CL$508,"&lt;"&amp;$CL114)+COUNTIFS($CF$9:$CF$508,$CF114,$CH$9:$CH$508,$CH114,$CJ$9:$CJ$508,$CJ114,$CL$9:$CL$508,$CL114,$CN$9:$CN$508,"&lt;"&amp;$CN114)+1))</f>
        <v/>
      </c>
      <c r="CP114" s="135" t="str">
        <f aca="false">IF(ISBLANK($C114),"",IF($BZ114&lt;&gt;Constants!$B$8,$BZ114,$CF114-$CO114))</f>
        <v/>
      </c>
      <c r="CQ114" s="141"/>
      <c r="CR114" s="142"/>
      <c r="CS114" s="143" t="str">
        <f aca="false">IF(ISBLANK($C114),"",IF($BZ114=Constants!$B$12,$BY114,""))</f>
        <v/>
      </c>
      <c r="CT114" s="142" t="str">
        <f aca="false">IF(ISBLANK($C114),"",IF($BZ114&lt;&gt;Constants!$B$8,"",IF($BM114="-&gt;",2,1)))</f>
        <v/>
      </c>
      <c r="CU114" s="144" t="str">
        <f aca="false">IF(ISBLANK($C114),"",IF($BZ114&lt;&gt;Constants!$B$8,"",IF($BM114="-&gt;",$BO114,$BC114)))</f>
        <v/>
      </c>
      <c r="CV114" s="144" t="str">
        <f aca="false">IF(ISBLANK($C114),"",IF($BZ114&lt;&gt;Constants!$B$8,"",IF($BM114="-&gt;",$BP114,$BD114)))</f>
        <v/>
      </c>
      <c r="CW114" s="144" t="str">
        <f aca="false">IF(ISBLANK($C114),"",IF($BZ114&lt;&gt;Constants!$B$8,"",IF($BM114="-&gt;",$BQ114+$BR114,$BE114+$BF114)+$CD114))</f>
        <v/>
      </c>
      <c r="CX114" s="144" t="str">
        <f aca="false">IF(ISBLANK($C114),"",IF($BZ114&lt;&gt;Constants!$B$8,"",IF($BM114="-&gt;",$BS114,$BG114)+$CC114))</f>
        <v/>
      </c>
      <c r="CY114" s="145" t="str">
        <f aca="false">IF(ISBLANK($C114),"",IF($BZ114&lt;&gt;Constants!$B$8,$BZ114,$CE114))</f>
        <v/>
      </c>
      <c r="CZ114" s="146" t="str">
        <f aca="false">IF(ISBLANK($C114),"",$CA114)</f>
        <v/>
      </c>
      <c r="DA114" s="147" t="str">
        <f aca="false">IF(ISBLANK($C114),"",$CP114)</f>
        <v/>
      </c>
      <c r="DB114" s="147" t="str">
        <f aca="false">IF(ISBLANK($C114),"",$CO114)</f>
        <v/>
      </c>
      <c r="DC114" s="148" t="str">
        <f aca="false">IF(ISBLANK($C114),"",IFERROR(_xlfn.SWITCH($DB114,Constants!$B$11,COUNTA($C$9:$C$508)+2,Constants!$B$10,COUNTA($C$9:$C$508)+1,Constants!$B$9,COUNTA($C$9:$C$508)),$DB114))</f>
        <v/>
      </c>
      <c r="DD114" s="9"/>
      <c r="DE114" s="149" t="n">
        <f aca="false">IF(OR(ISNUMBER($DB114),$DB114=Constants!$B$11,$DB114=Constants!$B$9,$DB114=Constants!$B$10),1,0)</f>
        <v>0</v>
      </c>
      <c r="DF114" s="149" t="n">
        <v>106</v>
      </c>
      <c r="DG114" s="149" t="str">
        <f aca="false">IF(ISBLANK($C114),"",IF(ISNUMBER($DC114),$DC114+ROW($B114)/1000,""))</f>
        <v/>
      </c>
      <c r="DH114" s="149" t="str">
        <f aca="false">IF(ISNUMBER($DG114),RANK($DG114,$DG$9:$DG$508,1),"")</f>
        <v/>
      </c>
      <c r="DI114" s="149" t="str">
        <f aca="false">IF(ISBLANK($C114),"",$B114)</f>
        <v/>
      </c>
      <c r="DJ114" s="149" t="str">
        <f aca="false">IF(ISBLANK($C114),"",$C114)</f>
        <v/>
      </c>
      <c r="DK114" s="149" t="str">
        <f aca="false">IF(ISBLANK($C114),"",$D114)</f>
        <v/>
      </c>
      <c r="DL114" s="150" t="str">
        <f aca="false">$CZ114</f>
        <v/>
      </c>
      <c r="DM114" s="151" t="str">
        <f aca="false">$CY114</f>
        <v/>
      </c>
      <c r="DN114" s="149" t="str">
        <f aca="false">IF(ISBLANK($C114),"",$DB114)</f>
        <v/>
      </c>
      <c r="DO114" s="152" t="str">
        <f aca="false">IF($DF114&gt;$DE$8,"",VLOOKUP($DF114,$DH$9:$DN$508,7,FALSE()))</f>
        <v/>
      </c>
      <c r="DP114" s="153" t="str">
        <f aca="false">IF($DF114&gt;$DE$8,"",VLOOKUP($DF114,$DH$9:$DN$508,2,FALSE()))</f>
        <v/>
      </c>
      <c r="DQ114" s="153" t="str">
        <f aca="false">IF($DF114&gt;$DE$8,"",VLOOKUP($DF114,$DH$9:$DN$508,3,FALSE()))</f>
        <v/>
      </c>
      <c r="DR114" s="153" t="str">
        <f aca="false">IF($DF114&gt;$DE$8,"",VLOOKUP($DF114,$DH$9:$DN$508,4,FALSE()))</f>
        <v/>
      </c>
      <c r="DS114" s="153" t="str">
        <f aca="false">IF($DF114&gt;$DE$8,"",VLOOKUP($DF114,$DH$9:$DN$508,5,FALSE()))</f>
        <v/>
      </c>
      <c r="DT114" s="154" t="str">
        <f aca="false">IF($DF114&gt;$DE$8,"",VLOOKUP($DF114,$DH$9:$DN$508,6,FALSE()))</f>
        <v/>
      </c>
      <c r="DU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IF(ISBLANK($C115),"",IF(E115=Constants!$B$3,TRUE(),IF(E115=Constants!$B$4,FALSE(),TRUE())))</f>
        <v/>
      </c>
      <c r="AG115" s="135" t="str">
        <f aca="false">IF(ISBLANK($C115),"",IF(F115=Constants!$B$3,TRUE(),IF(F115=Constants!$B$4,FALSE(),TRUE())))</f>
        <v/>
      </c>
      <c r="AH115" s="135" t="str">
        <f aca="false">IF(ISBLANK($C115),"",IF(G115=Constants!$B$3,TRUE(),IF(G115=Constants!$B$4,FALSE(),TRUE())))</f>
        <v/>
      </c>
      <c r="AI115" s="135" t="str">
        <f aca="false">IF(ISBLANK($C115),"",IF(AND(ISNUMBER(H115),H115&gt;=0),H115,Constants!$B$29))</f>
        <v/>
      </c>
      <c r="AJ115" s="135" t="str">
        <f aca="false">IF(ISBLANK($C115),"",IF(I115=Constants!$B$3,TRUE(),IF(I115=Constants!$B$4,FALSE(),TRUE())))</f>
        <v/>
      </c>
      <c r="AK115" s="135" t="str">
        <f aca="false">IF(ISBLANK($C115),"",IF(J115=Constants!$B$3,TRUE(),IF(J115=Constants!$B$4,FALSE(),TRUE())))</f>
        <v/>
      </c>
      <c r="AL115" s="135" t="str">
        <f aca="false">IF(ISBLANK($C115),"",IF(K115=Constants!$B$5,TRUE(),IF(K115=Constants!$B$6,FALSE(),COUNTA(L115:P115)&gt;0)))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IF(ISBLANK($C115),"",IF(N115=Constants!$B$3,TRUE(),IF(N115=Constants!$B$4,FALSE(),TRUE())))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IF(ISBLANK($C115),"",IF(P115=Constants!$B$3,TRUE(),IF(P115=Constants!$B$4,FALSE(),FALSE())))</f>
        <v/>
      </c>
      <c r="AR115" s="135" t="str">
        <f aca="false">IF(ISBLANK($C115),"",IF(Q115=Constants!$B$3,TRUE(),IF(Q115=Constants!$B$4,FALSE(),TRUE())))</f>
        <v/>
      </c>
      <c r="AS115" s="135" t="str">
        <f aca="false">IF(ISBLANK($C115),"",IF(R115=Constants!$B$3,TRUE(),IF(R115=Constants!$B$4,FALSE(),TRUE())))</f>
        <v/>
      </c>
      <c r="AT115" s="135" t="str">
        <f aca="false">IF(ISBLANK($C115),"",IF(S115=Constants!$B$5,TRUE(),IF(S115=Constants!$B$6,FALSE(),COUNTA(T115:X115)&gt;0)))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IF(ISBLANK($C115),"",IF(V115=Constants!$B$3,TRUE(),IF(V115=Constants!$B$4,FALSE(),TRUE())))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IF(ISBLANK($C115),"",IF(X115=Constants!$B$3,TRUE(),IF(X115=Constants!$B$4,FALSE(),FALSE())))</f>
        <v/>
      </c>
      <c r="AZ115" s="135" t="str">
        <f aca="false">IF(ISBLANK($C115),"",MIN(Constants!$B$31,MAX(0,IF(ISNUMBER(Y115),Y115*60,0)+IF(ISNUMBER(Z115),Z115,0))))</f>
        <v/>
      </c>
      <c r="BA115" s="135" t="str">
        <f aca="false">IF(ISBLANK($C115),"",IF(AA115=Constants!$B$3,TRUE(),IF(AA115=Constants!$B$4,FALSE(),FALSE())))</f>
        <v/>
      </c>
      <c r="BB115" s="134" t="str">
        <f aca="false">IF(ISBLANK($C115),"",AND($AL115,OR($AM115="",$AN115="",AND($AO115,$AP115=""))))</f>
        <v/>
      </c>
      <c r="BC115" s="137" t="str">
        <f aca="false">IF($BZ115&lt;&gt;Constants!$B$8,"",IF($AL115,Constants!$B$21*$AN115+Constants!$B$22*IF($AO115,$AP115,Constants!$B$23),Constants!$B$24))</f>
        <v/>
      </c>
      <c r="BD115" s="138" t="str">
        <f aca="false">IF($BZ115&lt;&gt;Constants!$B$8,"",Constants!$B$25*ABS($AD$9-IF($AL115,$AM115,0)))</f>
        <v/>
      </c>
      <c r="BE115" s="138" t="str">
        <f aca="false">IF($BZ115&lt;&gt;Constants!$B$8,"",IF(AND($AL115,$AQ115,$AO115),Constants!$B$27,0))</f>
        <v/>
      </c>
      <c r="BF115" s="138" t="str">
        <f aca="false">IF($BZ115&lt;&gt;Constants!$B$8,"",IF($AL115,($AI115-Constants!$B$29)*Constants!$B$28,0))</f>
        <v/>
      </c>
      <c r="BG115" s="138" t="str">
        <f aca="false">IF($BZ115&lt;&gt;Constants!$B$8,"",IF($AK115,0,Constants!$B$15)+IF($AJ115,0,Constants!$B$16)+IF($AH115,0,Constants!$B$17))</f>
        <v/>
      </c>
      <c r="BH115" s="139" t="str">
        <f aca="false">IF($BZ115&lt;&gt;Constants!$B$8,"",Constants!$B$20+SUM($BC115:$BG115))</f>
        <v/>
      </c>
      <c r="BI115" s="138" t="str">
        <f aca="false">IF($BZ115&lt;&gt;Constants!$B$8,"",$BC115)</f>
        <v/>
      </c>
      <c r="BJ115" s="138" t="str">
        <f aca="false">IF($BZ115&lt;&gt;Constants!$B$8,"",$BD115)</f>
        <v/>
      </c>
      <c r="BK115" s="138" t="str">
        <f aca="false">IF($BZ115&lt;&gt;Constants!$B$8,"",IF($AL115,$AN115,""))</f>
        <v/>
      </c>
      <c r="BL115" s="140" t="str">
        <f aca="false">IF($BZ115&lt;&gt;Constants!$B$8,"",$AI115)</f>
        <v/>
      </c>
      <c r="BM115" s="135" t="str">
        <f aca="false">IF($BZ115&lt;&gt;Constants!$B$8,"",IF(OR($BT115&lt;$BH115,AND($BT115=$BH115,OR($BU115&lt;$BI115,AND($BU115=$BI115,OR($BV115&lt;$BJ115,AND($BV115=$BJ115,OR(AND(ISNUMBER($BW115),OR(NOT(ISNUMBER($BK115)),$BW115&lt;$BK115)),AND(OR(AND($BW115="",$BK115=""),AND(ISNUMBER($BW115),ISNUMBER($BK115),$BW115=$BK115)),$BX115&lt;$BL115)))))))),"-&gt;","&lt;-"))</f>
        <v/>
      </c>
      <c r="BN115" s="134" t="str">
        <f aca="false">IF(ISBLANK($C115),"",AND($AT115,OR($AU115="",$AV115="",AND($AW115,$AX115=""))))</f>
        <v/>
      </c>
      <c r="BO115" s="137" t="str">
        <f aca="false">IF($BZ115&lt;&gt;Constants!$B$8,"",IF($AT115,Constants!$B$21*$AV115+Constants!$B$22*IF($AW115,$AX115,Constants!$B$23),Constants!$B$24))</f>
        <v/>
      </c>
      <c r="BP115" s="138" t="str">
        <f aca="false">IF($BZ115&lt;&gt;Constants!$B$8,"",Constants!$B$25*ABS($AD$9-IF($AT115,$AU115,0)))</f>
        <v/>
      </c>
      <c r="BQ115" s="138" t="str">
        <f aca="false">IF($BZ115&lt;&gt;Constants!$B$8,"",IF(AND($AT115,$AY115,$AW115),Constants!$B$27,0))</f>
        <v/>
      </c>
      <c r="BR115" s="138" t="str">
        <f aca="false">IF($BZ115&lt;&gt;Constants!$B$8,"",IF($AT115,($AI115-Constants!$B$29)*Constants!$B$28,0))</f>
        <v/>
      </c>
      <c r="BS115" s="138" t="str">
        <f aca="false">IF($BZ115&lt;&gt;Constants!$B$8,"",IF($AS115,0,Constants!$B$15)+IF($AR115,0,Constants!$B$16)+IF($AH115,0,Constants!$B$17))</f>
        <v/>
      </c>
      <c r="BT115" s="139" t="str">
        <f aca="false">IF($BZ115&lt;&gt;Constants!$B$8,"",Constants!$B$20+SUM($BO115:$BS115))</f>
        <v/>
      </c>
      <c r="BU115" s="138" t="str">
        <f aca="false">IF($BZ115&lt;&gt;Constants!$B$8,"",$BO115)</f>
        <v/>
      </c>
      <c r="BV115" s="138" t="str">
        <f aca="false">IF($BZ115&lt;&gt;Constants!$B$8,"",$BP115)</f>
        <v/>
      </c>
      <c r="BW115" s="138" t="str">
        <f aca="false">IF($BZ115&lt;&gt;Constants!$B$8,"",IF($AT115,$AV115,""))</f>
        <v/>
      </c>
      <c r="BX115" s="140" t="str">
        <f aca="false">IF($BZ115&lt;&gt;Constants!$B$8,"",$AI115)</f>
        <v/>
      </c>
      <c r="BY115" s="135" t="str">
        <f aca="false">IF(ISBLANK($C115),"",IF(ISBLANK($D$7),$BY$5,IF(NOT(ISNUMBER($D$7)),$BY$6,"")))</f>
        <v/>
      </c>
      <c r="BZ115" s="135" t="str">
        <f aca="false">IF(ISBLANK($C115),"",IF($BA115,Constants!$B$11,IF(COUNTA($E115:$AA115)=0,Constants!$B$10,IF(NOT($AG115),Constants!$B$9,IF(OR($BY115&lt;&gt;"",$BB115,$BN115),Constants!$B$12,Constants!$B$8)))))</f>
        <v/>
      </c>
      <c r="CA115" s="135" t="str">
        <f aca="false">IF(ISBLANK($C115),"",IF($BZ115&lt;&gt;Constants!$B$8,$BZ115,Constants!$B$13))</f>
        <v/>
      </c>
      <c r="CB115" s="138" t="str">
        <f aca="false">IF($BZ115&lt;&gt;Constants!$B$8,"",IF($BM115="-&gt;",$BT115,$BH115))</f>
        <v/>
      </c>
      <c r="CC115" s="138" t="str">
        <f aca="false">IF($BZ115&lt;&gt;Constants!$B$8,"",IF($AF115,0,Constants!$B$18))</f>
        <v/>
      </c>
      <c r="CD115" s="138" t="str">
        <f aca="false">IF($BZ115&lt;&gt;Constants!$B$8,"",((Constants!$B$31-$AZ115)-Constants!$B$31)/Constants!$B$32)</f>
        <v/>
      </c>
      <c r="CE115" s="138" t="str">
        <f aca="false">IF(ISBLANK($C115),"",IF($BZ115&lt;&gt;Constants!$B$8,$BZ115,SUM($CB115:$CD115)))</f>
        <v/>
      </c>
      <c r="CF115" s="135" t="str">
        <f aca="false">IF(ISBLANK($C115),"",IF($BZ115&lt;&gt;Constants!$B$8,$BZ115,RANK($CE115,$CE$9:$CE$508,1)))</f>
        <v/>
      </c>
      <c r="CG115" s="138" t="str">
        <f aca="false">IF($BZ115&lt;&gt;Constants!$B$8,"",IF($BM115="-&gt;",$BU115,$BI115))</f>
        <v/>
      </c>
      <c r="CH115" s="135" t="str">
        <f aca="false">IF(ISBLANK($C115),"",IF($BZ115&lt;&gt;Constants!$B$8,$BZ115,IF(ISNUMBER($CG115),RANK($CG115,$CG$9:$CG$508,1),COUNT($CG$9:$CG$508)+1)))</f>
        <v/>
      </c>
      <c r="CI115" s="138" t="str">
        <f aca="false">IF($BZ115&lt;&gt;Constants!$B$8,"",IF($BM115="-&gt;",$BV115,$BJ115))</f>
        <v/>
      </c>
      <c r="CJ115" s="135" t="str">
        <f aca="false">IF(ISBLANK($C115),"",IF($BZ115&lt;&gt;Constants!$B$8,$BZ115,IF(ISNUMBER($CI115),RANK($CI115,$CI$9:$CI$508,1),COUNT($CI$9:$CI$508)+1)))</f>
        <v/>
      </c>
      <c r="CK115" s="138" t="str">
        <f aca="false">IF($BZ115&lt;&gt;Constants!$B$8,"",IF($BM115="-&gt;",$BW115,$BK115))</f>
        <v/>
      </c>
      <c r="CL115" s="135" t="str">
        <f aca="false">IF(ISBLANK($C115),"",IF($BZ115&lt;&gt;Constants!$B$8,$BZ115,IF(ISNUMBER($CK115),RANK($CK115,$CK$9:$CK$508,1),COUNT($CK$9:$CK$508)+1)))</f>
        <v/>
      </c>
      <c r="CM115" s="138" t="str">
        <f aca="false">IF($BZ115&lt;&gt;Constants!$B$8,"",IF(AND(NOT($AL115),NOT($AT115),$AJ115,$AK115,$AR115,$AS115),"",IF($BM115="-&gt;",$BX115,$BL115)))</f>
        <v/>
      </c>
      <c r="CN115" s="135" t="str">
        <f aca="false">IF(ISBLANK($C115),"",IF($BZ115&lt;&gt;Constants!$B$8,$BZ115,IF(ISNUMBER($CM115),RANK($CM115,$CM$9:$CM$508,1),COUNT($CM$9:$CM$508)+1)))</f>
        <v/>
      </c>
      <c r="CO115" s="135" t="str">
        <f aca="false">IF(ISBLANK($C115),"",IF($BZ115&lt;&gt;Constants!$B$8,$BZ115,COUNTIFS($CF$9:$CF$508,"&lt;"&amp;$CF115)+COUNTIFS($CF$9:$CF$508,$CF115,$CH$9:$CH$508,"&lt;"&amp;$CH115)+COUNTIFS($CF$9:$CF$508,$CF115,$CH$9:$CH$508,$CH115,$CJ$9:$CJ$508,"&lt;"&amp;$CJ115)+COUNTIFS($CF$9:$CF$508,$CF115,$CH$9:$CH$508,$CH115,$CJ$9:$CJ$508,$CJ115,$CL$9:$CL$508,"&lt;"&amp;$CL115)+COUNTIFS($CF$9:$CF$508,$CF115,$CH$9:$CH$508,$CH115,$CJ$9:$CJ$508,$CJ115,$CL$9:$CL$508,$CL115,$CN$9:$CN$508,"&lt;"&amp;$CN115)+1))</f>
        <v/>
      </c>
      <c r="CP115" s="135" t="str">
        <f aca="false">IF(ISBLANK($C115),"",IF($BZ115&lt;&gt;Constants!$B$8,$BZ115,$CF115-$CO115))</f>
        <v/>
      </c>
      <c r="CQ115" s="141"/>
      <c r="CR115" s="142"/>
      <c r="CS115" s="143" t="str">
        <f aca="false">IF(ISBLANK($C115),"",IF($BZ115=Constants!$B$12,$BY115,""))</f>
        <v/>
      </c>
      <c r="CT115" s="142" t="str">
        <f aca="false">IF(ISBLANK($C115),"",IF($BZ115&lt;&gt;Constants!$B$8,"",IF($BM115="-&gt;",2,1)))</f>
        <v/>
      </c>
      <c r="CU115" s="144" t="str">
        <f aca="false">IF(ISBLANK($C115),"",IF($BZ115&lt;&gt;Constants!$B$8,"",IF($BM115="-&gt;",$BO115,$BC115)))</f>
        <v/>
      </c>
      <c r="CV115" s="144" t="str">
        <f aca="false">IF(ISBLANK($C115),"",IF($BZ115&lt;&gt;Constants!$B$8,"",IF($BM115="-&gt;",$BP115,$BD115)))</f>
        <v/>
      </c>
      <c r="CW115" s="144" t="str">
        <f aca="false">IF(ISBLANK($C115),"",IF($BZ115&lt;&gt;Constants!$B$8,"",IF($BM115="-&gt;",$BQ115+$BR115,$BE115+$BF115)+$CD115))</f>
        <v/>
      </c>
      <c r="CX115" s="144" t="str">
        <f aca="false">IF(ISBLANK($C115),"",IF($BZ115&lt;&gt;Constants!$B$8,"",IF($BM115="-&gt;",$BS115,$BG115)+$CC115))</f>
        <v/>
      </c>
      <c r="CY115" s="145" t="str">
        <f aca="false">IF(ISBLANK($C115),"",IF($BZ115&lt;&gt;Constants!$B$8,$BZ115,$CE115))</f>
        <v/>
      </c>
      <c r="CZ115" s="146" t="str">
        <f aca="false">IF(ISBLANK($C115),"",$CA115)</f>
        <v/>
      </c>
      <c r="DA115" s="147" t="str">
        <f aca="false">IF(ISBLANK($C115),"",$CP115)</f>
        <v/>
      </c>
      <c r="DB115" s="147" t="str">
        <f aca="false">IF(ISBLANK($C115),"",$CO115)</f>
        <v/>
      </c>
      <c r="DC115" s="148" t="str">
        <f aca="false">IF(ISBLANK($C115),"",IFERROR(_xlfn.SWITCH($DB115,Constants!$B$11,COUNTA($C$9:$C$508)+2,Constants!$B$10,COUNTA($C$9:$C$508)+1,Constants!$B$9,COUNTA($C$9:$C$508)),$DB115))</f>
        <v/>
      </c>
      <c r="DD115" s="9"/>
      <c r="DE115" s="149" t="n">
        <f aca="false">IF(OR(ISNUMBER($DB115),$DB115=Constants!$B$11,$DB115=Constants!$B$9,$DB115=Constants!$B$10),1,0)</f>
        <v>0</v>
      </c>
      <c r="DF115" s="149" t="n">
        <v>107</v>
      </c>
      <c r="DG115" s="149" t="str">
        <f aca="false">IF(ISBLANK($C115),"",IF(ISNUMBER($DC115),$DC115+ROW($B115)/1000,""))</f>
        <v/>
      </c>
      <c r="DH115" s="149" t="str">
        <f aca="false">IF(ISNUMBER($DG115),RANK($DG115,$DG$9:$DG$508,1),"")</f>
        <v/>
      </c>
      <c r="DI115" s="149" t="str">
        <f aca="false">IF(ISBLANK($C115),"",$B115)</f>
        <v/>
      </c>
      <c r="DJ115" s="149" t="str">
        <f aca="false">IF(ISBLANK($C115),"",$C115)</f>
        <v/>
      </c>
      <c r="DK115" s="149" t="str">
        <f aca="false">IF(ISBLANK($C115),"",$D115)</f>
        <v/>
      </c>
      <c r="DL115" s="150" t="str">
        <f aca="false">$CZ115</f>
        <v/>
      </c>
      <c r="DM115" s="151" t="str">
        <f aca="false">$CY115</f>
        <v/>
      </c>
      <c r="DN115" s="149" t="str">
        <f aca="false">IF(ISBLANK($C115),"",$DB115)</f>
        <v/>
      </c>
      <c r="DO115" s="152" t="str">
        <f aca="false">IF($DF115&gt;$DE$8,"",VLOOKUP($DF115,$DH$9:$DN$508,7,FALSE()))</f>
        <v/>
      </c>
      <c r="DP115" s="153" t="str">
        <f aca="false">IF($DF115&gt;$DE$8,"",VLOOKUP($DF115,$DH$9:$DN$508,2,FALSE()))</f>
        <v/>
      </c>
      <c r="DQ115" s="153" t="str">
        <f aca="false">IF($DF115&gt;$DE$8,"",VLOOKUP($DF115,$DH$9:$DN$508,3,FALSE()))</f>
        <v/>
      </c>
      <c r="DR115" s="153" t="str">
        <f aca="false">IF($DF115&gt;$DE$8,"",VLOOKUP($DF115,$DH$9:$DN$508,4,FALSE()))</f>
        <v/>
      </c>
      <c r="DS115" s="153" t="str">
        <f aca="false">IF($DF115&gt;$DE$8,"",VLOOKUP($DF115,$DH$9:$DN$508,5,FALSE()))</f>
        <v/>
      </c>
      <c r="DT115" s="154" t="str">
        <f aca="false">IF($DF115&gt;$DE$8,"",VLOOKUP($DF115,$DH$9:$DN$508,6,FALSE()))</f>
        <v/>
      </c>
      <c r="DU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IF(ISBLANK($C116),"",IF(E116=Constants!$B$3,TRUE(),IF(E116=Constants!$B$4,FALSE(),TRUE())))</f>
        <v/>
      </c>
      <c r="AG116" s="135" t="str">
        <f aca="false">IF(ISBLANK($C116),"",IF(F116=Constants!$B$3,TRUE(),IF(F116=Constants!$B$4,FALSE(),TRUE())))</f>
        <v/>
      </c>
      <c r="AH116" s="135" t="str">
        <f aca="false">IF(ISBLANK($C116),"",IF(G116=Constants!$B$3,TRUE(),IF(G116=Constants!$B$4,FALSE(),TRUE())))</f>
        <v/>
      </c>
      <c r="AI116" s="135" t="str">
        <f aca="false">IF(ISBLANK($C116),"",IF(AND(ISNUMBER(H116),H116&gt;=0),H116,Constants!$B$29))</f>
        <v/>
      </c>
      <c r="AJ116" s="135" t="str">
        <f aca="false">IF(ISBLANK($C116),"",IF(I116=Constants!$B$3,TRUE(),IF(I116=Constants!$B$4,FALSE(),TRUE())))</f>
        <v/>
      </c>
      <c r="AK116" s="135" t="str">
        <f aca="false">IF(ISBLANK($C116),"",IF(J116=Constants!$B$3,TRUE(),IF(J116=Constants!$B$4,FALSE(),TRUE())))</f>
        <v/>
      </c>
      <c r="AL116" s="135" t="str">
        <f aca="false">IF(ISBLANK($C116),"",IF(K116=Constants!$B$5,TRUE(),IF(K116=Constants!$B$6,FALSE(),COUNTA(L116:P116)&gt;0)))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IF(ISBLANK($C116),"",IF(N116=Constants!$B$3,TRUE(),IF(N116=Constants!$B$4,FALSE(),TRUE())))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IF(ISBLANK($C116),"",IF(P116=Constants!$B$3,TRUE(),IF(P116=Constants!$B$4,FALSE(),FALSE())))</f>
        <v/>
      </c>
      <c r="AR116" s="135" t="str">
        <f aca="false">IF(ISBLANK($C116),"",IF(Q116=Constants!$B$3,TRUE(),IF(Q116=Constants!$B$4,FALSE(),TRUE())))</f>
        <v/>
      </c>
      <c r="AS116" s="135" t="str">
        <f aca="false">IF(ISBLANK($C116),"",IF(R116=Constants!$B$3,TRUE(),IF(R116=Constants!$B$4,FALSE(),TRUE())))</f>
        <v/>
      </c>
      <c r="AT116" s="135" t="str">
        <f aca="false">IF(ISBLANK($C116),"",IF(S116=Constants!$B$5,TRUE(),IF(S116=Constants!$B$6,FALSE(),COUNTA(T116:X116)&gt;0)))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IF(ISBLANK($C116),"",IF(V116=Constants!$B$3,TRUE(),IF(V116=Constants!$B$4,FALSE(),TRUE())))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IF(ISBLANK($C116),"",IF(X116=Constants!$B$3,TRUE(),IF(X116=Constants!$B$4,FALSE(),FALSE())))</f>
        <v/>
      </c>
      <c r="AZ116" s="135" t="str">
        <f aca="false">IF(ISBLANK($C116),"",MIN(Constants!$B$31,MAX(0,IF(ISNUMBER(Y116),Y116*60,0)+IF(ISNUMBER(Z116),Z116,0))))</f>
        <v/>
      </c>
      <c r="BA116" s="135" t="str">
        <f aca="false">IF(ISBLANK($C116),"",IF(AA116=Constants!$B$3,TRUE(),IF(AA116=Constants!$B$4,FALSE(),FALSE())))</f>
        <v/>
      </c>
      <c r="BB116" s="134" t="str">
        <f aca="false">IF(ISBLANK($C116),"",AND($AL116,OR($AM116="",$AN116="",AND($AO116,$AP116=""))))</f>
        <v/>
      </c>
      <c r="BC116" s="137" t="str">
        <f aca="false">IF($BZ116&lt;&gt;Constants!$B$8,"",IF($AL116,Constants!$B$21*$AN116+Constants!$B$22*IF($AO116,$AP116,Constants!$B$23),Constants!$B$24))</f>
        <v/>
      </c>
      <c r="BD116" s="138" t="str">
        <f aca="false">IF($BZ116&lt;&gt;Constants!$B$8,"",Constants!$B$25*ABS($AD$9-IF($AL116,$AM116,0)))</f>
        <v/>
      </c>
      <c r="BE116" s="138" t="str">
        <f aca="false">IF($BZ116&lt;&gt;Constants!$B$8,"",IF(AND($AL116,$AQ116,$AO116),Constants!$B$27,0))</f>
        <v/>
      </c>
      <c r="BF116" s="138" t="str">
        <f aca="false">IF($BZ116&lt;&gt;Constants!$B$8,"",IF($AL116,($AI116-Constants!$B$29)*Constants!$B$28,0))</f>
        <v/>
      </c>
      <c r="BG116" s="138" t="str">
        <f aca="false">IF($BZ116&lt;&gt;Constants!$B$8,"",IF($AK116,0,Constants!$B$15)+IF($AJ116,0,Constants!$B$16)+IF($AH116,0,Constants!$B$17))</f>
        <v/>
      </c>
      <c r="BH116" s="139" t="str">
        <f aca="false">IF($BZ116&lt;&gt;Constants!$B$8,"",Constants!$B$20+SUM($BC116:$BG116))</f>
        <v/>
      </c>
      <c r="BI116" s="138" t="str">
        <f aca="false">IF($BZ116&lt;&gt;Constants!$B$8,"",$BC116)</f>
        <v/>
      </c>
      <c r="BJ116" s="138" t="str">
        <f aca="false">IF($BZ116&lt;&gt;Constants!$B$8,"",$BD116)</f>
        <v/>
      </c>
      <c r="BK116" s="138" t="str">
        <f aca="false">IF($BZ116&lt;&gt;Constants!$B$8,"",IF($AL116,$AN116,""))</f>
        <v/>
      </c>
      <c r="BL116" s="140" t="str">
        <f aca="false">IF($BZ116&lt;&gt;Constants!$B$8,"",$AI116)</f>
        <v/>
      </c>
      <c r="BM116" s="135" t="str">
        <f aca="false">IF($BZ116&lt;&gt;Constants!$B$8,"",IF(OR($BT116&lt;$BH116,AND($BT116=$BH116,OR($BU116&lt;$BI116,AND($BU116=$BI116,OR($BV116&lt;$BJ116,AND($BV116=$BJ116,OR(AND(ISNUMBER($BW116),OR(NOT(ISNUMBER($BK116)),$BW116&lt;$BK116)),AND(OR(AND($BW116="",$BK116=""),AND(ISNUMBER($BW116),ISNUMBER($BK116),$BW116=$BK116)),$BX116&lt;$BL116)))))))),"-&gt;","&lt;-"))</f>
        <v/>
      </c>
      <c r="BN116" s="134" t="str">
        <f aca="false">IF(ISBLANK($C116),"",AND($AT116,OR($AU116="",$AV116="",AND($AW116,$AX116=""))))</f>
        <v/>
      </c>
      <c r="BO116" s="137" t="str">
        <f aca="false">IF($BZ116&lt;&gt;Constants!$B$8,"",IF($AT116,Constants!$B$21*$AV116+Constants!$B$22*IF($AW116,$AX116,Constants!$B$23),Constants!$B$24))</f>
        <v/>
      </c>
      <c r="BP116" s="138" t="str">
        <f aca="false">IF($BZ116&lt;&gt;Constants!$B$8,"",Constants!$B$25*ABS($AD$9-IF($AT116,$AU116,0)))</f>
        <v/>
      </c>
      <c r="BQ116" s="138" t="str">
        <f aca="false">IF($BZ116&lt;&gt;Constants!$B$8,"",IF(AND($AT116,$AY116,$AW116),Constants!$B$27,0))</f>
        <v/>
      </c>
      <c r="BR116" s="138" t="str">
        <f aca="false">IF($BZ116&lt;&gt;Constants!$B$8,"",IF($AT116,($AI116-Constants!$B$29)*Constants!$B$28,0))</f>
        <v/>
      </c>
      <c r="BS116" s="138" t="str">
        <f aca="false">IF($BZ116&lt;&gt;Constants!$B$8,"",IF($AS116,0,Constants!$B$15)+IF($AR116,0,Constants!$B$16)+IF($AH116,0,Constants!$B$17))</f>
        <v/>
      </c>
      <c r="BT116" s="139" t="str">
        <f aca="false">IF($BZ116&lt;&gt;Constants!$B$8,"",Constants!$B$20+SUM($BO116:$BS116))</f>
        <v/>
      </c>
      <c r="BU116" s="138" t="str">
        <f aca="false">IF($BZ116&lt;&gt;Constants!$B$8,"",$BO116)</f>
        <v/>
      </c>
      <c r="BV116" s="138" t="str">
        <f aca="false">IF($BZ116&lt;&gt;Constants!$B$8,"",$BP116)</f>
        <v/>
      </c>
      <c r="BW116" s="138" t="str">
        <f aca="false">IF($BZ116&lt;&gt;Constants!$B$8,"",IF($AT116,$AV116,""))</f>
        <v/>
      </c>
      <c r="BX116" s="140" t="str">
        <f aca="false">IF($BZ116&lt;&gt;Constants!$B$8,"",$AI116)</f>
        <v/>
      </c>
      <c r="BY116" s="135" t="str">
        <f aca="false">IF(ISBLANK($C116),"",IF(ISBLANK($D$7),$BY$5,IF(NOT(ISNUMBER($D$7)),$BY$6,"")))</f>
        <v/>
      </c>
      <c r="BZ116" s="135" t="str">
        <f aca="false">IF(ISBLANK($C116),"",IF($BA116,Constants!$B$11,IF(COUNTA($E116:$AA116)=0,Constants!$B$10,IF(NOT($AG116),Constants!$B$9,IF(OR($BY116&lt;&gt;"",$BB116,$BN116),Constants!$B$12,Constants!$B$8)))))</f>
        <v/>
      </c>
      <c r="CA116" s="135" t="str">
        <f aca="false">IF(ISBLANK($C116),"",IF($BZ116&lt;&gt;Constants!$B$8,$BZ116,Constants!$B$13))</f>
        <v/>
      </c>
      <c r="CB116" s="138" t="str">
        <f aca="false">IF($BZ116&lt;&gt;Constants!$B$8,"",IF($BM116="-&gt;",$BT116,$BH116))</f>
        <v/>
      </c>
      <c r="CC116" s="138" t="str">
        <f aca="false">IF($BZ116&lt;&gt;Constants!$B$8,"",IF($AF116,0,Constants!$B$18))</f>
        <v/>
      </c>
      <c r="CD116" s="138" t="str">
        <f aca="false">IF($BZ116&lt;&gt;Constants!$B$8,"",((Constants!$B$31-$AZ116)-Constants!$B$31)/Constants!$B$32)</f>
        <v/>
      </c>
      <c r="CE116" s="138" t="str">
        <f aca="false">IF(ISBLANK($C116),"",IF($BZ116&lt;&gt;Constants!$B$8,$BZ116,SUM($CB116:$CD116)))</f>
        <v/>
      </c>
      <c r="CF116" s="135" t="str">
        <f aca="false">IF(ISBLANK($C116),"",IF($BZ116&lt;&gt;Constants!$B$8,$BZ116,RANK($CE116,$CE$9:$CE$508,1)))</f>
        <v/>
      </c>
      <c r="CG116" s="138" t="str">
        <f aca="false">IF($BZ116&lt;&gt;Constants!$B$8,"",IF($BM116="-&gt;",$BU116,$BI116))</f>
        <v/>
      </c>
      <c r="CH116" s="135" t="str">
        <f aca="false">IF(ISBLANK($C116),"",IF($BZ116&lt;&gt;Constants!$B$8,$BZ116,IF(ISNUMBER($CG116),RANK($CG116,$CG$9:$CG$508,1),COUNT($CG$9:$CG$508)+1)))</f>
        <v/>
      </c>
      <c r="CI116" s="138" t="str">
        <f aca="false">IF($BZ116&lt;&gt;Constants!$B$8,"",IF($BM116="-&gt;",$BV116,$BJ116))</f>
        <v/>
      </c>
      <c r="CJ116" s="135" t="str">
        <f aca="false">IF(ISBLANK($C116),"",IF($BZ116&lt;&gt;Constants!$B$8,$BZ116,IF(ISNUMBER($CI116),RANK($CI116,$CI$9:$CI$508,1),COUNT($CI$9:$CI$508)+1)))</f>
        <v/>
      </c>
      <c r="CK116" s="138" t="str">
        <f aca="false">IF($BZ116&lt;&gt;Constants!$B$8,"",IF($BM116="-&gt;",$BW116,$BK116))</f>
        <v/>
      </c>
      <c r="CL116" s="135" t="str">
        <f aca="false">IF(ISBLANK($C116),"",IF($BZ116&lt;&gt;Constants!$B$8,$BZ116,IF(ISNUMBER($CK116),RANK($CK116,$CK$9:$CK$508,1),COUNT($CK$9:$CK$508)+1)))</f>
        <v/>
      </c>
      <c r="CM116" s="138" t="str">
        <f aca="false">IF($BZ116&lt;&gt;Constants!$B$8,"",IF(AND(NOT($AL116),NOT($AT116),$AJ116,$AK116,$AR116,$AS116),"",IF($BM116="-&gt;",$BX116,$BL116)))</f>
        <v/>
      </c>
      <c r="CN116" s="135" t="str">
        <f aca="false">IF(ISBLANK($C116),"",IF($BZ116&lt;&gt;Constants!$B$8,$BZ116,IF(ISNUMBER($CM116),RANK($CM116,$CM$9:$CM$508,1),COUNT($CM$9:$CM$508)+1)))</f>
        <v/>
      </c>
      <c r="CO116" s="135" t="str">
        <f aca="false">IF(ISBLANK($C116),"",IF($BZ116&lt;&gt;Constants!$B$8,$BZ116,COUNTIFS($CF$9:$CF$508,"&lt;"&amp;$CF116)+COUNTIFS($CF$9:$CF$508,$CF116,$CH$9:$CH$508,"&lt;"&amp;$CH116)+COUNTIFS($CF$9:$CF$508,$CF116,$CH$9:$CH$508,$CH116,$CJ$9:$CJ$508,"&lt;"&amp;$CJ116)+COUNTIFS($CF$9:$CF$508,$CF116,$CH$9:$CH$508,$CH116,$CJ$9:$CJ$508,$CJ116,$CL$9:$CL$508,"&lt;"&amp;$CL116)+COUNTIFS($CF$9:$CF$508,$CF116,$CH$9:$CH$508,$CH116,$CJ$9:$CJ$508,$CJ116,$CL$9:$CL$508,$CL116,$CN$9:$CN$508,"&lt;"&amp;$CN116)+1))</f>
        <v/>
      </c>
      <c r="CP116" s="135" t="str">
        <f aca="false">IF(ISBLANK($C116),"",IF($BZ116&lt;&gt;Constants!$B$8,$BZ116,$CF116-$CO116))</f>
        <v/>
      </c>
      <c r="CQ116" s="141"/>
      <c r="CR116" s="142"/>
      <c r="CS116" s="143" t="str">
        <f aca="false">IF(ISBLANK($C116),"",IF($BZ116=Constants!$B$12,$BY116,""))</f>
        <v/>
      </c>
      <c r="CT116" s="142" t="str">
        <f aca="false">IF(ISBLANK($C116),"",IF($BZ116&lt;&gt;Constants!$B$8,"",IF($BM116="-&gt;",2,1)))</f>
        <v/>
      </c>
      <c r="CU116" s="144" t="str">
        <f aca="false">IF(ISBLANK($C116),"",IF($BZ116&lt;&gt;Constants!$B$8,"",IF($BM116="-&gt;",$BO116,$BC116)))</f>
        <v/>
      </c>
      <c r="CV116" s="144" t="str">
        <f aca="false">IF(ISBLANK($C116),"",IF($BZ116&lt;&gt;Constants!$B$8,"",IF($BM116="-&gt;",$BP116,$BD116)))</f>
        <v/>
      </c>
      <c r="CW116" s="144" t="str">
        <f aca="false">IF(ISBLANK($C116),"",IF($BZ116&lt;&gt;Constants!$B$8,"",IF($BM116="-&gt;",$BQ116+$BR116,$BE116+$BF116)+$CD116))</f>
        <v/>
      </c>
      <c r="CX116" s="144" t="str">
        <f aca="false">IF(ISBLANK($C116),"",IF($BZ116&lt;&gt;Constants!$B$8,"",IF($BM116="-&gt;",$BS116,$BG116)+$CC116))</f>
        <v/>
      </c>
      <c r="CY116" s="145" t="str">
        <f aca="false">IF(ISBLANK($C116),"",IF($BZ116&lt;&gt;Constants!$B$8,$BZ116,$CE116))</f>
        <v/>
      </c>
      <c r="CZ116" s="146" t="str">
        <f aca="false">IF(ISBLANK($C116),"",$CA116)</f>
        <v/>
      </c>
      <c r="DA116" s="147" t="str">
        <f aca="false">IF(ISBLANK($C116),"",$CP116)</f>
        <v/>
      </c>
      <c r="DB116" s="147" t="str">
        <f aca="false">IF(ISBLANK($C116),"",$CO116)</f>
        <v/>
      </c>
      <c r="DC116" s="148" t="str">
        <f aca="false">IF(ISBLANK($C116),"",IFERROR(_xlfn.SWITCH($DB116,Constants!$B$11,COUNTA($C$9:$C$508)+2,Constants!$B$10,COUNTA($C$9:$C$508)+1,Constants!$B$9,COUNTA($C$9:$C$508)),$DB116))</f>
        <v/>
      </c>
      <c r="DD116" s="9"/>
      <c r="DE116" s="149" t="n">
        <f aca="false">IF(OR(ISNUMBER($DB116),$DB116=Constants!$B$11,$DB116=Constants!$B$9,$DB116=Constants!$B$10),1,0)</f>
        <v>0</v>
      </c>
      <c r="DF116" s="149" t="n">
        <v>108</v>
      </c>
      <c r="DG116" s="149" t="str">
        <f aca="false">IF(ISBLANK($C116),"",IF(ISNUMBER($DC116),$DC116+ROW($B116)/1000,""))</f>
        <v/>
      </c>
      <c r="DH116" s="149" t="str">
        <f aca="false">IF(ISNUMBER($DG116),RANK($DG116,$DG$9:$DG$508,1),"")</f>
        <v/>
      </c>
      <c r="DI116" s="149" t="str">
        <f aca="false">IF(ISBLANK($C116),"",$B116)</f>
        <v/>
      </c>
      <c r="DJ116" s="149" t="str">
        <f aca="false">IF(ISBLANK($C116),"",$C116)</f>
        <v/>
      </c>
      <c r="DK116" s="149" t="str">
        <f aca="false">IF(ISBLANK($C116),"",$D116)</f>
        <v/>
      </c>
      <c r="DL116" s="150" t="str">
        <f aca="false">$CZ116</f>
        <v/>
      </c>
      <c r="DM116" s="151" t="str">
        <f aca="false">$CY116</f>
        <v/>
      </c>
      <c r="DN116" s="149" t="str">
        <f aca="false">IF(ISBLANK($C116),"",$DB116)</f>
        <v/>
      </c>
      <c r="DO116" s="152" t="str">
        <f aca="false">IF($DF116&gt;$DE$8,"",VLOOKUP($DF116,$DH$9:$DN$508,7,FALSE()))</f>
        <v/>
      </c>
      <c r="DP116" s="153" t="str">
        <f aca="false">IF($DF116&gt;$DE$8,"",VLOOKUP($DF116,$DH$9:$DN$508,2,FALSE()))</f>
        <v/>
      </c>
      <c r="DQ116" s="153" t="str">
        <f aca="false">IF($DF116&gt;$DE$8,"",VLOOKUP($DF116,$DH$9:$DN$508,3,FALSE()))</f>
        <v/>
      </c>
      <c r="DR116" s="153" t="str">
        <f aca="false">IF($DF116&gt;$DE$8,"",VLOOKUP($DF116,$DH$9:$DN$508,4,FALSE()))</f>
        <v/>
      </c>
      <c r="DS116" s="153" t="str">
        <f aca="false">IF($DF116&gt;$DE$8,"",VLOOKUP($DF116,$DH$9:$DN$508,5,FALSE()))</f>
        <v/>
      </c>
      <c r="DT116" s="154" t="str">
        <f aca="false">IF($DF116&gt;$DE$8,"",VLOOKUP($DF116,$DH$9:$DN$508,6,FALSE()))</f>
        <v/>
      </c>
      <c r="DU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IF(ISBLANK($C117),"",IF(E117=Constants!$B$3,TRUE(),IF(E117=Constants!$B$4,FALSE(),TRUE())))</f>
        <v/>
      </c>
      <c r="AG117" s="93" t="str">
        <f aca="false">IF(ISBLANK($C117),"",IF(F117=Constants!$B$3,TRUE(),IF(F117=Constants!$B$4,FALSE(),TRUE())))</f>
        <v/>
      </c>
      <c r="AH117" s="93" t="str">
        <f aca="false">IF(ISBLANK($C117),"",IF(G117=Constants!$B$3,TRUE(),IF(G117=Constants!$B$4,FALSE(),TRUE())))</f>
        <v/>
      </c>
      <c r="AI117" s="93" t="str">
        <f aca="false">IF(ISBLANK($C117),"",IF(AND(ISNUMBER(H117),H117&gt;=0),H117,Constants!$B$29))</f>
        <v/>
      </c>
      <c r="AJ117" s="93" t="str">
        <f aca="false">IF(ISBLANK($C117),"",IF(I117=Constants!$B$3,TRUE(),IF(I117=Constants!$B$4,FALSE(),TRUE())))</f>
        <v/>
      </c>
      <c r="AK117" s="93" t="str">
        <f aca="false">IF(ISBLANK($C117),"",IF(J117=Constants!$B$3,TRUE(),IF(J117=Constants!$B$4,FALSE(),TRUE())))</f>
        <v/>
      </c>
      <c r="AL117" s="93" t="str">
        <f aca="false">IF(ISBLANK($C117),"",IF(K117=Constants!$B$5,TRUE(),IF(K117=Constants!$B$6,FALSE(),COUNTA(L117:P117)&gt;0)))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IF(ISBLANK($C117),"",IF(N117=Constants!$B$3,TRUE(),IF(N117=Constants!$B$4,FALSE(),TRUE())))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IF(ISBLANK($C117),"",IF(P117=Constants!$B$3,TRUE(),IF(P117=Constants!$B$4,FALSE(),FALSE())))</f>
        <v/>
      </c>
      <c r="AR117" s="93" t="str">
        <f aca="false">IF(ISBLANK($C117),"",IF(Q117=Constants!$B$3,TRUE(),IF(Q117=Constants!$B$4,FALSE(),TRUE())))</f>
        <v/>
      </c>
      <c r="AS117" s="93" t="str">
        <f aca="false">IF(ISBLANK($C117),"",IF(R117=Constants!$B$3,TRUE(),IF(R117=Constants!$B$4,FALSE(),TRUE())))</f>
        <v/>
      </c>
      <c r="AT117" s="93" t="str">
        <f aca="false">IF(ISBLANK($C117),"",IF(S117=Constants!$B$5,TRUE(),IF(S117=Constants!$B$6,FALSE(),COUNTA(T117:X117)&gt;0)))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IF(ISBLANK($C117),"",IF(V117=Constants!$B$3,TRUE(),IF(V117=Constants!$B$4,FALSE(),TRUE())))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IF(ISBLANK($C117),"",IF(X117=Constants!$B$3,TRUE(),IF(X117=Constants!$B$4,FALSE(),FALSE())))</f>
        <v/>
      </c>
      <c r="AZ117" s="93" t="str">
        <f aca="false">IF(ISBLANK($C117),"",MIN(Constants!$B$31,MAX(0,IF(ISNUMBER(Y117),Y117*60,0)+IF(ISNUMBER(Z117),Z117,0))))</f>
        <v/>
      </c>
      <c r="BA117" s="93" t="str">
        <f aca="false">IF(ISBLANK($C117),"",IF(AA117=Constants!$B$3,TRUE(),IF(AA117=Constants!$B$4,FALSE(),FALSE())))</f>
        <v/>
      </c>
      <c r="BB117" s="92" t="str">
        <f aca="false">IF(ISBLANK($C117),"",AND($AL117,OR($AM117="",$AN117="",AND($AO117,$AP117=""))))</f>
        <v/>
      </c>
      <c r="BC117" s="94" t="str">
        <f aca="false">IF($BZ117&lt;&gt;Constants!$B$8,"",IF($AL117,Constants!$B$21*$AN117+Constants!$B$22*IF($AO117,$AP117,Constants!$B$23),Constants!$B$24))</f>
        <v/>
      </c>
      <c r="BD117" s="97" t="str">
        <f aca="false">IF($BZ117&lt;&gt;Constants!$B$8,"",Constants!$B$25*ABS($AD$9-IF($AL117,$AM117,0)))</f>
        <v/>
      </c>
      <c r="BE117" s="97" t="str">
        <f aca="false">IF($BZ117&lt;&gt;Constants!$B$8,"",IF(AND($AL117,$AQ117,$AO117),Constants!$B$27,0))</f>
        <v/>
      </c>
      <c r="BF117" s="97" t="str">
        <f aca="false">IF($BZ117&lt;&gt;Constants!$B$8,"",IF($AL117,($AI117-Constants!$B$29)*Constants!$B$28,0))</f>
        <v/>
      </c>
      <c r="BG117" s="97" t="str">
        <f aca="false">IF($BZ117&lt;&gt;Constants!$B$8,"",IF($AK117,0,Constants!$B$15)+IF($AJ117,0,Constants!$B$16)+IF($AH117,0,Constants!$B$17))</f>
        <v/>
      </c>
      <c r="BH117" s="98" t="str">
        <f aca="false">IF($BZ117&lt;&gt;Constants!$B$8,"",Constants!$B$20+SUM($BC117:$BG117))</f>
        <v/>
      </c>
      <c r="BI117" s="97" t="str">
        <f aca="false">IF($BZ117&lt;&gt;Constants!$B$8,"",$BC117)</f>
        <v/>
      </c>
      <c r="BJ117" s="97" t="str">
        <f aca="false">IF($BZ117&lt;&gt;Constants!$B$8,"",$BD117)</f>
        <v/>
      </c>
      <c r="BK117" s="97" t="str">
        <f aca="false">IF($BZ117&lt;&gt;Constants!$B$8,"",IF($AL117,$AN117,""))</f>
        <v/>
      </c>
      <c r="BL117" s="99" t="str">
        <f aca="false">IF($BZ117&lt;&gt;Constants!$B$8,"",$AI117)</f>
        <v/>
      </c>
      <c r="BM117" s="93" t="str">
        <f aca="false">IF($BZ117&lt;&gt;Constants!$B$8,"",IF(OR($BT117&lt;$BH117,AND($BT117=$BH117,OR($BU117&lt;$BI117,AND($BU117=$BI117,OR($BV117&lt;$BJ117,AND($BV117=$BJ117,OR(AND(ISNUMBER($BW117),OR(NOT(ISNUMBER($BK117)),$BW117&lt;$BK117)),AND(OR(AND($BW117="",$BK117=""),AND(ISNUMBER($BW117),ISNUMBER($BK117),$BW117=$BK117)),$BX117&lt;$BL117)))))))),"-&gt;","&lt;-"))</f>
        <v/>
      </c>
      <c r="BN117" s="92" t="str">
        <f aca="false">IF(ISBLANK($C117),"",AND($AT117,OR($AU117="",$AV117="",AND($AW117,$AX117=""))))</f>
        <v/>
      </c>
      <c r="BO117" s="94" t="str">
        <f aca="false">IF($BZ117&lt;&gt;Constants!$B$8,"",IF($AT117,Constants!$B$21*$AV117+Constants!$B$22*IF($AW117,$AX117,Constants!$B$23),Constants!$B$24))</f>
        <v/>
      </c>
      <c r="BP117" s="97" t="str">
        <f aca="false">IF($BZ117&lt;&gt;Constants!$B$8,"",Constants!$B$25*ABS($AD$9-IF($AT117,$AU117,0)))</f>
        <v/>
      </c>
      <c r="BQ117" s="97" t="str">
        <f aca="false">IF($BZ117&lt;&gt;Constants!$B$8,"",IF(AND($AT117,$AY117,$AW117),Constants!$B$27,0))</f>
        <v/>
      </c>
      <c r="BR117" s="97" t="str">
        <f aca="false">IF($BZ117&lt;&gt;Constants!$B$8,"",IF($AT117,($AI117-Constants!$B$29)*Constants!$B$28,0))</f>
        <v/>
      </c>
      <c r="BS117" s="97" t="str">
        <f aca="false">IF($BZ117&lt;&gt;Constants!$B$8,"",IF($AS117,0,Constants!$B$15)+IF($AR117,0,Constants!$B$16)+IF($AH117,0,Constants!$B$17))</f>
        <v/>
      </c>
      <c r="BT117" s="98" t="str">
        <f aca="false">IF($BZ117&lt;&gt;Constants!$B$8,"",Constants!$B$20+SUM($BO117:$BS117))</f>
        <v/>
      </c>
      <c r="BU117" s="97" t="str">
        <f aca="false">IF($BZ117&lt;&gt;Constants!$B$8,"",$BO117)</f>
        <v/>
      </c>
      <c r="BV117" s="97" t="str">
        <f aca="false">IF($BZ117&lt;&gt;Constants!$B$8,"",$BP117)</f>
        <v/>
      </c>
      <c r="BW117" s="97" t="str">
        <f aca="false">IF($BZ117&lt;&gt;Constants!$B$8,"",IF($AT117,$AV117,""))</f>
        <v/>
      </c>
      <c r="BX117" s="99" t="str">
        <f aca="false">IF($BZ117&lt;&gt;Constants!$B$8,"",$AI117)</f>
        <v/>
      </c>
      <c r="BY117" s="93" t="str">
        <f aca="false">IF(ISBLANK($C117),"",IF(ISBLANK($D$7),$BY$5,IF(NOT(ISNUMBER($D$7)),$BY$6,"")))</f>
        <v/>
      </c>
      <c r="BZ117" s="93" t="str">
        <f aca="false">IF(ISBLANK($C117),"",IF($BA117,Constants!$B$11,IF(COUNTA($E117:$AA117)=0,Constants!$B$10,IF(NOT($AG117),Constants!$B$9,IF(OR($BY117&lt;&gt;"",$BB117,$BN117),Constants!$B$12,Constants!$B$8)))))</f>
        <v/>
      </c>
      <c r="CA117" s="93" t="str">
        <f aca="false">IF(ISBLANK($C117),"",IF($BZ117&lt;&gt;Constants!$B$8,$BZ117,Constants!$B$13))</f>
        <v/>
      </c>
      <c r="CB117" s="97" t="str">
        <f aca="false">IF($BZ117&lt;&gt;Constants!$B$8,"",IF($BM117="-&gt;",$BT117,$BH117))</f>
        <v/>
      </c>
      <c r="CC117" s="97" t="str">
        <f aca="false">IF($BZ117&lt;&gt;Constants!$B$8,"",IF($AF117,0,Constants!$B$18))</f>
        <v/>
      </c>
      <c r="CD117" s="97" t="str">
        <f aca="false">IF($BZ117&lt;&gt;Constants!$B$8,"",((Constants!$B$31-$AZ117)-Constants!$B$31)/Constants!$B$32)</f>
        <v/>
      </c>
      <c r="CE117" s="97" t="str">
        <f aca="false">IF(ISBLANK($C117),"",IF($BZ117&lt;&gt;Constants!$B$8,$BZ117,SUM($CB117:$CD117)))</f>
        <v/>
      </c>
      <c r="CF117" s="93" t="str">
        <f aca="false">IF(ISBLANK($C117),"",IF($BZ117&lt;&gt;Constants!$B$8,$BZ117,RANK($CE117,$CE$9:$CE$508,1)))</f>
        <v/>
      </c>
      <c r="CG117" s="97" t="str">
        <f aca="false">IF($BZ117&lt;&gt;Constants!$B$8,"",IF($BM117="-&gt;",$BU117,$BI117))</f>
        <v/>
      </c>
      <c r="CH117" s="93" t="str">
        <f aca="false">IF(ISBLANK($C117),"",IF($BZ117&lt;&gt;Constants!$B$8,$BZ117,IF(ISNUMBER($CG117),RANK($CG117,$CG$9:$CG$508,1),COUNT($CG$9:$CG$508)+1)))</f>
        <v/>
      </c>
      <c r="CI117" s="97" t="str">
        <f aca="false">IF($BZ117&lt;&gt;Constants!$B$8,"",IF($BM117="-&gt;",$BV117,$BJ117))</f>
        <v/>
      </c>
      <c r="CJ117" s="93" t="str">
        <f aca="false">IF(ISBLANK($C117),"",IF($BZ117&lt;&gt;Constants!$B$8,$BZ117,IF(ISNUMBER($CI117),RANK($CI117,$CI$9:$CI$508,1),COUNT($CI$9:$CI$508)+1)))</f>
        <v/>
      </c>
      <c r="CK117" s="97" t="str">
        <f aca="false">IF($BZ117&lt;&gt;Constants!$B$8,"",IF($BM117="-&gt;",$BW117,$BK117))</f>
        <v/>
      </c>
      <c r="CL117" s="93" t="str">
        <f aca="false">IF(ISBLANK($C117),"",IF($BZ117&lt;&gt;Constants!$B$8,$BZ117,IF(ISNUMBER($CK117),RANK($CK117,$CK$9:$CK$508,1),COUNT($CK$9:$CK$508)+1)))</f>
        <v/>
      </c>
      <c r="CM117" s="97" t="str">
        <f aca="false">IF($BZ117&lt;&gt;Constants!$B$8,"",IF(AND(NOT($AL117),NOT($AT117),$AJ117,$AK117,$AR117,$AS117),"",IF($BM117="-&gt;",$BX117,$BL117)))</f>
        <v/>
      </c>
      <c r="CN117" s="93" t="str">
        <f aca="false">IF(ISBLANK($C117),"",IF($BZ117&lt;&gt;Constants!$B$8,$BZ117,IF(ISNUMBER($CM117),RANK($CM117,$CM$9:$CM$508,1),COUNT($CM$9:$CM$508)+1)))</f>
        <v/>
      </c>
      <c r="CO117" s="93" t="str">
        <f aca="false">IF(ISBLANK($C117),"",IF($BZ117&lt;&gt;Constants!$B$8,$BZ117,COUNTIFS($CF$9:$CF$508,"&lt;"&amp;$CF117)+COUNTIFS($CF$9:$CF$508,$CF117,$CH$9:$CH$508,"&lt;"&amp;$CH117)+COUNTIFS($CF$9:$CF$508,$CF117,$CH$9:$CH$508,$CH117,$CJ$9:$CJ$508,"&lt;"&amp;$CJ117)+COUNTIFS($CF$9:$CF$508,$CF117,$CH$9:$CH$508,$CH117,$CJ$9:$CJ$508,$CJ117,$CL$9:$CL$508,"&lt;"&amp;$CL117)+COUNTIFS($CF$9:$CF$508,$CF117,$CH$9:$CH$508,$CH117,$CJ$9:$CJ$508,$CJ117,$CL$9:$CL$508,$CL117,$CN$9:$CN$508,"&lt;"&amp;$CN117)+1))</f>
        <v/>
      </c>
      <c r="CP117" s="93" t="str">
        <f aca="false">IF(ISBLANK($C117),"",IF($BZ117&lt;&gt;Constants!$B$8,$BZ117,$CF117-$CO117))</f>
        <v/>
      </c>
      <c r="CQ117" s="100"/>
      <c r="CR117" s="101"/>
      <c r="CS117" s="102" t="str">
        <f aca="false">IF(ISBLANK($C117),"",IF($BZ117=Constants!$B$12,$BY117,""))</f>
        <v/>
      </c>
      <c r="CT117" s="101" t="str">
        <f aca="false">IF(ISBLANK($C117),"",IF($BZ117&lt;&gt;Constants!$B$8,"",IF($BM117="-&gt;",2,1)))</f>
        <v/>
      </c>
      <c r="CU117" s="103" t="str">
        <f aca="false">IF(ISBLANK($C117),"",IF($BZ117&lt;&gt;Constants!$B$8,"",IF($BM117="-&gt;",$BO117,$BC117)))</f>
        <v/>
      </c>
      <c r="CV117" s="103" t="str">
        <f aca="false">IF(ISBLANK($C117),"",IF($BZ117&lt;&gt;Constants!$B$8,"",IF($BM117="-&gt;",$BP117,$BD117)))</f>
        <v/>
      </c>
      <c r="CW117" s="103" t="str">
        <f aca="false">IF(ISBLANK($C117),"",IF($BZ117&lt;&gt;Constants!$B$8,"",IF($BM117="-&gt;",$BQ117+$BR117,$BE117+$BF117)+$CD117))</f>
        <v/>
      </c>
      <c r="CX117" s="103" t="str">
        <f aca="false">IF(ISBLANK($C117),"",IF($BZ117&lt;&gt;Constants!$B$8,"",IF($BM117="-&gt;",$BS117,$BG117)+$CC117))</f>
        <v/>
      </c>
      <c r="CY117" s="104" t="str">
        <f aca="false">IF(ISBLANK($C117),"",IF($BZ117&lt;&gt;Constants!$B$8,$BZ117,$CE117))</f>
        <v/>
      </c>
      <c r="CZ117" s="105" t="str">
        <f aca="false">IF(ISBLANK($C117),"",$CA117)</f>
        <v/>
      </c>
      <c r="DA117" s="106" t="str">
        <f aca="false">IF(ISBLANK($C117),"",$CP117)</f>
        <v/>
      </c>
      <c r="DB117" s="106" t="str">
        <f aca="false">IF(ISBLANK($C117),"",$CO117)</f>
        <v/>
      </c>
      <c r="DC117" s="107" t="str">
        <f aca="false">IF(ISBLANK($C117),"",IFERROR(_xlfn.SWITCH($DB117,Constants!$B$11,COUNTA($C$9:$C$508)+2,Constants!$B$10,COUNTA($C$9:$C$508)+1,Constants!$B$9,COUNTA($C$9:$C$508)),$DB117))</f>
        <v/>
      </c>
      <c r="DD117" s="9"/>
      <c r="DE117" s="108" t="n">
        <f aca="false">IF(OR(ISNUMBER($DB117),$DB117=Constants!$B$11,$DB117=Constants!$B$9,$DB117=Constants!$B$10),1,0)</f>
        <v>0</v>
      </c>
      <c r="DF117" s="108" t="n">
        <v>109</v>
      </c>
      <c r="DG117" s="108" t="str">
        <f aca="false">IF(ISBLANK($C117),"",IF(ISNUMBER($DC117),$DC117+ROW($B117)/1000,""))</f>
        <v/>
      </c>
      <c r="DH117" s="108" t="str">
        <f aca="false">IF(ISNUMBER($DG117),RANK($DG117,$DG$9:$DG$508,1),"")</f>
        <v/>
      </c>
      <c r="DI117" s="108" t="str">
        <f aca="false">IF(ISBLANK($C117),"",$B117)</f>
        <v/>
      </c>
      <c r="DJ117" s="108" t="str">
        <f aca="false">IF(ISBLANK($C117),"",$C117)</f>
        <v/>
      </c>
      <c r="DK117" s="108" t="str">
        <f aca="false">IF(ISBLANK($C117),"",$D117)</f>
        <v/>
      </c>
      <c r="DL117" s="109" t="str">
        <f aca="false">$CZ117</f>
        <v/>
      </c>
      <c r="DM117" s="110" t="str">
        <f aca="false">$CY117</f>
        <v/>
      </c>
      <c r="DN117" s="108" t="str">
        <f aca="false">IF(ISBLANK($C117),"",$DB117)</f>
        <v/>
      </c>
      <c r="DO117" s="111" t="str">
        <f aca="false">IF($DF117&gt;$DE$8,"",VLOOKUP($DF117,$DH$9:$DN$508,7,FALSE()))</f>
        <v/>
      </c>
      <c r="DP117" s="112" t="str">
        <f aca="false">IF($DF117&gt;$DE$8,"",VLOOKUP($DF117,$DH$9:$DN$508,2,FALSE()))</f>
        <v/>
      </c>
      <c r="DQ117" s="112" t="str">
        <f aca="false">IF($DF117&gt;$DE$8,"",VLOOKUP($DF117,$DH$9:$DN$508,3,FALSE()))</f>
        <v/>
      </c>
      <c r="DR117" s="112" t="str">
        <f aca="false">IF($DF117&gt;$DE$8,"",VLOOKUP($DF117,$DH$9:$DN$508,4,FALSE()))</f>
        <v/>
      </c>
      <c r="DS117" s="112" t="str">
        <f aca="false">IF($DF117&gt;$DE$8,"",VLOOKUP($DF117,$DH$9:$DN$508,5,FALSE()))</f>
        <v/>
      </c>
      <c r="DT117" s="113" t="str">
        <f aca="false">IF($DF117&gt;$DE$8,"",VLOOKUP($DF117,$DH$9:$DN$508,6,FALSE()))</f>
        <v/>
      </c>
      <c r="DU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IF(ISBLANK($C118),"",IF(E118=Constants!$B$3,TRUE(),IF(E118=Constants!$B$4,FALSE(),TRUE())))</f>
        <v/>
      </c>
      <c r="AG118" s="93" t="str">
        <f aca="false">IF(ISBLANK($C118),"",IF(F118=Constants!$B$3,TRUE(),IF(F118=Constants!$B$4,FALSE(),TRUE())))</f>
        <v/>
      </c>
      <c r="AH118" s="93" t="str">
        <f aca="false">IF(ISBLANK($C118),"",IF(G118=Constants!$B$3,TRUE(),IF(G118=Constants!$B$4,FALSE(),TRUE())))</f>
        <v/>
      </c>
      <c r="AI118" s="93" t="str">
        <f aca="false">IF(ISBLANK($C118),"",IF(AND(ISNUMBER(H118),H118&gt;=0),H118,Constants!$B$29))</f>
        <v/>
      </c>
      <c r="AJ118" s="93" t="str">
        <f aca="false">IF(ISBLANK($C118),"",IF(I118=Constants!$B$3,TRUE(),IF(I118=Constants!$B$4,FALSE(),TRUE())))</f>
        <v/>
      </c>
      <c r="AK118" s="93" t="str">
        <f aca="false">IF(ISBLANK($C118),"",IF(J118=Constants!$B$3,TRUE(),IF(J118=Constants!$B$4,FALSE(),TRUE())))</f>
        <v/>
      </c>
      <c r="AL118" s="93" t="str">
        <f aca="false">IF(ISBLANK($C118),"",IF(K118=Constants!$B$5,TRUE(),IF(K118=Constants!$B$6,FALSE(),COUNTA(L118:P118)&gt;0)))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IF(ISBLANK($C118),"",IF(N118=Constants!$B$3,TRUE(),IF(N118=Constants!$B$4,FALSE(),TRUE())))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IF(ISBLANK($C118),"",IF(P118=Constants!$B$3,TRUE(),IF(P118=Constants!$B$4,FALSE(),FALSE())))</f>
        <v/>
      </c>
      <c r="AR118" s="93" t="str">
        <f aca="false">IF(ISBLANK($C118),"",IF(Q118=Constants!$B$3,TRUE(),IF(Q118=Constants!$B$4,FALSE(),TRUE())))</f>
        <v/>
      </c>
      <c r="AS118" s="93" t="str">
        <f aca="false">IF(ISBLANK($C118),"",IF(R118=Constants!$B$3,TRUE(),IF(R118=Constants!$B$4,FALSE(),TRUE())))</f>
        <v/>
      </c>
      <c r="AT118" s="93" t="str">
        <f aca="false">IF(ISBLANK($C118),"",IF(S118=Constants!$B$5,TRUE(),IF(S118=Constants!$B$6,FALSE(),COUNTA(T118:X118)&gt;0)))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IF(ISBLANK($C118),"",IF(V118=Constants!$B$3,TRUE(),IF(V118=Constants!$B$4,FALSE(),TRUE())))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IF(ISBLANK($C118),"",IF(X118=Constants!$B$3,TRUE(),IF(X118=Constants!$B$4,FALSE(),FALSE())))</f>
        <v/>
      </c>
      <c r="AZ118" s="93" t="str">
        <f aca="false">IF(ISBLANK($C118),"",MIN(Constants!$B$31,MAX(0,IF(ISNUMBER(Y118),Y118*60,0)+IF(ISNUMBER(Z118),Z118,0))))</f>
        <v/>
      </c>
      <c r="BA118" s="93" t="str">
        <f aca="false">IF(ISBLANK($C118),"",IF(AA118=Constants!$B$3,TRUE(),IF(AA118=Constants!$B$4,FALSE(),FALSE())))</f>
        <v/>
      </c>
      <c r="BB118" s="92" t="str">
        <f aca="false">IF(ISBLANK($C118),"",AND($AL118,OR($AM118="",$AN118="",AND($AO118,$AP118=""))))</f>
        <v/>
      </c>
      <c r="BC118" s="94" t="str">
        <f aca="false">IF($BZ118&lt;&gt;Constants!$B$8,"",IF($AL118,Constants!$B$21*$AN118+Constants!$B$22*IF($AO118,$AP118,Constants!$B$23),Constants!$B$24))</f>
        <v/>
      </c>
      <c r="BD118" s="97" t="str">
        <f aca="false">IF($BZ118&lt;&gt;Constants!$B$8,"",Constants!$B$25*ABS($AD$9-IF($AL118,$AM118,0)))</f>
        <v/>
      </c>
      <c r="BE118" s="97" t="str">
        <f aca="false">IF($BZ118&lt;&gt;Constants!$B$8,"",IF(AND($AL118,$AQ118,$AO118),Constants!$B$27,0))</f>
        <v/>
      </c>
      <c r="BF118" s="97" t="str">
        <f aca="false">IF($BZ118&lt;&gt;Constants!$B$8,"",IF($AL118,($AI118-Constants!$B$29)*Constants!$B$28,0))</f>
        <v/>
      </c>
      <c r="BG118" s="97" t="str">
        <f aca="false">IF($BZ118&lt;&gt;Constants!$B$8,"",IF($AK118,0,Constants!$B$15)+IF($AJ118,0,Constants!$B$16)+IF($AH118,0,Constants!$B$17))</f>
        <v/>
      </c>
      <c r="BH118" s="98" t="str">
        <f aca="false">IF($BZ118&lt;&gt;Constants!$B$8,"",Constants!$B$20+SUM($BC118:$BG118))</f>
        <v/>
      </c>
      <c r="BI118" s="97" t="str">
        <f aca="false">IF($BZ118&lt;&gt;Constants!$B$8,"",$BC118)</f>
        <v/>
      </c>
      <c r="BJ118" s="97" t="str">
        <f aca="false">IF($BZ118&lt;&gt;Constants!$B$8,"",$BD118)</f>
        <v/>
      </c>
      <c r="BK118" s="97" t="str">
        <f aca="false">IF($BZ118&lt;&gt;Constants!$B$8,"",IF($AL118,$AN118,""))</f>
        <v/>
      </c>
      <c r="BL118" s="99" t="str">
        <f aca="false">IF($BZ118&lt;&gt;Constants!$B$8,"",$AI118)</f>
        <v/>
      </c>
      <c r="BM118" s="93" t="str">
        <f aca="false">IF($BZ118&lt;&gt;Constants!$B$8,"",IF(OR($BT118&lt;$BH118,AND($BT118=$BH118,OR($BU118&lt;$BI118,AND($BU118=$BI118,OR($BV118&lt;$BJ118,AND($BV118=$BJ118,OR(AND(ISNUMBER($BW118),OR(NOT(ISNUMBER($BK118)),$BW118&lt;$BK118)),AND(OR(AND($BW118="",$BK118=""),AND(ISNUMBER($BW118),ISNUMBER($BK118),$BW118=$BK118)),$BX118&lt;$BL118)))))))),"-&gt;","&lt;-"))</f>
        <v/>
      </c>
      <c r="BN118" s="92" t="str">
        <f aca="false">IF(ISBLANK($C118),"",AND($AT118,OR($AU118="",$AV118="",AND($AW118,$AX118=""))))</f>
        <v/>
      </c>
      <c r="BO118" s="94" t="str">
        <f aca="false">IF($BZ118&lt;&gt;Constants!$B$8,"",IF($AT118,Constants!$B$21*$AV118+Constants!$B$22*IF($AW118,$AX118,Constants!$B$23),Constants!$B$24))</f>
        <v/>
      </c>
      <c r="BP118" s="97" t="str">
        <f aca="false">IF($BZ118&lt;&gt;Constants!$B$8,"",Constants!$B$25*ABS($AD$9-IF($AT118,$AU118,0)))</f>
        <v/>
      </c>
      <c r="BQ118" s="97" t="str">
        <f aca="false">IF($BZ118&lt;&gt;Constants!$B$8,"",IF(AND($AT118,$AY118,$AW118),Constants!$B$27,0))</f>
        <v/>
      </c>
      <c r="BR118" s="97" t="str">
        <f aca="false">IF($BZ118&lt;&gt;Constants!$B$8,"",IF($AT118,($AI118-Constants!$B$29)*Constants!$B$28,0))</f>
        <v/>
      </c>
      <c r="BS118" s="97" t="str">
        <f aca="false">IF($BZ118&lt;&gt;Constants!$B$8,"",IF($AS118,0,Constants!$B$15)+IF($AR118,0,Constants!$B$16)+IF($AH118,0,Constants!$B$17))</f>
        <v/>
      </c>
      <c r="BT118" s="98" t="str">
        <f aca="false">IF($BZ118&lt;&gt;Constants!$B$8,"",Constants!$B$20+SUM($BO118:$BS118))</f>
        <v/>
      </c>
      <c r="BU118" s="97" t="str">
        <f aca="false">IF($BZ118&lt;&gt;Constants!$B$8,"",$BO118)</f>
        <v/>
      </c>
      <c r="BV118" s="97" t="str">
        <f aca="false">IF($BZ118&lt;&gt;Constants!$B$8,"",$BP118)</f>
        <v/>
      </c>
      <c r="BW118" s="97" t="str">
        <f aca="false">IF($BZ118&lt;&gt;Constants!$B$8,"",IF($AT118,$AV118,""))</f>
        <v/>
      </c>
      <c r="BX118" s="99" t="str">
        <f aca="false">IF($BZ118&lt;&gt;Constants!$B$8,"",$AI118)</f>
        <v/>
      </c>
      <c r="BY118" s="93" t="str">
        <f aca="false">IF(ISBLANK($C118),"",IF(ISBLANK($D$7),$BY$5,IF(NOT(ISNUMBER($D$7)),$BY$6,"")))</f>
        <v/>
      </c>
      <c r="BZ118" s="93" t="str">
        <f aca="false">IF(ISBLANK($C118),"",IF($BA118,Constants!$B$11,IF(COUNTA($E118:$AA118)=0,Constants!$B$10,IF(NOT($AG118),Constants!$B$9,IF(OR($BY118&lt;&gt;"",$BB118,$BN118),Constants!$B$12,Constants!$B$8)))))</f>
        <v/>
      </c>
      <c r="CA118" s="93" t="str">
        <f aca="false">IF(ISBLANK($C118),"",IF($BZ118&lt;&gt;Constants!$B$8,$BZ118,Constants!$B$13))</f>
        <v/>
      </c>
      <c r="CB118" s="97" t="str">
        <f aca="false">IF($BZ118&lt;&gt;Constants!$B$8,"",IF($BM118="-&gt;",$BT118,$BH118))</f>
        <v/>
      </c>
      <c r="CC118" s="97" t="str">
        <f aca="false">IF($BZ118&lt;&gt;Constants!$B$8,"",IF($AF118,0,Constants!$B$18))</f>
        <v/>
      </c>
      <c r="CD118" s="97" t="str">
        <f aca="false">IF($BZ118&lt;&gt;Constants!$B$8,"",((Constants!$B$31-$AZ118)-Constants!$B$31)/Constants!$B$32)</f>
        <v/>
      </c>
      <c r="CE118" s="97" t="str">
        <f aca="false">IF(ISBLANK($C118),"",IF($BZ118&lt;&gt;Constants!$B$8,$BZ118,SUM($CB118:$CD118)))</f>
        <v/>
      </c>
      <c r="CF118" s="93" t="str">
        <f aca="false">IF(ISBLANK($C118),"",IF($BZ118&lt;&gt;Constants!$B$8,$BZ118,RANK($CE118,$CE$9:$CE$508,1)))</f>
        <v/>
      </c>
      <c r="CG118" s="97" t="str">
        <f aca="false">IF($BZ118&lt;&gt;Constants!$B$8,"",IF($BM118="-&gt;",$BU118,$BI118))</f>
        <v/>
      </c>
      <c r="CH118" s="93" t="str">
        <f aca="false">IF(ISBLANK($C118),"",IF($BZ118&lt;&gt;Constants!$B$8,$BZ118,IF(ISNUMBER($CG118),RANK($CG118,$CG$9:$CG$508,1),COUNT($CG$9:$CG$508)+1)))</f>
        <v/>
      </c>
      <c r="CI118" s="97" t="str">
        <f aca="false">IF($BZ118&lt;&gt;Constants!$B$8,"",IF($BM118="-&gt;",$BV118,$BJ118))</f>
        <v/>
      </c>
      <c r="CJ118" s="93" t="str">
        <f aca="false">IF(ISBLANK($C118),"",IF($BZ118&lt;&gt;Constants!$B$8,$BZ118,IF(ISNUMBER($CI118),RANK($CI118,$CI$9:$CI$508,1),COUNT($CI$9:$CI$508)+1)))</f>
        <v/>
      </c>
      <c r="CK118" s="97" t="str">
        <f aca="false">IF($BZ118&lt;&gt;Constants!$B$8,"",IF($BM118="-&gt;",$BW118,$BK118))</f>
        <v/>
      </c>
      <c r="CL118" s="93" t="str">
        <f aca="false">IF(ISBLANK($C118),"",IF($BZ118&lt;&gt;Constants!$B$8,$BZ118,IF(ISNUMBER($CK118),RANK($CK118,$CK$9:$CK$508,1),COUNT($CK$9:$CK$508)+1)))</f>
        <v/>
      </c>
      <c r="CM118" s="97" t="str">
        <f aca="false">IF($BZ118&lt;&gt;Constants!$B$8,"",IF(AND(NOT($AL118),NOT($AT118),$AJ118,$AK118,$AR118,$AS118),"",IF($BM118="-&gt;",$BX118,$BL118)))</f>
        <v/>
      </c>
      <c r="CN118" s="93" t="str">
        <f aca="false">IF(ISBLANK($C118),"",IF($BZ118&lt;&gt;Constants!$B$8,$BZ118,IF(ISNUMBER($CM118),RANK($CM118,$CM$9:$CM$508,1),COUNT($CM$9:$CM$508)+1)))</f>
        <v/>
      </c>
      <c r="CO118" s="93" t="str">
        <f aca="false">IF(ISBLANK($C118),"",IF($BZ118&lt;&gt;Constants!$B$8,$BZ118,COUNTIFS($CF$9:$CF$508,"&lt;"&amp;$CF118)+COUNTIFS($CF$9:$CF$508,$CF118,$CH$9:$CH$508,"&lt;"&amp;$CH118)+COUNTIFS($CF$9:$CF$508,$CF118,$CH$9:$CH$508,$CH118,$CJ$9:$CJ$508,"&lt;"&amp;$CJ118)+COUNTIFS($CF$9:$CF$508,$CF118,$CH$9:$CH$508,$CH118,$CJ$9:$CJ$508,$CJ118,$CL$9:$CL$508,"&lt;"&amp;$CL118)+COUNTIFS($CF$9:$CF$508,$CF118,$CH$9:$CH$508,$CH118,$CJ$9:$CJ$508,$CJ118,$CL$9:$CL$508,$CL118,$CN$9:$CN$508,"&lt;"&amp;$CN118)+1))</f>
        <v/>
      </c>
      <c r="CP118" s="93" t="str">
        <f aca="false">IF(ISBLANK($C118),"",IF($BZ118&lt;&gt;Constants!$B$8,$BZ118,$CF118-$CO118))</f>
        <v/>
      </c>
      <c r="CQ118" s="100"/>
      <c r="CR118" s="101"/>
      <c r="CS118" s="102" t="str">
        <f aca="false">IF(ISBLANK($C118),"",IF($BZ118=Constants!$B$12,$BY118,""))</f>
        <v/>
      </c>
      <c r="CT118" s="101" t="str">
        <f aca="false">IF(ISBLANK($C118),"",IF($BZ118&lt;&gt;Constants!$B$8,"",IF($BM118="-&gt;",2,1)))</f>
        <v/>
      </c>
      <c r="CU118" s="103" t="str">
        <f aca="false">IF(ISBLANK($C118),"",IF($BZ118&lt;&gt;Constants!$B$8,"",IF($BM118="-&gt;",$BO118,$BC118)))</f>
        <v/>
      </c>
      <c r="CV118" s="103" t="str">
        <f aca="false">IF(ISBLANK($C118),"",IF($BZ118&lt;&gt;Constants!$B$8,"",IF($BM118="-&gt;",$BP118,$BD118)))</f>
        <v/>
      </c>
      <c r="CW118" s="103" t="str">
        <f aca="false">IF(ISBLANK($C118),"",IF($BZ118&lt;&gt;Constants!$B$8,"",IF($BM118="-&gt;",$BQ118+$BR118,$BE118+$BF118)+$CD118))</f>
        <v/>
      </c>
      <c r="CX118" s="103" t="str">
        <f aca="false">IF(ISBLANK($C118),"",IF($BZ118&lt;&gt;Constants!$B$8,"",IF($BM118="-&gt;",$BS118,$BG118)+$CC118))</f>
        <v/>
      </c>
      <c r="CY118" s="104" t="str">
        <f aca="false">IF(ISBLANK($C118),"",IF($BZ118&lt;&gt;Constants!$B$8,$BZ118,$CE118))</f>
        <v/>
      </c>
      <c r="CZ118" s="105" t="str">
        <f aca="false">IF(ISBLANK($C118),"",$CA118)</f>
        <v/>
      </c>
      <c r="DA118" s="106" t="str">
        <f aca="false">IF(ISBLANK($C118),"",$CP118)</f>
        <v/>
      </c>
      <c r="DB118" s="106" t="str">
        <f aca="false">IF(ISBLANK($C118),"",$CO118)</f>
        <v/>
      </c>
      <c r="DC118" s="107" t="str">
        <f aca="false">IF(ISBLANK($C118),"",IFERROR(_xlfn.SWITCH($DB118,Constants!$B$11,COUNTA($C$9:$C$508)+2,Constants!$B$10,COUNTA($C$9:$C$508)+1,Constants!$B$9,COUNTA($C$9:$C$508)),$DB118))</f>
        <v/>
      </c>
      <c r="DD118" s="9"/>
      <c r="DE118" s="108" t="n">
        <f aca="false">IF(OR(ISNUMBER($DB118),$DB118=Constants!$B$11,$DB118=Constants!$B$9,$DB118=Constants!$B$10),1,0)</f>
        <v>0</v>
      </c>
      <c r="DF118" s="108" t="n">
        <v>110</v>
      </c>
      <c r="DG118" s="108" t="str">
        <f aca="false">IF(ISBLANK($C118),"",IF(ISNUMBER($DC118),$DC118+ROW($B118)/1000,""))</f>
        <v/>
      </c>
      <c r="DH118" s="108" t="str">
        <f aca="false">IF(ISNUMBER($DG118),RANK($DG118,$DG$9:$DG$508,1),"")</f>
        <v/>
      </c>
      <c r="DI118" s="108" t="str">
        <f aca="false">IF(ISBLANK($C118),"",$B118)</f>
        <v/>
      </c>
      <c r="DJ118" s="108" t="str">
        <f aca="false">IF(ISBLANK($C118),"",$C118)</f>
        <v/>
      </c>
      <c r="DK118" s="108" t="str">
        <f aca="false">IF(ISBLANK($C118),"",$D118)</f>
        <v/>
      </c>
      <c r="DL118" s="109" t="str">
        <f aca="false">$CZ118</f>
        <v/>
      </c>
      <c r="DM118" s="110" t="str">
        <f aca="false">$CY118</f>
        <v/>
      </c>
      <c r="DN118" s="108" t="str">
        <f aca="false">IF(ISBLANK($C118),"",$DB118)</f>
        <v/>
      </c>
      <c r="DO118" s="111" t="str">
        <f aca="false">IF($DF118&gt;$DE$8,"",VLOOKUP($DF118,$DH$9:$DN$508,7,FALSE()))</f>
        <v/>
      </c>
      <c r="DP118" s="112" t="str">
        <f aca="false">IF($DF118&gt;$DE$8,"",VLOOKUP($DF118,$DH$9:$DN$508,2,FALSE()))</f>
        <v/>
      </c>
      <c r="DQ118" s="112" t="str">
        <f aca="false">IF($DF118&gt;$DE$8,"",VLOOKUP($DF118,$DH$9:$DN$508,3,FALSE()))</f>
        <v/>
      </c>
      <c r="DR118" s="112" t="str">
        <f aca="false">IF($DF118&gt;$DE$8,"",VLOOKUP($DF118,$DH$9:$DN$508,4,FALSE()))</f>
        <v/>
      </c>
      <c r="DS118" s="112" t="str">
        <f aca="false">IF($DF118&gt;$DE$8,"",VLOOKUP($DF118,$DH$9:$DN$508,5,FALSE()))</f>
        <v/>
      </c>
      <c r="DT118" s="113" t="str">
        <f aca="false">IF($DF118&gt;$DE$8,"",VLOOKUP($DF118,$DH$9:$DN$508,6,FALSE()))</f>
        <v/>
      </c>
      <c r="DU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IF(ISBLANK($C119),"",IF(E119=Constants!$B$3,TRUE(),IF(E119=Constants!$B$4,FALSE(),TRUE())))</f>
        <v/>
      </c>
      <c r="AG119" s="93" t="str">
        <f aca="false">IF(ISBLANK($C119),"",IF(F119=Constants!$B$3,TRUE(),IF(F119=Constants!$B$4,FALSE(),TRUE())))</f>
        <v/>
      </c>
      <c r="AH119" s="93" t="str">
        <f aca="false">IF(ISBLANK($C119),"",IF(G119=Constants!$B$3,TRUE(),IF(G119=Constants!$B$4,FALSE(),TRUE())))</f>
        <v/>
      </c>
      <c r="AI119" s="93" t="str">
        <f aca="false">IF(ISBLANK($C119),"",IF(AND(ISNUMBER(H119),H119&gt;=0),H119,Constants!$B$29))</f>
        <v/>
      </c>
      <c r="AJ119" s="93" t="str">
        <f aca="false">IF(ISBLANK($C119),"",IF(I119=Constants!$B$3,TRUE(),IF(I119=Constants!$B$4,FALSE(),TRUE())))</f>
        <v/>
      </c>
      <c r="AK119" s="93" t="str">
        <f aca="false">IF(ISBLANK($C119),"",IF(J119=Constants!$B$3,TRUE(),IF(J119=Constants!$B$4,FALSE(),TRUE())))</f>
        <v/>
      </c>
      <c r="AL119" s="93" t="str">
        <f aca="false">IF(ISBLANK($C119),"",IF(K119=Constants!$B$5,TRUE(),IF(K119=Constants!$B$6,FALSE(),COUNTA(L119:P119)&gt;0)))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IF(ISBLANK($C119),"",IF(N119=Constants!$B$3,TRUE(),IF(N119=Constants!$B$4,FALSE(),TRUE())))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IF(ISBLANK($C119),"",IF(P119=Constants!$B$3,TRUE(),IF(P119=Constants!$B$4,FALSE(),FALSE())))</f>
        <v/>
      </c>
      <c r="AR119" s="93" t="str">
        <f aca="false">IF(ISBLANK($C119),"",IF(Q119=Constants!$B$3,TRUE(),IF(Q119=Constants!$B$4,FALSE(),TRUE())))</f>
        <v/>
      </c>
      <c r="AS119" s="93" t="str">
        <f aca="false">IF(ISBLANK($C119),"",IF(R119=Constants!$B$3,TRUE(),IF(R119=Constants!$B$4,FALSE(),TRUE())))</f>
        <v/>
      </c>
      <c r="AT119" s="93" t="str">
        <f aca="false">IF(ISBLANK($C119),"",IF(S119=Constants!$B$5,TRUE(),IF(S119=Constants!$B$6,FALSE(),COUNTA(T119:X119)&gt;0)))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IF(ISBLANK($C119),"",IF(V119=Constants!$B$3,TRUE(),IF(V119=Constants!$B$4,FALSE(),TRUE())))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IF(ISBLANK($C119),"",IF(X119=Constants!$B$3,TRUE(),IF(X119=Constants!$B$4,FALSE(),FALSE())))</f>
        <v/>
      </c>
      <c r="AZ119" s="93" t="str">
        <f aca="false">IF(ISBLANK($C119),"",MIN(Constants!$B$31,MAX(0,IF(ISNUMBER(Y119),Y119*60,0)+IF(ISNUMBER(Z119),Z119,0))))</f>
        <v/>
      </c>
      <c r="BA119" s="93" t="str">
        <f aca="false">IF(ISBLANK($C119),"",IF(AA119=Constants!$B$3,TRUE(),IF(AA119=Constants!$B$4,FALSE(),FALSE())))</f>
        <v/>
      </c>
      <c r="BB119" s="92" t="str">
        <f aca="false">IF(ISBLANK($C119),"",AND($AL119,OR($AM119="",$AN119="",AND($AO119,$AP119=""))))</f>
        <v/>
      </c>
      <c r="BC119" s="94" t="str">
        <f aca="false">IF($BZ119&lt;&gt;Constants!$B$8,"",IF($AL119,Constants!$B$21*$AN119+Constants!$B$22*IF($AO119,$AP119,Constants!$B$23),Constants!$B$24))</f>
        <v/>
      </c>
      <c r="BD119" s="97" t="str">
        <f aca="false">IF($BZ119&lt;&gt;Constants!$B$8,"",Constants!$B$25*ABS($AD$9-IF($AL119,$AM119,0)))</f>
        <v/>
      </c>
      <c r="BE119" s="97" t="str">
        <f aca="false">IF($BZ119&lt;&gt;Constants!$B$8,"",IF(AND($AL119,$AQ119,$AO119),Constants!$B$27,0))</f>
        <v/>
      </c>
      <c r="BF119" s="97" t="str">
        <f aca="false">IF($BZ119&lt;&gt;Constants!$B$8,"",IF($AL119,($AI119-Constants!$B$29)*Constants!$B$28,0))</f>
        <v/>
      </c>
      <c r="BG119" s="97" t="str">
        <f aca="false">IF($BZ119&lt;&gt;Constants!$B$8,"",IF($AK119,0,Constants!$B$15)+IF($AJ119,0,Constants!$B$16)+IF($AH119,0,Constants!$B$17))</f>
        <v/>
      </c>
      <c r="BH119" s="98" t="str">
        <f aca="false">IF($BZ119&lt;&gt;Constants!$B$8,"",Constants!$B$20+SUM($BC119:$BG119))</f>
        <v/>
      </c>
      <c r="BI119" s="97" t="str">
        <f aca="false">IF($BZ119&lt;&gt;Constants!$B$8,"",$BC119)</f>
        <v/>
      </c>
      <c r="BJ119" s="97" t="str">
        <f aca="false">IF($BZ119&lt;&gt;Constants!$B$8,"",$BD119)</f>
        <v/>
      </c>
      <c r="BK119" s="97" t="str">
        <f aca="false">IF($BZ119&lt;&gt;Constants!$B$8,"",IF($AL119,$AN119,""))</f>
        <v/>
      </c>
      <c r="BL119" s="99" t="str">
        <f aca="false">IF($BZ119&lt;&gt;Constants!$B$8,"",$AI119)</f>
        <v/>
      </c>
      <c r="BM119" s="93" t="str">
        <f aca="false">IF($BZ119&lt;&gt;Constants!$B$8,"",IF(OR($BT119&lt;$BH119,AND($BT119=$BH119,OR($BU119&lt;$BI119,AND($BU119=$BI119,OR($BV119&lt;$BJ119,AND($BV119=$BJ119,OR(AND(ISNUMBER($BW119),OR(NOT(ISNUMBER($BK119)),$BW119&lt;$BK119)),AND(OR(AND($BW119="",$BK119=""),AND(ISNUMBER($BW119),ISNUMBER($BK119),$BW119=$BK119)),$BX119&lt;$BL119)))))))),"-&gt;","&lt;-"))</f>
        <v/>
      </c>
      <c r="BN119" s="92" t="str">
        <f aca="false">IF(ISBLANK($C119),"",AND($AT119,OR($AU119="",$AV119="",AND($AW119,$AX119=""))))</f>
        <v/>
      </c>
      <c r="BO119" s="94" t="str">
        <f aca="false">IF($BZ119&lt;&gt;Constants!$B$8,"",IF($AT119,Constants!$B$21*$AV119+Constants!$B$22*IF($AW119,$AX119,Constants!$B$23),Constants!$B$24))</f>
        <v/>
      </c>
      <c r="BP119" s="97" t="str">
        <f aca="false">IF($BZ119&lt;&gt;Constants!$B$8,"",Constants!$B$25*ABS($AD$9-IF($AT119,$AU119,0)))</f>
        <v/>
      </c>
      <c r="BQ119" s="97" t="str">
        <f aca="false">IF($BZ119&lt;&gt;Constants!$B$8,"",IF(AND($AT119,$AY119,$AW119),Constants!$B$27,0))</f>
        <v/>
      </c>
      <c r="BR119" s="97" t="str">
        <f aca="false">IF($BZ119&lt;&gt;Constants!$B$8,"",IF($AT119,($AI119-Constants!$B$29)*Constants!$B$28,0))</f>
        <v/>
      </c>
      <c r="BS119" s="97" t="str">
        <f aca="false">IF($BZ119&lt;&gt;Constants!$B$8,"",IF($AS119,0,Constants!$B$15)+IF($AR119,0,Constants!$B$16)+IF($AH119,0,Constants!$B$17))</f>
        <v/>
      </c>
      <c r="BT119" s="98" t="str">
        <f aca="false">IF($BZ119&lt;&gt;Constants!$B$8,"",Constants!$B$20+SUM($BO119:$BS119))</f>
        <v/>
      </c>
      <c r="BU119" s="97" t="str">
        <f aca="false">IF($BZ119&lt;&gt;Constants!$B$8,"",$BO119)</f>
        <v/>
      </c>
      <c r="BV119" s="97" t="str">
        <f aca="false">IF($BZ119&lt;&gt;Constants!$B$8,"",$BP119)</f>
        <v/>
      </c>
      <c r="BW119" s="97" t="str">
        <f aca="false">IF($BZ119&lt;&gt;Constants!$B$8,"",IF($AT119,$AV119,""))</f>
        <v/>
      </c>
      <c r="BX119" s="99" t="str">
        <f aca="false">IF($BZ119&lt;&gt;Constants!$B$8,"",$AI119)</f>
        <v/>
      </c>
      <c r="BY119" s="93" t="str">
        <f aca="false">IF(ISBLANK($C119),"",IF(ISBLANK($D$7),$BY$5,IF(NOT(ISNUMBER($D$7)),$BY$6,"")))</f>
        <v/>
      </c>
      <c r="BZ119" s="93" t="str">
        <f aca="false">IF(ISBLANK($C119),"",IF($BA119,Constants!$B$11,IF(COUNTA($E119:$AA119)=0,Constants!$B$10,IF(NOT($AG119),Constants!$B$9,IF(OR($BY119&lt;&gt;"",$BB119,$BN119),Constants!$B$12,Constants!$B$8)))))</f>
        <v/>
      </c>
      <c r="CA119" s="93" t="str">
        <f aca="false">IF(ISBLANK($C119),"",IF($BZ119&lt;&gt;Constants!$B$8,$BZ119,Constants!$B$13))</f>
        <v/>
      </c>
      <c r="CB119" s="97" t="str">
        <f aca="false">IF($BZ119&lt;&gt;Constants!$B$8,"",IF($BM119="-&gt;",$BT119,$BH119))</f>
        <v/>
      </c>
      <c r="CC119" s="97" t="str">
        <f aca="false">IF($BZ119&lt;&gt;Constants!$B$8,"",IF($AF119,0,Constants!$B$18))</f>
        <v/>
      </c>
      <c r="CD119" s="97" t="str">
        <f aca="false">IF($BZ119&lt;&gt;Constants!$B$8,"",((Constants!$B$31-$AZ119)-Constants!$B$31)/Constants!$B$32)</f>
        <v/>
      </c>
      <c r="CE119" s="97" t="str">
        <f aca="false">IF(ISBLANK($C119),"",IF($BZ119&lt;&gt;Constants!$B$8,$BZ119,SUM($CB119:$CD119)))</f>
        <v/>
      </c>
      <c r="CF119" s="93" t="str">
        <f aca="false">IF(ISBLANK($C119),"",IF($BZ119&lt;&gt;Constants!$B$8,$BZ119,RANK($CE119,$CE$9:$CE$508,1)))</f>
        <v/>
      </c>
      <c r="CG119" s="97" t="str">
        <f aca="false">IF($BZ119&lt;&gt;Constants!$B$8,"",IF($BM119="-&gt;",$BU119,$BI119))</f>
        <v/>
      </c>
      <c r="CH119" s="93" t="str">
        <f aca="false">IF(ISBLANK($C119),"",IF($BZ119&lt;&gt;Constants!$B$8,$BZ119,IF(ISNUMBER($CG119),RANK($CG119,$CG$9:$CG$508,1),COUNT($CG$9:$CG$508)+1)))</f>
        <v/>
      </c>
      <c r="CI119" s="97" t="str">
        <f aca="false">IF($BZ119&lt;&gt;Constants!$B$8,"",IF($BM119="-&gt;",$BV119,$BJ119))</f>
        <v/>
      </c>
      <c r="CJ119" s="93" t="str">
        <f aca="false">IF(ISBLANK($C119),"",IF($BZ119&lt;&gt;Constants!$B$8,$BZ119,IF(ISNUMBER($CI119),RANK($CI119,$CI$9:$CI$508,1),COUNT($CI$9:$CI$508)+1)))</f>
        <v/>
      </c>
      <c r="CK119" s="97" t="str">
        <f aca="false">IF($BZ119&lt;&gt;Constants!$B$8,"",IF($BM119="-&gt;",$BW119,$BK119))</f>
        <v/>
      </c>
      <c r="CL119" s="93" t="str">
        <f aca="false">IF(ISBLANK($C119),"",IF($BZ119&lt;&gt;Constants!$B$8,$BZ119,IF(ISNUMBER($CK119),RANK($CK119,$CK$9:$CK$508,1),COUNT($CK$9:$CK$508)+1)))</f>
        <v/>
      </c>
      <c r="CM119" s="97" t="str">
        <f aca="false">IF($BZ119&lt;&gt;Constants!$B$8,"",IF(AND(NOT($AL119),NOT($AT119),$AJ119,$AK119,$AR119,$AS119),"",IF($BM119="-&gt;",$BX119,$BL119)))</f>
        <v/>
      </c>
      <c r="CN119" s="93" t="str">
        <f aca="false">IF(ISBLANK($C119),"",IF($BZ119&lt;&gt;Constants!$B$8,$BZ119,IF(ISNUMBER($CM119),RANK($CM119,$CM$9:$CM$508,1),COUNT($CM$9:$CM$508)+1)))</f>
        <v/>
      </c>
      <c r="CO119" s="93" t="str">
        <f aca="false">IF(ISBLANK($C119),"",IF($BZ119&lt;&gt;Constants!$B$8,$BZ119,COUNTIFS($CF$9:$CF$508,"&lt;"&amp;$CF119)+COUNTIFS($CF$9:$CF$508,$CF119,$CH$9:$CH$508,"&lt;"&amp;$CH119)+COUNTIFS($CF$9:$CF$508,$CF119,$CH$9:$CH$508,$CH119,$CJ$9:$CJ$508,"&lt;"&amp;$CJ119)+COUNTIFS($CF$9:$CF$508,$CF119,$CH$9:$CH$508,$CH119,$CJ$9:$CJ$508,$CJ119,$CL$9:$CL$508,"&lt;"&amp;$CL119)+COUNTIFS($CF$9:$CF$508,$CF119,$CH$9:$CH$508,$CH119,$CJ$9:$CJ$508,$CJ119,$CL$9:$CL$508,$CL119,$CN$9:$CN$508,"&lt;"&amp;$CN119)+1))</f>
        <v/>
      </c>
      <c r="CP119" s="93" t="str">
        <f aca="false">IF(ISBLANK($C119),"",IF($BZ119&lt;&gt;Constants!$B$8,$BZ119,$CF119-$CO119))</f>
        <v/>
      </c>
      <c r="CQ119" s="100"/>
      <c r="CR119" s="101"/>
      <c r="CS119" s="102" t="str">
        <f aca="false">IF(ISBLANK($C119),"",IF($BZ119=Constants!$B$12,$BY119,""))</f>
        <v/>
      </c>
      <c r="CT119" s="101" t="str">
        <f aca="false">IF(ISBLANK($C119),"",IF($BZ119&lt;&gt;Constants!$B$8,"",IF($BM119="-&gt;",2,1)))</f>
        <v/>
      </c>
      <c r="CU119" s="103" t="str">
        <f aca="false">IF(ISBLANK($C119),"",IF($BZ119&lt;&gt;Constants!$B$8,"",IF($BM119="-&gt;",$BO119,$BC119)))</f>
        <v/>
      </c>
      <c r="CV119" s="103" t="str">
        <f aca="false">IF(ISBLANK($C119),"",IF($BZ119&lt;&gt;Constants!$B$8,"",IF($BM119="-&gt;",$BP119,$BD119)))</f>
        <v/>
      </c>
      <c r="CW119" s="103" t="str">
        <f aca="false">IF(ISBLANK($C119),"",IF($BZ119&lt;&gt;Constants!$B$8,"",IF($BM119="-&gt;",$BQ119+$BR119,$BE119+$BF119)+$CD119))</f>
        <v/>
      </c>
      <c r="CX119" s="103" t="str">
        <f aca="false">IF(ISBLANK($C119),"",IF($BZ119&lt;&gt;Constants!$B$8,"",IF($BM119="-&gt;",$BS119,$BG119)+$CC119))</f>
        <v/>
      </c>
      <c r="CY119" s="104" t="str">
        <f aca="false">IF(ISBLANK($C119),"",IF($BZ119&lt;&gt;Constants!$B$8,$BZ119,$CE119))</f>
        <v/>
      </c>
      <c r="CZ119" s="105" t="str">
        <f aca="false">IF(ISBLANK($C119),"",$CA119)</f>
        <v/>
      </c>
      <c r="DA119" s="106" t="str">
        <f aca="false">IF(ISBLANK($C119),"",$CP119)</f>
        <v/>
      </c>
      <c r="DB119" s="106" t="str">
        <f aca="false">IF(ISBLANK($C119),"",$CO119)</f>
        <v/>
      </c>
      <c r="DC119" s="107" t="str">
        <f aca="false">IF(ISBLANK($C119),"",IFERROR(_xlfn.SWITCH($DB119,Constants!$B$11,COUNTA($C$9:$C$508)+2,Constants!$B$10,COUNTA($C$9:$C$508)+1,Constants!$B$9,COUNTA($C$9:$C$508)),$DB119))</f>
        <v/>
      </c>
      <c r="DD119" s="9"/>
      <c r="DE119" s="108" t="n">
        <f aca="false">IF(OR(ISNUMBER($DB119),$DB119=Constants!$B$11,$DB119=Constants!$B$9,$DB119=Constants!$B$10),1,0)</f>
        <v>0</v>
      </c>
      <c r="DF119" s="108" t="n">
        <v>111</v>
      </c>
      <c r="DG119" s="108" t="str">
        <f aca="false">IF(ISBLANK($C119),"",IF(ISNUMBER($DC119),$DC119+ROW($B119)/1000,""))</f>
        <v/>
      </c>
      <c r="DH119" s="108" t="str">
        <f aca="false">IF(ISNUMBER($DG119),RANK($DG119,$DG$9:$DG$508,1),"")</f>
        <v/>
      </c>
      <c r="DI119" s="108" t="str">
        <f aca="false">IF(ISBLANK($C119),"",$B119)</f>
        <v/>
      </c>
      <c r="DJ119" s="108" t="str">
        <f aca="false">IF(ISBLANK($C119),"",$C119)</f>
        <v/>
      </c>
      <c r="DK119" s="108" t="str">
        <f aca="false">IF(ISBLANK($C119),"",$D119)</f>
        <v/>
      </c>
      <c r="DL119" s="109" t="str">
        <f aca="false">$CZ119</f>
        <v/>
      </c>
      <c r="DM119" s="110" t="str">
        <f aca="false">$CY119</f>
        <v/>
      </c>
      <c r="DN119" s="108" t="str">
        <f aca="false">IF(ISBLANK($C119),"",$DB119)</f>
        <v/>
      </c>
      <c r="DO119" s="111" t="str">
        <f aca="false">IF($DF119&gt;$DE$8,"",VLOOKUP($DF119,$DH$9:$DN$508,7,FALSE()))</f>
        <v/>
      </c>
      <c r="DP119" s="112" t="str">
        <f aca="false">IF($DF119&gt;$DE$8,"",VLOOKUP($DF119,$DH$9:$DN$508,2,FALSE()))</f>
        <v/>
      </c>
      <c r="DQ119" s="112" t="str">
        <f aca="false">IF($DF119&gt;$DE$8,"",VLOOKUP($DF119,$DH$9:$DN$508,3,FALSE()))</f>
        <v/>
      </c>
      <c r="DR119" s="112" t="str">
        <f aca="false">IF($DF119&gt;$DE$8,"",VLOOKUP($DF119,$DH$9:$DN$508,4,FALSE()))</f>
        <v/>
      </c>
      <c r="DS119" s="112" t="str">
        <f aca="false">IF($DF119&gt;$DE$8,"",VLOOKUP($DF119,$DH$9:$DN$508,5,FALSE()))</f>
        <v/>
      </c>
      <c r="DT119" s="113" t="str">
        <f aca="false">IF($DF119&gt;$DE$8,"",VLOOKUP($DF119,$DH$9:$DN$508,6,FALSE()))</f>
        <v/>
      </c>
      <c r="DU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IF(ISBLANK($C120),"",IF(E120=Constants!$B$3,TRUE(),IF(E120=Constants!$B$4,FALSE(),TRUE())))</f>
        <v/>
      </c>
      <c r="AG120" s="135" t="str">
        <f aca="false">IF(ISBLANK($C120),"",IF(F120=Constants!$B$3,TRUE(),IF(F120=Constants!$B$4,FALSE(),TRUE())))</f>
        <v/>
      </c>
      <c r="AH120" s="135" t="str">
        <f aca="false">IF(ISBLANK($C120),"",IF(G120=Constants!$B$3,TRUE(),IF(G120=Constants!$B$4,FALSE(),TRUE())))</f>
        <v/>
      </c>
      <c r="AI120" s="135" t="str">
        <f aca="false">IF(ISBLANK($C120),"",IF(AND(ISNUMBER(H120),H120&gt;=0),H120,Constants!$B$29))</f>
        <v/>
      </c>
      <c r="AJ120" s="135" t="str">
        <f aca="false">IF(ISBLANK($C120),"",IF(I120=Constants!$B$3,TRUE(),IF(I120=Constants!$B$4,FALSE(),TRUE())))</f>
        <v/>
      </c>
      <c r="AK120" s="135" t="str">
        <f aca="false">IF(ISBLANK($C120),"",IF(J120=Constants!$B$3,TRUE(),IF(J120=Constants!$B$4,FALSE(),TRUE())))</f>
        <v/>
      </c>
      <c r="AL120" s="135" t="str">
        <f aca="false">IF(ISBLANK($C120),"",IF(K120=Constants!$B$5,TRUE(),IF(K120=Constants!$B$6,FALSE(),COUNTA(L120:P120)&gt;0)))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IF(ISBLANK($C120),"",IF(N120=Constants!$B$3,TRUE(),IF(N120=Constants!$B$4,FALSE(),TRUE())))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IF(ISBLANK($C120),"",IF(P120=Constants!$B$3,TRUE(),IF(P120=Constants!$B$4,FALSE(),FALSE())))</f>
        <v/>
      </c>
      <c r="AR120" s="135" t="str">
        <f aca="false">IF(ISBLANK($C120),"",IF(Q120=Constants!$B$3,TRUE(),IF(Q120=Constants!$B$4,FALSE(),TRUE())))</f>
        <v/>
      </c>
      <c r="AS120" s="135" t="str">
        <f aca="false">IF(ISBLANK($C120),"",IF(R120=Constants!$B$3,TRUE(),IF(R120=Constants!$B$4,FALSE(),TRUE())))</f>
        <v/>
      </c>
      <c r="AT120" s="135" t="str">
        <f aca="false">IF(ISBLANK($C120),"",IF(S120=Constants!$B$5,TRUE(),IF(S120=Constants!$B$6,FALSE(),COUNTA(T120:X120)&gt;0)))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IF(ISBLANK($C120),"",IF(V120=Constants!$B$3,TRUE(),IF(V120=Constants!$B$4,FALSE(),TRUE())))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IF(ISBLANK($C120),"",IF(X120=Constants!$B$3,TRUE(),IF(X120=Constants!$B$4,FALSE(),FALSE())))</f>
        <v/>
      </c>
      <c r="AZ120" s="135" t="str">
        <f aca="false">IF(ISBLANK($C120),"",MIN(Constants!$B$31,MAX(0,IF(ISNUMBER(Y120),Y120*60,0)+IF(ISNUMBER(Z120),Z120,0))))</f>
        <v/>
      </c>
      <c r="BA120" s="135" t="str">
        <f aca="false">IF(ISBLANK($C120),"",IF(AA120=Constants!$B$3,TRUE(),IF(AA120=Constants!$B$4,FALSE(),FALSE())))</f>
        <v/>
      </c>
      <c r="BB120" s="134" t="str">
        <f aca="false">IF(ISBLANK($C120),"",AND($AL120,OR($AM120="",$AN120="",AND($AO120,$AP120=""))))</f>
        <v/>
      </c>
      <c r="BC120" s="137" t="str">
        <f aca="false">IF($BZ120&lt;&gt;Constants!$B$8,"",IF($AL120,Constants!$B$21*$AN120+Constants!$B$22*IF($AO120,$AP120,Constants!$B$23),Constants!$B$24))</f>
        <v/>
      </c>
      <c r="BD120" s="138" t="str">
        <f aca="false">IF($BZ120&lt;&gt;Constants!$B$8,"",Constants!$B$25*ABS($AD$9-IF($AL120,$AM120,0)))</f>
        <v/>
      </c>
      <c r="BE120" s="138" t="str">
        <f aca="false">IF($BZ120&lt;&gt;Constants!$B$8,"",IF(AND($AL120,$AQ120,$AO120),Constants!$B$27,0))</f>
        <v/>
      </c>
      <c r="BF120" s="138" t="str">
        <f aca="false">IF($BZ120&lt;&gt;Constants!$B$8,"",IF($AL120,($AI120-Constants!$B$29)*Constants!$B$28,0))</f>
        <v/>
      </c>
      <c r="BG120" s="138" t="str">
        <f aca="false">IF($BZ120&lt;&gt;Constants!$B$8,"",IF($AK120,0,Constants!$B$15)+IF($AJ120,0,Constants!$B$16)+IF($AH120,0,Constants!$B$17))</f>
        <v/>
      </c>
      <c r="BH120" s="139" t="str">
        <f aca="false">IF($BZ120&lt;&gt;Constants!$B$8,"",Constants!$B$20+SUM($BC120:$BG120))</f>
        <v/>
      </c>
      <c r="BI120" s="138" t="str">
        <f aca="false">IF($BZ120&lt;&gt;Constants!$B$8,"",$BC120)</f>
        <v/>
      </c>
      <c r="BJ120" s="138" t="str">
        <f aca="false">IF($BZ120&lt;&gt;Constants!$B$8,"",$BD120)</f>
        <v/>
      </c>
      <c r="BK120" s="138" t="str">
        <f aca="false">IF($BZ120&lt;&gt;Constants!$B$8,"",IF($AL120,$AN120,""))</f>
        <v/>
      </c>
      <c r="BL120" s="140" t="str">
        <f aca="false">IF($BZ120&lt;&gt;Constants!$B$8,"",$AI120)</f>
        <v/>
      </c>
      <c r="BM120" s="135" t="str">
        <f aca="false">IF($BZ120&lt;&gt;Constants!$B$8,"",IF(OR($BT120&lt;$BH120,AND($BT120=$BH120,OR($BU120&lt;$BI120,AND($BU120=$BI120,OR($BV120&lt;$BJ120,AND($BV120=$BJ120,OR(AND(ISNUMBER($BW120),OR(NOT(ISNUMBER($BK120)),$BW120&lt;$BK120)),AND(OR(AND($BW120="",$BK120=""),AND(ISNUMBER($BW120),ISNUMBER($BK120),$BW120=$BK120)),$BX120&lt;$BL120)))))))),"-&gt;","&lt;-"))</f>
        <v/>
      </c>
      <c r="BN120" s="134" t="str">
        <f aca="false">IF(ISBLANK($C120),"",AND($AT120,OR($AU120="",$AV120="",AND($AW120,$AX120=""))))</f>
        <v/>
      </c>
      <c r="BO120" s="137" t="str">
        <f aca="false">IF($BZ120&lt;&gt;Constants!$B$8,"",IF($AT120,Constants!$B$21*$AV120+Constants!$B$22*IF($AW120,$AX120,Constants!$B$23),Constants!$B$24))</f>
        <v/>
      </c>
      <c r="BP120" s="138" t="str">
        <f aca="false">IF($BZ120&lt;&gt;Constants!$B$8,"",Constants!$B$25*ABS($AD$9-IF($AT120,$AU120,0)))</f>
        <v/>
      </c>
      <c r="BQ120" s="138" t="str">
        <f aca="false">IF($BZ120&lt;&gt;Constants!$B$8,"",IF(AND($AT120,$AY120,$AW120),Constants!$B$27,0))</f>
        <v/>
      </c>
      <c r="BR120" s="138" t="str">
        <f aca="false">IF($BZ120&lt;&gt;Constants!$B$8,"",IF($AT120,($AI120-Constants!$B$29)*Constants!$B$28,0))</f>
        <v/>
      </c>
      <c r="BS120" s="138" t="str">
        <f aca="false">IF($BZ120&lt;&gt;Constants!$B$8,"",IF($AS120,0,Constants!$B$15)+IF($AR120,0,Constants!$B$16)+IF($AH120,0,Constants!$B$17))</f>
        <v/>
      </c>
      <c r="BT120" s="139" t="str">
        <f aca="false">IF($BZ120&lt;&gt;Constants!$B$8,"",Constants!$B$20+SUM($BO120:$BS120))</f>
        <v/>
      </c>
      <c r="BU120" s="138" t="str">
        <f aca="false">IF($BZ120&lt;&gt;Constants!$B$8,"",$BO120)</f>
        <v/>
      </c>
      <c r="BV120" s="138" t="str">
        <f aca="false">IF($BZ120&lt;&gt;Constants!$B$8,"",$BP120)</f>
        <v/>
      </c>
      <c r="BW120" s="138" t="str">
        <f aca="false">IF($BZ120&lt;&gt;Constants!$B$8,"",IF($AT120,$AV120,""))</f>
        <v/>
      </c>
      <c r="BX120" s="140" t="str">
        <f aca="false">IF($BZ120&lt;&gt;Constants!$B$8,"",$AI120)</f>
        <v/>
      </c>
      <c r="BY120" s="135" t="str">
        <f aca="false">IF(ISBLANK($C120),"",IF(ISBLANK($D$7),$BY$5,IF(NOT(ISNUMBER($D$7)),$BY$6,"")))</f>
        <v/>
      </c>
      <c r="BZ120" s="135" t="str">
        <f aca="false">IF(ISBLANK($C120),"",IF($BA120,Constants!$B$11,IF(COUNTA($E120:$AA120)=0,Constants!$B$10,IF(NOT($AG120),Constants!$B$9,IF(OR($BY120&lt;&gt;"",$BB120,$BN120),Constants!$B$12,Constants!$B$8)))))</f>
        <v/>
      </c>
      <c r="CA120" s="135" t="str">
        <f aca="false">IF(ISBLANK($C120),"",IF($BZ120&lt;&gt;Constants!$B$8,$BZ120,Constants!$B$13))</f>
        <v/>
      </c>
      <c r="CB120" s="138" t="str">
        <f aca="false">IF($BZ120&lt;&gt;Constants!$B$8,"",IF($BM120="-&gt;",$BT120,$BH120))</f>
        <v/>
      </c>
      <c r="CC120" s="138" t="str">
        <f aca="false">IF($BZ120&lt;&gt;Constants!$B$8,"",IF($AF120,0,Constants!$B$18))</f>
        <v/>
      </c>
      <c r="CD120" s="138" t="str">
        <f aca="false">IF($BZ120&lt;&gt;Constants!$B$8,"",((Constants!$B$31-$AZ120)-Constants!$B$31)/Constants!$B$32)</f>
        <v/>
      </c>
      <c r="CE120" s="138" t="str">
        <f aca="false">IF(ISBLANK($C120),"",IF($BZ120&lt;&gt;Constants!$B$8,$BZ120,SUM($CB120:$CD120)))</f>
        <v/>
      </c>
      <c r="CF120" s="135" t="str">
        <f aca="false">IF(ISBLANK($C120),"",IF($BZ120&lt;&gt;Constants!$B$8,$BZ120,RANK($CE120,$CE$9:$CE$508,1)))</f>
        <v/>
      </c>
      <c r="CG120" s="138" t="str">
        <f aca="false">IF($BZ120&lt;&gt;Constants!$B$8,"",IF($BM120="-&gt;",$BU120,$BI120))</f>
        <v/>
      </c>
      <c r="CH120" s="135" t="str">
        <f aca="false">IF(ISBLANK($C120),"",IF($BZ120&lt;&gt;Constants!$B$8,$BZ120,IF(ISNUMBER($CG120),RANK($CG120,$CG$9:$CG$508,1),COUNT($CG$9:$CG$508)+1)))</f>
        <v/>
      </c>
      <c r="CI120" s="138" t="str">
        <f aca="false">IF($BZ120&lt;&gt;Constants!$B$8,"",IF($BM120="-&gt;",$BV120,$BJ120))</f>
        <v/>
      </c>
      <c r="CJ120" s="135" t="str">
        <f aca="false">IF(ISBLANK($C120),"",IF($BZ120&lt;&gt;Constants!$B$8,$BZ120,IF(ISNUMBER($CI120),RANK($CI120,$CI$9:$CI$508,1),COUNT($CI$9:$CI$508)+1)))</f>
        <v/>
      </c>
      <c r="CK120" s="138" t="str">
        <f aca="false">IF($BZ120&lt;&gt;Constants!$B$8,"",IF($BM120="-&gt;",$BW120,$BK120))</f>
        <v/>
      </c>
      <c r="CL120" s="135" t="str">
        <f aca="false">IF(ISBLANK($C120),"",IF($BZ120&lt;&gt;Constants!$B$8,$BZ120,IF(ISNUMBER($CK120),RANK($CK120,$CK$9:$CK$508,1),COUNT($CK$9:$CK$508)+1)))</f>
        <v/>
      </c>
      <c r="CM120" s="138" t="str">
        <f aca="false">IF($BZ120&lt;&gt;Constants!$B$8,"",IF(AND(NOT($AL120),NOT($AT120),$AJ120,$AK120,$AR120,$AS120),"",IF($BM120="-&gt;",$BX120,$BL120)))</f>
        <v/>
      </c>
      <c r="CN120" s="135" t="str">
        <f aca="false">IF(ISBLANK($C120),"",IF($BZ120&lt;&gt;Constants!$B$8,$BZ120,IF(ISNUMBER($CM120),RANK($CM120,$CM$9:$CM$508,1),COUNT($CM$9:$CM$508)+1)))</f>
        <v/>
      </c>
      <c r="CO120" s="135" t="str">
        <f aca="false">IF(ISBLANK($C120),"",IF($BZ120&lt;&gt;Constants!$B$8,$BZ120,COUNTIFS($CF$9:$CF$508,"&lt;"&amp;$CF120)+COUNTIFS($CF$9:$CF$508,$CF120,$CH$9:$CH$508,"&lt;"&amp;$CH120)+COUNTIFS($CF$9:$CF$508,$CF120,$CH$9:$CH$508,$CH120,$CJ$9:$CJ$508,"&lt;"&amp;$CJ120)+COUNTIFS($CF$9:$CF$508,$CF120,$CH$9:$CH$508,$CH120,$CJ$9:$CJ$508,$CJ120,$CL$9:$CL$508,"&lt;"&amp;$CL120)+COUNTIFS($CF$9:$CF$508,$CF120,$CH$9:$CH$508,$CH120,$CJ$9:$CJ$508,$CJ120,$CL$9:$CL$508,$CL120,$CN$9:$CN$508,"&lt;"&amp;$CN120)+1))</f>
        <v/>
      </c>
      <c r="CP120" s="135" t="str">
        <f aca="false">IF(ISBLANK($C120),"",IF($BZ120&lt;&gt;Constants!$B$8,$BZ120,$CF120-$CO120))</f>
        <v/>
      </c>
      <c r="CQ120" s="141"/>
      <c r="CR120" s="142"/>
      <c r="CS120" s="143" t="str">
        <f aca="false">IF(ISBLANK($C120),"",IF($BZ120=Constants!$B$12,$BY120,""))</f>
        <v/>
      </c>
      <c r="CT120" s="142" t="str">
        <f aca="false">IF(ISBLANK($C120),"",IF($BZ120&lt;&gt;Constants!$B$8,"",IF($BM120="-&gt;",2,1)))</f>
        <v/>
      </c>
      <c r="CU120" s="144" t="str">
        <f aca="false">IF(ISBLANK($C120),"",IF($BZ120&lt;&gt;Constants!$B$8,"",IF($BM120="-&gt;",$BO120,$BC120)))</f>
        <v/>
      </c>
      <c r="CV120" s="144" t="str">
        <f aca="false">IF(ISBLANK($C120),"",IF($BZ120&lt;&gt;Constants!$B$8,"",IF($BM120="-&gt;",$BP120,$BD120)))</f>
        <v/>
      </c>
      <c r="CW120" s="144" t="str">
        <f aca="false">IF(ISBLANK($C120),"",IF($BZ120&lt;&gt;Constants!$B$8,"",IF($BM120="-&gt;",$BQ120+$BR120,$BE120+$BF120)+$CD120))</f>
        <v/>
      </c>
      <c r="CX120" s="144" t="str">
        <f aca="false">IF(ISBLANK($C120),"",IF($BZ120&lt;&gt;Constants!$B$8,"",IF($BM120="-&gt;",$BS120,$BG120)+$CC120))</f>
        <v/>
      </c>
      <c r="CY120" s="145" t="str">
        <f aca="false">IF(ISBLANK($C120),"",IF($BZ120&lt;&gt;Constants!$B$8,$BZ120,$CE120))</f>
        <v/>
      </c>
      <c r="CZ120" s="146" t="str">
        <f aca="false">IF(ISBLANK($C120),"",$CA120)</f>
        <v/>
      </c>
      <c r="DA120" s="147" t="str">
        <f aca="false">IF(ISBLANK($C120),"",$CP120)</f>
        <v/>
      </c>
      <c r="DB120" s="147" t="str">
        <f aca="false">IF(ISBLANK($C120),"",$CO120)</f>
        <v/>
      </c>
      <c r="DC120" s="148" t="str">
        <f aca="false">IF(ISBLANK($C120),"",IFERROR(_xlfn.SWITCH($DB120,Constants!$B$11,COUNTA($C$9:$C$508)+2,Constants!$B$10,COUNTA($C$9:$C$508)+1,Constants!$B$9,COUNTA($C$9:$C$508)),$DB120))</f>
        <v/>
      </c>
      <c r="DD120" s="9"/>
      <c r="DE120" s="149" t="n">
        <f aca="false">IF(OR(ISNUMBER($DB120),$DB120=Constants!$B$11,$DB120=Constants!$B$9,$DB120=Constants!$B$10),1,0)</f>
        <v>0</v>
      </c>
      <c r="DF120" s="149" t="n">
        <v>112</v>
      </c>
      <c r="DG120" s="149" t="str">
        <f aca="false">IF(ISBLANK($C120),"",IF(ISNUMBER($DC120),$DC120+ROW($B120)/1000,""))</f>
        <v/>
      </c>
      <c r="DH120" s="149" t="str">
        <f aca="false">IF(ISNUMBER($DG120),RANK($DG120,$DG$9:$DG$508,1),"")</f>
        <v/>
      </c>
      <c r="DI120" s="149" t="str">
        <f aca="false">IF(ISBLANK($C120),"",$B120)</f>
        <v/>
      </c>
      <c r="DJ120" s="149" t="str">
        <f aca="false">IF(ISBLANK($C120),"",$C120)</f>
        <v/>
      </c>
      <c r="DK120" s="149" t="str">
        <f aca="false">IF(ISBLANK($C120),"",$D120)</f>
        <v/>
      </c>
      <c r="DL120" s="150" t="str">
        <f aca="false">$CZ120</f>
        <v/>
      </c>
      <c r="DM120" s="151" t="str">
        <f aca="false">$CY120</f>
        <v/>
      </c>
      <c r="DN120" s="149" t="str">
        <f aca="false">IF(ISBLANK($C120),"",$DB120)</f>
        <v/>
      </c>
      <c r="DO120" s="152" t="str">
        <f aca="false">IF($DF120&gt;$DE$8,"",VLOOKUP($DF120,$DH$9:$DN$508,7,FALSE()))</f>
        <v/>
      </c>
      <c r="DP120" s="153" t="str">
        <f aca="false">IF($DF120&gt;$DE$8,"",VLOOKUP($DF120,$DH$9:$DN$508,2,FALSE()))</f>
        <v/>
      </c>
      <c r="DQ120" s="153" t="str">
        <f aca="false">IF($DF120&gt;$DE$8,"",VLOOKUP($DF120,$DH$9:$DN$508,3,FALSE()))</f>
        <v/>
      </c>
      <c r="DR120" s="153" t="str">
        <f aca="false">IF($DF120&gt;$DE$8,"",VLOOKUP($DF120,$DH$9:$DN$508,4,FALSE()))</f>
        <v/>
      </c>
      <c r="DS120" s="153" t="str">
        <f aca="false">IF($DF120&gt;$DE$8,"",VLOOKUP($DF120,$DH$9:$DN$508,5,FALSE()))</f>
        <v/>
      </c>
      <c r="DT120" s="154" t="str">
        <f aca="false">IF($DF120&gt;$DE$8,"",VLOOKUP($DF120,$DH$9:$DN$508,6,FALSE()))</f>
        <v/>
      </c>
      <c r="DU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IF(ISBLANK($C121),"",IF(E121=Constants!$B$3,TRUE(),IF(E121=Constants!$B$4,FALSE(),TRUE())))</f>
        <v/>
      </c>
      <c r="AG121" s="135" t="str">
        <f aca="false">IF(ISBLANK($C121),"",IF(F121=Constants!$B$3,TRUE(),IF(F121=Constants!$B$4,FALSE(),TRUE())))</f>
        <v/>
      </c>
      <c r="AH121" s="135" t="str">
        <f aca="false">IF(ISBLANK($C121),"",IF(G121=Constants!$B$3,TRUE(),IF(G121=Constants!$B$4,FALSE(),TRUE())))</f>
        <v/>
      </c>
      <c r="AI121" s="135" t="str">
        <f aca="false">IF(ISBLANK($C121),"",IF(AND(ISNUMBER(H121),H121&gt;=0),H121,Constants!$B$29))</f>
        <v/>
      </c>
      <c r="AJ121" s="135" t="str">
        <f aca="false">IF(ISBLANK($C121),"",IF(I121=Constants!$B$3,TRUE(),IF(I121=Constants!$B$4,FALSE(),TRUE())))</f>
        <v/>
      </c>
      <c r="AK121" s="135" t="str">
        <f aca="false">IF(ISBLANK($C121),"",IF(J121=Constants!$B$3,TRUE(),IF(J121=Constants!$B$4,FALSE(),TRUE())))</f>
        <v/>
      </c>
      <c r="AL121" s="135" t="str">
        <f aca="false">IF(ISBLANK($C121),"",IF(K121=Constants!$B$5,TRUE(),IF(K121=Constants!$B$6,FALSE(),COUNTA(L121:P121)&gt;0)))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IF(ISBLANK($C121),"",IF(N121=Constants!$B$3,TRUE(),IF(N121=Constants!$B$4,FALSE(),TRUE())))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IF(ISBLANK($C121),"",IF(P121=Constants!$B$3,TRUE(),IF(P121=Constants!$B$4,FALSE(),FALSE())))</f>
        <v/>
      </c>
      <c r="AR121" s="135" t="str">
        <f aca="false">IF(ISBLANK($C121),"",IF(Q121=Constants!$B$3,TRUE(),IF(Q121=Constants!$B$4,FALSE(),TRUE())))</f>
        <v/>
      </c>
      <c r="AS121" s="135" t="str">
        <f aca="false">IF(ISBLANK($C121),"",IF(R121=Constants!$B$3,TRUE(),IF(R121=Constants!$B$4,FALSE(),TRUE())))</f>
        <v/>
      </c>
      <c r="AT121" s="135" t="str">
        <f aca="false">IF(ISBLANK($C121),"",IF(S121=Constants!$B$5,TRUE(),IF(S121=Constants!$B$6,FALSE(),COUNTA(T121:X121)&gt;0)))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IF(ISBLANK($C121),"",IF(V121=Constants!$B$3,TRUE(),IF(V121=Constants!$B$4,FALSE(),TRUE())))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IF(ISBLANK($C121),"",IF(X121=Constants!$B$3,TRUE(),IF(X121=Constants!$B$4,FALSE(),FALSE())))</f>
        <v/>
      </c>
      <c r="AZ121" s="135" t="str">
        <f aca="false">IF(ISBLANK($C121),"",MIN(Constants!$B$31,MAX(0,IF(ISNUMBER(Y121),Y121*60,0)+IF(ISNUMBER(Z121),Z121,0))))</f>
        <v/>
      </c>
      <c r="BA121" s="135" t="str">
        <f aca="false">IF(ISBLANK($C121),"",IF(AA121=Constants!$B$3,TRUE(),IF(AA121=Constants!$B$4,FALSE(),FALSE())))</f>
        <v/>
      </c>
      <c r="BB121" s="134" t="str">
        <f aca="false">IF(ISBLANK($C121),"",AND($AL121,OR($AM121="",$AN121="",AND($AO121,$AP121=""))))</f>
        <v/>
      </c>
      <c r="BC121" s="137" t="str">
        <f aca="false">IF($BZ121&lt;&gt;Constants!$B$8,"",IF($AL121,Constants!$B$21*$AN121+Constants!$B$22*IF($AO121,$AP121,Constants!$B$23),Constants!$B$24))</f>
        <v/>
      </c>
      <c r="BD121" s="138" t="str">
        <f aca="false">IF($BZ121&lt;&gt;Constants!$B$8,"",Constants!$B$25*ABS($AD$9-IF($AL121,$AM121,0)))</f>
        <v/>
      </c>
      <c r="BE121" s="138" t="str">
        <f aca="false">IF($BZ121&lt;&gt;Constants!$B$8,"",IF(AND($AL121,$AQ121,$AO121),Constants!$B$27,0))</f>
        <v/>
      </c>
      <c r="BF121" s="138" t="str">
        <f aca="false">IF($BZ121&lt;&gt;Constants!$B$8,"",IF($AL121,($AI121-Constants!$B$29)*Constants!$B$28,0))</f>
        <v/>
      </c>
      <c r="BG121" s="138" t="str">
        <f aca="false">IF($BZ121&lt;&gt;Constants!$B$8,"",IF($AK121,0,Constants!$B$15)+IF($AJ121,0,Constants!$B$16)+IF($AH121,0,Constants!$B$17))</f>
        <v/>
      </c>
      <c r="BH121" s="139" t="str">
        <f aca="false">IF($BZ121&lt;&gt;Constants!$B$8,"",Constants!$B$20+SUM($BC121:$BG121))</f>
        <v/>
      </c>
      <c r="BI121" s="138" t="str">
        <f aca="false">IF($BZ121&lt;&gt;Constants!$B$8,"",$BC121)</f>
        <v/>
      </c>
      <c r="BJ121" s="138" t="str">
        <f aca="false">IF($BZ121&lt;&gt;Constants!$B$8,"",$BD121)</f>
        <v/>
      </c>
      <c r="BK121" s="138" t="str">
        <f aca="false">IF($BZ121&lt;&gt;Constants!$B$8,"",IF($AL121,$AN121,""))</f>
        <v/>
      </c>
      <c r="BL121" s="140" t="str">
        <f aca="false">IF($BZ121&lt;&gt;Constants!$B$8,"",$AI121)</f>
        <v/>
      </c>
      <c r="BM121" s="135" t="str">
        <f aca="false">IF($BZ121&lt;&gt;Constants!$B$8,"",IF(OR($BT121&lt;$BH121,AND($BT121=$BH121,OR($BU121&lt;$BI121,AND($BU121=$BI121,OR($BV121&lt;$BJ121,AND($BV121=$BJ121,OR(AND(ISNUMBER($BW121),OR(NOT(ISNUMBER($BK121)),$BW121&lt;$BK121)),AND(OR(AND($BW121="",$BK121=""),AND(ISNUMBER($BW121),ISNUMBER($BK121),$BW121=$BK121)),$BX121&lt;$BL121)))))))),"-&gt;","&lt;-"))</f>
        <v/>
      </c>
      <c r="BN121" s="134" t="str">
        <f aca="false">IF(ISBLANK($C121),"",AND($AT121,OR($AU121="",$AV121="",AND($AW121,$AX121=""))))</f>
        <v/>
      </c>
      <c r="BO121" s="137" t="str">
        <f aca="false">IF($BZ121&lt;&gt;Constants!$B$8,"",IF($AT121,Constants!$B$21*$AV121+Constants!$B$22*IF($AW121,$AX121,Constants!$B$23),Constants!$B$24))</f>
        <v/>
      </c>
      <c r="BP121" s="138" t="str">
        <f aca="false">IF($BZ121&lt;&gt;Constants!$B$8,"",Constants!$B$25*ABS($AD$9-IF($AT121,$AU121,0)))</f>
        <v/>
      </c>
      <c r="BQ121" s="138" t="str">
        <f aca="false">IF($BZ121&lt;&gt;Constants!$B$8,"",IF(AND($AT121,$AY121,$AW121),Constants!$B$27,0))</f>
        <v/>
      </c>
      <c r="BR121" s="138" t="str">
        <f aca="false">IF($BZ121&lt;&gt;Constants!$B$8,"",IF($AT121,($AI121-Constants!$B$29)*Constants!$B$28,0))</f>
        <v/>
      </c>
      <c r="BS121" s="138" t="str">
        <f aca="false">IF($BZ121&lt;&gt;Constants!$B$8,"",IF($AS121,0,Constants!$B$15)+IF($AR121,0,Constants!$B$16)+IF($AH121,0,Constants!$B$17))</f>
        <v/>
      </c>
      <c r="BT121" s="139" t="str">
        <f aca="false">IF($BZ121&lt;&gt;Constants!$B$8,"",Constants!$B$20+SUM($BO121:$BS121))</f>
        <v/>
      </c>
      <c r="BU121" s="138" t="str">
        <f aca="false">IF($BZ121&lt;&gt;Constants!$B$8,"",$BO121)</f>
        <v/>
      </c>
      <c r="BV121" s="138" t="str">
        <f aca="false">IF($BZ121&lt;&gt;Constants!$B$8,"",$BP121)</f>
        <v/>
      </c>
      <c r="BW121" s="138" t="str">
        <f aca="false">IF($BZ121&lt;&gt;Constants!$B$8,"",IF($AT121,$AV121,""))</f>
        <v/>
      </c>
      <c r="BX121" s="140" t="str">
        <f aca="false">IF($BZ121&lt;&gt;Constants!$B$8,"",$AI121)</f>
        <v/>
      </c>
      <c r="BY121" s="135" t="str">
        <f aca="false">IF(ISBLANK($C121),"",IF(ISBLANK($D$7),$BY$5,IF(NOT(ISNUMBER($D$7)),$BY$6,"")))</f>
        <v/>
      </c>
      <c r="BZ121" s="135" t="str">
        <f aca="false">IF(ISBLANK($C121),"",IF($BA121,Constants!$B$11,IF(COUNTA($E121:$AA121)=0,Constants!$B$10,IF(NOT($AG121),Constants!$B$9,IF(OR($BY121&lt;&gt;"",$BB121,$BN121),Constants!$B$12,Constants!$B$8)))))</f>
        <v/>
      </c>
      <c r="CA121" s="135" t="str">
        <f aca="false">IF(ISBLANK($C121),"",IF($BZ121&lt;&gt;Constants!$B$8,$BZ121,Constants!$B$13))</f>
        <v/>
      </c>
      <c r="CB121" s="138" t="str">
        <f aca="false">IF($BZ121&lt;&gt;Constants!$B$8,"",IF($BM121="-&gt;",$BT121,$BH121))</f>
        <v/>
      </c>
      <c r="CC121" s="138" t="str">
        <f aca="false">IF($BZ121&lt;&gt;Constants!$B$8,"",IF($AF121,0,Constants!$B$18))</f>
        <v/>
      </c>
      <c r="CD121" s="138" t="str">
        <f aca="false">IF($BZ121&lt;&gt;Constants!$B$8,"",((Constants!$B$31-$AZ121)-Constants!$B$31)/Constants!$B$32)</f>
        <v/>
      </c>
      <c r="CE121" s="138" t="str">
        <f aca="false">IF(ISBLANK($C121),"",IF($BZ121&lt;&gt;Constants!$B$8,$BZ121,SUM($CB121:$CD121)))</f>
        <v/>
      </c>
      <c r="CF121" s="135" t="str">
        <f aca="false">IF(ISBLANK($C121),"",IF($BZ121&lt;&gt;Constants!$B$8,$BZ121,RANK($CE121,$CE$9:$CE$508,1)))</f>
        <v/>
      </c>
      <c r="CG121" s="138" t="str">
        <f aca="false">IF($BZ121&lt;&gt;Constants!$B$8,"",IF($BM121="-&gt;",$BU121,$BI121))</f>
        <v/>
      </c>
      <c r="CH121" s="135" t="str">
        <f aca="false">IF(ISBLANK($C121),"",IF($BZ121&lt;&gt;Constants!$B$8,$BZ121,IF(ISNUMBER($CG121),RANK($CG121,$CG$9:$CG$508,1),COUNT($CG$9:$CG$508)+1)))</f>
        <v/>
      </c>
      <c r="CI121" s="138" t="str">
        <f aca="false">IF($BZ121&lt;&gt;Constants!$B$8,"",IF($BM121="-&gt;",$BV121,$BJ121))</f>
        <v/>
      </c>
      <c r="CJ121" s="135" t="str">
        <f aca="false">IF(ISBLANK($C121),"",IF($BZ121&lt;&gt;Constants!$B$8,$BZ121,IF(ISNUMBER($CI121),RANK($CI121,$CI$9:$CI$508,1),COUNT($CI$9:$CI$508)+1)))</f>
        <v/>
      </c>
      <c r="CK121" s="138" t="str">
        <f aca="false">IF($BZ121&lt;&gt;Constants!$B$8,"",IF($BM121="-&gt;",$BW121,$BK121))</f>
        <v/>
      </c>
      <c r="CL121" s="135" t="str">
        <f aca="false">IF(ISBLANK($C121),"",IF($BZ121&lt;&gt;Constants!$B$8,$BZ121,IF(ISNUMBER($CK121),RANK($CK121,$CK$9:$CK$508,1),COUNT($CK$9:$CK$508)+1)))</f>
        <v/>
      </c>
      <c r="CM121" s="138" t="str">
        <f aca="false">IF($BZ121&lt;&gt;Constants!$B$8,"",IF(AND(NOT($AL121),NOT($AT121),$AJ121,$AK121,$AR121,$AS121),"",IF($BM121="-&gt;",$BX121,$BL121)))</f>
        <v/>
      </c>
      <c r="CN121" s="135" t="str">
        <f aca="false">IF(ISBLANK($C121),"",IF($BZ121&lt;&gt;Constants!$B$8,$BZ121,IF(ISNUMBER($CM121),RANK($CM121,$CM$9:$CM$508,1),COUNT($CM$9:$CM$508)+1)))</f>
        <v/>
      </c>
      <c r="CO121" s="135" t="str">
        <f aca="false">IF(ISBLANK($C121),"",IF($BZ121&lt;&gt;Constants!$B$8,$BZ121,COUNTIFS($CF$9:$CF$508,"&lt;"&amp;$CF121)+COUNTIFS($CF$9:$CF$508,$CF121,$CH$9:$CH$508,"&lt;"&amp;$CH121)+COUNTIFS($CF$9:$CF$508,$CF121,$CH$9:$CH$508,$CH121,$CJ$9:$CJ$508,"&lt;"&amp;$CJ121)+COUNTIFS($CF$9:$CF$508,$CF121,$CH$9:$CH$508,$CH121,$CJ$9:$CJ$508,$CJ121,$CL$9:$CL$508,"&lt;"&amp;$CL121)+COUNTIFS($CF$9:$CF$508,$CF121,$CH$9:$CH$508,$CH121,$CJ$9:$CJ$508,$CJ121,$CL$9:$CL$508,$CL121,$CN$9:$CN$508,"&lt;"&amp;$CN121)+1))</f>
        <v/>
      </c>
      <c r="CP121" s="135" t="str">
        <f aca="false">IF(ISBLANK($C121),"",IF($BZ121&lt;&gt;Constants!$B$8,$BZ121,$CF121-$CO121))</f>
        <v/>
      </c>
      <c r="CQ121" s="141"/>
      <c r="CR121" s="142"/>
      <c r="CS121" s="143" t="str">
        <f aca="false">IF(ISBLANK($C121),"",IF($BZ121=Constants!$B$12,$BY121,""))</f>
        <v/>
      </c>
      <c r="CT121" s="142" t="str">
        <f aca="false">IF(ISBLANK($C121),"",IF($BZ121&lt;&gt;Constants!$B$8,"",IF($BM121="-&gt;",2,1)))</f>
        <v/>
      </c>
      <c r="CU121" s="144" t="str">
        <f aca="false">IF(ISBLANK($C121),"",IF($BZ121&lt;&gt;Constants!$B$8,"",IF($BM121="-&gt;",$BO121,$BC121)))</f>
        <v/>
      </c>
      <c r="CV121" s="144" t="str">
        <f aca="false">IF(ISBLANK($C121),"",IF($BZ121&lt;&gt;Constants!$B$8,"",IF($BM121="-&gt;",$BP121,$BD121)))</f>
        <v/>
      </c>
      <c r="CW121" s="144" t="str">
        <f aca="false">IF(ISBLANK($C121),"",IF($BZ121&lt;&gt;Constants!$B$8,"",IF($BM121="-&gt;",$BQ121+$BR121,$BE121+$BF121)+$CD121))</f>
        <v/>
      </c>
      <c r="CX121" s="144" t="str">
        <f aca="false">IF(ISBLANK($C121),"",IF($BZ121&lt;&gt;Constants!$B$8,"",IF($BM121="-&gt;",$BS121,$BG121)+$CC121))</f>
        <v/>
      </c>
      <c r="CY121" s="145" t="str">
        <f aca="false">IF(ISBLANK($C121),"",IF($BZ121&lt;&gt;Constants!$B$8,$BZ121,$CE121))</f>
        <v/>
      </c>
      <c r="CZ121" s="146" t="str">
        <f aca="false">IF(ISBLANK($C121),"",$CA121)</f>
        <v/>
      </c>
      <c r="DA121" s="147" t="str">
        <f aca="false">IF(ISBLANK($C121),"",$CP121)</f>
        <v/>
      </c>
      <c r="DB121" s="147" t="str">
        <f aca="false">IF(ISBLANK($C121),"",$CO121)</f>
        <v/>
      </c>
      <c r="DC121" s="148" t="str">
        <f aca="false">IF(ISBLANK($C121),"",IFERROR(_xlfn.SWITCH($DB121,Constants!$B$11,COUNTA($C$9:$C$508)+2,Constants!$B$10,COUNTA($C$9:$C$508)+1,Constants!$B$9,COUNTA($C$9:$C$508)),$DB121))</f>
        <v/>
      </c>
      <c r="DD121" s="9"/>
      <c r="DE121" s="149" t="n">
        <f aca="false">IF(OR(ISNUMBER($DB121),$DB121=Constants!$B$11,$DB121=Constants!$B$9,$DB121=Constants!$B$10),1,0)</f>
        <v>0</v>
      </c>
      <c r="DF121" s="149" t="n">
        <v>113</v>
      </c>
      <c r="DG121" s="149" t="str">
        <f aca="false">IF(ISBLANK($C121),"",IF(ISNUMBER($DC121),$DC121+ROW($B121)/1000,""))</f>
        <v/>
      </c>
      <c r="DH121" s="149" t="str">
        <f aca="false">IF(ISNUMBER($DG121),RANK($DG121,$DG$9:$DG$508,1),"")</f>
        <v/>
      </c>
      <c r="DI121" s="149" t="str">
        <f aca="false">IF(ISBLANK($C121),"",$B121)</f>
        <v/>
      </c>
      <c r="DJ121" s="149" t="str">
        <f aca="false">IF(ISBLANK($C121),"",$C121)</f>
        <v/>
      </c>
      <c r="DK121" s="149" t="str">
        <f aca="false">IF(ISBLANK($C121),"",$D121)</f>
        <v/>
      </c>
      <c r="DL121" s="150" t="str">
        <f aca="false">$CZ121</f>
        <v/>
      </c>
      <c r="DM121" s="151" t="str">
        <f aca="false">$CY121</f>
        <v/>
      </c>
      <c r="DN121" s="149" t="str">
        <f aca="false">IF(ISBLANK($C121),"",$DB121)</f>
        <v/>
      </c>
      <c r="DO121" s="152" t="str">
        <f aca="false">IF($DF121&gt;$DE$8,"",VLOOKUP($DF121,$DH$9:$DN$508,7,FALSE()))</f>
        <v/>
      </c>
      <c r="DP121" s="153" t="str">
        <f aca="false">IF($DF121&gt;$DE$8,"",VLOOKUP($DF121,$DH$9:$DN$508,2,FALSE()))</f>
        <v/>
      </c>
      <c r="DQ121" s="153" t="str">
        <f aca="false">IF($DF121&gt;$DE$8,"",VLOOKUP($DF121,$DH$9:$DN$508,3,FALSE()))</f>
        <v/>
      </c>
      <c r="DR121" s="153" t="str">
        <f aca="false">IF($DF121&gt;$DE$8,"",VLOOKUP($DF121,$DH$9:$DN$508,4,FALSE()))</f>
        <v/>
      </c>
      <c r="DS121" s="153" t="str">
        <f aca="false">IF($DF121&gt;$DE$8,"",VLOOKUP($DF121,$DH$9:$DN$508,5,FALSE()))</f>
        <v/>
      </c>
      <c r="DT121" s="154" t="str">
        <f aca="false">IF($DF121&gt;$DE$8,"",VLOOKUP($DF121,$DH$9:$DN$508,6,FALSE()))</f>
        <v/>
      </c>
      <c r="DU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IF(ISBLANK($C122),"",IF(E122=Constants!$B$3,TRUE(),IF(E122=Constants!$B$4,FALSE(),TRUE())))</f>
        <v/>
      </c>
      <c r="AG122" s="135" t="str">
        <f aca="false">IF(ISBLANK($C122),"",IF(F122=Constants!$B$3,TRUE(),IF(F122=Constants!$B$4,FALSE(),TRUE())))</f>
        <v/>
      </c>
      <c r="AH122" s="135" t="str">
        <f aca="false">IF(ISBLANK($C122),"",IF(G122=Constants!$B$3,TRUE(),IF(G122=Constants!$B$4,FALSE(),TRUE())))</f>
        <v/>
      </c>
      <c r="AI122" s="135" t="str">
        <f aca="false">IF(ISBLANK($C122),"",IF(AND(ISNUMBER(H122),H122&gt;=0),H122,Constants!$B$29))</f>
        <v/>
      </c>
      <c r="AJ122" s="135" t="str">
        <f aca="false">IF(ISBLANK($C122),"",IF(I122=Constants!$B$3,TRUE(),IF(I122=Constants!$B$4,FALSE(),TRUE())))</f>
        <v/>
      </c>
      <c r="AK122" s="135" t="str">
        <f aca="false">IF(ISBLANK($C122),"",IF(J122=Constants!$B$3,TRUE(),IF(J122=Constants!$B$4,FALSE(),TRUE())))</f>
        <v/>
      </c>
      <c r="AL122" s="135" t="str">
        <f aca="false">IF(ISBLANK($C122),"",IF(K122=Constants!$B$5,TRUE(),IF(K122=Constants!$B$6,FALSE(),COUNTA(L122:P122)&gt;0)))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IF(ISBLANK($C122),"",IF(N122=Constants!$B$3,TRUE(),IF(N122=Constants!$B$4,FALSE(),TRUE())))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IF(ISBLANK($C122),"",IF(P122=Constants!$B$3,TRUE(),IF(P122=Constants!$B$4,FALSE(),FALSE())))</f>
        <v/>
      </c>
      <c r="AR122" s="135" t="str">
        <f aca="false">IF(ISBLANK($C122),"",IF(Q122=Constants!$B$3,TRUE(),IF(Q122=Constants!$B$4,FALSE(),TRUE())))</f>
        <v/>
      </c>
      <c r="AS122" s="135" t="str">
        <f aca="false">IF(ISBLANK($C122),"",IF(R122=Constants!$B$3,TRUE(),IF(R122=Constants!$B$4,FALSE(),TRUE())))</f>
        <v/>
      </c>
      <c r="AT122" s="135" t="str">
        <f aca="false">IF(ISBLANK($C122),"",IF(S122=Constants!$B$5,TRUE(),IF(S122=Constants!$B$6,FALSE(),COUNTA(T122:X122)&gt;0)))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IF(ISBLANK($C122),"",IF(V122=Constants!$B$3,TRUE(),IF(V122=Constants!$B$4,FALSE(),TRUE())))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IF(ISBLANK($C122),"",IF(X122=Constants!$B$3,TRUE(),IF(X122=Constants!$B$4,FALSE(),FALSE())))</f>
        <v/>
      </c>
      <c r="AZ122" s="135" t="str">
        <f aca="false">IF(ISBLANK($C122),"",MIN(Constants!$B$31,MAX(0,IF(ISNUMBER(Y122),Y122*60,0)+IF(ISNUMBER(Z122),Z122,0))))</f>
        <v/>
      </c>
      <c r="BA122" s="135" t="str">
        <f aca="false">IF(ISBLANK($C122),"",IF(AA122=Constants!$B$3,TRUE(),IF(AA122=Constants!$B$4,FALSE(),FALSE())))</f>
        <v/>
      </c>
      <c r="BB122" s="134" t="str">
        <f aca="false">IF(ISBLANK($C122),"",AND($AL122,OR($AM122="",$AN122="",AND($AO122,$AP122=""))))</f>
        <v/>
      </c>
      <c r="BC122" s="137" t="str">
        <f aca="false">IF($BZ122&lt;&gt;Constants!$B$8,"",IF($AL122,Constants!$B$21*$AN122+Constants!$B$22*IF($AO122,$AP122,Constants!$B$23),Constants!$B$24))</f>
        <v/>
      </c>
      <c r="BD122" s="138" t="str">
        <f aca="false">IF($BZ122&lt;&gt;Constants!$B$8,"",Constants!$B$25*ABS($AD$9-IF($AL122,$AM122,0)))</f>
        <v/>
      </c>
      <c r="BE122" s="138" t="str">
        <f aca="false">IF($BZ122&lt;&gt;Constants!$B$8,"",IF(AND($AL122,$AQ122,$AO122),Constants!$B$27,0))</f>
        <v/>
      </c>
      <c r="BF122" s="138" t="str">
        <f aca="false">IF($BZ122&lt;&gt;Constants!$B$8,"",IF($AL122,($AI122-Constants!$B$29)*Constants!$B$28,0))</f>
        <v/>
      </c>
      <c r="BG122" s="138" t="str">
        <f aca="false">IF($BZ122&lt;&gt;Constants!$B$8,"",IF($AK122,0,Constants!$B$15)+IF($AJ122,0,Constants!$B$16)+IF($AH122,0,Constants!$B$17))</f>
        <v/>
      </c>
      <c r="BH122" s="139" t="str">
        <f aca="false">IF($BZ122&lt;&gt;Constants!$B$8,"",Constants!$B$20+SUM($BC122:$BG122))</f>
        <v/>
      </c>
      <c r="BI122" s="138" t="str">
        <f aca="false">IF($BZ122&lt;&gt;Constants!$B$8,"",$BC122)</f>
        <v/>
      </c>
      <c r="BJ122" s="138" t="str">
        <f aca="false">IF($BZ122&lt;&gt;Constants!$B$8,"",$BD122)</f>
        <v/>
      </c>
      <c r="BK122" s="138" t="str">
        <f aca="false">IF($BZ122&lt;&gt;Constants!$B$8,"",IF($AL122,$AN122,""))</f>
        <v/>
      </c>
      <c r="BL122" s="140" t="str">
        <f aca="false">IF($BZ122&lt;&gt;Constants!$B$8,"",$AI122)</f>
        <v/>
      </c>
      <c r="BM122" s="135" t="str">
        <f aca="false">IF($BZ122&lt;&gt;Constants!$B$8,"",IF(OR($BT122&lt;$BH122,AND($BT122=$BH122,OR($BU122&lt;$BI122,AND($BU122=$BI122,OR($BV122&lt;$BJ122,AND($BV122=$BJ122,OR(AND(ISNUMBER($BW122),OR(NOT(ISNUMBER($BK122)),$BW122&lt;$BK122)),AND(OR(AND($BW122="",$BK122=""),AND(ISNUMBER($BW122),ISNUMBER($BK122),$BW122=$BK122)),$BX122&lt;$BL122)))))))),"-&gt;","&lt;-"))</f>
        <v/>
      </c>
      <c r="BN122" s="134" t="str">
        <f aca="false">IF(ISBLANK($C122),"",AND($AT122,OR($AU122="",$AV122="",AND($AW122,$AX122=""))))</f>
        <v/>
      </c>
      <c r="BO122" s="137" t="str">
        <f aca="false">IF($BZ122&lt;&gt;Constants!$B$8,"",IF($AT122,Constants!$B$21*$AV122+Constants!$B$22*IF($AW122,$AX122,Constants!$B$23),Constants!$B$24))</f>
        <v/>
      </c>
      <c r="BP122" s="138" t="str">
        <f aca="false">IF($BZ122&lt;&gt;Constants!$B$8,"",Constants!$B$25*ABS($AD$9-IF($AT122,$AU122,0)))</f>
        <v/>
      </c>
      <c r="BQ122" s="138" t="str">
        <f aca="false">IF($BZ122&lt;&gt;Constants!$B$8,"",IF(AND($AT122,$AY122,$AW122),Constants!$B$27,0))</f>
        <v/>
      </c>
      <c r="BR122" s="138" t="str">
        <f aca="false">IF($BZ122&lt;&gt;Constants!$B$8,"",IF($AT122,($AI122-Constants!$B$29)*Constants!$B$28,0))</f>
        <v/>
      </c>
      <c r="BS122" s="138" t="str">
        <f aca="false">IF($BZ122&lt;&gt;Constants!$B$8,"",IF($AS122,0,Constants!$B$15)+IF($AR122,0,Constants!$B$16)+IF($AH122,0,Constants!$B$17))</f>
        <v/>
      </c>
      <c r="BT122" s="139" t="str">
        <f aca="false">IF($BZ122&lt;&gt;Constants!$B$8,"",Constants!$B$20+SUM($BO122:$BS122))</f>
        <v/>
      </c>
      <c r="BU122" s="138" t="str">
        <f aca="false">IF($BZ122&lt;&gt;Constants!$B$8,"",$BO122)</f>
        <v/>
      </c>
      <c r="BV122" s="138" t="str">
        <f aca="false">IF($BZ122&lt;&gt;Constants!$B$8,"",$BP122)</f>
        <v/>
      </c>
      <c r="BW122" s="138" t="str">
        <f aca="false">IF($BZ122&lt;&gt;Constants!$B$8,"",IF($AT122,$AV122,""))</f>
        <v/>
      </c>
      <c r="BX122" s="140" t="str">
        <f aca="false">IF($BZ122&lt;&gt;Constants!$B$8,"",$AI122)</f>
        <v/>
      </c>
      <c r="BY122" s="135" t="str">
        <f aca="false">IF(ISBLANK($C122),"",IF(ISBLANK($D$7),$BY$5,IF(NOT(ISNUMBER($D$7)),$BY$6,"")))</f>
        <v/>
      </c>
      <c r="BZ122" s="135" t="str">
        <f aca="false">IF(ISBLANK($C122),"",IF($BA122,Constants!$B$11,IF(COUNTA($E122:$AA122)=0,Constants!$B$10,IF(NOT($AG122),Constants!$B$9,IF(OR($BY122&lt;&gt;"",$BB122,$BN122),Constants!$B$12,Constants!$B$8)))))</f>
        <v/>
      </c>
      <c r="CA122" s="135" t="str">
        <f aca="false">IF(ISBLANK($C122),"",IF($BZ122&lt;&gt;Constants!$B$8,$BZ122,Constants!$B$13))</f>
        <v/>
      </c>
      <c r="CB122" s="138" t="str">
        <f aca="false">IF($BZ122&lt;&gt;Constants!$B$8,"",IF($BM122="-&gt;",$BT122,$BH122))</f>
        <v/>
      </c>
      <c r="CC122" s="138" t="str">
        <f aca="false">IF($BZ122&lt;&gt;Constants!$B$8,"",IF($AF122,0,Constants!$B$18))</f>
        <v/>
      </c>
      <c r="CD122" s="138" t="str">
        <f aca="false">IF($BZ122&lt;&gt;Constants!$B$8,"",((Constants!$B$31-$AZ122)-Constants!$B$31)/Constants!$B$32)</f>
        <v/>
      </c>
      <c r="CE122" s="138" t="str">
        <f aca="false">IF(ISBLANK($C122),"",IF($BZ122&lt;&gt;Constants!$B$8,$BZ122,SUM($CB122:$CD122)))</f>
        <v/>
      </c>
      <c r="CF122" s="135" t="str">
        <f aca="false">IF(ISBLANK($C122),"",IF($BZ122&lt;&gt;Constants!$B$8,$BZ122,RANK($CE122,$CE$9:$CE$508,1)))</f>
        <v/>
      </c>
      <c r="CG122" s="138" t="str">
        <f aca="false">IF($BZ122&lt;&gt;Constants!$B$8,"",IF($BM122="-&gt;",$BU122,$BI122))</f>
        <v/>
      </c>
      <c r="CH122" s="135" t="str">
        <f aca="false">IF(ISBLANK($C122),"",IF($BZ122&lt;&gt;Constants!$B$8,$BZ122,IF(ISNUMBER($CG122),RANK($CG122,$CG$9:$CG$508,1),COUNT($CG$9:$CG$508)+1)))</f>
        <v/>
      </c>
      <c r="CI122" s="138" t="str">
        <f aca="false">IF($BZ122&lt;&gt;Constants!$B$8,"",IF($BM122="-&gt;",$BV122,$BJ122))</f>
        <v/>
      </c>
      <c r="CJ122" s="135" t="str">
        <f aca="false">IF(ISBLANK($C122),"",IF($BZ122&lt;&gt;Constants!$B$8,$BZ122,IF(ISNUMBER($CI122),RANK($CI122,$CI$9:$CI$508,1),COUNT($CI$9:$CI$508)+1)))</f>
        <v/>
      </c>
      <c r="CK122" s="138" t="str">
        <f aca="false">IF($BZ122&lt;&gt;Constants!$B$8,"",IF($BM122="-&gt;",$BW122,$BK122))</f>
        <v/>
      </c>
      <c r="CL122" s="135" t="str">
        <f aca="false">IF(ISBLANK($C122),"",IF($BZ122&lt;&gt;Constants!$B$8,$BZ122,IF(ISNUMBER($CK122),RANK($CK122,$CK$9:$CK$508,1),COUNT($CK$9:$CK$508)+1)))</f>
        <v/>
      </c>
      <c r="CM122" s="138" t="str">
        <f aca="false">IF($BZ122&lt;&gt;Constants!$B$8,"",IF(AND(NOT($AL122),NOT($AT122),$AJ122,$AK122,$AR122,$AS122),"",IF($BM122="-&gt;",$BX122,$BL122)))</f>
        <v/>
      </c>
      <c r="CN122" s="135" t="str">
        <f aca="false">IF(ISBLANK($C122),"",IF($BZ122&lt;&gt;Constants!$B$8,$BZ122,IF(ISNUMBER($CM122),RANK($CM122,$CM$9:$CM$508,1),COUNT($CM$9:$CM$508)+1)))</f>
        <v/>
      </c>
      <c r="CO122" s="135" t="str">
        <f aca="false">IF(ISBLANK($C122),"",IF($BZ122&lt;&gt;Constants!$B$8,$BZ122,COUNTIFS($CF$9:$CF$508,"&lt;"&amp;$CF122)+COUNTIFS($CF$9:$CF$508,$CF122,$CH$9:$CH$508,"&lt;"&amp;$CH122)+COUNTIFS($CF$9:$CF$508,$CF122,$CH$9:$CH$508,$CH122,$CJ$9:$CJ$508,"&lt;"&amp;$CJ122)+COUNTIFS($CF$9:$CF$508,$CF122,$CH$9:$CH$508,$CH122,$CJ$9:$CJ$508,$CJ122,$CL$9:$CL$508,"&lt;"&amp;$CL122)+COUNTIFS($CF$9:$CF$508,$CF122,$CH$9:$CH$508,$CH122,$CJ$9:$CJ$508,$CJ122,$CL$9:$CL$508,$CL122,$CN$9:$CN$508,"&lt;"&amp;$CN122)+1))</f>
        <v/>
      </c>
      <c r="CP122" s="135" t="str">
        <f aca="false">IF(ISBLANK($C122),"",IF($BZ122&lt;&gt;Constants!$B$8,$BZ122,$CF122-$CO122))</f>
        <v/>
      </c>
      <c r="CQ122" s="141"/>
      <c r="CR122" s="142"/>
      <c r="CS122" s="143" t="str">
        <f aca="false">IF(ISBLANK($C122),"",IF($BZ122=Constants!$B$12,$BY122,""))</f>
        <v/>
      </c>
      <c r="CT122" s="142" t="str">
        <f aca="false">IF(ISBLANK($C122),"",IF($BZ122&lt;&gt;Constants!$B$8,"",IF($BM122="-&gt;",2,1)))</f>
        <v/>
      </c>
      <c r="CU122" s="144" t="str">
        <f aca="false">IF(ISBLANK($C122),"",IF($BZ122&lt;&gt;Constants!$B$8,"",IF($BM122="-&gt;",$BO122,$BC122)))</f>
        <v/>
      </c>
      <c r="CV122" s="144" t="str">
        <f aca="false">IF(ISBLANK($C122),"",IF($BZ122&lt;&gt;Constants!$B$8,"",IF($BM122="-&gt;",$BP122,$BD122)))</f>
        <v/>
      </c>
      <c r="CW122" s="144" t="str">
        <f aca="false">IF(ISBLANK($C122),"",IF($BZ122&lt;&gt;Constants!$B$8,"",IF($BM122="-&gt;",$BQ122+$BR122,$BE122+$BF122)+$CD122))</f>
        <v/>
      </c>
      <c r="CX122" s="144" t="str">
        <f aca="false">IF(ISBLANK($C122),"",IF($BZ122&lt;&gt;Constants!$B$8,"",IF($BM122="-&gt;",$BS122,$BG122)+$CC122))</f>
        <v/>
      </c>
      <c r="CY122" s="145" t="str">
        <f aca="false">IF(ISBLANK($C122),"",IF($BZ122&lt;&gt;Constants!$B$8,$BZ122,$CE122))</f>
        <v/>
      </c>
      <c r="CZ122" s="146" t="str">
        <f aca="false">IF(ISBLANK($C122),"",$CA122)</f>
        <v/>
      </c>
      <c r="DA122" s="147" t="str">
        <f aca="false">IF(ISBLANK($C122),"",$CP122)</f>
        <v/>
      </c>
      <c r="DB122" s="147" t="str">
        <f aca="false">IF(ISBLANK($C122),"",$CO122)</f>
        <v/>
      </c>
      <c r="DC122" s="148" t="str">
        <f aca="false">IF(ISBLANK($C122),"",IFERROR(_xlfn.SWITCH($DB122,Constants!$B$11,COUNTA($C$9:$C$508)+2,Constants!$B$10,COUNTA($C$9:$C$508)+1,Constants!$B$9,COUNTA($C$9:$C$508)),$DB122))</f>
        <v/>
      </c>
      <c r="DD122" s="9"/>
      <c r="DE122" s="149" t="n">
        <f aca="false">IF(OR(ISNUMBER($DB122),$DB122=Constants!$B$11,$DB122=Constants!$B$9,$DB122=Constants!$B$10),1,0)</f>
        <v>0</v>
      </c>
      <c r="DF122" s="149" t="n">
        <v>114</v>
      </c>
      <c r="DG122" s="149" t="str">
        <f aca="false">IF(ISBLANK($C122),"",IF(ISNUMBER($DC122),$DC122+ROW($B122)/1000,""))</f>
        <v/>
      </c>
      <c r="DH122" s="149" t="str">
        <f aca="false">IF(ISNUMBER($DG122),RANK($DG122,$DG$9:$DG$508,1),"")</f>
        <v/>
      </c>
      <c r="DI122" s="149" t="str">
        <f aca="false">IF(ISBLANK($C122),"",$B122)</f>
        <v/>
      </c>
      <c r="DJ122" s="149" t="str">
        <f aca="false">IF(ISBLANK($C122),"",$C122)</f>
        <v/>
      </c>
      <c r="DK122" s="149" t="str">
        <f aca="false">IF(ISBLANK($C122),"",$D122)</f>
        <v/>
      </c>
      <c r="DL122" s="150" t="str">
        <f aca="false">$CZ122</f>
        <v/>
      </c>
      <c r="DM122" s="151" t="str">
        <f aca="false">$CY122</f>
        <v/>
      </c>
      <c r="DN122" s="149" t="str">
        <f aca="false">IF(ISBLANK($C122),"",$DB122)</f>
        <v/>
      </c>
      <c r="DO122" s="152" t="str">
        <f aca="false">IF($DF122&gt;$DE$8,"",VLOOKUP($DF122,$DH$9:$DN$508,7,FALSE()))</f>
        <v/>
      </c>
      <c r="DP122" s="153" t="str">
        <f aca="false">IF($DF122&gt;$DE$8,"",VLOOKUP($DF122,$DH$9:$DN$508,2,FALSE()))</f>
        <v/>
      </c>
      <c r="DQ122" s="153" t="str">
        <f aca="false">IF($DF122&gt;$DE$8,"",VLOOKUP($DF122,$DH$9:$DN$508,3,FALSE()))</f>
        <v/>
      </c>
      <c r="DR122" s="153" t="str">
        <f aca="false">IF($DF122&gt;$DE$8,"",VLOOKUP($DF122,$DH$9:$DN$508,4,FALSE()))</f>
        <v/>
      </c>
      <c r="DS122" s="153" t="str">
        <f aca="false">IF($DF122&gt;$DE$8,"",VLOOKUP($DF122,$DH$9:$DN$508,5,FALSE()))</f>
        <v/>
      </c>
      <c r="DT122" s="154" t="str">
        <f aca="false">IF($DF122&gt;$DE$8,"",VLOOKUP($DF122,$DH$9:$DN$508,6,FALSE()))</f>
        <v/>
      </c>
      <c r="DU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IF(ISBLANK($C123),"",IF(E123=Constants!$B$3,TRUE(),IF(E123=Constants!$B$4,FALSE(),TRUE())))</f>
        <v/>
      </c>
      <c r="AG123" s="93" t="str">
        <f aca="false">IF(ISBLANK($C123),"",IF(F123=Constants!$B$3,TRUE(),IF(F123=Constants!$B$4,FALSE(),TRUE())))</f>
        <v/>
      </c>
      <c r="AH123" s="93" t="str">
        <f aca="false">IF(ISBLANK($C123),"",IF(G123=Constants!$B$3,TRUE(),IF(G123=Constants!$B$4,FALSE(),TRUE())))</f>
        <v/>
      </c>
      <c r="AI123" s="93" t="str">
        <f aca="false">IF(ISBLANK($C123),"",IF(AND(ISNUMBER(H123),H123&gt;=0),H123,Constants!$B$29))</f>
        <v/>
      </c>
      <c r="AJ123" s="93" t="str">
        <f aca="false">IF(ISBLANK($C123),"",IF(I123=Constants!$B$3,TRUE(),IF(I123=Constants!$B$4,FALSE(),TRUE())))</f>
        <v/>
      </c>
      <c r="AK123" s="93" t="str">
        <f aca="false">IF(ISBLANK($C123),"",IF(J123=Constants!$B$3,TRUE(),IF(J123=Constants!$B$4,FALSE(),TRUE())))</f>
        <v/>
      </c>
      <c r="AL123" s="93" t="str">
        <f aca="false">IF(ISBLANK($C123),"",IF(K123=Constants!$B$5,TRUE(),IF(K123=Constants!$B$6,FALSE(),COUNTA(L123:P123)&gt;0)))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IF(ISBLANK($C123),"",IF(N123=Constants!$B$3,TRUE(),IF(N123=Constants!$B$4,FALSE(),TRUE())))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IF(ISBLANK($C123),"",IF(P123=Constants!$B$3,TRUE(),IF(P123=Constants!$B$4,FALSE(),FALSE())))</f>
        <v/>
      </c>
      <c r="AR123" s="93" t="str">
        <f aca="false">IF(ISBLANK($C123),"",IF(Q123=Constants!$B$3,TRUE(),IF(Q123=Constants!$B$4,FALSE(),TRUE())))</f>
        <v/>
      </c>
      <c r="AS123" s="93" t="str">
        <f aca="false">IF(ISBLANK($C123),"",IF(R123=Constants!$B$3,TRUE(),IF(R123=Constants!$B$4,FALSE(),TRUE())))</f>
        <v/>
      </c>
      <c r="AT123" s="93" t="str">
        <f aca="false">IF(ISBLANK($C123),"",IF(S123=Constants!$B$5,TRUE(),IF(S123=Constants!$B$6,FALSE(),COUNTA(T123:X123)&gt;0)))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IF(ISBLANK($C123),"",IF(V123=Constants!$B$3,TRUE(),IF(V123=Constants!$B$4,FALSE(),TRUE())))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IF(ISBLANK($C123),"",IF(X123=Constants!$B$3,TRUE(),IF(X123=Constants!$B$4,FALSE(),FALSE())))</f>
        <v/>
      </c>
      <c r="AZ123" s="93" t="str">
        <f aca="false">IF(ISBLANK($C123),"",MIN(Constants!$B$31,MAX(0,IF(ISNUMBER(Y123),Y123*60,0)+IF(ISNUMBER(Z123),Z123,0))))</f>
        <v/>
      </c>
      <c r="BA123" s="93" t="str">
        <f aca="false">IF(ISBLANK($C123),"",IF(AA123=Constants!$B$3,TRUE(),IF(AA123=Constants!$B$4,FALSE(),FALSE())))</f>
        <v/>
      </c>
      <c r="BB123" s="92" t="str">
        <f aca="false">IF(ISBLANK($C123),"",AND($AL123,OR($AM123="",$AN123="",AND($AO123,$AP123=""))))</f>
        <v/>
      </c>
      <c r="BC123" s="94" t="str">
        <f aca="false">IF($BZ123&lt;&gt;Constants!$B$8,"",IF($AL123,Constants!$B$21*$AN123+Constants!$B$22*IF($AO123,$AP123,Constants!$B$23),Constants!$B$24))</f>
        <v/>
      </c>
      <c r="BD123" s="97" t="str">
        <f aca="false">IF($BZ123&lt;&gt;Constants!$B$8,"",Constants!$B$25*ABS($AD$9-IF($AL123,$AM123,0)))</f>
        <v/>
      </c>
      <c r="BE123" s="97" t="str">
        <f aca="false">IF($BZ123&lt;&gt;Constants!$B$8,"",IF(AND($AL123,$AQ123,$AO123),Constants!$B$27,0))</f>
        <v/>
      </c>
      <c r="BF123" s="97" t="str">
        <f aca="false">IF($BZ123&lt;&gt;Constants!$B$8,"",IF($AL123,($AI123-Constants!$B$29)*Constants!$B$28,0))</f>
        <v/>
      </c>
      <c r="BG123" s="97" t="str">
        <f aca="false">IF($BZ123&lt;&gt;Constants!$B$8,"",IF($AK123,0,Constants!$B$15)+IF($AJ123,0,Constants!$B$16)+IF($AH123,0,Constants!$B$17))</f>
        <v/>
      </c>
      <c r="BH123" s="98" t="str">
        <f aca="false">IF($BZ123&lt;&gt;Constants!$B$8,"",Constants!$B$20+SUM($BC123:$BG123))</f>
        <v/>
      </c>
      <c r="BI123" s="97" t="str">
        <f aca="false">IF($BZ123&lt;&gt;Constants!$B$8,"",$BC123)</f>
        <v/>
      </c>
      <c r="BJ123" s="97" t="str">
        <f aca="false">IF($BZ123&lt;&gt;Constants!$B$8,"",$BD123)</f>
        <v/>
      </c>
      <c r="BK123" s="97" t="str">
        <f aca="false">IF($BZ123&lt;&gt;Constants!$B$8,"",IF($AL123,$AN123,""))</f>
        <v/>
      </c>
      <c r="BL123" s="99" t="str">
        <f aca="false">IF($BZ123&lt;&gt;Constants!$B$8,"",$AI123)</f>
        <v/>
      </c>
      <c r="BM123" s="93" t="str">
        <f aca="false">IF($BZ123&lt;&gt;Constants!$B$8,"",IF(OR($BT123&lt;$BH123,AND($BT123=$BH123,OR($BU123&lt;$BI123,AND($BU123=$BI123,OR($BV123&lt;$BJ123,AND($BV123=$BJ123,OR(AND(ISNUMBER($BW123),OR(NOT(ISNUMBER($BK123)),$BW123&lt;$BK123)),AND(OR(AND($BW123="",$BK123=""),AND(ISNUMBER($BW123),ISNUMBER($BK123),$BW123=$BK123)),$BX123&lt;$BL123)))))))),"-&gt;","&lt;-"))</f>
        <v/>
      </c>
      <c r="BN123" s="92" t="str">
        <f aca="false">IF(ISBLANK($C123),"",AND($AT123,OR($AU123="",$AV123="",AND($AW123,$AX123=""))))</f>
        <v/>
      </c>
      <c r="BO123" s="94" t="str">
        <f aca="false">IF($BZ123&lt;&gt;Constants!$B$8,"",IF($AT123,Constants!$B$21*$AV123+Constants!$B$22*IF($AW123,$AX123,Constants!$B$23),Constants!$B$24))</f>
        <v/>
      </c>
      <c r="BP123" s="97" t="str">
        <f aca="false">IF($BZ123&lt;&gt;Constants!$B$8,"",Constants!$B$25*ABS($AD$9-IF($AT123,$AU123,0)))</f>
        <v/>
      </c>
      <c r="BQ123" s="97" t="str">
        <f aca="false">IF($BZ123&lt;&gt;Constants!$B$8,"",IF(AND($AT123,$AY123,$AW123),Constants!$B$27,0))</f>
        <v/>
      </c>
      <c r="BR123" s="97" t="str">
        <f aca="false">IF($BZ123&lt;&gt;Constants!$B$8,"",IF($AT123,($AI123-Constants!$B$29)*Constants!$B$28,0))</f>
        <v/>
      </c>
      <c r="BS123" s="97" t="str">
        <f aca="false">IF($BZ123&lt;&gt;Constants!$B$8,"",IF($AS123,0,Constants!$B$15)+IF($AR123,0,Constants!$B$16)+IF($AH123,0,Constants!$B$17))</f>
        <v/>
      </c>
      <c r="BT123" s="98" t="str">
        <f aca="false">IF($BZ123&lt;&gt;Constants!$B$8,"",Constants!$B$20+SUM($BO123:$BS123))</f>
        <v/>
      </c>
      <c r="BU123" s="97" t="str">
        <f aca="false">IF($BZ123&lt;&gt;Constants!$B$8,"",$BO123)</f>
        <v/>
      </c>
      <c r="BV123" s="97" t="str">
        <f aca="false">IF($BZ123&lt;&gt;Constants!$B$8,"",$BP123)</f>
        <v/>
      </c>
      <c r="BW123" s="97" t="str">
        <f aca="false">IF($BZ123&lt;&gt;Constants!$B$8,"",IF($AT123,$AV123,""))</f>
        <v/>
      </c>
      <c r="BX123" s="99" t="str">
        <f aca="false">IF($BZ123&lt;&gt;Constants!$B$8,"",$AI123)</f>
        <v/>
      </c>
      <c r="BY123" s="93" t="str">
        <f aca="false">IF(ISBLANK($C123),"",IF(ISBLANK($D$7),$BY$5,IF(NOT(ISNUMBER($D$7)),$BY$6,"")))</f>
        <v/>
      </c>
      <c r="BZ123" s="93" t="str">
        <f aca="false">IF(ISBLANK($C123),"",IF($BA123,Constants!$B$11,IF(COUNTA($E123:$AA123)=0,Constants!$B$10,IF(NOT($AG123),Constants!$B$9,IF(OR($BY123&lt;&gt;"",$BB123,$BN123),Constants!$B$12,Constants!$B$8)))))</f>
        <v/>
      </c>
      <c r="CA123" s="93" t="str">
        <f aca="false">IF(ISBLANK($C123),"",IF($BZ123&lt;&gt;Constants!$B$8,$BZ123,Constants!$B$13))</f>
        <v/>
      </c>
      <c r="CB123" s="97" t="str">
        <f aca="false">IF($BZ123&lt;&gt;Constants!$B$8,"",IF($BM123="-&gt;",$BT123,$BH123))</f>
        <v/>
      </c>
      <c r="CC123" s="97" t="str">
        <f aca="false">IF($BZ123&lt;&gt;Constants!$B$8,"",IF($AF123,0,Constants!$B$18))</f>
        <v/>
      </c>
      <c r="CD123" s="97" t="str">
        <f aca="false">IF($BZ123&lt;&gt;Constants!$B$8,"",((Constants!$B$31-$AZ123)-Constants!$B$31)/Constants!$B$32)</f>
        <v/>
      </c>
      <c r="CE123" s="97" t="str">
        <f aca="false">IF(ISBLANK($C123),"",IF($BZ123&lt;&gt;Constants!$B$8,$BZ123,SUM($CB123:$CD123)))</f>
        <v/>
      </c>
      <c r="CF123" s="93" t="str">
        <f aca="false">IF(ISBLANK($C123),"",IF($BZ123&lt;&gt;Constants!$B$8,$BZ123,RANK($CE123,$CE$9:$CE$508,1)))</f>
        <v/>
      </c>
      <c r="CG123" s="97" t="str">
        <f aca="false">IF($BZ123&lt;&gt;Constants!$B$8,"",IF($BM123="-&gt;",$BU123,$BI123))</f>
        <v/>
      </c>
      <c r="CH123" s="93" t="str">
        <f aca="false">IF(ISBLANK($C123),"",IF($BZ123&lt;&gt;Constants!$B$8,$BZ123,IF(ISNUMBER($CG123),RANK($CG123,$CG$9:$CG$508,1),COUNT($CG$9:$CG$508)+1)))</f>
        <v/>
      </c>
      <c r="CI123" s="97" t="str">
        <f aca="false">IF($BZ123&lt;&gt;Constants!$B$8,"",IF($BM123="-&gt;",$BV123,$BJ123))</f>
        <v/>
      </c>
      <c r="CJ123" s="93" t="str">
        <f aca="false">IF(ISBLANK($C123),"",IF($BZ123&lt;&gt;Constants!$B$8,$BZ123,IF(ISNUMBER($CI123),RANK($CI123,$CI$9:$CI$508,1),COUNT($CI$9:$CI$508)+1)))</f>
        <v/>
      </c>
      <c r="CK123" s="97" t="str">
        <f aca="false">IF($BZ123&lt;&gt;Constants!$B$8,"",IF($BM123="-&gt;",$BW123,$BK123))</f>
        <v/>
      </c>
      <c r="CL123" s="93" t="str">
        <f aca="false">IF(ISBLANK($C123),"",IF($BZ123&lt;&gt;Constants!$B$8,$BZ123,IF(ISNUMBER($CK123),RANK($CK123,$CK$9:$CK$508,1),COUNT($CK$9:$CK$508)+1)))</f>
        <v/>
      </c>
      <c r="CM123" s="97" t="str">
        <f aca="false">IF($BZ123&lt;&gt;Constants!$B$8,"",IF(AND(NOT($AL123),NOT($AT123),$AJ123,$AK123,$AR123,$AS123),"",IF($BM123="-&gt;",$BX123,$BL123)))</f>
        <v/>
      </c>
      <c r="CN123" s="93" t="str">
        <f aca="false">IF(ISBLANK($C123),"",IF($BZ123&lt;&gt;Constants!$B$8,$BZ123,IF(ISNUMBER($CM123),RANK($CM123,$CM$9:$CM$508,1),COUNT($CM$9:$CM$508)+1)))</f>
        <v/>
      </c>
      <c r="CO123" s="93" t="str">
        <f aca="false">IF(ISBLANK($C123),"",IF($BZ123&lt;&gt;Constants!$B$8,$BZ123,COUNTIFS($CF$9:$CF$508,"&lt;"&amp;$CF123)+COUNTIFS($CF$9:$CF$508,$CF123,$CH$9:$CH$508,"&lt;"&amp;$CH123)+COUNTIFS($CF$9:$CF$508,$CF123,$CH$9:$CH$508,$CH123,$CJ$9:$CJ$508,"&lt;"&amp;$CJ123)+COUNTIFS($CF$9:$CF$508,$CF123,$CH$9:$CH$508,$CH123,$CJ$9:$CJ$508,$CJ123,$CL$9:$CL$508,"&lt;"&amp;$CL123)+COUNTIFS($CF$9:$CF$508,$CF123,$CH$9:$CH$508,$CH123,$CJ$9:$CJ$508,$CJ123,$CL$9:$CL$508,$CL123,$CN$9:$CN$508,"&lt;"&amp;$CN123)+1))</f>
        <v/>
      </c>
      <c r="CP123" s="93" t="str">
        <f aca="false">IF(ISBLANK($C123),"",IF($BZ123&lt;&gt;Constants!$B$8,$BZ123,$CF123-$CO123))</f>
        <v/>
      </c>
      <c r="CQ123" s="100"/>
      <c r="CR123" s="101"/>
      <c r="CS123" s="102" t="str">
        <f aca="false">IF(ISBLANK($C123),"",IF($BZ123=Constants!$B$12,$BY123,""))</f>
        <v/>
      </c>
      <c r="CT123" s="101" t="str">
        <f aca="false">IF(ISBLANK($C123),"",IF($BZ123&lt;&gt;Constants!$B$8,"",IF($BM123="-&gt;",2,1)))</f>
        <v/>
      </c>
      <c r="CU123" s="103" t="str">
        <f aca="false">IF(ISBLANK($C123),"",IF($BZ123&lt;&gt;Constants!$B$8,"",IF($BM123="-&gt;",$BO123,$BC123)))</f>
        <v/>
      </c>
      <c r="CV123" s="103" t="str">
        <f aca="false">IF(ISBLANK($C123),"",IF($BZ123&lt;&gt;Constants!$B$8,"",IF($BM123="-&gt;",$BP123,$BD123)))</f>
        <v/>
      </c>
      <c r="CW123" s="103" t="str">
        <f aca="false">IF(ISBLANK($C123),"",IF($BZ123&lt;&gt;Constants!$B$8,"",IF($BM123="-&gt;",$BQ123+$BR123,$BE123+$BF123)+$CD123))</f>
        <v/>
      </c>
      <c r="CX123" s="103" t="str">
        <f aca="false">IF(ISBLANK($C123),"",IF($BZ123&lt;&gt;Constants!$B$8,"",IF($BM123="-&gt;",$BS123,$BG123)+$CC123))</f>
        <v/>
      </c>
      <c r="CY123" s="104" t="str">
        <f aca="false">IF(ISBLANK($C123),"",IF($BZ123&lt;&gt;Constants!$B$8,$BZ123,$CE123))</f>
        <v/>
      </c>
      <c r="CZ123" s="105" t="str">
        <f aca="false">IF(ISBLANK($C123),"",$CA123)</f>
        <v/>
      </c>
      <c r="DA123" s="106" t="str">
        <f aca="false">IF(ISBLANK($C123),"",$CP123)</f>
        <v/>
      </c>
      <c r="DB123" s="106" t="str">
        <f aca="false">IF(ISBLANK($C123),"",$CO123)</f>
        <v/>
      </c>
      <c r="DC123" s="107" t="str">
        <f aca="false">IF(ISBLANK($C123),"",IFERROR(_xlfn.SWITCH($DB123,Constants!$B$11,COUNTA($C$9:$C$508)+2,Constants!$B$10,COUNTA($C$9:$C$508)+1,Constants!$B$9,COUNTA($C$9:$C$508)),$DB123))</f>
        <v/>
      </c>
      <c r="DD123" s="9"/>
      <c r="DE123" s="108" t="n">
        <f aca="false">IF(OR(ISNUMBER($DB123),$DB123=Constants!$B$11,$DB123=Constants!$B$9,$DB123=Constants!$B$10),1,0)</f>
        <v>0</v>
      </c>
      <c r="DF123" s="108" t="n">
        <v>115</v>
      </c>
      <c r="DG123" s="108" t="str">
        <f aca="false">IF(ISBLANK($C123),"",IF(ISNUMBER($DC123),$DC123+ROW($B123)/1000,""))</f>
        <v/>
      </c>
      <c r="DH123" s="108" t="str">
        <f aca="false">IF(ISNUMBER($DG123),RANK($DG123,$DG$9:$DG$508,1),"")</f>
        <v/>
      </c>
      <c r="DI123" s="108" t="str">
        <f aca="false">IF(ISBLANK($C123),"",$B123)</f>
        <v/>
      </c>
      <c r="DJ123" s="108" t="str">
        <f aca="false">IF(ISBLANK($C123),"",$C123)</f>
        <v/>
      </c>
      <c r="DK123" s="108" t="str">
        <f aca="false">IF(ISBLANK($C123),"",$D123)</f>
        <v/>
      </c>
      <c r="DL123" s="109" t="str">
        <f aca="false">$CZ123</f>
        <v/>
      </c>
      <c r="DM123" s="110" t="str">
        <f aca="false">$CY123</f>
        <v/>
      </c>
      <c r="DN123" s="108" t="str">
        <f aca="false">IF(ISBLANK($C123),"",$DB123)</f>
        <v/>
      </c>
      <c r="DO123" s="111" t="str">
        <f aca="false">IF($DF123&gt;$DE$8,"",VLOOKUP($DF123,$DH$9:$DN$508,7,FALSE()))</f>
        <v/>
      </c>
      <c r="DP123" s="112" t="str">
        <f aca="false">IF($DF123&gt;$DE$8,"",VLOOKUP($DF123,$DH$9:$DN$508,2,FALSE()))</f>
        <v/>
      </c>
      <c r="DQ123" s="112" t="str">
        <f aca="false">IF($DF123&gt;$DE$8,"",VLOOKUP($DF123,$DH$9:$DN$508,3,FALSE()))</f>
        <v/>
      </c>
      <c r="DR123" s="112" t="str">
        <f aca="false">IF($DF123&gt;$DE$8,"",VLOOKUP($DF123,$DH$9:$DN$508,4,FALSE()))</f>
        <v/>
      </c>
      <c r="DS123" s="112" t="str">
        <f aca="false">IF($DF123&gt;$DE$8,"",VLOOKUP($DF123,$DH$9:$DN$508,5,FALSE()))</f>
        <v/>
      </c>
      <c r="DT123" s="113" t="str">
        <f aca="false">IF($DF123&gt;$DE$8,"",VLOOKUP($DF123,$DH$9:$DN$508,6,FALSE()))</f>
        <v/>
      </c>
      <c r="DU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IF(ISBLANK($C124),"",IF(E124=Constants!$B$3,TRUE(),IF(E124=Constants!$B$4,FALSE(),TRUE())))</f>
        <v/>
      </c>
      <c r="AG124" s="93" t="str">
        <f aca="false">IF(ISBLANK($C124),"",IF(F124=Constants!$B$3,TRUE(),IF(F124=Constants!$B$4,FALSE(),TRUE())))</f>
        <v/>
      </c>
      <c r="AH124" s="93" t="str">
        <f aca="false">IF(ISBLANK($C124),"",IF(G124=Constants!$B$3,TRUE(),IF(G124=Constants!$B$4,FALSE(),TRUE())))</f>
        <v/>
      </c>
      <c r="AI124" s="93" t="str">
        <f aca="false">IF(ISBLANK($C124),"",IF(AND(ISNUMBER(H124),H124&gt;=0),H124,Constants!$B$29))</f>
        <v/>
      </c>
      <c r="AJ124" s="93" t="str">
        <f aca="false">IF(ISBLANK($C124),"",IF(I124=Constants!$B$3,TRUE(),IF(I124=Constants!$B$4,FALSE(),TRUE())))</f>
        <v/>
      </c>
      <c r="AK124" s="93" t="str">
        <f aca="false">IF(ISBLANK($C124),"",IF(J124=Constants!$B$3,TRUE(),IF(J124=Constants!$B$4,FALSE(),TRUE())))</f>
        <v/>
      </c>
      <c r="AL124" s="93" t="str">
        <f aca="false">IF(ISBLANK($C124),"",IF(K124=Constants!$B$5,TRUE(),IF(K124=Constants!$B$6,FALSE(),COUNTA(L124:P124)&gt;0)))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IF(ISBLANK($C124),"",IF(N124=Constants!$B$3,TRUE(),IF(N124=Constants!$B$4,FALSE(),TRUE())))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IF(ISBLANK($C124),"",IF(P124=Constants!$B$3,TRUE(),IF(P124=Constants!$B$4,FALSE(),FALSE())))</f>
        <v/>
      </c>
      <c r="AR124" s="93" t="str">
        <f aca="false">IF(ISBLANK($C124),"",IF(Q124=Constants!$B$3,TRUE(),IF(Q124=Constants!$B$4,FALSE(),TRUE())))</f>
        <v/>
      </c>
      <c r="AS124" s="93" t="str">
        <f aca="false">IF(ISBLANK($C124),"",IF(R124=Constants!$B$3,TRUE(),IF(R124=Constants!$B$4,FALSE(),TRUE())))</f>
        <v/>
      </c>
      <c r="AT124" s="93" t="str">
        <f aca="false">IF(ISBLANK($C124),"",IF(S124=Constants!$B$5,TRUE(),IF(S124=Constants!$B$6,FALSE(),COUNTA(T124:X124)&gt;0)))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IF(ISBLANK($C124),"",IF(V124=Constants!$B$3,TRUE(),IF(V124=Constants!$B$4,FALSE(),TRUE())))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IF(ISBLANK($C124),"",IF(X124=Constants!$B$3,TRUE(),IF(X124=Constants!$B$4,FALSE(),FALSE())))</f>
        <v/>
      </c>
      <c r="AZ124" s="93" t="str">
        <f aca="false">IF(ISBLANK($C124),"",MIN(Constants!$B$31,MAX(0,IF(ISNUMBER(Y124),Y124*60,0)+IF(ISNUMBER(Z124),Z124,0))))</f>
        <v/>
      </c>
      <c r="BA124" s="93" t="str">
        <f aca="false">IF(ISBLANK($C124),"",IF(AA124=Constants!$B$3,TRUE(),IF(AA124=Constants!$B$4,FALSE(),FALSE())))</f>
        <v/>
      </c>
      <c r="BB124" s="92" t="str">
        <f aca="false">IF(ISBLANK($C124),"",AND($AL124,OR($AM124="",$AN124="",AND($AO124,$AP124=""))))</f>
        <v/>
      </c>
      <c r="BC124" s="94" t="str">
        <f aca="false">IF($BZ124&lt;&gt;Constants!$B$8,"",IF($AL124,Constants!$B$21*$AN124+Constants!$B$22*IF($AO124,$AP124,Constants!$B$23),Constants!$B$24))</f>
        <v/>
      </c>
      <c r="BD124" s="97" t="str">
        <f aca="false">IF($BZ124&lt;&gt;Constants!$B$8,"",Constants!$B$25*ABS($AD$9-IF($AL124,$AM124,0)))</f>
        <v/>
      </c>
      <c r="BE124" s="97" t="str">
        <f aca="false">IF($BZ124&lt;&gt;Constants!$B$8,"",IF(AND($AL124,$AQ124,$AO124),Constants!$B$27,0))</f>
        <v/>
      </c>
      <c r="BF124" s="97" t="str">
        <f aca="false">IF($BZ124&lt;&gt;Constants!$B$8,"",IF($AL124,($AI124-Constants!$B$29)*Constants!$B$28,0))</f>
        <v/>
      </c>
      <c r="BG124" s="97" t="str">
        <f aca="false">IF($BZ124&lt;&gt;Constants!$B$8,"",IF($AK124,0,Constants!$B$15)+IF($AJ124,0,Constants!$B$16)+IF($AH124,0,Constants!$B$17))</f>
        <v/>
      </c>
      <c r="BH124" s="98" t="str">
        <f aca="false">IF($BZ124&lt;&gt;Constants!$B$8,"",Constants!$B$20+SUM($BC124:$BG124))</f>
        <v/>
      </c>
      <c r="BI124" s="97" t="str">
        <f aca="false">IF($BZ124&lt;&gt;Constants!$B$8,"",$BC124)</f>
        <v/>
      </c>
      <c r="BJ124" s="97" t="str">
        <f aca="false">IF($BZ124&lt;&gt;Constants!$B$8,"",$BD124)</f>
        <v/>
      </c>
      <c r="BK124" s="97" t="str">
        <f aca="false">IF($BZ124&lt;&gt;Constants!$B$8,"",IF($AL124,$AN124,""))</f>
        <v/>
      </c>
      <c r="BL124" s="99" t="str">
        <f aca="false">IF($BZ124&lt;&gt;Constants!$B$8,"",$AI124)</f>
        <v/>
      </c>
      <c r="BM124" s="93" t="str">
        <f aca="false">IF($BZ124&lt;&gt;Constants!$B$8,"",IF(OR($BT124&lt;$BH124,AND($BT124=$BH124,OR($BU124&lt;$BI124,AND($BU124=$BI124,OR($BV124&lt;$BJ124,AND($BV124=$BJ124,OR(AND(ISNUMBER($BW124),OR(NOT(ISNUMBER($BK124)),$BW124&lt;$BK124)),AND(OR(AND($BW124="",$BK124=""),AND(ISNUMBER($BW124),ISNUMBER($BK124),$BW124=$BK124)),$BX124&lt;$BL124)))))))),"-&gt;","&lt;-"))</f>
        <v/>
      </c>
      <c r="BN124" s="92" t="str">
        <f aca="false">IF(ISBLANK($C124),"",AND($AT124,OR($AU124="",$AV124="",AND($AW124,$AX124=""))))</f>
        <v/>
      </c>
      <c r="BO124" s="94" t="str">
        <f aca="false">IF($BZ124&lt;&gt;Constants!$B$8,"",IF($AT124,Constants!$B$21*$AV124+Constants!$B$22*IF($AW124,$AX124,Constants!$B$23),Constants!$B$24))</f>
        <v/>
      </c>
      <c r="BP124" s="97" t="str">
        <f aca="false">IF($BZ124&lt;&gt;Constants!$B$8,"",Constants!$B$25*ABS($AD$9-IF($AT124,$AU124,0)))</f>
        <v/>
      </c>
      <c r="BQ124" s="97" t="str">
        <f aca="false">IF($BZ124&lt;&gt;Constants!$B$8,"",IF(AND($AT124,$AY124,$AW124),Constants!$B$27,0))</f>
        <v/>
      </c>
      <c r="BR124" s="97" t="str">
        <f aca="false">IF($BZ124&lt;&gt;Constants!$B$8,"",IF($AT124,($AI124-Constants!$B$29)*Constants!$B$28,0))</f>
        <v/>
      </c>
      <c r="BS124" s="97" t="str">
        <f aca="false">IF($BZ124&lt;&gt;Constants!$B$8,"",IF($AS124,0,Constants!$B$15)+IF($AR124,0,Constants!$B$16)+IF($AH124,0,Constants!$B$17))</f>
        <v/>
      </c>
      <c r="BT124" s="98" t="str">
        <f aca="false">IF($BZ124&lt;&gt;Constants!$B$8,"",Constants!$B$20+SUM($BO124:$BS124))</f>
        <v/>
      </c>
      <c r="BU124" s="97" t="str">
        <f aca="false">IF($BZ124&lt;&gt;Constants!$B$8,"",$BO124)</f>
        <v/>
      </c>
      <c r="BV124" s="97" t="str">
        <f aca="false">IF($BZ124&lt;&gt;Constants!$B$8,"",$BP124)</f>
        <v/>
      </c>
      <c r="BW124" s="97" t="str">
        <f aca="false">IF($BZ124&lt;&gt;Constants!$B$8,"",IF($AT124,$AV124,""))</f>
        <v/>
      </c>
      <c r="BX124" s="99" t="str">
        <f aca="false">IF($BZ124&lt;&gt;Constants!$B$8,"",$AI124)</f>
        <v/>
      </c>
      <c r="BY124" s="93" t="str">
        <f aca="false">IF(ISBLANK($C124),"",IF(ISBLANK($D$7),$BY$5,IF(NOT(ISNUMBER($D$7)),$BY$6,"")))</f>
        <v/>
      </c>
      <c r="BZ124" s="93" t="str">
        <f aca="false">IF(ISBLANK($C124),"",IF($BA124,Constants!$B$11,IF(COUNTA($E124:$AA124)=0,Constants!$B$10,IF(NOT($AG124),Constants!$B$9,IF(OR($BY124&lt;&gt;"",$BB124,$BN124),Constants!$B$12,Constants!$B$8)))))</f>
        <v/>
      </c>
      <c r="CA124" s="93" t="str">
        <f aca="false">IF(ISBLANK($C124),"",IF($BZ124&lt;&gt;Constants!$B$8,$BZ124,Constants!$B$13))</f>
        <v/>
      </c>
      <c r="CB124" s="97" t="str">
        <f aca="false">IF($BZ124&lt;&gt;Constants!$B$8,"",IF($BM124="-&gt;",$BT124,$BH124))</f>
        <v/>
      </c>
      <c r="CC124" s="97" t="str">
        <f aca="false">IF($BZ124&lt;&gt;Constants!$B$8,"",IF($AF124,0,Constants!$B$18))</f>
        <v/>
      </c>
      <c r="CD124" s="97" t="str">
        <f aca="false">IF($BZ124&lt;&gt;Constants!$B$8,"",((Constants!$B$31-$AZ124)-Constants!$B$31)/Constants!$B$32)</f>
        <v/>
      </c>
      <c r="CE124" s="97" t="str">
        <f aca="false">IF(ISBLANK($C124),"",IF($BZ124&lt;&gt;Constants!$B$8,$BZ124,SUM($CB124:$CD124)))</f>
        <v/>
      </c>
      <c r="CF124" s="93" t="str">
        <f aca="false">IF(ISBLANK($C124),"",IF($BZ124&lt;&gt;Constants!$B$8,$BZ124,RANK($CE124,$CE$9:$CE$508,1)))</f>
        <v/>
      </c>
      <c r="CG124" s="97" t="str">
        <f aca="false">IF($BZ124&lt;&gt;Constants!$B$8,"",IF($BM124="-&gt;",$BU124,$BI124))</f>
        <v/>
      </c>
      <c r="CH124" s="93" t="str">
        <f aca="false">IF(ISBLANK($C124),"",IF($BZ124&lt;&gt;Constants!$B$8,$BZ124,IF(ISNUMBER($CG124),RANK($CG124,$CG$9:$CG$508,1),COUNT($CG$9:$CG$508)+1)))</f>
        <v/>
      </c>
      <c r="CI124" s="97" t="str">
        <f aca="false">IF($BZ124&lt;&gt;Constants!$B$8,"",IF($BM124="-&gt;",$BV124,$BJ124))</f>
        <v/>
      </c>
      <c r="CJ124" s="93" t="str">
        <f aca="false">IF(ISBLANK($C124),"",IF($BZ124&lt;&gt;Constants!$B$8,$BZ124,IF(ISNUMBER($CI124),RANK($CI124,$CI$9:$CI$508,1),COUNT($CI$9:$CI$508)+1)))</f>
        <v/>
      </c>
      <c r="CK124" s="97" t="str">
        <f aca="false">IF($BZ124&lt;&gt;Constants!$B$8,"",IF($BM124="-&gt;",$BW124,$BK124))</f>
        <v/>
      </c>
      <c r="CL124" s="93" t="str">
        <f aca="false">IF(ISBLANK($C124),"",IF($BZ124&lt;&gt;Constants!$B$8,$BZ124,IF(ISNUMBER($CK124),RANK($CK124,$CK$9:$CK$508,1),COUNT($CK$9:$CK$508)+1)))</f>
        <v/>
      </c>
      <c r="CM124" s="97" t="str">
        <f aca="false">IF($BZ124&lt;&gt;Constants!$B$8,"",IF(AND(NOT($AL124),NOT($AT124),$AJ124,$AK124,$AR124,$AS124),"",IF($BM124="-&gt;",$BX124,$BL124)))</f>
        <v/>
      </c>
      <c r="CN124" s="93" t="str">
        <f aca="false">IF(ISBLANK($C124),"",IF($BZ124&lt;&gt;Constants!$B$8,$BZ124,IF(ISNUMBER($CM124),RANK($CM124,$CM$9:$CM$508,1),COUNT($CM$9:$CM$508)+1)))</f>
        <v/>
      </c>
      <c r="CO124" s="93" t="str">
        <f aca="false">IF(ISBLANK($C124),"",IF($BZ124&lt;&gt;Constants!$B$8,$BZ124,COUNTIFS($CF$9:$CF$508,"&lt;"&amp;$CF124)+COUNTIFS($CF$9:$CF$508,$CF124,$CH$9:$CH$508,"&lt;"&amp;$CH124)+COUNTIFS($CF$9:$CF$508,$CF124,$CH$9:$CH$508,$CH124,$CJ$9:$CJ$508,"&lt;"&amp;$CJ124)+COUNTIFS($CF$9:$CF$508,$CF124,$CH$9:$CH$508,$CH124,$CJ$9:$CJ$508,$CJ124,$CL$9:$CL$508,"&lt;"&amp;$CL124)+COUNTIFS($CF$9:$CF$508,$CF124,$CH$9:$CH$508,$CH124,$CJ$9:$CJ$508,$CJ124,$CL$9:$CL$508,$CL124,$CN$9:$CN$508,"&lt;"&amp;$CN124)+1))</f>
        <v/>
      </c>
      <c r="CP124" s="93" t="str">
        <f aca="false">IF(ISBLANK($C124),"",IF($BZ124&lt;&gt;Constants!$B$8,$BZ124,$CF124-$CO124))</f>
        <v/>
      </c>
      <c r="CQ124" s="100"/>
      <c r="CR124" s="101"/>
      <c r="CS124" s="102" t="str">
        <f aca="false">IF(ISBLANK($C124),"",IF($BZ124=Constants!$B$12,$BY124,""))</f>
        <v/>
      </c>
      <c r="CT124" s="101" t="str">
        <f aca="false">IF(ISBLANK($C124),"",IF($BZ124&lt;&gt;Constants!$B$8,"",IF($BM124="-&gt;",2,1)))</f>
        <v/>
      </c>
      <c r="CU124" s="103" t="str">
        <f aca="false">IF(ISBLANK($C124),"",IF($BZ124&lt;&gt;Constants!$B$8,"",IF($BM124="-&gt;",$BO124,$BC124)))</f>
        <v/>
      </c>
      <c r="CV124" s="103" t="str">
        <f aca="false">IF(ISBLANK($C124),"",IF($BZ124&lt;&gt;Constants!$B$8,"",IF($BM124="-&gt;",$BP124,$BD124)))</f>
        <v/>
      </c>
      <c r="CW124" s="103" t="str">
        <f aca="false">IF(ISBLANK($C124),"",IF($BZ124&lt;&gt;Constants!$B$8,"",IF($BM124="-&gt;",$BQ124+$BR124,$BE124+$BF124)+$CD124))</f>
        <v/>
      </c>
      <c r="CX124" s="103" t="str">
        <f aca="false">IF(ISBLANK($C124),"",IF($BZ124&lt;&gt;Constants!$B$8,"",IF($BM124="-&gt;",$BS124,$BG124)+$CC124))</f>
        <v/>
      </c>
      <c r="CY124" s="104" t="str">
        <f aca="false">IF(ISBLANK($C124),"",IF($BZ124&lt;&gt;Constants!$B$8,$BZ124,$CE124))</f>
        <v/>
      </c>
      <c r="CZ124" s="105" t="str">
        <f aca="false">IF(ISBLANK($C124),"",$CA124)</f>
        <v/>
      </c>
      <c r="DA124" s="106" t="str">
        <f aca="false">IF(ISBLANK($C124),"",$CP124)</f>
        <v/>
      </c>
      <c r="DB124" s="106" t="str">
        <f aca="false">IF(ISBLANK($C124),"",$CO124)</f>
        <v/>
      </c>
      <c r="DC124" s="107" t="str">
        <f aca="false">IF(ISBLANK($C124),"",IFERROR(_xlfn.SWITCH($DB124,Constants!$B$11,COUNTA($C$9:$C$508)+2,Constants!$B$10,COUNTA($C$9:$C$508)+1,Constants!$B$9,COUNTA($C$9:$C$508)),$DB124))</f>
        <v/>
      </c>
      <c r="DD124" s="9"/>
      <c r="DE124" s="108" t="n">
        <f aca="false">IF(OR(ISNUMBER($DB124),$DB124=Constants!$B$11,$DB124=Constants!$B$9,$DB124=Constants!$B$10),1,0)</f>
        <v>0</v>
      </c>
      <c r="DF124" s="108" t="n">
        <v>116</v>
      </c>
      <c r="DG124" s="108" t="str">
        <f aca="false">IF(ISBLANK($C124),"",IF(ISNUMBER($DC124),$DC124+ROW($B124)/1000,""))</f>
        <v/>
      </c>
      <c r="DH124" s="108" t="str">
        <f aca="false">IF(ISNUMBER($DG124),RANK($DG124,$DG$9:$DG$508,1),"")</f>
        <v/>
      </c>
      <c r="DI124" s="108" t="str">
        <f aca="false">IF(ISBLANK($C124),"",$B124)</f>
        <v/>
      </c>
      <c r="DJ124" s="108" t="str">
        <f aca="false">IF(ISBLANK($C124),"",$C124)</f>
        <v/>
      </c>
      <c r="DK124" s="108" t="str">
        <f aca="false">IF(ISBLANK($C124),"",$D124)</f>
        <v/>
      </c>
      <c r="DL124" s="109" t="str">
        <f aca="false">$CZ124</f>
        <v/>
      </c>
      <c r="DM124" s="110" t="str">
        <f aca="false">$CY124</f>
        <v/>
      </c>
      <c r="DN124" s="108" t="str">
        <f aca="false">IF(ISBLANK($C124),"",$DB124)</f>
        <v/>
      </c>
      <c r="DO124" s="111" t="str">
        <f aca="false">IF($DF124&gt;$DE$8,"",VLOOKUP($DF124,$DH$9:$DN$508,7,FALSE()))</f>
        <v/>
      </c>
      <c r="DP124" s="112" t="str">
        <f aca="false">IF($DF124&gt;$DE$8,"",VLOOKUP($DF124,$DH$9:$DN$508,2,FALSE()))</f>
        <v/>
      </c>
      <c r="DQ124" s="112" t="str">
        <f aca="false">IF($DF124&gt;$DE$8,"",VLOOKUP($DF124,$DH$9:$DN$508,3,FALSE()))</f>
        <v/>
      </c>
      <c r="DR124" s="112" t="str">
        <f aca="false">IF($DF124&gt;$DE$8,"",VLOOKUP($DF124,$DH$9:$DN$508,4,FALSE()))</f>
        <v/>
      </c>
      <c r="DS124" s="112" t="str">
        <f aca="false">IF($DF124&gt;$DE$8,"",VLOOKUP($DF124,$DH$9:$DN$508,5,FALSE()))</f>
        <v/>
      </c>
      <c r="DT124" s="113" t="str">
        <f aca="false">IF($DF124&gt;$DE$8,"",VLOOKUP($DF124,$DH$9:$DN$508,6,FALSE()))</f>
        <v/>
      </c>
      <c r="DU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IF(ISBLANK($C125),"",IF(E125=Constants!$B$3,TRUE(),IF(E125=Constants!$B$4,FALSE(),TRUE())))</f>
        <v/>
      </c>
      <c r="AG125" s="93" t="str">
        <f aca="false">IF(ISBLANK($C125),"",IF(F125=Constants!$B$3,TRUE(),IF(F125=Constants!$B$4,FALSE(),TRUE())))</f>
        <v/>
      </c>
      <c r="AH125" s="93" t="str">
        <f aca="false">IF(ISBLANK($C125),"",IF(G125=Constants!$B$3,TRUE(),IF(G125=Constants!$B$4,FALSE(),TRUE())))</f>
        <v/>
      </c>
      <c r="AI125" s="93" t="str">
        <f aca="false">IF(ISBLANK($C125),"",IF(AND(ISNUMBER(H125),H125&gt;=0),H125,Constants!$B$29))</f>
        <v/>
      </c>
      <c r="AJ125" s="93" t="str">
        <f aca="false">IF(ISBLANK($C125),"",IF(I125=Constants!$B$3,TRUE(),IF(I125=Constants!$B$4,FALSE(),TRUE())))</f>
        <v/>
      </c>
      <c r="AK125" s="93" t="str">
        <f aca="false">IF(ISBLANK($C125),"",IF(J125=Constants!$B$3,TRUE(),IF(J125=Constants!$B$4,FALSE(),TRUE())))</f>
        <v/>
      </c>
      <c r="AL125" s="93" t="str">
        <f aca="false">IF(ISBLANK($C125),"",IF(K125=Constants!$B$5,TRUE(),IF(K125=Constants!$B$6,FALSE(),COUNTA(L125:P125)&gt;0)))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IF(ISBLANK($C125),"",IF(N125=Constants!$B$3,TRUE(),IF(N125=Constants!$B$4,FALSE(),TRUE())))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IF(ISBLANK($C125),"",IF(P125=Constants!$B$3,TRUE(),IF(P125=Constants!$B$4,FALSE(),FALSE())))</f>
        <v/>
      </c>
      <c r="AR125" s="93" t="str">
        <f aca="false">IF(ISBLANK($C125),"",IF(Q125=Constants!$B$3,TRUE(),IF(Q125=Constants!$B$4,FALSE(),TRUE())))</f>
        <v/>
      </c>
      <c r="AS125" s="93" t="str">
        <f aca="false">IF(ISBLANK($C125),"",IF(R125=Constants!$B$3,TRUE(),IF(R125=Constants!$B$4,FALSE(),TRUE())))</f>
        <v/>
      </c>
      <c r="AT125" s="93" t="str">
        <f aca="false">IF(ISBLANK($C125),"",IF(S125=Constants!$B$5,TRUE(),IF(S125=Constants!$B$6,FALSE(),COUNTA(T125:X125)&gt;0)))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IF(ISBLANK($C125),"",IF(V125=Constants!$B$3,TRUE(),IF(V125=Constants!$B$4,FALSE(),TRUE())))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IF(ISBLANK($C125),"",IF(X125=Constants!$B$3,TRUE(),IF(X125=Constants!$B$4,FALSE(),FALSE())))</f>
        <v/>
      </c>
      <c r="AZ125" s="93" t="str">
        <f aca="false">IF(ISBLANK($C125),"",MIN(Constants!$B$31,MAX(0,IF(ISNUMBER(Y125),Y125*60,0)+IF(ISNUMBER(Z125),Z125,0))))</f>
        <v/>
      </c>
      <c r="BA125" s="93" t="str">
        <f aca="false">IF(ISBLANK($C125),"",IF(AA125=Constants!$B$3,TRUE(),IF(AA125=Constants!$B$4,FALSE(),FALSE())))</f>
        <v/>
      </c>
      <c r="BB125" s="92" t="str">
        <f aca="false">IF(ISBLANK($C125),"",AND($AL125,OR($AM125="",$AN125="",AND($AO125,$AP125=""))))</f>
        <v/>
      </c>
      <c r="BC125" s="94" t="str">
        <f aca="false">IF($BZ125&lt;&gt;Constants!$B$8,"",IF($AL125,Constants!$B$21*$AN125+Constants!$B$22*IF($AO125,$AP125,Constants!$B$23),Constants!$B$24))</f>
        <v/>
      </c>
      <c r="BD125" s="97" t="str">
        <f aca="false">IF($BZ125&lt;&gt;Constants!$B$8,"",Constants!$B$25*ABS($AD$9-IF($AL125,$AM125,0)))</f>
        <v/>
      </c>
      <c r="BE125" s="97" t="str">
        <f aca="false">IF($BZ125&lt;&gt;Constants!$B$8,"",IF(AND($AL125,$AQ125,$AO125),Constants!$B$27,0))</f>
        <v/>
      </c>
      <c r="BF125" s="97" t="str">
        <f aca="false">IF($BZ125&lt;&gt;Constants!$B$8,"",IF($AL125,($AI125-Constants!$B$29)*Constants!$B$28,0))</f>
        <v/>
      </c>
      <c r="BG125" s="97" t="str">
        <f aca="false">IF($BZ125&lt;&gt;Constants!$B$8,"",IF($AK125,0,Constants!$B$15)+IF($AJ125,0,Constants!$B$16)+IF($AH125,0,Constants!$B$17))</f>
        <v/>
      </c>
      <c r="BH125" s="98" t="str">
        <f aca="false">IF($BZ125&lt;&gt;Constants!$B$8,"",Constants!$B$20+SUM($BC125:$BG125))</f>
        <v/>
      </c>
      <c r="BI125" s="97" t="str">
        <f aca="false">IF($BZ125&lt;&gt;Constants!$B$8,"",$BC125)</f>
        <v/>
      </c>
      <c r="BJ125" s="97" t="str">
        <f aca="false">IF($BZ125&lt;&gt;Constants!$B$8,"",$BD125)</f>
        <v/>
      </c>
      <c r="BK125" s="97" t="str">
        <f aca="false">IF($BZ125&lt;&gt;Constants!$B$8,"",IF($AL125,$AN125,""))</f>
        <v/>
      </c>
      <c r="BL125" s="99" t="str">
        <f aca="false">IF($BZ125&lt;&gt;Constants!$B$8,"",$AI125)</f>
        <v/>
      </c>
      <c r="BM125" s="93" t="str">
        <f aca="false">IF($BZ125&lt;&gt;Constants!$B$8,"",IF(OR($BT125&lt;$BH125,AND($BT125=$BH125,OR($BU125&lt;$BI125,AND($BU125=$BI125,OR($BV125&lt;$BJ125,AND($BV125=$BJ125,OR(AND(ISNUMBER($BW125),OR(NOT(ISNUMBER($BK125)),$BW125&lt;$BK125)),AND(OR(AND($BW125="",$BK125=""),AND(ISNUMBER($BW125),ISNUMBER($BK125),$BW125=$BK125)),$BX125&lt;$BL125)))))))),"-&gt;","&lt;-"))</f>
        <v/>
      </c>
      <c r="BN125" s="92" t="str">
        <f aca="false">IF(ISBLANK($C125),"",AND($AT125,OR($AU125="",$AV125="",AND($AW125,$AX125=""))))</f>
        <v/>
      </c>
      <c r="BO125" s="94" t="str">
        <f aca="false">IF($BZ125&lt;&gt;Constants!$B$8,"",IF($AT125,Constants!$B$21*$AV125+Constants!$B$22*IF($AW125,$AX125,Constants!$B$23),Constants!$B$24))</f>
        <v/>
      </c>
      <c r="BP125" s="97" t="str">
        <f aca="false">IF($BZ125&lt;&gt;Constants!$B$8,"",Constants!$B$25*ABS($AD$9-IF($AT125,$AU125,0)))</f>
        <v/>
      </c>
      <c r="BQ125" s="97" t="str">
        <f aca="false">IF($BZ125&lt;&gt;Constants!$B$8,"",IF(AND($AT125,$AY125,$AW125),Constants!$B$27,0))</f>
        <v/>
      </c>
      <c r="BR125" s="97" t="str">
        <f aca="false">IF($BZ125&lt;&gt;Constants!$B$8,"",IF($AT125,($AI125-Constants!$B$29)*Constants!$B$28,0))</f>
        <v/>
      </c>
      <c r="BS125" s="97" t="str">
        <f aca="false">IF($BZ125&lt;&gt;Constants!$B$8,"",IF($AS125,0,Constants!$B$15)+IF($AR125,0,Constants!$B$16)+IF($AH125,0,Constants!$B$17))</f>
        <v/>
      </c>
      <c r="BT125" s="98" t="str">
        <f aca="false">IF($BZ125&lt;&gt;Constants!$B$8,"",Constants!$B$20+SUM($BO125:$BS125))</f>
        <v/>
      </c>
      <c r="BU125" s="97" t="str">
        <f aca="false">IF($BZ125&lt;&gt;Constants!$B$8,"",$BO125)</f>
        <v/>
      </c>
      <c r="BV125" s="97" t="str">
        <f aca="false">IF($BZ125&lt;&gt;Constants!$B$8,"",$BP125)</f>
        <v/>
      </c>
      <c r="BW125" s="97" t="str">
        <f aca="false">IF($BZ125&lt;&gt;Constants!$B$8,"",IF($AT125,$AV125,""))</f>
        <v/>
      </c>
      <c r="BX125" s="99" t="str">
        <f aca="false">IF($BZ125&lt;&gt;Constants!$B$8,"",$AI125)</f>
        <v/>
      </c>
      <c r="BY125" s="93" t="str">
        <f aca="false">IF(ISBLANK($C125),"",IF(ISBLANK($D$7),$BY$5,IF(NOT(ISNUMBER($D$7)),$BY$6,"")))</f>
        <v/>
      </c>
      <c r="BZ125" s="93" t="str">
        <f aca="false">IF(ISBLANK($C125),"",IF($BA125,Constants!$B$11,IF(COUNTA($E125:$AA125)=0,Constants!$B$10,IF(NOT($AG125),Constants!$B$9,IF(OR($BY125&lt;&gt;"",$BB125,$BN125),Constants!$B$12,Constants!$B$8)))))</f>
        <v/>
      </c>
      <c r="CA125" s="93" t="str">
        <f aca="false">IF(ISBLANK($C125),"",IF($BZ125&lt;&gt;Constants!$B$8,$BZ125,Constants!$B$13))</f>
        <v/>
      </c>
      <c r="CB125" s="97" t="str">
        <f aca="false">IF($BZ125&lt;&gt;Constants!$B$8,"",IF($BM125="-&gt;",$BT125,$BH125))</f>
        <v/>
      </c>
      <c r="CC125" s="97" t="str">
        <f aca="false">IF($BZ125&lt;&gt;Constants!$B$8,"",IF($AF125,0,Constants!$B$18))</f>
        <v/>
      </c>
      <c r="CD125" s="97" t="str">
        <f aca="false">IF($BZ125&lt;&gt;Constants!$B$8,"",((Constants!$B$31-$AZ125)-Constants!$B$31)/Constants!$B$32)</f>
        <v/>
      </c>
      <c r="CE125" s="97" t="str">
        <f aca="false">IF(ISBLANK($C125),"",IF($BZ125&lt;&gt;Constants!$B$8,$BZ125,SUM($CB125:$CD125)))</f>
        <v/>
      </c>
      <c r="CF125" s="93" t="str">
        <f aca="false">IF(ISBLANK($C125),"",IF($BZ125&lt;&gt;Constants!$B$8,$BZ125,RANK($CE125,$CE$9:$CE$508,1)))</f>
        <v/>
      </c>
      <c r="CG125" s="97" t="str">
        <f aca="false">IF($BZ125&lt;&gt;Constants!$B$8,"",IF($BM125="-&gt;",$BU125,$BI125))</f>
        <v/>
      </c>
      <c r="CH125" s="93" t="str">
        <f aca="false">IF(ISBLANK($C125),"",IF($BZ125&lt;&gt;Constants!$B$8,$BZ125,IF(ISNUMBER($CG125),RANK($CG125,$CG$9:$CG$508,1),COUNT($CG$9:$CG$508)+1)))</f>
        <v/>
      </c>
      <c r="CI125" s="97" t="str">
        <f aca="false">IF($BZ125&lt;&gt;Constants!$B$8,"",IF($BM125="-&gt;",$BV125,$BJ125))</f>
        <v/>
      </c>
      <c r="CJ125" s="93" t="str">
        <f aca="false">IF(ISBLANK($C125),"",IF($BZ125&lt;&gt;Constants!$B$8,$BZ125,IF(ISNUMBER($CI125),RANK($CI125,$CI$9:$CI$508,1),COUNT($CI$9:$CI$508)+1)))</f>
        <v/>
      </c>
      <c r="CK125" s="97" t="str">
        <f aca="false">IF($BZ125&lt;&gt;Constants!$B$8,"",IF($BM125="-&gt;",$BW125,$BK125))</f>
        <v/>
      </c>
      <c r="CL125" s="93" t="str">
        <f aca="false">IF(ISBLANK($C125),"",IF($BZ125&lt;&gt;Constants!$B$8,$BZ125,IF(ISNUMBER($CK125),RANK($CK125,$CK$9:$CK$508,1),COUNT($CK$9:$CK$508)+1)))</f>
        <v/>
      </c>
      <c r="CM125" s="97" t="str">
        <f aca="false">IF($BZ125&lt;&gt;Constants!$B$8,"",IF(AND(NOT($AL125),NOT($AT125),$AJ125,$AK125,$AR125,$AS125),"",IF($BM125="-&gt;",$BX125,$BL125)))</f>
        <v/>
      </c>
      <c r="CN125" s="93" t="str">
        <f aca="false">IF(ISBLANK($C125),"",IF($BZ125&lt;&gt;Constants!$B$8,$BZ125,IF(ISNUMBER($CM125),RANK($CM125,$CM$9:$CM$508,1),COUNT($CM$9:$CM$508)+1)))</f>
        <v/>
      </c>
      <c r="CO125" s="93" t="str">
        <f aca="false">IF(ISBLANK($C125),"",IF($BZ125&lt;&gt;Constants!$B$8,$BZ125,COUNTIFS($CF$9:$CF$508,"&lt;"&amp;$CF125)+COUNTIFS($CF$9:$CF$508,$CF125,$CH$9:$CH$508,"&lt;"&amp;$CH125)+COUNTIFS($CF$9:$CF$508,$CF125,$CH$9:$CH$508,$CH125,$CJ$9:$CJ$508,"&lt;"&amp;$CJ125)+COUNTIFS($CF$9:$CF$508,$CF125,$CH$9:$CH$508,$CH125,$CJ$9:$CJ$508,$CJ125,$CL$9:$CL$508,"&lt;"&amp;$CL125)+COUNTIFS($CF$9:$CF$508,$CF125,$CH$9:$CH$508,$CH125,$CJ$9:$CJ$508,$CJ125,$CL$9:$CL$508,$CL125,$CN$9:$CN$508,"&lt;"&amp;$CN125)+1))</f>
        <v/>
      </c>
      <c r="CP125" s="93" t="str">
        <f aca="false">IF(ISBLANK($C125),"",IF($BZ125&lt;&gt;Constants!$B$8,$BZ125,$CF125-$CO125))</f>
        <v/>
      </c>
      <c r="CQ125" s="100"/>
      <c r="CR125" s="101"/>
      <c r="CS125" s="102" t="str">
        <f aca="false">IF(ISBLANK($C125),"",IF($BZ125=Constants!$B$12,$BY125,""))</f>
        <v/>
      </c>
      <c r="CT125" s="101" t="str">
        <f aca="false">IF(ISBLANK($C125),"",IF($BZ125&lt;&gt;Constants!$B$8,"",IF($BM125="-&gt;",2,1)))</f>
        <v/>
      </c>
      <c r="CU125" s="103" t="str">
        <f aca="false">IF(ISBLANK($C125),"",IF($BZ125&lt;&gt;Constants!$B$8,"",IF($BM125="-&gt;",$BO125,$BC125)))</f>
        <v/>
      </c>
      <c r="CV125" s="103" t="str">
        <f aca="false">IF(ISBLANK($C125),"",IF($BZ125&lt;&gt;Constants!$B$8,"",IF($BM125="-&gt;",$BP125,$BD125)))</f>
        <v/>
      </c>
      <c r="CW125" s="103" t="str">
        <f aca="false">IF(ISBLANK($C125),"",IF($BZ125&lt;&gt;Constants!$B$8,"",IF($BM125="-&gt;",$BQ125+$BR125,$BE125+$BF125)+$CD125))</f>
        <v/>
      </c>
      <c r="CX125" s="103" t="str">
        <f aca="false">IF(ISBLANK($C125),"",IF($BZ125&lt;&gt;Constants!$B$8,"",IF($BM125="-&gt;",$BS125,$BG125)+$CC125))</f>
        <v/>
      </c>
      <c r="CY125" s="104" t="str">
        <f aca="false">IF(ISBLANK($C125),"",IF($BZ125&lt;&gt;Constants!$B$8,$BZ125,$CE125))</f>
        <v/>
      </c>
      <c r="CZ125" s="105" t="str">
        <f aca="false">IF(ISBLANK($C125),"",$CA125)</f>
        <v/>
      </c>
      <c r="DA125" s="106" t="str">
        <f aca="false">IF(ISBLANK($C125),"",$CP125)</f>
        <v/>
      </c>
      <c r="DB125" s="106" t="str">
        <f aca="false">IF(ISBLANK($C125),"",$CO125)</f>
        <v/>
      </c>
      <c r="DC125" s="107" t="str">
        <f aca="false">IF(ISBLANK($C125),"",IFERROR(_xlfn.SWITCH($DB125,Constants!$B$11,COUNTA($C$9:$C$508)+2,Constants!$B$10,COUNTA($C$9:$C$508)+1,Constants!$B$9,COUNTA($C$9:$C$508)),$DB125))</f>
        <v/>
      </c>
      <c r="DD125" s="9"/>
      <c r="DE125" s="108" t="n">
        <f aca="false">IF(OR(ISNUMBER($DB125),$DB125=Constants!$B$11,$DB125=Constants!$B$9,$DB125=Constants!$B$10),1,0)</f>
        <v>0</v>
      </c>
      <c r="DF125" s="108" t="n">
        <v>117</v>
      </c>
      <c r="DG125" s="108" t="str">
        <f aca="false">IF(ISBLANK($C125),"",IF(ISNUMBER($DC125),$DC125+ROW($B125)/1000,""))</f>
        <v/>
      </c>
      <c r="DH125" s="108" t="str">
        <f aca="false">IF(ISNUMBER($DG125),RANK($DG125,$DG$9:$DG$508,1),"")</f>
        <v/>
      </c>
      <c r="DI125" s="108" t="str">
        <f aca="false">IF(ISBLANK($C125),"",$B125)</f>
        <v/>
      </c>
      <c r="DJ125" s="108" t="str">
        <f aca="false">IF(ISBLANK($C125),"",$C125)</f>
        <v/>
      </c>
      <c r="DK125" s="108" t="str">
        <f aca="false">IF(ISBLANK($C125),"",$D125)</f>
        <v/>
      </c>
      <c r="DL125" s="109" t="str">
        <f aca="false">$CZ125</f>
        <v/>
      </c>
      <c r="DM125" s="110" t="str">
        <f aca="false">$CY125</f>
        <v/>
      </c>
      <c r="DN125" s="108" t="str">
        <f aca="false">IF(ISBLANK($C125),"",$DB125)</f>
        <v/>
      </c>
      <c r="DO125" s="111" t="str">
        <f aca="false">IF($DF125&gt;$DE$8,"",VLOOKUP($DF125,$DH$9:$DN$508,7,FALSE()))</f>
        <v/>
      </c>
      <c r="DP125" s="112" t="str">
        <f aca="false">IF($DF125&gt;$DE$8,"",VLOOKUP($DF125,$DH$9:$DN$508,2,FALSE()))</f>
        <v/>
      </c>
      <c r="DQ125" s="112" t="str">
        <f aca="false">IF($DF125&gt;$DE$8,"",VLOOKUP($DF125,$DH$9:$DN$508,3,FALSE()))</f>
        <v/>
      </c>
      <c r="DR125" s="112" t="str">
        <f aca="false">IF($DF125&gt;$DE$8,"",VLOOKUP($DF125,$DH$9:$DN$508,4,FALSE()))</f>
        <v/>
      </c>
      <c r="DS125" s="112" t="str">
        <f aca="false">IF($DF125&gt;$DE$8,"",VLOOKUP($DF125,$DH$9:$DN$508,5,FALSE()))</f>
        <v/>
      </c>
      <c r="DT125" s="113" t="str">
        <f aca="false">IF($DF125&gt;$DE$8,"",VLOOKUP($DF125,$DH$9:$DN$508,6,FALSE()))</f>
        <v/>
      </c>
      <c r="DU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IF(ISBLANK($C126),"",IF(E126=Constants!$B$3,TRUE(),IF(E126=Constants!$B$4,FALSE(),TRUE())))</f>
        <v/>
      </c>
      <c r="AG126" s="135" t="str">
        <f aca="false">IF(ISBLANK($C126),"",IF(F126=Constants!$B$3,TRUE(),IF(F126=Constants!$B$4,FALSE(),TRUE())))</f>
        <v/>
      </c>
      <c r="AH126" s="135" t="str">
        <f aca="false">IF(ISBLANK($C126),"",IF(G126=Constants!$B$3,TRUE(),IF(G126=Constants!$B$4,FALSE(),TRUE())))</f>
        <v/>
      </c>
      <c r="AI126" s="135" t="str">
        <f aca="false">IF(ISBLANK($C126),"",IF(AND(ISNUMBER(H126),H126&gt;=0),H126,Constants!$B$29))</f>
        <v/>
      </c>
      <c r="AJ126" s="135" t="str">
        <f aca="false">IF(ISBLANK($C126),"",IF(I126=Constants!$B$3,TRUE(),IF(I126=Constants!$B$4,FALSE(),TRUE())))</f>
        <v/>
      </c>
      <c r="AK126" s="135" t="str">
        <f aca="false">IF(ISBLANK($C126),"",IF(J126=Constants!$B$3,TRUE(),IF(J126=Constants!$B$4,FALSE(),TRUE())))</f>
        <v/>
      </c>
      <c r="AL126" s="135" t="str">
        <f aca="false">IF(ISBLANK($C126),"",IF(K126=Constants!$B$5,TRUE(),IF(K126=Constants!$B$6,FALSE(),COUNTA(L126:P126)&gt;0)))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IF(ISBLANK($C126),"",IF(N126=Constants!$B$3,TRUE(),IF(N126=Constants!$B$4,FALSE(),TRUE())))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IF(ISBLANK($C126),"",IF(P126=Constants!$B$3,TRUE(),IF(P126=Constants!$B$4,FALSE(),FALSE())))</f>
        <v/>
      </c>
      <c r="AR126" s="135" t="str">
        <f aca="false">IF(ISBLANK($C126),"",IF(Q126=Constants!$B$3,TRUE(),IF(Q126=Constants!$B$4,FALSE(),TRUE())))</f>
        <v/>
      </c>
      <c r="AS126" s="135" t="str">
        <f aca="false">IF(ISBLANK($C126),"",IF(R126=Constants!$B$3,TRUE(),IF(R126=Constants!$B$4,FALSE(),TRUE())))</f>
        <v/>
      </c>
      <c r="AT126" s="135" t="str">
        <f aca="false">IF(ISBLANK($C126),"",IF(S126=Constants!$B$5,TRUE(),IF(S126=Constants!$B$6,FALSE(),COUNTA(T126:X126)&gt;0)))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IF(ISBLANK($C126),"",IF(V126=Constants!$B$3,TRUE(),IF(V126=Constants!$B$4,FALSE(),TRUE())))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IF(ISBLANK($C126),"",IF(X126=Constants!$B$3,TRUE(),IF(X126=Constants!$B$4,FALSE(),FALSE())))</f>
        <v/>
      </c>
      <c r="AZ126" s="135" t="str">
        <f aca="false">IF(ISBLANK($C126),"",MIN(Constants!$B$31,MAX(0,IF(ISNUMBER(Y126),Y126*60,0)+IF(ISNUMBER(Z126),Z126,0))))</f>
        <v/>
      </c>
      <c r="BA126" s="135" t="str">
        <f aca="false">IF(ISBLANK($C126),"",IF(AA126=Constants!$B$3,TRUE(),IF(AA126=Constants!$B$4,FALSE(),FALSE())))</f>
        <v/>
      </c>
      <c r="BB126" s="134" t="str">
        <f aca="false">IF(ISBLANK($C126),"",AND($AL126,OR($AM126="",$AN126="",AND($AO126,$AP126=""))))</f>
        <v/>
      </c>
      <c r="BC126" s="137" t="str">
        <f aca="false">IF($BZ126&lt;&gt;Constants!$B$8,"",IF($AL126,Constants!$B$21*$AN126+Constants!$B$22*IF($AO126,$AP126,Constants!$B$23),Constants!$B$24))</f>
        <v/>
      </c>
      <c r="BD126" s="138" t="str">
        <f aca="false">IF($BZ126&lt;&gt;Constants!$B$8,"",Constants!$B$25*ABS($AD$9-IF($AL126,$AM126,0)))</f>
        <v/>
      </c>
      <c r="BE126" s="138" t="str">
        <f aca="false">IF($BZ126&lt;&gt;Constants!$B$8,"",IF(AND($AL126,$AQ126,$AO126),Constants!$B$27,0))</f>
        <v/>
      </c>
      <c r="BF126" s="138" t="str">
        <f aca="false">IF($BZ126&lt;&gt;Constants!$B$8,"",IF($AL126,($AI126-Constants!$B$29)*Constants!$B$28,0))</f>
        <v/>
      </c>
      <c r="BG126" s="138" t="str">
        <f aca="false">IF($BZ126&lt;&gt;Constants!$B$8,"",IF($AK126,0,Constants!$B$15)+IF($AJ126,0,Constants!$B$16)+IF($AH126,0,Constants!$B$17))</f>
        <v/>
      </c>
      <c r="BH126" s="139" t="str">
        <f aca="false">IF($BZ126&lt;&gt;Constants!$B$8,"",Constants!$B$20+SUM($BC126:$BG126))</f>
        <v/>
      </c>
      <c r="BI126" s="138" t="str">
        <f aca="false">IF($BZ126&lt;&gt;Constants!$B$8,"",$BC126)</f>
        <v/>
      </c>
      <c r="BJ126" s="138" t="str">
        <f aca="false">IF($BZ126&lt;&gt;Constants!$B$8,"",$BD126)</f>
        <v/>
      </c>
      <c r="BK126" s="138" t="str">
        <f aca="false">IF($BZ126&lt;&gt;Constants!$B$8,"",IF($AL126,$AN126,""))</f>
        <v/>
      </c>
      <c r="BL126" s="140" t="str">
        <f aca="false">IF($BZ126&lt;&gt;Constants!$B$8,"",$AI126)</f>
        <v/>
      </c>
      <c r="BM126" s="135" t="str">
        <f aca="false">IF($BZ126&lt;&gt;Constants!$B$8,"",IF(OR($BT126&lt;$BH126,AND($BT126=$BH126,OR($BU126&lt;$BI126,AND($BU126=$BI126,OR($BV126&lt;$BJ126,AND($BV126=$BJ126,OR(AND(ISNUMBER($BW126),OR(NOT(ISNUMBER($BK126)),$BW126&lt;$BK126)),AND(OR(AND($BW126="",$BK126=""),AND(ISNUMBER($BW126),ISNUMBER($BK126),$BW126=$BK126)),$BX126&lt;$BL126)))))))),"-&gt;","&lt;-"))</f>
        <v/>
      </c>
      <c r="BN126" s="134" t="str">
        <f aca="false">IF(ISBLANK($C126),"",AND($AT126,OR($AU126="",$AV126="",AND($AW126,$AX126=""))))</f>
        <v/>
      </c>
      <c r="BO126" s="137" t="str">
        <f aca="false">IF($BZ126&lt;&gt;Constants!$B$8,"",IF($AT126,Constants!$B$21*$AV126+Constants!$B$22*IF($AW126,$AX126,Constants!$B$23),Constants!$B$24))</f>
        <v/>
      </c>
      <c r="BP126" s="138" t="str">
        <f aca="false">IF($BZ126&lt;&gt;Constants!$B$8,"",Constants!$B$25*ABS($AD$9-IF($AT126,$AU126,0)))</f>
        <v/>
      </c>
      <c r="BQ126" s="138" t="str">
        <f aca="false">IF($BZ126&lt;&gt;Constants!$B$8,"",IF(AND($AT126,$AY126,$AW126),Constants!$B$27,0))</f>
        <v/>
      </c>
      <c r="BR126" s="138" t="str">
        <f aca="false">IF($BZ126&lt;&gt;Constants!$B$8,"",IF($AT126,($AI126-Constants!$B$29)*Constants!$B$28,0))</f>
        <v/>
      </c>
      <c r="BS126" s="138" t="str">
        <f aca="false">IF($BZ126&lt;&gt;Constants!$B$8,"",IF($AS126,0,Constants!$B$15)+IF($AR126,0,Constants!$B$16)+IF($AH126,0,Constants!$B$17))</f>
        <v/>
      </c>
      <c r="BT126" s="139" t="str">
        <f aca="false">IF($BZ126&lt;&gt;Constants!$B$8,"",Constants!$B$20+SUM($BO126:$BS126))</f>
        <v/>
      </c>
      <c r="BU126" s="138" t="str">
        <f aca="false">IF($BZ126&lt;&gt;Constants!$B$8,"",$BO126)</f>
        <v/>
      </c>
      <c r="BV126" s="138" t="str">
        <f aca="false">IF($BZ126&lt;&gt;Constants!$B$8,"",$BP126)</f>
        <v/>
      </c>
      <c r="BW126" s="138" t="str">
        <f aca="false">IF($BZ126&lt;&gt;Constants!$B$8,"",IF($AT126,$AV126,""))</f>
        <v/>
      </c>
      <c r="BX126" s="140" t="str">
        <f aca="false">IF($BZ126&lt;&gt;Constants!$B$8,"",$AI126)</f>
        <v/>
      </c>
      <c r="BY126" s="135" t="str">
        <f aca="false">IF(ISBLANK($C126),"",IF(ISBLANK($D$7),$BY$5,IF(NOT(ISNUMBER($D$7)),$BY$6,"")))</f>
        <v/>
      </c>
      <c r="BZ126" s="135" t="str">
        <f aca="false">IF(ISBLANK($C126),"",IF($BA126,Constants!$B$11,IF(COUNTA($E126:$AA126)=0,Constants!$B$10,IF(NOT($AG126),Constants!$B$9,IF(OR($BY126&lt;&gt;"",$BB126,$BN126),Constants!$B$12,Constants!$B$8)))))</f>
        <v/>
      </c>
      <c r="CA126" s="135" t="str">
        <f aca="false">IF(ISBLANK($C126),"",IF($BZ126&lt;&gt;Constants!$B$8,$BZ126,Constants!$B$13))</f>
        <v/>
      </c>
      <c r="CB126" s="138" t="str">
        <f aca="false">IF($BZ126&lt;&gt;Constants!$B$8,"",IF($BM126="-&gt;",$BT126,$BH126))</f>
        <v/>
      </c>
      <c r="CC126" s="138" t="str">
        <f aca="false">IF($BZ126&lt;&gt;Constants!$B$8,"",IF($AF126,0,Constants!$B$18))</f>
        <v/>
      </c>
      <c r="CD126" s="138" t="str">
        <f aca="false">IF($BZ126&lt;&gt;Constants!$B$8,"",((Constants!$B$31-$AZ126)-Constants!$B$31)/Constants!$B$32)</f>
        <v/>
      </c>
      <c r="CE126" s="138" t="str">
        <f aca="false">IF(ISBLANK($C126),"",IF($BZ126&lt;&gt;Constants!$B$8,$BZ126,SUM($CB126:$CD126)))</f>
        <v/>
      </c>
      <c r="CF126" s="135" t="str">
        <f aca="false">IF(ISBLANK($C126),"",IF($BZ126&lt;&gt;Constants!$B$8,$BZ126,RANK($CE126,$CE$9:$CE$508,1)))</f>
        <v/>
      </c>
      <c r="CG126" s="138" t="str">
        <f aca="false">IF($BZ126&lt;&gt;Constants!$B$8,"",IF($BM126="-&gt;",$BU126,$BI126))</f>
        <v/>
      </c>
      <c r="CH126" s="135" t="str">
        <f aca="false">IF(ISBLANK($C126),"",IF($BZ126&lt;&gt;Constants!$B$8,$BZ126,IF(ISNUMBER($CG126),RANK($CG126,$CG$9:$CG$508,1),COUNT($CG$9:$CG$508)+1)))</f>
        <v/>
      </c>
      <c r="CI126" s="138" t="str">
        <f aca="false">IF($BZ126&lt;&gt;Constants!$B$8,"",IF($BM126="-&gt;",$BV126,$BJ126))</f>
        <v/>
      </c>
      <c r="CJ126" s="135" t="str">
        <f aca="false">IF(ISBLANK($C126),"",IF($BZ126&lt;&gt;Constants!$B$8,$BZ126,IF(ISNUMBER($CI126),RANK($CI126,$CI$9:$CI$508,1),COUNT($CI$9:$CI$508)+1)))</f>
        <v/>
      </c>
      <c r="CK126" s="138" t="str">
        <f aca="false">IF($BZ126&lt;&gt;Constants!$B$8,"",IF($BM126="-&gt;",$BW126,$BK126))</f>
        <v/>
      </c>
      <c r="CL126" s="135" t="str">
        <f aca="false">IF(ISBLANK($C126),"",IF($BZ126&lt;&gt;Constants!$B$8,$BZ126,IF(ISNUMBER($CK126),RANK($CK126,$CK$9:$CK$508,1),COUNT($CK$9:$CK$508)+1)))</f>
        <v/>
      </c>
      <c r="CM126" s="138" t="str">
        <f aca="false">IF($BZ126&lt;&gt;Constants!$B$8,"",IF(AND(NOT($AL126),NOT($AT126),$AJ126,$AK126,$AR126,$AS126),"",IF($BM126="-&gt;",$BX126,$BL126)))</f>
        <v/>
      </c>
      <c r="CN126" s="135" t="str">
        <f aca="false">IF(ISBLANK($C126),"",IF($BZ126&lt;&gt;Constants!$B$8,$BZ126,IF(ISNUMBER($CM126),RANK($CM126,$CM$9:$CM$508,1),COUNT($CM$9:$CM$508)+1)))</f>
        <v/>
      </c>
      <c r="CO126" s="135" t="str">
        <f aca="false">IF(ISBLANK($C126),"",IF($BZ126&lt;&gt;Constants!$B$8,$BZ126,COUNTIFS($CF$9:$CF$508,"&lt;"&amp;$CF126)+COUNTIFS($CF$9:$CF$508,$CF126,$CH$9:$CH$508,"&lt;"&amp;$CH126)+COUNTIFS($CF$9:$CF$508,$CF126,$CH$9:$CH$508,$CH126,$CJ$9:$CJ$508,"&lt;"&amp;$CJ126)+COUNTIFS($CF$9:$CF$508,$CF126,$CH$9:$CH$508,$CH126,$CJ$9:$CJ$508,$CJ126,$CL$9:$CL$508,"&lt;"&amp;$CL126)+COUNTIFS($CF$9:$CF$508,$CF126,$CH$9:$CH$508,$CH126,$CJ$9:$CJ$508,$CJ126,$CL$9:$CL$508,$CL126,$CN$9:$CN$508,"&lt;"&amp;$CN126)+1))</f>
        <v/>
      </c>
      <c r="CP126" s="135" t="str">
        <f aca="false">IF(ISBLANK($C126),"",IF($BZ126&lt;&gt;Constants!$B$8,$BZ126,$CF126-$CO126))</f>
        <v/>
      </c>
      <c r="CQ126" s="141"/>
      <c r="CR126" s="142"/>
      <c r="CS126" s="143" t="str">
        <f aca="false">IF(ISBLANK($C126),"",IF($BZ126=Constants!$B$12,$BY126,""))</f>
        <v/>
      </c>
      <c r="CT126" s="142" t="str">
        <f aca="false">IF(ISBLANK($C126),"",IF($BZ126&lt;&gt;Constants!$B$8,"",IF($BM126="-&gt;",2,1)))</f>
        <v/>
      </c>
      <c r="CU126" s="144" t="str">
        <f aca="false">IF(ISBLANK($C126),"",IF($BZ126&lt;&gt;Constants!$B$8,"",IF($BM126="-&gt;",$BO126,$BC126)))</f>
        <v/>
      </c>
      <c r="CV126" s="144" t="str">
        <f aca="false">IF(ISBLANK($C126),"",IF($BZ126&lt;&gt;Constants!$B$8,"",IF($BM126="-&gt;",$BP126,$BD126)))</f>
        <v/>
      </c>
      <c r="CW126" s="144" t="str">
        <f aca="false">IF(ISBLANK($C126),"",IF($BZ126&lt;&gt;Constants!$B$8,"",IF($BM126="-&gt;",$BQ126+$BR126,$BE126+$BF126)+$CD126))</f>
        <v/>
      </c>
      <c r="CX126" s="144" t="str">
        <f aca="false">IF(ISBLANK($C126),"",IF($BZ126&lt;&gt;Constants!$B$8,"",IF($BM126="-&gt;",$BS126,$BG126)+$CC126))</f>
        <v/>
      </c>
      <c r="CY126" s="145" t="str">
        <f aca="false">IF(ISBLANK($C126),"",IF($BZ126&lt;&gt;Constants!$B$8,$BZ126,$CE126))</f>
        <v/>
      </c>
      <c r="CZ126" s="146" t="str">
        <f aca="false">IF(ISBLANK($C126),"",$CA126)</f>
        <v/>
      </c>
      <c r="DA126" s="147" t="str">
        <f aca="false">IF(ISBLANK($C126),"",$CP126)</f>
        <v/>
      </c>
      <c r="DB126" s="147" t="str">
        <f aca="false">IF(ISBLANK($C126),"",$CO126)</f>
        <v/>
      </c>
      <c r="DC126" s="148" t="str">
        <f aca="false">IF(ISBLANK($C126),"",IFERROR(_xlfn.SWITCH($DB126,Constants!$B$11,COUNTA($C$9:$C$508)+2,Constants!$B$10,COUNTA($C$9:$C$508)+1,Constants!$B$9,COUNTA($C$9:$C$508)),$DB126))</f>
        <v/>
      </c>
      <c r="DD126" s="9"/>
      <c r="DE126" s="149" t="n">
        <f aca="false">IF(OR(ISNUMBER($DB126),$DB126=Constants!$B$11,$DB126=Constants!$B$9,$DB126=Constants!$B$10),1,0)</f>
        <v>0</v>
      </c>
      <c r="DF126" s="149" t="n">
        <v>118</v>
      </c>
      <c r="DG126" s="149" t="str">
        <f aca="false">IF(ISBLANK($C126),"",IF(ISNUMBER($DC126),$DC126+ROW($B126)/1000,""))</f>
        <v/>
      </c>
      <c r="DH126" s="149" t="str">
        <f aca="false">IF(ISNUMBER($DG126),RANK($DG126,$DG$9:$DG$508,1),"")</f>
        <v/>
      </c>
      <c r="DI126" s="149" t="str">
        <f aca="false">IF(ISBLANK($C126),"",$B126)</f>
        <v/>
      </c>
      <c r="DJ126" s="149" t="str">
        <f aca="false">IF(ISBLANK($C126),"",$C126)</f>
        <v/>
      </c>
      <c r="DK126" s="149" t="str">
        <f aca="false">IF(ISBLANK($C126),"",$D126)</f>
        <v/>
      </c>
      <c r="DL126" s="150" t="str">
        <f aca="false">$CZ126</f>
        <v/>
      </c>
      <c r="DM126" s="151" t="str">
        <f aca="false">$CY126</f>
        <v/>
      </c>
      <c r="DN126" s="149" t="str">
        <f aca="false">IF(ISBLANK($C126),"",$DB126)</f>
        <v/>
      </c>
      <c r="DO126" s="152" t="str">
        <f aca="false">IF($DF126&gt;$DE$8,"",VLOOKUP($DF126,$DH$9:$DN$508,7,FALSE()))</f>
        <v/>
      </c>
      <c r="DP126" s="153" t="str">
        <f aca="false">IF($DF126&gt;$DE$8,"",VLOOKUP($DF126,$DH$9:$DN$508,2,FALSE()))</f>
        <v/>
      </c>
      <c r="DQ126" s="153" t="str">
        <f aca="false">IF($DF126&gt;$DE$8,"",VLOOKUP($DF126,$DH$9:$DN$508,3,FALSE()))</f>
        <v/>
      </c>
      <c r="DR126" s="153" t="str">
        <f aca="false">IF($DF126&gt;$DE$8,"",VLOOKUP($DF126,$DH$9:$DN$508,4,FALSE()))</f>
        <v/>
      </c>
      <c r="DS126" s="153" t="str">
        <f aca="false">IF($DF126&gt;$DE$8,"",VLOOKUP($DF126,$DH$9:$DN$508,5,FALSE()))</f>
        <v/>
      </c>
      <c r="DT126" s="154" t="str">
        <f aca="false">IF($DF126&gt;$DE$8,"",VLOOKUP($DF126,$DH$9:$DN$508,6,FALSE()))</f>
        <v/>
      </c>
      <c r="DU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IF(ISBLANK($C127),"",IF(E127=Constants!$B$3,TRUE(),IF(E127=Constants!$B$4,FALSE(),TRUE())))</f>
        <v/>
      </c>
      <c r="AG127" s="135" t="str">
        <f aca="false">IF(ISBLANK($C127),"",IF(F127=Constants!$B$3,TRUE(),IF(F127=Constants!$B$4,FALSE(),TRUE())))</f>
        <v/>
      </c>
      <c r="AH127" s="135" t="str">
        <f aca="false">IF(ISBLANK($C127),"",IF(G127=Constants!$B$3,TRUE(),IF(G127=Constants!$B$4,FALSE(),TRUE())))</f>
        <v/>
      </c>
      <c r="AI127" s="135" t="str">
        <f aca="false">IF(ISBLANK($C127),"",IF(AND(ISNUMBER(H127),H127&gt;=0),H127,Constants!$B$29))</f>
        <v/>
      </c>
      <c r="AJ127" s="135" t="str">
        <f aca="false">IF(ISBLANK($C127),"",IF(I127=Constants!$B$3,TRUE(),IF(I127=Constants!$B$4,FALSE(),TRUE())))</f>
        <v/>
      </c>
      <c r="AK127" s="135" t="str">
        <f aca="false">IF(ISBLANK($C127),"",IF(J127=Constants!$B$3,TRUE(),IF(J127=Constants!$B$4,FALSE(),TRUE())))</f>
        <v/>
      </c>
      <c r="AL127" s="135" t="str">
        <f aca="false">IF(ISBLANK($C127),"",IF(K127=Constants!$B$5,TRUE(),IF(K127=Constants!$B$6,FALSE(),COUNTA(L127:P127)&gt;0)))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IF(ISBLANK($C127),"",IF(N127=Constants!$B$3,TRUE(),IF(N127=Constants!$B$4,FALSE(),TRUE())))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IF(ISBLANK($C127),"",IF(P127=Constants!$B$3,TRUE(),IF(P127=Constants!$B$4,FALSE(),FALSE())))</f>
        <v/>
      </c>
      <c r="AR127" s="135" t="str">
        <f aca="false">IF(ISBLANK($C127),"",IF(Q127=Constants!$B$3,TRUE(),IF(Q127=Constants!$B$4,FALSE(),TRUE())))</f>
        <v/>
      </c>
      <c r="AS127" s="135" t="str">
        <f aca="false">IF(ISBLANK($C127),"",IF(R127=Constants!$B$3,TRUE(),IF(R127=Constants!$B$4,FALSE(),TRUE())))</f>
        <v/>
      </c>
      <c r="AT127" s="135" t="str">
        <f aca="false">IF(ISBLANK($C127),"",IF(S127=Constants!$B$5,TRUE(),IF(S127=Constants!$B$6,FALSE(),COUNTA(T127:X127)&gt;0)))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IF(ISBLANK($C127),"",IF(V127=Constants!$B$3,TRUE(),IF(V127=Constants!$B$4,FALSE(),TRUE())))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IF(ISBLANK($C127),"",IF(X127=Constants!$B$3,TRUE(),IF(X127=Constants!$B$4,FALSE(),FALSE())))</f>
        <v/>
      </c>
      <c r="AZ127" s="135" t="str">
        <f aca="false">IF(ISBLANK($C127),"",MIN(Constants!$B$31,MAX(0,IF(ISNUMBER(Y127),Y127*60,0)+IF(ISNUMBER(Z127),Z127,0))))</f>
        <v/>
      </c>
      <c r="BA127" s="135" t="str">
        <f aca="false">IF(ISBLANK($C127),"",IF(AA127=Constants!$B$3,TRUE(),IF(AA127=Constants!$B$4,FALSE(),FALSE())))</f>
        <v/>
      </c>
      <c r="BB127" s="134" t="str">
        <f aca="false">IF(ISBLANK($C127),"",AND($AL127,OR($AM127="",$AN127="",AND($AO127,$AP127=""))))</f>
        <v/>
      </c>
      <c r="BC127" s="137" t="str">
        <f aca="false">IF($BZ127&lt;&gt;Constants!$B$8,"",IF($AL127,Constants!$B$21*$AN127+Constants!$B$22*IF($AO127,$AP127,Constants!$B$23),Constants!$B$24))</f>
        <v/>
      </c>
      <c r="BD127" s="138" t="str">
        <f aca="false">IF($BZ127&lt;&gt;Constants!$B$8,"",Constants!$B$25*ABS($AD$9-IF($AL127,$AM127,0)))</f>
        <v/>
      </c>
      <c r="BE127" s="138" t="str">
        <f aca="false">IF($BZ127&lt;&gt;Constants!$B$8,"",IF(AND($AL127,$AQ127,$AO127),Constants!$B$27,0))</f>
        <v/>
      </c>
      <c r="BF127" s="138" t="str">
        <f aca="false">IF($BZ127&lt;&gt;Constants!$B$8,"",IF($AL127,($AI127-Constants!$B$29)*Constants!$B$28,0))</f>
        <v/>
      </c>
      <c r="BG127" s="138" t="str">
        <f aca="false">IF($BZ127&lt;&gt;Constants!$B$8,"",IF($AK127,0,Constants!$B$15)+IF($AJ127,0,Constants!$B$16)+IF($AH127,0,Constants!$B$17))</f>
        <v/>
      </c>
      <c r="BH127" s="139" t="str">
        <f aca="false">IF($BZ127&lt;&gt;Constants!$B$8,"",Constants!$B$20+SUM($BC127:$BG127))</f>
        <v/>
      </c>
      <c r="BI127" s="138" t="str">
        <f aca="false">IF($BZ127&lt;&gt;Constants!$B$8,"",$BC127)</f>
        <v/>
      </c>
      <c r="BJ127" s="138" t="str">
        <f aca="false">IF($BZ127&lt;&gt;Constants!$B$8,"",$BD127)</f>
        <v/>
      </c>
      <c r="BK127" s="138" t="str">
        <f aca="false">IF($BZ127&lt;&gt;Constants!$B$8,"",IF($AL127,$AN127,""))</f>
        <v/>
      </c>
      <c r="BL127" s="140" t="str">
        <f aca="false">IF($BZ127&lt;&gt;Constants!$B$8,"",$AI127)</f>
        <v/>
      </c>
      <c r="BM127" s="135" t="str">
        <f aca="false">IF($BZ127&lt;&gt;Constants!$B$8,"",IF(OR($BT127&lt;$BH127,AND($BT127=$BH127,OR($BU127&lt;$BI127,AND($BU127=$BI127,OR($BV127&lt;$BJ127,AND($BV127=$BJ127,OR(AND(ISNUMBER($BW127),OR(NOT(ISNUMBER($BK127)),$BW127&lt;$BK127)),AND(OR(AND($BW127="",$BK127=""),AND(ISNUMBER($BW127),ISNUMBER($BK127),$BW127=$BK127)),$BX127&lt;$BL127)))))))),"-&gt;","&lt;-"))</f>
        <v/>
      </c>
      <c r="BN127" s="134" t="str">
        <f aca="false">IF(ISBLANK($C127),"",AND($AT127,OR($AU127="",$AV127="",AND($AW127,$AX127=""))))</f>
        <v/>
      </c>
      <c r="BO127" s="137" t="str">
        <f aca="false">IF($BZ127&lt;&gt;Constants!$B$8,"",IF($AT127,Constants!$B$21*$AV127+Constants!$B$22*IF($AW127,$AX127,Constants!$B$23),Constants!$B$24))</f>
        <v/>
      </c>
      <c r="BP127" s="138" t="str">
        <f aca="false">IF($BZ127&lt;&gt;Constants!$B$8,"",Constants!$B$25*ABS($AD$9-IF($AT127,$AU127,0)))</f>
        <v/>
      </c>
      <c r="BQ127" s="138" t="str">
        <f aca="false">IF($BZ127&lt;&gt;Constants!$B$8,"",IF(AND($AT127,$AY127,$AW127),Constants!$B$27,0))</f>
        <v/>
      </c>
      <c r="BR127" s="138" t="str">
        <f aca="false">IF($BZ127&lt;&gt;Constants!$B$8,"",IF($AT127,($AI127-Constants!$B$29)*Constants!$B$28,0))</f>
        <v/>
      </c>
      <c r="BS127" s="138" t="str">
        <f aca="false">IF($BZ127&lt;&gt;Constants!$B$8,"",IF($AS127,0,Constants!$B$15)+IF($AR127,0,Constants!$B$16)+IF($AH127,0,Constants!$B$17))</f>
        <v/>
      </c>
      <c r="BT127" s="139" t="str">
        <f aca="false">IF($BZ127&lt;&gt;Constants!$B$8,"",Constants!$B$20+SUM($BO127:$BS127))</f>
        <v/>
      </c>
      <c r="BU127" s="138" t="str">
        <f aca="false">IF($BZ127&lt;&gt;Constants!$B$8,"",$BO127)</f>
        <v/>
      </c>
      <c r="BV127" s="138" t="str">
        <f aca="false">IF($BZ127&lt;&gt;Constants!$B$8,"",$BP127)</f>
        <v/>
      </c>
      <c r="BW127" s="138" t="str">
        <f aca="false">IF($BZ127&lt;&gt;Constants!$B$8,"",IF($AT127,$AV127,""))</f>
        <v/>
      </c>
      <c r="BX127" s="140" t="str">
        <f aca="false">IF($BZ127&lt;&gt;Constants!$B$8,"",$AI127)</f>
        <v/>
      </c>
      <c r="BY127" s="135" t="str">
        <f aca="false">IF(ISBLANK($C127),"",IF(ISBLANK($D$7),$BY$5,IF(NOT(ISNUMBER($D$7)),$BY$6,"")))</f>
        <v/>
      </c>
      <c r="BZ127" s="135" t="str">
        <f aca="false">IF(ISBLANK($C127),"",IF($BA127,Constants!$B$11,IF(COUNTA($E127:$AA127)=0,Constants!$B$10,IF(NOT($AG127),Constants!$B$9,IF(OR($BY127&lt;&gt;"",$BB127,$BN127),Constants!$B$12,Constants!$B$8)))))</f>
        <v/>
      </c>
      <c r="CA127" s="135" t="str">
        <f aca="false">IF(ISBLANK($C127),"",IF($BZ127&lt;&gt;Constants!$B$8,$BZ127,Constants!$B$13))</f>
        <v/>
      </c>
      <c r="CB127" s="138" t="str">
        <f aca="false">IF($BZ127&lt;&gt;Constants!$B$8,"",IF($BM127="-&gt;",$BT127,$BH127))</f>
        <v/>
      </c>
      <c r="CC127" s="138" t="str">
        <f aca="false">IF($BZ127&lt;&gt;Constants!$B$8,"",IF($AF127,0,Constants!$B$18))</f>
        <v/>
      </c>
      <c r="CD127" s="138" t="str">
        <f aca="false">IF($BZ127&lt;&gt;Constants!$B$8,"",((Constants!$B$31-$AZ127)-Constants!$B$31)/Constants!$B$32)</f>
        <v/>
      </c>
      <c r="CE127" s="138" t="str">
        <f aca="false">IF(ISBLANK($C127),"",IF($BZ127&lt;&gt;Constants!$B$8,$BZ127,SUM($CB127:$CD127)))</f>
        <v/>
      </c>
      <c r="CF127" s="135" t="str">
        <f aca="false">IF(ISBLANK($C127),"",IF($BZ127&lt;&gt;Constants!$B$8,$BZ127,RANK($CE127,$CE$9:$CE$508,1)))</f>
        <v/>
      </c>
      <c r="CG127" s="138" t="str">
        <f aca="false">IF($BZ127&lt;&gt;Constants!$B$8,"",IF($BM127="-&gt;",$BU127,$BI127))</f>
        <v/>
      </c>
      <c r="CH127" s="135" t="str">
        <f aca="false">IF(ISBLANK($C127),"",IF($BZ127&lt;&gt;Constants!$B$8,$BZ127,IF(ISNUMBER($CG127),RANK($CG127,$CG$9:$CG$508,1),COUNT($CG$9:$CG$508)+1)))</f>
        <v/>
      </c>
      <c r="CI127" s="138" t="str">
        <f aca="false">IF($BZ127&lt;&gt;Constants!$B$8,"",IF($BM127="-&gt;",$BV127,$BJ127))</f>
        <v/>
      </c>
      <c r="CJ127" s="135" t="str">
        <f aca="false">IF(ISBLANK($C127),"",IF($BZ127&lt;&gt;Constants!$B$8,$BZ127,IF(ISNUMBER($CI127),RANK($CI127,$CI$9:$CI$508,1),COUNT($CI$9:$CI$508)+1)))</f>
        <v/>
      </c>
      <c r="CK127" s="138" t="str">
        <f aca="false">IF($BZ127&lt;&gt;Constants!$B$8,"",IF($BM127="-&gt;",$BW127,$BK127))</f>
        <v/>
      </c>
      <c r="CL127" s="135" t="str">
        <f aca="false">IF(ISBLANK($C127),"",IF($BZ127&lt;&gt;Constants!$B$8,$BZ127,IF(ISNUMBER($CK127),RANK($CK127,$CK$9:$CK$508,1),COUNT($CK$9:$CK$508)+1)))</f>
        <v/>
      </c>
      <c r="CM127" s="138" t="str">
        <f aca="false">IF($BZ127&lt;&gt;Constants!$B$8,"",IF(AND(NOT($AL127),NOT($AT127),$AJ127,$AK127,$AR127,$AS127),"",IF($BM127="-&gt;",$BX127,$BL127)))</f>
        <v/>
      </c>
      <c r="CN127" s="135" t="str">
        <f aca="false">IF(ISBLANK($C127),"",IF($BZ127&lt;&gt;Constants!$B$8,$BZ127,IF(ISNUMBER($CM127),RANK($CM127,$CM$9:$CM$508,1),COUNT($CM$9:$CM$508)+1)))</f>
        <v/>
      </c>
      <c r="CO127" s="135" t="str">
        <f aca="false">IF(ISBLANK($C127),"",IF($BZ127&lt;&gt;Constants!$B$8,$BZ127,COUNTIFS($CF$9:$CF$508,"&lt;"&amp;$CF127)+COUNTIFS($CF$9:$CF$508,$CF127,$CH$9:$CH$508,"&lt;"&amp;$CH127)+COUNTIFS($CF$9:$CF$508,$CF127,$CH$9:$CH$508,$CH127,$CJ$9:$CJ$508,"&lt;"&amp;$CJ127)+COUNTIFS($CF$9:$CF$508,$CF127,$CH$9:$CH$508,$CH127,$CJ$9:$CJ$508,$CJ127,$CL$9:$CL$508,"&lt;"&amp;$CL127)+COUNTIFS($CF$9:$CF$508,$CF127,$CH$9:$CH$508,$CH127,$CJ$9:$CJ$508,$CJ127,$CL$9:$CL$508,$CL127,$CN$9:$CN$508,"&lt;"&amp;$CN127)+1))</f>
        <v/>
      </c>
      <c r="CP127" s="135" t="str">
        <f aca="false">IF(ISBLANK($C127),"",IF($BZ127&lt;&gt;Constants!$B$8,$BZ127,$CF127-$CO127))</f>
        <v/>
      </c>
      <c r="CQ127" s="141"/>
      <c r="CR127" s="142"/>
      <c r="CS127" s="143" t="str">
        <f aca="false">IF(ISBLANK($C127),"",IF($BZ127=Constants!$B$12,$BY127,""))</f>
        <v/>
      </c>
      <c r="CT127" s="142" t="str">
        <f aca="false">IF(ISBLANK($C127),"",IF($BZ127&lt;&gt;Constants!$B$8,"",IF($BM127="-&gt;",2,1)))</f>
        <v/>
      </c>
      <c r="CU127" s="144" t="str">
        <f aca="false">IF(ISBLANK($C127),"",IF($BZ127&lt;&gt;Constants!$B$8,"",IF($BM127="-&gt;",$BO127,$BC127)))</f>
        <v/>
      </c>
      <c r="CV127" s="144" t="str">
        <f aca="false">IF(ISBLANK($C127),"",IF($BZ127&lt;&gt;Constants!$B$8,"",IF($BM127="-&gt;",$BP127,$BD127)))</f>
        <v/>
      </c>
      <c r="CW127" s="144" t="str">
        <f aca="false">IF(ISBLANK($C127),"",IF($BZ127&lt;&gt;Constants!$B$8,"",IF($BM127="-&gt;",$BQ127+$BR127,$BE127+$BF127)+$CD127))</f>
        <v/>
      </c>
      <c r="CX127" s="144" t="str">
        <f aca="false">IF(ISBLANK($C127),"",IF($BZ127&lt;&gt;Constants!$B$8,"",IF($BM127="-&gt;",$BS127,$BG127)+$CC127))</f>
        <v/>
      </c>
      <c r="CY127" s="145" t="str">
        <f aca="false">IF(ISBLANK($C127),"",IF($BZ127&lt;&gt;Constants!$B$8,$BZ127,$CE127))</f>
        <v/>
      </c>
      <c r="CZ127" s="146" t="str">
        <f aca="false">IF(ISBLANK($C127),"",$CA127)</f>
        <v/>
      </c>
      <c r="DA127" s="147" t="str">
        <f aca="false">IF(ISBLANK($C127),"",$CP127)</f>
        <v/>
      </c>
      <c r="DB127" s="147" t="str">
        <f aca="false">IF(ISBLANK($C127),"",$CO127)</f>
        <v/>
      </c>
      <c r="DC127" s="148" t="str">
        <f aca="false">IF(ISBLANK($C127),"",IFERROR(_xlfn.SWITCH($DB127,Constants!$B$11,COUNTA($C$9:$C$508)+2,Constants!$B$10,COUNTA($C$9:$C$508)+1,Constants!$B$9,COUNTA($C$9:$C$508)),$DB127))</f>
        <v/>
      </c>
      <c r="DD127" s="9"/>
      <c r="DE127" s="149" t="n">
        <f aca="false">IF(OR(ISNUMBER($DB127),$DB127=Constants!$B$11,$DB127=Constants!$B$9,$DB127=Constants!$B$10),1,0)</f>
        <v>0</v>
      </c>
      <c r="DF127" s="149" t="n">
        <v>119</v>
      </c>
      <c r="DG127" s="149" t="str">
        <f aca="false">IF(ISBLANK($C127),"",IF(ISNUMBER($DC127),$DC127+ROW($B127)/1000,""))</f>
        <v/>
      </c>
      <c r="DH127" s="149" t="str">
        <f aca="false">IF(ISNUMBER($DG127),RANK($DG127,$DG$9:$DG$508,1),"")</f>
        <v/>
      </c>
      <c r="DI127" s="149" t="str">
        <f aca="false">IF(ISBLANK($C127),"",$B127)</f>
        <v/>
      </c>
      <c r="DJ127" s="149" t="str">
        <f aca="false">IF(ISBLANK($C127),"",$C127)</f>
        <v/>
      </c>
      <c r="DK127" s="149" t="str">
        <f aca="false">IF(ISBLANK($C127),"",$D127)</f>
        <v/>
      </c>
      <c r="DL127" s="150" t="str">
        <f aca="false">$CZ127</f>
        <v/>
      </c>
      <c r="DM127" s="151" t="str">
        <f aca="false">$CY127</f>
        <v/>
      </c>
      <c r="DN127" s="149" t="str">
        <f aca="false">IF(ISBLANK($C127),"",$DB127)</f>
        <v/>
      </c>
      <c r="DO127" s="152" t="str">
        <f aca="false">IF($DF127&gt;$DE$8,"",VLOOKUP($DF127,$DH$9:$DN$508,7,FALSE()))</f>
        <v/>
      </c>
      <c r="DP127" s="153" t="str">
        <f aca="false">IF($DF127&gt;$DE$8,"",VLOOKUP($DF127,$DH$9:$DN$508,2,FALSE()))</f>
        <v/>
      </c>
      <c r="DQ127" s="153" t="str">
        <f aca="false">IF($DF127&gt;$DE$8,"",VLOOKUP($DF127,$DH$9:$DN$508,3,FALSE()))</f>
        <v/>
      </c>
      <c r="DR127" s="153" t="str">
        <f aca="false">IF($DF127&gt;$DE$8,"",VLOOKUP($DF127,$DH$9:$DN$508,4,FALSE()))</f>
        <v/>
      </c>
      <c r="DS127" s="153" t="str">
        <f aca="false">IF($DF127&gt;$DE$8,"",VLOOKUP($DF127,$DH$9:$DN$508,5,FALSE()))</f>
        <v/>
      </c>
      <c r="DT127" s="154" t="str">
        <f aca="false">IF($DF127&gt;$DE$8,"",VLOOKUP($DF127,$DH$9:$DN$508,6,FALSE()))</f>
        <v/>
      </c>
      <c r="DU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IF(ISBLANK($C128),"",IF(E128=Constants!$B$3,TRUE(),IF(E128=Constants!$B$4,FALSE(),TRUE())))</f>
        <v/>
      </c>
      <c r="AG128" s="135" t="str">
        <f aca="false">IF(ISBLANK($C128),"",IF(F128=Constants!$B$3,TRUE(),IF(F128=Constants!$B$4,FALSE(),TRUE())))</f>
        <v/>
      </c>
      <c r="AH128" s="135" t="str">
        <f aca="false">IF(ISBLANK($C128),"",IF(G128=Constants!$B$3,TRUE(),IF(G128=Constants!$B$4,FALSE(),TRUE())))</f>
        <v/>
      </c>
      <c r="AI128" s="135" t="str">
        <f aca="false">IF(ISBLANK($C128),"",IF(AND(ISNUMBER(H128),H128&gt;=0),H128,Constants!$B$29))</f>
        <v/>
      </c>
      <c r="AJ128" s="135" t="str">
        <f aca="false">IF(ISBLANK($C128),"",IF(I128=Constants!$B$3,TRUE(),IF(I128=Constants!$B$4,FALSE(),TRUE())))</f>
        <v/>
      </c>
      <c r="AK128" s="135" t="str">
        <f aca="false">IF(ISBLANK($C128),"",IF(J128=Constants!$B$3,TRUE(),IF(J128=Constants!$B$4,FALSE(),TRUE())))</f>
        <v/>
      </c>
      <c r="AL128" s="135" t="str">
        <f aca="false">IF(ISBLANK($C128),"",IF(K128=Constants!$B$5,TRUE(),IF(K128=Constants!$B$6,FALSE(),COUNTA(L128:P128)&gt;0)))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IF(ISBLANK($C128),"",IF(N128=Constants!$B$3,TRUE(),IF(N128=Constants!$B$4,FALSE(),TRUE())))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IF(ISBLANK($C128),"",IF(P128=Constants!$B$3,TRUE(),IF(P128=Constants!$B$4,FALSE(),FALSE())))</f>
        <v/>
      </c>
      <c r="AR128" s="135" t="str">
        <f aca="false">IF(ISBLANK($C128),"",IF(Q128=Constants!$B$3,TRUE(),IF(Q128=Constants!$B$4,FALSE(),TRUE())))</f>
        <v/>
      </c>
      <c r="AS128" s="135" t="str">
        <f aca="false">IF(ISBLANK($C128),"",IF(R128=Constants!$B$3,TRUE(),IF(R128=Constants!$B$4,FALSE(),TRUE())))</f>
        <v/>
      </c>
      <c r="AT128" s="135" t="str">
        <f aca="false">IF(ISBLANK($C128),"",IF(S128=Constants!$B$5,TRUE(),IF(S128=Constants!$B$6,FALSE(),COUNTA(T128:X128)&gt;0)))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IF(ISBLANK($C128),"",IF(V128=Constants!$B$3,TRUE(),IF(V128=Constants!$B$4,FALSE(),TRUE())))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IF(ISBLANK($C128),"",IF(X128=Constants!$B$3,TRUE(),IF(X128=Constants!$B$4,FALSE(),FALSE())))</f>
        <v/>
      </c>
      <c r="AZ128" s="135" t="str">
        <f aca="false">IF(ISBLANK($C128),"",MIN(Constants!$B$31,MAX(0,IF(ISNUMBER(Y128),Y128*60,0)+IF(ISNUMBER(Z128),Z128,0))))</f>
        <v/>
      </c>
      <c r="BA128" s="135" t="str">
        <f aca="false">IF(ISBLANK($C128),"",IF(AA128=Constants!$B$3,TRUE(),IF(AA128=Constants!$B$4,FALSE(),FALSE())))</f>
        <v/>
      </c>
      <c r="BB128" s="134" t="str">
        <f aca="false">IF(ISBLANK($C128),"",AND($AL128,OR($AM128="",$AN128="",AND($AO128,$AP128=""))))</f>
        <v/>
      </c>
      <c r="BC128" s="137" t="str">
        <f aca="false">IF($BZ128&lt;&gt;Constants!$B$8,"",IF($AL128,Constants!$B$21*$AN128+Constants!$B$22*IF($AO128,$AP128,Constants!$B$23),Constants!$B$24))</f>
        <v/>
      </c>
      <c r="BD128" s="138" t="str">
        <f aca="false">IF($BZ128&lt;&gt;Constants!$B$8,"",Constants!$B$25*ABS($AD$9-IF($AL128,$AM128,0)))</f>
        <v/>
      </c>
      <c r="BE128" s="138" t="str">
        <f aca="false">IF($BZ128&lt;&gt;Constants!$B$8,"",IF(AND($AL128,$AQ128,$AO128),Constants!$B$27,0))</f>
        <v/>
      </c>
      <c r="BF128" s="138" t="str">
        <f aca="false">IF($BZ128&lt;&gt;Constants!$B$8,"",IF($AL128,($AI128-Constants!$B$29)*Constants!$B$28,0))</f>
        <v/>
      </c>
      <c r="BG128" s="138" t="str">
        <f aca="false">IF($BZ128&lt;&gt;Constants!$B$8,"",IF($AK128,0,Constants!$B$15)+IF($AJ128,0,Constants!$B$16)+IF($AH128,0,Constants!$B$17))</f>
        <v/>
      </c>
      <c r="BH128" s="139" t="str">
        <f aca="false">IF($BZ128&lt;&gt;Constants!$B$8,"",Constants!$B$20+SUM($BC128:$BG128))</f>
        <v/>
      </c>
      <c r="BI128" s="138" t="str">
        <f aca="false">IF($BZ128&lt;&gt;Constants!$B$8,"",$BC128)</f>
        <v/>
      </c>
      <c r="BJ128" s="138" t="str">
        <f aca="false">IF($BZ128&lt;&gt;Constants!$B$8,"",$BD128)</f>
        <v/>
      </c>
      <c r="BK128" s="138" t="str">
        <f aca="false">IF($BZ128&lt;&gt;Constants!$B$8,"",IF($AL128,$AN128,""))</f>
        <v/>
      </c>
      <c r="BL128" s="140" t="str">
        <f aca="false">IF($BZ128&lt;&gt;Constants!$B$8,"",$AI128)</f>
        <v/>
      </c>
      <c r="BM128" s="135" t="str">
        <f aca="false">IF($BZ128&lt;&gt;Constants!$B$8,"",IF(OR($BT128&lt;$BH128,AND($BT128=$BH128,OR($BU128&lt;$BI128,AND($BU128=$BI128,OR($BV128&lt;$BJ128,AND($BV128=$BJ128,OR(AND(ISNUMBER($BW128),OR(NOT(ISNUMBER($BK128)),$BW128&lt;$BK128)),AND(OR(AND($BW128="",$BK128=""),AND(ISNUMBER($BW128),ISNUMBER($BK128),$BW128=$BK128)),$BX128&lt;$BL128)))))))),"-&gt;","&lt;-"))</f>
        <v/>
      </c>
      <c r="BN128" s="134" t="str">
        <f aca="false">IF(ISBLANK($C128),"",AND($AT128,OR($AU128="",$AV128="",AND($AW128,$AX128=""))))</f>
        <v/>
      </c>
      <c r="BO128" s="137" t="str">
        <f aca="false">IF($BZ128&lt;&gt;Constants!$B$8,"",IF($AT128,Constants!$B$21*$AV128+Constants!$B$22*IF($AW128,$AX128,Constants!$B$23),Constants!$B$24))</f>
        <v/>
      </c>
      <c r="BP128" s="138" t="str">
        <f aca="false">IF($BZ128&lt;&gt;Constants!$B$8,"",Constants!$B$25*ABS($AD$9-IF($AT128,$AU128,0)))</f>
        <v/>
      </c>
      <c r="BQ128" s="138" t="str">
        <f aca="false">IF($BZ128&lt;&gt;Constants!$B$8,"",IF(AND($AT128,$AY128,$AW128),Constants!$B$27,0))</f>
        <v/>
      </c>
      <c r="BR128" s="138" t="str">
        <f aca="false">IF($BZ128&lt;&gt;Constants!$B$8,"",IF($AT128,($AI128-Constants!$B$29)*Constants!$B$28,0))</f>
        <v/>
      </c>
      <c r="BS128" s="138" t="str">
        <f aca="false">IF($BZ128&lt;&gt;Constants!$B$8,"",IF($AS128,0,Constants!$B$15)+IF($AR128,0,Constants!$B$16)+IF($AH128,0,Constants!$B$17))</f>
        <v/>
      </c>
      <c r="BT128" s="139" t="str">
        <f aca="false">IF($BZ128&lt;&gt;Constants!$B$8,"",Constants!$B$20+SUM($BO128:$BS128))</f>
        <v/>
      </c>
      <c r="BU128" s="138" t="str">
        <f aca="false">IF($BZ128&lt;&gt;Constants!$B$8,"",$BO128)</f>
        <v/>
      </c>
      <c r="BV128" s="138" t="str">
        <f aca="false">IF($BZ128&lt;&gt;Constants!$B$8,"",$BP128)</f>
        <v/>
      </c>
      <c r="BW128" s="138" t="str">
        <f aca="false">IF($BZ128&lt;&gt;Constants!$B$8,"",IF($AT128,$AV128,""))</f>
        <v/>
      </c>
      <c r="BX128" s="140" t="str">
        <f aca="false">IF($BZ128&lt;&gt;Constants!$B$8,"",$AI128)</f>
        <v/>
      </c>
      <c r="BY128" s="135" t="str">
        <f aca="false">IF(ISBLANK($C128),"",IF(ISBLANK($D$7),$BY$5,IF(NOT(ISNUMBER($D$7)),$BY$6,"")))</f>
        <v/>
      </c>
      <c r="BZ128" s="135" t="str">
        <f aca="false">IF(ISBLANK($C128),"",IF($BA128,Constants!$B$11,IF(COUNTA($E128:$AA128)=0,Constants!$B$10,IF(NOT($AG128),Constants!$B$9,IF(OR($BY128&lt;&gt;"",$BB128,$BN128),Constants!$B$12,Constants!$B$8)))))</f>
        <v/>
      </c>
      <c r="CA128" s="135" t="str">
        <f aca="false">IF(ISBLANK($C128),"",IF($BZ128&lt;&gt;Constants!$B$8,$BZ128,Constants!$B$13))</f>
        <v/>
      </c>
      <c r="CB128" s="138" t="str">
        <f aca="false">IF($BZ128&lt;&gt;Constants!$B$8,"",IF($BM128="-&gt;",$BT128,$BH128))</f>
        <v/>
      </c>
      <c r="CC128" s="138" t="str">
        <f aca="false">IF($BZ128&lt;&gt;Constants!$B$8,"",IF($AF128,0,Constants!$B$18))</f>
        <v/>
      </c>
      <c r="CD128" s="138" t="str">
        <f aca="false">IF($BZ128&lt;&gt;Constants!$B$8,"",((Constants!$B$31-$AZ128)-Constants!$B$31)/Constants!$B$32)</f>
        <v/>
      </c>
      <c r="CE128" s="138" t="str">
        <f aca="false">IF(ISBLANK($C128),"",IF($BZ128&lt;&gt;Constants!$B$8,$BZ128,SUM($CB128:$CD128)))</f>
        <v/>
      </c>
      <c r="CF128" s="135" t="str">
        <f aca="false">IF(ISBLANK($C128),"",IF($BZ128&lt;&gt;Constants!$B$8,$BZ128,RANK($CE128,$CE$9:$CE$508,1)))</f>
        <v/>
      </c>
      <c r="CG128" s="138" t="str">
        <f aca="false">IF($BZ128&lt;&gt;Constants!$B$8,"",IF($BM128="-&gt;",$BU128,$BI128))</f>
        <v/>
      </c>
      <c r="CH128" s="135" t="str">
        <f aca="false">IF(ISBLANK($C128),"",IF($BZ128&lt;&gt;Constants!$B$8,$BZ128,IF(ISNUMBER($CG128),RANK($CG128,$CG$9:$CG$508,1),COUNT($CG$9:$CG$508)+1)))</f>
        <v/>
      </c>
      <c r="CI128" s="138" t="str">
        <f aca="false">IF($BZ128&lt;&gt;Constants!$B$8,"",IF($BM128="-&gt;",$BV128,$BJ128))</f>
        <v/>
      </c>
      <c r="CJ128" s="135" t="str">
        <f aca="false">IF(ISBLANK($C128),"",IF($BZ128&lt;&gt;Constants!$B$8,$BZ128,IF(ISNUMBER($CI128),RANK($CI128,$CI$9:$CI$508,1),COUNT($CI$9:$CI$508)+1)))</f>
        <v/>
      </c>
      <c r="CK128" s="138" t="str">
        <f aca="false">IF($BZ128&lt;&gt;Constants!$B$8,"",IF($BM128="-&gt;",$BW128,$BK128))</f>
        <v/>
      </c>
      <c r="CL128" s="135" t="str">
        <f aca="false">IF(ISBLANK($C128),"",IF($BZ128&lt;&gt;Constants!$B$8,$BZ128,IF(ISNUMBER($CK128),RANK($CK128,$CK$9:$CK$508,1),COUNT($CK$9:$CK$508)+1)))</f>
        <v/>
      </c>
      <c r="CM128" s="138" t="str">
        <f aca="false">IF($BZ128&lt;&gt;Constants!$B$8,"",IF(AND(NOT($AL128),NOT($AT128),$AJ128,$AK128,$AR128,$AS128),"",IF($BM128="-&gt;",$BX128,$BL128)))</f>
        <v/>
      </c>
      <c r="CN128" s="135" t="str">
        <f aca="false">IF(ISBLANK($C128),"",IF($BZ128&lt;&gt;Constants!$B$8,$BZ128,IF(ISNUMBER($CM128),RANK($CM128,$CM$9:$CM$508,1),COUNT($CM$9:$CM$508)+1)))</f>
        <v/>
      </c>
      <c r="CO128" s="135" t="str">
        <f aca="false">IF(ISBLANK($C128),"",IF($BZ128&lt;&gt;Constants!$B$8,$BZ128,COUNTIFS($CF$9:$CF$508,"&lt;"&amp;$CF128)+COUNTIFS($CF$9:$CF$508,$CF128,$CH$9:$CH$508,"&lt;"&amp;$CH128)+COUNTIFS($CF$9:$CF$508,$CF128,$CH$9:$CH$508,$CH128,$CJ$9:$CJ$508,"&lt;"&amp;$CJ128)+COUNTIFS($CF$9:$CF$508,$CF128,$CH$9:$CH$508,$CH128,$CJ$9:$CJ$508,$CJ128,$CL$9:$CL$508,"&lt;"&amp;$CL128)+COUNTIFS($CF$9:$CF$508,$CF128,$CH$9:$CH$508,$CH128,$CJ$9:$CJ$508,$CJ128,$CL$9:$CL$508,$CL128,$CN$9:$CN$508,"&lt;"&amp;$CN128)+1))</f>
        <v/>
      </c>
      <c r="CP128" s="135" t="str">
        <f aca="false">IF(ISBLANK($C128),"",IF($BZ128&lt;&gt;Constants!$B$8,$BZ128,$CF128-$CO128))</f>
        <v/>
      </c>
      <c r="CQ128" s="141"/>
      <c r="CR128" s="142"/>
      <c r="CS128" s="143" t="str">
        <f aca="false">IF(ISBLANK($C128),"",IF($BZ128=Constants!$B$12,$BY128,""))</f>
        <v/>
      </c>
      <c r="CT128" s="142" t="str">
        <f aca="false">IF(ISBLANK($C128),"",IF($BZ128&lt;&gt;Constants!$B$8,"",IF($BM128="-&gt;",2,1)))</f>
        <v/>
      </c>
      <c r="CU128" s="144" t="str">
        <f aca="false">IF(ISBLANK($C128),"",IF($BZ128&lt;&gt;Constants!$B$8,"",IF($BM128="-&gt;",$BO128,$BC128)))</f>
        <v/>
      </c>
      <c r="CV128" s="144" t="str">
        <f aca="false">IF(ISBLANK($C128),"",IF($BZ128&lt;&gt;Constants!$B$8,"",IF($BM128="-&gt;",$BP128,$BD128)))</f>
        <v/>
      </c>
      <c r="CW128" s="144" t="str">
        <f aca="false">IF(ISBLANK($C128),"",IF($BZ128&lt;&gt;Constants!$B$8,"",IF($BM128="-&gt;",$BQ128+$BR128,$BE128+$BF128)+$CD128))</f>
        <v/>
      </c>
      <c r="CX128" s="144" t="str">
        <f aca="false">IF(ISBLANK($C128),"",IF($BZ128&lt;&gt;Constants!$B$8,"",IF($BM128="-&gt;",$BS128,$BG128)+$CC128))</f>
        <v/>
      </c>
      <c r="CY128" s="145" t="str">
        <f aca="false">IF(ISBLANK($C128),"",IF($BZ128&lt;&gt;Constants!$B$8,$BZ128,$CE128))</f>
        <v/>
      </c>
      <c r="CZ128" s="146" t="str">
        <f aca="false">IF(ISBLANK($C128),"",$CA128)</f>
        <v/>
      </c>
      <c r="DA128" s="147" t="str">
        <f aca="false">IF(ISBLANK($C128),"",$CP128)</f>
        <v/>
      </c>
      <c r="DB128" s="147" t="str">
        <f aca="false">IF(ISBLANK($C128),"",$CO128)</f>
        <v/>
      </c>
      <c r="DC128" s="148" t="str">
        <f aca="false">IF(ISBLANK($C128),"",IFERROR(_xlfn.SWITCH($DB128,Constants!$B$11,COUNTA($C$9:$C$508)+2,Constants!$B$10,COUNTA($C$9:$C$508)+1,Constants!$B$9,COUNTA($C$9:$C$508)),$DB128))</f>
        <v/>
      </c>
      <c r="DD128" s="9"/>
      <c r="DE128" s="149" t="n">
        <f aca="false">IF(OR(ISNUMBER($DB128),$DB128=Constants!$B$11,$DB128=Constants!$B$9,$DB128=Constants!$B$10),1,0)</f>
        <v>0</v>
      </c>
      <c r="DF128" s="149" t="n">
        <v>120</v>
      </c>
      <c r="DG128" s="149" t="str">
        <f aca="false">IF(ISBLANK($C128),"",IF(ISNUMBER($DC128),$DC128+ROW($B128)/1000,""))</f>
        <v/>
      </c>
      <c r="DH128" s="149" t="str">
        <f aca="false">IF(ISNUMBER($DG128),RANK($DG128,$DG$9:$DG$508,1),"")</f>
        <v/>
      </c>
      <c r="DI128" s="149" t="str">
        <f aca="false">IF(ISBLANK($C128),"",$B128)</f>
        <v/>
      </c>
      <c r="DJ128" s="149" t="str">
        <f aca="false">IF(ISBLANK($C128),"",$C128)</f>
        <v/>
      </c>
      <c r="DK128" s="149" t="str">
        <f aca="false">IF(ISBLANK($C128),"",$D128)</f>
        <v/>
      </c>
      <c r="DL128" s="150" t="str">
        <f aca="false">$CZ128</f>
        <v/>
      </c>
      <c r="DM128" s="151" t="str">
        <f aca="false">$CY128</f>
        <v/>
      </c>
      <c r="DN128" s="149" t="str">
        <f aca="false">IF(ISBLANK($C128),"",$DB128)</f>
        <v/>
      </c>
      <c r="DO128" s="152" t="str">
        <f aca="false">IF($DF128&gt;$DE$8,"",VLOOKUP($DF128,$DH$9:$DN$508,7,FALSE()))</f>
        <v/>
      </c>
      <c r="DP128" s="153" t="str">
        <f aca="false">IF($DF128&gt;$DE$8,"",VLOOKUP($DF128,$DH$9:$DN$508,2,FALSE()))</f>
        <v/>
      </c>
      <c r="DQ128" s="153" t="str">
        <f aca="false">IF($DF128&gt;$DE$8,"",VLOOKUP($DF128,$DH$9:$DN$508,3,FALSE()))</f>
        <v/>
      </c>
      <c r="DR128" s="153" t="str">
        <f aca="false">IF($DF128&gt;$DE$8,"",VLOOKUP($DF128,$DH$9:$DN$508,4,FALSE()))</f>
        <v/>
      </c>
      <c r="DS128" s="153" t="str">
        <f aca="false">IF($DF128&gt;$DE$8,"",VLOOKUP($DF128,$DH$9:$DN$508,5,FALSE()))</f>
        <v/>
      </c>
      <c r="DT128" s="154" t="str">
        <f aca="false">IF($DF128&gt;$DE$8,"",VLOOKUP($DF128,$DH$9:$DN$508,6,FALSE()))</f>
        <v/>
      </c>
      <c r="DU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IF(ISBLANK($C129),"",IF(E129=Constants!$B$3,TRUE(),IF(E129=Constants!$B$4,FALSE(),TRUE())))</f>
        <v/>
      </c>
      <c r="AG129" s="93" t="str">
        <f aca="false">IF(ISBLANK($C129),"",IF(F129=Constants!$B$3,TRUE(),IF(F129=Constants!$B$4,FALSE(),TRUE())))</f>
        <v/>
      </c>
      <c r="AH129" s="93" t="str">
        <f aca="false">IF(ISBLANK($C129),"",IF(G129=Constants!$B$3,TRUE(),IF(G129=Constants!$B$4,FALSE(),TRUE())))</f>
        <v/>
      </c>
      <c r="AI129" s="93" t="str">
        <f aca="false">IF(ISBLANK($C129),"",IF(AND(ISNUMBER(H129),H129&gt;=0),H129,Constants!$B$29))</f>
        <v/>
      </c>
      <c r="AJ129" s="93" t="str">
        <f aca="false">IF(ISBLANK($C129),"",IF(I129=Constants!$B$3,TRUE(),IF(I129=Constants!$B$4,FALSE(),TRUE())))</f>
        <v/>
      </c>
      <c r="AK129" s="93" t="str">
        <f aca="false">IF(ISBLANK($C129),"",IF(J129=Constants!$B$3,TRUE(),IF(J129=Constants!$B$4,FALSE(),TRUE())))</f>
        <v/>
      </c>
      <c r="AL129" s="93" t="str">
        <f aca="false">IF(ISBLANK($C129),"",IF(K129=Constants!$B$5,TRUE(),IF(K129=Constants!$B$6,FALSE(),COUNTA(L129:P129)&gt;0)))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IF(ISBLANK($C129),"",IF(N129=Constants!$B$3,TRUE(),IF(N129=Constants!$B$4,FALSE(),TRUE())))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IF(ISBLANK($C129),"",IF(P129=Constants!$B$3,TRUE(),IF(P129=Constants!$B$4,FALSE(),FALSE())))</f>
        <v/>
      </c>
      <c r="AR129" s="93" t="str">
        <f aca="false">IF(ISBLANK($C129),"",IF(Q129=Constants!$B$3,TRUE(),IF(Q129=Constants!$B$4,FALSE(),TRUE())))</f>
        <v/>
      </c>
      <c r="AS129" s="93" t="str">
        <f aca="false">IF(ISBLANK($C129),"",IF(R129=Constants!$B$3,TRUE(),IF(R129=Constants!$B$4,FALSE(),TRUE())))</f>
        <v/>
      </c>
      <c r="AT129" s="93" t="str">
        <f aca="false">IF(ISBLANK($C129),"",IF(S129=Constants!$B$5,TRUE(),IF(S129=Constants!$B$6,FALSE(),COUNTA(T129:X129)&gt;0)))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IF(ISBLANK($C129),"",IF(V129=Constants!$B$3,TRUE(),IF(V129=Constants!$B$4,FALSE(),TRUE())))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IF(ISBLANK($C129),"",IF(X129=Constants!$B$3,TRUE(),IF(X129=Constants!$B$4,FALSE(),FALSE())))</f>
        <v/>
      </c>
      <c r="AZ129" s="93" t="str">
        <f aca="false">IF(ISBLANK($C129),"",MIN(Constants!$B$31,MAX(0,IF(ISNUMBER(Y129),Y129*60,0)+IF(ISNUMBER(Z129),Z129,0))))</f>
        <v/>
      </c>
      <c r="BA129" s="93" t="str">
        <f aca="false">IF(ISBLANK($C129),"",IF(AA129=Constants!$B$3,TRUE(),IF(AA129=Constants!$B$4,FALSE(),FALSE())))</f>
        <v/>
      </c>
      <c r="BB129" s="92" t="str">
        <f aca="false">IF(ISBLANK($C129),"",AND($AL129,OR($AM129="",$AN129="",AND($AO129,$AP129=""))))</f>
        <v/>
      </c>
      <c r="BC129" s="94" t="str">
        <f aca="false">IF($BZ129&lt;&gt;Constants!$B$8,"",IF($AL129,Constants!$B$21*$AN129+Constants!$B$22*IF($AO129,$AP129,Constants!$B$23),Constants!$B$24))</f>
        <v/>
      </c>
      <c r="BD129" s="97" t="str">
        <f aca="false">IF($BZ129&lt;&gt;Constants!$B$8,"",Constants!$B$25*ABS($AD$9-IF($AL129,$AM129,0)))</f>
        <v/>
      </c>
      <c r="BE129" s="97" t="str">
        <f aca="false">IF($BZ129&lt;&gt;Constants!$B$8,"",IF(AND($AL129,$AQ129,$AO129),Constants!$B$27,0))</f>
        <v/>
      </c>
      <c r="BF129" s="97" t="str">
        <f aca="false">IF($BZ129&lt;&gt;Constants!$B$8,"",IF($AL129,($AI129-Constants!$B$29)*Constants!$B$28,0))</f>
        <v/>
      </c>
      <c r="BG129" s="97" t="str">
        <f aca="false">IF($BZ129&lt;&gt;Constants!$B$8,"",IF($AK129,0,Constants!$B$15)+IF($AJ129,0,Constants!$B$16)+IF($AH129,0,Constants!$B$17))</f>
        <v/>
      </c>
      <c r="BH129" s="98" t="str">
        <f aca="false">IF($BZ129&lt;&gt;Constants!$B$8,"",Constants!$B$20+SUM($BC129:$BG129))</f>
        <v/>
      </c>
      <c r="BI129" s="97" t="str">
        <f aca="false">IF($BZ129&lt;&gt;Constants!$B$8,"",$BC129)</f>
        <v/>
      </c>
      <c r="BJ129" s="97" t="str">
        <f aca="false">IF($BZ129&lt;&gt;Constants!$B$8,"",$BD129)</f>
        <v/>
      </c>
      <c r="BK129" s="97" t="str">
        <f aca="false">IF($BZ129&lt;&gt;Constants!$B$8,"",IF($AL129,$AN129,""))</f>
        <v/>
      </c>
      <c r="BL129" s="99" t="str">
        <f aca="false">IF($BZ129&lt;&gt;Constants!$B$8,"",$AI129)</f>
        <v/>
      </c>
      <c r="BM129" s="93" t="str">
        <f aca="false">IF($BZ129&lt;&gt;Constants!$B$8,"",IF(OR($BT129&lt;$BH129,AND($BT129=$BH129,OR($BU129&lt;$BI129,AND($BU129=$BI129,OR($BV129&lt;$BJ129,AND($BV129=$BJ129,OR(AND(ISNUMBER($BW129),OR(NOT(ISNUMBER($BK129)),$BW129&lt;$BK129)),AND(OR(AND($BW129="",$BK129=""),AND(ISNUMBER($BW129),ISNUMBER($BK129),$BW129=$BK129)),$BX129&lt;$BL129)))))))),"-&gt;","&lt;-"))</f>
        <v/>
      </c>
      <c r="BN129" s="92" t="str">
        <f aca="false">IF(ISBLANK($C129),"",AND($AT129,OR($AU129="",$AV129="",AND($AW129,$AX129=""))))</f>
        <v/>
      </c>
      <c r="BO129" s="94" t="str">
        <f aca="false">IF($BZ129&lt;&gt;Constants!$B$8,"",IF($AT129,Constants!$B$21*$AV129+Constants!$B$22*IF($AW129,$AX129,Constants!$B$23),Constants!$B$24))</f>
        <v/>
      </c>
      <c r="BP129" s="97" t="str">
        <f aca="false">IF($BZ129&lt;&gt;Constants!$B$8,"",Constants!$B$25*ABS($AD$9-IF($AT129,$AU129,0)))</f>
        <v/>
      </c>
      <c r="BQ129" s="97" t="str">
        <f aca="false">IF($BZ129&lt;&gt;Constants!$B$8,"",IF(AND($AT129,$AY129,$AW129),Constants!$B$27,0))</f>
        <v/>
      </c>
      <c r="BR129" s="97" t="str">
        <f aca="false">IF($BZ129&lt;&gt;Constants!$B$8,"",IF($AT129,($AI129-Constants!$B$29)*Constants!$B$28,0))</f>
        <v/>
      </c>
      <c r="BS129" s="97" t="str">
        <f aca="false">IF($BZ129&lt;&gt;Constants!$B$8,"",IF($AS129,0,Constants!$B$15)+IF($AR129,0,Constants!$B$16)+IF($AH129,0,Constants!$B$17))</f>
        <v/>
      </c>
      <c r="BT129" s="98" t="str">
        <f aca="false">IF($BZ129&lt;&gt;Constants!$B$8,"",Constants!$B$20+SUM($BO129:$BS129))</f>
        <v/>
      </c>
      <c r="BU129" s="97" t="str">
        <f aca="false">IF($BZ129&lt;&gt;Constants!$B$8,"",$BO129)</f>
        <v/>
      </c>
      <c r="BV129" s="97" t="str">
        <f aca="false">IF($BZ129&lt;&gt;Constants!$B$8,"",$BP129)</f>
        <v/>
      </c>
      <c r="BW129" s="97" t="str">
        <f aca="false">IF($BZ129&lt;&gt;Constants!$B$8,"",IF($AT129,$AV129,""))</f>
        <v/>
      </c>
      <c r="BX129" s="99" t="str">
        <f aca="false">IF($BZ129&lt;&gt;Constants!$B$8,"",$AI129)</f>
        <v/>
      </c>
      <c r="BY129" s="93" t="str">
        <f aca="false">IF(ISBLANK($C129),"",IF(ISBLANK($D$7),$BY$5,IF(NOT(ISNUMBER($D$7)),$BY$6,"")))</f>
        <v/>
      </c>
      <c r="BZ129" s="93" t="str">
        <f aca="false">IF(ISBLANK($C129),"",IF($BA129,Constants!$B$11,IF(COUNTA($E129:$AA129)=0,Constants!$B$10,IF(NOT($AG129),Constants!$B$9,IF(OR($BY129&lt;&gt;"",$BB129,$BN129),Constants!$B$12,Constants!$B$8)))))</f>
        <v/>
      </c>
      <c r="CA129" s="93" t="str">
        <f aca="false">IF(ISBLANK($C129),"",IF($BZ129&lt;&gt;Constants!$B$8,$BZ129,Constants!$B$13))</f>
        <v/>
      </c>
      <c r="CB129" s="97" t="str">
        <f aca="false">IF($BZ129&lt;&gt;Constants!$B$8,"",IF($BM129="-&gt;",$BT129,$BH129))</f>
        <v/>
      </c>
      <c r="CC129" s="97" t="str">
        <f aca="false">IF($BZ129&lt;&gt;Constants!$B$8,"",IF($AF129,0,Constants!$B$18))</f>
        <v/>
      </c>
      <c r="CD129" s="97" t="str">
        <f aca="false">IF($BZ129&lt;&gt;Constants!$B$8,"",((Constants!$B$31-$AZ129)-Constants!$B$31)/Constants!$B$32)</f>
        <v/>
      </c>
      <c r="CE129" s="97" t="str">
        <f aca="false">IF(ISBLANK($C129),"",IF($BZ129&lt;&gt;Constants!$B$8,$BZ129,SUM($CB129:$CD129)))</f>
        <v/>
      </c>
      <c r="CF129" s="93" t="str">
        <f aca="false">IF(ISBLANK($C129),"",IF($BZ129&lt;&gt;Constants!$B$8,$BZ129,RANK($CE129,$CE$9:$CE$508,1)))</f>
        <v/>
      </c>
      <c r="CG129" s="97" t="str">
        <f aca="false">IF($BZ129&lt;&gt;Constants!$B$8,"",IF($BM129="-&gt;",$BU129,$BI129))</f>
        <v/>
      </c>
      <c r="CH129" s="93" t="str">
        <f aca="false">IF(ISBLANK($C129),"",IF($BZ129&lt;&gt;Constants!$B$8,$BZ129,IF(ISNUMBER($CG129),RANK($CG129,$CG$9:$CG$508,1),COUNT($CG$9:$CG$508)+1)))</f>
        <v/>
      </c>
      <c r="CI129" s="97" t="str">
        <f aca="false">IF($BZ129&lt;&gt;Constants!$B$8,"",IF($BM129="-&gt;",$BV129,$BJ129))</f>
        <v/>
      </c>
      <c r="CJ129" s="93" t="str">
        <f aca="false">IF(ISBLANK($C129),"",IF($BZ129&lt;&gt;Constants!$B$8,$BZ129,IF(ISNUMBER($CI129),RANK($CI129,$CI$9:$CI$508,1),COUNT($CI$9:$CI$508)+1)))</f>
        <v/>
      </c>
      <c r="CK129" s="97" t="str">
        <f aca="false">IF($BZ129&lt;&gt;Constants!$B$8,"",IF($BM129="-&gt;",$BW129,$BK129))</f>
        <v/>
      </c>
      <c r="CL129" s="93" t="str">
        <f aca="false">IF(ISBLANK($C129),"",IF($BZ129&lt;&gt;Constants!$B$8,$BZ129,IF(ISNUMBER($CK129),RANK($CK129,$CK$9:$CK$508,1),COUNT($CK$9:$CK$508)+1)))</f>
        <v/>
      </c>
      <c r="CM129" s="97" t="str">
        <f aca="false">IF($BZ129&lt;&gt;Constants!$B$8,"",IF(AND(NOT($AL129),NOT($AT129),$AJ129,$AK129,$AR129,$AS129),"",IF($BM129="-&gt;",$BX129,$BL129)))</f>
        <v/>
      </c>
      <c r="CN129" s="93" t="str">
        <f aca="false">IF(ISBLANK($C129),"",IF($BZ129&lt;&gt;Constants!$B$8,$BZ129,IF(ISNUMBER($CM129),RANK($CM129,$CM$9:$CM$508,1),COUNT($CM$9:$CM$508)+1)))</f>
        <v/>
      </c>
      <c r="CO129" s="93" t="str">
        <f aca="false">IF(ISBLANK($C129),"",IF($BZ129&lt;&gt;Constants!$B$8,$BZ129,COUNTIFS($CF$9:$CF$508,"&lt;"&amp;$CF129)+COUNTIFS($CF$9:$CF$508,$CF129,$CH$9:$CH$508,"&lt;"&amp;$CH129)+COUNTIFS($CF$9:$CF$508,$CF129,$CH$9:$CH$508,$CH129,$CJ$9:$CJ$508,"&lt;"&amp;$CJ129)+COUNTIFS($CF$9:$CF$508,$CF129,$CH$9:$CH$508,$CH129,$CJ$9:$CJ$508,$CJ129,$CL$9:$CL$508,"&lt;"&amp;$CL129)+COUNTIFS($CF$9:$CF$508,$CF129,$CH$9:$CH$508,$CH129,$CJ$9:$CJ$508,$CJ129,$CL$9:$CL$508,$CL129,$CN$9:$CN$508,"&lt;"&amp;$CN129)+1))</f>
        <v/>
      </c>
      <c r="CP129" s="93" t="str">
        <f aca="false">IF(ISBLANK($C129),"",IF($BZ129&lt;&gt;Constants!$B$8,$BZ129,$CF129-$CO129))</f>
        <v/>
      </c>
      <c r="CQ129" s="100"/>
      <c r="CR129" s="101"/>
      <c r="CS129" s="102" t="str">
        <f aca="false">IF(ISBLANK($C129),"",IF($BZ129=Constants!$B$12,$BY129,""))</f>
        <v/>
      </c>
      <c r="CT129" s="101" t="str">
        <f aca="false">IF(ISBLANK($C129),"",IF($BZ129&lt;&gt;Constants!$B$8,"",IF($BM129="-&gt;",2,1)))</f>
        <v/>
      </c>
      <c r="CU129" s="103" t="str">
        <f aca="false">IF(ISBLANK($C129),"",IF($BZ129&lt;&gt;Constants!$B$8,"",IF($BM129="-&gt;",$BO129,$BC129)))</f>
        <v/>
      </c>
      <c r="CV129" s="103" t="str">
        <f aca="false">IF(ISBLANK($C129),"",IF($BZ129&lt;&gt;Constants!$B$8,"",IF($BM129="-&gt;",$BP129,$BD129)))</f>
        <v/>
      </c>
      <c r="CW129" s="103" t="str">
        <f aca="false">IF(ISBLANK($C129),"",IF($BZ129&lt;&gt;Constants!$B$8,"",IF($BM129="-&gt;",$BQ129+$BR129,$BE129+$BF129)+$CD129))</f>
        <v/>
      </c>
      <c r="CX129" s="103" t="str">
        <f aca="false">IF(ISBLANK($C129),"",IF($BZ129&lt;&gt;Constants!$B$8,"",IF($BM129="-&gt;",$BS129,$BG129)+$CC129))</f>
        <v/>
      </c>
      <c r="CY129" s="104" t="str">
        <f aca="false">IF(ISBLANK($C129),"",IF($BZ129&lt;&gt;Constants!$B$8,$BZ129,$CE129))</f>
        <v/>
      </c>
      <c r="CZ129" s="105" t="str">
        <f aca="false">IF(ISBLANK($C129),"",$CA129)</f>
        <v/>
      </c>
      <c r="DA129" s="106" t="str">
        <f aca="false">IF(ISBLANK($C129),"",$CP129)</f>
        <v/>
      </c>
      <c r="DB129" s="106" t="str">
        <f aca="false">IF(ISBLANK($C129),"",$CO129)</f>
        <v/>
      </c>
      <c r="DC129" s="107" t="str">
        <f aca="false">IF(ISBLANK($C129),"",IFERROR(_xlfn.SWITCH($DB129,Constants!$B$11,COUNTA($C$9:$C$508)+2,Constants!$B$10,COUNTA($C$9:$C$508)+1,Constants!$B$9,COUNTA($C$9:$C$508)),$DB129))</f>
        <v/>
      </c>
      <c r="DD129" s="9"/>
      <c r="DE129" s="108" t="n">
        <f aca="false">IF(OR(ISNUMBER($DB129),$DB129=Constants!$B$11,$DB129=Constants!$B$9,$DB129=Constants!$B$10),1,0)</f>
        <v>0</v>
      </c>
      <c r="DF129" s="108" t="n">
        <v>121</v>
      </c>
      <c r="DG129" s="108" t="str">
        <f aca="false">IF(ISBLANK($C129),"",IF(ISNUMBER($DC129),$DC129+ROW($B129)/1000,""))</f>
        <v/>
      </c>
      <c r="DH129" s="108" t="str">
        <f aca="false">IF(ISNUMBER($DG129),RANK($DG129,$DG$9:$DG$508,1),"")</f>
        <v/>
      </c>
      <c r="DI129" s="108" t="str">
        <f aca="false">IF(ISBLANK($C129),"",$B129)</f>
        <v/>
      </c>
      <c r="DJ129" s="108" t="str">
        <f aca="false">IF(ISBLANK($C129),"",$C129)</f>
        <v/>
      </c>
      <c r="DK129" s="108" t="str">
        <f aca="false">IF(ISBLANK($C129),"",$D129)</f>
        <v/>
      </c>
      <c r="DL129" s="109" t="str">
        <f aca="false">$CZ129</f>
        <v/>
      </c>
      <c r="DM129" s="110" t="str">
        <f aca="false">$CY129</f>
        <v/>
      </c>
      <c r="DN129" s="108" t="str">
        <f aca="false">IF(ISBLANK($C129),"",$DB129)</f>
        <v/>
      </c>
      <c r="DO129" s="111" t="str">
        <f aca="false">IF($DF129&gt;$DE$8,"",VLOOKUP($DF129,$DH$9:$DN$508,7,FALSE()))</f>
        <v/>
      </c>
      <c r="DP129" s="112" t="str">
        <f aca="false">IF($DF129&gt;$DE$8,"",VLOOKUP($DF129,$DH$9:$DN$508,2,FALSE()))</f>
        <v/>
      </c>
      <c r="DQ129" s="112" t="str">
        <f aca="false">IF($DF129&gt;$DE$8,"",VLOOKUP($DF129,$DH$9:$DN$508,3,FALSE()))</f>
        <v/>
      </c>
      <c r="DR129" s="112" t="str">
        <f aca="false">IF($DF129&gt;$DE$8,"",VLOOKUP($DF129,$DH$9:$DN$508,4,FALSE()))</f>
        <v/>
      </c>
      <c r="DS129" s="112" t="str">
        <f aca="false">IF($DF129&gt;$DE$8,"",VLOOKUP($DF129,$DH$9:$DN$508,5,FALSE()))</f>
        <v/>
      </c>
      <c r="DT129" s="113" t="str">
        <f aca="false">IF($DF129&gt;$DE$8,"",VLOOKUP($DF129,$DH$9:$DN$508,6,FALSE()))</f>
        <v/>
      </c>
      <c r="DU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IF(ISBLANK($C130),"",IF(E130=Constants!$B$3,TRUE(),IF(E130=Constants!$B$4,FALSE(),TRUE())))</f>
        <v/>
      </c>
      <c r="AG130" s="93" t="str">
        <f aca="false">IF(ISBLANK($C130),"",IF(F130=Constants!$B$3,TRUE(),IF(F130=Constants!$B$4,FALSE(),TRUE())))</f>
        <v/>
      </c>
      <c r="AH130" s="93" t="str">
        <f aca="false">IF(ISBLANK($C130),"",IF(G130=Constants!$B$3,TRUE(),IF(G130=Constants!$B$4,FALSE(),TRUE())))</f>
        <v/>
      </c>
      <c r="AI130" s="93" t="str">
        <f aca="false">IF(ISBLANK($C130),"",IF(AND(ISNUMBER(H130),H130&gt;=0),H130,Constants!$B$29))</f>
        <v/>
      </c>
      <c r="AJ130" s="93" t="str">
        <f aca="false">IF(ISBLANK($C130),"",IF(I130=Constants!$B$3,TRUE(),IF(I130=Constants!$B$4,FALSE(),TRUE())))</f>
        <v/>
      </c>
      <c r="AK130" s="93" t="str">
        <f aca="false">IF(ISBLANK($C130),"",IF(J130=Constants!$B$3,TRUE(),IF(J130=Constants!$B$4,FALSE(),TRUE())))</f>
        <v/>
      </c>
      <c r="AL130" s="93" t="str">
        <f aca="false">IF(ISBLANK($C130),"",IF(K130=Constants!$B$5,TRUE(),IF(K130=Constants!$B$6,FALSE(),COUNTA(L130:P130)&gt;0)))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IF(ISBLANK($C130),"",IF(N130=Constants!$B$3,TRUE(),IF(N130=Constants!$B$4,FALSE(),TRUE())))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IF(ISBLANK($C130),"",IF(P130=Constants!$B$3,TRUE(),IF(P130=Constants!$B$4,FALSE(),FALSE())))</f>
        <v/>
      </c>
      <c r="AR130" s="93" t="str">
        <f aca="false">IF(ISBLANK($C130),"",IF(Q130=Constants!$B$3,TRUE(),IF(Q130=Constants!$B$4,FALSE(),TRUE())))</f>
        <v/>
      </c>
      <c r="AS130" s="93" t="str">
        <f aca="false">IF(ISBLANK($C130),"",IF(R130=Constants!$B$3,TRUE(),IF(R130=Constants!$B$4,FALSE(),TRUE())))</f>
        <v/>
      </c>
      <c r="AT130" s="93" t="str">
        <f aca="false">IF(ISBLANK($C130),"",IF(S130=Constants!$B$5,TRUE(),IF(S130=Constants!$B$6,FALSE(),COUNTA(T130:X130)&gt;0)))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IF(ISBLANK($C130),"",IF(V130=Constants!$B$3,TRUE(),IF(V130=Constants!$B$4,FALSE(),TRUE())))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IF(ISBLANK($C130),"",IF(X130=Constants!$B$3,TRUE(),IF(X130=Constants!$B$4,FALSE(),FALSE())))</f>
        <v/>
      </c>
      <c r="AZ130" s="93" t="str">
        <f aca="false">IF(ISBLANK($C130),"",MIN(Constants!$B$31,MAX(0,IF(ISNUMBER(Y130),Y130*60,0)+IF(ISNUMBER(Z130),Z130,0))))</f>
        <v/>
      </c>
      <c r="BA130" s="93" t="str">
        <f aca="false">IF(ISBLANK($C130),"",IF(AA130=Constants!$B$3,TRUE(),IF(AA130=Constants!$B$4,FALSE(),FALSE())))</f>
        <v/>
      </c>
      <c r="BB130" s="92" t="str">
        <f aca="false">IF(ISBLANK($C130),"",AND($AL130,OR($AM130="",$AN130="",AND($AO130,$AP130=""))))</f>
        <v/>
      </c>
      <c r="BC130" s="94" t="str">
        <f aca="false">IF($BZ130&lt;&gt;Constants!$B$8,"",IF($AL130,Constants!$B$21*$AN130+Constants!$B$22*IF($AO130,$AP130,Constants!$B$23),Constants!$B$24))</f>
        <v/>
      </c>
      <c r="BD130" s="97" t="str">
        <f aca="false">IF($BZ130&lt;&gt;Constants!$B$8,"",Constants!$B$25*ABS($AD$9-IF($AL130,$AM130,0)))</f>
        <v/>
      </c>
      <c r="BE130" s="97" t="str">
        <f aca="false">IF($BZ130&lt;&gt;Constants!$B$8,"",IF(AND($AL130,$AQ130,$AO130),Constants!$B$27,0))</f>
        <v/>
      </c>
      <c r="BF130" s="97" t="str">
        <f aca="false">IF($BZ130&lt;&gt;Constants!$B$8,"",IF($AL130,($AI130-Constants!$B$29)*Constants!$B$28,0))</f>
        <v/>
      </c>
      <c r="BG130" s="97" t="str">
        <f aca="false">IF($BZ130&lt;&gt;Constants!$B$8,"",IF($AK130,0,Constants!$B$15)+IF($AJ130,0,Constants!$B$16)+IF($AH130,0,Constants!$B$17))</f>
        <v/>
      </c>
      <c r="BH130" s="98" t="str">
        <f aca="false">IF($BZ130&lt;&gt;Constants!$B$8,"",Constants!$B$20+SUM($BC130:$BG130))</f>
        <v/>
      </c>
      <c r="BI130" s="97" t="str">
        <f aca="false">IF($BZ130&lt;&gt;Constants!$B$8,"",$BC130)</f>
        <v/>
      </c>
      <c r="BJ130" s="97" t="str">
        <f aca="false">IF($BZ130&lt;&gt;Constants!$B$8,"",$BD130)</f>
        <v/>
      </c>
      <c r="BK130" s="97" t="str">
        <f aca="false">IF($BZ130&lt;&gt;Constants!$B$8,"",IF($AL130,$AN130,""))</f>
        <v/>
      </c>
      <c r="BL130" s="99" t="str">
        <f aca="false">IF($BZ130&lt;&gt;Constants!$B$8,"",$AI130)</f>
        <v/>
      </c>
      <c r="BM130" s="93" t="str">
        <f aca="false">IF($BZ130&lt;&gt;Constants!$B$8,"",IF(OR($BT130&lt;$BH130,AND($BT130=$BH130,OR($BU130&lt;$BI130,AND($BU130=$BI130,OR($BV130&lt;$BJ130,AND($BV130=$BJ130,OR(AND(ISNUMBER($BW130),OR(NOT(ISNUMBER($BK130)),$BW130&lt;$BK130)),AND(OR(AND($BW130="",$BK130=""),AND(ISNUMBER($BW130),ISNUMBER($BK130),$BW130=$BK130)),$BX130&lt;$BL130)))))))),"-&gt;","&lt;-"))</f>
        <v/>
      </c>
      <c r="BN130" s="92" t="str">
        <f aca="false">IF(ISBLANK($C130),"",AND($AT130,OR($AU130="",$AV130="",AND($AW130,$AX130=""))))</f>
        <v/>
      </c>
      <c r="BO130" s="94" t="str">
        <f aca="false">IF($BZ130&lt;&gt;Constants!$B$8,"",IF($AT130,Constants!$B$21*$AV130+Constants!$B$22*IF($AW130,$AX130,Constants!$B$23),Constants!$B$24))</f>
        <v/>
      </c>
      <c r="BP130" s="97" t="str">
        <f aca="false">IF($BZ130&lt;&gt;Constants!$B$8,"",Constants!$B$25*ABS($AD$9-IF($AT130,$AU130,0)))</f>
        <v/>
      </c>
      <c r="BQ130" s="97" t="str">
        <f aca="false">IF($BZ130&lt;&gt;Constants!$B$8,"",IF(AND($AT130,$AY130,$AW130),Constants!$B$27,0))</f>
        <v/>
      </c>
      <c r="BR130" s="97" t="str">
        <f aca="false">IF($BZ130&lt;&gt;Constants!$B$8,"",IF($AT130,($AI130-Constants!$B$29)*Constants!$B$28,0))</f>
        <v/>
      </c>
      <c r="BS130" s="97" t="str">
        <f aca="false">IF($BZ130&lt;&gt;Constants!$B$8,"",IF($AS130,0,Constants!$B$15)+IF($AR130,0,Constants!$B$16)+IF($AH130,0,Constants!$B$17))</f>
        <v/>
      </c>
      <c r="BT130" s="98" t="str">
        <f aca="false">IF($BZ130&lt;&gt;Constants!$B$8,"",Constants!$B$20+SUM($BO130:$BS130))</f>
        <v/>
      </c>
      <c r="BU130" s="97" t="str">
        <f aca="false">IF($BZ130&lt;&gt;Constants!$B$8,"",$BO130)</f>
        <v/>
      </c>
      <c r="BV130" s="97" t="str">
        <f aca="false">IF($BZ130&lt;&gt;Constants!$B$8,"",$BP130)</f>
        <v/>
      </c>
      <c r="BW130" s="97" t="str">
        <f aca="false">IF($BZ130&lt;&gt;Constants!$B$8,"",IF($AT130,$AV130,""))</f>
        <v/>
      </c>
      <c r="BX130" s="99" t="str">
        <f aca="false">IF($BZ130&lt;&gt;Constants!$B$8,"",$AI130)</f>
        <v/>
      </c>
      <c r="BY130" s="93" t="str">
        <f aca="false">IF(ISBLANK($C130),"",IF(ISBLANK($D$7),$BY$5,IF(NOT(ISNUMBER($D$7)),$BY$6,"")))</f>
        <v/>
      </c>
      <c r="BZ130" s="93" t="str">
        <f aca="false">IF(ISBLANK($C130),"",IF($BA130,Constants!$B$11,IF(COUNTA($E130:$AA130)=0,Constants!$B$10,IF(NOT($AG130),Constants!$B$9,IF(OR($BY130&lt;&gt;"",$BB130,$BN130),Constants!$B$12,Constants!$B$8)))))</f>
        <v/>
      </c>
      <c r="CA130" s="93" t="str">
        <f aca="false">IF(ISBLANK($C130),"",IF($BZ130&lt;&gt;Constants!$B$8,$BZ130,Constants!$B$13))</f>
        <v/>
      </c>
      <c r="CB130" s="97" t="str">
        <f aca="false">IF($BZ130&lt;&gt;Constants!$B$8,"",IF($BM130="-&gt;",$BT130,$BH130))</f>
        <v/>
      </c>
      <c r="CC130" s="97" t="str">
        <f aca="false">IF($BZ130&lt;&gt;Constants!$B$8,"",IF($AF130,0,Constants!$B$18))</f>
        <v/>
      </c>
      <c r="CD130" s="97" t="str">
        <f aca="false">IF($BZ130&lt;&gt;Constants!$B$8,"",((Constants!$B$31-$AZ130)-Constants!$B$31)/Constants!$B$32)</f>
        <v/>
      </c>
      <c r="CE130" s="97" t="str">
        <f aca="false">IF(ISBLANK($C130),"",IF($BZ130&lt;&gt;Constants!$B$8,$BZ130,SUM($CB130:$CD130)))</f>
        <v/>
      </c>
      <c r="CF130" s="93" t="str">
        <f aca="false">IF(ISBLANK($C130),"",IF($BZ130&lt;&gt;Constants!$B$8,$BZ130,RANK($CE130,$CE$9:$CE$508,1)))</f>
        <v/>
      </c>
      <c r="CG130" s="97" t="str">
        <f aca="false">IF($BZ130&lt;&gt;Constants!$B$8,"",IF($BM130="-&gt;",$BU130,$BI130))</f>
        <v/>
      </c>
      <c r="CH130" s="93" t="str">
        <f aca="false">IF(ISBLANK($C130),"",IF($BZ130&lt;&gt;Constants!$B$8,$BZ130,IF(ISNUMBER($CG130),RANK($CG130,$CG$9:$CG$508,1),COUNT($CG$9:$CG$508)+1)))</f>
        <v/>
      </c>
      <c r="CI130" s="97" t="str">
        <f aca="false">IF($BZ130&lt;&gt;Constants!$B$8,"",IF($BM130="-&gt;",$BV130,$BJ130))</f>
        <v/>
      </c>
      <c r="CJ130" s="93" t="str">
        <f aca="false">IF(ISBLANK($C130),"",IF($BZ130&lt;&gt;Constants!$B$8,$BZ130,IF(ISNUMBER($CI130),RANK($CI130,$CI$9:$CI$508,1),COUNT($CI$9:$CI$508)+1)))</f>
        <v/>
      </c>
      <c r="CK130" s="97" t="str">
        <f aca="false">IF($BZ130&lt;&gt;Constants!$B$8,"",IF($BM130="-&gt;",$BW130,$BK130))</f>
        <v/>
      </c>
      <c r="CL130" s="93" t="str">
        <f aca="false">IF(ISBLANK($C130),"",IF($BZ130&lt;&gt;Constants!$B$8,$BZ130,IF(ISNUMBER($CK130),RANK($CK130,$CK$9:$CK$508,1),COUNT($CK$9:$CK$508)+1)))</f>
        <v/>
      </c>
      <c r="CM130" s="97" t="str">
        <f aca="false">IF($BZ130&lt;&gt;Constants!$B$8,"",IF(AND(NOT($AL130),NOT($AT130),$AJ130,$AK130,$AR130,$AS130),"",IF($BM130="-&gt;",$BX130,$BL130)))</f>
        <v/>
      </c>
      <c r="CN130" s="93" t="str">
        <f aca="false">IF(ISBLANK($C130),"",IF($BZ130&lt;&gt;Constants!$B$8,$BZ130,IF(ISNUMBER($CM130),RANK($CM130,$CM$9:$CM$508,1),COUNT($CM$9:$CM$508)+1)))</f>
        <v/>
      </c>
      <c r="CO130" s="93" t="str">
        <f aca="false">IF(ISBLANK($C130),"",IF($BZ130&lt;&gt;Constants!$B$8,$BZ130,COUNTIFS($CF$9:$CF$508,"&lt;"&amp;$CF130)+COUNTIFS($CF$9:$CF$508,$CF130,$CH$9:$CH$508,"&lt;"&amp;$CH130)+COUNTIFS($CF$9:$CF$508,$CF130,$CH$9:$CH$508,$CH130,$CJ$9:$CJ$508,"&lt;"&amp;$CJ130)+COUNTIFS($CF$9:$CF$508,$CF130,$CH$9:$CH$508,$CH130,$CJ$9:$CJ$508,$CJ130,$CL$9:$CL$508,"&lt;"&amp;$CL130)+COUNTIFS($CF$9:$CF$508,$CF130,$CH$9:$CH$508,$CH130,$CJ$9:$CJ$508,$CJ130,$CL$9:$CL$508,$CL130,$CN$9:$CN$508,"&lt;"&amp;$CN130)+1))</f>
        <v/>
      </c>
      <c r="CP130" s="93" t="str">
        <f aca="false">IF(ISBLANK($C130),"",IF($BZ130&lt;&gt;Constants!$B$8,$BZ130,$CF130-$CO130))</f>
        <v/>
      </c>
      <c r="CQ130" s="100"/>
      <c r="CR130" s="101"/>
      <c r="CS130" s="102" t="str">
        <f aca="false">IF(ISBLANK($C130),"",IF($BZ130=Constants!$B$12,$BY130,""))</f>
        <v/>
      </c>
      <c r="CT130" s="101" t="str">
        <f aca="false">IF(ISBLANK($C130),"",IF($BZ130&lt;&gt;Constants!$B$8,"",IF($BM130="-&gt;",2,1)))</f>
        <v/>
      </c>
      <c r="CU130" s="103" t="str">
        <f aca="false">IF(ISBLANK($C130),"",IF($BZ130&lt;&gt;Constants!$B$8,"",IF($BM130="-&gt;",$BO130,$BC130)))</f>
        <v/>
      </c>
      <c r="CV130" s="103" t="str">
        <f aca="false">IF(ISBLANK($C130),"",IF($BZ130&lt;&gt;Constants!$B$8,"",IF($BM130="-&gt;",$BP130,$BD130)))</f>
        <v/>
      </c>
      <c r="CW130" s="103" t="str">
        <f aca="false">IF(ISBLANK($C130),"",IF($BZ130&lt;&gt;Constants!$B$8,"",IF($BM130="-&gt;",$BQ130+$BR130,$BE130+$BF130)+$CD130))</f>
        <v/>
      </c>
      <c r="CX130" s="103" t="str">
        <f aca="false">IF(ISBLANK($C130),"",IF($BZ130&lt;&gt;Constants!$B$8,"",IF($BM130="-&gt;",$BS130,$BG130)+$CC130))</f>
        <v/>
      </c>
      <c r="CY130" s="104" t="str">
        <f aca="false">IF(ISBLANK($C130),"",IF($BZ130&lt;&gt;Constants!$B$8,$BZ130,$CE130))</f>
        <v/>
      </c>
      <c r="CZ130" s="105" t="str">
        <f aca="false">IF(ISBLANK($C130),"",$CA130)</f>
        <v/>
      </c>
      <c r="DA130" s="106" t="str">
        <f aca="false">IF(ISBLANK($C130),"",$CP130)</f>
        <v/>
      </c>
      <c r="DB130" s="106" t="str">
        <f aca="false">IF(ISBLANK($C130),"",$CO130)</f>
        <v/>
      </c>
      <c r="DC130" s="107" t="str">
        <f aca="false">IF(ISBLANK($C130),"",IFERROR(_xlfn.SWITCH($DB130,Constants!$B$11,COUNTA($C$9:$C$508)+2,Constants!$B$10,COUNTA($C$9:$C$508)+1,Constants!$B$9,COUNTA($C$9:$C$508)),$DB130))</f>
        <v/>
      </c>
      <c r="DD130" s="9"/>
      <c r="DE130" s="108" t="n">
        <f aca="false">IF(OR(ISNUMBER($DB130),$DB130=Constants!$B$11,$DB130=Constants!$B$9,$DB130=Constants!$B$10),1,0)</f>
        <v>0</v>
      </c>
      <c r="DF130" s="108" t="n">
        <v>122</v>
      </c>
      <c r="DG130" s="108" t="str">
        <f aca="false">IF(ISBLANK($C130),"",IF(ISNUMBER($DC130),$DC130+ROW($B130)/1000,""))</f>
        <v/>
      </c>
      <c r="DH130" s="108" t="str">
        <f aca="false">IF(ISNUMBER($DG130),RANK($DG130,$DG$9:$DG$508,1),"")</f>
        <v/>
      </c>
      <c r="DI130" s="108" t="str">
        <f aca="false">IF(ISBLANK($C130),"",$B130)</f>
        <v/>
      </c>
      <c r="DJ130" s="108" t="str">
        <f aca="false">IF(ISBLANK($C130),"",$C130)</f>
        <v/>
      </c>
      <c r="DK130" s="108" t="str">
        <f aca="false">IF(ISBLANK($C130),"",$D130)</f>
        <v/>
      </c>
      <c r="DL130" s="109" t="str">
        <f aca="false">$CZ130</f>
        <v/>
      </c>
      <c r="DM130" s="110" t="str">
        <f aca="false">$CY130</f>
        <v/>
      </c>
      <c r="DN130" s="108" t="str">
        <f aca="false">IF(ISBLANK($C130),"",$DB130)</f>
        <v/>
      </c>
      <c r="DO130" s="111" t="str">
        <f aca="false">IF($DF130&gt;$DE$8,"",VLOOKUP($DF130,$DH$9:$DN$508,7,FALSE()))</f>
        <v/>
      </c>
      <c r="DP130" s="112" t="str">
        <f aca="false">IF($DF130&gt;$DE$8,"",VLOOKUP($DF130,$DH$9:$DN$508,2,FALSE()))</f>
        <v/>
      </c>
      <c r="DQ130" s="112" t="str">
        <f aca="false">IF($DF130&gt;$DE$8,"",VLOOKUP($DF130,$DH$9:$DN$508,3,FALSE()))</f>
        <v/>
      </c>
      <c r="DR130" s="112" t="str">
        <f aca="false">IF($DF130&gt;$DE$8,"",VLOOKUP($DF130,$DH$9:$DN$508,4,FALSE()))</f>
        <v/>
      </c>
      <c r="DS130" s="112" t="str">
        <f aca="false">IF($DF130&gt;$DE$8,"",VLOOKUP($DF130,$DH$9:$DN$508,5,FALSE()))</f>
        <v/>
      </c>
      <c r="DT130" s="113" t="str">
        <f aca="false">IF($DF130&gt;$DE$8,"",VLOOKUP($DF130,$DH$9:$DN$508,6,FALSE()))</f>
        <v/>
      </c>
      <c r="DU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IF(ISBLANK($C131),"",IF(E131=Constants!$B$3,TRUE(),IF(E131=Constants!$B$4,FALSE(),TRUE())))</f>
        <v/>
      </c>
      <c r="AG131" s="93" t="str">
        <f aca="false">IF(ISBLANK($C131),"",IF(F131=Constants!$B$3,TRUE(),IF(F131=Constants!$B$4,FALSE(),TRUE())))</f>
        <v/>
      </c>
      <c r="AH131" s="93" t="str">
        <f aca="false">IF(ISBLANK($C131),"",IF(G131=Constants!$B$3,TRUE(),IF(G131=Constants!$B$4,FALSE(),TRUE())))</f>
        <v/>
      </c>
      <c r="AI131" s="93" t="str">
        <f aca="false">IF(ISBLANK($C131),"",IF(AND(ISNUMBER(H131),H131&gt;=0),H131,Constants!$B$29))</f>
        <v/>
      </c>
      <c r="AJ131" s="93" t="str">
        <f aca="false">IF(ISBLANK($C131),"",IF(I131=Constants!$B$3,TRUE(),IF(I131=Constants!$B$4,FALSE(),TRUE())))</f>
        <v/>
      </c>
      <c r="AK131" s="93" t="str">
        <f aca="false">IF(ISBLANK($C131),"",IF(J131=Constants!$B$3,TRUE(),IF(J131=Constants!$B$4,FALSE(),TRUE())))</f>
        <v/>
      </c>
      <c r="AL131" s="93" t="str">
        <f aca="false">IF(ISBLANK($C131),"",IF(K131=Constants!$B$5,TRUE(),IF(K131=Constants!$B$6,FALSE(),COUNTA(L131:P131)&gt;0)))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IF(ISBLANK($C131),"",IF(N131=Constants!$B$3,TRUE(),IF(N131=Constants!$B$4,FALSE(),TRUE())))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IF(ISBLANK($C131),"",IF(P131=Constants!$B$3,TRUE(),IF(P131=Constants!$B$4,FALSE(),FALSE())))</f>
        <v/>
      </c>
      <c r="AR131" s="93" t="str">
        <f aca="false">IF(ISBLANK($C131),"",IF(Q131=Constants!$B$3,TRUE(),IF(Q131=Constants!$B$4,FALSE(),TRUE())))</f>
        <v/>
      </c>
      <c r="AS131" s="93" t="str">
        <f aca="false">IF(ISBLANK($C131),"",IF(R131=Constants!$B$3,TRUE(),IF(R131=Constants!$B$4,FALSE(),TRUE())))</f>
        <v/>
      </c>
      <c r="AT131" s="93" t="str">
        <f aca="false">IF(ISBLANK($C131),"",IF(S131=Constants!$B$5,TRUE(),IF(S131=Constants!$B$6,FALSE(),COUNTA(T131:X131)&gt;0)))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IF(ISBLANK($C131),"",IF(V131=Constants!$B$3,TRUE(),IF(V131=Constants!$B$4,FALSE(),TRUE())))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IF(ISBLANK($C131),"",IF(X131=Constants!$B$3,TRUE(),IF(X131=Constants!$B$4,FALSE(),FALSE())))</f>
        <v/>
      </c>
      <c r="AZ131" s="93" t="str">
        <f aca="false">IF(ISBLANK($C131),"",MIN(Constants!$B$31,MAX(0,IF(ISNUMBER(Y131),Y131*60,0)+IF(ISNUMBER(Z131),Z131,0))))</f>
        <v/>
      </c>
      <c r="BA131" s="93" t="str">
        <f aca="false">IF(ISBLANK($C131),"",IF(AA131=Constants!$B$3,TRUE(),IF(AA131=Constants!$B$4,FALSE(),FALSE())))</f>
        <v/>
      </c>
      <c r="BB131" s="92" t="str">
        <f aca="false">IF(ISBLANK($C131),"",AND($AL131,OR($AM131="",$AN131="",AND($AO131,$AP131=""))))</f>
        <v/>
      </c>
      <c r="BC131" s="94" t="str">
        <f aca="false">IF($BZ131&lt;&gt;Constants!$B$8,"",IF($AL131,Constants!$B$21*$AN131+Constants!$B$22*IF($AO131,$AP131,Constants!$B$23),Constants!$B$24))</f>
        <v/>
      </c>
      <c r="BD131" s="97" t="str">
        <f aca="false">IF($BZ131&lt;&gt;Constants!$B$8,"",Constants!$B$25*ABS($AD$9-IF($AL131,$AM131,0)))</f>
        <v/>
      </c>
      <c r="BE131" s="97" t="str">
        <f aca="false">IF($BZ131&lt;&gt;Constants!$B$8,"",IF(AND($AL131,$AQ131,$AO131),Constants!$B$27,0))</f>
        <v/>
      </c>
      <c r="BF131" s="97" t="str">
        <f aca="false">IF($BZ131&lt;&gt;Constants!$B$8,"",IF($AL131,($AI131-Constants!$B$29)*Constants!$B$28,0))</f>
        <v/>
      </c>
      <c r="BG131" s="97" t="str">
        <f aca="false">IF($BZ131&lt;&gt;Constants!$B$8,"",IF($AK131,0,Constants!$B$15)+IF($AJ131,0,Constants!$B$16)+IF($AH131,0,Constants!$B$17))</f>
        <v/>
      </c>
      <c r="BH131" s="98" t="str">
        <f aca="false">IF($BZ131&lt;&gt;Constants!$B$8,"",Constants!$B$20+SUM($BC131:$BG131))</f>
        <v/>
      </c>
      <c r="BI131" s="97" t="str">
        <f aca="false">IF($BZ131&lt;&gt;Constants!$B$8,"",$BC131)</f>
        <v/>
      </c>
      <c r="BJ131" s="97" t="str">
        <f aca="false">IF($BZ131&lt;&gt;Constants!$B$8,"",$BD131)</f>
        <v/>
      </c>
      <c r="BK131" s="97" t="str">
        <f aca="false">IF($BZ131&lt;&gt;Constants!$B$8,"",IF($AL131,$AN131,""))</f>
        <v/>
      </c>
      <c r="BL131" s="99" t="str">
        <f aca="false">IF($BZ131&lt;&gt;Constants!$B$8,"",$AI131)</f>
        <v/>
      </c>
      <c r="BM131" s="93" t="str">
        <f aca="false">IF($BZ131&lt;&gt;Constants!$B$8,"",IF(OR($BT131&lt;$BH131,AND($BT131=$BH131,OR($BU131&lt;$BI131,AND($BU131=$BI131,OR($BV131&lt;$BJ131,AND($BV131=$BJ131,OR(AND(ISNUMBER($BW131),OR(NOT(ISNUMBER($BK131)),$BW131&lt;$BK131)),AND(OR(AND($BW131="",$BK131=""),AND(ISNUMBER($BW131),ISNUMBER($BK131),$BW131=$BK131)),$BX131&lt;$BL131)))))))),"-&gt;","&lt;-"))</f>
        <v/>
      </c>
      <c r="BN131" s="92" t="str">
        <f aca="false">IF(ISBLANK($C131),"",AND($AT131,OR($AU131="",$AV131="",AND($AW131,$AX131=""))))</f>
        <v/>
      </c>
      <c r="BO131" s="94" t="str">
        <f aca="false">IF($BZ131&lt;&gt;Constants!$B$8,"",IF($AT131,Constants!$B$21*$AV131+Constants!$B$22*IF($AW131,$AX131,Constants!$B$23),Constants!$B$24))</f>
        <v/>
      </c>
      <c r="BP131" s="97" t="str">
        <f aca="false">IF($BZ131&lt;&gt;Constants!$B$8,"",Constants!$B$25*ABS($AD$9-IF($AT131,$AU131,0)))</f>
        <v/>
      </c>
      <c r="BQ131" s="97" t="str">
        <f aca="false">IF($BZ131&lt;&gt;Constants!$B$8,"",IF(AND($AT131,$AY131,$AW131),Constants!$B$27,0))</f>
        <v/>
      </c>
      <c r="BR131" s="97" t="str">
        <f aca="false">IF($BZ131&lt;&gt;Constants!$B$8,"",IF($AT131,($AI131-Constants!$B$29)*Constants!$B$28,0))</f>
        <v/>
      </c>
      <c r="BS131" s="97" t="str">
        <f aca="false">IF($BZ131&lt;&gt;Constants!$B$8,"",IF($AS131,0,Constants!$B$15)+IF($AR131,0,Constants!$B$16)+IF($AH131,0,Constants!$B$17))</f>
        <v/>
      </c>
      <c r="BT131" s="98" t="str">
        <f aca="false">IF($BZ131&lt;&gt;Constants!$B$8,"",Constants!$B$20+SUM($BO131:$BS131))</f>
        <v/>
      </c>
      <c r="BU131" s="97" t="str">
        <f aca="false">IF($BZ131&lt;&gt;Constants!$B$8,"",$BO131)</f>
        <v/>
      </c>
      <c r="BV131" s="97" t="str">
        <f aca="false">IF($BZ131&lt;&gt;Constants!$B$8,"",$BP131)</f>
        <v/>
      </c>
      <c r="BW131" s="97" t="str">
        <f aca="false">IF($BZ131&lt;&gt;Constants!$B$8,"",IF($AT131,$AV131,""))</f>
        <v/>
      </c>
      <c r="BX131" s="99" t="str">
        <f aca="false">IF($BZ131&lt;&gt;Constants!$B$8,"",$AI131)</f>
        <v/>
      </c>
      <c r="BY131" s="93" t="str">
        <f aca="false">IF(ISBLANK($C131),"",IF(ISBLANK($D$7),$BY$5,IF(NOT(ISNUMBER($D$7)),$BY$6,"")))</f>
        <v/>
      </c>
      <c r="BZ131" s="93" t="str">
        <f aca="false">IF(ISBLANK($C131),"",IF($BA131,Constants!$B$11,IF(COUNTA($E131:$AA131)=0,Constants!$B$10,IF(NOT($AG131),Constants!$B$9,IF(OR($BY131&lt;&gt;"",$BB131,$BN131),Constants!$B$12,Constants!$B$8)))))</f>
        <v/>
      </c>
      <c r="CA131" s="93" t="str">
        <f aca="false">IF(ISBLANK($C131),"",IF($BZ131&lt;&gt;Constants!$B$8,$BZ131,Constants!$B$13))</f>
        <v/>
      </c>
      <c r="CB131" s="97" t="str">
        <f aca="false">IF($BZ131&lt;&gt;Constants!$B$8,"",IF($BM131="-&gt;",$BT131,$BH131))</f>
        <v/>
      </c>
      <c r="CC131" s="97" t="str">
        <f aca="false">IF($BZ131&lt;&gt;Constants!$B$8,"",IF($AF131,0,Constants!$B$18))</f>
        <v/>
      </c>
      <c r="CD131" s="97" t="str">
        <f aca="false">IF($BZ131&lt;&gt;Constants!$B$8,"",((Constants!$B$31-$AZ131)-Constants!$B$31)/Constants!$B$32)</f>
        <v/>
      </c>
      <c r="CE131" s="97" t="str">
        <f aca="false">IF(ISBLANK($C131),"",IF($BZ131&lt;&gt;Constants!$B$8,$BZ131,SUM($CB131:$CD131)))</f>
        <v/>
      </c>
      <c r="CF131" s="93" t="str">
        <f aca="false">IF(ISBLANK($C131),"",IF($BZ131&lt;&gt;Constants!$B$8,$BZ131,RANK($CE131,$CE$9:$CE$508,1)))</f>
        <v/>
      </c>
      <c r="CG131" s="97" t="str">
        <f aca="false">IF($BZ131&lt;&gt;Constants!$B$8,"",IF($BM131="-&gt;",$BU131,$BI131))</f>
        <v/>
      </c>
      <c r="CH131" s="93" t="str">
        <f aca="false">IF(ISBLANK($C131),"",IF($BZ131&lt;&gt;Constants!$B$8,$BZ131,IF(ISNUMBER($CG131),RANK($CG131,$CG$9:$CG$508,1),COUNT($CG$9:$CG$508)+1)))</f>
        <v/>
      </c>
      <c r="CI131" s="97" t="str">
        <f aca="false">IF($BZ131&lt;&gt;Constants!$B$8,"",IF($BM131="-&gt;",$BV131,$BJ131))</f>
        <v/>
      </c>
      <c r="CJ131" s="93" t="str">
        <f aca="false">IF(ISBLANK($C131),"",IF($BZ131&lt;&gt;Constants!$B$8,$BZ131,IF(ISNUMBER($CI131),RANK($CI131,$CI$9:$CI$508,1),COUNT($CI$9:$CI$508)+1)))</f>
        <v/>
      </c>
      <c r="CK131" s="97" t="str">
        <f aca="false">IF($BZ131&lt;&gt;Constants!$B$8,"",IF($BM131="-&gt;",$BW131,$BK131))</f>
        <v/>
      </c>
      <c r="CL131" s="93" t="str">
        <f aca="false">IF(ISBLANK($C131),"",IF($BZ131&lt;&gt;Constants!$B$8,$BZ131,IF(ISNUMBER($CK131),RANK($CK131,$CK$9:$CK$508,1),COUNT($CK$9:$CK$508)+1)))</f>
        <v/>
      </c>
      <c r="CM131" s="97" t="str">
        <f aca="false">IF($BZ131&lt;&gt;Constants!$B$8,"",IF(AND(NOT($AL131),NOT($AT131),$AJ131,$AK131,$AR131,$AS131),"",IF($BM131="-&gt;",$BX131,$BL131)))</f>
        <v/>
      </c>
      <c r="CN131" s="93" t="str">
        <f aca="false">IF(ISBLANK($C131),"",IF($BZ131&lt;&gt;Constants!$B$8,$BZ131,IF(ISNUMBER($CM131),RANK($CM131,$CM$9:$CM$508,1),COUNT($CM$9:$CM$508)+1)))</f>
        <v/>
      </c>
      <c r="CO131" s="93" t="str">
        <f aca="false">IF(ISBLANK($C131),"",IF($BZ131&lt;&gt;Constants!$B$8,$BZ131,COUNTIFS($CF$9:$CF$508,"&lt;"&amp;$CF131)+COUNTIFS($CF$9:$CF$508,$CF131,$CH$9:$CH$508,"&lt;"&amp;$CH131)+COUNTIFS($CF$9:$CF$508,$CF131,$CH$9:$CH$508,$CH131,$CJ$9:$CJ$508,"&lt;"&amp;$CJ131)+COUNTIFS($CF$9:$CF$508,$CF131,$CH$9:$CH$508,$CH131,$CJ$9:$CJ$508,$CJ131,$CL$9:$CL$508,"&lt;"&amp;$CL131)+COUNTIFS($CF$9:$CF$508,$CF131,$CH$9:$CH$508,$CH131,$CJ$9:$CJ$508,$CJ131,$CL$9:$CL$508,$CL131,$CN$9:$CN$508,"&lt;"&amp;$CN131)+1))</f>
        <v/>
      </c>
      <c r="CP131" s="93" t="str">
        <f aca="false">IF(ISBLANK($C131),"",IF($BZ131&lt;&gt;Constants!$B$8,$BZ131,$CF131-$CO131))</f>
        <v/>
      </c>
      <c r="CQ131" s="100"/>
      <c r="CR131" s="101"/>
      <c r="CS131" s="102" t="str">
        <f aca="false">IF(ISBLANK($C131),"",IF($BZ131=Constants!$B$12,$BY131,""))</f>
        <v/>
      </c>
      <c r="CT131" s="101" t="str">
        <f aca="false">IF(ISBLANK($C131),"",IF($BZ131&lt;&gt;Constants!$B$8,"",IF($BM131="-&gt;",2,1)))</f>
        <v/>
      </c>
      <c r="CU131" s="103" t="str">
        <f aca="false">IF(ISBLANK($C131),"",IF($BZ131&lt;&gt;Constants!$B$8,"",IF($BM131="-&gt;",$BO131,$BC131)))</f>
        <v/>
      </c>
      <c r="CV131" s="103" t="str">
        <f aca="false">IF(ISBLANK($C131),"",IF($BZ131&lt;&gt;Constants!$B$8,"",IF($BM131="-&gt;",$BP131,$BD131)))</f>
        <v/>
      </c>
      <c r="CW131" s="103" t="str">
        <f aca="false">IF(ISBLANK($C131),"",IF($BZ131&lt;&gt;Constants!$B$8,"",IF($BM131="-&gt;",$BQ131+$BR131,$BE131+$BF131)+$CD131))</f>
        <v/>
      </c>
      <c r="CX131" s="103" t="str">
        <f aca="false">IF(ISBLANK($C131),"",IF($BZ131&lt;&gt;Constants!$B$8,"",IF($BM131="-&gt;",$BS131,$BG131)+$CC131))</f>
        <v/>
      </c>
      <c r="CY131" s="104" t="str">
        <f aca="false">IF(ISBLANK($C131),"",IF($BZ131&lt;&gt;Constants!$B$8,$BZ131,$CE131))</f>
        <v/>
      </c>
      <c r="CZ131" s="105" t="str">
        <f aca="false">IF(ISBLANK($C131),"",$CA131)</f>
        <v/>
      </c>
      <c r="DA131" s="106" t="str">
        <f aca="false">IF(ISBLANK($C131),"",$CP131)</f>
        <v/>
      </c>
      <c r="DB131" s="106" t="str">
        <f aca="false">IF(ISBLANK($C131),"",$CO131)</f>
        <v/>
      </c>
      <c r="DC131" s="107" t="str">
        <f aca="false">IF(ISBLANK($C131),"",IFERROR(_xlfn.SWITCH($DB131,Constants!$B$11,COUNTA($C$9:$C$508)+2,Constants!$B$10,COUNTA($C$9:$C$508)+1,Constants!$B$9,COUNTA($C$9:$C$508)),$DB131))</f>
        <v/>
      </c>
      <c r="DD131" s="9"/>
      <c r="DE131" s="108" t="n">
        <f aca="false">IF(OR(ISNUMBER($DB131),$DB131=Constants!$B$11,$DB131=Constants!$B$9,$DB131=Constants!$B$10),1,0)</f>
        <v>0</v>
      </c>
      <c r="DF131" s="108" t="n">
        <v>123</v>
      </c>
      <c r="DG131" s="108" t="str">
        <f aca="false">IF(ISBLANK($C131),"",IF(ISNUMBER($DC131),$DC131+ROW($B131)/1000,""))</f>
        <v/>
      </c>
      <c r="DH131" s="108" t="str">
        <f aca="false">IF(ISNUMBER($DG131),RANK($DG131,$DG$9:$DG$508,1),"")</f>
        <v/>
      </c>
      <c r="DI131" s="108" t="str">
        <f aca="false">IF(ISBLANK($C131),"",$B131)</f>
        <v/>
      </c>
      <c r="DJ131" s="108" t="str">
        <f aca="false">IF(ISBLANK($C131),"",$C131)</f>
        <v/>
      </c>
      <c r="DK131" s="108" t="str">
        <f aca="false">IF(ISBLANK($C131),"",$D131)</f>
        <v/>
      </c>
      <c r="DL131" s="109" t="str">
        <f aca="false">$CZ131</f>
        <v/>
      </c>
      <c r="DM131" s="110" t="str">
        <f aca="false">$CY131</f>
        <v/>
      </c>
      <c r="DN131" s="108" t="str">
        <f aca="false">IF(ISBLANK($C131),"",$DB131)</f>
        <v/>
      </c>
      <c r="DO131" s="111" t="str">
        <f aca="false">IF($DF131&gt;$DE$8,"",VLOOKUP($DF131,$DH$9:$DN$508,7,FALSE()))</f>
        <v/>
      </c>
      <c r="DP131" s="112" t="str">
        <f aca="false">IF($DF131&gt;$DE$8,"",VLOOKUP($DF131,$DH$9:$DN$508,2,FALSE()))</f>
        <v/>
      </c>
      <c r="DQ131" s="112" t="str">
        <f aca="false">IF($DF131&gt;$DE$8,"",VLOOKUP($DF131,$DH$9:$DN$508,3,FALSE()))</f>
        <v/>
      </c>
      <c r="DR131" s="112" t="str">
        <f aca="false">IF($DF131&gt;$DE$8,"",VLOOKUP($DF131,$DH$9:$DN$508,4,FALSE()))</f>
        <v/>
      </c>
      <c r="DS131" s="112" t="str">
        <f aca="false">IF($DF131&gt;$DE$8,"",VLOOKUP($DF131,$DH$9:$DN$508,5,FALSE()))</f>
        <v/>
      </c>
      <c r="DT131" s="113" t="str">
        <f aca="false">IF($DF131&gt;$DE$8,"",VLOOKUP($DF131,$DH$9:$DN$508,6,FALSE()))</f>
        <v/>
      </c>
      <c r="DU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IF(ISBLANK($C132),"",IF(E132=Constants!$B$3,TRUE(),IF(E132=Constants!$B$4,FALSE(),TRUE())))</f>
        <v/>
      </c>
      <c r="AG132" s="135" t="str">
        <f aca="false">IF(ISBLANK($C132),"",IF(F132=Constants!$B$3,TRUE(),IF(F132=Constants!$B$4,FALSE(),TRUE())))</f>
        <v/>
      </c>
      <c r="AH132" s="135" t="str">
        <f aca="false">IF(ISBLANK($C132),"",IF(G132=Constants!$B$3,TRUE(),IF(G132=Constants!$B$4,FALSE(),TRUE())))</f>
        <v/>
      </c>
      <c r="AI132" s="135" t="str">
        <f aca="false">IF(ISBLANK($C132),"",IF(AND(ISNUMBER(H132),H132&gt;=0),H132,Constants!$B$29))</f>
        <v/>
      </c>
      <c r="AJ132" s="135" t="str">
        <f aca="false">IF(ISBLANK($C132),"",IF(I132=Constants!$B$3,TRUE(),IF(I132=Constants!$B$4,FALSE(),TRUE())))</f>
        <v/>
      </c>
      <c r="AK132" s="135" t="str">
        <f aca="false">IF(ISBLANK($C132),"",IF(J132=Constants!$B$3,TRUE(),IF(J132=Constants!$B$4,FALSE(),TRUE())))</f>
        <v/>
      </c>
      <c r="AL132" s="135" t="str">
        <f aca="false">IF(ISBLANK($C132),"",IF(K132=Constants!$B$5,TRUE(),IF(K132=Constants!$B$6,FALSE(),COUNTA(L132:P132)&gt;0)))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IF(ISBLANK($C132),"",IF(N132=Constants!$B$3,TRUE(),IF(N132=Constants!$B$4,FALSE(),TRUE())))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IF(ISBLANK($C132),"",IF(P132=Constants!$B$3,TRUE(),IF(P132=Constants!$B$4,FALSE(),FALSE())))</f>
        <v/>
      </c>
      <c r="AR132" s="135" t="str">
        <f aca="false">IF(ISBLANK($C132),"",IF(Q132=Constants!$B$3,TRUE(),IF(Q132=Constants!$B$4,FALSE(),TRUE())))</f>
        <v/>
      </c>
      <c r="AS132" s="135" t="str">
        <f aca="false">IF(ISBLANK($C132),"",IF(R132=Constants!$B$3,TRUE(),IF(R132=Constants!$B$4,FALSE(),TRUE())))</f>
        <v/>
      </c>
      <c r="AT132" s="135" t="str">
        <f aca="false">IF(ISBLANK($C132),"",IF(S132=Constants!$B$5,TRUE(),IF(S132=Constants!$B$6,FALSE(),COUNTA(T132:X132)&gt;0)))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IF(ISBLANK($C132),"",IF(V132=Constants!$B$3,TRUE(),IF(V132=Constants!$B$4,FALSE(),TRUE())))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IF(ISBLANK($C132),"",IF(X132=Constants!$B$3,TRUE(),IF(X132=Constants!$B$4,FALSE(),FALSE())))</f>
        <v/>
      </c>
      <c r="AZ132" s="135" t="str">
        <f aca="false">IF(ISBLANK($C132),"",MIN(Constants!$B$31,MAX(0,IF(ISNUMBER(Y132),Y132*60,0)+IF(ISNUMBER(Z132),Z132,0))))</f>
        <v/>
      </c>
      <c r="BA132" s="135" t="str">
        <f aca="false">IF(ISBLANK($C132),"",IF(AA132=Constants!$B$3,TRUE(),IF(AA132=Constants!$B$4,FALSE(),FALSE())))</f>
        <v/>
      </c>
      <c r="BB132" s="134" t="str">
        <f aca="false">IF(ISBLANK($C132),"",AND($AL132,OR($AM132="",$AN132="",AND($AO132,$AP132=""))))</f>
        <v/>
      </c>
      <c r="BC132" s="137" t="str">
        <f aca="false">IF($BZ132&lt;&gt;Constants!$B$8,"",IF($AL132,Constants!$B$21*$AN132+Constants!$B$22*IF($AO132,$AP132,Constants!$B$23),Constants!$B$24))</f>
        <v/>
      </c>
      <c r="BD132" s="138" t="str">
        <f aca="false">IF($BZ132&lt;&gt;Constants!$B$8,"",Constants!$B$25*ABS($AD$9-IF($AL132,$AM132,0)))</f>
        <v/>
      </c>
      <c r="BE132" s="138" t="str">
        <f aca="false">IF($BZ132&lt;&gt;Constants!$B$8,"",IF(AND($AL132,$AQ132,$AO132),Constants!$B$27,0))</f>
        <v/>
      </c>
      <c r="BF132" s="138" t="str">
        <f aca="false">IF($BZ132&lt;&gt;Constants!$B$8,"",IF($AL132,($AI132-Constants!$B$29)*Constants!$B$28,0))</f>
        <v/>
      </c>
      <c r="BG132" s="138" t="str">
        <f aca="false">IF($BZ132&lt;&gt;Constants!$B$8,"",IF($AK132,0,Constants!$B$15)+IF($AJ132,0,Constants!$B$16)+IF($AH132,0,Constants!$B$17))</f>
        <v/>
      </c>
      <c r="BH132" s="139" t="str">
        <f aca="false">IF($BZ132&lt;&gt;Constants!$B$8,"",Constants!$B$20+SUM($BC132:$BG132))</f>
        <v/>
      </c>
      <c r="BI132" s="138" t="str">
        <f aca="false">IF($BZ132&lt;&gt;Constants!$B$8,"",$BC132)</f>
        <v/>
      </c>
      <c r="BJ132" s="138" t="str">
        <f aca="false">IF($BZ132&lt;&gt;Constants!$B$8,"",$BD132)</f>
        <v/>
      </c>
      <c r="BK132" s="138" t="str">
        <f aca="false">IF($BZ132&lt;&gt;Constants!$B$8,"",IF($AL132,$AN132,""))</f>
        <v/>
      </c>
      <c r="BL132" s="140" t="str">
        <f aca="false">IF($BZ132&lt;&gt;Constants!$B$8,"",$AI132)</f>
        <v/>
      </c>
      <c r="BM132" s="135" t="str">
        <f aca="false">IF($BZ132&lt;&gt;Constants!$B$8,"",IF(OR($BT132&lt;$BH132,AND($BT132=$BH132,OR($BU132&lt;$BI132,AND($BU132=$BI132,OR($BV132&lt;$BJ132,AND($BV132=$BJ132,OR(AND(ISNUMBER($BW132),OR(NOT(ISNUMBER($BK132)),$BW132&lt;$BK132)),AND(OR(AND($BW132="",$BK132=""),AND(ISNUMBER($BW132),ISNUMBER($BK132),$BW132=$BK132)),$BX132&lt;$BL132)))))))),"-&gt;","&lt;-"))</f>
        <v/>
      </c>
      <c r="BN132" s="134" t="str">
        <f aca="false">IF(ISBLANK($C132),"",AND($AT132,OR($AU132="",$AV132="",AND($AW132,$AX132=""))))</f>
        <v/>
      </c>
      <c r="BO132" s="137" t="str">
        <f aca="false">IF($BZ132&lt;&gt;Constants!$B$8,"",IF($AT132,Constants!$B$21*$AV132+Constants!$B$22*IF($AW132,$AX132,Constants!$B$23),Constants!$B$24))</f>
        <v/>
      </c>
      <c r="BP132" s="138" t="str">
        <f aca="false">IF($BZ132&lt;&gt;Constants!$B$8,"",Constants!$B$25*ABS($AD$9-IF($AT132,$AU132,0)))</f>
        <v/>
      </c>
      <c r="BQ132" s="138" t="str">
        <f aca="false">IF($BZ132&lt;&gt;Constants!$B$8,"",IF(AND($AT132,$AY132,$AW132),Constants!$B$27,0))</f>
        <v/>
      </c>
      <c r="BR132" s="138" t="str">
        <f aca="false">IF($BZ132&lt;&gt;Constants!$B$8,"",IF($AT132,($AI132-Constants!$B$29)*Constants!$B$28,0))</f>
        <v/>
      </c>
      <c r="BS132" s="138" t="str">
        <f aca="false">IF($BZ132&lt;&gt;Constants!$B$8,"",IF($AS132,0,Constants!$B$15)+IF($AR132,0,Constants!$B$16)+IF($AH132,0,Constants!$B$17))</f>
        <v/>
      </c>
      <c r="BT132" s="139" t="str">
        <f aca="false">IF($BZ132&lt;&gt;Constants!$B$8,"",Constants!$B$20+SUM($BO132:$BS132))</f>
        <v/>
      </c>
      <c r="BU132" s="138" t="str">
        <f aca="false">IF($BZ132&lt;&gt;Constants!$B$8,"",$BO132)</f>
        <v/>
      </c>
      <c r="BV132" s="138" t="str">
        <f aca="false">IF($BZ132&lt;&gt;Constants!$B$8,"",$BP132)</f>
        <v/>
      </c>
      <c r="BW132" s="138" t="str">
        <f aca="false">IF($BZ132&lt;&gt;Constants!$B$8,"",IF($AT132,$AV132,""))</f>
        <v/>
      </c>
      <c r="BX132" s="140" t="str">
        <f aca="false">IF($BZ132&lt;&gt;Constants!$B$8,"",$AI132)</f>
        <v/>
      </c>
      <c r="BY132" s="135" t="str">
        <f aca="false">IF(ISBLANK($C132),"",IF(ISBLANK($D$7),$BY$5,IF(NOT(ISNUMBER($D$7)),$BY$6,"")))</f>
        <v/>
      </c>
      <c r="BZ132" s="135" t="str">
        <f aca="false">IF(ISBLANK($C132),"",IF($BA132,Constants!$B$11,IF(COUNTA($E132:$AA132)=0,Constants!$B$10,IF(NOT($AG132),Constants!$B$9,IF(OR($BY132&lt;&gt;"",$BB132,$BN132),Constants!$B$12,Constants!$B$8)))))</f>
        <v/>
      </c>
      <c r="CA132" s="135" t="str">
        <f aca="false">IF(ISBLANK($C132),"",IF($BZ132&lt;&gt;Constants!$B$8,$BZ132,Constants!$B$13))</f>
        <v/>
      </c>
      <c r="CB132" s="138" t="str">
        <f aca="false">IF($BZ132&lt;&gt;Constants!$B$8,"",IF($BM132="-&gt;",$BT132,$BH132))</f>
        <v/>
      </c>
      <c r="CC132" s="138" t="str">
        <f aca="false">IF($BZ132&lt;&gt;Constants!$B$8,"",IF($AF132,0,Constants!$B$18))</f>
        <v/>
      </c>
      <c r="CD132" s="138" t="str">
        <f aca="false">IF($BZ132&lt;&gt;Constants!$B$8,"",((Constants!$B$31-$AZ132)-Constants!$B$31)/Constants!$B$32)</f>
        <v/>
      </c>
      <c r="CE132" s="138" t="str">
        <f aca="false">IF(ISBLANK($C132),"",IF($BZ132&lt;&gt;Constants!$B$8,$BZ132,SUM($CB132:$CD132)))</f>
        <v/>
      </c>
      <c r="CF132" s="135" t="str">
        <f aca="false">IF(ISBLANK($C132),"",IF($BZ132&lt;&gt;Constants!$B$8,$BZ132,RANK($CE132,$CE$9:$CE$508,1)))</f>
        <v/>
      </c>
      <c r="CG132" s="138" t="str">
        <f aca="false">IF($BZ132&lt;&gt;Constants!$B$8,"",IF($BM132="-&gt;",$BU132,$BI132))</f>
        <v/>
      </c>
      <c r="CH132" s="135" t="str">
        <f aca="false">IF(ISBLANK($C132),"",IF($BZ132&lt;&gt;Constants!$B$8,$BZ132,IF(ISNUMBER($CG132),RANK($CG132,$CG$9:$CG$508,1),COUNT($CG$9:$CG$508)+1)))</f>
        <v/>
      </c>
      <c r="CI132" s="138" t="str">
        <f aca="false">IF($BZ132&lt;&gt;Constants!$B$8,"",IF($BM132="-&gt;",$BV132,$BJ132))</f>
        <v/>
      </c>
      <c r="CJ132" s="135" t="str">
        <f aca="false">IF(ISBLANK($C132),"",IF($BZ132&lt;&gt;Constants!$B$8,$BZ132,IF(ISNUMBER($CI132),RANK($CI132,$CI$9:$CI$508,1),COUNT($CI$9:$CI$508)+1)))</f>
        <v/>
      </c>
      <c r="CK132" s="138" t="str">
        <f aca="false">IF($BZ132&lt;&gt;Constants!$B$8,"",IF($BM132="-&gt;",$BW132,$BK132))</f>
        <v/>
      </c>
      <c r="CL132" s="135" t="str">
        <f aca="false">IF(ISBLANK($C132),"",IF($BZ132&lt;&gt;Constants!$B$8,$BZ132,IF(ISNUMBER($CK132),RANK($CK132,$CK$9:$CK$508,1),COUNT($CK$9:$CK$508)+1)))</f>
        <v/>
      </c>
      <c r="CM132" s="138" t="str">
        <f aca="false">IF($BZ132&lt;&gt;Constants!$B$8,"",IF(AND(NOT($AL132),NOT($AT132),$AJ132,$AK132,$AR132,$AS132),"",IF($BM132="-&gt;",$BX132,$BL132)))</f>
        <v/>
      </c>
      <c r="CN132" s="135" t="str">
        <f aca="false">IF(ISBLANK($C132),"",IF($BZ132&lt;&gt;Constants!$B$8,$BZ132,IF(ISNUMBER($CM132),RANK($CM132,$CM$9:$CM$508,1),COUNT($CM$9:$CM$508)+1)))</f>
        <v/>
      </c>
      <c r="CO132" s="135" t="str">
        <f aca="false">IF(ISBLANK($C132),"",IF($BZ132&lt;&gt;Constants!$B$8,$BZ132,COUNTIFS($CF$9:$CF$508,"&lt;"&amp;$CF132)+COUNTIFS($CF$9:$CF$508,$CF132,$CH$9:$CH$508,"&lt;"&amp;$CH132)+COUNTIFS($CF$9:$CF$508,$CF132,$CH$9:$CH$508,$CH132,$CJ$9:$CJ$508,"&lt;"&amp;$CJ132)+COUNTIFS($CF$9:$CF$508,$CF132,$CH$9:$CH$508,$CH132,$CJ$9:$CJ$508,$CJ132,$CL$9:$CL$508,"&lt;"&amp;$CL132)+COUNTIFS($CF$9:$CF$508,$CF132,$CH$9:$CH$508,$CH132,$CJ$9:$CJ$508,$CJ132,$CL$9:$CL$508,$CL132,$CN$9:$CN$508,"&lt;"&amp;$CN132)+1))</f>
        <v/>
      </c>
      <c r="CP132" s="135" t="str">
        <f aca="false">IF(ISBLANK($C132),"",IF($BZ132&lt;&gt;Constants!$B$8,$BZ132,$CF132-$CO132))</f>
        <v/>
      </c>
      <c r="CQ132" s="141"/>
      <c r="CR132" s="142"/>
      <c r="CS132" s="143" t="str">
        <f aca="false">IF(ISBLANK($C132),"",IF($BZ132=Constants!$B$12,$BY132,""))</f>
        <v/>
      </c>
      <c r="CT132" s="142" t="str">
        <f aca="false">IF(ISBLANK($C132),"",IF($BZ132&lt;&gt;Constants!$B$8,"",IF($BM132="-&gt;",2,1)))</f>
        <v/>
      </c>
      <c r="CU132" s="144" t="str">
        <f aca="false">IF(ISBLANK($C132),"",IF($BZ132&lt;&gt;Constants!$B$8,"",IF($BM132="-&gt;",$BO132,$BC132)))</f>
        <v/>
      </c>
      <c r="CV132" s="144" t="str">
        <f aca="false">IF(ISBLANK($C132),"",IF($BZ132&lt;&gt;Constants!$B$8,"",IF($BM132="-&gt;",$BP132,$BD132)))</f>
        <v/>
      </c>
      <c r="CW132" s="144" t="str">
        <f aca="false">IF(ISBLANK($C132),"",IF($BZ132&lt;&gt;Constants!$B$8,"",IF($BM132="-&gt;",$BQ132+$BR132,$BE132+$BF132)+$CD132))</f>
        <v/>
      </c>
      <c r="CX132" s="144" t="str">
        <f aca="false">IF(ISBLANK($C132),"",IF($BZ132&lt;&gt;Constants!$B$8,"",IF($BM132="-&gt;",$BS132,$BG132)+$CC132))</f>
        <v/>
      </c>
      <c r="CY132" s="145" t="str">
        <f aca="false">IF(ISBLANK($C132),"",IF($BZ132&lt;&gt;Constants!$B$8,$BZ132,$CE132))</f>
        <v/>
      </c>
      <c r="CZ132" s="146" t="str">
        <f aca="false">IF(ISBLANK($C132),"",$CA132)</f>
        <v/>
      </c>
      <c r="DA132" s="147" t="str">
        <f aca="false">IF(ISBLANK($C132),"",$CP132)</f>
        <v/>
      </c>
      <c r="DB132" s="147" t="str">
        <f aca="false">IF(ISBLANK($C132),"",$CO132)</f>
        <v/>
      </c>
      <c r="DC132" s="148" t="str">
        <f aca="false">IF(ISBLANK($C132),"",IFERROR(_xlfn.SWITCH($DB132,Constants!$B$11,COUNTA($C$9:$C$508)+2,Constants!$B$10,COUNTA($C$9:$C$508)+1,Constants!$B$9,COUNTA($C$9:$C$508)),$DB132))</f>
        <v/>
      </c>
      <c r="DD132" s="9"/>
      <c r="DE132" s="149" t="n">
        <f aca="false">IF(OR(ISNUMBER($DB132),$DB132=Constants!$B$11,$DB132=Constants!$B$9,$DB132=Constants!$B$10),1,0)</f>
        <v>0</v>
      </c>
      <c r="DF132" s="149" t="n">
        <v>124</v>
      </c>
      <c r="DG132" s="149" t="str">
        <f aca="false">IF(ISBLANK($C132),"",IF(ISNUMBER($DC132),$DC132+ROW($B132)/1000,""))</f>
        <v/>
      </c>
      <c r="DH132" s="149" t="str">
        <f aca="false">IF(ISNUMBER($DG132),RANK($DG132,$DG$9:$DG$508,1),"")</f>
        <v/>
      </c>
      <c r="DI132" s="149" t="str">
        <f aca="false">IF(ISBLANK($C132),"",$B132)</f>
        <v/>
      </c>
      <c r="DJ132" s="149" t="str">
        <f aca="false">IF(ISBLANK($C132),"",$C132)</f>
        <v/>
      </c>
      <c r="DK132" s="149" t="str">
        <f aca="false">IF(ISBLANK($C132),"",$D132)</f>
        <v/>
      </c>
      <c r="DL132" s="150" t="str">
        <f aca="false">$CZ132</f>
        <v/>
      </c>
      <c r="DM132" s="151" t="str">
        <f aca="false">$CY132</f>
        <v/>
      </c>
      <c r="DN132" s="149" t="str">
        <f aca="false">IF(ISBLANK($C132),"",$DB132)</f>
        <v/>
      </c>
      <c r="DO132" s="152" t="str">
        <f aca="false">IF($DF132&gt;$DE$8,"",VLOOKUP($DF132,$DH$9:$DN$508,7,FALSE()))</f>
        <v/>
      </c>
      <c r="DP132" s="153" t="str">
        <f aca="false">IF($DF132&gt;$DE$8,"",VLOOKUP($DF132,$DH$9:$DN$508,2,FALSE()))</f>
        <v/>
      </c>
      <c r="DQ132" s="153" t="str">
        <f aca="false">IF($DF132&gt;$DE$8,"",VLOOKUP($DF132,$DH$9:$DN$508,3,FALSE()))</f>
        <v/>
      </c>
      <c r="DR132" s="153" t="str">
        <f aca="false">IF($DF132&gt;$DE$8,"",VLOOKUP($DF132,$DH$9:$DN$508,4,FALSE()))</f>
        <v/>
      </c>
      <c r="DS132" s="153" t="str">
        <f aca="false">IF($DF132&gt;$DE$8,"",VLOOKUP($DF132,$DH$9:$DN$508,5,FALSE()))</f>
        <v/>
      </c>
      <c r="DT132" s="154" t="str">
        <f aca="false">IF($DF132&gt;$DE$8,"",VLOOKUP($DF132,$DH$9:$DN$508,6,FALSE()))</f>
        <v/>
      </c>
      <c r="DU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IF(ISBLANK($C133),"",IF(E133=Constants!$B$3,TRUE(),IF(E133=Constants!$B$4,FALSE(),TRUE())))</f>
        <v/>
      </c>
      <c r="AG133" s="135" t="str">
        <f aca="false">IF(ISBLANK($C133),"",IF(F133=Constants!$B$3,TRUE(),IF(F133=Constants!$B$4,FALSE(),TRUE())))</f>
        <v/>
      </c>
      <c r="AH133" s="135" t="str">
        <f aca="false">IF(ISBLANK($C133),"",IF(G133=Constants!$B$3,TRUE(),IF(G133=Constants!$B$4,FALSE(),TRUE())))</f>
        <v/>
      </c>
      <c r="AI133" s="135" t="str">
        <f aca="false">IF(ISBLANK($C133),"",IF(AND(ISNUMBER(H133),H133&gt;=0),H133,Constants!$B$29))</f>
        <v/>
      </c>
      <c r="AJ133" s="135" t="str">
        <f aca="false">IF(ISBLANK($C133),"",IF(I133=Constants!$B$3,TRUE(),IF(I133=Constants!$B$4,FALSE(),TRUE())))</f>
        <v/>
      </c>
      <c r="AK133" s="135" t="str">
        <f aca="false">IF(ISBLANK($C133),"",IF(J133=Constants!$B$3,TRUE(),IF(J133=Constants!$B$4,FALSE(),TRUE())))</f>
        <v/>
      </c>
      <c r="AL133" s="135" t="str">
        <f aca="false">IF(ISBLANK($C133),"",IF(K133=Constants!$B$5,TRUE(),IF(K133=Constants!$B$6,FALSE(),COUNTA(L133:P133)&gt;0)))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IF(ISBLANK($C133),"",IF(N133=Constants!$B$3,TRUE(),IF(N133=Constants!$B$4,FALSE(),TRUE())))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IF(ISBLANK($C133),"",IF(P133=Constants!$B$3,TRUE(),IF(P133=Constants!$B$4,FALSE(),FALSE())))</f>
        <v/>
      </c>
      <c r="AR133" s="135" t="str">
        <f aca="false">IF(ISBLANK($C133),"",IF(Q133=Constants!$B$3,TRUE(),IF(Q133=Constants!$B$4,FALSE(),TRUE())))</f>
        <v/>
      </c>
      <c r="AS133" s="135" t="str">
        <f aca="false">IF(ISBLANK($C133),"",IF(R133=Constants!$B$3,TRUE(),IF(R133=Constants!$B$4,FALSE(),TRUE())))</f>
        <v/>
      </c>
      <c r="AT133" s="135" t="str">
        <f aca="false">IF(ISBLANK($C133),"",IF(S133=Constants!$B$5,TRUE(),IF(S133=Constants!$B$6,FALSE(),COUNTA(T133:X133)&gt;0)))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IF(ISBLANK($C133),"",IF(V133=Constants!$B$3,TRUE(),IF(V133=Constants!$B$4,FALSE(),TRUE())))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IF(ISBLANK($C133),"",IF(X133=Constants!$B$3,TRUE(),IF(X133=Constants!$B$4,FALSE(),FALSE())))</f>
        <v/>
      </c>
      <c r="AZ133" s="135" t="str">
        <f aca="false">IF(ISBLANK($C133),"",MIN(Constants!$B$31,MAX(0,IF(ISNUMBER(Y133),Y133*60,0)+IF(ISNUMBER(Z133),Z133,0))))</f>
        <v/>
      </c>
      <c r="BA133" s="135" t="str">
        <f aca="false">IF(ISBLANK($C133),"",IF(AA133=Constants!$B$3,TRUE(),IF(AA133=Constants!$B$4,FALSE(),FALSE())))</f>
        <v/>
      </c>
      <c r="BB133" s="134" t="str">
        <f aca="false">IF(ISBLANK($C133),"",AND($AL133,OR($AM133="",$AN133="",AND($AO133,$AP133=""))))</f>
        <v/>
      </c>
      <c r="BC133" s="137" t="str">
        <f aca="false">IF($BZ133&lt;&gt;Constants!$B$8,"",IF($AL133,Constants!$B$21*$AN133+Constants!$B$22*IF($AO133,$AP133,Constants!$B$23),Constants!$B$24))</f>
        <v/>
      </c>
      <c r="BD133" s="138" t="str">
        <f aca="false">IF($BZ133&lt;&gt;Constants!$B$8,"",Constants!$B$25*ABS($AD$9-IF($AL133,$AM133,0)))</f>
        <v/>
      </c>
      <c r="BE133" s="138" t="str">
        <f aca="false">IF($BZ133&lt;&gt;Constants!$B$8,"",IF(AND($AL133,$AQ133,$AO133),Constants!$B$27,0))</f>
        <v/>
      </c>
      <c r="BF133" s="138" t="str">
        <f aca="false">IF($BZ133&lt;&gt;Constants!$B$8,"",IF($AL133,($AI133-Constants!$B$29)*Constants!$B$28,0))</f>
        <v/>
      </c>
      <c r="BG133" s="138" t="str">
        <f aca="false">IF($BZ133&lt;&gt;Constants!$B$8,"",IF($AK133,0,Constants!$B$15)+IF($AJ133,0,Constants!$B$16)+IF($AH133,0,Constants!$B$17))</f>
        <v/>
      </c>
      <c r="BH133" s="139" t="str">
        <f aca="false">IF($BZ133&lt;&gt;Constants!$B$8,"",Constants!$B$20+SUM($BC133:$BG133))</f>
        <v/>
      </c>
      <c r="BI133" s="138" t="str">
        <f aca="false">IF($BZ133&lt;&gt;Constants!$B$8,"",$BC133)</f>
        <v/>
      </c>
      <c r="BJ133" s="138" t="str">
        <f aca="false">IF($BZ133&lt;&gt;Constants!$B$8,"",$BD133)</f>
        <v/>
      </c>
      <c r="BK133" s="138" t="str">
        <f aca="false">IF($BZ133&lt;&gt;Constants!$B$8,"",IF($AL133,$AN133,""))</f>
        <v/>
      </c>
      <c r="BL133" s="140" t="str">
        <f aca="false">IF($BZ133&lt;&gt;Constants!$B$8,"",$AI133)</f>
        <v/>
      </c>
      <c r="BM133" s="135" t="str">
        <f aca="false">IF($BZ133&lt;&gt;Constants!$B$8,"",IF(OR($BT133&lt;$BH133,AND($BT133=$BH133,OR($BU133&lt;$BI133,AND($BU133=$BI133,OR($BV133&lt;$BJ133,AND($BV133=$BJ133,OR(AND(ISNUMBER($BW133),OR(NOT(ISNUMBER($BK133)),$BW133&lt;$BK133)),AND(OR(AND($BW133="",$BK133=""),AND(ISNUMBER($BW133),ISNUMBER($BK133),$BW133=$BK133)),$BX133&lt;$BL133)))))))),"-&gt;","&lt;-"))</f>
        <v/>
      </c>
      <c r="BN133" s="134" t="str">
        <f aca="false">IF(ISBLANK($C133),"",AND($AT133,OR($AU133="",$AV133="",AND($AW133,$AX133=""))))</f>
        <v/>
      </c>
      <c r="BO133" s="137" t="str">
        <f aca="false">IF($BZ133&lt;&gt;Constants!$B$8,"",IF($AT133,Constants!$B$21*$AV133+Constants!$B$22*IF($AW133,$AX133,Constants!$B$23),Constants!$B$24))</f>
        <v/>
      </c>
      <c r="BP133" s="138" t="str">
        <f aca="false">IF($BZ133&lt;&gt;Constants!$B$8,"",Constants!$B$25*ABS($AD$9-IF($AT133,$AU133,0)))</f>
        <v/>
      </c>
      <c r="BQ133" s="138" t="str">
        <f aca="false">IF($BZ133&lt;&gt;Constants!$B$8,"",IF(AND($AT133,$AY133,$AW133),Constants!$B$27,0))</f>
        <v/>
      </c>
      <c r="BR133" s="138" t="str">
        <f aca="false">IF($BZ133&lt;&gt;Constants!$B$8,"",IF($AT133,($AI133-Constants!$B$29)*Constants!$B$28,0))</f>
        <v/>
      </c>
      <c r="BS133" s="138" t="str">
        <f aca="false">IF($BZ133&lt;&gt;Constants!$B$8,"",IF($AS133,0,Constants!$B$15)+IF($AR133,0,Constants!$B$16)+IF($AH133,0,Constants!$B$17))</f>
        <v/>
      </c>
      <c r="BT133" s="139" t="str">
        <f aca="false">IF($BZ133&lt;&gt;Constants!$B$8,"",Constants!$B$20+SUM($BO133:$BS133))</f>
        <v/>
      </c>
      <c r="BU133" s="138" t="str">
        <f aca="false">IF($BZ133&lt;&gt;Constants!$B$8,"",$BO133)</f>
        <v/>
      </c>
      <c r="BV133" s="138" t="str">
        <f aca="false">IF($BZ133&lt;&gt;Constants!$B$8,"",$BP133)</f>
        <v/>
      </c>
      <c r="BW133" s="138" t="str">
        <f aca="false">IF($BZ133&lt;&gt;Constants!$B$8,"",IF($AT133,$AV133,""))</f>
        <v/>
      </c>
      <c r="BX133" s="140" t="str">
        <f aca="false">IF($BZ133&lt;&gt;Constants!$B$8,"",$AI133)</f>
        <v/>
      </c>
      <c r="BY133" s="135" t="str">
        <f aca="false">IF(ISBLANK($C133),"",IF(ISBLANK($D$7),$BY$5,IF(NOT(ISNUMBER($D$7)),$BY$6,"")))</f>
        <v/>
      </c>
      <c r="BZ133" s="135" t="str">
        <f aca="false">IF(ISBLANK($C133),"",IF($BA133,Constants!$B$11,IF(COUNTA($E133:$AA133)=0,Constants!$B$10,IF(NOT($AG133),Constants!$B$9,IF(OR($BY133&lt;&gt;"",$BB133,$BN133),Constants!$B$12,Constants!$B$8)))))</f>
        <v/>
      </c>
      <c r="CA133" s="135" t="str">
        <f aca="false">IF(ISBLANK($C133),"",IF($BZ133&lt;&gt;Constants!$B$8,$BZ133,Constants!$B$13))</f>
        <v/>
      </c>
      <c r="CB133" s="138" t="str">
        <f aca="false">IF($BZ133&lt;&gt;Constants!$B$8,"",IF($BM133="-&gt;",$BT133,$BH133))</f>
        <v/>
      </c>
      <c r="CC133" s="138" t="str">
        <f aca="false">IF($BZ133&lt;&gt;Constants!$B$8,"",IF($AF133,0,Constants!$B$18))</f>
        <v/>
      </c>
      <c r="CD133" s="138" t="str">
        <f aca="false">IF($BZ133&lt;&gt;Constants!$B$8,"",((Constants!$B$31-$AZ133)-Constants!$B$31)/Constants!$B$32)</f>
        <v/>
      </c>
      <c r="CE133" s="138" t="str">
        <f aca="false">IF(ISBLANK($C133),"",IF($BZ133&lt;&gt;Constants!$B$8,$BZ133,SUM($CB133:$CD133)))</f>
        <v/>
      </c>
      <c r="CF133" s="135" t="str">
        <f aca="false">IF(ISBLANK($C133),"",IF($BZ133&lt;&gt;Constants!$B$8,$BZ133,RANK($CE133,$CE$9:$CE$508,1)))</f>
        <v/>
      </c>
      <c r="CG133" s="138" t="str">
        <f aca="false">IF($BZ133&lt;&gt;Constants!$B$8,"",IF($BM133="-&gt;",$BU133,$BI133))</f>
        <v/>
      </c>
      <c r="CH133" s="135" t="str">
        <f aca="false">IF(ISBLANK($C133),"",IF($BZ133&lt;&gt;Constants!$B$8,$BZ133,IF(ISNUMBER($CG133),RANK($CG133,$CG$9:$CG$508,1),COUNT($CG$9:$CG$508)+1)))</f>
        <v/>
      </c>
      <c r="CI133" s="138" t="str">
        <f aca="false">IF($BZ133&lt;&gt;Constants!$B$8,"",IF($BM133="-&gt;",$BV133,$BJ133))</f>
        <v/>
      </c>
      <c r="CJ133" s="135" t="str">
        <f aca="false">IF(ISBLANK($C133),"",IF($BZ133&lt;&gt;Constants!$B$8,$BZ133,IF(ISNUMBER($CI133),RANK($CI133,$CI$9:$CI$508,1),COUNT($CI$9:$CI$508)+1)))</f>
        <v/>
      </c>
      <c r="CK133" s="138" t="str">
        <f aca="false">IF($BZ133&lt;&gt;Constants!$B$8,"",IF($BM133="-&gt;",$BW133,$BK133))</f>
        <v/>
      </c>
      <c r="CL133" s="135" t="str">
        <f aca="false">IF(ISBLANK($C133),"",IF($BZ133&lt;&gt;Constants!$B$8,$BZ133,IF(ISNUMBER($CK133),RANK($CK133,$CK$9:$CK$508,1),COUNT($CK$9:$CK$508)+1)))</f>
        <v/>
      </c>
      <c r="CM133" s="138" t="str">
        <f aca="false">IF($BZ133&lt;&gt;Constants!$B$8,"",IF(AND(NOT($AL133),NOT($AT133),$AJ133,$AK133,$AR133,$AS133),"",IF($BM133="-&gt;",$BX133,$BL133)))</f>
        <v/>
      </c>
      <c r="CN133" s="135" t="str">
        <f aca="false">IF(ISBLANK($C133),"",IF($BZ133&lt;&gt;Constants!$B$8,$BZ133,IF(ISNUMBER($CM133),RANK($CM133,$CM$9:$CM$508,1),COUNT($CM$9:$CM$508)+1)))</f>
        <v/>
      </c>
      <c r="CO133" s="135" t="str">
        <f aca="false">IF(ISBLANK($C133),"",IF($BZ133&lt;&gt;Constants!$B$8,$BZ133,COUNTIFS($CF$9:$CF$508,"&lt;"&amp;$CF133)+COUNTIFS($CF$9:$CF$508,$CF133,$CH$9:$CH$508,"&lt;"&amp;$CH133)+COUNTIFS($CF$9:$CF$508,$CF133,$CH$9:$CH$508,$CH133,$CJ$9:$CJ$508,"&lt;"&amp;$CJ133)+COUNTIFS($CF$9:$CF$508,$CF133,$CH$9:$CH$508,$CH133,$CJ$9:$CJ$508,$CJ133,$CL$9:$CL$508,"&lt;"&amp;$CL133)+COUNTIFS($CF$9:$CF$508,$CF133,$CH$9:$CH$508,$CH133,$CJ$9:$CJ$508,$CJ133,$CL$9:$CL$508,$CL133,$CN$9:$CN$508,"&lt;"&amp;$CN133)+1))</f>
        <v/>
      </c>
      <c r="CP133" s="135" t="str">
        <f aca="false">IF(ISBLANK($C133),"",IF($BZ133&lt;&gt;Constants!$B$8,$BZ133,$CF133-$CO133))</f>
        <v/>
      </c>
      <c r="CQ133" s="141"/>
      <c r="CR133" s="142"/>
      <c r="CS133" s="143" t="str">
        <f aca="false">IF(ISBLANK($C133),"",IF($BZ133=Constants!$B$12,$BY133,""))</f>
        <v/>
      </c>
      <c r="CT133" s="142" t="str">
        <f aca="false">IF(ISBLANK($C133),"",IF($BZ133&lt;&gt;Constants!$B$8,"",IF($BM133="-&gt;",2,1)))</f>
        <v/>
      </c>
      <c r="CU133" s="144" t="str">
        <f aca="false">IF(ISBLANK($C133),"",IF($BZ133&lt;&gt;Constants!$B$8,"",IF($BM133="-&gt;",$BO133,$BC133)))</f>
        <v/>
      </c>
      <c r="CV133" s="144" t="str">
        <f aca="false">IF(ISBLANK($C133),"",IF($BZ133&lt;&gt;Constants!$B$8,"",IF($BM133="-&gt;",$BP133,$BD133)))</f>
        <v/>
      </c>
      <c r="CW133" s="144" t="str">
        <f aca="false">IF(ISBLANK($C133),"",IF($BZ133&lt;&gt;Constants!$B$8,"",IF($BM133="-&gt;",$BQ133+$BR133,$BE133+$BF133)+$CD133))</f>
        <v/>
      </c>
      <c r="CX133" s="144" t="str">
        <f aca="false">IF(ISBLANK($C133),"",IF($BZ133&lt;&gt;Constants!$B$8,"",IF($BM133="-&gt;",$BS133,$BG133)+$CC133))</f>
        <v/>
      </c>
      <c r="CY133" s="145" t="str">
        <f aca="false">IF(ISBLANK($C133),"",IF($BZ133&lt;&gt;Constants!$B$8,$BZ133,$CE133))</f>
        <v/>
      </c>
      <c r="CZ133" s="146" t="str">
        <f aca="false">IF(ISBLANK($C133),"",$CA133)</f>
        <v/>
      </c>
      <c r="DA133" s="147" t="str">
        <f aca="false">IF(ISBLANK($C133),"",$CP133)</f>
        <v/>
      </c>
      <c r="DB133" s="147" t="str">
        <f aca="false">IF(ISBLANK($C133),"",$CO133)</f>
        <v/>
      </c>
      <c r="DC133" s="148" t="str">
        <f aca="false">IF(ISBLANK($C133),"",IFERROR(_xlfn.SWITCH($DB133,Constants!$B$11,COUNTA($C$9:$C$508)+2,Constants!$B$10,COUNTA($C$9:$C$508)+1,Constants!$B$9,COUNTA($C$9:$C$508)),$DB133))</f>
        <v/>
      </c>
      <c r="DD133" s="9"/>
      <c r="DE133" s="149" t="n">
        <f aca="false">IF(OR(ISNUMBER($DB133),$DB133=Constants!$B$11,$DB133=Constants!$B$9,$DB133=Constants!$B$10),1,0)</f>
        <v>0</v>
      </c>
      <c r="DF133" s="149" t="n">
        <v>125</v>
      </c>
      <c r="DG133" s="149" t="str">
        <f aca="false">IF(ISBLANK($C133),"",IF(ISNUMBER($DC133),$DC133+ROW($B133)/1000,""))</f>
        <v/>
      </c>
      <c r="DH133" s="149" t="str">
        <f aca="false">IF(ISNUMBER($DG133),RANK($DG133,$DG$9:$DG$508,1),"")</f>
        <v/>
      </c>
      <c r="DI133" s="149" t="str">
        <f aca="false">IF(ISBLANK($C133),"",$B133)</f>
        <v/>
      </c>
      <c r="DJ133" s="149" t="str">
        <f aca="false">IF(ISBLANK($C133),"",$C133)</f>
        <v/>
      </c>
      <c r="DK133" s="149" t="str">
        <f aca="false">IF(ISBLANK($C133),"",$D133)</f>
        <v/>
      </c>
      <c r="DL133" s="150" t="str">
        <f aca="false">$CZ133</f>
        <v/>
      </c>
      <c r="DM133" s="151" t="str">
        <f aca="false">$CY133</f>
        <v/>
      </c>
      <c r="DN133" s="149" t="str">
        <f aca="false">IF(ISBLANK($C133),"",$DB133)</f>
        <v/>
      </c>
      <c r="DO133" s="152" t="str">
        <f aca="false">IF($DF133&gt;$DE$8,"",VLOOKUP($DF133,$DH$9:$DN$508,7,FALSE()))</f>
        <v/>
      </c>
      <c r="DP133" s="153" t="str">
        <f aca="false">IF($DF133&gt;$DE$8,"",VLOOKUP($DF133,$DH$9:$DN$508,2,FALSE()))</f>
        <v/>
      </c>
      <c r="DQ133" s="153" t="str">
        <f aca="false">IF($DF133&gt;$DE$8,"",VLOOKUP($DF133,$DH$9:$DN$508,3,FALSE()))</f>
        <v/>
      </c>
      <c r="DR133" s="153" t="str">
        <f aca="false">IF($DF133&gt;$DE$8,"",VLOOKUP($DF133,$DH$9:$DN$508,4,FALSE()))</f>
        <v/>
      </c>
      <c r="DS133" s="153" t="str">
        <f aca="false">IF($DF133&gt;$DE$8,"",VLOOKUP($DF133,$DH$9:$DN$508,5,FALSE()))</f>
        <v/>
      </c>
      <c r="DT133" s="154" t="str">
        <f aca="false">IF($DF133&gt;$DE$8,"",VLOOKUP($DF133,$DH$9:$DN$508,6,FALSE()))</f>
        <v/>
      </c>
      <c r="DU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IF(ISBLANK($C134),"",IF(E134=Constants!$B$3,TRUE(),IF(E134=Constants!$B$4,FALSE(),TRUE())))</f>
        <v/>
      </c>
      <c r="AG134" s="135" t="str">
        <f aca="false">IF(ISBLANK($C134),"",IF(F134=Constants!$B$3,TRUE(),IF(F134=Constants!$B$4,FALSE(),TRUE())))</f>
        <v/>
      </c>
      <c r="AH134" s="135" t="str">
        <f aca="false">IF(ISBLANK($C134),"",IF(G134=Constants!$B$3,TRUE(),IF(G134=Constants!$B$4,FALSE(),TRUE())))</f>
        <v/>
      </c>
      <c r="AI134" s="135" t="str">
        <f aca="false">IF(ISBLANK($C134),"",IF(AND(ISNUMBER(H134),H134&gt;=0),H134,Constants!$B$29))</f>
        <v/>
      </c>
      <c r="AJ134" s="135" t="str">
        <f aca="false">IF(ISBLANK($C134),"",IF(I134=Constants!$B$3,TRUE(),IF(I134=Constants!$B$4,FALSE(),TRUE())))</f>
        <v/>
      </c>
      <c r="AK134" s="135" t="str">
        <f aca="false">IF(ISBLANK($C134),"",IF(J134=Constants!$B$3,TRUE(),IF(J134=Constants!$B$4,FALSE(),TRUE())))</f>
        <v/>
      </c>
      <c r="AL134" s="135" t="str">
        <f aca="false">IF(ISBLANK($C134),"",IF(K134=Constants!$B$5,TRUE(),IF(K134=Constants!$B$6,FALSE(),COUNTA(L134:P134)&gt;0)))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IF(ISBLANK($C134),"",IF(N134=Constants!$B$3,TRUE(),IF(N134=Constants!$B$4,FALSE(),TRUE())))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IF(ISBLANK($C134),"",IF(P134=Constants!$B$3,TRUE(),IF(P134=Constants!$B$4,FALSE(),FALSE())))</f>
        <v/>
      </c>
      <c r="AR134" s="135" t="str">
        <f aca="false">IF(ISBLANK($C134),"",IF(Q134=Constants!$B$3,TRUE(),IF(Q134=Constants!$B$4,FALSE(),TRUE())))</f>
        <v/>
      </c>
      <c r="AS134" s="135" t="str">
        <f aca="false">IF(ISBLANK($C134),"",IF(R134=Constants!$B$3,TRUE(),IF(R134=Constants!$B$4,FALSE(),TRUE())))</f>
        <v/>
      </c>
      <c r="AT134" s="135" t="str">
        <f aca="false">IF(ISBLANK($C134),"",IF(S134=Constants!$B$5,TRUE(),IF(S134=Constants!$B$6,FALSE(),COUNTA(T134:X134)&gt;0)))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IF(ISBLANK($C134),"",IF(V134=Constants!$B$3,TRUE(),IF(V134=Constants!$B$4,FALSE(),TRUE())))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IF(ISBLANK($C134),"",IF(X134=Constants!$B$3,TRUE(),IF(X134=Constants!$B$4,FALSE(),FALSE())))</f>
        <v/>
      </c>
      <c r="AZ134" s="135" t="str">
        <f aca="false">IF(ISBLANK($C134),"",MIN(Constants!$B$31,MAX(0,IF(ISNUMBER(Y134),Y134*60,0)+IF(ISNUMBER(Z134),Z134,0))))</f>
        <v/>
      </c>
      <c r="BA134" s="135" t="str">
        <f aca="false">IF(ISBLANK($C134),"",IF(AA134=Constants!$B$3,TRUE(),IF(AA134=Constants!$B$4,FALSE(),FALSE())))</f>
        <v/>
      </c>
      <c r="BB134" s="134" t="str">
        <f aca="false">IF(ISBLANK($C134),"",AND($AL134,OR($AM134="",$AN134="",AND($AO134,$AP134=""))))</f>
        <v/>
      </c>
      <c r="BC134" s="137" t="str">
        <f aca="false">IF($BZ134&lt;&gt;Constants!$B$8,"",IF($AL134,Constants!$B$21*$AN134+Constants!$B$22*IF($AO134,$AP134,Constants!$B$23),Constants!$B$24))</f>
        <v/>
      </c>
      <c r="BD134" s="138" t="str">
        <f aca="false">IF($BZ134&lt;&gt;Constants!$B$8,"",Constants!$B$25*ABS($AD$9-IF($AL134,$AM134,0)))</f>
        <v/>
      </c>
      <c r="BE134" s="138" t="str">
        <f aca="false">IF($BZ134&lt;&gt;Constants!$B$8,"",IF(AND($AL134,$AQ134,$AO134),Constants!$B$27,0))</f>
        <v/>
      </c>
      <c r="BF134" s="138" t="str">
        <f aca="false">IF($BZ134&lt;&gt;Constants!$B$8,"",IF($AL134,($AI134-Constants!$B$29)*Constants!$B$28,0))</f>
        <v/>
      </c>
      <c r="BG134" s="138" t="str">
        <f aca="false">IF($BZ134&lt;&gt;Constants!$B$8,"",IF($AK134,0,Constants!$B$15)+IF($AJ134,0,Constants!$B$16)+IF($AH134,0,Constants!$B$17))</f>
        <v/>
      </c>
      <c r="BH134" s="139" t="str">
        <f aca="false">IF($BZ134&lt;&gt;Constants!$B$8,"",Constants!$B$20+SUM($BC134:$BG134))</f>
        <v/>
      </c>
      <c r="BI134" s="138" t="str">
        <f aca="false">IF($BZ134&lt;&gt;Constants!$B$8,"",$BC134)</f>
        <v/>
      </c>
      <c r="BJ134" s="138" t="str">
        <f aca="false">IF($BZ134&lt;&gt;Constants!$B$8,"",$BD134)</f>
        <v/>
      </c>
      <c r="BK134" s="138" t="str">
        <f aca="false">IF($BZ134&lt;&gt;Constants!$B$8,"",IF($AL134,$AN134,""))</f>
        <v/>
      </c>
      <c r="BL134" s="140" t="str">
        <f aca="false">IF($BZ134&lt;&gt;Constants!$B$8,"",$AI134)</f>
        <v/>
      </c>
      <c r="BM134" s="135" t="str">
        <f aca="false">IF($BZ134&lt;&gt;Constants!$B$8,"",IF(OR($BT134&lt;$BH134,AND($BT134=$BH134,OR($BU134&lt;$BI134,AND($BU134=$BI134,OR($BV134&lt;$BJ134,AND($BV134=$BJ134,OR(AND(ISNUMBER($BW134),OR(NOT(ISNUMBER($BK134)),$BW134&lt;$BK134)),AND(OR(AND($BW134="",$BK134=""),AND(ISNUMBER($BW134),ISNUMBER($BK134),$BW134=$BK134)),$BX134&lt;$BL134)))))))),"-&gt;","&lt;-"))</f>
        <v/>
      </c>
      <c r="BN134" s="134" t="str">
        <f aca="false">IF(ISBLANK($C134),"",AND($AT134,OR($AU134="",$AV134="",AND($AW134,$AX134=""))))</f>
        <v/>
      </c>
      <c r="BO134" s="137" t="str">
        <f aca="false">IF($BZ134&lt;&gt;Constants!$B$8,"",IF($AT134,Constants!$B$21*$AV134+Constants!$B$22*IF($AW134,$AX134,Constants!$B$23),Constants!$B$24))</f>
        <v/>
      </c>
      <c r="BP134" s="138" t="str">
        <f aca="false">IF($BZ134&lt;&gt;Constants!$B$8,"",Constants!$B$25*ABS($AD$9-IF($AT134,$AU134,0)))</f>
        <v/>
      </c>
      <c r="BQ134" s="138" t="str">
        <f aca="false">IF($BZ134&lt;&gt;Constants!$B$8,"",IF(AND($AT134,$AY134,$AW134),Constants!$B$27,0))</f>
        <v/>
      </c>
      <c r="BR134" s="138" t="str">
        <f aca="false">IF($BZ134&lt;&gt;Constants!$B$8,"",IF($AT134,($AI134-Constants!$B$29)*Constants!$B$28,0))</f>
        <v/>
      </c>
      <c r="BS134" s="138" t="str">
        <f aca="false">IF($BZ134&lt;&gt;Constants!$B$8,"",IF($AS134,0,Constants!$B$15)+IF($AR134,0,Constants!$B$16)+IF($AH134,0,Constants!$B$17))</f>
        <v/>
      </c>
      <c r="BT134" s="139" t="str">
        <f aca="false">IF($BZ134&lt;&gt;Constants!$B$8,"",Constants!$B$20+SUM($BO134:$BS134))</f>
        <v/>
      </c>
      <c r="BU134" s="138" t="str">
        <f aca="false">IF($BZ134&lt;&gt;Constants!$B$8,"",$BO134)</f>
        <v/>
      </c>
      <c r="BV134" s="138" t="str">
        <f aca="false">IF($BZ134&lt;&gt;Constants!$B$8,"",$BP134)</f>
        <v/>
      </c>
      <c r="BW134" s="138" t="str">
        <f aca="false">IF($BZ134&lt;&gt;Constants!$B$8,"",IF($AT134,$AV134,""))</f>
        <v/>
      </c>
      <c r="BX134" s="140" t="str">
        <f aca="false">IF($BZ134&lt;&gt;Constants!$B$8,"",$AI134)</f>
        <v/>
      </c>
      <c r="BY134" s="135" t="str">
        <f aca="false">IF(ISBLANK($C134),"",IF(ISBLANK($D$7),$BY$5,IF(NOT(ISNUMBER($D$7)),$BY$6,"")))</f>
        <v/>
      </c>
      <c r="BZ134" s="135" t="str">
        <f aca="false">IF(ISBLANK($C134),"",IF($BA134,Constants!$B$11,IF(COUNTA($E134:$AA134)=0,Constants!$B$10,IF(NOT($AG134),Constants!$B$9,IF(OR($BY134&lt;&gt;"",$BB134,$BN134),Constants!$B$12,Constants!$B$8)))))</f>
        <v/>
      </c>
      <c r="CA134" s="135" t="str">
        <f aca="false">IF(ISBLANK($C134),"",IF($BZ134&lt;&gt;Constants!$B$8,$BZ134,Constants!$B$13))</f>
        <v/>
      </c>
      <c r="CB134" s="138" t="str">
        <f aca="false">IF($BZ134&lt;&gt;Constants!$B$8,"",IF($BM134="-&gt;",$BT134,$BH134))</f>
        <v/>
      </c>
      <c r="CC134" s="138" t="str">
        <f aca="false">IF($BZ134&lt;&gt;Constants!$B$8,"",IF($AF134,0,Constants!$B$18))</f>
        <v/>
      </c>
      <c r="CD134" s="138" t="str">
        <f aca="false">IF($BZ134&lt;&gt;Constants!$B$8,"",((Constants!$B$31-$AZ134)-Constants!$B$31)/Constants!$B$32)</f>
        <v/>
      </c>
      <c r="CE134" s="138" t="str">
        <f aca="false">IF(ISBLANK($C134),"",IF($BZ134&lt;&gt;Constants!$B$8,$BZ134,SUM($CB134:$CD134)))</f>
        <v/>
      </c>
      <c r="CF134" s="135" t="str">
        <f aca="false">IF(ISBLANK($C134),"",IF($BZ134&lt;&gt;Constants!$B$8,$BZ134,RANK($CE134,$CE$9:$CE$508,1)))</f>
        <v/>
      </c>
      <c r="CG134" s="138" t="str">
        <f aca="false">IF($BZ134&lt;&gt;Constants!$B$8,"",IF($BM134="-&gt;",$BU134,$BI134))</f>
        <v/>
      </c>
      <c r="CH134" s="135" t="str">
        <f aca="false">IF(ISBLANK($C134),"",IF($BZ134&lt;&gt;Constants!$B$8,$BZ134,IF(ISNUMBER($CG134),RANK($CG134,$CG$9:$CG$508,1),COUNT($CG$9:$CG$508)+1)))</f>
        <v/>
      </c>
      <c r="CI134" s="138" t="str">
        <f aca="false">IF($BZ134&lt;&gt;Constants!$B$8,"",IF($BM134="-&gt;",$BV134,$BJ134))</f>
        <v/>
      </c>
      <c r="CJ134" s="135" t="str">
        <f aca="false">IF(ISBLANK($C134),"",IF($BZ134&lt;&gt;Constants!$B$8,$BZ134,IF(ISNUMBER($CI134),RANK($CI134,$CI$9:$CI$508,1),COUNT($CI$9:$CI$508)+1)))</f>
        <v/>
      </c>
      <c r="CK134" s="138" t="str">
        <f aca="false">IF($BZ134&lt;&gt;Constants!$B$8,"",IF($BM134="-&gt;",$BW134,$BK134))</f>
        <v/>
      </c>
      <c r="CL134" s="135" t="str">
        <f aca="false">IF(ISBLANK($C134),"",IF($BZ134&lt;&gt;Constants!$B$8,$BZ134,IF(ISNUMBER($CK134),RANK($CK134,$CK$9:$CK$508,1),COUNT($CK$9:$CK$508)+1)))</f>
        <v/>
      </c>
      <c r="CM134" s="138" t="str">
        <f aca="false">IF($BZ134&lt;&gt;Constants!$B$8,"",IF(AND(NOT($AL134),NOT($AT134),$AJ134,$AK134,$AR134,$AS134),"",IF($BM134="-&gt;",$BX134,$BL134)))</f>
        <v/>
      </c>
      <c r="CN134" s="135" t="str">
        <f aca="false">IF(ISBLANK($C134),"",IF($BZ134&lt;&gt;Constants!$B$8,$BZ134,IF(ISNUMBER($CM134),RANK($CM134,$CM$9:$CM$508,1),COUNT($CM$9:$CM$508)+1)))</f>
        <v/>
      </c>
      <c r="CO134" s="135" t="str">
        <f aca="false">IF(ISBLANK($C134),"",IF($BZ134&lt;&gt;Constants!$B$8,$BZ134,COUNTIFS($CF$9:$CF$508,"&lt;"&amp;$CF134)+COUNTIFS($CF$9:$CF$508,$CF134,$CH$9:$CH$508,"&lt;"&amp;$CH134)+COUNTIFS($CF$9:$CF$508,$CF134,$CH$9:$CH$508,$CH134,$CJ$9:$CJ$508,"&lt;"&amp;$CJ134)+COUNTIFS($CF$9:$CF$508,$CF134,$CH$9:$CH$508,$CH134,$CJ$9:$CJ$508,$CJ134,$CL$9:$CL$508,"&lt;"&amp;$CL134)+COUNTIFS($CF$9:$CF$508,$CF134,$CH$9:$CH$508,$CH134,$CJ$9:$CJ$508,$CJ134,$CL$9:$CL$508,$CL134,$CN$9:$CN$508,"&lt;"&amp;$CN134)+1))</f>
        <v/>
      </c>
      <c r="CP134" s="135" t="str">
        <f aca="false">IF(ISBLANK($C134),"",IF($BZ134&lt;&gt;Constants!$B$8,$BZ134,$CF134-$CO134))</f>
        <v/>
      </c>
      <c r="CQ134" s="141"/>
      <c r="CR134" s="142"/>
      <c r="CS134" s="143" t="str">
        <f aca="false">IF(ISBLANK($C134),"",IF($BZ134=Constants!$B$12,$BY134,""))</f>
        <v/>
      </c>
      <c r="CT134" s="142" t="str">
        <f aca="false">IF(ISBLANK($C134),"",IF($BZ134&lt;&gt;Constants!$B$8,"",IF($BM134="-&gt;",2,1)))</f>
        <v/>
      </c>
      <c r="CU134" s="144" t="str">
        <f aca="false">IF(ISBLANK($C134),"",IF($BZ134&lt;&gt;Constants!$B$8,"",IF($BM134="-&gt;",$BO134,$BC134)))</f>
        <v/>
      </c>
      <c r="CV134" s="144" t="str">
        <f aca="false">IF(ISBLANK($C134),"",IF($BZ134&lt;&gt;Constants!$B$8,"",IF($BM134="-&gt;",$BP134,$BD134)))</f>
        <v/>
      </c>
      <c r="CW134" s="144" t="str">
        <f aca="false">IF(ISBLANK($C134),"",IF($BZ134&lt;&gt;Constants!$B$8,"",IF($BM134="-&gt;",$BQ134+$BR134,$BE134+$BF134)+$CD134))</f>
        <v/>
      </c>
      <c r="CX134" s="144" t="str">
        <f aca="false">IF(ISBLANK($C134),"",IF($BZ134&lt;&gt;Constants!$B$8,"",IF($BM134="-&gt;",$BS134,$BG134)+$CC134))</f>
        <v/>
      </c>
      <c r="CY134" s="145" t="str">
        <f aca="false">IF(ISBLANK($C134),"",IF($BZ134&lt;&gt;Constants!$B$8,$BZ134,$CE134))</f>
        <v/>
      </c>
      <c r="CZ134" s="146" t="str">
        <f aca="false">IF(ISBLANK($C134),"",$CA134)</f>
        <v/>
      </c>
      <c r="DA134" s="147" t="str">
        <f aca="false">IF(ISBLANK($C134),"",$CP134)</f>
        <v/>
      </c>
      <c r="DB134" s="147" t="str">
        <f aca="false">IF(ISBLANK($C134),"",$CO134)</f>
        <v/>
      </c>
      <c r="DC134" s="148" t="str">
        <f aca="false">IF(ISBLANK($C134),"",IFERROR(_xlfn.SWITCH($DB134,Constants!$B$11,COUNTA($C$9:$C$508)+2,Constants!$B$10,COUNTA($C$9:$C$508)+1,Constants!$B$9,COUNTA($C$9:$C$508)),$DB134))</f>
        <v/>
      </c>
      <c r="DD134" s="9"/>
      <c r="DE134" s="149" t="n">
        <f aca="false">IF(OR(ISNUMBER($DB134),$DB134=Constants!$B$11,$DB134=Constants!$B$9,$DB134=Constants!$B$10),1,0)</f>
        <v>0</v>
      </c>
      <c r="DF134" s="149" t="n">
        <v>126</v>
      </c>
      <c r="DG134" s="149" t="str">
        <f aca="false">IF(ISBLANK($C134),"",IF(ISNUMBER($DC134),$DC134+ROW($B134)/1000,""))</f>
        <v/>
      </c>
      <c r="DH134" s="149" t="str">
        <f aca="false">IF(ISNUMBER($DG134),RANK($DG134,$DG$9:$DG$508,1),"")</f>
        <v/>
      </c>
      <c r="DI134" s="149" t="str">
        <f aca="false">IF(ISBLANK($C134),"",$B134)</f>
        <v/>
      </c>
      <c r="DJ134" s="149" t="str">
        <f aca="false">IF(ISBLANK($C134),"",$C134)</f>
        <v/>
      </c>
      <c r="DK134" s="149" t="str">
        <f aca="false">IF(ISBLANK($C134),"",$D134)</f>
        <v/>
      </c>
      <c r="DL134" s="150" t="str">
        <f aca="false">$CZ134</f>
        <v/>
      </c>
      <c r="DM134" s="151" t="str">
        <f aca="false">$CY134</f>
        <v/>
      </c>
      <c r="DN134" s="149" t="str">
        <f aca="false">IF(ISBLANK($C134),"",$DB134)</f>
        <v/>
      </c>
      <c r="DO134" s="152" t="str">
        <f aca="false">IF($DF134&gt;$DE$8,"",VLOOKUP($DF134,$DH$9:$DN$508,7,FALSE()))</f>
        <v/>
      </c>
      <c r="DP134" s="153" t="str">
        <f aca="false">IF($DF134&gt;$DE$8,"",VLOOKUP($DF134,$DH$9:$DN$508,2,FALSE()))</f>
        <v/>
      </c>
      <c r="DQ134" s="153" t="str">
        <f aca="false">IF($DF134&gt;$DE$8,"",VLOOKUP($DF134,$DH$9:$DN$508,3,FALSE()))</f>
        <v/>
      </c>
      <c r="DR134" s="153" t="str">
        <f aca="false">IF($DF134&gt;$DE$8,"",VLOOKUP($DF134,$DH$9:$DN$508,4,FALSE()))</f>
        <v/>
      </c>
      <c r="DS134" s="153" t="str">
        <f aca="false">IF($DF134&gt;$DE$8,"",VLOOKUP($DF134,$DH$9:$DN$508,5,FALSE()))</f>
        <v/>
      </c>
      <c r="DT134" s="154" t="str">
        <f aca="false">IF($DF134&gt;$DE$8,"",VLOOKUP($DF134,$DH$9:$DN$508,6,FALSE()))</f>
        <v/>
      </c>
      <c r="DU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IF(ISBLANK($C135),"",IF(E135=Constants!$B$3,TRUE(),IF(E135=Constants!$B$4,FALSE(),TRUE())))</f>
        <v/>
      </c>
      <c r="AG135" s="93" t="str">
        <f aca="false">IF(ISBLANK($C135),"",IF(F135=Constants!$B$3,TRUE(),IF(F135=Constants!$B$4,FALSE(),TRUE())))</f>
        <v/>
      </c>
      <c r="AH135" s="93" t="str">
        <f aca="false">IF(ISBLANK($C135),"",IF(G135=Constants!$B$3,TRUE(),IF(G135=Constants!$B$4,FALSE(),TRUE())))</f>
        <v/>
      </c>
      <c r="AI135" s="93" t="str">
        <f aca="false">IF(ISBLANK($C135),"",IF(AND(ISNUMBER(H135),H135&gt;=0),H135,Constants!$B$29))</f>
        <v/>
      </c>
      <c r="AJ135" s="93" t="str">
        <f aca="false">IF(ISBLANK($C135),"",IF(I135=Constants!$B$3,TRUE(),IF(I135=Constants!$B$4,FALSE(),TRUE())))</f>
        <v/>
      </c>
      <c r="AK135" s="93" t="str">
        <f aca="false">IF(ISBLANK($C135),"",IF(J135=Constants!$B$3,TRUE(),IF(J135=Constants!$B$4,FALSE(),TRUE())))</f>
        <v/>
      </c>
      <c r="AL135" s="93" t="str">
        <f aca="false">IF(ISBLANK($C135),"",IF(K135=Constants!$B$5,TRUE(),IF(K135=Constants!$B$6,FALSE(),COUNTA(L135:P135)&gt;0)))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IF(ISBLANK($C135),"",IF(N135=Constants!$B$3,TRUE(),IF(N135=Constants!$B$4,FALSE(),TRUE())))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IF(ISBLANK($C135),"",IF(P135=Constants!$B$3,TRUE(),IF(P135=Constants!$B$4,FALSE(),FALSE())))</f>
        <v/>
      </c>
      <c r="AR135" s="93" t="str">
        <f aca="false">IF(ISBLANK($C135),"",IF(Q135=Constants!$B$3,TRUE(),IF(Q135=Constants!$B$4,FALSE(),TRUE())))</f>
        <v/>
      </c>
      <c r="AS135" s="93" t="str">
        <f aca="false">IF(ISBLANK($C135),"",IF(R135=Constants!$B$3,TRUE(),IF(R135=Constants!$B$4,FALSE(),TRUE())))</f>
        <v/>
      </c>
      <c r="AT135" s="93" t="str">
        <f aca="false">IF(ISBLANK($C135),"",IF(S135=Constants!$B$5,TRUE(),IF(S135=Constants!$B$6,FALSE(),COUNTA(T135:X135)&gt;0)))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IF(ISBLANK($C135),"",IF(V135=Constants!$B$3,TRUE(),IF(V135=Constants!$B$4,FALSE(),TRUE())))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IF(ISBLANK($C135),"",IF(X135=Constants!$B$3,TRUE(),IF(X135=Constants!$B$4,FALSE(),FALSE())))</f>
        <v/>
      </c>
      <c r="AZ135" s="93" t="str">
        <f aca="false">IF(ISBLANK($C135),"",MIN(Constants!$B$31,MAX(0,IF(ISNUMBER(Y135),Y135*60,0)+IF(ISNUMBER(Z135),Z135,0))))</f>
        <v/>
      </c>
      <c r="BA135" s="93" t="str">
        <f aca="false">IF(ISBLANK($C135),"",IF(AA135=Constants!$B$3,TRUE(),IF(AA135=Constants!$B$4,FALSE(),FALSE())))</f>
        <v/>
      </c>
      <c r="BB135" s="92" t="str">
        <f aca="false">IF(ISBLANK($C135),"",AND($AL135,OR($AM135="",$AN135="",AND($AO135,$AP135=""))))</f>
        <v/>
      </c>
      <c r="BC135" s="94" t="str">
        <f aca="false">IF($BZ135&lt;&gt;Constants!$B$8,"",IF($AL135,Constants!$B$21*$AN135+Constants!$B$22*IF($AO135,$AP135,Constants!$B$23),Constants!$B$24))</f>
        <v/>
      </c>
      <c r="BD135" s="97" t="str">
        <f aca="false">IF($BZ135&lt;&gt;Constants!$B$8,"",Constants!$B$25*ABS($AD$9-IF($AL135,$AM135,0)))</f>
        <v/>
      </c>
      <c r="BE135" s="97" t="str">
        <f aca="false">IF($BZ135&lt;&gt;Constants!$B$8,"",IF(AND($AL135,$AQ135,$AO135),Constants!$B$27,0))</f>
        <v/>
      </c>
      <c r="BF135" s="97" t="str">
        <f aca="false">IF($BZ135&lt;&gt;Constants!$B$8,"",IF($AL135,($AI135-Constants!$B$29)*Constants!$B$28,0))</f>
        <v/>
      </c>
      <c r="BG135" s="97" t="str">
        <f aca="false">IF($BZ135&lt;&gt;Constants!$B$8,"",IF($AK135,0,Constants!$B$15)+IF($AJ135,0,Constants!$B$16)+IF($AH135,0,Constants!$B$17))</f>
        <v/>
      </c>
      <c r="BH135" s="98" t="str">
        <f aca="false">IF($BZ135&lt;&gt;Constants!$B$8,"",Constants!$B$20+SUM($BC135:$BG135))</f>
        <v/>
      </c>
      <c r="BI135" s="97" t="str">
        <f aca="false">IF($BZ135&lt;&gt;Constants!$B$8,"",$BC135)</f>
        <v/>
      </c>
      <c r="BJ135" s="97" t="str">
        <f aca="false">IF($BZ135&lt;&gt;Constants!$B$8,"",$BD135)</f>
        <v/>
      </c>
      <c r="BK135" s="97" t="str">
        <f aca="false">IF($BZ135&lt;&gt;Constants!$B$8,"",IF($AL135,$AN135,""))</f>
        <v/>
      </c>
      <c r="BL135" s="99" t="str">
        <f aca="false">IF($BZ135&lt;&gt;Constants!$B$8,"",$AI135)</f>
        <v/>
      </c>
      <c r="BM135" s="93" t="str">
        <f aca="false">IF($BZ135&lt;&gt;Constants!$B$8,"",IF(OR($BT135&lt;$BH135,AND($BT135=$BH135,OR($BU135&lt;$BI135,AND($BU135=$BI135,OR($BV135&lt;$BJ135,AND($BV135=$BJ135,OR(AND(ISNUMBER($BW135),OR(NOT(ISNUMBER($BK135)),$BW135&lt;$BK135)),AND(OR(AND($BW135="",$BK135=""),AND(ISNUMBER($BW135),ISNUMBER($BK135),$BW135=$BK135)),$BX135&lt;$BL135)))))))),"-&gt;","&lt;-"))</f>
        <v/>
      </c>
      <c r="BN135" s="92" t="str">
        <f aca="false">IF(ISBLANK($C135),"",AND($AT135,OR($AU135="",$AV135="",AND($AW135,$AX135=""))))</f>
        <v/>
      </c>
      <c r="BO135" s="94" t="str">
        <f aca="false">IF($BZ135&lt;&gt;Constants!$B$8,"",IF($AT135,Constants!$B$21*$AV135+Constants!$B$22*IF($AW135,$AX135,Constants!$B$23),Constants!$B$24))</f>
        <v/>
      </c>
      <c r="BP135" s="97" t="str">
        <f aca="false">IF($BZ135&lt;&gt;Constants!$B$8,"",Constants!$B$25*ABS($AD$9-IF($AT135,$AU135,0)))</f>
        <v/>
      </c>
      <c r="BQ135" s="97" t="str">
        <f aca="false">IF($BZ135&lt;&gt;Constants!$B$8,"",IF(AND($AT135,$AY135,$AW135),Constants!$B$27,0))</f>
        <v/>
      </c>
      <c r="BR135" s="97" t="str">
        <f aca="false">IF($BZ135&lt;&gt;Constants!$B$8,"",IF($AT135,($AI135-Constants!$B$29)*Constants!$B$28,0))</f>
        <v/>
      </c>
      <c r="BS135" s="97" t="str">
        <f aca="false">IF($BZ135&lt;&gt;Constants!$B$8,"",IF($AS135,0,Constants!$B$15)+IF($AR135,0,Constants!$B$16)+IF($AH135,0,Constants!$B$17))</f>
        <v/>
      </c>
      <c r="BT135" s="98" t="str">
        <f aca="false">IF($BZ135&lt;&gt;Constants!$B$8,"",Constants!$B$20+SUM($BO135:$BS135))</f>
        <v/>
      </c>
      <c r="BU135" s="97" t="str">
        <f aca="false">IF($BZ135&lt;&gt;Constants!$B$8,"",$BO135)</f>
        <v/>
      </c>
      <c r="BV135" s="97" t="str">
        <f aca="false">IF($BZ135&lt;&gt;Constants!$B$8,"",$BP135)</f>
        <v/>
      </c>
      <c r="BW135" s="97" t="str">
        <f aca="false">IF($BZ135&lt;&gt;Constants!$B$8,"",IF($AT135,$AV135,""))</f>
        <v/>
      </c>
      <c r="BX135" s="99" t="str">
        <f aca="false">IF($BZ135&lt;&gt;Constants!$B$8,"",$AI135)</f>
        <v/>
      </c>
      <c r="BY135" s="93" t="str">
        <f aca="false">IF(ISBLANK($C135),"",IF(ISBLANK($D$7),$BY$5,IF(NOT(ISNUMBER($D$7)),$BY$6,"")))</f>
        <v/>
      </c>
      <c r="BZ135" s="93" t="str">
        <f aca="false">IF(ISBLANK($C135),"",IF($BA135,Constants!$B$11,IF(COUNTA($E135:$AA135)=0,Constants!$B$10,IF(NOT($AG135),Constants!$B$9,IF(OR($BY135&lt;&gt;"",$BB135,$BN135),Constants!$B$12,Constants!$B$8)))))</f>
        <v/>
      </c>
      <c r="CA135" s="93" t="str">
        <f aca="false">IF(ISBLANK($C135),"",IF($BZ135&lt;&gt;Constants!$B$8,$BZ135,Constants!$B$13))</f>
        <v/>
      </c>
      <c r="CB135" s="97" t="str">
        <f aca="false">IF($BZ135&lt;&gt;Constants!$B$8,"",IF($BM135="-&gt;",$BT135,$BH135))</f>
        <v/>
      </c>
      <c r="CC135" s="97" t="str">
        <f aca="false">IF($BZ135&lt;&gt;Constants!$B$8,"",IF($AF135,0,Constants!$B$18))</f>
        <v/>
      </c>
      <c r="CD135" s="97" t="str">
        <f aca="false">IF($BZ135&lt;&gt;Constants!$B$8,"",((Constants!$B$31-$AZ135)-Constants!$B$31)/Constants!$B$32)</f>
        <v/>
      </c>
      <c r="CE135" s="97" t="str">
        <f aca="false">IF(ISBLANK($C135),"",IF($BZ135&lt;&gt;Constants!$B$8,$BZ135,SUM($CB135:$CD135)))</f>
        <v/>
      </c>
      <c r="CF135" s="93" t="str">
        <f aca="false">IF(ISBLANK($C135),"",IF($BZ135&lt;&gt;Constants!$B$8,$BZ135,RANK($CE135,$CE$9:$CE$508,1)))</f>
        <v/>
      </c>
      <c r="CG135" s="97" t="str">
        <f aca="false">IF($BZ135&lt;&gt;Constants!$B$8,"",IF($BM135="-&gt;",$BU135,$BI135))</f>
        <v/>
      </c>
      <c r="CH135" s="93" t="str">
        <f aca="false">IF(ISBLANK($C135),"",IF($BZ135&lt;&gt;Constants!$B$8,$BZ135,IF(ISNUMBER($CG135),RANK($CG135,$CG$9:$CG$508,1),COUNT($CG$9:$CG$508)+1)))</f>
        <v/>
      </c>
      <c r="CI135" s="97" t="str">
        <f aca="false">IF($BZ135&lt;&gt;Constants!$B$8,"",IF($BM135="-&gt;",$BV135,$BJ135))</f>
        <v/>
      </c>
      <c r="CJ135" s="93" t="str">
        <f aca="false">IF(ISBLANK($C135),"",IF($BZ135&lt;&gt;Constants!$B$8,$BZ135,IF(ISNUMBER($CI135),RANK($CI135,$CI$9:$CI$508,1),COUNT($CI$9:$CI$508)+1)))</f>
        <v/>
      </c>
      <c r="CK135" s="97" t="str">
        <f aca="false">IF($BZ135&lt;&gt;Constants!$B$8,"",IF($BM135="-&gt;",$BW135,$BK135))</f>
        <v/>
      </c>
      <c r="CL135" s="93" t="str">
        <f aca="false">IF(ISBLANK($C135),"",IF($BZ135&lt;&gt;Constants!$B$8,$BZ135,IF(ISNUMBER($CK135),RANK($CK135,$CK$9:$CK$508,1),COUNT($CK$9:$CK$508)+1)))</f>
        <v/>
      </c>
      <c r="CM135" s="97" t="str">
        <f aca="false">IF($BZ135&lt;&gt;Constants!$B$8,"",IF(AND(NOT($AL135),NOT($AT135),$AJ135,$AK135,$AR135,$AS135),"",IF($BM135="-&gt;",$BX135,$BL135)))</f>
        <v/>
      </c>
      <c r="CN135" s="93" t="str">
        <f aca="false">IF(ISBLANK($C135),"",IF($BZ135&lt;&gt;Constants!$B$8,$BZ135,IF(ISNUMBER($CM135),RANK($CM135,$CM$9:$CM$508,1),COUNT($CM$9:$CM$508)+1)))</f>
        <v/>
      </c>
      <c r="CO135" s="93" t="str">
        <f aca="false">IF(ISBLANK($C135),"",IF($BZ135&lt;&gt;Constants!$B$8,$BZ135,COUNTIFS($CF$9:$CF$508,"&lt;"&amp;$CF135)+COUNTIFS($CF$9:$CF$508,$CF135,$CH$9:$CH$508,"&lt;"&amp;$CH135)+COUNTIFS($CF$9:$CF$508,$CF135,$CH$9:$CH$508,$CH135,$CJ$9:$CJ$508,"&lt;"&amp;$CJ135)+COUNTIFS($CF$9:$CF$508,$CF135,$CH$9:$CH$508,$CH135,$CJ$9:$CJ$508,$CJ135,$CL$9:$CL$508,"&lt;"&amp;$CL135)+COUNTIFS($CF$9:$CF$508,$CF135,$CH$9:$CH$508,$CH135,$CJ$9:$CJ$508,$CJ135,$CL$9:$CL$508,$CL135,$CN$9:$CN$508,"&lt;"&amp;$CN135)+1))</f>
        <v/>
      </c>
      <c r="CP135" s="93" t="str">
        <f aca="false">IF(ISBLANK($C135),"",IF($BZ135&lt;&gt;Constants!$B$8,$BZ135,$CF135-$CO135))</f>
        <v/>
      </c>
      <c r="CQ135" s="100"/>
      <c r="CR135" s="101"/>
      <c r="CS135" s="102" t="str">
        <f aca="false">IF(ISBLANK($C135),"",IF($BZ135=Constants!$B$12,$BY135,""))</f>
        <v/>
      </c>
      <c r="CT135" s="101" t="str">
        <f aca="false">IF(ISBLANK($C135),"",IF($BZ135&lt;&gt;Constants!$B$8,"",IF($BM135="-&gt;",2,1)))</f>
        <v/>
      </c>
      <c r="CU135" s="103" t="str">
        <f aca="false">IF(ISBLANK($C135),"",IF($BZ135&lt;&gt;Constants!$B$8,"",IF($BM135="-&gt;",$BO135,$BC135)))</f>
        <v/>
      </c>
      <c r="CV135" s="103" t="str">
        <f aca="false">IF(ISBLANK($C135),"",IF($BZ135&lt;&gt;Constants!$B$8,"",IF($BM135="-&gt;",$BP135,$BD135)))</f>
        <v/>
      </c>
      <c r="CW135" s="103" t="str">
        <f aca="false">IF(ISBLANK($C135),"",IF($BZ135&lt;&gt;Constants!$B$8,"",IF($BM135="-&gt;",$BQ135+$BR135,$BE135+$BF135)+$CD135))</f>
        <v/>
      </c>
      <c r="CX135" s="103" t="str">
        <f aca="false">IF(ISBLANK($C135),"",IF($BZ135&lt;&gt;Constants!$B$8,"",IF($BM135="-&gt;",$BS135,$BG135)+$CC135))</f>
        <v/>
      </c>
      <c r="CY135" s="104" t="str">
        <f aca="false">IF(ISBLANK($C135),"",IF($BZ135&lt;&gt;Constants!$B$8,$BZ135,$CE135))</f>
        <v/>
      </c>
      <c r="CZ135" s="105" t="str">
        <f aca="false">IF(ISBLANK($C135),"",$CA135)</f>
        <v/>
      </c>
      <c r="DA135" s="106" t="str">
        <f aca="false">IF(ISBLANK($C135),"",$CP135)</f>
        <v/>
      </c>
      <c r="DB135" s="106" t="str">
        <f aca="false">IF(ISBLANK($C135),"",$CO135)</f>
        <v/>
      </c>
      <c r="DC135" s="107" t="str">
        <f aca="false">IF(ISBLANK($C135),"",IFERROR(_xlfn.SWITCH($DB135,Constants!$B$11,COUNTA($C$9:$C$508)+2,Constants!$B$10,COUNTA($C$9:$C$508)+1,Constants!$B$9,COUNTA($C$9:$C$508)),$DB135))</f>
        <v/>
      </c>
      <c r="DD135" s="9"/>
      <c r="DE135" s="108" t="n">
        <f aca="false">IF(OR(ISNUMBER($DB135),$DB135=Constants!$B$11,$DB135=Constants!$B$9,$DB135=Constants!$B$10),1,0)</f>
        <v>0</v>
      </c>
      <c r="DF135" s="108" t="n">
        <v>127</v>
      </c>
      <c r="DG135" s="108" t="str">
        <f aca="false">IF(ISBLANK($C135),"",IF(ISNUMBER($DC135),$DC135+ROW($B135)/1000,""))</f>
        <v/>
      </c>
      <c r="DH135" s="108" t="str">
        <f aca="false">IF(ISNUMBER($DG135),RANK($DG135,$DG$9:$DG$508,1),"")</f>
        <v/>
      </c>
      <c r="DI135" s="108" t="str">
        <f aca="false">IF(ISBLANK($C135),"",$B135)</f>
        <v/>
      </c>
      <c r="DJ135" s="108" t="str">
        <f aca="false">IF(ISBLANK($C135),"",$C135)</f>
        <v/>
      </c>
      <c r="DK135" s="108" t="str">
        <f aca="false">IF(ISBLANK($C135),"",$D135)</f>
        <v/>
      </c>
      <c r="DL135" s="109" t="str">
        <f aca="false">$CZ135</f>
        <v/>
      </c>
      <c r="DM135" s="110" t="str">
        <f aca="false">$CY135</f>
        <v/>
      </c>
      <c r="DN135" s="108" t="str">
        <f aca="false">IF(ISBLANK($C135),"",$DB135)</f>
        <v/>
      </c>
      <c r="DO135" s="111" t="str">
        <f aca="false">IF($DF135&gt;$DE$8,"",VLOOKUP($DF135,$DH$9:$DN$508,7,FALSE()))</f>
        <v/>
      </c>
      <c r="DP135" s="112" t="str">
        <f aca="false">IF($DF135&gt;$DE$8,"",VLOOKUP($DF135,$DH$9:$DN$508,2,FALSE()))</f>
        <v/>
      </c>
      <c r="DQ135" s="112" t="str">
        <f aca="false">IF($DF135&gt;$DE$8,"",VLOOKUP($DF135,$DH$9:$DN$508,3,FALSE()))</f>
        <v/>
      </c>
      <c r="DR135" s="112" t="str">
        <f aca="false">IF($DF135&gt;$DE$8,"",VLOOKUP($DF135,$DH$9:$DN$508,4,FALSE()))</f>
        <v/>
      </c>
      <c r="DS135" s="112" t="str">
        <f aca="false">IF($DF135&gt;$DE$8,"",VLOOKUP($DF135,$DH$9:$DN$508,5,FALSE()))</f>
        <v/>
      </c>
      <c r="DT135" s="113" t="str">
        <f aca="false">IF($DF135&gt;$DE$8,"",VLOOKUP($DF135,$DH$9:$DN$508,6,FALSE()))</f>
        <v/>
      </c>
      <c r="DU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IF(ISBLANK($C136),"",IF(E136=Constants!$B$3,TRUE(),IF(E136=Constants!$B$4,FALSE(),TRUE())))</f>
        <v/>
      </c>
      <c r="AG136" s="93" t="str">
        <f aca="false">IF(ISBLANK($C136),"",IF(F136=Constants!$B$3,TRUE(),IF(F136=Constants!$B$4,FALSE(),TRUE())))</f>
        <v/>
      </c>
      <c r="AH136" s="93" t="str">
        <f aca="false">IF(ISBLANK($C136),"",IF(G136=Constants!$B$3,TRUE(),IF(G136=Constants!$B$4,FALSE(),TRUE())))</f>
        <v/>
      </c>
      <c r="AI136" s="93" t="str">
        <f aca="false">IF(ISBLANK($C136),"",IF(AND(ISNUMBER(H136),H136&gt;=0),H136,Constants!$B$29))</f>
        <v/>
      </c>
      <c r="AJ136" s="93" t="str">
        <f aca="false">IF(ISBLANK($C136),"",IF(I136=Constants!$B$3,TRUE(),IF(I136=Constants!$B$4,FALSE(),TRUE())))</f>
        <v/>
      </c>
      <c r="AK136" s="93" t="str">
        <f aca="false">IF(ISBLANK($C136),"",IF(J136=Constants!$B$3,TRUE(),IF(J136=Constants!$B$4,FALSE(),TRUE())))</f>
        <v/>
      </c>
      <c r="AL136" s="93" t="str">
        <f aca="false">IF(ISBLANK($C136),"",IF(K136=Constants!$B$5,TRUE(),IF(K136=Constants!$B$6,FALSE(),COUNTA(L136:P136)&gt;0)))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IF(ISBLANK($C136),"",IF(N136=Constants!$B$3,TRUE(),IF(N136=Constants!$B$4,FALSE(),TRUE())))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IF(ISBLANK($C136),"",IF(P136=Constants!$B$3,TRUE(),IF(P136=Constants!$B$4,FALSE(),FALSE())))</f>
        <v/>
      </c>
      <c r="AR136" s="93" t="str">
        <f aca="false">IF(ISBLANK($C136),"",IF(Q136=Constants!$B$3,TRUE(),IF(Q136=Constants!$B$4,FALSE(),TRUE())))</f>
        <v/>
      </c>
      <c r="AS136" s="93" t="str">
        <f aca="false">IF(ISBLANK($C136),"",IF(R136=Constants!$B$3,TRUE(),IF(R136=Constants!$B$4,FALSE(),TRUE())))</f>
        <v/>
      </c>
      <c r="AT136" s="93" t="str">
        <f aca="false">IF(ISBLANK($C136),"",IF(S136=Constants!$B$5,TRUE(),IF(S136=Constants!$B$6,FALSE(),COUNTA(T136:X136)&gt;0)))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IF(ISBLANK($C136),"",IF(V136=Constants!$B$3,TRUE(),IF(V136=Constants!$B$4,FALSE(),TRUE())))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IF(ISBLANK($C136),"",IF(X136=Constants!$B$3,TRUE(),IF(X136=Constants!$B$4,FALSE(),FALSE())))</f>
        <v/>
      </c>
      <c r="AZ136" s="93" t="str">
        <f aca="false">IF(ISBLANK($C136),"",MIN(Constants!$B$31,MAX(0,IF(ISNUMBER(Y136),Y136*60,0)+IF(ISNUMBER(Z136),Z136,0))))</f>
        <v/>
      </c>
      <c r="BA136" s="93" t="str">
        <f aca="false">IF(ISBLANK($C136),"",IF(AA136=Constants!$B$3,TRUE(),IF(AA136=Constants!$B$4,FALSE(),FALSE())))</f>
        <v/>
      </c>
      <c r="BB136" s="92" t="str">
        <f aca="false">IF(ISBLANK($C136),"",AND($AL136,OR($AM136="",$AN136="",AND($AO136,$AP136=""))))</f>
        <v/>
      </c>
      <c r="BC136" s="94" t="str">
        <f aca="false">IF($BZ136&lt;&gt;Constants!$B$8,"",IF($AL136,Constants!$B$21*$AN136+Constants!$B$22*IF($AO136,$AP136,Constants!$B$23),Constants!$B$24))</f>
        <v/>
      </c>
      <c r="BD136" s="97" t="str">
        <f aca="false">IF($BZ136&lt;&gt;Constants!$B$8,"",Constants!$B$25*ABS($AD$9-IF($AL136,$AM136,0)))</f>
        <v/>
      </c>
      <c r="BE136" s="97" t="str">
        <f aca="false">IF($BZ136&lt;&gt;Constants!$B$8,"",IF(AND($AL136,$AQ136,$AO136),Constants!$B$27,0))</f>
        <v/>
      </c>
      <c r="BF136" s="97" t="str">
        <f aca="false">IF($BZ136&lt;&gt;Constants!$B$8,"",IF($AL136,($AI136-Constants!$B$29)*Constants!$B$28,0))</f>
        <v/>
      </c>
      <c r="BG136" s="97" t="str">
        <f aca="false">IF($BZ136&lt;&gt;Constants!$B$8,"",IF($AK136,0,Constants!$B$15)+IF($AJ136,0,Constants!$B$16)+IF($AH136,0,Constants!$B$17))</f>
        <v/>
      </c>
      <c r="BH136" s="98" t="str">
        <f aca="false">IF($BZ136&lt;&gt;Constants!$B$8,"",Constants!$B$20+SUM($BC136:$BG136))</f>
        <v/>
      </c>
      <c r="BI136" s="97" t="str">
        <f aca="false">IF($BZ136&lt;&gt;Constants!$B$8,"",$BC136)</f>
        <v/>
      </c>
      <c r="BJ136" s="97" t="str">
        <f aca="false">IF($BZ136&lt;&gt;Constants!$B$8,"",$BD136)</f>
        <v/>
      </c>
      <c r="BK136" s="97" t="str">
        <f aca="false">IF($BZ136&lt;&gt;Constants!$B$8,"",IF($AL136,$AN136,""))</f>
        <v/>
      </c>
      <c r="BL136" s="99" t="str">
        <f aca="false">IF($BZ136&lt;&gt;Constants!$B$8,"",$AI136)</f>
        <v/>
      </c>
      <c r="BM136" s="93" t="str">
        <f aca="false">IF($BZ136&lt;&gt;Constants!$B$8,"",IF(OR($BT136&lt;$BH136,AND($BT136=$BH136,OR($BU136&lt;$BI136,AND($BU136=$BI136,OR($BV136&lt;$BJ136,AND($BV136=$BJ136,OR(AND(ISNUMBER($BW136),OR(NOT(ISNUMBER($BK136)),$BW136&lt;$BK136)),AND(OR(AND($BW136="",$BK136=""),AND(ISNUMBER($BW136),ISNUMBER($BK136),$BW136=$BK136)),$BX136&lt;$BL136)))))))),"-&gt;","&lt;-"))</f>
        <v/>
      </c>
      <c r="BN136" s="92" t="str">
        <f aca="false">IF(ISBLANK($C136),"",AND($AT136,OR($AU136="",$AV136="",AND($AW136,$AX136=""))))</f>
        <v/>
      </c>
      <c r="BO136" s="94" t="str">
        <f aca="false">IF($BZ136&lt;&gt;Constants!$B$8,"",IF($AT136,Constants!$B$21*$AV136+Constants!$B$22*IF($AW136,$AX136,Constants!$B$23),Constants!$B$24))</f>
        <v/>
      </c>
      <c r="BP136" s="97" t="str">
        <f aca="false">IF($BZ136&lt;&gt;Constants!$B$8,"",Constants!$B$25*ABS($AD$9-IF($AT136,$AU136,0)))</f>
        <v/>
      </c>
      <c r="BQ136" s="97" t="str">
        <f aca="false">IF($BZ136&lt;&gt;Constants!$B$8,"",IF(AND($AT136,$AY136,$AW136),Constants!$B$27,0))</f>
        <v/>
      </c>
      <c r="BR136" s="97" t="str">
        <f aca="false">IF($BZ136&lt;&gt;Constants!$B$8,"",IF($AT136,($AI136-Constants!$B$29)*Constants!$B$28,0))</f>
        <v/>
      </c>
      <c r="BS136" s="97" t="str">
        <f aca="false">IF($BZ136&lt;&gt;Constants!$B$8,"",IF($AS136,0,Constants!$B$15)+IF($AR136,0,Constants!$B$16)+IF($AH136,0,Constants!$B$17))</f>
        <v/>
      </c>
      <c r="BT136" s="98" t="str">
        <f aca="false">IF($BZ136&lt;&gt;Constants!$B$8,"",Constants!$B$20+SUM($BO136:$BS136))</f>
        <v/>
      </c>
      <c r="BU136" s="97" t="str">
        <f aca="false">IF($BZ136&lt;&gt;Constants!$B$8,"",$BO136)</f>
        <v/>
      </c>
      <c r="BV136" s="97" t="str">
        <f aca="false">IF($BZ136&lt;&gt;Constants!$B$8,"",$BP136)</f>
        <v/>
      </c>
      <c r="BW136" s="97" t="str">
        <f aca="false">IF($BZ136&lt;&gt;Constants!$B$8,"",IF($AT136,$AV136,""))</f>
        <v/>
      </c>
      <c r="BX136" s="99" t="str">
        <f aca="false">IF($BZ136&lt;&gt;Constants!$B$8,"",$AI136)</f>
        <v/>
      </c>
      <c r="BY136" s="93" t="str">
        <f aca="false">IF(ISBLANK($C136),"",IF(ISBLANK($D$7),$BY$5,IF(NOT(ISNUMBER($D$7)),$BY$6,"")))</f>
        <v/>
      </c>
      <c r="BZ136" s="93" t="str">
        <f aca="false">IF(ISBLANK($C136),"",IF($BA136,Constants!$B$11,IF(COUNTA($E136:$AA136)=0,Constants!$B$10,IF(NOT($AG136),Constants!$B$9,IF(OR($BY136&lt;&gt;"",$BB136,$BN136),Constants!$B$12,Constants!$B$8)))))</f>
        <v/>
      </c>
      <c r="CA136" s="93" t="str">
        <f aca="false">IF(ISBLANK($C136),"",IF($BZ136&lt;&gt;Constants!$B$8,$BZ136,Constants!$B$13))</f>
        <v/>
      </c>
      <c r="CB136" s="97" t="str">
        <f aca="false">IF($BZ136&lt;&gt;Constants!$B$8,"",IF($BM136="-&gt;",$BT136,$BH136))</f>
        <v/>
      </c>
      <c r="CC136" s="97" t="str">
        <f aca="false">IF($BZ136&lt;&gt;Constants!$B$8,"",IF($AF136,0,Constants!$B$18))</f>
        <v/>
      </c>
      <c r="CD136" s="97" t="str">
        <f aca="false">IF($BZ136&lt;&gt;Constants!$B$8,"",((Constants!$B$31-$AZ136)-Constants!$B$31)/Constants!$B$32)</f>
        <v/>
      </c>
      <c r="CE136" s="97" t="str">
        <f aca="false">IF(ISBLANK($C136),"",IF($BZ136&lt;&gt;Constants!$B$8,$BZ136,SUM($CB136:$CD136)))</f>
        <v/>
      </c>
      <c r="CF136" s="93" t="str">
        <f aca="false">IF(ISBLANK($C136),"",IF($BZ136&lt;&gt;Constants!$B$8,$BZ136,RANK($CE136,$CE$9:$CE$508,1)))</f>
        <v/>
      </c>
      <c r="CG136" s="97" t="str">
        <f aca="false">IF($BZ136&lt;&gt;Constants!$B$8,"",IF($BM136="-&gt;",$BU136,$BI136))</f>
        <v/>
      </c>
      <c r="CH136" s="93" t="str">
        <f aca="false">IF(ISBLANK($C136),"",IF($BZ136&lt;&gt;Constants!$B$8,$BZ136,IF(ISNUMBER($CG136),RANK($CG136,$CG$9:$CG$508,1),COUNT($CG$9:$CG$508)+1)))</f>
        <v/>
      </c>
      <c r="CI136" s="97" t="str">
        <f aca="false">IF($BZ136&lt;&gt;Constants!$B$8,"",IF($BM136="-&gt;",$BV136,$BJ136))</f>
        <v/>
      </c>
      <c r="CJ136" s="93" t="str">
        <f aca="false">IF(ISBLANK($C136),"",IF($BZ136&lt;&gt;Constants!$B$8,$BZ136,IF(ISNUMBER($CI136),RANK($CI136,$CI$9:$CI$508,1),COUNT($CI$9:$CI$508)+1)))</f>
        <v/>
      </c>
      <c r="CK136" s="97" t="str">
        <f aca="false">IF($BZ136&lt;&gt;Constants!$B$8,"",IF($BM136="-&gt;",$BW136,$BK136))</f>
        <v/>
      </c>
      <c r="CL136" s="93" t="str">
        <f aca="false">IF(ISBLANK($C136),"",IF($BZ136&lt;&gt;Constants!$B$8,$BZ136,IF(ISNUMBER($CK136),RANK($CK136,$CK$9:$CK$508,1),COUNT($CK$9:$CK$508)+1)))</f>
        <v/>
      </c>
      <c r="CM136" s="97" t="str">
        <f aca="false">IF($BZ136&lt;&gt;Constants!$B$8,"",IF(AND(NOT($AL136),NOT($AT136),$AJ136,$AK136,$AR136,$AS136),"",IF($BM136="-&gt;",$BX136,$BL136)))</f>
        <v/>
      </c>
      <c r="CN136" s="93" t="str">
        <f aca="false">IF(ISBLANK($C136),"",IF($BZ136&lt;&gt;Constants!$B$8,$BZ136,IF(ISNUMBER($CM136),RANK($CM136,$CM$9:$CM$508,1),COUNT($CM$9:$CM$508)+1)))</f>
        <v/>
      </c>
      <c r="CO136" s="93" t="str">
        <f aca="false">IF(ISBLANK($C136),"",IF($BZ136&lt;&gt;Constants!$B$8,$BZ136,COUNTIFS($CF$9:$CF$508,"&lt;"&amp;$CF136)+COUNTIFS($CF$9:$CF$508,$CF136,$CH$9:$CH$508,"&lt;"&amp;$CH136)+COUNTIFS($CF$9:$CF$508,$CF136,$CH$9:$CH$508,$CH136,$CJ$9:$CJ$508,"&lt;"&amp;$CJ136)+COUNTIFS($CF$9:$CF$508,$CF136,$CH$9:$CH$508,$CH136,$CJ$9:$CJ$508,$CJ136,$CL$9:$CL$508,"&lt;"&amp;$CL136)+COUNTIFS($CF$9:$CF$508,$CF136,$CH$9:$CH$508,$CH136,$CJ$9:$CJ$508,$CJ136,$CL$9:$CL$508,$CL136,$CN$9:$CN$508,"&lt;"&amp;$CN136)+1))</f>
        <v/>
      </c>
      <c r="CP136" s="93" t="str">
        <f aca="false">IF(ISBLANK($C136),"",IF($BZ136&lt;&gt;Constants!$B$8,$BZ136,$CF136-$CO136))</f>
        <v/>
      </c>
      <c r="CQ136" s="100"/>
      <c r="CR136" s="101"/>
      <c r="CS136" s="102" t="str">
        <f aca="false">IF(ISBLANK($C136),"",IF($BZ136=Constants!$B$12,$BY136,""))</f>
        <v/>
      </c>
      <c r="CT136" s="101" t="str">
        <f aca="false">IF(ISBLANK($C136),"",IF($BZ136&lt;&gt;Constants!$B$8,"",IF($BM136="-&gt;",2,1)))</f>
        <v/>
      </c>
      <c r="CU136" s="103" t="str">
        <f aca="false">IF(ISBLANK($C136),"",IF($BZ136&lt;&gt;Constants!$B$8,"",IF($BM136="-&gt;",$BO136,$BC136)))</f>
        <v/>
      </c>
      <c r="CV136" s="103" t="str">
        <f aca="false">IF(ISBLANK($C136),"",IF($BZ136&lt;&gt;Constants!$B$8,"",IF($BM136="-&gt;",$BP136,$BD136)))</f>
        <v/>
      </c>
      <c r="CW136" s="103" t="str">
        <f aca="false">IF(ISBLANK($C136),"",IF($BZ136&lt;&gt;Constants!$B$8,"",IF($BM136="-&gt;",$BQ136+$BR136,$BE136+$BF136)+$CD136))</f>
        <v/>
      </c>
      <c r="CX136" s="103" t="str">
        <f aca="false">IF(ISBLANK($C136),"",IF($BZ136&lt;&gt;Constants!$B$8,"",IF($BM136="-&gt;",$BS136,$BG136)+$CC136))</f>
        <v/>
      </c>
      <c r="CY136" s="104" t="str">
        <f aca="false">IF(ISBLANK($C136),"",IF($BZ136&lt;&gt;Constants!$B$8,$BZ136,$CE136))</f>
        <v/>
      </c>
      <c r="CZ136" s="105" t="str">
        <f aca="false">IF(ISBLANK($C136),"",$CA136)</f>
        <v/>
      </c>
      <c r="DA136" s="106" t="str">
        <f aca="false">IF(ISBLANK($C136),"",$CP136)</f>
        <v/>
      </c>
      <c r="DB136" s="106" t="str">
        <f aca="false">IF(ISBLANK($C136),"",$CO136)</f>
        <v/>
      </c>
      <c r="DC136" s="107" t="str">
        <f aca="false">IF(ISBLANK($C136),"",IFERROR(_xlfn.SWITCH($DB136,Constants!$B$11,COUNTA($C$9:$C$508)+2,Constants!$B$10,COUNTA($C$9:$C$508)+1,Constants!$B$9,COUNTA($C$9:$C$508)),$DB136))</f>
        <v/>
      </c>
      <c r="DD136" s="9"/>
      <c r="DE136" s="108" t="n">
        <f aca="false">IF(OR(ISNUMBER($DB136),$DB136=Constants!$B$11,$DB136=Constants!$B$9,$DB136=Constants!$B$10),1,0)</f>
        <v>0</v>
      </c>
      <c r="DF136" s="108" t="n">
        <v>128</v>
      </c>
      <c r="DG136" s="108" t="str">
        <f aca="false">IF(ISBLANK($C136),"",IF(ISNUMBER($DC136),$DC136+ROW($B136)/1000,""))</f>
        <v/>
      </c>
      <c r="DH136" s="108" t="str">
        <f aca="false">IF(ISNUMBER($DG136),RANK($DG136,$DG$9:$DG$508,1),"")</f>
        <v/>
      </c>
      <c r="DI136" s="108" t="str">
        <f aca="false">IF(ISBLANK($C136),"",$B136)</f>
        <v/>
      </c>
      <c r="DJ136" s="108" t="str">
        <f aca="false">IF(ISBLANK($C136),"",$C136)</f>
        <v/>
      </c>
      <c r="DK136" s="108" t="str">
        <f aca="false">IF(ISBLANK($C136),"",$D136)</f>
        <v/>
      </c>
      <c r="DL136" s="109" t="str">
        <f aca="false">$CZ136</f>
        <v/>
      </c>
      <c r="DM136" s="110" t="str">
        <f aca="false">$CY136</f>
        <v/>
      </c>
      <c r="DN136" s="108" t="str">
        <f aca="false">IF(ISBLANK($C136),"",$DB136)</f>
        <v/>
      </c>
      <c r="DO136" s="111" t="str">
        <f aca="false">IF($DF136&gt;$DE$8,"",VLOOKUP($DF136,$DH$9:$DN$508,7,FALSE()))</f>
        <v/>
      </c>
      <c r="DP136" s="112" t="str">
        <f aca="false">IF($DF136&gt;$DE$8,"",VLOOKUP($DF136,$DH$9:$DN$508,2,FALSE()))</f>
        <v/>
      </c>
      <c r="DQ136" s="112" t="str">
        <f aca="false">IF($DF136&gt;$DE$8,"",VLOOKUP($DF136,$DH$9:$DN$508,3,FALSE()))</f>
        <v/>
      </c>
      <c r="DR136" s="112" t="str">
        <f aca="false">IF($DF136&gt;$DE$8,"",VLOOKUP($DF136,$DH$9:$DN$508,4,FALSE()))</f>
        <v/>
      </c>
      <c r="DS136" s="112" t="str">
        <f aca="false">IF($DF136&gt;$DE$8,"",VLOOKUP($DF136,$DH$9:$DN$508,5,FALSE()))</f>
        <v/>
      </c>
      <c r="DT136" s="113" t="str">
        <f aca="false">IF($DF136&gt;$DE$8,"",VLOOKUP($DF136,$DH$9:$DN$508,6,FALSE()))</f>
        <v/>
      </c>
      <c r="DU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IF(ISBLANK($C137),"",IF(E137=Constants!$B$3,TRUE(),IF(E137=Constants!$B$4,FALSE(),TRUE())))</f>
        <v/>
      </c>
      <c r="AG137" s="93" t="str">
        <f aca="false">IF(ISBLANK($C137),"",IF(F137=Constants!$B$3,TRUE(),IF(F137=Constants!$B$4,FALSE(),TRUE())))</f>
        <v/>
      </c>
      <c r="AH137" s="93" t="str">
        <f aca="false">IF(ISBLANK($C137),"",IF(G137=Constants!$B$3,TRUE(),IF(G137=Constants!$B$4,FALSE(),TRUE())))</f>
        <v/>
      </c>
      <c r="AI137" s="93" t="str">
        <f aca="false">IF(ISBLANK($C137),"",IF(AND(ISNUMBER(H137),H137&gt;=0),H137,Constants!$B$29))</f>
        <v/>
      </c>
      <c r="AJ137" s="93" t="str">
        <f aca="false">IF(ISBLANK($C137),"",IF(I137=Constants!$B$3,TRUE(),IF(I137=Constants!$B$4,FALSE(),TRUE())))</f>
        <v/>
      </c>
      <c r="AK137" s="93" t="str">
        <f aca="false">IF(ISBLANK($C137),"",IF(J137=Constants!$B$3,TRUE(),IF(J137=Constants!$B$4,FALSE(),TRUE())))</f>
        <v/>
      </c>
      <c r="AL137" s="93" t="str">
        <f aca="false">IF(ISBLANK($C137),"",IF(K137=Constants!$B$5,TRUE(),IF(K137=Constants!$B$6,FALSE(),COUNTA(L137:P137)&gt;0)))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IF(ISBLANK($C137),"",IF(N137=Constants!$B$3,TRUE(),IF(N137=Constants!$B$4,FALSE(),TRUE())))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IF(ISBLANK($C137),"",IF(P137=Constants!$B$3,TRUE(),IF(P137=Constants!$B$4,FALSE(),FALSE())))</f>
        <v/>
      </c>
      <c r="AR137" s="93" t="str">
        <f aca="false">IF(ISBLANK($C137),"",IF(Q137=Constants!$B$3,TRUE(),IF(Q137=Constants!$B$4,FALSE(),TRUE())))</f>
        <v/>
      </c>
      <c r="AS137" s="93" t="str">
        <f aca="false">IF(ISBLANK($C137),"",IF(R137=Constants!$B$3,TRUE(),IF(R137=Constants!$B$4,FALSE(),TRUE())))</f>
        <v/>
      </c>
      <c r="AT137" s="93" t="str">
        <f aca="false">IF(ISBLANK($C137),"",IF(S137=Constants!$B$5,TRUE(),IF(S137=Constants!$B$6,FALSE(),COUNTA(T137:X137)&gt;0)))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IF(ISBLANK($C137),"",IF(V137=Constants!$B$3,TRUE(),IF(V137=Constants!$B$4,FALSE(),TRUE())))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IF(ISBLANK($C137),"",IF(X137=Constants!$B$3,TRUE(),IF(X137=Constants!$B$4,FALSE(),FALSE())))</f>
        <v/>
      </c>
      <c r="AZ137" s="93" t="str">
        <f aca="false">IF(ISBLANK($C137),"",MIN(Constants!$B$31,MAX(0,IF(ISNUMBER(Y137),Y137*60,0)+IF(ISNUMBER(Z137),Z137,0))))</f>
        <v/>
      </c>
      <c r="BA137" s="93" t="str">
        <f aca="false">IF(ISBLANK($C137),"",IF(AA137=Constants!$B$3,TRUE(),IF(AA137=Constants!$B$4,FALSE(),FALSE())))</f>
        <v/>
      </c>
      <c r="BB137" s="92" t="str">
        <f aca="false">IF(ISBLANK($C137),"",AND($AL137,OR($AM137="",$AN137="",AND($AO137,$AP137=""))))</f>
        <v/>
      </c>
      <c r="BC137" s="94" t="str">
        <f aca="false">IF($BZ137&lt;&gt;Constants!$B$8,"",IF($AL137,Constants!$B$21*$AN137+Constants!$B$22*IF($AO137,$AP137,Constants!$B$23),Constants!$B$24))</f>
        <v/>
      </c>
      <c r="BD137" s="97" t="str">
        <f aca="false">IF($BZ137&lt;&gt;Constants!$B$8,"",Constants!$B$25*ABS($AD$9-IF($AL137,$AM137,0)))</f>
        <v/>
      </c>
      <c r="BE137" s="97" t="str">
        <f aca="false">IF($BZ137&lt;&gt;Constants!$B$8,"",IF(AND($AL137,$AQ137,$AO137),Constants!$B$27,0))</f>
        <v/>
      </c>
      <c r="BF137" s="97" t="str">
        <f aca="false">IF($BZ137&lt;&gt;Constants!$B$8,"",IF($AL137,($AI137-Constants!$B$29)*Constants!$B$28,0))</f>
        <v/>
      </c>
      <c r="BG137" s="97" t="str">
        <f aca="false">IF($BZ137&lt;&gt;Constants!$B$8,"",IF($AK137,0,Constants!$B$15)+IF($AJ137,0,Constants!$B$16)+IF($AH137,0,Constants!$B$17))</f>
        <v/>
      </c>
      <c r="BH137" s="98" t="str">
        <f aca="false">IF($BZ137&lt;&gt;Constants!$B$8,"",Constants!$B$20+SUM($BC137:$BG137))</f>
        <v/>
      </c>
      <c r="BI137" s="97" t="str">
        <f aca="false">IF($BZ137&lt;&gt;Constants!$B$8,"",$BC137)</f>
        <v/>
      </c>
      <c r="BJ137" s="97" t="str">
        <f aca="false">IF($BZ137&lt;&gt;Constants!$B$8,"",$BD137)</f>
        <v/>
      </c>
      <c r="BK137" s="97" t="str">
        <f aca="false">IF($BZ137&lt;&gt;Constants!$B$8,"",IF($AL137,$AN137,""))</f>
        <v/>
      </c>
      <c r="BL137" s="99" t="str">
        <f aca="false">IF($BZ137&lt;&gt;Constants!$B$8,"",$AI137)</f>
        <v/>
      </c>
      <c r="BM137" s="93" t="str">
        <f aca="false">IF($BZ137&lt;&gt;Constants!$B$8,"",IF(OR($BT137&lt;$BH137,AND($BT137=$BH137,OR($BU137&lt;$BI137,AND($BU137=$BI137,OR($BV137&lt;$BJ137,AND($BV137=$BJ137,OR(AND(ISNUMBER($BW137),OR(NOT(ISNUMBER($BK137)),$BW137&lt;$BK137)),AND(OR(AND($BW137="",$BK137=""),AND(ISNUMBER($BW137),ISNUMBER($BK137),$BW137=$BK137)),$BX137&lt;$BL137)))))))),"-&gt;","&lt;-"))</f>
        <v/>
      </c>
      <c r="BN137" s="92" t="str">
        <f aca="false">IF(ISBLANK($C137),"",AND($AT137,OR($AU137="",$AV137="",AND($AW137,$AX137=""))))</f>
        <v/>
      </c>
      <c r="BO137" s="94" t="str">
        <f aca="false">IF($BZ137&lt;&gt;Constants!$B$8,"",IF($AT137,Constants!$B$21*$AV137+Constants!$B$22*IF($AW137,$AX137,Constants!$B$23),Constants!$B$24))</f>
        <v/>
      </c>
      <c r="BP137" s="97" t="str">
        <f aca="false">IF($BZ137&lt;&gt;Constants!$B$8,"",Constants!$B$25*ABS($AD$9-IF($AT137,$AU137,0)))</f>
        <v/>
      </c>
      <c r="BQ137" s="97" t="str">
        <f aca="false">IF($BZ137&lt;&gt;Constants!$B$8,"",IF(AND($AT137,$AY137,$AW137),Constants!$B$27,0))</f>
        <v/>
      </c>
      <c r="BR137" s="97" t="str">
        <f aca="false">IF($BZ137&lt;&gt;Constants!$B$8,"",IF($AT137,($AI137-Constants!$B$29)*Constants!$B$28,0))</f>
        <v/>
      </c>
      <c r="BS137" s="97" t="str">
        <f aca="false">IF($BZ137&lt;&gt;Constants!$B$8,"",IF($AS137,0,Constants!$B$15)+IF($AR137,0,Constants!$B$16)+IF($AH137,0,Constants!$B$17))</f>
        <v/>
      </c>
      <c r="BT137" s="98" t="str">
        <f aca="false">IF($BZ137&lt;&gt;Constants!$B$8,"",Constants!$B$20+SUM($BO137:$BS137))</f>
        <v/>
      </c>
      <c r="BU137" s="97" t="str">
        <f aca="false">IF($BZ137&lt;&gt;Constants!$B$8,"",$BO137)</f>
        <v/>
      </c>
      <c r="BV137" s="97" t="str">
        <f aca="false">IF($BZ137&lt;&gt;Constants!$B$8,"",$BP137)</f>
        <v/>
      </c>
      <c r="BW137" s="97" t="str">
        <f aca="false">IF($BZ137&lt;&gt;Constants!$B$8,"",IF($AT137,$AV137,""))</f>
        <v/>
      </c>
      <c r="BX137" s="99" t="str">
        <f aca="false">IF($BZ137&lt;&gt;Constants!$B$8,"",$AI137)</f>
        <v/>
      </c>
      <c r="BY137" s="93" t="str">
        <f aca="false">IF(ISBLANK($C137),"",IF(ISBLANK($D$7),$BY$5,IF(NOT(ISNUMBER($D$7)),$BY$6,"")))</f>
        <v/>
      </c>
      <c r="BZ137" s="93" t="str">
        <f aca="false">IF(ISBLANK($C137),"",IF($BA137,Constants!$B$11,IF(COUNTA($E137:$AA137)=0,Constants!$B$10,IF(NOT($AG137),Constants!$B$9,IF(OR($BY137&lt;&gt;"",$BB137,$BN137),Constants!$B$12,Constants!$B$8)))))</f>
        <v/>
      </c>
      <c r="CA137" s="93" t="str">
        <f aca="false">IF(ISBLANK($C137),"",IF($BZ137&lt;&gt;Constants!$B$8,$BZ137,Constants!$B$13))</f>
        <v/>
      </c>
      <c r="CB137" s="97" t="str">
        <f aca="false">IF($BZ137&lt;&gt;Constants!$B$8,"",IF($BM137="-&gt;",$BT137,$BH137))</f>
        <v/>
      </c>
      <c r="CC137" s="97" t="str">
        <f aca="false">IF($BZ137&lt;&gt;Constants!$B$8,"",IF($AF137,0,Constants!$B$18))</f>
        <v/>
      </c>
      <c r="CD137" s="97" t="str">
        <f aca="false">IF($BZ137&lt;&gt;Constants!$B$8,"",((Constants!$B$31-$AZ137)-Constants!$B$31)/Constants!$B$32)</f>
        <v/>
      </c>
      <c r="CE137" s="97" t="str">
        <f aca="false">IF(ISBLANK($C137),"",IF($BZ137&lt;&gt;Constants!$B$8,$BZ137,SUM($CB137:$CD137)))</f>
        <v/>
      </c>
      <c r="CF137" s="93" t="str">
        <f aca="false">IF(ISBLANK($C137),"",IF($BZ137&lt;&gt;Constants!$B$8,$BZ137,RANK($CE137,$CE$9:$CE$508,1)))</f>
        <v/>
      </c>
      <c r="CG137" s="97" t="str">
        <f aca="false">IF($BZ137&lt;&gt;Constants!$B$8,"",IF($BM137="-&gt;",$BU137,$BI137))</f>
        <v/>
      </c>
      <c r="CH137" s="93" t="str">
        <f aca="false">IF(ISBLANK($C137),"",IF($BZ137&lt;&gt;Constants!$B$8,$BZ137,IF(ISNUMBER($CG137),RANK($CG137,$CG$9:$CG$508,1),COUNT($CG$9:$CG$508)+1)))</f>
        <v/>
      </c>
      <c r="CI137" s="97" t="str">
        <f aca="false">IF($BZ137&lt;&gt;Constants!$B$8,"",IF($BM137="-&gt;",$BV137,$BJ137))</f>
        <v/>
      </c>
      <c r="CJ137" s="93" t="str">
        <f aca="false">IF(ISBLANK($C137),"",IF($BZ137&lt;&gt;Constants!$B$8,$BZ137,IF(ISNUMBER($CI137),RANK($CI137,$CI$9:$CI$508,1),COUNT($CI$9:$CI$508)+1)))</f>
        <v/>
      </c>
      <c r="CK137" s="97" t="str">
        <f aca="false">IF($BZ137&lt;&gt;Constants!$B$8,"",IF($BM137="-&gt;",$BW137,$BK137))</f>
        <v/>
      </c>
      <c r="CL137" s="93" t="str">
        <f aca="false">IF(ISBLANK($C137),"",IF($BZ137&lt;&gt;Constants!$B$8,$BZ137,IF(ISNUMBER($CK137),RANK($CK137,$CK$9:$CK$508,1),COUNT($CK$9:$CK$508)+1)))</f>
        <v/>
      </c>
      <c r="CM137" s="97" t="str">
        <f aca="false">IF($BZ137&lt;&gt;Constants!$B$8,"",IF(AND(NOT($AL137),NOT($AT137),$AJ137,$AK137,$AR137,$AS137),"",IF($BM137="-&gt;",$BX137,$BL137)))</f>
        <v/>
      </c>
      <c r="CN137" s="93" t="str">
        <f aca="false">IF(ISBLANK($C137),"",IF($BZ137&lt;&gt;Constants!$B$8,$BZ137,IF(ISNUMBER($CM137),RANK($CM137,$CM$9:$CM$508,1),COUNT($CM$9:$CM$508)+1)))</f>
        <v/>
      </c>
      <c r="CO137" s="93" t="str">
        <f aca="false">IF(ISBLANK($C137),"",IF($BZ137&lt;&gt;Constants!$B$8,$BZ137,COUNTIFS($CF$9:$CF$508,"&lt;"&amp;$CF137)+COUNTIFS($CF$9:$CF$508,$CF137,$CH$9:$CH$508,"&lt;"&amp;$CH137)+COUNTIFS($CF$9:$CF$508,$CF137,$CH$9:$CH$508,$CH137,$CJ$9:$CJ$508,"&lt;"&amp;$CJ137)+COUNTIFS($CF$9:$CF$508,$CF137,$CH$9:$CH$508,$CH137,$CJ$9:$CJ$508,$CJ137,$CL$9:$CL$508,"&lt;"&amp;$CL137)+COUNTIFS($CF$9:$CF$508,$CF137,$CH$9:$CH$508,$CH137,$CJ$9:$CJ$508,$CJ137,$CL$9:$CL$508,$CL137,$CN$9:$CN$508,"&lt;"&amp;$CN137)+1))</f>
        <v/>
      </c>
      <c r="CP137" s="93" t="str">
        <f aca="false">IF(ISBLANK($C137),"",IF($BZ137&lt;&gt;Constants!$B$8,$BZ137,$CF137-$CO137))</f>
        <v/>
      </c>
      <c r="CQ137" s="100"/>
      <c r="CR137" s="101"/>
      <c r="CS137" s="102" t="str">
        <f aca="false">IF(ISBLANK($C137),"",IF($BZ137=Constants!$B$12,$BY137,""))</f>
        <v/>
      </c>
      <c r="CT137" s="101" t="str">
        <f aca="false">IF(ISBLANK($C137),"",IF($BZ137&lt;&gt;Constants!$B$8,"",IF($BM137="-&gt;",2,1)))</f>
        <v/>
      </c>
      <c r="CU137" s="103" t="str">
        <f aca="false">IF(ISBLANK($C137),"",IF($BZ137&lt;&gt;Constants!$B$8,"",IF($BM137="-&gt;",$BO137,$BC137)))</f>
        <v/>
      </c>
      <c r="CV137" s="103" t="str">
        <f aca="false">IF(ISBLANK($C137),"",IF($BZ137&lt;&gt;Constants!$B$8,"",IF($BM137="-&gt;",$BP137,$BD137)))</f>
        <v/>
      </c>
      <c r="CW137" s="103" t="str">
        <f aca="false">IF(ISBLANK($C137),"",IF($BZ137&lt;&gt;Constants!$B$8,"",IF($BM137="-&gt;",$BQ137+$BR137,$BE137+$BF137)+$CD137))</f>
        <v/>
      </c>
      <c r="CX137" s="103" t="str">
        <f aca="false">IF(ISBLANK($C137),"",IF($BZ137&lt;&gt;Constants!$B$8,"",IF($BM137="-&gt;",$BS137,$BG137)+$CC137))</f>
        <v/>
      </c>
      <c r="CY137" s="104" t="str">
        <f aca="false">IF(ISBLANK($C137),"",IF($BZ137&lt;&gt;Constants!$B$8,$BZ137,$CE137))</f>
        <v/>
      </c>
      <c r="CZ137" s="105" t="str">
        <f aca="false">IF(ISBLANK($C137),"",$CA137)</f>
        <v/>
      </c>
      <c r="DA137" s="106" t="str">
        <f aca="false">IF(ISBLANK($C137),"",$CP137)</f>
        <v/>
      </c>
      <c r="DB137" s="106" t="str">
        <f aca="false">IF(ISBLANK($C137),"",$CO137)</f>
        <v/>
      </c>
      <c r="DC137" s="107" t="str">
        <f aca="false">IF(ISBLANK($C137),"",IFERROR(_xlfn.SWITCH($DB137,Constants!$B$11,COUNTA($C$9:$C$508)+2,Constants!$B$10,COUNTA($C$9:$C$508)+1,Constants!$B$9,COUNTA($C$9:$C$508)),$DB137))</f>
        <v/>
      </c>
      <c r="DD137" s="9"/>
      <c r="DE137" s="108" t="n">
        <f aca="false">IF(OR(ISNUMBER($DB137),$DB137=Constants!$B$11,$DB137=Constants!$B$9,$DB137=Constants!$B$10),1,0)</f>
        <v>0</v>
      </c>
      <c r="DF137" s="108" t="n">
        <v>129</v>
      </c>
      <c r="DG137" s="108" t="str">
        <f aca="false">IF(ISBLANK($C137),"",IF(ISNUMBER($DC137),$DC137+ROW($B137)/1000,""))</f>
        <v/>
      </c>
      <c r="DH137" s="108" t="str">
        <f aca="false">IF(ISNUMBER($DG137),RANK($DG137,$DG$9:$DG$508,1),"")</f>
        <v/>
      </c>
      <c r="DI137" s="108" t="str">
        <f aca="false">IF(ISBLANK($C137),"",$B137)</f>
        <v/>
      </c>
      <c r="DJ137" s="108" t="str">
        <f aca="false">IF(ISBLANK($C137),"",$C137)</f>
        <v/>
      </c>
      <c r="DK137" s="108" t="str">
        <f aca="false">IF(ISBLANK($C137),"",$D137)</f>
        <v/>
      </c>
      <c r="DL137" s="109" t="str">
        <f aca="false">$CZ137</f>
        <v/>
      </c>
      <c r="DM137" s="110" t="str">
        <f aca="false">$CY137</f>
        <v/>
      </c>
      <c r="DN137" s="108" t="str">
        <f aca="false">IF(ISBLANK($C137),"",$DB137)</f>
        <v/>
      </c>
      <c r="DO137" s="111" t="str">
        <f aca="false">IF($DF137&gt;$DE$8,"",VLOOKUP($DF137,$DH$9:$DN$508,7,FALSE()))</f>
        <v/>
      </c>
      <c r="DP137" s="112" t="str">
        <f aca="false">IF($DF137&gt;$DE$8,"",VLOOKUP($DF137,$DH$9:$DN$508,2,FALSE()))</f>
        <v/>
      </c>
      <c r="DQ137" s="112" t="str">
        <f aca="false">IF($DF137&gt;$DE$8,"",VLOOKUP($DF137,$DH$9:$DN$508,3,FALSE()))</f>
        <v/>
      </c>
      <c r="DR137" s="112" t="str">
        <f aca="false">IF($DF137&gt;$DE$8,"",VLOOKUP($DF137,$DH$9:$DN$508,4,FALSE()))</f>
        <v/>
      </c>
      <c r="DS137" s="112" t="str">
        <f aca="false">IF($DF137&gt;$DE$8,"",VLOOKUP($DF137,$DH$9:$DN$508,5,FALSE()))</f>
        <v/>
      </c>
      <c r="DT137" s="113" t="str">
        <f aca="false">IF($DF137&gt;$DE$8,"",VLOOKUP($DF137,$DH$9:$DN$508,6,FALSE()))</f>
        <v/>
      </c>
      <c r="DU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IF(ISBLANK($C138),"",IF(E138=Constants!$B$3,TRUE(),IF(E138=Constants!$B$4,FALSE(),TRUE())))</f>
        <v/>
      </c>
      <c r="AG138" s="135" t="str">
        <f aca="false">IF(ISBLANK($C138),"",IF(F138=Constants!$B$3,TRUE(),IF(F138=Constants!$B$4,FALSE(),TRUE())))</f>
        <v/>
      </c>
      <c r="AH138" s="135" t="str">
        <f aca="false">IF(ISBLANK($C138),"",IF(G138=Constants!$B$3,TRUE(),IF(G138=Constants!$B$4,FALSE(),TRUE())))</f>
        <v/>
      </c>
      <c r="AI138" s="135" t="str">
        <f aca="false">IF(ISBLANK($C138),"",IF(AND(ISNUMBER(H138),H138&gt;=0),H138,Constants!$B$29))</f>
        <v/>
      </c>
      <c r="AJ138" s="135" t="str">
        <f aca="false">IF(ISBLANK($C138),"",IF(I138=Constants!$B$3,TRUE(),IF(I138=Constants!$B$4,FALSE(),TRUE())))</f>
        <v/>
      </c>
      <c r="AK138" s="135" t="str">
        <f aca="false">IF(ISBLANK($C138),"",IF(J138=Constants!$B$3,TRUE(),IF(J138=Constants!$B$4,FALSE(),TRUE())))</f>
        <v/>
      </c>
      <c r="AL138" s="135" t="str">
        <f aca="false">IF(ISBLANK($C138),"",IF(K138=Constants!$B$5,TRUE(),IF(K138=Constants!$B$6,FALSE(),COUNTA(L138:P138)&gt;0)))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IF(ISBLANK($C138),"",IF(N138=Constants!$B$3,TRUE(),IF(N138=Constants!$B$4,FALSE(),TRUE())))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IF(ISBLANK($C138),"",IF(P138=Constants!$B$3,TRUE(),IF(P138=Constants!$B$4,FALSE(),FALSE())))</f>
        <v/>
      </c>
      <c r="AR138" s="135" t="str">
        <f aca="false">IF(ISBLANK($C138),"",IF(Q138=Constants!$B$3,TRUE(),IF(Q138=Constants!$B$4,FALSE(),TRUE())))</f>
        <v/>
      </c>
      <c r="AS138" s="135" t="str">
        <f aca="false">IF(ISBLANK($C138),"",IF(R138=Constants!$B$3,TRUE(),IF(R138=Constants!$B$4,FALSE(),TRUE())))</f>
        <v/>
      </c>
      <c r="AT138" s="135" t="str">
        <f aca="false">IF(ISBLANK($C138),"",IF(S138=Constants!$B$5,TRUE(),IF(S138=Constants!$B$6,FALSE(),COUNTA(T138:X138)&gt;0)))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IF(ISBLANK($C138),"",IF(V138=Constants!$B$3,TRUE(),IF(V138=Constants!$B$4,FALSE(),TRUE())))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IF(ISBLANK($C138),"",IF(X138=Constants!$B$3,TRUE(),IF(X138=Constants!$B$4,FALSE(),FALSE())))</f>
        <v/>
      </c>
      <c r="AZ138" s="135" t="str">
        <f aca="false">IF(ISBLANK($C138),"",MIN(Constants!$B$31,MAX(0,IF(ISNUMBER(Y138),Y138*60,0)+IF(ISNUMBER(Z138),Z138,0))))</f>
        <v/>
      </c>
      <c r="BA138" s="135" t="str">
        <f aca="false">IF(ISBLANK($C138),"",IF(AA138=Constants!$B$3,TRUE(),IF(AA138=Constants!$B$4,FALSE(),FALSE())))</f>
        <v/>
      </c>
      <c r="BB138" s="134" t="str">
        <f aca="false">IF(ISBLANK($C138),"",AND($AL138,OR($AM138="",$AN138="",AND($AO138,$AP138=""))))</f>
        <v/>
      </c>
      <c r="BC138" s="137" t="str">
        <f aca="false">IF($BZ138&lt;&gt;Constants!$B$8,"",IF($AL138,Constants!$B$21*$AN138+Constants!$B$22*IF($AO138,$AP138,Constants!$B$23),Constants!$B$24))</f>
        <v/>
      </c>
      <c r="BD138" s="138" t="str">
        <f aca="false">IF($BZ138&lt;&gt;Constants!$B$8,"",Constants!$B$25*ABS($AD$9-IF($AL138,$AM138,0)))</f>
        <v/>
      </c>
      <c r="BE138" s="138" t="str">
        <f aca="false">IF($BZ138&lt;&gt;Constants!$B$8,"",IF(AND($AL138,$AQ138,$AO138),Constants!$B$27,0))</f>
        <v/>
      </c>
      <c r="BF138" s="138" t="str">
        <f aca="false">IF($BZ138&lt;&gt;Constants!$B$8,"",IF($AL138,($AI138-Constants!$B$29)*Constants!$B$28,0))</f>
        <v/>
      </c>
      <c r="BG138" s="138" t="str">
        <f aca="false">IF($BZ138&lt;&gt;Constants!$B$8,"",IF($AK138,0,Constants!$B$15)+IF($AJ138,0,Constants!$B$16)+IF($AH138,0,Constants!$B$17))</f>
        <v/>
      </c>
      <c r="BH138" s="139" t="str">
        <f aca="false">IF($BZ138&lt;&gt;Constants!$B$8,"",Constants!$B$20+SUM($BC138:$BG138))</f>
        <v/>
      </c>
      <c r="BI138" s="138" t="str">
        <f aca="false">IF($BZ138&lt;&gt;Constants!$B$8,"",$BC138)</f>
        <v/>
      </c>
      <c r="BJ138" s="138" t="str">
        <f aca="false">IF($BZ138&lt;&gt;Constants!$B$8,"",$BD138)</f>
        <v/>
      </c>
      <c r="BK138" s="138" t="str">
        <f aca="false">IF($BZ138&lt;&gt;Constants!$B$8,"",IF($AL138,$AN138,""))</f>
        <v/>
      </c>
      <c r="BL138" s="140" t="str">
        <f aca="false">IF($BZ138&lt;&gt;Constants!$B$8,"",$AI138)</f>
        <v/>
      </c>
      <c r="BM138" s="135" t="str">
        <f aca="false">IF($BZ138&lt;&gt;Constants!$B$8,"",IF(OR($BT138&lt;$BH138,AND($BT138=$BH138,OR($BU138&lt;$BI138,AND($BU138=$BI138,OR($BV138&lt;$BJ138,AND($BV138=$BJ138,OR(AND(ISNUMBER($BW138),OR(NOT(ISNUMBER($BK138)),$BW138&lt;$BK138)),AND(OR(AND($BW138="",$BK138=""),AND(ISNUMBER($BW138),ISNUMBER($BK138),$BW138=$BK138)),$BX138&lt;$BL138)))))))),"-&gt;","&lt;-"))</f>
        <v/>
      </c>
      <c r="BN138" s="134" t="str">
        <f aca="false">IF(ISBLANK($C138),"",AND($AT138,OR($AU138="",$AV138="",AND($AW138,$AX138=""))))</f>
        <v/>
      </c>
      <c r="BO138" s="137" t="str">
        <f aca="false">IF($BZ138&lt;&gt;Constants!$B$8,"",IF($AT138,Constants!$B$21*$AV138+Constants!$B$22*IF($AW138,$AX138,Constants!$B$23),Constants!$B$24))</f>
        <v/>
      </c>
      <c r="BP138" s="138" t="str">
        <f aca="false">IF($BZ138&lt;&gt;Constants!$B$8,"",Constants!$B$25*ABS($AD$9-IF($AT138,$AU138,0)))</f>
        <v/>
      </c>
      <c r="BQ138" s="138" t="str">
        <f aca="false">IF($BZ138&lt;&gt;Constants!$B$8,"",IF(AND($AT138,$AY138,$AW138),Constants!$B$27,0))</f>
        <v/>
      </c>
      <c r="BR138" s="138" t="str">
        <f aca="false">IF($BZ138&lt;&gt;Constants!$B$8,"",IF($AT138,($AI138-Constants!$B$29)*Constants!$B$28,0))</f>
        <v/>
      </c>
      <c r="BS138" s="138" t="str">
        <f aca="false">IF($BZ138&lt;&gt;Constants!$B$8,"",IF($AS138,0,Constants!$B$15)+IF($AR138,0,Constants!$B$16)+IF($AH138,0,Constants!$B$17))</f>
        <v/>
      </c>
      <c r="BT138" s="139" t="str">
        <f aca="false">IF($BZ138&lt;&gt;Constants!$B$8,"",Constants!$B$20+SUM($BO138:$BS138))</f>
        <v/>
      </c>
      <c r="BU138" s="138" t="str">
        <f aca="false">IF($BZ138&lt;&gt;Constants!$B$8,"",$BO138)</f>
        <v/>
      </c>
      <c r="BV138" s="138" t="str">
        <f aca="false">IF($BZ138&lt;&gt;Constants!$B$8,"",$BP138)</f>
        <v/>
      </c>
      <c r="BW138" s="138" t="str">
        <f aca="false">IF($BZ138&lt;&gt;Constants!$B$8,"",IF($AT138,$AV138,""))</f>
        <v/>
      </c>
      <c r="BX138" s="140" t="str">
        <f aca="false">IF($BZ138&lt;&gt;Constants!$B$8,"",$AI138)</f>
        <v/>
      </c>
      <c r="BY138" s="135" t="str">
        <f aca="false">IF(ISBLANK($C138),"",IF(ISBLANK($D$7),$BY$5,IF(NOT(ISNUMBER($D$7)),$BY$6,"")))</f>
        <v/>
      </c>
      <c r="BZ138" s="135" t="str">
        <f aca="false">IF(ISBLANK($C138),"",IF($BA138,Constants!$B$11,IF(COUNTA($E138:$AA138)=0,Constants!$B$10,IF(NOT($AG138),Constants!$B$9,IF(OR($BY138&lt;&gt;"",$BB138,$BN138),Constants!$B$12,Constants!$B$8)))))</f>
        <v/>
      </c>
      <c r="CA138" s="135" t="str">
        <f aca="false">IF(ISBLANK($C138),"",IF($BZ138&lt;&gt;Constants!$B$8,$BZ138,Constants!$B$13))</f>
        <v/>
      </c>
      <c r="CB138" s="138" t="str">
        <f aca="false">IF($BZ138&lt;&gt;Constants!$B$8,"",IF($BM138="-&gt;",$BT138,$BH138))</f>
        <v/>
      </c>
      <c r="CC138" s="138" t="str">
        <f aca="false">IF($BZ138&lt;&gt;Constants!$B$8,"",IF($AF138,0,Constants!$B$18))</f>
        <v/>
      </c>
      <c r="CD138" s="138" t="str">
        <f aca="false">IF($BZ138&lt;&gt;Constants!$B$8,"",((Constants!$B$31-$AZ138)-Constants!$B$31)/Constants!$B$32)</f>
        <v/>
      </c>
      <c r="CE138" s="138" t="str">
        <f aca="false">IF(ISBLANK($C138),"",IF($BZ138&lt;&gt;Constants!$B$8,$BZ138,SUM($CB138:$CD138)))</f>
        <v/>
      </c>
      <c r="CF138" s="135" t="str">
        <f aca="false">IF(ISBLANK($C138),"",IF($BZ138&lt;&gt;Constants!$B$8,$BZ138,RANK($CE138,$CE$9:$CE$508,1)))</f>
        <v/>
      </c>
      <c r="CG138" s="138" t="str">
        <f aca="false">IF($BZ138&lt;&gt;Constants!$B$8,"",IF($BM138="-&gt;",$BU138,$BI138))</f>
        <v/>
      </c>
      <c r="CH138" s="135" t="str">
        <f aca="false">IF(ISBLANK($C138),"",IF($BZ138&lt;&gt;Constants!$B$8,$BZ138,IF(ISNUMBER($CG138),RANK($CG138,$CG$9:$CG$508,1),COUNT($CG$9:$CG$508)+1)))</f>
        <v/>
      </c>
      <c r="CI138" s="138" t="str">
        <f aca="false">IF($BZ138&lt;&gt;Constants!$B$8,"",IF($BM138="-&gt;",$BV138,$BJ138))</f>
        <v/>
      </c>
      <c r="CJ138" s="135" t="str">
        <f aca="false">IF(ISBLANK($C138),"",IF($BZ138&lt;&gt;Constants!$B$8,$BZ138,IF(ISNUMBER($CI138),RANK($CI138,$CI$9:$CI$508,1),COUNT($CI$9:$CI$508)+1)))</f>
        <v/>
      </c>
      <c r="CK138" s="138" t="str">
        <f aca="false">IF($BZ138&lt;&gt;Constants!$B$8,"",IF($BM138="-&gt;",$BW138,$BK138))</f>
        <v/>
      </c>
      <c r="CL138" s="135" t="str">
        <f aca="false">IF(ISBLANK($C138),"",IF($BZ138&lt;&gt;Constants!$B$8,$BZ138,IF(ISNUMBER($CK138),RANK($CK138,$CK$9:$CK$508,1),COUNT($CK$9:$CK$508)+1)))</f>
        <v/>
      </c>
      <c r="CM138" s="138" t="str">
        <f aca="false">IF($BZ138&lt;&gt;Constants!$B$8,"",IF(AND(NOT($AL138),NOT($AT138),$AJ138,$AK138,$AR138,$AS138),"",IF($BM138="-&gt;",$BX138,$BL138)))</f>
        <v/>
      </c>
      <c r="CN138" s="135" t="str">
        <f aca="false">IF(ISBLANK($C138),"",IF($BZ138&lt;&gt;Constants!$B$8,$BZ138,IF(ISNUMBER($CM138),RANK($CM138,$CM$9:$CM$508,1),COUNT($CM$9:$CM$508)+1)))</f>
        <v/>
      </c>
      <c r="CO138" s="135" t="str">
        <f aca="false">IF(ISBLANK($C138),"",IF($BZ138&lt;&gt;Constants!$B$8,$BZ138,COUNTIFS($CF$9:$CF$508,"&lt;"&amp;$CF138)+COUNTIFS($CF$9:$CF$508,$CF138,$CH$9:$CH$508,"&lt;"&amp;$CH138)+COUNTIFS($CF$9:$CF$508,$CF138,$CH$9:$CH$508,$CH138,$CJ$9:$CJ$508,"&lt;"&amp;$CJ138)+COUNTIFS($CF$9:$CF$508,$CF138,$CH$9:$CH$508,$CH138,$CJ$9:$CJ$508,$CJ138,$CL$9:$CL$508,"&lt;"&amp;$CL138)+COUNTIFS($CF$9:$CF$508,$CF138,$CH$9:$CH$508,$CH138,$CJ$9:$CJ$508,$CJ138,$CL$9:$CL$508,$CL138,$CN$9:$CN$508,"&lt;"&amp;$CN138)+1))</f>
        <v/>
      </c>
      <c r="CP138" s="135" t="str">
        <f aca="false">IF(ISBLANK($C138),"",IF($BZ138&lt;&gt;Constants!$B$8,$BZ138,$CF138-$CO138))</f>
        <v/>
      </c>
      <c r="CQ138" s="141"/>
      <c r="CR138" s="142"/>
      <c r="CS138" s="143" t="str">
        <f aca="false">IF(ISBLANK($C138),"",IF($BZ138=Constants!$B$12,$BY138,""))</f>
        <v/>
      </c>
      <c r="CT138" s="142" t="str">
        <f aca="false">IF(ISBLANK($C138),"",IF($BZ138&lt;&gt;Constants!$B$8,"",IF($BM138="-&gt;",2,1)))</f>
        <v/>
      </c>
      <c r="CU138" s="144" t="str">
        <f aca="false">IF(ISBLANK($C138),"",IF($BZ138&lt;&gt;Constants!$B$8,"",IF($BM138="-&gt;",$BO138,$BC138)))</f>
        <v/>
      </c>
      <c r="CV138" s="144" t="str">
        <f aca="false">IF(ISBLANK($C138),"",IF($BZ138&lt;&gt;Constants!$B$8,"",IF($BM138="-&gt;",$BP138,$BD138)))</f>
        <v/>
      </c>
      <c r="CW138" s="144" t="str">
        <f aca="false">IF(ISBLANK($C138),"",IF($BZ138&lt;&gt;Constants!$B$8,"",IF($BM138="-&gt;",$BQ138+$BR138,$BE138+$BF138)+$CD138))</f>
        <v/>
      </c>
      <c r="CX138" s="144" t="str">
        <f aca="false">IF(ISBLANK($C138),"",IF($BZ138&lt;&gt;Constants!$B$8,"",IF($BM138="-&gt;",$BS138,$BG138)+$CC138))</f>
        <v/>
      </c>
      <c r="CY138" s="145" t="str">
        <f aca="false">IF(ISBLANK($C138),"",IF($BZ138&lt;&gt;Constants!$B$8,$BZ138,$CE138))</f>
        <v/>
      </c>
      <c r="CZ138" s="146" t="str">
        <f aca="false">IF(ISBLANK($C138),"",$CA138)</f>
        <v/>
      </c>
      <c r="DA138" s="147" t="str">
        <f aca="false">IF(ISBLANK($C138),"",$CP138)</f>
        <v/>
      </c>
      <c r="DB138" s="147" t="str">
        <f aca="false">IF(ISBLANK($C138),"",$CO138)</f>
        <v/>
      </c>
      <c r="DC138" s="148" t="str">
        <f aca="false">IF(ISBLANK($C138),"",IFERROR(_xlfn.SWITCH($DB138,Constants!$B$11,COUNTA($C$9:$C$508)+2,Constants!$B$10,COUNTA($C$9:$C$508)+1,Constants!$B$9,COUNTA($C$9:$C$508)),$DB138))</f>
        <v/>
      </c>
      <c r="DD138" s="9"/>
      <c r="DE138" s="149" t="n">
        <f aca="false">IF(OR(ISNUMBER($DB138),$DB138=Constants!$B$11,$DB138=Constants!$B$9,$DB138=Constants!$B$10),1,0)</f>
        <v>0</v>
      </c>
      <c r="DF138" s="149" t="n">
        <v>130</v>
      </c>
      <c r="DG138" s="149" t="str">
        <f aca="false">IF(ISBLANK($C138),"",IF(ISNUMBER($DC138),$DC138+ROW($B138)/1000,""))</f>
        <v/>
      </c>
      <c r="DH138" s="149" t="str">
        <f aca="false">IF(ISNUMBER($DG138),RANK($DG138,$DG$9:$DG$508,1),"")</f>
        <v/>
      </c>
      <c r="DI138" s="149" t="str">
        <f aca="false">IF(ISBLANK($C138),"",$B138)</f>
        <v/>
      </c>
      <c r="DJ138" s="149" t="str">
        <f aca="false">IF(ISBLANK($C138),"",$C138)</f>
        <v/>
      </c>
      <c r="DK138" s="149" t="str">
        <f aca="false">IF(ISBLANK($C138),"",$D138)</f>
        <v/>
      </c>
      <c r="DL138" s="150" t="str">
        <f aca="false">$CZ138</f>
        <v/>
      </c>
      <c r="DM138" s="151" t="str">
        <f aca="false">$CY138</f>
        <v/>
      </c>
      <c r="DN138" s="149" t="str">
        <f aca="false">IF(ISBLANK($C138),"",$DB138)</f>
        <v/>
      </c>
      <c r="DO138" s="152" t="str">
        <f aca="false">IF($DF138&gt;$DE$8,"",VLOOKUP($DF138,$DH$9:$DN$508,7,FALSE()))</f>
        <v/>
      </c>
      <c r="DP138" s="153" t="str">
        <f aca="false">IF($DF138&gt;$DE$8,"",VLOOKUP($DF138,$DH$9:$DN$508,2,FALSE()))</f>
        <v/>
      </c>
      <c r="DQ138" s="153" t="str">
        <f aca="false">IF($DF138&gt;$DE$8,"",VLOOKUP($DF138,$DH$9:$DN$508,3,FALSE()))</f>
        <v/>
      </c>
      <c r="DR138" s="153" t="str">
        <f aca="false">IF($DF138&gt;$DE$8,"",VLOOKUP($DF138,$DH$9:$DN$508,4,FALSE()))</f>
        <v/>
      </c>
      <c r="DS138" s="153" t="str">
        <f aca="false">IF($DF138&gt;$DE$8,"",VLOOKUP($DF138,$DH$9:$DN$508,5,FALSE()))</f>
        <v/>
      </c>
      <c r="DT138" s="154" t="str">
        <f aca="false">IF($DF138&gt;$DE$8,"",VLOOKUP($DF138,$DH$9:$DN$508,6,FALSE()))</f>
        <v/>
      </c>
      <c r="DU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IF(ISBLANK($C139),"",IF(E139=Constants!$B$3,TRUE(),IF(E139=Constants!$B$4,FALSE(),TRUE())))</f>
        <v/>
      </c>
      <c r="AG139" s="135" t="str">
        <f aca="false">IF(ISBLANK($C139),"",IF(F139=Constants!$B$3,TRUE(),IF(F139=Constants!$B$4,FALSE(),TRUE())))</f>
        <v/>
      </c>
      <c r="AH139" s="135" t="str">
        <f aca="false">IF(ISBLANK($C139),"",IF(G139=Constants!$B$3,TRUE(),IF(G139=Constants!$B$4,FALSE(),TRUE())))</f>
        <v/>
      </c>
      <c r="AI139" s="135" t="str">
        <f aca="false">IF(ISBLANK($C139),"",IF(AND(ISNUMBER(H139),H139&gt;=0),H139,Constants!$B$29))</f>
        <v/>
      </c>
      <c r="AJ139" s="135" t="str">
        <f aca="false">IF(ISBLANK($C139),"",IF(I139=Constants!$B$3,TRUE(),IF(I139=Constants!$B$4,FALSE(),TRUE())))</f>
        <v/>
      </c>
      <c r="AK139" s="135" t="str">
        <f aca="false">IF(ISBLANK($C139),"",IF(J139=Constants!$B$3,TRUE(),IF(J139=Constants!$B$4,FALSE(),TRUE())))</f>
        <v/>
      </c>
      <c r="AL139" s="135" t="str">
        <f aca="false">IF(ISBLANK($C139),"",IF(K139=Constants!$B$5,TRUE(),IF(K139=Constants!$B$6,FALSE(),COUNTA(L139:P139)&gt;0)))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IF(ISBLANK($C139),"",IF(N139=Constants!$B$3,TRUE(),IF(N139=Constants!$B$4,FALSE(),TRUE())))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IF(ISBLANK($C139),"",IF(P139=Constants!$B$3,TRUE(),IF(P139=Constants!$B$4,FALSE(),FALSE())))</f>
        <v/>
      </c>
      <c r="AR139" s="135" t="str">
        <f aca="false">IF(ISBLANK($C139),"",IF(Q139=Constants!$B$3,TRUE(),IF(Q139=Constants!$B$4,FALSE(),TRUE())))</f>
        <v/>
      </c>
      <c r="AS139" s="135" t="str">
        <f aca="false">IF(ISBLANK($C139),"",IF(R139=Constants!$B$3,TRUE(),IF(R139=Constants!$B$4,FALSE(),TRUE())))</f>
        <v/>
      </c>
      <c r="AT139" s="135" t="str">
        <f aca="false">IF(ISBLANK($C139),"",IF(S139=Constants!$B$5,TRUE(),IF(S139=Constants!$B$6,FALSE(),COUNTA(T139:X139)&gt;0)))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IF(ISBLANK($C139),"",IF(V139=Constants!$B$3,TRUE(),IF(V139=Constants!$B$4,FALSE(),TRUE())))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IF(ISBLANK($C139),"",IF(X139=Constants!$B$3,TRUE(),IF(X139=Constants!$B$4,FALSE(),FALSE())))</f>
        <v/>
      </c>
      <c r="AZ139" s="135" t="str">
        <f aca="false">IF(ISBLANK($C139),"",MIN(Constants!$B$31,MAX(0,IF(ISNUMBER(Y139),Y139*60,0)+IF(ISNUMBER(Z139),Z139,0))))</f>
        <v/>
      </c>
      <c r="BA139" s="135" t="str">
        <f aca="false">IF(ISBLANK($C139),"",IF(AA139=Constants!$B$3,TRUE(),IF(AA139=Constants!$B$4,FALSE(),FALSE())))</f>
        <v/>
      </c>
      <c r="BB139" s="134" t="str">
        <f aca="false">IF(ISBLANK($C139),"",AND($AL139,OR($AM139="",$AN139="",AND($AO139,$AP139=""))))</f>
        <v/>
      </c>
      <c r="BC139" s="137" t="str">
        <f aca="false">IF($BZ139&lt;&gt;Constants!$B$8,"",IF($AL139,Constants!$B$21*$AN139+Constants!$B$22*IF($AO139,$AP139,Constants!$B$23),Constants!$B$24))</f>
        <v/>
      </c>
      <c r="BD139" s="138" t="str">
        <f aca="false">IF($BZ139&lt;&gt;Constants!$B$8,"",Constants!$B$25*ABS($AD$9-IF($AL139,$AM139,0)))</f>
        <v/>
      </c>
      <c r="BE139" s="138" t="str">
        <f aca="false">IF($BZ139&lt;&gt;Constants!$B$8,"",IF(AND($AL139,$AQ139,$AO139),Constants!$B$27,0))</f>
        <v/>
      </c>
      <c r="BF139" s="138" t="str">
        <f aca="false">IF($BZ139&lt;&gt;Constants!$B$8,"",IF($AL139,($AI139-Constants!$B$29)*Constants!$B$28,0))</f>
        <v/>
      </c>
      <c r="BG139" s="138" t="str">
        <f aca="false">IF($BZ139&lt;&gt;Constants!$B$8,"",IF($AK139,0,Constants!$B$15)+IF($AJ139,0,Constants!$B$16)+IF($AH139,0,Constants!$B$17))</f>
        <v/>
      </c>
      <c r="BH139" s="139" t="str">
        <f aca="false">IF($BZ139&lt;&gt;Constants!$B$8,"",Constants!$B$20+SUM($BC139:$BG139))</f>
        <v/>
      </c>
      <c r="BI139" s="138" t="str">
        <f aca="false">IF($BZ139&lt;&gt;Constants!$B$8,"",$BC139)</f>
        <v/>
      </c>
      <c r="BJ139" s="138" t="str">
        <f aca="false">IF($BZ139&lt;&gt;Constants!$B$8,"",$BD139)</f>
        <v/>
      </c>
      <c r="BK139" s="138" t="str">
        <f aca="false">IF($BZ139&lt;&gt;Constants!$B$8,"",IF($AL139,$AN139,""))</f>
        <v/>
      </c>
      <c r="BL139" s="140" t="str">
        <f aca="false">IF($BZ139&lt;&gt;Constants!$B$8,"",$AI139)</f>
        <v/>
      </c>
      <c r="BM139" s="135" t="str">
        <f aca="false">IF($BZ139&lt;&gt;Constants!$B$8,"",IF(OR($BT139&lt;$BH139,AND($BT139=$BH139,OR($BU139&lt;$BI139,AND($BU139=$BI139,OR($BV139&lt;$BJ139,AND($BV139=$BJ139,OR(AND(ISNUMBER($BW139),OR(NOT(ISNUMBER($BK139)),$BW139&lt;$BK139)),AND(OR(AND($BW139="",$BK139=""),AND(ISNUMBER($BW139),ISNUMBER($BK139),$BW139=$BK139)),$BX139&lt;$BL139)))))))),"-&gt;","&lt;-"))</f>
        <v/>
      </c>
      <c r="BN139" s="134" t="str">
        <f aca="false">IF(ISBLANK($C139),"",AND($AT139,OR($AU139="",$AV139="",AND($AW139,$AX139=""))))</f>
        <v/>
      </c>
      <c r="BO139" s="137" t="str">
        <f aca="false">IF($BZ139&lt;&gt;Constants!$B$8,"",IF($AT139,Constants!$B$21*$AV139+Constants!$B$22*IF($AW139,$AX139,Constants!$B$23),Constants!$B$24))</f>
        <v/>
      </c>
      <c r="BP139" s="138" t="str">
        <f aca="false">IF($BZ139&lt;&gt;Constants!$B$8,"",Constants!$B$25*ABS($AD$9-IF($AT139,$AU139,0)))</f>
        <v/>
      </c>
      <c r="BQ139" s="138" t="str">
        <f aca="false">IF($BZ139&lt;&gt;Constants!$B$8,"",IF(AND($AT139,$AY139,$AW139),Constants!$B$27,0))</f>
        <v/>
      </c>
      <c r="BR139" s="138" t="str">
        <f aca="false">IF($BZ139&lt;&gt;Constants!$B$8,"",IF($AT139,($AI139-Constants!$B$29)*Constants!$B$28,0))</f>
        <v/>
      </c>
      <c r="BS139" s="138" t="str">
        <f aca="false">IF($BZ139&lt;&gt;Constants!$B$8,"",IF($AS139,0,Constants!$B$15)+IF($AR139,0,Constants!$B$16)+IF($AH139,0,Constants!$B$17))</f>
        <v/>
      </c>
      <c r="BT139" s="139" t="str">
        <f aca="false">IF($BZ139&lt;&gt;Constants!$B$8,"",Constants!$B$20+SUM($BO139:$BS139))</f>
        <v/>
      </c>
      <c r="BU139" s="138" t="str">
        <f aca="false">IF($BZ139&lt;&gt;Constants!$B$8,"",$BO139)</f>
        <v/>
      </c>
      <c r="BV139" s="138" t="str">
        <f aca="false">IF($BZ139&lt;&gt;Constants!$B$8,"",$BP139)</f>
        <v/>
      </c>
      <c r="BW139" s="138" t="str">
        <f aca="false">IF($BZ139&lt;&gt;Constants!$B$8,"",IF($AT139,$AV139,""))</f>
        <v/>
      </c>
      <c r="BX139" s="140" t="str">
        <f aca="false">IF($BZ139&lt;&gt;Constants!$B$8,"",$AI139)</f>
        <v/>
      </c>
      <c r="BY139" s="135" t="str">
        <f aca="false">IF(ISBLANK($C139),"",IF(ISBLANK($D$7),$BY$5,IF(NOT(ISNUMBER($D$7)),$BY$6,"")))</f>
        <v/>
      </c>
      <c r="BZ139" s="135" t="str">
        <f aca="false">IF(ISBLANK($C139),"",IF($BA139,Constants!$B$11,IF(COUNTA($E139:$AA139)=0,Constants!$B$10,IF(NOT($AG139),Constants!$B$9,IF(OR($BY139&lt;&gt;"",$BB139,$BN139),Constants!$B$12,Constants!$B$8)))))</f>
        <v/>
      </c>
      <c r="CA139" s="135" t="str">
        <f aca="false">IF(ISBLANK($C139),"",IF($BZ139&lt;&gt;Constants!$B$8,$BZ139,Constants!$B$13))</f>
        <v/>
      </c>
      <c r="CB139" s="138" t="str">
        <f aca="false">IF($BZ139&lt;&gt;Constants!$B$8,"",IF($BM139="-&gt;",$BT139,$BH139))</f>
        <v/>
      </c>
      <c r="CC139" s="138" t="str">
        <f aca="false">IF($BZ139&lt;&gt;Constants!$B$8,"",IF($AF139,0,Constants!$B$18))</f>
        <v/>
      </c>
      <c r="CD139" s="138" t="str">
        <f aca="false">IF($BZ139&lt;&gt;Constants!$B$8,"",((Constants!$B$31-$AZ139)-Constants!$B$31)/Constants!$B$32)</f>
        <v/>
      </c>
      <c r="CE139" s="138" t="str">
        <f aca="false">IF(ISBLANK($C139),"",IF($BZ139&lt;&gt;Constants!$B$8,$BZ139,SUM($CB139:$CD139)))</f>
        <v/>
      </c>
      <c r="CF139" s="135" t="str">
        <f aca="false">IF(ISBLANK($C139),"",IF($BZ139&lt;&gt;Constants!$B$8,$BZ139,RANK($CE139,$CE$9:$CE$508,1)))</f>
        <v/>
      </c>
      <c r="CG139" s="138" t="str">
        <f aca="false">IF($BZ139&lt;&gt;Constants!$B$8,"",IF($BM139="-&gt;",$BU139,$BI139))</f>
        <v/>
      </c>
      <c r="CH139" s="135" t="str">
        <f aca="false">IF(ISBLANK($C139),"",IF($BZ139&lt;&gt;Constants!$B$8,$BZ139,IF(ISNUMBER($CG139),RANK($CG139,$CG$9:$CG$508,1),COUNT($CG$9:$CG$508)+1)))</f>
        <v/>
      </c>
      <c r="CI139" s="138" t="str">
        <f aca="false">IF($BZ139&lt;&gt;Constants!$B$8,"",IF($BM139="-&gt;",$BV139,$BJ139))</f>
        <v/>
      </c>
      <c r="CJ139" s="135" t="str">
        <f aca="false">IF(ISBLANK($C139),"",IF($BZ139&lt;&gt;Constants!$B$8,$BZ139,IF(ISNUMBER($CI139),RANK($CI139,$CI$9:$CI$508,1),COUNT($CI$9:$CI$508)+1)))</f>
        <v/>
      </c>
      <c r="CK139" s="138" t="str">
        <f aca="false">IF($BZ139&lt;&gt;Constants!$B$8,"",IF($BM139="-&gt;",$BW139,$BK139))</f>
        <v/>
      </c>
      <c r="CL139" s="135" t="str">
        <f aca="false">IF(ISBLANK($C139),"",IF($BZ139&lt;&gt;Constants!$B$8,$BZ139,IF(ISNUMBER($CK139),RANK($CK139,$CK$9:$CK$508,1),COUNT($CK$9:$CK$508)+1)))</f>
        <v/>
      </c>
      <c r="CM139" s="138" t="str">
        <f aca="false">IF($BZ139&lt;&gt;Constants!$B$8,"",IF(AND(NOT($AL139),NOT($AT139),$AJ139,$AK139,$AR139,$AS139),"",IF($BM139="-&gt;",$BX139,$BL139)))</f>
        <v/>
      </c>
      <c r="CN139" s="135" t="str">
        <f aca="false">IF(ISBLANK($C139),"",IF($BZ139&lt;&gt;Constants!$B$8,$BZ139,IF(ISNUMBER($CM139),RANK($CM139,$CM$9:$CM$508,1),COUNT($CM$9:$CM$508)+1)))</f>
        <v/>
      </c>
      <c r="CO139" s="135" t="str">
        <f aca="false">IF(ISBLANK($C139),"",IF($BZ139&lt;&gt;Constants!$B$8,$BZ139,COUNTIFS($CF$9:$CF$508,"&lt;"&amp;$CF139)+COUNTIFS($CF$9:$CF$508,$CF139,$CH$9:$CH$508,"&lt;"&amp;$CH139)+COUNTIFS($CF$9:$CF$508,$CF139,$CH$9:$CH$508,$CH139,$CJ$9:$CJ$508,"&lt;"&amp;$CJ139)+COUNTIFS($CF$9:$CF$508,$CF139,$CH$9:$CH$508,$CH139,$CJ$9:$CJ$508,$CJ139,$CL$9:$CL$508,"&lt;"&amp;$CL139)+COUNTIFS($CF$9:$CF$508,$CF139,$CH$9:$CH$508,$CH139,$CJ$9:$CJ$508,$CJ139,$CL$9:$CL$508,$CL139,$CN$9:$CN$508,"&lt;"&amp;$CN139)+1))</f>
        <v/>
      </c>
      <c r="CP139" s="135" t="str">
        <f aca="false">IF(ISBLANK($C139),"",IF($BZ139&lt;&gt;Constants!$B$8,$BZ139,$CF139-$CO139))</f>
        <v/>
      </c>
      <c r="CQ139" s="141"/>
      <c r="CR139" s="142"/>
      <c r="CS139" s="143" t="str">
        <f aca="false">IF(ISBLANK($C139),"",IF($BZ139=Constants!$B$12,$BY139,""))</f>
        <v/>
      </c>
      <c r="CT139" s="142" t="str">
        <f aca="false">IF(ISBLANK($C139),"",IF($BZ139&lt;&gt;Constants!$B$8,"",IF($BM139="-&gt;",2,1)))</f>
        <v/>
      </c>
      <c r="CU139" s="144" t="str">
        <f aca="false">IF(ISBLANK($C139),"",IF($BZ139&lt;&gt;Constants!$B$8,"",IF($BM139="-&gt;",$BO139,$BC139)))</f>
        <v/>
      </c>
      <c r="CV139" s="144" t="str">
        <f aca="false">IF(ISBLANK($C139),"",IF($BZ139&lt;&gt;Constants!$B$8,"",IF($BM139="-&gt;",$BP139,$BD139)))</f>
        <v/>
      </c>
      <c r="CW139" s="144" t="str">
        <f aca="false">IF(ISBLANK($C139),"",IF($BZ139&lt;&gt;Constants!$B$8,"",IF($BM139="-&gt;",$BQ139+$BR139,$BE139+$BF139)+$CD139))</f>
        <v/>
      </c>
      <c r="CX139" s="144" t="str">
        <f aca="false">IF(ISBLANK($C139),"",IF($BZ139&lt;&gt;Constants!$B$8,"",IF($BM139="-&gt;",$BS139,$BG139)+$CC139))</f>
        <v/>
      </c>
      <c r="CY139" s="145" t="str">
        <f aca="false">IF(ISBLANK($C139),"",IF($BZ139&lt;&gt;Constants!$B$8,$BZ139,$CE139))</f>
        <v/>
      </c>
      <c r="CZ139" s="146" t="str">
        <f aca="false">IF(ISBLANK($C139),"",$CA139)</f>
        <v/>
      </c>
      <c r="DA139" s="147" t="str">
        <f aca="false">IF(ISBLANK($C139),"",$CP139)</f>
        <v/>
      </c>
      <c r="DB139" s="147" t="str">
        <f aca="false">IF(ISBLANK($C139),"",$CO139)</f>
        <v/>
      </c>
      <c r="DC139" s="148" t="str">
        <f aca="false">IF(ISBLANK($C139),"",IFERROR(_xlfn.SWITCH($DB139,Constants!$B$11,COUNTA($C$9:$C$508)+2,Constants!$B$10,COUNTA($C$9:$C$508)+1,Constants!$B$9,COUNTA($C$9:$C$508)),$DB139))</f>
        <v/>
      </c>
      <c r="DD139" s="9"/>
      <c r="DE139" s="149" t="n">
        <f aca="false">IF(OR(ISNUMBER($DB139),$DB139=Constants!$B$11,$DB139=Constants!$B$9,$DB139=Constants!$B$10),1,0)</f>
        <v>0</v>
      </c>
      <c r="DF139" s="149" t="n">
        <v>131</v>
      </c>
      <c r="DG139" s="149" t="str">
        <f aca="false">IF(ISBLANK($C139),"",IF(ISNUMBER($DC139),$DC139+ROW($B139)/1000,""))</f>
        <v/>
      </c>
      <c r="DH139" s="149" t="str">
        <f aca="false">IF(ISNUMBER($DG139),RANK($DG139,$DG$9:$DG$508,1),"")</f>
        <v/>
      </c>
      <c r="DI139" s="149" t="str">
        <f aca="false">IF(ISBLANK($C139),"",$B139)</f>
        <v/>
      </c>
      <c r="DJ139" s="149" t="str">
        <f aca="false">IF(ISBLANK($C139),"",$C139)</f>
        <v/>
      </c>
      <c r="DK139" s="149" t="str">
        <f aca="false">IF(ISBLANK($C139),"",$D139)</f>
        <v/>
      </c>
      <c r="DL139" s="150" t="str">
        <f aca="false">$CZ139</f>
        <v/>
      </c>
      <c r="DM139" s="151" t="str">
        <f aca="false">$CY139</f>
        <v/>
      </c>
      <c r="DN139" s="149" t="str">
        <f aca="false">IF(ISBLANK($C139),"",$DB139)</f>
        <v/>
      </c>
      <c r="DO139" s="152" t="str">
        <f aca="false">IF($DF139&gt;$DE$8,"",VLOOKUP($DF139,$DH$9:$DN$508,7,FALSE()))</f>
        <v/>
      </c>
      <c r="DP139" s="153" t="str">
        <f aca="false">IF($DF139&gt;$DE$8,"",VLOOKUP($DF139,$DH$9:$DN$508,2,FALSE()))</f>
        <v/>
      </c>
      <c r="DQ139" s="153" t="str">
        <f aca="false">IF($DF139&gt;$DE$8,"",VLOOKUP($DF139,$DH$9:$DN$508,3,FALSE()))</f>
        <v/>
      </c>
      <c r="DR139" s="153" t="str">
        <f aca="false">IF($DF139&gt;$DE$8,"",VLOOKUP($DF139,$DH$9:$DN$508,4,FALSE()))</f>
        <v/>
      </c>
      <c r="DS139" s="153" t="str">
        <f aca="false">IF($DF139&gt;$DE$8,"",VLOOKUP($DF139,$DH$9:$DN$508,5,FALSE()))</f>
        <v/>
      </c>
      <c r="DT139" s="154" t="str">
        <f aca="false">IF($DF139&gt;$DE$8,"",VLOOKUP($DF139,$DH$9:$DN$508,6,FALSE()))</f>
        <v/>
      </c>
      <c r="DU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IF(ISBLANK($C140),"",IF(E140=Constants!$B$3,TRUE(),IF(E140=Constants!$B$4,FALSE(),TRUE())))</f>
        <v/>
      </c>
      <c r="AG140" s="135" t="str">
        <f aca="false">IF(ISBLANK($C140),"",IF(F140=Constants!$B$3,TRUE(),IF(F140=Constants!$B$4,FALSE(),TRUE())))</f>
        <v/>
      </c>
      <c r="AH140" s="135" t="str">
        <f aca="false">IF(ISBLANK($C140),"",IF(G140=Constants!$B$3,TRUE(),IF(G140=Constants!$B$4,FALSE(),TRUE())))</f>
        <v/>
      </c>
      <c r="AI140" s="135" t="str">
        <f aca="false">IF(ISBLANK($C140),"",IF(AND(ISNUMBER(H140),H140&gt;=0),H140,Constants!$B$29))</f>
        <v/>
      </c>
      <c r="AJ140" s="135" t="str">
        <f aca="false">IF(ISBLANK($C140),"",IF(I140=Constants!$B$3,TRUE(),IF(I140=Constants!$B$4,FALSE(),TRUE())))</f>
        <v/>
      </c>
      <c r="AK140" s="135" t="str">
        <f aca="false">IF(ISBLANK($C140),"",IF(J140=Constants!$B$3,TRUE(),IF(J140=Constants!$B$4,FALSE(),TRUE())))</f>
        <v/>
      </c>
      <c r="AL140" s="135" t="str">
        <f aca="false">IF(ISBLANK($C140),"",IF(K140=Constants!$B$5,TRUE(),IF(K140=Constants!$B$6,FALSE(),COUNTA(L140:P140)&gt;0)))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IF(ISBLANK($C140),"",IF(N140=Constants!$B$3,TRUE(),IF(N140=Constants!$B$4,FALSE(),TRUE())))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IF(ISBLANK($C140),"",IF(P140=Constants!$B$3,TRUE(),IF(P140=Constants!$B$4,FALSE(),FALSE())))</f>
        <v/>
      </c>
      <c r="AR140" s="135" t="str">
        <f aca="false">IF(ISBLANK($C140),"",IF(Q140=Constants!$B$3,TRUE(),IF(Q140=Constants!$B$4,FALSE(),TRUE())))</f>
        <v/>
      </c>
      <c r="AS140" s="135" t="str">
        <f aca="false">IF(ISBLANK($C140),"",IF(R140=Constants!$B$3,TRUE(),IF(R140=Constants!$B$4,FALSE(),TRUE())))</f>
        <v/>
      </c>
      <c r="AT140" s="135" t="str">
        <f aca="false">IF(ISBLANK($C140),"",IF(S140=Constants!$B$5,TRUE(),IF(S140=Constants!$B$6,FALSE(),COUNTA(T140:X140)&gt;0)))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IF(ISBLANK($C140),"",IF(V140=Constants!$B$3,TRUE(),IF(V140=Constants!$B$4,FALSE(),TRUE())))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IF(ISBLANK($C140),"",IF(X140=Constants!$B$3,TRUE(),IF(X140=Constants!$B$4,FALSE(),FALSE())))</f>
        <v/>
      </c>
      <c r="AZ140" s="135" t="str">
        <f aca="false">IF(ISBLANK($C140),"",MIN(Constants!$B$31,MAX(0,IF(ISNUMBER(Y140),Y140*60,0)+IF(ISNUMBER(Z140),Z140,0))))</f>
        <v/>
      </c>
      <c r="BA140" s="135" t="str">
        <f aca="false">IF(ISBLANK($C140),"",IF(AA140=Constants!$B$3,TRUE(),IF(AA140=Constants!$B$4,FALSE(),FALSE())))</f>
        <v/>
      </c>
      <c r="BB140" s="134" t="str">
        <f aca="false">IF(ISBLANK($C140),"",AND($AL140,OR($AM140="",$AN140="",AND($AO140,$AP140=""))))</f>
        <v/>
      </c>
      <c r="BC140" s="137" t="str">
        <f aca="false">IF($BZ140&lt;&gt;Constants!$B$8,"",IF($AL140,Constants!$B$21*$AN140+Constants!$B$22*IF($AO140,$AP140,Constants!$B$23),Constants!$B$24))</f>
        <v/>
      </c>
      <c r="BD140" s="138" t="str">
        <f aca="false">IF($BZ140&lt;&gt;Constants!$B$8,"",Constants!$B$25*ABS($AD$9-IF($AL140,$AM140,0)))</f>
        <v/>
      </c>
      <c r="BE140" s="138" t="str">
        <f aca="false">IF($BZ140&lt;&gt;Constants!$B$8,"",IF(AND($AL140,$AQ140,$AO140),Constants!$B$27,0))</f>
        <v/>
      </c>
      <c r="BF140" s="138" t="str">
        <f aca="false">IF($BZ140&lt;&gt;Constants!$B$8,"",IF($AL140,($AI140-Constants!$B$29)*Constants!$B$28,0))</f>
        <v/>
      </c>
      <c r="BG140" s="138" t="str">
        <f aca="false">IF($BZ140&lt;&gt;Constants!$B$8,"",IF($AK140,0,Constants!$B$15)+IF($AJ140,0,Constants!$B$16)+IF($AH140,0,Constants!$B$17))</f>
        <v/>
      </c>
      <c r="BH140" s="139" t="str">
        <f aca="false">IF($BZ140&lt;&gt;Constants!$B$8,"",Constants!$B$20+SUM($BC140:$BG140))</f>
        <v/>
      </c>
      <c r="BI140" s="138" t="str">
        <f aca="false">IF($BZ140&lt;&gt;Constants!$B$8,"",$BC140)</f>
        <v/>
      </c>
      <c r="BJ140" s="138" t="str">
        <f aca="false">IF($BZ140&lt;&gt;Constants!$B$8,"",$BD140)</f>
        <v/>
      </c>
      <c r="BK140" s="138" t="str">
        <f aca="false">IF($BZ140&lt;&gt;Constants!$B$8,"",IF($AL140,$AN140,""))</f>
        <v/>
      </c>
      <c r="BL140" s="140" t="str">
        <f aca="false">IF($BZ140&lt;&gt;Constants!$B$8,"",$AI140)</f>
        <v/>
      </c>
      <c r="BM140" s="135" t="str">
        <f aca="false">IF($BZ140&lt;&gt;Constants!$B$8,"",IF(OR($BT140&lt;$BH140,AND($BT140=$BH140,OR($BU140&lt;$BI140,AND($BU140=$BI140,OR($BV140&lt;$BJ140,AND($BV140=$BJ140,OR(AND(ISNUMBER($BW140),OR(NOT(ISNUMBER($BK140)),$BW140&lt;$BK140)),AND(OR(AND($BW140="",$BK140=""),AND(ISNUMBER($BW140),ISNUMBER($BK140),$BW140=$BK140)),$BX140&lt;$BL140)))))))),"-&gt;","&lt;-"))</f>
        <v/>
      </c>
      <c r="BN140" s="134" t="str">
        <f aca="false">IF(ISBLANK($C140),"",AND($AT140,OR($AU140="",$AV140="",AND($AW140,$AX140=""))))</f>
        <v/>
      </c>
      <c r="BO140" s="137" t="str">
        <f aca="false">IF($BZ140&lt;&gt;Constants!$B$8,"",IF($AT140,Constants!$B$21*$AV140+Constants!$B$22*IF($AW140,$AX140,Constants!$B$23),Constants!$B$24))</f>
        <v/>
      </c>
      <c r="BP140" s="138" t="str">
        <f aca="false">IF($BZ140&lt;&gt;Constants!$B$8,"",Constants!$B$25*ABS($AD$9-IF($AT140,$AU140,0)))</f>
        <v/>
      </c>
      <c r="BQ140" s="138" t="str">
        <f aca="false">IF($BZ140&lt;&gt;Constants!$B$8,"",IF(AND($AT140,$AY140,$AW140),Constants!$B$27,0))</f>
        <v/>
      </c>
      <c r="BR140" s="138" t="str">
        <f aca="false">IF($BZ140&lt;&gt;Constants!$B$8,"",IF($AT140,($AI140-Constants!$B$29)*Constants!$B$28,0))</f>
        <v/>
      </c>
      <c r="BS140" s="138" t="str">
        <f aca="false">IF($BZ140&lt;&gt;Constants!$B$8,"",IF($AS140,0,Constants!$B$15)+IF($AR140,0,Constants!$B$16)+IF($AH140,0,Constants!$B$17))</f>
        <v/>
      </c>
      <c r="BT140" s="139" t="str">
        <f aca="false">IF($BZ140&lt;&gt;Constants!$B$8,"",Constants!$B$20+SUM($BO140:$BS140))</f>
        <v/>
      </c>
      <c r="BU140" s="138" t="str">
        <f aca="false">IF($BZ140&lt;&gt;Constants!$B$8,"",$BO140)</f>
        <v/>
      </c>
      <c r="BV140" s="138" t="str">
        <f aca="false">IF($BZ140&lt;&gt;Constants!$B$8,"",$BP140)</f>
        <v/>
      </c>
      <c r="BW140" s="138" t="str">
        <f aca="false">IF($BZ140&lt;&gt;Constants!$B$8,"",IF($AT140,$AV140,""))</f>
        <v/>
      </c>
      <c r="BX140" s="140" t="str">
        <f aca="false">IF($BZ140&lt;&gt;Constants!$B$8,"",$AI140)</f>
        <v/>
      </c>
      <c r="BY140" s="135" t="str">
        <f aca="false">IF(ISBLANK($C140),"",IF(ISBLANK($D$7),$BY$5,IF(NOT(ISNUMBER($D$7)),$BY$6,"")))</f>
        <v/>
      </c>
      <c r="BZ140" s="135" t="str">
        <f aca="false">IF(ISBLANK($C140),"",IF($BA140,Constants!$B$11,IF(COUNTA($E140:$AA140)=0,Constants!$B$10,IF(NOT($AG140),Constants!$B$9,IF(OR($BY140&lt;&gt;"",$BB140,$BN140),Constants!$B$12,Constants!$B$8)))))</f>
        <v/>
      </c>
      <c r="CA140" s="135" t="str">
        <f aca="false">IF(ISBLANK($C140),"",IF($BZ140&lt;&gt;Constants!$B$8,$BZ140,Constants!$B$13))</f>
        <v/>
      </c>
      <c r="CB140" s="138" t="str">
        <f aca="false">IF($BZ140&lt;&gt;Constants!$B$8,"",IF($BM140="-&gt;",$BT140,$BH140))</f>
        <v/>
      </c>
      <c r="CC140" s="138" t="str">
        <f aca="false">IF($BZ140&lt;&gt;Constants!$B$8,"",IF($AF140,0,Constants!$B$18))</f>
        <v/>
      </c>
      <c r="CD140" s="138" t="str">
        <f aca="false">IF($BZ140&lt;&gt;Constants!$B$8,"",((Constants!$B$31-$AZ140)-Constants!$B$31)/Constants!$B$32)</f>
        <v/>
      </c>
      <c r="CE140" s="138" t="str">
        <f aca="false">IF(ISBLANK($C140),"",IF($BZ140&lt;&gt;Constants!$B$8,$BZ140,SUM($CB140:$CD140)))</f>
        <v/>
      </c>
      <c r="CF140" s="135" t="str">
        <f aca="false">IF(ISBLANK($C140),"",IF($BZ140&lt;&gt;Constants!$B$8,$BZ140,RANK($CE140,$CE$9:$CE$508,1)))</f>
        <v/>
      </c>
      <c r="CG140" s="138" t="str">
        <f aca="false">IF($BZ140&lt;&gt;Constants!$B$8,"",IF($BM140="-&gt;",$BU140,$BI140))</f>
        <v/>
      </c>
      <c r="CH140" s="135" t="str">
        <f aca="false">IF(ISBLANK($C140),"",IF($BZ140&lt;&gt;Constants!$B$8,$BZ140,IF(ISNUMBER($CG140),RANK($CG140,$CG$9:$CG$508,1),COUNT($CG$9:$CG$508)+1)))</f>
        <v/>
      </c>
      <c r="CI140" s="138" t="str">
        <f aca="false">IF($BZ140&lt;&gt;Constants!$B$8,"",IF($BM140="-&gt;",$BV140,$BJ140))</f>
        <v/>
      </c>
      <c r="CJ140" s="135" t="str">
        <f aca="false">IF(ISBLANK($C140),"",IF($BZ140&lt;&gt;Constants!$B$8,$BZ140,IF(ISNUMBER($CI140),RANK($CI140,$CI$9:$CI$508,1),COUNT($CI$9:$CI$508)+1)))</f>
        <v/>
      </c>
      <c r="CK140" s="138" t="str">
        <f aca="false">IF($BZ140&lt;&gt;Constants!$B$8,"",IF($BM140="-&gt;",$BW140,$BK140))</f>
        <v/>
      </c>
      <c r="CL140" s="135" t="str">
        <f aca="false">IF(ISBLANK($C140),"",IF($BZ140&lt;&gt;Constants!$B$8,$BZ140,IF(ISNUMBER($CK140),RANK($CK140,$CK$9:$CK$508,1),COUNT($CK$9:$CK$508)+1)))</f>
        <v/>
      </c>
      <c r="CM140" s="138" t="str">
        <f aca="false">IF($BZ140&lt;&gt;Constants!$B$8,"",IF(AND(NOT($AL140),NOT($AT140),$AJ140,$AK140,$AR140,$AS140),"",IF($BM140="-&gt;",$BX140,$BL140)))</f>
        <v/>
      </c>
      <c r="CN140" s="135" t="str">
        <f aca="false">IF(ISBLANK($C140),"",IF($BZ140&lt;&gt;Constants!$B$8,$BZ140,IF(ISNUMBER($CM140),RANK($CM140,$CM$9:$CM$508,1),COUNT($CM$9:$CM$508)+1)))</f>
        <v/>
      </c>
      <c r="CO140" s="135" t="str">
        <f aca="false">IF(ISBLANK($C140),"",IF($BZ140&lt;&gt;Constants!$B$8,$BZ140,COUNTIFS($CF$9:$CF$508,"&lt;"&amp;$CF140)+COUNTIFS($CF$9:$CF$508,$CF140,$CH$9:$CH$508,"&lt;"&amp;$CH140)+COUNTIFS($CF$9:$CF$508,$CF140,$CH$9:$CH$508,$CH140,$CJ$9:$CJ$508,"&lt;"&amp;$CJ140)+COUNTIFS($CF$9:$CF$508,$CF140,$CH$9:$CH$508,$CH140,$CJ$9:$CJ$508,$CJ140,$CL$9:$CL$508,"&lt;"&amp;$CL140)+COUNTIFS($CF$9:$CF$508,$CF140,$CH$9:$CH$508,$CH140,$CJ$9:$CJ$508,$CJ140,$CL$9:$CL$508,$CL140,$CN$9:$CN$508,"&lt;"&amp;$CN140)+1))</f>
        <v/>
      </c>
      <c r="CP140" s="135" t="str">
        <f aca="false">IF(ISBLANK($C140),"",IF($BZ140&lt;&gt;Constants!$B$8,$BZ140,$CF140-$CO140))</f>
        <v/>
      </c>
      <c r="CQ140" s="141"/>
      <c r="CR140" s="142"/>
      <c r="CS140" s="143" t="str">
        <f aca="false">IF(ISBLANK($C140),"",IF($BZ140=Constants!$B$12,$BY140,""))</f>
        <v/>
      </c>
      <c r="CT140" s="142" t="str">
        <f aca="false">IF(ISBLANK($C140),"",IF($BZ140&lt;&gt;Constants!$B$8,"",IF($BM140="-&gt;",2,1)))</f>
        <v/>
      </c>
      <c r="CU140" s="144" t="str">
        <f aca="false">IF(ISBLANK($C140),"",IF($BZ140&lt;&gt;Constants!$B$8,"",IF($BM140="-&gt;",$BO140,$BC140)))</f>
        <v/>
      </c>
      <c r="CV140" s="144" t="str">
        <f aca="false">IF(ISBLANK($C140),"",IF($BZ140&lt;&gt;Constants!$B$8,"",IF($BM140="-&gt;",$BP140,$BD140)))</f>
        <v/>
      </c>
      <c r="CW140" s="144" t="str">
        <f aca="false">IF(ISBLANK($C140),"",IF($BZ140&lt;&gt;Constants!$B$8,"",IF($BM140="-&gt;",$BQ140+$BR140,$BE140+$BF140)+$CD140))</f>
        <v/>
      </c>
      <c r="CX140" s="144" t="str">
        <f aca="false">IF(ISBLANK($C140),"",IF($BZ140&lt;&gt;Constants!$B$8,"",IF($BM140="-&gt;",$BS140,$BG140)+$CC140))</f>
        <v/>
      </c>
      <c r="CY140" s="145" t="str">
        <f aca="false">IF(ISBLANK($C140),"",IF($BZ140&lt;&gt;Constants!$B$8,$BZ140,$CE140))</f>
        <v/>
      </c>
      <c r="CZ140" s="146" t="str">
        <f aca="false">IF(ISBLANK($C140),"",$CA140)</f>
        <v/>
      </c>
      <c r="DA140" s="147" t="str">
        <f aca="false">IF(ISBLANK($C140),"",$CP140)</f>
        <v/>
      </c>
      <c r="DB140" s="147" t="str">
        <f aca="false">IF(ISBLANK($C140),"",$CO140)</f>
        <v/>
      </c>
      <c r="DC140" s="148" t="str">
        <f aca="false">IF(ISBLANK($C140),"",IFERROR(_xlfn.SWITCH($DB140,Constants!$B$11,COUNTA($C$9:$C$508)+2,Constants!$B$10,COUNTA($C$9:$C$508)+1,Constants!$B$9,COUNTA($C$9:$C$508)),$DB140))</f>
        <v/>
      </c>
      <c r="DD140" s="9"/>
      <c r="DE140" s="149" t="n">
        <f aca="false">IF(OR(ISNUMBER($DB140),$DB140=Constants!$B$11,$DB140=Constants!$B$9,$DB140=Constants!$B$10),1,0)</f>
        <v>0</v>
      </c>
      <c r="DF140" s="149" t="n">
        <v>132</v>
      </c>
      <c r="DG140" s="149" t="str">
        <f aca="false">IF(ISBLANK($C140),"",IF(ISNUMBER($DC140),$DC140+ROW($B140)/1000,""))</f>
        <v/>
      </c>
      <c r="DH140" s="149" t="str">
        <f aca="false">IF(ISNUMBER($DG140),RANK($DG140,$DG$9:$DG$508,1),"")</f>
        <v/>
      </c>
      <c r="DI140" s="149" t="str">
        <f aca="false">IF(ISBLANK($C140),"",$B140)</f>
        <v/>
      </c>
      <c r="DJ140" s="149" t="str">
        <f aca="false">IF(ISBLANK($C140),"",$C140)</f>
        <v/>
      </c>
      <c r="DK140" s="149" t="str">
        <f aca="false">IF(ISBLANK($C140),"",$D140)</f>
        <v/>
      </c>
      <c r="DL140" s="150" t="str">
        <f aca="false">$CZ140</f>
        <v/>
      </c>
      <c r="DM140" s="151" t="str">
        <f aca="false">$CY140</f>
        <v/>
      </c>
      <c r="DN140" s="149" t="str">
        <f aca="false">IF(ISBLANK($C140),"",$DB140)</f>
        <v/>
      </c>
      <c r="DO140" s="152" t="str">
        <f aca="false">IF($DF140&gt;$DE$8,"",VLOOKUP($DF140,$DH$9:$DN$508,7,FALSE()))</f>
        <v/>
      </c>
      <c r="DP140" s="153" t="str">
        <f aca="false">IF($DF140&gt;$DE$8,"",VLOOKUP($DF140,$DH$9:$DN$508,2,FALSE()))</f>
        <v/>
      </c>
      <c r="DQ140" s="153" t="str">
        <f aca="false">IF($DF140&gt;$DE$8,"",VLOOKUP($DF140,$DH$9:$DN$508,3,FALSE()))</f>
        <v/>
      </c>
      <c r="DR140" s="153" t="str">
        <f aca="false">IF($DF140&gt;$DE$8,"",VLOOKUP($DF140,$DH$9:$DN$508,4,FALSE()))</f>
        <v/>
      </c>
      <c r="DS140" s="153" t="str">
        <f aca="false">IF($DF140&gt;$DE$8,"",VLOOKUP($DF140,$DH$9:$DN$508,5,FALSE()))</f>
        <v/>
      </c>
      <c r="DT140" s="154" t="str">
        <f aca="false">IF($DF140&gt;$DE$8,"",VLOOKUP($DF140,$DH$9:$DN$508,6,FALSE()))</f>
        <v/>
      </c>
      <c r="DU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IF(ISBLANK($C141),"",IF(E141=Constants!$B$3,TRUE(),IF(E141=Constants!$B$4,FALSE(),TRUE())))</f>
        <v/>
      </c>
      <c r="AG141" s="93" t="str">
        <f aca="false">IF(ISBLANK($C141),"",IF(F141=Constants!$B$3,TRUE(),IF(F141=Constants!$B$4,FALSE(),TRUE())))</f>
        <v/>
      </c>
      <c r="AH141" s="93" t="str">
        <f aca="false">IF(ISBLANK($C141),"",IF(G141=Constants!$B$3,TRUE(),IF(G141=Constants!$B$4,FALSE(),TRUE())))</f>
        <v/>
      </c>
      <c r="AI141" s="93" t="str">
        <f aca="false">IF(ISBLANK($C141),"",IF(AND(ISNUMBER(H141),H141&gt;=0),H141,Constants!$B$29))</f>
        <v/>
      </c>
      <c r="AJ141" s="93" t="str">
        <f aca="false">IF(ISBLANK($C141),"",IF(I141=Constants!$B$3,TRUE(),IF(I141=Constants!$B$4,FALSE(),TRUE())))</f>
        <v/>
      </c>
      <c r="AK141" s="93" t="str">
        <f aca="false">IF(ISBLANK($C141),"",IF(J141=Constants!$B$3,TRUE(),IF(J141=Constants!$B$4,FALSE(),TRUE())))</f>
        <v/>
      </c>
      <c r="AL141" s="93" t="str">
        <f aca="false">IF(ISBLANK($C141),"",IF(K141=Constants!$B$5,TRUE(),IF(K141=Constants!$B$6,FALSE(),COUNTA(L141:P141)&gt;0)))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IF(ISBLANK($C141),"",IF(N141=Constants!$B$3,TRUE(),IF(N141=Constants!$B$4,FALSE(),TRUE())))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IF(ISBLANK($C141),"",IF(P141=Constants!$B$3,TRUE(),IF(P141=Constants!$B$4,FALSE(),FALSE())))</f>
        <v/>
      </c>
      <c r="AR141" s="93" t="str">
        <f aca="false">IF(ISBLANK($C141),"",IF(Q141=Constants!$B$3,TRUE(),IF(Q141=Constants!$B$4,FALSE(),TRUE())))</f>
        <v/>
      </c>
      <c r="AS141" s="93" t="str">
        <f aca="false">IF(ISBLANK($C141),"",IF(R141=Constants!$B$3,TRUE(),IF(R141=Constants!$B$4,FALSE(),TRUE())))</f>
        <v/>
      </c>
      <c r="AT141" s="93" t="str">
        <f aca="false">IF(ISBLANK($C141),"",IF(S141=Constants!$B$5,TRUE(),IF(S141=Constants!$B$6,FALSE(),COUNTA(T141:X141)&gt;0)))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IF(ISBLANK($C141),"",IF(V141=Constants!$B$3,TRUE(),IF(V141=Constants!$B$4,FALSE(),TRUE())))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IF(ISBLANK($C141),"",IF(X141=Constants!$B$3,TRUE(),IF(X141=Constants!$B$4,FALSE(),FALSE())))</f>
        <v/>
      </c>
      <c r="AZ141" s="93" t="str">
        <f aca="false">IF(ISBLANK($C141),"",MIN(Constants!$B$31,MAX(0,IF(ISNUMBER(Y141),Y141*60,0)+IF(ISNUMBER(Z141),Z141,0))))</f>
        <v/>
      </c>
      <c r="BA141" s="93" t="str">
        <f aca="false">IF(ISBLANK($C141),"",IF(AA141=Constants!$B$3,TRUE(),IF(AA141=Constants!$B$4,FALSE(),FALSE())))</f>
        <v/>
      </c>
      <c r="BB141" s="92" t="str">
        <f aca="false">IF(ISBLANK($C141),"",AND($AL141,OR($AM141="",$AN141="",AND($AO141,$AP141=""))))</f>
        <v/>
      </c>
      <c r="BC141" s="94" t="str">
        <f aca="false">IF($BZ141&lt;&gt;Constants!$B$8,"",IF($AL141,Constants!$B$21*$AN141+Constants!$B$22*IF($AO141,$AP141,Constants!$B$23),Constants!$B$24))</f>
        <v/>
      </c>
      <c r="BD141" s="97" t="str">
        <f aca="false">IF($BZ141&lt;&gt;Constants!$B$8,"",Constants!$B$25*ABS($AD$9-IF($AL141,$AM141,0)))</f>
        <v/>
      </c>
      <c r="BE141" s="97" t="str">
        <f aca="false">IF($BZ141&lt;&gt;Constants!$B$8,"",IF(AND($AL141,$AQ141,$AO141),Constants!$B$27,0))</f>
        <v/>
      </c>
      <c r="BF141" s="97" t="str">
        <f aca="false">IF($BZ141&lt;&gt;Constants!$B$8,"",IF($AL141,($AI141-Constants!$B$29)*Constants!$B$28,0))</f>
        <v/>
      </c>
      <c r="BG141" s="97" t="str">
        <f aca="false">IF($BZ141&lt;&gt;Constants!$B$8,"",IF($AK141,0,Constants!$B$15)+IF($AJ141,0,Constants!$B$16)+IF($AH141,0,Constants!$B$17))</f>
        <v/>
      </c>
      <c r="BH141" s="98" t="str">
        <f aca="false">IF($BZ141&lt;&gt;Constants!$B$8,"",Constants!$B$20+SUM($BC141:$BG141))</f>
        <v/>
      </c>
      <c r="BI141" s="97" t="str">
        <f aca="false">IF($BZ141&lt;&gt;Constants!$B$8,"",$BC141)</f>
        <v/>
      </c>
      <c r="BJ141" s="97" t="str">
        <f aca="false">IF($BZ141&lt;&gt;Constants!$B$8,"",$BD141)</f>
        <v/>
      </c>
      <c r="BK141" s="97" t="str">
        <f aca="false">IF($BZ141&lt;&gt;Constants!$B$8,"",IF($AL141,$AN141,""))</f>
        <v/>
      </c>
      <c r="BL141" s="99" t="str">
        <f aca="false">IF($BZ141&lt;&gt;Constants!$B$8,"",$AI141)</f>
        <v/>
      </c>
      <c r="BM141" s="93" t="str">
        <f aca="false">IF($BZ141&lt;&gt;Constants!$B$8,"",IF(OR($BT141&lt;$BH141,AND($BT141=$BH141,OR($BU141&lt;$BI141,AND($BU141=$BI141,OR($BV141&lt;$BJ141,AND($BV141=$BJ141,OR(AND(ISNUMBER($BW141),OR(NOT(ISNUMBER($BK141)),$BW141&lt;$BK141)),AND(OR(AND($BW141="",$BK141=""),AND(ISNUMBER($BW141),ISNUMBER($BK141),$BW141=$BK141)),$BX141&lt;$BL141)))))))),"-&gt;","&lt;-"))</f>
        <v/>
      </c>
      <c r="BN141" s="92" t="str">
        <f aca="false">IF(ISBLANK($C141),"",AND($AT141,OR($AU141="",$AV141="",AND($AW141,$AX141=""))))</f>
        <v/>
      </c>
      <c r="BO141" s="94" t="str">
        <f aca="false">IF($BZ141&lt;&gt;Constants!$B$8,"",IF($AT141,Constants!$B$21*$AV141+Constants!$B$22*IF($AW141,$AX141,Constants!$B$23),Constants!$B$24))</f>
        <v/>
      </c>
      <c r="BP141" s="97" t="str">
        <f aca="false">IF($BZ141&lt;&gt;Constants!$B$8,"",Constants!$B$25*ABS($AD$9-IF($AT141,$AU141,0)))</f>
        <v/>
      </c>
      <c r="BQ141" s="97" t="str">
        <f aca="false">IF($BZ141&lt;&gt;Constants!$B$8,"",IF(AND($AT141,$AY141,$AW141),Constants!$B$27,0))</f>
        <v/>
      </c>
      <c r="BR141" s="97" t="str">
        <f aca="false">IF($BZ141&lt;&gt;Constants!$B$8,"",IF($AT141,($AI141-Constants!$B$29)*Constants!$B$28,0))</f>
        <v/>
      </c>
      <c r="BS141" s="97" t="str">
        <f aca="false">IF($BZ141&lt;&gt;Constants!$B$8,"",IF($AS141,0,Constants!$B$15)+IF($AR141,0,Constants!$B$16)+IF($AH141,0,Constants!$B$17))</f>
        <v/>
      </c>
      <c r="BT141" s="98" t="str">
        <f aca="false">IF($BZ141&lt;&gt;Constants!$B$8,"",Constants!$B$20+SUM($BO141:$BS141))</f>
        <v/>
      </c>
      <c r="BU141" s="97" t="str">
        <f aca="false">IF($BZ141&lt;&gt;Constants!$B$8,"",$BO141)</f>
        <v/>
      </c>
      <c r="BV141" s="97" t="str">
        <f aca="false">IF($BZ141&lt;&gt;Constants!$B$8,"",$BP141)</f>
        <v/>
      </c>
      <c r="BW141" s="97" t="str">
        <f aca="false">IF($BZ141&lt;&gt;Constants!$B$8,"",IF($AT141,$AV141,""))</f>
        <v/>
      </c>
      <c r="BX141" s="99" t="str">
        <f aca="false">IF($BZ141&lt;&gt;Constants!$B$8,"",$AI141)</f>
        <v/>
      </c>
      <c r="BY141" s="93" t="str">
        <f aca="false">IF(ISBLANK($C141),"",IF(ISBLANK($D$7),$BY$5,IF(NOT(ISNUMBER($D$7)),$BY$6,"")))</f>
        <v/>
      </c>
      <c r="BZ141" s="93" t="str">
        <f aca="false">IF(ISBLANK($C141),"",IF($BA141,Constants!$B$11,IF(COUNTA($E141:$AA141)=0,Constants!$B$10,IF(NOT($AG141),Constants!$B$9,IF(OR($BY141&lt;&gt;"",$BB141,$BN141),Constants!$B$12,Constants!$B$8)))))</f>
        <v/>
      </c>
      <c r="CA141" s="93" t="str">
        <f aca="false">IF(ISBLANK($C141),"",IF($BZ141&lt;&gt;Constants!$B$8,$BZ141,Constants!$B$13))</f>
        <v/>
      </c>
      <c r="CB141" s="97" t="str">
        <f aca="false">IF($BZ141&lt;&gt;Constants!$B$8,"",IF($BM141="-&gt;",$BT141,$BH141))</f>
        <v/>
      </c>
      <c r="CC141" s="97" t="str">
        <f aca="false">IF($BZ141&lt;&gt;Constants!$B$8,"",IF($AF141,0,Constants!$B$18))</f>
        <v/>
      </c>
      <c r="CD141" s="97" t="str">
        <f aca="false">IF($BZ141&lt;&gt;Constants!$B$8,"",((Constants!$B$31-$AZ141)-Constants!$B$31)/Constants!$B$32)</f>
        <v/>
      </c>
      <c r="CE141" s="97" t="str">
        <f aca="false">IF(ISBLANK($C141),"",IF($BZ141&lt;&gt;Constants!$B$8,$BZ141,SUM($CB141:$CD141)))</f>
        <v/>
      </c>
      <c r="CF141" s="93" t="str">
        <f aca="false">IF(ISBLANK($C141),"",IF($BZ141&lt;&gt;Constants!$B$8,$BZ141,RANK($CE141,$CE$9:$CE$508,1)))</f>
        <v/>
      </c>
      <c r="CG141" s="97" t="str">
        <f aca="false">IF($BZ141&lt;&gt;Constants!$B$8,"",IF($BM141="-&gt;",$BU141,$BI141))</f>
        <v/>
      </c>
      <c r="CH141" s="93" t="str">
        <f aca="false">IF(ISBLANK($C141),"",IF($BZ141&lt;&gt;Constants!$B$8,$BZ141,IF(ISNUMBER($CG141),RANK($CG141,$CG$9:$CG$508,1),COUNT($CG$9:$CG$508)+1)))</f>
        <v/>
      </c>
      <c r="CI141" s="97" t="str">
        <f aca="false">IF($BZ141&lt;&gt;Constants!$B$8,"",IF($BM141="-&gt;",$BV141,$BJ141))</f>
        <v/>
      </c>
      <c r="CJ141" s="93" t="str">
        <f aca="false">IF(ISBLANK($C141),"",IF($BZ141&lt;&gt;Constants!$B$8,$BZ141,IF(ISNUMBER($CI141),RANK($CI141,$CI$9:$CI$508,1),COUNT($CI$9:$CI$508)+1)))</f>
        <v/>
      </c>
      <c r="CK141" s="97" t="str">
        <f aca="false">IF($BZ141&lt;&gt;Constants!$B$8,"",IF($BM141="-&gt;",$BW141,$BK141))</f>
        <v/>
      </c>
      <c r="CL141" s="93" t="str">
        <f aca="false">IF(ISBLANK($C141),"",IF($BZ141&lt;&gt;Constants!$B$8,$BZ141,IF(ISNUMBER($CK141),RANK($CK141,$CK$9:$CK$508,1),COUNT($CK$9:$CK$508)+1)))</f>
        <v/>
      </c>
      <c r="CM141" s="97" t="str">
        <f aca="false">IF($BZ141&lt;&gt;Constants!$B$8,"",IF(AND(NOT($AL141),NOT($AT141),$AJ141,$AK141,$AR141,$AS141),"",IF($BM141="-&gt;",$BX141,$BL141)))</f>
        <v/>
      </c>
      <c r="CN141" s="93" t="str">
        <f aca="false">IF(ISBLANK($C141),"",IF($BZ141&lt;&gt;Constants!$B$8,$BZ141,IF(ISNUMBER($CM141),RANK($CM141,$CM$9:$CM$508,1),COUNT($CM$9:$CM$508)+1)))</f>
        <v/>
      </c>
      <c r="CO141" s="93" t="str">
        <f aca="false">IF(ISBLANK($C141),"",IF($BZ141&lt;&gt;Constants!$B$8,$BZ141,COUNTIFS($CF$9:$CF$508,"&lt;"&amp;$CF141)+COUNTIFS($CF$9:$CF$508,$CF141,$CH$9:$CH$508,"&lt;"&amp;$CH141)+COUNTIFS($CF$9:$CF$508,$CF141,$CH$9:$CH$508,$CH141,$CJ$9:$CJ$508,"&lt;"&amp;$CJ141)+COUNTIFS($CF$9:$CF$508,$CF141,$CH$9:$CH$508,$CH141,$CJ$9:$CJ$508,$CJ141,$CL$9:$CL$508,"&lt;"&amp;$CL141)+COUNTIFS($CF$9:$CF$508,$CF141,$CH$9:$CH$508,$CH141,$CJ$9:$CJ$508,$CJ141,$CL$9:$CL$508,$CL141,$CN$9:$CN$508,"&lt;"&amp;$CN141)+1))</f>
        <v/>
      </c>
      <c r="CP141" s="93" t="str">
        <f aca="false">IF(ISBLANK($C141),"",IF($BZ141&lt;&gt;Constants!$B$8,$BZ141,$CF141-$CO141))</f>
        <v/>
      </c>
      <c r="CQ141" s="100"/>
      <c r="CR141" s="101"/>
      <c r="CS141" s="102" t="str">
        <f aca="false">IF(ISBLANK($C141),"",IF($BZ141=Constants!$B$12,$BY141,""))</f>
        <v/>
      </c>
      <c r="CT141" s="101" t="str">
        <f aca="false">IF(ISBLANK($C141),"",IF($BZ141&lt;&gt;Constants!$B$8,"",IF($BM141="-&gt;",2,1)))</f>
        <v/>
      </c>
      <c r="CU141" s="103" t="str">
        <f aca="false">IF(ISBLANK($C141),"",IF($BZ141&lt;&gt;Constants!$B$8,"",IF($BM141="-&gt;",$BO141,$BC141)))</f>
        <v/>
      </c>
      <c r="CV141" s="103" t="str">
        <f aca="false">IF(ISBLANK($C141),"",IF($BZ141&lt;&gt;Constants!$B$8,"",IF($BM141="-&gt;",$BP141,$BD141)))</f>
        <v/>
      </c>
      <c r="CW141" s="103" t="str">
        <f aca="false">IF(ISBLANK($C141),"",IF($BZ141&lt;&gt;Constants!$B$8,"",IF($BM141="-&gt;",$BQ141+$BR141,$BE141+$BF141)+$CD141))</f>
        <v/>
      </c>
      <c r="CX141" s="103" t="str">
        <f aca="false">IF(ISBLANK($C141),"",IF($BZ141&lt;&gt;Constants!$B$8,"",IF($BM141="-&gt;",$BS141,$BG141)+$CC141))</f>
        <v/>
      </c>
      <c r="CY141" s="104" t="str">
        <f aca="false">IF(ISBLANK($C141),"",IF($BZ141&lt;&gt;Constants!$B$8,$BZ141,$CE141))</f>
        <v/>
      </c>
      <c r="CZ141" s="105" t="str">
        <f aca="false">IF(ISBLANK($C141),"",$CA141)</f>
        <v/>
      </c>
      <c r="DA141" s="106" t="str">
        <f aca="false">IF(ISBLANK($C141),"",$CP141)</f>
        <v/>
      </c>
      <c r="DB141" s="106" t="str">
        <f aca="false">IF(ISBLANK($C141),"",$CO141)</f>
        <v/>
      </c>
      <c r="DC141" s="107" t="str">
        <f aca="false">IF(ISBLANK($C141),"",IFERROR(_xlfn.SWITCH($DB141,Constants!$B$11,COUNTA($C$9:$C$508)+2,Constants!$B$10,COUNTA($C$9:$C$508)+1,Constants!$B$9,COUNTA($C$9:$C$508)),$DB141))</f>
        <v/>
      </c>
      <c r="DD141" s="9"/>
      <c r="DE141" s="108" t="n">
        <f aca="false">IF(OR(ISNUMBER($DB141),$DB141=Constants!$B$11,$DB141=Constants!$B$9,$DB141=Constants!$B$10),1,0)</f>
        <v>0</v>
      </c>
      <c r="DF141" s="108" t="n">
        <v>133</v>
      </c>
      <c r="DG141" s="108" t="str">
        <f aca="false">IF(ISBLANK($C141),"",IF(ISNUMBER($DC141),$DC141+ROW($B141)/1000,""))</f>
        <v/>
      </c>
      <c r="DH141" s="108" t="str">
        <f aca="false">IF(ISNUMBER($DG141),RANK($DG141,$DG$9:$DG$508,1),"")</f>
        <v/>
      </c>
      <c r="DI141" s="108" t="str">
        <f aca="false">IF(ISBLANK($C141),"",$B141)</f>
        <v/>
      </c>
      <c r="DJ141" s="108" t="str">
        <f aca="false">IF(ISBLANK($C141),"",$C141)</f>
        <v/>
      </c>
      <c r="DK141" s="108" t="str">
        <f aca="false">IF(ISBLANK($C141),"",$D141)</f>
        <v/>
      </c>
      <c r="DL141" s="109" t="str">
        <f aca="false">$CZ141</f>
        <v/>
      </c>
      <c r="DM141" s="110" t="str">
        <f aca="false">$CY141</f>
        <v/>
      </c>
      <c r="DN141" s="108" t="str">
        <f aca="false">IF(ISBLANK($C141),"",$DB141)</f>
        <v/>
      </c>
      <c r="DO141" s="111" t="str">
        <f aca="false">IF($DF141&gt;$DE$8,"",VLOOKUP($DF141,$DH$9:$DN$508,7,FALSE()))</f>
        <v/>
      </c>
      <c r="DP141" s="112" t="str">
        <f aca="false">IF($DF141&gt;$DE$8,"",VLOOKUP($DF141,$DH$9:$DN$508,2,FALSE()))</f>
        <v/>
      </c>
      <c r="DQ141" s="112" t="str">
        <f aca="false">IF($DF141&gt;$DE$8,"",VLOOKUP($DF141,$DH$9:$DN$508,3,FALSE()))</f>
        <v/>
      </c>
      <c r="DR141" s="112" t="str">
        <f aca="false">IF($DF141&gt;$DE$8,"",VLOOKUP($DF141,$DH$9:$DN$508,4,FALSE()))</f>
        <v/>
      </c>
      <c r="DS141" s="112" t="str">
        <f aca="false">IF($DF141&gt;$DE$8,"",VLOOKUP($DF141,$DH$9:$DN$508,5,FALSE()))</f>
        <v/>
      </c>
      <c r="DT141" s="113" t="str">
        <f aca="false">IF($DF141&gt;$DE$8,"",VLOOKUP($DF141,$DH$9:$DN$508,6,FALSE()))</f>
        <v/>
      </c>
      <c r="DU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IF(ISBLANK($C142),"",IF(E142=Constants!$B$3,TRUE(),IF(E142=Constants!$B$4,FALSE(),TRUE())))</f>
        <v/>
      </c>
      <c r="AG142" s="93" t="str">
        <f aca="false">IF(ISBLANK($C142),"",IF(F142=Constants!$B$3,TRUE(),IF(F142=Constants!$B$4,FALSE(),TRUE())))</f>
        <v/>
      </c>
      <c r="AH142" s="93" t="str">
        <f aca="false">IF(ISBLANK($C142),"",IF(G142=Constants!$B$3,TRUE(),IF(G142=Constants!$B$4,FALSE(),TRUE())))</f>
        <v/>
      </c>
      <c r="AI142" s="93" t="str">
        <f aca="false">IF(ISBLANK($C142),"",IF(AND(ISNUMBER(H142),H142&gt;=0),H142,Constants!$B$29))</f>
        <v/>
      </c>
      <c r="AJ142" s="93" t="str">
        <f aca="false">IF(ISBLANK($C142),"",IF(I142=Constants!$B$3,TRUE(),IF(I142=Constants!$B$4,FALSE(),TRUE())))</f>
        <v/>
      </c>
      <c r="AK142" s="93" t="str">
        <f aca="false">IF(ISBLANK($C142),"",IF(J142=Constants!$B$3,TRUE(),IF(J142=Constants!$B$4,FALSE(),TRUE())))</f>
        <v/>
      </c>
      <c r="AL142" s="93" t="str">
        <f aca="false">IF(ISBLANK($C142),"",IF(K142=Constants!$B$5,TRUE(),IF(K142=Constants!$B$6,FALSE(),COUNTA(L142:P142)&gt;0)))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IF(ISBLANK($C142),"",IF(N142=Constants!$B$3,TRUE(),IF(N142=Constants!$B$4,FALSE(),TRUE())))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IF(ISBLANK($C142),"",IF(P142=Constants!$B$3,TRUE(),IF(P142=Constants!$B$4,FALSE(),FALSE())))</f>
        <v/>
      </c>
      <c r="AR142" s="93" t="str">
        <f aca="false">IF(ISBLANK($C142),"",IF(Q142=Constants!$B$3,TRUE(),IF(Q142=Constants!$B$4,FALSE(),TRUE())))</f>
        <v/>
      </c>
      <c r="AS142" s="93" t="str">
        <f aca="false">IF(ISBLANK($C142),"",IF(R142=Constants!$B$3,TRUE(),IF(R142=Constants!$B$4,FALSE(),TRUE())))</f>
        <v/>
      </c>
      <c r="AT142" s="93" t="str">
        <f aca="false">IF(ISBLANK($C142),"",IF(S142=Constants!$B$5,TRUE(),IF(S142=Constants!$B$6,FALSE(),COUNTA(T142:X142)&gt;0)))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IF(ISBLANK($C142),"",IF(V142=Constants!$B$3,TRUE(),IF(V142=Constants!$B$4,FALSE(),TRUE())))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IF(ISBLANK($C142),"",IF(X142=Constants!$B$3,TRUE(),IF(X142=Constants!$B$4,FALSE(),FALSE())))</f>
        <v/>
      </c>
      <c r="AZ142" s="93" t="str">
        <f aca="false">IF(ISBLANK($C142),"",MIN(Constants!$B$31,MAX(0,IF(ISNUMBER(Y142),Y142*60,0)+IF(ISNUMBER(Z142),Z142,0))))</f>
        <v/>
      </c>
      <c r="BA142" s="93" t="str">
        <f aca="false">IF(ISBLANK($C142),"",IF(AA142=Constants!$B$3,TRUE(),IF(AA142=Constants!$B$4,FALSE(),FALSE())))</f>
        <v/>
      </c>
      <c r="BB142" s="92" t="str">
        <f aca="false">IF(ISBLANK($C142),"",AND($AL142,OR($AM142="",$AN142="",AND($AO142,$AP142=""))))</f>
        <v/>
      </c>
      <c r="BC142" s="94" t="str">
        <f aca="false">IF($BZ142&lt;&gt;Constants!$B$8,"",IF($AL142,Constants!$B$21*$AN142+Constants!$B$22*IF($AO142,$AP142,Constants!$B$23),Constants!$B$24))</f>
        <v/>
      </c>
      <c r="BD142" s="97" t="str">
        <f aca="false">IF($BZ142&lt;&gt;Constants!$B$8,"",Constants!$B$25*ABS($AD$9-IF($AL142,$AM142,0)))</f>
        <v/>
      </c>
      <c r="BE142" s="97" t="str">
        <f aca="false">IF($BZ142&lt;&gt;Constants!$B$8,"",IF(AND($AL142,$AQ142,$AO142),Constants!$B$27,0))</f>
        <v/>
      </c>
      <c r="BF142" s="97" t="str">
        <f aca="false">IF($BZ142&lt;&gt;Constants!$B$8,"",IF($AL142,($AI142-Constants!$B$29)*Constants!$B$28,0))</f>
        <v/>
      </c>
      <c r="BG142" s="97" t="str">
        <f aca="false">IF($BZ142&lt;&gt;Constants!$B$8,"",IF($AK142,0,Constants!$B$15)+IF($AJ142,0,Constants!$B$16)+IF($AH142,0,Constants!$B$17))</f>
        <v/>
      </c>
      <c r="BH142" s="98" t="str">
        <f aca="false">IF($BZ142&lt;&gt;Constants!$B$8,"",Constants!$B$20+SUM($BC142:$BG142))</f>
        <v/>
      </c>
      <c r="BI142" s="97" t="str">
        <f aca="false">IF($BZ142&lt;&gt;Constants!$B$8,"",$BC142)</f>
        <v/>
      </c>
      <c r="BJ142" s="97" t="str">
        <f aca="false">IF($BZ142&lt;&gt;Constants!$B$8,"",$BD142)</f>
        <v/>
      </c>
      <c r="BK142" s="97" t="str">
        <f aca="false">IF($BZ142&lt;&gt;Constants!$B$8,"",IF($AL142,$AN142,""))</f>
        <v/>
      </c>
      <c r="BL142" s="99" t="str">
        <f aca="false">IF($BZ142&lt;&gt;Constants!$B$8,"",$AI142)</f>
        <v/>
      </c>
      <c r="BM142" s="93" t="str">
        <f aca="false">IF($BZ142&lt;&gt;Constants!$B$8,"",IF(OR($BT142&lt;$BH142,AND($BT142=$BH142,OR($BU142&lt;$BI142,AND($BU142=$BI142,OR($BV142&lt;$BJ142,AND($BV142=$BJ142,OR(AND(ISNUMBER($BW142),OR(NOT(ISNUMBER($BK142)),$BW142&lt;$BK142)),AND(OR(AND($BW142="",$BK142=""),AND(ISNUMBER($BW142),ISNUMBER($BK142),$BW142=$BK142)),$BX142&lt;$BL142)))))))),"-&gt;","&lt;-"))</f>
        <v/>
      </c>
      <c r="BN142" s="92" t="str">
        <f aca="false">IF(ISBLANK($C142),"",AND($AT142,OR($AU142="",$AV142="",AND($AW142,$AX142=""))))</f>
        <v/>
      </c>
      <c r="BO142" s="94" t="str">
        <f aca="false">IF($BZ142&lt;&gt;Constants!$B$8,"",IF($AT142,Constants!$B$21*$AV142+Constants!$B$22*IF($AW142,$AX142,Constants!$B$23),Constants!$B$24))</f>
        <v/>
      </c>
      <c r="BP142" s="97" t="str">
        <f aca="false">IF($BZ142&lt;&gt;Constants!$B$8,"",Constants!$B$25*ABS($AD$9-IF($AT142,$AU142,0)))</f>
        <v/>
      </c>
      <c r="BQ142" s="97" t="str">
        <f aca="false">IF($BZ142&lt;&gt;Constants!$B$8,"",IF(AND($AT142,$AY142,$AW142),Constants!$B$27,0))</f>
        <v/>
      </c>
      <c r="BR142" s="97" t="str">
        <f aca="false">IF($BZ142&lt;&gt;Constants!$B$8,"",IF($AT142,($AI142-Constants!$B$29)*Constants!$B$28,0))</f>
        <v/>
      </c>
      <c r="BS142" s="97" t="str">
        <f aca="false">IF($BZ142&lt;&gt;Constants!$B$8,"",IF($AS142,0,Constants!$B$15)+IF($AR142,0,Constants!$B$16)+IF($AH142,0,Constants!$B$17))</f>
        <v/>
      </c>
      <c r="BT142" s="98" t="str">
        <f aca="false">IF($BZ142&lt;&gt;Constants!$B$8,"",Constants!$B$20+SUM($BO142:$BS142))</f>
        <v/>
      </c>
      <c r="BU142" s="97" t="str">
        <f aca="false">IF($BZ142&lt;&gt;Constants!$B$8,"",$BO142)</f>
        <v/>
      </c>
      <c r="BV142" s="97" t="str">
        <f aca="false">IF($BZ142&lt;&gt;Constants!$B$8,"",$BP142)</f>
        <v/>
      </c>
      <c r="BW142" s="97" t="str">
        <f aca="false">IF($BZ142&lt;&gt;Constants!$B$8,"",IF($AT142,$AV142,""))</f>
        <v/>
      </c>
      <c r="BX142" s="99" t="str">
        <f aca="false">IF($BZ142&lt;&gt;Constants!$B$8,"",$AI142)</f>
        <v/>
      </c>
      <c r="BY142" s="93" t="str">
        <f aca="false">IF(ISBLANK($C142),"",IF(ISBLANK($D$7),$BY$5,IF(NOT(ISNUMBER($D$7)),$BY$6,"")))</f>
        <v/>
      </c>
      <c r="BZ142" s="93" t="str">
        <f aca="false">IF(ISBLANK($C142),"",IF($BA142,Constants!$B$11,IF(COUNTA($E142:$AA142)=0,Constants!$B$10,IF(NOT($AG142),Constants!$B$9,IF(OR($BY142&lt;&gt;"",$BB142,$BN142),Constants!$B$12,Constants!$B$8)))))</f>
        <v/>
      </c>
      <c r="CA142" s="93" t="str">
        <f aca="false">IF(ISBLANK($C142),"",IF($BZ142&lt;&gt;Constants!$B$8,$BZ142,Constants!$B$13))</f>
        <v/>
      </c>
      <c r="CB142" s="97" t="str">
        <f aca="false">IF($BZ142&lt;&gt;Constants!$B$8,"",IF($BM142="-&gt;",$BT142,$BH142))</f>
        <v/>
      </c>
      <c r="CC142" s="97" t="str">
        <f aca="false">IF($BZ142&lt;&gt;Constants!$B$8,"",IF($AF142,0,Constants!$B$18))</f>
        <v/>
      </c>
      <c r="CD142" s="97" t="str">
        <f aca="false">IF($BZ142&lt;&gt;Constants!$B$8,"",((Constants!$B$31-$AZ142)-Constants!$B$31)/Constants!$B$32)</f>
        <v/>
      </c>
      <c r="CE142" s="97" t="str">
        <f aca="false">IF(ISBLANK($C142),"",IF($BZ142&lt;&gt;Constants!$B$8,$BZ142,SUM($CB142:$CD142)))</f>
        <v/>
      </c>
      <c r="CF142" s="93" t="str">
        <f aca="false">IF(ISBLANK($C142),"",IF($BZ142&lt;&gt;Constants!$B$8,$BZ142,RANK($CE142,$CE$9:$CE$508,1)))</f>
        <v/>
      </c>
      <c r="CG142" s="97" t="str">
        <f aca="false">IF($BZ142&lt;&gt;Constants!$B$8,"",IF($BM142="-&gt;",$BU142,$BI142))</f>
        <v/>
      </c>
      <c r="CH142" s="93" t="str">
        <f aca="false">IF(ISBLANK($C142),"",IF($BZ142&lt;&gt;Constants!$B$8,$BZ142,IF(ISNUMBER($CG142),RANK($CG142,$CG$9:$CG$508,1),COUNT($CG$9:$CG$508)+1)))</f>
        <v/>
      </c>
      <c r="CI142" s="97" t="str">
        <f aca="false">IF($BZ142&lt;&gt;Constants!$B$8,"",IF($BM142="-&gt;",$BV142,$BJ142))</f>
        <v/>
      </c>
      <c r="CJ142" s="93" t="str">
        <f aca="false">IF(ISBLANK($C142),"",IF($BZ142&lt;&gt;Constants!$B$8,$BZ142,IF(ISNUMBER($CI142),RANK($CI142,$CI$9:$CI$508,1),COUNT($CI$9:$CI$508)+1)))</f>
        <v/>
      </c>
      <c r="CK142" s="97" t="str">
        <f aca="false">IF($BZ142&lt;&gt;Constants!$B$8,"",IF($BM142="-&gt;",$BW142,$BK142))</f>
        <v/>
      </c>
      <c r="CL142" s="93" t="str">
        <f aca="false">IF(ISBLANK($C142),"",IF($BZ142&lt;&gt;Constants!$B$8,$BZ142,IF(ISNUMBER($CK142),RANK($CK142,$CK$9:$CK$508,1),COUNT($CK$9:$CK$508)+1)))</f>
        <v/>
      </c>
      <c r="CM142" s="97" t="str">
        <f aca="false">IF($BZ142&lt;&gt;Constants!$B$8,"",IF(AND(NOT($AL142),NOT($AT142),$AJ142,$AK142,$AR142,$AS142),"",IF($BM142="-&gt;",$BX142,$BL142)))</f>
        <v/>
      </c>
      <c r="CN142" s="93" t="str">
        <f aca="false">IF(ISBLANK($C142),"",IF($BZ142&lt;&gt;Constants!$B$8,$BZ142,IF(ISNUMBER($CM142),RANK($CM142,$CM$9:$CM$508,1),COUNT($CM$9:$CM$508)+1)))</f>
        <v/>
      </c>
      <c r="CO142" s="93" t="str">
        <f aca="false">IF(ISBLANK($C142),"",IF($BZ142&lt;&gt;Constants!$B$8,$BZ142,COUNTIFS($CF$9:$CF$508,"&lt;"&amp;$CF142)+COUNTIFS($CF$9:$CF$508,$CF142,$CH$9:$CH$508,"&lt;"&amp;$CH142)+COUNTIFS($CF$9:$CF$508,$CF142,$CH$9:$CH$508,$CH142,$CJ$9:$CJ$508,"&lt;"&amp;$CJ142)+COUNTIFS($CF$9:$CF$508,$CF142,$CH$9:$CH$508,$CH142,$CJ$9:$CJ$508,$CJ142,$CL$9:$CL$508,"&lt;"&amp;$CL142)+COUNTIFS($CF$9:$CF$508,$CF142,$CH$9:$CH$508,$CH142,$CJ$9:$CJ$508,$CJ142,$CL$9:$CL$508,$CL142,$CN$9:$CN$508,"&lt;"&amp;$CN142)+1))</f>
        <v/>
      </c>
      <c r="CP142" s="93" t="str">
        <f aca="false">IF(ISBLANK($C142),"",IF($BZ142&lt;&gt;Constants!$B$8,$BZ142,$CF142-$CO142))</f>
        <v/>
      </c>
      <c r="CQ142" s="100"/>
      <c r="CR142" s="101"/>
      <c r="CS142" s="102" t="str">
        <f aca="false">IF(ISBLANK($C142),"",IF($BZ142=Constants!$B$12,$BY142,""))</f>
        <v/>
      </c>
      <c r="CT142" s="101" t="str">
        <f aca="false">IF(ISBLANK($C142),"",IF($BZ142&lt;&gt;Constants!$B$8,"",IF($BM142="-&gt;",2,1)))</f>
        <v/>
      </c>
      <c r="CU142" s="103" t="str">
        <f aca="false">IF(ISBLANK($C142),"",IF($BZ142&lt;&gt;Constants!$B$8,"",IF($BM142="-&gt;",$BO142,$BC142)))</f>
        <v/>
      </c>
      <c r="CV142" s="103" t="str">
        <f aca="false">IF(ISBLANK($C142),"",IF($BZ142&lt;&gt;Constants!$B$8,"",IF($BM142="-&gt;",$BP142,$BD142)))</f>
        <v/>
      </c>
      <c r="CW142" s="103" t="str">
        <f aca="false">IF(ISBLANK($C142),"",IF($BZ142&lt;&gt;Constants!$B$8,"",IF($BM142="-&gt;",$BQ142+$BR142,$BE142+$BF142)+$CD142))</f>
        <v/>
      </c>
      <c r="CX142" s="103" t="str">
        <f aca="false">IF(ISBLANK($C142),"",IF($BZ142&lt;&gt;Constants!$B$8,"",IF($BM142="-&gt;",$BS142,$BG142)+$CC142))</f>
        <v/>
      </c>
      <c r="CY142" s="104" t="str">
        <f aca="false">IF(ISBLANK($C142),"",IF($BZ142&lt;&gt;Constants!$B$8,$BZ142,$CE142))</f>
        <v/>
      </c>
      <c r="CZ142" s="105" t="str">
        <f aca="false">IF(ISBLANK($C142),"",$CA142)</f>
        <v/>
      </c>
      <c r="DA142" s="106" t="str">
        <f aca="false">IF(ISBLANK($C142),"",$CP142)</f>
        <v/>
      </c>
      <c r="DB142" s="106" t="str">
        <f aca="false">IF(ISBLANK($C142),"",$CO142)</f>
        <v/>
      </c>
      <c r="DC142" s="107" t="str">
        <f aca="false">IF(ISBLANK($C142),"",IFERROR(_xlfn.SWITCH($DB142,Constants!$B$11,COUNTA($C$9:$C$508)+2,Constants!$B$10,COUNTA($C$9:$C$508)+1,Constants!$B$9,COUNTA($C$9:$C$508)),$DB142))</f>
        <v/>
      </c>
      <c r="DD142" s="9"/>
      <c r="DE142" s="108" t="n">
        <f aca="false">IF(OR(ISNUMBER($DB142),$DB142=Constants!$B$11,$DB142=Constants!$B$9,$DB142=Constants!$B$10),1,0)</f>
        <v>0</v>
      </c>
      <c r="DF142" s="108" t="n">
        <v>134</v>
      </c>
      <c r="DG142" s="108" t="str">
        <f aca="false">IF(ISBLANK($C142),"",IF(ISNUMBER($DC142),$DC142+ROW($B142)/1000,""))</f>
        <v/>
      </c>
      <c r="DH142" s="108" t="str">
        <f aca="false">IF(ISNUMBER($DG142),RANK($DG142,$DG$9:$DG$508,1),"")</f>
        <v/>
      </c>
      <c r="DI142" s="108" t="str">
        <f aca="false">IF(ISBLANK($C142),"",$B142)</f>
        <v/>
      </c>
      <c r="DJ142" s="108" t="str">
        <f aca="false">IF(ISBLANK($C142),"",$C142)</f>
        <v/>
      </c>
      <c r="DK142" s="108" t="str">
        <f aca="false">IF(ISBLANK($C142),"",$D142)</f>
        <v/>
      </c>
      <c r="DL142" s="109" t="str">
        <f aca="false">$CZ142</f>
        <v/>
      </c>
      <c r="DM142" s="110" t="str">
        <f aca="false">$CY142</f>
        <v/>
      </c>
      <c r="DN142" s="108" t="str">
        <f aca="false">IF(ISBLANK($C142),"",$DB142)</f>
        <v/>
      </c>
      <c r="DO142" s="111" t="str">
        <f aca="false">IF($DF142&gt;$DE$8,"",VLOOKUP($DF142,$DH$9:$DN$508,7,FALSE()))</f>
        <v/>
      </c>
      <c r="DP142" s="112" t="str">
        <f aca="false">IF($DF142&gt;$DE$8,"",VLOOKUP($DF142,$DH$9:$DN$508,2,FALSE()))</f>
        <v/>
      </c>
      <c r="DQ142" s="112" t="str">
        <f aca="false">IF($DF142&gt;$DE$8,"",VLOOKUP($DF142,$DH$9:$DN$508,3,FALSE()))</f>
        <v/>
      </c>
      <c r="DR142" s="112" t="str">
        <f aca="false">IF($DF142&gt;$DE$8,"",VLOOKUP($DF142,$DH$9:$DN$508,4,FALSE()))</f>
        <v/>
      </c>
      <c r="DS142" s="112" t="str">
        <f aca="false">IF($DF142&gt;$DE$8,"",VLOOKUP($DF142,$DH$9:$DN$508,5,FALSE()))</f>
        <v/>
      </c>
      <c r="DT142" s="113" t="str">
        <f aca="false">IF($DF142&gt;$DE$8,"",VLOOKUP($DF142,$DH$9:$DN$508,6,FALSE()))</f>
        <v/>
      </c>
      <c r="DU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IF(ISBLANK($C143),"",IF(E143=Constants!$B$3,TRUE(),IF(E143=Constants!$B$4,FALSE(),TRUE())))</f>
        <v/>
      </c>
      <c r="AG143" s="93" t="str">
        <f aca="false">IF(ISBLANK($C143),"",IF(F143=Constants!$B$3,TRUE(),IF(F143=Constants!$B$4,FALSE(),TRUE())))</f>
        <v/>
      </c>
      <c r="AH143" s="93" t="str">
        <f aca="false">IF(ISBLANK($C143),"",IF(G143=Constants!$B$3,TRUE(),IF(G143=Constants!$B$4,FALSE(),TRUE())))</f>
        <v/>
      </c>
      <c r="AI143" s="93" t="str">
        <f aca="false">IF(ISBLANK($C143),"",IF(AND(ISNUMBER(H143),H143&gt;=0),H143,Constants!$B$29))</f>
        <v/>
      </c>
      <c r="AJ143" s="93" t="str">
        <f aca="false">IF(ISBLANK($C143),"",IF(I143=Constants!$B$3,TRUE(),IF(I143=Constants!$B$4,FALSE(),TRUE())))</f>
        <v/>
      </c>
      <c r="AK143" s="93" t="str">
        <f aca="false">IF(ISBLANK($C143),"",IF(J143=Constants!$B$3,TRUE(),IF(J143=Constants!$B$4,FALSE(),TRUE())))</f>
        <v/>
      </c>
      <c r="AL143" s="93" t="str">
        <f aca="false">IF(ISBLANK($C143),"",IF(K143=Constants!$B$5,TRUE(),IF(K143=Constants!$B$6,FALSE(),COUNTA(L143:P143)&gt;0)))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IF(ISBLANK($C143),"",IF(N143=Constants!$B$3,TRUE(),IF(N143=Constants!$B$4,FALSE(),TRUE())))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IF(ISBLANK($C143),"",IF(P143=Constants!$B$3,TRUE(),IF(P143=Constants!$B$4,FALSE(),FALSE())))</f>
        <v/>
      </c>
      <c r="AR143" s="93" t="str">
        <f aca="false">IF(ISBLANK($C143),"",IF(Q143=Constants!$B$3,TRUE(),IF(Q143=Constants!$B$4,FALSE(),TRUE())))</f>
        <v/>
      </c>
      <c r="AS143" s="93" t="str">
        <f aca="false">IF(ISBLANK($C143),"",IF(R143=Constants!$B$3,TRUE(),IF(R143=Constants!$B$4,FALSE(),TRUE())))</f>
        <v/>
      </c>
      <c r="AT143" s="93" t="str">
        <f aca="false">IF(ISBLANK($C143),"",IF(S143=Constants!$B$5,TRUE(),IF(S143=Constants!$B$6,FALSE(),COUNTA(T143:X143)&gt;0)))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IF(ISBLANK($C143),"",IF(V143=Constants!$B$3,TRUE(),IF(V143=Constants!$B$4,FALSE(),TRUE())))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IF(ISBLANK($C143),"",IF(X143=Constants!$B$3,TRUE(),IF(X143=Constants!$B$4,FALSE(),FALSE())))</f>
        <v/>
      </c>
      <c r="AZ143" s="93" t="str">
        <f aca="false">IF(ISBLANK($C143),"",MIN(Constants!$B$31,MAX(0,IF(ISNUMBER(Y143),Y143*60,0)+IF(ISNUMBER(Z143),Z143,0))))</f>
        <v/>
      </c>
      <c r="BA143" s="93" t="str">
        <f aca="false">IF(ISBLANK($C143),"",IF(AA143=Constants!$B$3,TRUE(),IF(AA143=Constants!$B$4,FALSE(),FALSE())))</f>
        <v/>
      </c>
      <c r="BB143" s="92" t="str">
        <f aca="false">IF(ISBLANK($C143),"",AND($AL143,OR($AM143="",$AN143="",AND($AO143,$AP143=""))))</f>
        <v/>
      </c>
      <c r="BC143" s="94" t="str">
        <f aca="false">IF($BZ143&lt;&gt;Constants!$B$8,"",IF($AL143,Constants!$B$21*$AN143+Constants!$B$22*IF($AO143,$AP143,Constants!$B$23),Constants!$B$24))</f>
        <v/>
      </c>
      <c r="BD143" s="97" t="str">
        <f aca="false">IF($BZ143&lt;&gt;Constants!$B$8,"",Constants!$B$25*ABS($AD$9-IF($AL143,$AM143,0)))</f>
        <v/>
      </c>
      <c r="BE143" s="97" t="str">
        <f aca="false">IF($BZ143&lt;&gt;Constants!$B$8,"",IF(AND($AL143,$AQ143,$AO143),Constants!$B$27,0))</f>
        <v/>
      </c>
      <c r="BF143" s="97" t="str">
        <f aca="false">IF($BZ143&lt;&gt;Constants!$B$8,"",IF($AL143,($AI143-Constants!$B$29)*Constants!$B$28,0))</f>
        <v/>
      </c>
      <c r="BG143" s="97" t="str">
        <f aca="false">IF($BZ143&lt;&gt;Constants!$B$8,"",IF($AK143,0,Constants!$B$15)+IF($AJ143,0,Constants!$B$16)+IF($AH143,0,Constants!$B$17))</f>
        <v/>
      </c>
      <c r="BH143" s="98" t="str">
        <f aca="false">IF($BZ143&lt;&gt;Constants!$B$8,"",Constants!$B$20+SUM($BC143:$BG143))</f>
        <v/>
      </c>
      <c r="BI143" s="97" t="str">
        <f aca="false">IF($BZ143&lt;&gt;Constants!$B$8,"",$BC143)</f>
        <v/>
      </c>
      <c r="BJ143" s="97" t="str">
        <f aca="false">IF($BZ143&lt;&gt;Constants!$B$8,"",$BD143)</f>
        <v/>
      </c>
      <c r="BK143" s="97" t="str">
        <f aca="false">IF($BZ143&lt;&gt;Constants!$B$8,"",IF($AL143,$AN143,""))</f>
        <v/>
      </c>
      <c r="BL143" s="99" t="str">
        <f aca="false">IF($BZ143&lt;&gt;Constants!$B$8,"",$AI143)</f>
        <v/>
      </c>
      <c r="BM143" s="93" t="str">
        <f aca="false">IF($BZ143&lt;&gt;Constants!$B$8,"",IF(OR($BT143&lt;$BH143,AND($BT143=$BH143,OR($BU143&lt;$BI143,AND($BU143=$BI143,OR($BV143&lt;$BJ143,AND($BV143=$BJ143,OR(AND(ISNUMBER($BW143),OR(NOT(ISNUMBER($BK143)),$BW143&lt;$BK143)),AND(OR(AND($BW143="",$BK143=""),AND(ISNUMBER($BW143),ISNUMBER($BK143),$BW143=$BK143)),$BX143&lt;$BL143)))))))),"-&gt;","&lt;-"))</f>
        <v/>
      </c>
      <c r="BN143" s="92" t="str">
        <f aca="false">IF(ISBLANK($C143),"",AND($AT143,OR($AU143="",$AV143="",AND($AW143,$AX143=""))))</f>
        <v/>
      </c>
      <c r="BO143" s="94" t="str">
        <f aca="false">IF($BZ143&lt;&gt;Constants!$B$8,"",IF($AT143,Constants!$B$21*$AV143+Constants!$B$22*IF($AW143,$AX143,Constants!$B$23),Constants!$B$24))</f>
        <v/>
      </c>
      <c r="BP143" s="97" t="str">
        <f aca="false">IF($BZ143&lt;&gt;Constants!$B$8,"",Constants!$B$25*ABS($AD$9-IF($AT143,$AU143,0)))</f>
        <v/>
      </c>
      <c r="BQ143" s="97" t="str">
        <f aca="false">IF($BZ143&lt;&gt;Constants!$B$8,"",IF(AND($AT143,$AY143,$AW143),Constants!$B$27,0))</f>
        <v/>
      </c>
      <c r="BR143" s="97" t="str">
        <f aca="false">IF($BZ143&lt;&gt;Constants!$B$8,"",IF($AT143,($AI143-Constants!$B$29)*Constants!$B$28,0))</f>
        <v/>
      </c>
      <c r="BS143" s="97" t="str">
        <f aca="false">IF($BZ143&lt;&gt;Constants!$B$8,"",IF($AS143,0,Constants!$B$15)+IF($AR143,0,Constants!$B$16)+IF($AH143,0,Constants!$B$17))</f>
        <v/>
      </c>
      <c r="BT143" s="98" t="str">
        <f aca="false">IF($BZ143&lt;&gt;Constants!$B$8,"",Constants!$B$20+SUM($BO143:$BS143))</f>
        <v/>
      </c>
      <c r="BU143" s="97" t="str">
        <f aca="false">IF($BZ143&lt;&gt;Constants!$B$8,"",$BO143)</f>
        <v/>
      </c>
      <c r="BV143" s="97" t="str">
        <f aca="false">IF($BZ143&lt;&gt;Constants!$B$8,"",$BP143)</f>
        <v/>
      </c>
      <c r="BW143" s="97" t="str">
        <f aca="false">IF($BZ143&lt;&gt;Constants!$B$8,"",IF($AT143,$AV143,""))</f>
        <v/>
      </c>
      <c r="BX143" s="99" t="str">
        <f aca="false">IF($BZ143&lt;&gt;Constants!$B$8,"",$AI143)</f>
        <v/>
      </c>
      <c r="BY143" s="93" t="str">
        <f aca="false">IF(ISBLANK($C143),"",IF(ISBLANK($D$7),$BY$5,IF(NOT(ISNUMBER($D$7)),$BY$6,"")))</f>
        <v/>
      </c>
      <c r="BZ143" s="93" t="str">
        <f aca="false">IF(ISBLANK($C143),"",IF($BA143,Constants!$B$11,IF(COUNTA($E143:$AA143)=0,Constants!$B$10,IF(NOT($AG143),Constants!$B$9,IF(OR($BY143&lt;&gt;"",$BB143,$BN143),Constants!$B$12,Constants!$B$8)))))</f>
        <v/>
      </c>
      <c r="CA143" s="93" t="str">
        <f aca="false">IF(ISBLANK($C143),"",IF($BZ143&lt;&gt;Constants!$B$8,$BZ143,Constants!$B$13))</f>
        <v/>
      </c>
      <c r="CB143" s="97" t="str">
        <f aca="false">IF($BZ143&lt;&gt;Constants!$B$8,"",IF($BM143="-&gt;",$BT143,$BH143))</f>
        <v/>
      </c>
      <c r="CC143" s="97" t="str">
        <f aca="false">IF($BZ143&lt;&gt;Constants!$B$8,"",IF($AF143,0,Constants!$B$18))</f>
        <v/>
      </c>
      <c r="CD143" s="97" t="str">
        <f aca="false">IF($BZ143&lt;&gt;Constants!$B$8,"",((Constants!$B$31-$AZ143)-Constants!$B$31)/Constants!$B$32)</f>
        <v/>
      </c>
      <c r="CE143" s="97" t="str">
        <f aca="false">IF(ISBLANK($C143),"",IF($BZ143&lt;&gt;Constants!$B$8,$BZ143,SUM($CB143:$CD143)))</f>
        <v/>
      </c>
      <c r="CF143" s="93" t="str">
        <f aca="false">IF(ISBLANK($C143),"",IF($BZ143&lt;&gt;Constants!$B$8,$BZ143,RANK($CE143,$CE$9:$CE$508,1)))</f>
        <v/>
      </c>
      <c r="CG143" s="97" t="str">
        <f aca="false">IF($BZ143&lt;&gt;Constants!$B$8,"",IF($BM143="-&gt;",$BU143,$BI143))</f>
        <v/>
      </c>
      <c r="CH143" s="93" t="str">
        <f aca="false">IF(ISBLANK($C143),"",IF($BZ143&lt;&gt;Constants!$B$8,$BZ143,IF(ISNUMBER($CG143),RANK($CG143,$CG$9:$CG$508,1),COUNT($CG$9:$CG$508)+1)))</f>
        <v/>
      </c>
      <c r="CI143" s="97" t="str">
        <f aca="false">IF($BZ143&lt;&gt;Constants!$B$8,"",IF($BM143="-&gt;",$BV143,$BJ143))</f>
        <v/>
      </c>
      <c r="CJ143" s="93" t="str">
        <f aca="false">IF(ISBLANK($C143),"",IF($BZ143&lt;&gt;Constants!$B$8,$BZ143,IF(ISNUMBER($CI143),RANK($CI143,$CI$9:$CI$508,1),COUNT($CI$9:$CI$508)+1)))</f>
        <v/>
      </c>
      <c r="CK143" s="97" t="str">
        <f aca="false">IF($BZ143&lt;&gt;Constants!$B$8,"",IF($BM143="-&gt;",$BW143,$BK143))</f>
        <v/>
      </c>
      <c r="CL143" s="93" t="str">
        <f aca="false">IF(ISBLANK($C143),"",IF($BZ143&lt;&gt;Constants!$B$8,$BZ143,IF(ISNUMBER($CK143),RANK($CK143,$CK$9:$CK$508,1),COUNT($CK$9:$CK$508)+1)))</f>
        <v/>
      </c>
      <c r="CM143" s="97" t="str">
        <f aca="false">IF($BZ143&lt;&gt;Constants!$B$8,"",IF(AND(NOT($AL143),NOT($AT143),$AJ143,$AK143,$AR143,$AS143),"",IF($BM143="-&gt;",$BX143,$BL143)))</f>
        <v/>
      </c>
      <c r="CN143" s="93" t="str">
        <f aca="false">IF(ISBLANK($C143),"",IF($BZ143&lt;&gt;Constants!$B$8,$BZ143,IF(ISNUMBER($CM143),RANK($CM143,$CM$9:$CM$508,1),COUNT($CM$9:$CM$508)+1)))</f>
        <v/>
      </c>
      <c r="CO143" s="93" t="str">
        <f aca="false">IF(ISBLANK($C143),"",IF($BZ143&lt;&gt;Constants!$B$8,$BZ143,COUNTIFS($CF$9:$CF$508,"&lt;"&amp;$CF143)+COUNTIFS($CF$9:$CF$508,$CF143,$CH$9:$CH$508,"&lt;"&amp;$CH143)+COUNTIFS($CF$9:$CF$508,$CF143,$CH$9:$CH$508,$CH143,$CJ$9:$CJ$508,"&lt;"&amp;$CJ143)+COUNTIFS($CF$9:$CF$508,$CF143,$CH$9:$CH$508,$CH143,$CJ$9:$CJ$508,$CJ143,$CL$9:$CL$508,"&lt;"&amp;$CL143)+COUNTIFS($CF$9:$CF$508,$CF143,$CH$9:$CH$508,$CH143,$CJ$9:$CJ$508,$CJ143,$CL$9:$CL$508,$CL143,$CN$9:$CN$508,"&lt;"&amp;$CN143)+1))</f>
        <v/>
      </c>
      <c r="CP143" s="93" t="str">
        <f aca="false">IF(ISBLANK($C143),"",IF($BZ143&lt;&gt;Constants!$B$8,$BZ143,$CF143-$CO143))</f>
        <v/>
      </c>
      <c r="CQ143" s="100"/>
      <c r="CR143" s="101"/>
      <c r="CS143" s="102" t="str">
        <f aca="false">IF(ISBLANK($C143),"",IF($BZ143=Constants!$B$12,$BY143,""))</f>
        <v/>
      </c>
      <c r="CT143" s="101" t="str">
        <f aca="false">IF(ISBLANK($C143),"",IF($BZ143&lt;&gt;Constants!$B$8,"",IF($BM143="-&gt;",2,1)))</f>
        <v/>
      </c>
      <c r="CU143" s="103" t="str">
        <f aca="false">IF(ISBLANK($C143),"",IF($BZ143&lt;&gt;Constants!$B$8,"",IF($BM143="-&gt;",$BO143,$BC143)))</f>
        <v/>
      </c>
      <c r="CV143" s="103" t="str">
        <f aca="false">IF(ISBLANK($C143),"",IF($BZ143&lt;&gt;Constants!$B$8,"",IF($BM143="-&gt;",$BP143,$BD143)))</f>
        <v/>
      </c>
      <c r="CW143" s="103" t="str">
        <f aca="false">IF(ISBLANK($C143),"",IF($BZ143&lt;&gt;Constants!$B$8,"",IF($BM143="-&gt;",$BQ143+$BR143,$BE143+$BF143)+$CD143))</f>
        <v/>
      </c>
      <c r="CX143" s="103" t="str">
        <f aca="false">IF(ISBLANK($C143),"",IF($BZ143&lt;&gt;Constants!$B$8,"",IF($BM143="-&gt;",$BS143,$BG143)+$CC143))</f>
        <v/>
      </c>
      <c r="CY143" s="104" t="str">
        <f aca="false">IF(ISBLANK($C143),"",IF($BZ143&lt;&gt;Constants!$B$8,$BZ143,$CE143))</f>
        <v/>
      </c>
      <c r="CZ143" s="105" t="str">
        <f aca="false">IF(ISBLANK($C143),"",$CA143)</f>
        <v/>
      </c>
      <c r="DA143" s="106" t="str">
        <f aca="false">IF(ISBLANK($C143),"",$CP143)</f>
        <v/>
      </c>
      <c r="DB143" s="106" t="str">
        <f aca="false">IF(ISBLANK($C143),"",$CO143)</f>
        <v/>
      </c>
      <c r="DC143" s="107" t="str">
        <f aca="false">IF(ISBLANK($C143),"",IFERROR(_xlfn.SWITCH($DB143,Constants!$B$11,COUNTA($C$9:$C$508)+2,Constants!$B$10,COUNTA($C$9:$C$508)+1,Constants!$B$9,COUNTA($C$9:$C$508)),$DB143))</f>
        <v/>
      </c>
      <c r="DD143" s="9"/>
      <c r="DE143" s="108" t="n">
        <f aca="false">IF(OR(ISNUMBER($DB143),$DB143=Constants!$B$11,$DB143=Constants!$B$9,$DB143=Constants!$B$10),1,0)</f>
        <v>0</v>
      </c>
      <c r="DF143" s="108" t="n">
        <v>135</v>
      </c>
      <c r="DG143" s="108" t="str">
        <f aca="false">IF(ISBLANK($C143),"",IF(ISNUMBER($DC143),$DC143+ROW($B143)/1000,""))</f>
        <v/>
      </c>
      <c r="DH143" s="108" t="str">
        <f aca="false">IF(ISNUMBER($DG143),RANK($DG143,$DG$9:$DG$508,1),"")</f>
        <v/>
      </c>
      <c r="DI143" s="108" t="str">
        <f aca="false">IF(ISBLANK($C143),"",$B143)</f>
        <v/>
      </c>
      <c r="DJ143" s="108" t="str">
        <f aca="false">IF(ISBLANK($C143),"",$C143)</f>
        <v/>
      </c>
      <c r="DK143" s="108" t="str">
        <f aca="false">IF(ISBLANK($C143),"",$D143)</f>
        <v/>
      </c>
      <c r="DL143" s="109" t="str">
        <f aca="false">$CZ143</f>
        <v/>
      </c>
      <c r="DM143" s="110" t="str">
        <f aca="false">$CY143</f>
        <v/>
      </c>
      <c r="DN143" s="108" t="str">
        <f aca="false">IF(ISBLANK($C143),"",$DB143)</f>
        <v/>
      </c>
      <c r="DO143" s="111" t="str">
        <f aca="false">IF($DF143&gt;$DE$8,"",VLOOKUP($DF143,$DH$9:$DN$508,7,FALSE()))</f>
        <v/>
      </c>
      <c r="DP143" s="112" t="str">
        <f aca="false">IF($DF143&gt;$DE$8,"",VLOOKUP($DF143,$DH$9:$DN$508,2,FALSE()))</f>
        <v/>
      </c>
      <c r="DQ143" s="112" t="str">
        <f aca="false">IF($DF143&gt;$DE$8,"",VLOOKUP($DF143,$DH$9:$DN$508,3,FALSE()))</f>
        <v/>
      </c>
      <c r="DR143" s="112" t="str">
        <f aca="false">IF($DF143&gt;$DE$8,"",VLOOKUP($DF143,$DH$9:$DN$508,4,FALSE()))</f>
        <v/>
      </c>
      <c r="DS143" s="112" t="str">
        <f aca="false">IF($DF143&gt;$DE$8,"",VLOOKUP($DF143,$DH$9:$DN$508,5,FALSE()))</f>
        <v/>
      </c>
      <c r="DT143" s="113" t="str">
        <f aca="false">IF($DF143&gt;$DE$8,"",VLOOKUP($DF143,$DH$9:$DN$508,6,FALSE()))</f>
        <v/>
      </c>
      <c r="DU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IF(ISBLANK($C144),"",IF(E144=Constants!$B$3,TRUE(),IF(E144=Constants!$B$4,FALSE(),TRUE())))</f>
        <v/>
      </c>
      <c r="AG144" s="135" t="str">
        <f aca="false">IF(ISBLANK($C144),"",IF(F144=Constants!$B$3,TRUE(),IF(F144=Constants!$B$4,FALSE(),TRUE())))</f>
        <v/>
      </c>
      <c r="AH144" s="135" t="str">
        <f aca="false">IF(ISBLANK($C144),"",IF(G144=Constants!$B$3,TRUE(),IF(G144=Constants!$B$4,FALSE(),TRUE())))</f>
        <v/>
      </c>
      <c r="AI144" s="135" t="str">
        <f aca="false">IF(ISBLANK($C144),"",IF(AND(ISNUMBER(H144),H144&gt;=0),H144,Constants!$B$29))</f>
        <v/>
      </c>
      <c r="AJ144" s="135" t="str">
        <f aca="false">IF(ISBLANK($C144),"",IF(I144=Constants!$B$3,TRUE(),IF(I144=Constants!$B$4,FALSE(),TRUE())))</f>
        <v/>
      </c>
      <c r="AK144" s="135" t="str">
        <f aca="false">IF(ISBLANK($C144),"",IF(J144=Constants!$B$3,TRUE(),IF(J144=Constants!$B$4,FALSE(),TRUE())))</f>
        <v/>
      </c>
      <c r="AL144" s="135" t="str">
        <f aca="false">IF(ISBLANK($C144),"",IF(K144=Constants!$B$5,TRUE(),IF(K144=Constants!$B$6,FALSE(),COUNTA(L144:P144)&gt;0)))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IF(ISBLANK($C144),"",IF(N144=Constants!$B$3,TRUE(),IF(N144=Constants!$B$4,FALSE(),TRUE())))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IF(ISBLANK($C144),"",IF(P144=Constants!$B$3,TRUE(),IF(P144=Constants!$B$4,FALSE(),FALSE())))</f>
        <v/>
      </c>
      <c r="AR144" s="135" t="str">
        <f aca="false">IF(ISBLANK($C144),"",IF(Q144=Constants!$B$3,TRUE(),IF(Q144=Constants!$B$4,FALSE(),TRUE())))</f>
        <v/>
      </c>
      <c r="AS144" s="135" t="str">
        <f aca="false">IF(ISBLANK($C144),"",IF(R144=Constants!$B$3,TRUE(),IF(R144=Constants!$B$4,FALSE(),TRUE())))</f>
        <v/>
      </c>
      <c r="AT144" s="135" t="str">
        <f aca="false">IF(ISBLANK($C144),"",IF(S144=Constants!$B$5,TRUE(),IF(S144=Constants!$B$6,FALSE(),COUNTA(T144:X144)&gt;0)))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IF(ISBLANK($C144),"",IF(V144=Constants!$B$3,TRUE(),IF(V144=Constants!$B$4,FALSE(),TRUE())))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IF(ISBLANK($C144),"",IF(X144=Constants!$B$3,TRUE(),IF(X144=Constants!$B$4,FALSE(),FALSE())))</f>
        <v/>
      </c>
      <c r="AZ144" s="135" t="str">
        <f aca="false">IF(ISBLANK($C144),"",MIN(Constants!$B$31,MAX(0,IF(ISNUMBER(Y144),Y144*60,0)+IF(ISNUMBER(Z144),Z144,0))))</f>
        <v/>
      </c>
      <c r="BA144" s="135" t="str">
        <f aca="false">IF(ISBLANK($C144),"",IF(AA144=Constants!$B$3,TRUE(),IF(AA144=Constants!$B$4,FALSE(),FALSE())))</f>
        <v/>
      </c>
      <c r="BB144" s="134" t="str">
        <f aca="false">IF(ISBLANK($C144),"",AND($AL144,OR($AM144="",$AN144="",AND($AO144,$AP144=""))))</f>
        <v/>
      </c>
      <c r="BC144" s="137" t="str">
        <f aca="false">IF($BZ144&lt;&gt;Constants!$B$8,"",IF($AL144,Constants!$B$21*$AN144+Constants!$B$22*IF($AO144,$AP144,Constants!$B$23),Constants!$B$24))</f>
        <v/>
      </c>
      <c r="BD144" s="138" t="str">
        <f aca="false">IF($BZ144&lt;&gt;Constants!$B$8,"",Constants!$B$25*ABS($AD$9-IF($AL144,$AM144,0)))</f>
        <v/>
      </c>
      <c r="BE144" s="138" t="str">
        <f aca="false">IF($BZ144&lt;&gt;Constants!$B$8,"",IF(AND($AL144,$AQ144,$AO144),Constants!$B$27,0))</f>
        <v/>
      </c>
      <c r="BF144" s="138" t="str">
        <f aca="false">IF($BZ144&lt;&gt;Constants!$B$8,"",IF($AL144,($AI144-Constants!$B$29)*Constants!$B$28,0))</f>
        <v/>
      </c>
      <c r="BG144" s="138" t="str">
        <f aca="false">IF($BZ144&lt;&gt;Constants!$B$8,"",IF($AK144,0,Constants!$B$15)+IF($AJ144,0,Constants!$B$16)+IF($AH144,0,Constants!$B$17))</f>
        <v/>
      </c>
      <c r="BH144" s="139" t="str">
        <f aca="false">IF($BZ144&lt;&gt;Constants!$B$8,"",Constants!$B$20+SUM($BC144:$BG144))</f>
        <v/>
      </c>
      <c r="BI144" s="138" t="str">
        <f aca="false">IF($BZ144&lt;&gt;Constants!$B$8,"",$BC144)</f>
        <v/>
      </c>
      <c r="BJ144" s="138" t="str">
        <f aca="false">IF($BZ144&lt;&gt;Constants!$B$8,"",$BD144)</f>
        <v/>
      </c>
      <c r="BK144" s="138" t="str">
        <f aca="false">IF($BZ144&lt;&gt;Constants!$B$8,"",IF($AL144,$AN144,""))</f>
        <v/>
      </c>
      <c r="BL144" s="140" t="str">
        <f aca="false">IF($BZ144&lt;&gt;Constants!$B$8,"",$AI144)</f>
        <v/>
      </c>
      <c r="BM144" s="135" t="str">
        <f aca="false">IF($BZ144&lt;&gt;Constants!$B$8,"",IF(OR($BT144&lt;$BH144,AND($BT144=$BH144,OR($BU144&lt;$BI144,AND($BU144=$BI144,OR($BV144&lt;$BJ144,AND($BV144=$BJ144,OR(AND(ISNUMBER($BW144),OR(NOT(ISNUMBER($BK144)),$BW144&lt;$BK144)),AND(OR(AND($BW144="",$BK144=""),AND(ISNUMBER($BW144),ISNUMBER($BK144),$BW144=$BK144)),$BX144&lt;$BL144)))))))),"-&gt;","&lt;-"))</f>
        <v/>
      </c>
      <c r="BN144" s="134" t="str">
        <f aca="false">IF(ISBLANK($C144),"",AND($AT144,OR($AU144="",$AV144="",AND($AW144,$AX144=""))))</f>
        <v/>
      </c>
      <c r="BO144" s="137" t="str">
        <f aca="false">IF($BZ144&lt;&gt;Constants!$B$8,"",IF($AT144,Constants!$B$21*$AV144+Constants!$B$22*IF($AW144,$AX144,Constants!$B$23),Constants!$B$24))</f>
        <v/>
      </c>
      <c r="BP144" s="138" t="str">
        <f aca="false">IF($BZ144&lt;&gt;Constants!$B$8,"",Constants!$B$25*ABS($AD$9-IF($AT144,$AU144,0)))</f>
        <v/>
      </c>
      <c r="BQ144" s="138" t="str">
        <f aca="false">IF($BZ144&lt;&gt;Constants!$B$8,"",IF(AND($AT144,$AY144,$AW144),Constants!$B$27,0))</f>
        <v/>
      </c>
      <c r="BR144" s="138" t="str">
        <f aca="false">IF($BZ144&lt;&gt;Constants!$B$8,"",IF($AT144,($AI144-Constants!$B$29)*Constants!$B$28,0))</f>
        <v/>
      </c>
      <c r="BS144" s="138" t="str">
        <f aca="false">IF($BZ144&lt;&gt;Constants!$B$8,"",IF($AS144,0,Constants!$B$15)+IF($AR144,0,Constants!$B$16)+IF($AH144,0,Constants!$B$17))</f>
        <v/>
      </c>
      <c r="BT144" s="139" t="str">
        <f aca="false">IF($BZ144&lt;&gt;Constants!$B$8,"",Constants!$B$20+SUM($BO144:$BS144))</f>
        <v/>
      </c>
      <c r="BU144" s="138" t="str">
        <f aca="false">IF($BZ144&lt;&gt;Constants!$B$8,"",$BO144)</f>
        <v/>
      </c>
      <c r="BV144" s="138" t="str">
        <f aca="false">IF($BZ144&lt;&gt;Constants!$B$8,"",$BP144)</f>
        <v/>
      </c>
      <c r="BW144" s="138" t="str">
        <f aca="false">IF($BZ144&lt;&gt;Constants!$B$8,"",IF($AT144,$AV144,""))</f>
        <v/>
      </c>
      <c r="BX144" s="140" t="str">
        <f aca="false">IF($BZ144&lt;&gt;Constants!$B$8,"",$AI144)</f>
        <v/>
      </c>
      <c r="BY144" s="135" t="str">
        <f aca="false">IF(ISBLANK($C144),"",IF(ISBLANK($D$7),$BY$5,IF(NOT(ISNUMBER($D$7)),$BY$6,"")))</f>
        <v/>
      </c>
      <c r="BZ144" s="135" t="str">
        <f aca="false">IF(ISBLANK($C144),"",IF($BA144,Constants!$B$11,IF(COUNTA($E144:$AA144)=0,Constants!$B$10,IF(NOT($AG144),Constants!$B$9,IF(OR($BY144&lt;&gt;"",$BB144,$BN144),Constants!$B$12,Constants!$B$8)))))</f>
        <v/>
      </c>
      <c r="CA144" s="135" t="str">
        <f aca="false">IF(ISBLANK($C144),"",IF($BZ144&lt;&gt;Constants!$B$8,$BZ144,Constants!$B$13))</f>
        <v/>
      </c>
      <c r="CB144" s="138" t="str">
        <f aca="false">IF($BZ144&lt;&gt;Constants!$B$8,"",IF($BM144="-&gt;",$BT144,$BH144))</f>
        <v/>
      </c>
      <c r="CC144" s="138" t="str">
        <f aca="false">IF($BZ144&lt;&gt;Constants!$B$8,"",IF($AF144,0,Constants!$B$18))</f>
        <v/>
      </c>
      <c r="CD144" s="138" t="str">
        <f aca="false">IF($BZ144&lt;&gt;Constants!$B$8,"",((Constants!$B$31-$AZ144)-Constants!$B$31)/Constants!$B$32)</f>
        <v/>
      </c>
      <c r="CE144" s="138" t="str">
        <f aca="false">IF(ISBLANK($C144),"",IF($BZ144&lt;&gt;Constants!$B$8,$BZ144,SUM($CB144:$CD144)))</f>
        <v/>
      </c>
      <c r="CF144" s="135" t="str">
        <f aca="false">IF(ISBLANK($C144),"",IF($BZ144&lt;&gt;Constants!$B$8,$BZ144,RANK($CE144,$CE$9:$CE$508,1)))</f>
        <v/>
      </c>
      <c r="CG144" s="138" t="str">
        <f aca="false">IF($BZ144&lt;&gt;Constants!$B$8,"",IF($BM144="-&gt;",$BU144,$BI144))</f>
        <v/>
      </c>
      <c r="CH144" s="135" t="str">
        <f aca="false">IF(ISBLANK($C144),"",IF($BZ144&lt;&gt;Constants!$B$8,$BZ144,IF(ISNUMBER($CG144),RANK($CG144,$CG$9:$CG$508,1),COUNT($CG$9:$CG$508)+1)))</f>
        <v/>
      </c>
      <c r="CI144" s="138" t="str">
        <f aca="false">IF($BZ144&lt;&gt;Constants!$B$8,"",IF($BM144="-&gt;",$BV144,$BJ144))</f>
        <v/>
      </c>
      <c r="CJ144" s="135" t="str">
        <f aca="false">IF(ISBLANK($C144),"",IF($BZ144&lt;&gt;Constants!$B$8,$BZ144,IF(ISNUMBER($CI144),RANK($CI144,$CI$9:$CI$508,1),COUNT($CI$9:$CI$508)+1)))</f>
        <v/>
      </c>
      <c r="CK144" s="138" t="str">
        <f aca="false">IF($BZ144&lt;&gt;Constants!$B$8,"",IF($BM144="-&gt;",$BW144,$BK144))</f>
        <v/>
      </c>
      <c r="CL144" s="135" t="str">
        <f aca="false">IF(ISBLANK($C144),"",IF($BZ144&lt;&gt;Constants!$B$8,$BZ144,IF(ISNUMBER($CK144),RANK($CK144,$CK$9:$CK$508,1),COUNT($CK$9:$CK$508)+1)))</f>
        <v/>
      </c>
      <c r="CM144" s="138" t="str">
        <f aca="false">IF($BZ144&lt;&gt;Constants!$B$8,"",IF(AND(NOT($AL144),NOT($AT144),$AJ144,$AK144,$AR144,$AS144),"",IF($BM144="-&gt;",$BX144,$BL144)))</f>
        <v/>
      </c>
      <c r="CN144" s="135" t="str">
        <f aca="false">IF(ISBLANK($C144),"",IF($BZ144&lt;&gt;Constants!$B$8,$BZ144,IF(ISNUMBER($CM144),RANK($CM144,$CM$9:$CM$508,1),COUNT($CM$9:$CM$508)+1)))</f>
        <v/>
      </c>
      <c r="CO144" s="135" t="str">
        <f aca="false">IF(ISBLANK($C144),"",IF($BZ144&lt;&gt;Constants!$B$8,$BZ144,COUNTIFS($CF$9:$CF$508,"&lt;"&amp;$CF144)+COUNTIFS($CF$9:$CF$508,$CF144,$CH$9:$CH$508,"&lt;"&amp;$CH144)+COUNTIFS($CF$9:$CF$508,$CF144,$CH$9:$CH$508,$CH144,$CJ$9:$CJ$508,"&lt;"&amp;$CJ144)+COUNTIFS($CF$9:$CF$508,$CF144,$CH$9:$CH$508,$CH144,$CJ$9:$CJ$508,$CJ144,$CL$9:$CL$508,"&lt;"&amp;$CL144)+COUNTIFS($CF$9:$CF$508,$CF144,$CH$9:$CH$508,$CH144,$CJ$9:$CJ$508,$CJ144,$CL$9:$CL$508,$CL144,$CN$9:$CN$508,"&lt;"&amp;$CN144)+1))</f>
        <v/>
      </c>
      <c r="CP144" s="135" t="str">
        <f aca="false">IF(ISBLANK($C144),"",IF($BZ144&lt;&gt;Constants!$B$8,$BZ144,$CF144-$CO144))</f>
        <v/>
      </c>
      <c r="CQ144" s="141"/>
      <c r="CR144" s="142"/>
      <c r="CS144" s="143" t="str">
        <f aca="false">IF(ISBLANK($C144),"",IF($BZ144=Constants!$B$12,$BY144,""))</f>
        <v/>
      </c>
      <c r="CT144" s="142" t="str">
        <f aca="false">IF(ISBLANK($C144),"",IF($BZ144&lt;&gt;Constants!$B$8,"",IF($BM144="-&gt;",2,1)))</f>
        <v/>
      </c>
      <c r="CU144" s="144" t="str">
        <f aca="false">IF(ISBLANK($C144),"",IF($BZ144&lt;&gt;Constants!$B$8,"",IF($BM144="-&gt;",$BO144,$BC144)))</f>
        <v/>
      </c>
      <c r="CV144" s="144" t="str">
        <f aca="false">IF(ISBLANK($C144),"",IF($BZ144&lt;&gt;Constants!$B$8,"",IF($BM144="-&gt;",$BP144,$BD144)))</f>
        <v/>
      </c>
      <c r="CW144" s="144" t="str">
        <f aca="false">IF(ISBLANK($C144),"",IF($BZ144&lt;&gt;Constants!$B$8,"",IF($BM144="-&gt;",$BQ144+$BR144,$BE144+$BF144)+$CD144))</f>
        <v/>
      </c>
      <c r="CX144" s="144" t="str">
        <f aca="false">IF(ISBLANK($C144),"",IF($BZ144&lt;&gt;Constants!$B$8,"",IF($BM144="-&gt;",$BS144,$BG144)+$CC144))</f>
        <v/>
      </c>
      <c r="CY144" s="145" t="str">
        <f aca="false">IF(ISBLANK($C144),"",IF($BZ144&lt;&gt;Constants!$B$8,$BZ144,$CE144))</f>
        <v/>
      </c>
      <c r="CZ144" s="146" t="str">
        <f aca="false">IF(ISBLANK($C144),"",$CA144)</f>
        <v/>
      </c>
      <c r="DA144" s="147" t="str">
        <f aca="false">IF(ISBLANK($C144),"",$CP144)</f>
        <v/>
      </c>
      <c r="DB144" s="147" t="str">
        <f aca="false">IF(ISBLANK($C144),"",$CO144)</f>
        <v/>
      </c>
      <c r="DC144" s="148" t="str">
        <f aca="false">IF(ISBLANK($C144),"",IFERROR(_xlfn.SWITCH($DB144,Constants!$B$11,COUNTA($C$9:$C$508)+2,Constants!$B$10,COUNTA($C$9:$C$508)+1,Constants!$B$9,COUNTA($C$9:$C$508)),$DB144))</f>
        <v/>
      </c>
      <c r="DD144" s="9"/>
      <c r="DE144" s="149" t="n">
        <f aca="false">IF(OR(ISNUMBER($DB144),$DB144=Constants!$B$11,$DB144=Constants!$B$9,$DB144=Constants!$B$10),1,0)</f>
        <v>0</v>
      </c>
      <c r="DF144" s="149" t="n">
        <v>136</v>
      </c>
      <c r="DG144" s="149" t="str">
        <f aca="false">IF(ISBLANK($C144),"",IF(ISNUMBER($DC144),$DC144+ROW($B144)/1000,""))</f>
        <v/>
      </c>
      <c r="DH144" s="149" t="str">
        <f aca="false">IF(ISNUMBER($DG144),RANK($DG144,$DG$9:$DG$508,1),"")</f>
        <v/>
      </c>
      <c r="DI144" s="149" t="str">
        <f aca="false">IF(ISBLANK($C144),"",$B144)</f>
        <v/>
      </c>
      <c r="DJ144" s="149" t="str">
        <f aca="false">IF(ISBLANK($C144),"",$C144)</f>
        <v/>
      </c>
      <c r="DK144" s="149" t="str">
        <f aca="false">IF(ISBLANK($C144),"",$D144)</f>
        <v/>
      </c>
      <c r="DL144" s="150" t="str">
        <f aca="false">$CZ144</f>
        <v/>
      </c>
      <c r="DM144" s="151" t="str">
        <f aca="false">$CY144</f>
        <v/>
      </c>
      <c r="DN144" s="149" t="str">
        <f aca="false">IF(ISBLANK($C144),"",$DB144)</f>
        <v/>
      </c>
      <c r="DO144" s="152" t="str">
        <f aca="false">IF($DF144&gt;$DE$8,"",VLOOKUP($DF144,$DH$9:$DN$508,7,FALSE()))</f>
        <v/>
      </c>
      <c r="DP144" s="153" t="str">
        <f aca="false">IF($DF144&gt;$DE$8,"",VLOOKUP($DF144,$DH$9:$DN$508,2,FALSE()))</f>
        <v/>
      </c>
      <c r="DQ144" s="153" t="str">
        <f aca="false">IF($DF144&gt;$DE$8,"",VLOOKUP($DF144,$DH$9:$DN$508,3,FALSE()))</f>
        <v/>
      </c>
      <c r="DR144" s="153" t="str">
        <f aca="false">IF($DF144&gt;$DE$8,"",VLOOKUP($DF144,$DH$9:$DN$508,4,FALSE()))</f>
        <v/>
      </c>
      <c r="DS144" s="153" t="str">
        <f aca="false">IF($DF144&gt;$DE$8,"",VLOOKUP($DF144,$DH$9:$DN$508,5,FALSE()))</f>
        <v/>
      </c>
      <c r="DT144" s="154" t="str">
        <f aca="false">IF($DF144&gt;$DE$8,"",VLOOKUP($DF144,$DH$9:$DN$508,6,FALSE()))</f>
        <v/>
      </c>
      <c r="DU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IF(ISBLANK($C145),"",IF(E145=Constants!$B$3,TRUE(),IF(E145=Constants!$B$4,FALSE(),TRUE())))</f>
        <v/>
      </c>
      <c r="AG145" s="135" t="str">
        <f aca="false">IF(ISBLANK($C145),"",IF(F145=Constants!$B$3,TRUE(),IF(F145=Constants!$B$4,FALSE(),TRUE())))</f>
        <v/>
      </c>
      <c r="AH145" s="135" t="str">
        <f aca="false">IF(ISBLANK($C145),"",IF(G145=Constants!$B$3,TRUE(),IF(G145=Constants!$B$4,FALSE(),TRUE())))</f>
        <v/>
      </c>
      <c r="AI145" s="135" t="str">
        <f aca="false">IF(ISBLANK($C145),"",IF(AND(ISNUMBER(H145),H145&gt;=0),H145,Constants!$B$29))</f>
        <v/>
      </c>
      <c r="AJ145" s="135" t="str">
        <f aca="false">IF(ISBLANK($C145),"",IF(I145=Constants!$B$3,TRUE(),IF(I145=Constants!$B$4,FALSE(),TRUE())))</f>
        <v/>
      </c>
      <c r="AK145" s="135" t="str">
        <f aca="false">IF(ISBLANK($C145),"",IF(J145=Constants!$B$3,TRUE(),IF(J145=Constants!$B$4,FALSE(),TRUE())))</f>
        <v/>
      </c>
      <c r="AL145" s="135" t="str">
        <f aca="false">IF(ISBLANK($C145),"",IF(K145=Constants!$B$5,TRUE(),IF(K145=Constants!$B$6,FALSE(),COUNTA(L145:P145)&gt;0)))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IF(ISBLANK($C145),"",IF(N145=Constants!$B$3,TRUE(),IF(N145=Constants!$B$4,FALSE(),TRUE())))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IF(ISBLANK($C145),"",IF(P145=Constants!$B$3,TRUE(),IF(P145=Constants!$B$4,FALSE(),FALSE())))</f>
        <v/>
      </c>
      <c r="AR145" s="135" t="str">
        <f aca="false">IF(ISBLANK($C145),"",IF(Q145=Constants!$B$3,TRUE(),IF(Q145=Constants!$B$4,FALSE(),TRUE())))</f>
        <v/>
      </c>
      <c r="AS145" s="135" t="str">
        <f aca="false">IF(ISBLANK($C145),"",IF(R145=Constants!$B$3,TRUE(),IF(R145=Constants!$B$4,FALSE(),TRUE())))</f>
        <v/>
      </c>
      <c r="AT145" s="135" t="str">
        <f aca="false">IF(ISBLANK($C145),"",IF(S145=Constants!$B$5,TRUE(),IF(S145=Constants!$B$6,FALSE(),COUNTA(T145:X145)&gt;0)))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IF(ISBLANK($C145),"",IF(V145=Constants!$B$3,TRUE(),IF(V145=Constants!$B$4,FALSE(),TRUE())))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IF(ISBLANK($C145),"",IF(X145=Constants!$B$3,TRUE(),IF(X145=Constants!$B$4,FALSE(),FALSE())))</f>
        <v/>
      </c>
      <c r="AZ145" s="135" t="str">
        <f aca="false">IF(ISBLANK($C145),"",MIN(Constants!$B$31,MAX(0,IF(ISNUMBER(Y145),Y145*60,0)+IF(ISNUMBER(Z145),Z145,0))))</f>
        <v/>
      </c>
      <c r="BA145" s="135" t="str">
        <f aca="false">IF(ISBLANK($C145),"",IF(AA145=Constants!$B$3,TRUE(),IF(AA145=Constants!$B$4,FALSE(),FALSE())))</f>
        <v/>
      </c>
      <c r="BB145" s="134" t="str">
        <f aca="false">IF(ISBLANK($C145),"",AND($AL145,OR($AM145="",$AN145="",AND($AO145,$AP145=""))))</f>
        <v/>
      </c>
      <c r="BC145" s="137" t="str">
        <f aca="false">IF($BZ145&lt;&gt;Constants!$B$8,"",IF($AL145,Constants!$B$21*$AN145+Constants!$B$22*IF($AO145,$AP145,Constants!$B$23),Constants!$B$24))</f>
        <v/>
      </c>
      <c r="BD145" s="138" t="str">
        <f aca="false">IF($BZ145&lt;&gt;Constants!$B$8,"",Constants!$B$25*ABS($AD$9-IF($AL145,$AM145,0)))</f>
        <v/>
      </c>
      <c r="BE145" s="138" t="str">
        <f aca="false">IF($BZ145&lt;&gt;Constants!$B$8,"",IF(AND($AL145,$AQ145,$AO145),Constants!$B$27,0))</f>
        <v/>
      </c>
      <c r="BF145" s="138" t="str">
        <f aca="false">IF($BZ145&lt;&gt;Constants!$B$8,"",IF($AL145,($AI145-Constants!$B$29)*Constants!$B$28,0))</f>
        <v/>
      </c>
      <c r="BG145" s="138" t="str">
        <f aca="false">IF($BZ145&lt;&gt;Constants!$B$8,"",IF($AK145,0,Constants!$B$15)+IF($AJ145,0,Constants!$B$16)+IF($AH145,0,Constants!$B$17))</f>
        <v/>
      </c>
      <c r="BH145" s="139" t="str">
        <f aca="false">IF($BZ145&lt;&gt;Constants!$B$8,"",Constants!$B$20+SUM($BC145:$BG145))</f>
        <v/>
      </c>
      <c r="BI145" s="138" t="str">
        <f aca="false">IF($BZ145&lt;&gt;Constants!$B$8,"",$BC145)</f>
        <v/>
      </c>
      <c r="BJ145" s="138" t="str">
        <f aca="false">IF($BZ145&lt;&gt;Constants!$B$8,"",$BD145)</f>
        <v/>
      </c>
      <c r="BK145" s="138" t="str">
        <f aca="false">IF($BZ145&lt;&gt;Constants!$B$8,"",IF($AL145,$AN145,""))</f>
        <v/>
      </c>
      <c r="BL145" s="140" t="str">
        <f aca="false">IF($BZ145&lt;&gt;Constants!$B$8,"",$AI145)</f>
        <v/>
      </c>
      <c r="BM145" s="135" t="str">
        <f aca="false">IF($BZ145&lt;&gt;Constants!$B$8,"",IF(OR($BT145&lt;$BH145,AND($BT145=$BH145,OR($BU145&lt;$BI145,AND($BU145=$BI145,OR($BV145&lt;$BJ145,AND($BV145=$BJ145,OR(AND(ISNUMBER($BW145),OR(NOT(ISNUMBER($BK145)),$BW145&lt;$BK145)),AND(OR(AND($BW145="",$BK145=""),AND(ISNUMBER($BW145),ISNUMBER($BK145),$BW145=$BK145)),$BX145&lt;$BL145)))))))),"-&gt;","&lt;-"))</f>
        <v/>
      </c>
      <c r="BN145" s="134" t="str">
        <f aca="false">IF(ISBLANK($C145),"",AND($AT145,OR($AU145="",$AV145="",AND($AW145,$AX145=""))))</f>
        <v/>
      </c>
      <c r="BO145" s="137" t="str">
        <f aca="false">IF($BZ145&lt;&gt;Constants!$B$8,"",IF($AT145,Constants!$B$21*$AV145+Constants!$B$22*IF($AW145,$AX145,Constants!$B$23),Constants!$B$24))</f>
        <v/>
      </c>
      <c r="BP145" s="138" t="str">
        <f aca="false">IF($BZ145&lt;&gt;Constants!$B$8,"",Constants!$B$25*ABS($AD$9-IF($AT145,$AU145,0)))</f>
        <v/>
      </c>
      <c r="BQ145" s="138" t="str">
        <f aca="false">IF($BZ145&lt;&gt;Constants!$B$8,"",IF(AND($AT145,$AY145,$AW145),Constants!$B$27,0))</f>
        <v/>
      </c>
      <c r="BR145" s="138" t="str">
        <f aca="false">IF($BZ145&lt;&gt;Constants!$B$8,"",IF($AT145,($AI145-Constants!$B$29)*Constants!$B$28,0))</f>
        <v/>
      </c>
      <c r="BS145" s="138" t="str">
        <f aca="false">IF($BZ145&lt;&gt;Constants!$B$8,"",IF($AS145,0,Constants!$B$15)+IF($AR145,0,Constants!$B$16)+IF($AH145,0,Constants!$B$17))</f>
        <v/>
      </c>
      <c r="BT145" s="139" t="str">
        <f aca="false">IF($BZ145&lt;&gt;Constants!$B$8,"",Constants!$B$20+SUM($BO145:$BS145))</f>
        <v/>
      </c>
      <c r="BU145" s="138" t="str">
        <f aca="false">IF($BZ145&lt;&gt;Constants!$B$8,"",$BO145)</f>
        <v/>
      </c>
      <c r="BV145" s="138" t="str">
        <f aca="false">IF($BZ145&lt;&gt;Constants!$B$8,"",$BP145)</f>
        <v/>
      </c>
      <c r="BW145" s="138" t="str">
        <f aca="false">IF($BZ145&lt;&gt;Constants!$B$8,"",IF($AT145,$AV145,""))</f>
        <v/>
      </c>
      <c r="BX145" s="140" t="str">
        <f aca="false">IF($BZ145&lt;&gt;Constants!$B$8,"",$AI145)</f>
        <v/>
      </c>
      <c r="BY145" s="135" t="str">
        <f aca="false">IF(ISBLANK($C145),"",IF(ISBLANK($D$7),$BY$5,IF(NOT(ISNUMBER($D$7)),$BY$6,"")))</f>
        <v/>
      </c>
      <c r="BZ145" s="135" t="str">
        <f aca="false">IF(ISBLANK($C145),"",IF($BA145,Constants!$B$11,IF(COUNTA($E145:$AA145)=0,Constants!$B$10,IF(NOT($AG145),Constants!$B$9,IF(OR($BY145&lt;&gt;"",$BB145,$BN145),Constants!$B$12,Constants!$B$8)))))</f>
        <v/>
      </c>
      <c r="CA145" s="135" t="str">
        <f aca="false">IF(ISBLANK($C145),"",IF($BZ145&lt;&gt;Constants!$B$8,$BZ145,Constants!$B$13))</f>
        <v/>
      </c>
      <c r="CB145" s="138" t="str">
        <f aca="false">IF($BZ145&lt;&gt;Constants!$B$8,"",IF($BM145="-&gt;",$BT145,$BH145))</f>
        <v/>
      </c>
      <c r="CC145" s="138" t="str">
        <f aca="false">IF($BZ145&lt;&gt;Constants!$B$8,"",IF($AF145,0,Constants!$B$18))</f>
        <v/>
      </c>
      <c r="CD145" s="138" t="str">
        <f aca="false">IF($BZ145&lt;&gt;Constants!$B$8,"",((Constants!$B$31-$AZ145)-Constants!$B$31)/Constants!$B$32)</f>
        <v/>
      </c>
      <c r="CE145" s="138" t="str">
        <f aca="false">IF(ISBLANK($C145),"",IF($BZ145&lt;&gt;Constants!$B$8,$BZ145,SUM($CB145:$CD145)))</f>
        <v/>
      </c>
      <c r="CF145" s="135" t="str">
        <f aca="false">IF(ISBLANK($C145),"",IF($BZ145&lt;&gt;Constants!$B$8,$BZ145,RANK($CE145,$CE$9:$CE$508,1)))</f>
        <v/>
      </c>
      <c r="CG145" s="138" t="str">
        <f aca="false">IF($BZ145&lt;&gt;Constants!$B$8,"",IF($BM145="-&gt;",$BU145,$BI145))</f>
        <v/>
      </c>
      <c r="CH145" s="135" t="str">
        <f aca="false">IF(ISBLANK($C145),"",IF($BZ145&lt;&gt;Constants!$B$8,$BZ145,IF(ISNUMBER($CG145),RANK($CG145,$CG$9:$CG$508,1),COUNT($CG$9:$CG$508)+1)))</f>
        <v/>
      </c>
      <c r="CI145" s="138" t="str">
        <f aca="false">IF($BZ145&lt;&gt;Constants!$B$8,"",IF($BM145="-&gt;",$BV145,$BJ145))</f>
        <v/>
      </c>
      <c r="CJ145" s="135" t="str">
        <f aca="false">IF(ISBLANK($C145),"",IF($BZ145&lt;&gt;Constants!$B$8,$BZ145,IF(ISNUMBER($CI145),RANK($CI145,$CI$9:$CI$508,1),COUNT($CI$9:$CI$508)+1)))</f>
        <v/>
      </c>
      <c r="CK145" s="138" t="str">
        <f aca="false">IF($BZ145&lt;&gt;Constants!$B$8,"",IF($BM145="-&gt;",$BW145,$BK145))</f>
        <v/>
      </c>
      <c r="CL145" s="135" t="str">
        <f aca="false">IF(ISBLANK($C145),"",IF($BZ145&lt;&gt;Constants!$B$8,$BZ145,IF(ISNUMBER($CK145),RANK($CK145,$CK$9:$CK$508,1),COUNT($CK$9:$CK$508)+1)))</f>
        <v/>
      </c>
      <c r="CM145" s="138" t="str">
        <f aca="false">IF($BZ145&lt;&gt;Constants!$B$8,"",IF(AND(NOT($AL145),NOT($AT145),$AJ145,$AK145,$AR145,$AS145),"",IF($BM145="-&gt;",$BX145,$BL145)))</f>
        <v/>
      </c>
      <c r="CN145" s="135" t="str">
        <f aca="false">IF(ISBLANK($C145),"",IF($BZ145&lt;&gt;Constants!$B$8,$BZ145,IF(ISNUMBER($CM145),RANK($CM145,$CM$9:$CM$508,1),COUNT($CM$9:$CM$508)+1)))</f>
        <v/>
      </c>
      <c r="CO145" s="135" t="str">
        <f aca="false">IF(ISBLANK($C145),"",IF($BZ145&lt;&gt;Constants!$B$8,$BZ145,COUNTIFS($CF$9:$CF$508,"&lt;"&amp;$CF145)+COUNTIFS($CF$9:$CF$508,$CF145,$CH$9:$CH$508,"&lt;"&amp;$CH145)+COUNTIFS($CF$9:$CF$508,$CF145,$CH$9:$CH$508,$CH145,$CJ$9:$CJ$508,"&lt;"&amp;$CJ145)+COUNTIFS($CF$9:$CF$508,$CF145,$CH$9:$CH$508,$CH145,$CJ$9:$CJ$508,$CJ145,$CL$9:$CL$508,"&lt;"&amp;$CL145)+COUNTIFS($CF$9:$CF$508,$CF145,$CH$9:$CH$508,$CH145,$CJ$9:$CJ$508,$CJ145,$CL$9:$CL$508,$CL145,$CN$9:$CN$508,"&lt;"&amp;$CN145)+1))</f>
        <v/>
      </c>
      <c r="CP145" s="135" t="str">
        <f aca="false">IF(ISBLANK($C145),"",IF($BZ145&lt;&gt;Constants!$B$8,$BZ145,$CF145-$CO145))</f>
        <v/>
      </c>
      <c r="CQ145" s="141"/>
      <c r="CR145" s="142"/>
      <c r="CS145" s="143" t="str">
        <f aca="false">IF(ISBLANK($C145),"",IF($BZ145=Constants!$B$12,$BY145,""))</f>
        <v/>
      </c>
      <c r="CT145" s="142" t="str">
        <f aca="false">IF(ISBLANK($C145),"",IF($BZ145&lt;&gt;Constants!$B$8,"",IF($BM145="-&gt;",2,1)))</f>
        <v/>
      </c>
      <c r="CU145" s="144" t="str">
        <f aca="false">IF(ISBLANK($C145),"",IF($BZ145&lt;&gt;Constants!$B$8,"",IF($BM145="-&gt;",$BO145,$BC145)))</f>
        <v/>
      </c>
      <c r="CV145" s="144" t="str">
        <f aca="false">IF(ISBLANK($C145),"",IF($BZ145&lt;&gt;Constants!$B$8,"",IF($BM145="-&gt;",$BP145,$BD145)))</f>
        <v/>
      </c>
      <c r="CW145" s="144" t="str">
        <f aca="false">IF(ISBLANK($C145),"",IF($BZ145&lt;&gt;Constants!$B$8,"",IF($BM145="-&gt;",$BQ145+$BR145,$BE145+$BF145)+$CD145))</f>
        <v/>
      </c>
      <c r="CX145" s="144" t="str">
        <f aca="false">IF(ISBLANK($C145),"",IF($BZ145&lt;&gt;Constants!$B$8,"",IF($BM145="-&gt;",$BS145,$BG145)+$CC145))</f>
        <v/>
      </c>
      <c r="CY145" s="145" t="str">
        <f aca="false">IF(ISBLANK($C145),"",IF($BZ145&lt;&gt;Constants!$B$8,$BZ145,$CE145))</f>
        <v/>
      </c>
      <c r="CZ145" s="146" t="str">
        <f aca="false">IF(ISBLANK($C145),"",$CA145)</f>
        <v/>
      </c>
      <c r="DA145" s="147" t="str">
        <f aca="false">IF(ISBLANK($C145),"",$CP145)</f>
        <v/>
      </c>
      <c r="DB145" s="147" t="str">
        <f aca="false">IF(ISBLANK($C145),"",$CO145)</f>
        <v/>
      </c>
      <c r="DC145" s="148" t="str">
        <f aca="false">IF(ISBLANK($C145),"",IFERROR(_xlfn.SWITCH($DB145,Constants!$B$11,COUNTA($C$9:$C$508)+2,Constants!$B$10,COUNTA($C$9:$C$508)+1,Constants!$B$9,COUNTA($C$9:$C$508)),$DB145))</f>
        <v/>
      </c>
      <c r="DD145" s="9"/>
      <c r="DE145" s="149" t="n">
        <f aca="false">IF(OR(ISNUMBER($DB145),$DB145=Constants!$B$11,$DB145=Constants!$B$9,$DB145=Constants!$B$10),1,0)</f>
        <v>0</v>
      </c>
      <c r="DF145" s="149" t="n">
        <v>137</v>
      </c>
      <c r="DG145" s="149" t="str">
        <f aca="false">IF(ISBLANK($C145),"",IF(ISNUMBER($DC145),$DC145+ROW($B145)/1000,""))</f>
        <v/>
      </c>
      <c r="DH145" s="149" t="str">
        <f aca="false">IF(ISNUMBER($DG145),RANK($DG145,$DG$9:$DG$508,1),"")</f>
        <v/>
      </c>
      <c r="DI145" s="149" t="str">
        <f aca="false">IF(ISBLANK($C145),"",$B145)</f>
        <v/>
      </c>
      <c r="DJ145" s="149" t="str">
        <f aca="false">IF(ISBLANK($C145),"",$C145)</f>
        <v/>
      </c>
      <c r="DK145" s="149" t="str">
        <f aca="false">IF(ISBLANK($C145),"",$D145)</f>
        <v/>
      </c>
      <c r="DL145" s="150" t="str">
        <f aca="false">$CZ145</f>
        <v/>
      </c>
      <c r="DM145" s="151" t="str">
        <f aca="false">$CY145</f>
        <v/>
      </c>
      <c r="DN145" s="149" t="str">
        <f aca="false">IF(ISBLANK($C145),"",$DB145)</f>
        <v/>
      </c>
      <c r="DO145" s="152" t="str">
        <f aca="false">IF($DF145&gt;$DE$8,"",VLOOKUP($DF145,$DH$9:$DN$508,7,FALSE()))</f>
        <v/>
      </c>
      <c r="DP145" s="153" t="str">
        <f aca="false">IF($DF145&gt;$DE$8,"",VLOOKUP($DF145,$DH$9:$DN$508,2,FALSE()))</f>
        <v/>
      </c>
      <c r="DQ145" s="153" t="str">
        <f aca="false">IF($DF145&gt;$DE$8,"",VLOOKUP($DF145,$DH$9:$DN$508,3,FALSE()))</f>
        <v/>
      </c>
      <c r="DR145" s="153" t="str">
        <f aca="false">IF($DF145&gt;$DE$8,"",VLOOKUP($DF145,$DH$9:$DN$508,4,FALSE()))</f>
        <v/>
      </c>
      <c r="DS145" s="153" t="str">
        <f aca="false">IF($DF145&gt;$DE$8,"",VLOOKUP($DF145,$DH$9:$DN$508,5,FALSE()))</f>
        <v/>
      </c>
      <c r="DT145" s="154" t="str">
        <f aca="false">IF($DF145&gt;$DE$8,"",VLOOKUP($DF145,$DH$9:$DN$508,6,FALSE()))</f>
        <v/>
      </c>
      <c r="DU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IF(ISBLANK($C146),"",IF(E146=Constants!$B$3,TRUE(),IF(E146=Constants!$B$4,FALSE(),TRUE())))</f>
        <v/>
      </c>
      <c r="AG146" s="135" t="str">
        <f aca="false">IF(ISBLANK($C146),"",IF(F146=Constants!$B$3,TRUE(),IF(F146=Constants!$B$4,FALSE(),TRUE())))</f>
        <v/>
      </c>
      <c r="AH146" s="135" t="str">
        <f aca="false">IF(ISBLANK($C146),"",IF(G146=Constants!$B$3,TRUE(),IF(G146=Constants!$B$4,FALSE(),TRUE())))</f>
        <v/>
      </c>
      <c r="AI146" s="135" t="str">
        <f aca="false">IF(ISBLANK($C146),"",IF(AND(ISNUMBER(H146),H146&gt;=0),H146,Constants!$B$29))</f>
        <v/>
      </c>
      <c r="AJ146" s="135" t="str">
        <f aca="false">IF(ISBLANK($C146),"",IF(I146=Constants!$B$3,TRUE(),IF(I146=Constants!$B$4,FALSE(),TRUE())))</f>
        <v/>
      </c>
      <c r="AK146" s="135" t="str">
        <f aca="false">IF(ISBLANK($C146),"",IF(J146=Constants!$B$3,TRUE(),IF(J146=Constants!$B$4,FALSE(),TRUE())))</f>
        <v/>
      </c>
      <c r="AL146" s="135" t="str">
        <f aca="false">IF(ISBLANK($C146),"",IF(K146=Constants!$B$5,TRUE(),IF(K146=Constants!$B$6,FALSE(),COUNTA(L146:P146)&gt;0)))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IF(ISBLANK($C146),"",IF(N146=Constants!$B$3,TRUE(),IF(N146=Constants!$B$4,FALSE(),TRUE())))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IF(ISBLANK($C146),"",IF(P146=Constants!$B$3,TRUE(),IF(P146=Constants!$B$4,FALSE(),FALSE())))</f>
        <v/>
      </c>
      <c r="AR146" s="135" t="str">
        <f aca="false">IF(ISBLANK($C146),"",IF(Q146=Constants!$B$3,TRUE(),IF(Q146=Constants!$B$4,FALSE(),TRUE())))</f>
        <v/>
      </c>
      <c r="AS146" s="135" t="str">
        <f aca="false">IF(ISBLANK($C146),"",IF(R146=Constants!$B$3,TRUE(),IF(R146=Constants!$B$4,FALSE(),TRUE())))</f>
        <v/>
      </c>
      <c r="AT146" s="135" t="str">
        <f aca="false">IF(ISBLANK($C146),"",IF(S146=Constants!$B$5,TRUE(),IF(S146=Constants!$B$6,FALSE(),COUNTA(T146:X146)&gt;0)))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IF(ISBLANK($C146),"",IF(V146=Constants!$B$3,TRUE(),IF(V146=Constants!$B$4,FALSE(),TRUE())))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IF(ISBLANK($C146),"",IF(X146=Constants!$B$3,TRUE(),IF(X146=Constants!$B$4,FALSE(),FALSE())))</f>
        <v/>
      </c>
      <c r="AZ146" s="135" t="str">
        <f aca="false">IF(ISBLANK($C146),"",MIN(Constants!$B$31,MAX(0,IF(ISNUMBER(Y146),Y146*60,0)+IF(ISNUMBER(Z146),Z146,0))))</f>
        <v/>
      </c>
      <c r="BA146" s="135" t="str">
        <f aca="false">IF(ISBLANK($C146),"",IF(AA146=Constants!$B$3,TRUE(),IF(AA146=Constants!$B$4,FALSE(),FALSE())))</f>
        <v/>
      </c>
      <c r="BB146" s="134" t="str">
        <f aca="false">IF(ISBLANK($C146),"",AND($AL146,OR($AM146="",$AN146="",AND($AO146,$AP146=""))))</f>
        <v/>
      </c>
      <c r="BC146" s="137" t="str">
        <f aca="false">IF($BZ146&lt;&gt;Constants!$B$8,"",IF($AL146,Constants!$B$21*$AN146+Constants!$B$22*IF($AO146,$AP146,Constants!$B$23),Constants!$B$24))</f>
        <v/>
      </c>
      <c r="BD146" s="138" t="str">
        <f aca="false">IF($BZ146&lt;&gt;Constants!$B$8,"",Constants!$B$25*ABS($AD$9-IF($AL146,$AM146,0)))</f>
        <v/>
      </c>
      <c r="BE146" s="138" t="str">
        <f aca="false">IF($BZ146&lt;&gt;Constants!$B$8,"",IF(AND($AL146,$AQ146,$AO146),Constants!$B$27,0))</f>
        <v/>
      </c>
      <c r="BF146" s="138" t="str">
        <f aca="false">IF($BZ146&lt;&gt;Constants!$B$8,"",IF($AL146,($AI146-Constants!$B$29)*Constants!$B$28,0))</f>
        <v/>
      </c>
      <c r="BG146" s="138" t="str">
        <f aca="false">IF($BZ146&lt;&gt;Constants!$B$8,"",IF($AK146,0,Constants!$B$15)+IF($AJ146,0,Constants!$B$16)+IF($AH146,0,Constants!$B$17))</f>
        <v/>
      </c>
      <c r="BH146" s="139" t="str">
        <f aca="false">IF($BZ146&lt;&gt;Constants!$B$8,"",Constants!$B$20+SUM($BC146:$BG146))</f>
        <v/>
      </c>
      <c r="BI146" s="138" t="str">
        <f aca="false">IF($BZ146&lt;&gt;Constants!$B$8,"",$BC146)</f>
        <v/>
      </c>
      <c r="BJ146" s="138" t="str">
        <f aca="false">IF($BZ146&lt;&gt;Constants!$B$8,"",$BD146)</f>
        <v/>
      </c>
      <c r="BK146" s="138" t="str">
        <f aca="false">IF($BZ146&lt;&gt;Constants!$B$8,"",IF($AL146,$AN146,""))</f>
        <v/>
      </c>
      <c r="BL146" s="140" t="str">
        <f aca="false">IF($BZ146&lt;&gt;Constants!$B$8,"",$AI146)</f>
        <v/>
      </c>
      <c r="BM146" s="135" t="str">
        <f aca="false">IF($BZ146&lt;&gt;Constants!$B$8,"",IF(OR($BT146&lt;$BH146,AND($BT146=$BH146,OR($BU146&lt;$BI146,AND($BU146=$BI146,OR($BV146&lt;$BJ146,AND($BV146=$BJ146,OR(AND(ISNUMBER($BW146),OR(NOT(ISNUMBER($BK146)),$BW146&lt;$BK146)),AND(OR(AND($BW146="",$BK146=""),AND(ISNUMBER($BW146),ISNUMBER($BK146),$BW146=$BK146)),$BX146&lt;$BL146)))))))),"-&gt;","&lt;-"))</f>
        <v/>
      </c>
      <c r="BN146" s="134" t="str">
        <f aca="false">IF(ISBLANK($C146),"",AND($AT146,OR($AU146="",$AV146="",AND($AW146,$AX146=""))))</f>
        <v/>
      </c>
      <c r="BO146" s="137" t="str">
        <f aca="false">IF($BZ146&lt;&gt;Constants!$B$8,"",IF($AT146,Constants!$B$21*$AV146+Constants!$B$22*IF($AW146,$AX146,Constants!$B$23),Constants!$B$24))</f>
        <v/>
      </c>
      <c r="BP146" s="138" t="str">
        <f aca="false">IF($BZ146&lt;&gt;Constants!$B$8,"",Constants!$B$25*ABS($AD$9-IF($AT146,$AU146,0)))</f>
        <v/>
      </c>
      <c r="BQ146" s="138" t="str">
        <f aca="false">IF($BZ146&lt;&gt;Constants!$B$8,"",IF(AND($AT146,$AY146,$AW146),Constants!$B$27,0))</f>
        <v/>
      </c>
      <c r="BR146" s="138" t="str">
        <f aca="false">IF($BZ146&lt;&gt;Constants!$B$8,"",IF($AT146,($AI146-Constants!$B$29)*Constants!$B$28,0))</f>
        <v/>
      </c>
      <c r="BS146" s="138" t="str">
        <f aca="false">IF($BZ146&lt;&gt;Constants!$B$8,"",IF($AS146,0,Constants!$B$15)+IF($AR146,0,Constants!$B$16)+IF($AH146,0,Constants!$B$17))</f>
        <v/>
      </c>
      <c r="BT146" s="139" t="str">
        <f aca="false">IF($BZ146&lt;&gt;Constants!$B$8,"",Constants!$B$20+SUM($BO146:$BS146))</f>
        <v/>
      </c>
      <c r="BU146" s="138" t="str">
        <f aca="false">IF($BZ146&lt;&gt;Constants!$B$8,"",$BO146)</f>
        <v/>
      </c>
      <c r="BV146" s="138" t="str">
        <f aca="false">IF($BZ146&lt;&gt;Constants!$B$8,"",$BP146)</f>
        <v/>
      </c>
      <c r="BW146" s="138" t="str">
        <f aca="false">IF($BZ146&lt;&gt;Constants!$B$8,"",IF($AT146,$AV146,""))</f>
        <v/>
      </c>
      <c r="BX146" s="140" t="str">
        <f aca="false">IF($BZ146&lt;&gt;Constants!$B$8,"",$AI146)</f>
        <v/>
      </c>
      <c r="BY146" s="135" t="str">
        <f aca="false">IF(ISBLANK($C146),"",IF(ISBLANK($D$7),$BY$5,IF(NOT(ISNUMBER($D$7)),$BY$6,"")))</f>
        <v/>
      </c>
      <c r="BZ146" s="135" t="str">
        <f aca="false">IF(ISBLANK($C146),"",IF($BA146,Constants!$B$11,IF(COUNTA($E146:$AA146)=0,Constants!$B$10,IF(NOT($AG146),Constants!$B$9,IF(OR($BY146&lt;&gt;"",$BB146,$BN146),Constants!$B$12,Constants!$B$8)))))</f>
        <v/>
      </c>
      <c r="CA146" s="135" t="str">
        <f aca="false">IF(ISBLANK($C146),"",IF($BZ146&lt;&gt;Constants!$B$8,$BZ146,Constants!$B$13))</f>
        <v/>
      </c>
      <c r="CB146" s="138" t="str">
        <f aca="false">IF($BZ146&lt;&gt;Constants!$B$8,"",IF($BM146="-&gt;",$BT146,$BH146))</f>
        <v/>
      </c>
      <c r="CC146" s="138" t="str">
        <f aca="false">IF($BZ146&lt;&gt;Constants!$B$8,"",IF($AF146,0,Constants!$B$18))</f>
        <v/>
      </c>
      <c r="CD146" s="138" t="str">
        <f aca="false">IF($BZ146&lt;&gt;Constants!$B$8,"",((Constants!$B$31-$AZ146)-Constants!$B$31)/Constants!$B$32)</f>
        <v/>
      </c>
      <c r="CE146" s="138" t="str">
        <f aca="false">IF(ISBLANK($C146),"",IF($BZ146&lt;&gt;Constants!$B$8,$BZ146,SUM($CB146:$CD146)))</f>
        <v/>
      </c>
      <c r="CF146" s="135" t="str">
        <f aca="false">IF(ISBLANK($C146),"",IF($BZ146&lt;&gt;Constants!$B$8,$BZ146,RANK($CE146,$CE$9:$CE$508,1)))</f>
        <v/>
      </c>
      <c r="CG146" s="138" t="str">
        <f aca="false">IF($BZ146&lt;&gt;Constants!$B$8,"",IF($BM146="-&gt;",$BU146,$BI146))</f>
        <v/>
      </c>
      <c r="CH146" s="135" t="str">
        <f aca="false">IF(ISBLANK($C146),"",IF($BZ146&lt;&gt;Constants!$B$8,$BZ146,IF(ISNUMBER($CG146),RANK($CG146,$CG$9:$CG$508,1),COUNT($CG$9:$CG$508)+1)))</f>
        <v/>
      </c>
      <c r="CI146" s="138" t="str">
        <f aca="false">IF($BZ146&lt;&gt;Constants!$B$8,"",IF($BM146="-&gt;",$BV146,$BJ146))</f>
        <v/>
      </c>
      <c r="CJ146" s="135" t="str">
        <f aca="false">IF(ISBLANK($C146),"",IF($BZ146&lt;&gt;Constants!$B$8,$BZ146,IF(ISNUMBER($CI146),RANK($CI146,$CI$9:$CI$508,1),COUNT($CI$9:$CI$508)+1)))</f>
        <v/>
      </c>
      <c r="CK146" s="138" t="str">
        <f aca="false">IF($BZ146&lt;&gt;Constants!$B$8,"",IF($BM146="-&gt;",$BW146,$BK146))</f>
        <v/>
      </c>
      <c r="CL146" s="135" t="str">
        <f aca="false">IF(ISBLANK($C146),"",IF($BZ146&lt;&gt;Constants!$B$8,$BZ146,IF(ISNUMBER($CK146),RANK($CK146,$CK$9:$CK$508,1),COUNT($CK$9:$CK$508)+1)))</f>
        <v/>
      </c>
      <c r="CM146" s="138" t="str">
        <f aca="false">IF($BZ146&lt;&gt;Constants!$B$8,"",IF(AND(NOT($AL146),NOT($AT146),$AJ146,$AK146,$AR146,$AS146),"",IF($BM146="-&gt;",$BX146,$BL146)))</f>
        <v/>
      </c>
      <c r="CN146" s="135" t="str">
        <f aca="false">IF(ISBLANK($C146),"",IF($BZ146&lt;&gt;Constants!$B$8,$BZ146,IF(ISNUMBER($CM146),RANK($CM146,$CM$9:$CM$508,1),COUNT($CM$9:$CM$508)+1)))</f>
        <v/>
      </c>
      <c r="CO146" s="135" t="str">
        <f aca="false">IF(ISBLANK($C146),"",IF($BZ146&lt;&gt;Constants!$B$8,$BZ146,COUNTIFS($CF$9:$CF$508,"&lt;"&amp;$CF146)+COUNTIFS($CF$9:$CF$508,$CF146,$CH$9:$CH$508,"&lt;"&amp;$CH146)+COUNTIFS($CF$9:$CF$508,$CF146,$CH$9:$CH$508,$CH146,$CJ$9:$CJ$508,"&lt;"&amp;$CJ146)+COUNTIFS($CF$9:$CF$508,$CF146,$CH$9:$CH$508,$CH146,$CJ$9:$CJ$508,$CJ146,$CL$9:$CL$508,"&lt;"&amp;$CL146)+COUNTIFS($CF$9:$CF$508,$CF146,$CH$9:$CH$508,$CH146,$CJ$9:$CJ$508,$CJ146,$CL$9:$CL$508,$CL146,$CN$9:$CN$508,"&lt;"&amp;$CN146)+1))</f>
        <v/>
      </c>
      <c r="CP146" s="135" t="str">
        <f aca="false">IF(ISBLANK($C146),"",IF($BZ146&lt;&gt;Constants!$B$8,$BZ146,$CF146-$CO146))</f>
        <v/>
      </c>
      <c r="CQ146" s="141"/>
      <c r="CR146" s="142"/>
      <c r="CS146" s="143" t="str">
        <f aca="false">IF(ISBLANK($C146),"",IF($BZ146=Constants!$B$12,$BY146,""))</f>
        <v/>
      </c>
      <c r="CT146" s="142" t="str">
        <f aca="false">IF(ISBLANK($C146),"",IF($BZ146&lt;&gt;Constants!$B$8,"",IF($BM146="-&gt;",2,1)))</f>
        <v/>
      </c>
      <c r="CU146" s="144" t="str">
        <f aca="false">IF(ISBLANK($C146),"",IF($BZ146&lt;&gt;Constants!$B$8,"",IF($BM146="-&gt;",$BO146,$BC146)))</f>
        <v/>
      </c>
      <c r="CV146" s="144" t="str">
        <f aca="false">IF(ISBLANK($C146),"",IF($BZ146&lt;&gt;Constants!$B$8,"",IF($BM146="-&gt;",$BP146,$BD146)))</f>
        <v/>
      </c>
      <c r="CW146" s="144" t="str">
        <f aca="false">IF(ISBLANK($C146),"",IF($BZ146&lt;&gt;Constants!$B$8,"",IF($BM146="-&gt;",$BQ146+$BR146,$BE146+$BF146)+$CD146))</f>
        <v/>
      </c>
      <c r="CX146" s="144" t="str">
        <f aca="false">IF(ISBLANK($C146),"",IF($BZ146&lt;&gt;Constants!$B$8,"",IF($BM146="-&gt;",$BS146,$BG146)+$CC146))</f>
        <v/>
      </c>
      <c r="CY146" s="145" t="str">
        <f aca="false">IF(ISBLANK($C146),"",IF($BZ146&lt;&gt;Constants!$B$8,$BZ146,$CE146))</f>
        <v/>
      </c>
      <c r="CZ146" s="146" t="str">
        <f aca="false">IF(ISBLANK($C146),"",$CA146)</f>
        <v/>
      </c>
      <c r="DA146" s="147" t="str">
        <f aca="false">IF(ISBLANK($C146),"",$CP146)</f>
        <v/>
      </c>
      <c r="DB146" s="147" t="str">
        <f aca="false">IF(ISBLANK($C146),"",$CO146)</f>
        <v/>
      </c>
      <c r="DC146" s="148" t="str">
        <f aca="false">IF(ISBLANK($C146),"",IFERROR(_xlfn.SWITCH($DB146,Constants!$B$11,COUNTA($C$9:$C$508)+2,Constants!$B$10,COUNTA($C$9:$C$508)+1,Constants!$B$9,COUNTA($C$9:$C$508)),$DB146))</f>
        <v/>
      </c>
      <c r="DD146" s="9"/>
      <c r="DE146" s="149" t="n">
        <f aca="false">IF(OR(ISNUMBER($DB146),$DB146=Constants!$B$11,$DB146=Constants!$B$9,$DB146=Constants!$B$10),1,0)</f>
        <v>0</v>
      </c>
      <c r="DF146" s="149" t="n">
        <v>138</v>
      </c>
      <c r="DG146" s="149" t="str">
        <f aca="false">IF(ISBLANK($C146),"",IF(ISNUMBER($DC146),$DC146+ROW($B146)/1000,""))</f>
        <v/>
      </c>
      <c r="DH146" s="149" t="str">
        <f aca="false">IF(ISNUMBER($DG146),RANK($DG146,$DG$9:$DG$508,1),"")</f>
        <v/>
      </c>
      <c r="DI146" s="149" t="str">
        <f aca="false">IF(ISBLANK($C146),"",$B146)</f>
        <v/>
      </c>
      <c r="DJ146" s="149" t="str">
        <f aca="false">IF(ISBLANK($C146),"",$C146)</f>
        <v/>
      </c>
      <c r="DK146" s="149" t="str">
        <f aca="false">IF(ISBLANK($C146),"",$D146)</f>
        <v/>
      </c>
      <c r="DL146" s="150" t="str">
        <f aca="false">$CZ146</f>
        <v/>
      </c>
      <c r="DM146" s="151" t="str">
        <f aca="false">$CY146</f>
        <v/>
      </c>
      <c r="DN146" s="149" t="str">
        <f aca="false">IF(ISBLANK($C146),"",$DB146)</f>
        <v/>
      </c>
      <c r="DO146" s="152" t="str">
        <f aca="false">IF($DF146&gt;$DE$8,"",VLOOKUP($DF146,$DH$9:$DN$508,7,FALSE()))</f>
        <v/>
      </c>
      <c r="DP146" s="153" t="str">
        <f aca="false">IF($DF146&gt;$DE$8,"",VLOOKUP($DF146,$DH$9:$DN$508,2,FALSE()))</f>
        <v/>
      </c>
      <c r="DQ146" s="153" t="str">
        <f aca="false">IF($DF146&gt;$DE$8,"",VLOOKUP($DF146,$DH$9:$DN$508,3,FALSE()))</f>
        <v/>
      </c>
      <c r="DR146" s="153" t="str">
        <f aca="false">IF($DF146&gt;$DE$8,"",VLOOKUP($DF146,$DH$9:$DN$508,4,FALSE()))</f>
        <v/>
      </c>
      <c r="DS146" s="153" t="str">
        <f aca="false">IF($DF146&gt;$DE$8,"",VLOOKUP($DF146,$DH$9:$DN$508,5,FALSE()))</f>
        <v/>
      </c>
      <c r="DT146" s="154" t="str">
        <f aca="false">IF($DF146&gt;$DE$8,"",VLOOKUP($DF146,$DH$9:$DN$508,6,FALSE()))</f>
        <v/>
      </c>
      <c r="DU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IF(ISBLANK($C147),"",IF(E147=Constants!$B$3,TRUE(),IF(E147=Constants!$B$4,FALSE(),TRUE())))</f>
        <v/>
      </c>
      <c r="AG147" s="93" t="str">
        <f aca="false">IF(ISBLANK($C147),"",IF(F147=Constants!$B$3,TRUE(),IF(F147=Constants!$B$4,FALSE(),TRUE())))</f>
        <v/>
      </c>
      <c r="AH147" s="93" t="str">
        <f aca="false">IF(ISBLANK($C147),"",IF(G147=Constants!$B$3,TRUE(),IF(G147=Constants!$B$4,FALSE(),TRUE())))</f>
        <v/>
      </c>
      <c r="AI147" s="93" t="str">
        <f aca="false">IF(ISBLANK($C147),"",IF(AND(ISNUMBER(H147),H147&gt;=0),H147,Constants!$B$29))</f>
        <v/>
      </c>
      <c r="AJ147" s="93" t="str">
        <f aca="false">IF(ISBLANK($C147),"",IF(I147=Constants!$B$3,TRUE(),IF(I147=Constants!$B$4,FALSE(),TRUE())))</f>
        <v/>
      </c>
      <c r="AK147" s="93" t="str">
        <f aca="false">IF(ISBLANK($C147),"",IF(J147=Constants!$B$3,TRUE(),IF(J147=Constants!$B$4,FALSE(),TRUE())))</f>
        <v/>
      </c>
      <c r="AL147" s="93" t="str">
        <f aca="false">IF(ISBLANK($C147),"",IF(K147=Constants!$B$5,TRUE(),IF(K147=Constants!$B$6,FALSE(),COUNTA(L147:P147)&gt;0)))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IF(ISBLANK($C147),"",IF(N147=Constants!$B$3,TRUE(),IF(N147=Constants!$B$4,FALSE(),TRUE())))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IF(ISBLANK($C147),"",IF(P147=Constants!$B$3,TRUE(),IF(P147=Constants!$B$4,FALSE(),FALSE())))</f>
        <v/>
      </c>
      <c r="AR147" s="93" t="str">
        <f aca="false">IF(ISBLANK($C147),"",IF(Q147=Constants!$B$3,TRUE(),IF(Q147=Constants!$B$4,FALSE(),TRUE())))</f>
        <v/>
      </c>
      <c r="AS147" s="93" t="str">
        <f aca="false">IF(ISBLANK($C147),"",IF(R147=Constants!$B$3,TRUE(),IF(R147=Constants!$B$4,FALSE(),TRUE())))</f>
        <v/>
      </c>
      <c r="AT147" s="93" t="str">
        <f aca="false">IF(ISBLANK($C147),"",IF(S147=Constants!$B$5,TRUE(),IF(S147=Constants!$B$6,FALSE(),COUNTA(T147:X147)&gt;0)))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IF(ISBLANK($C147),"",IF(V147=Constants!$B$3,TRUE(),IF(V147=Constants!$B$4,FALSE(),TRUE())))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IF(ISBLANK($C147),"",IF(X147=Constants!$B$3,TRUE(),IF(X147=Constants!$B$4,FALSE(),FALSE())))</f>
        <v/>
      </c>
      <c r="AZ147" s="93" t="str">
        <f aca="false">IF(ISBLANK($C147),"",MIN(Constants!$B$31,MAX(0,IF(ISNUMBER(Y147),Y147*60,0)+IF(ISNUMBER(Z147),Z147,0))))</f>
        <v/>
      </c>
      <c r="BA147" s="93" t="str">
        <f aca="false">IF(ISBLANK($C147),"",IF(AA147=Constants!$B$3,TRUE(),IF(AA147=Constants!$B$4,FALSE(),FALSE())))</f>
        <v/>
      </c>
      <c r="BB147" s="92" t="str">
        <f aca="false">IF(ISBLANK($C147),"",AND($AL147,OR($AM147="",$AN147="",AND($AO147,$AP147=""))))</f>
        <v/>
      </c>
      <c r="BC147" s="94" t="str">
        <f aca="false">IF($BZ147&lt;&gt;Constants!$B$8,"",IF($AL147,Constants!$B$21*$AN147+Constants!$B$22*IF($AO147,$AP147,Constants!$B$23),Constants!$B$24))</f>
        <v/>
      </c>
      <c r="BD147" s="97" t="str">
        <f aca="false">IF($BZ147&lt;&gt;Constants!$B$8,"",Constants!$B$25*ABS($AD$9-IF($AL147,$AM147,0)))</f>
        <v/>
      </c>
      <c r="BE147" s="97" t="str">
        <f aca="false">IF($BZ147&lt;&gt;Constants!$B$8,"",IF(AND($AL147,$AQ147,$AO147),Constants!$B$27,0))</f>
        <v/>
      </c>
      <c r="BF147" s="97" t="str">
        <f aca="false">IF($BZ147&lt;&gt;Constants!$B$8,"",IF($AL147,($AI147-Constants!$B$29)*Constants!$B$28,0))</f>
        <v/>
      </c>
      <c r="BG147" s="97" t="str">
        <f aca="false">IF($BZ147&lt;&gt;Constants!$B$8,"",IF($AK147,0,Constants!$B$15)+IF($AJ147,0,Constants!$B$16)+IF($AH147,0,Constants!$B$17))</f>
        <v/>
      </c>
      <c r="BH147" s="98" t="str">
        <f aca="false">IF($BZ147&lt;&gt;Constants!$B$8,"",Constants!$B$20+SUM($BC147:$BG147))</f>
        <v/>
      </c>
      <c r="BI147" s="97" t="str">
        <f aca="false">IF($BZ147&lt;&gt;Constants!$B$8,"",$BC147)</f>
        <v/>
      </c>
      <c r="BJ147" s="97" t="str">
        <f aca="false">IF($BZ147&lt;&gt;Constants!$B$8,"",$BD147)</f>
        <v/>
      </c>
      <c r="BK147" s="97" t="str">
        <f aca="false">IF($BZ147&lt;&gt;Constants!$B$8,"",IF($AL147,$AN147,""))</f>
        <v/>
      </c>
      <c r="BL147" s="99" t="str">
        <f aca="false">IF($BZ147&lt;&gt;Constants!$B$8,"",$AI147)</f>
        <v/>
      </c>
      <c r="BM147" s="93" t="str">
        <f aca="false">IF($BZ147&lt;&gt;Constants!$B$8,"",IF(OR($BT147&lt;$BH147,AND($BT147=$BH147,OR($BU147&lt;$BI147,AND($BU147=$BI147,OR($BV147&lt;$BJ147,AND($BV147=$BJ147,OR(AND(ISNUMBER($BW147),OR(NOT(ISNUMBER($BK147)),$BW147&lt;$BK147)),AND(OR(AND($BW147="",$BK147=""),AND(ISNUMBER($BW147),ISNUMBER($BK147),$BW147=$BK147)),$BX147&lt;$BL147)))))))),"-&gt;","&lt;-"))</f>
        <v/>
      </c>
      <c r="BN147" s="92" t="str">
        <f aca="false">IF(ISBLANK($C147),"",AND($AT147,OR($AU147="",$AV147="",AND($AW147,$AX147=""))))</f>
        <v/>
      </c>
      <c r="BO147" s="94" t="str">
        <f aca="false">IF($BZ147&lt;&gt;Constants!$B$8,"",IF($AT147,Constants!$B$21*$AV147+Constants!$B$22*IF($AW147,$AX147,Constants!$B$23),Constants!$B$24))</f>
        <v/>
      </c>
      <c r="BP147" s="97" t="str">
        <f aca="false">IF($BZ147&lt;&gt;Constants!$B$8,"",Constants!$B$25*ABS($AD$9-IF($AT147,$AU147,0)))</f>
        <v/>
      </c>
      <c r="BQ147" s="97" t="str">
        <f aca="false">IF($BZ147&lt;&gt;Constants!$B$8,"",IF(AND($AT147,$AY147,$AW147),Constants!$B$27,0))</f>
        <v/>
      </c>
      <c r="BR147" s="97" t="str">
        <f aca="false">IF($BZ147&lt;&gt;Constants!$B$8,"",IF($AT147,($AI147-Constants!$B$29)*Constants!$B$28,0))</f>
        <v/>
      </c>
      <c r="BS147" s="97" t="str">
        <f aca="false">IF($BZ147&lt;&gt;Constants!$B$8,"",IF($AS147,0,Constants!$B$15)+IF($AR147,0,Constants!$B$16)+IF($AH147,0,Constants!$B$17))</f>
        <v/>
      </c>
      <c r="BT147" s="98" t="str">
        <f aca="false">IF($BZ147&lt;&gt;Constants!$B$8,"",Constants!$B$20+SUM($BO147:$BS147))</f>
        <v/>
      </c>
      <c r="BU147" s="97" t="str">
        <f aca="false">IF($BZ147&lt;&gt;Constants!$B$8,"",$BO147)</f>
        <v/>
      </c>
      <c r="BV147" s="97" t="str">
        <f aca="false">IF($BZ147&lt;&gt;Constants!$B$8,"",$BP147)</f>
        <v/>
      </c>
      <c r="BW147" s="97" t="str">
        <f aca="false">IF($BZ147&lt;&gt;Constants!$B$8,"",IF($AT147,$AV147,""))</f>
        <v/>
      </c>
      <c r="BX147" s="99" t="str">
        <f aca="false">IF($BZ147&lt;&gt;Constants!$B$8,"",$AI147)</f>
        <v/>
      </c>
      <c r="BY147" s="93" t="str">
        <f aca="false">IF(ISBLANK($C147),"",IF(ISBLANK($D$7),$BY$5,IF(NOT(ISNUMBER($D$7)),$BY$6,"")))</f>
        <v/>
      </c>
      <c r="BZ147" s="93" t="str">
        <f aca="false">IF(ISBLANK($C147),"",IF($BA147,Constants!$B$11,IF(COUNTA($E147:$AA147)=0,Constants!$B$10,IF(NOT($AG147),Constants!$B$9,IF(OR($BY147&lt;&gt;"",$BB147,$BN147),Constants!$B$12,Constants!$B$8)))))</f>
        <v/>
      </c>
      <c r="CA147" s="93" t="str">
        <f aca="false">IF(ISBLANK($C147),"",IF($BZ147&lt;&gt;Constants!$B$8,$BZ147,Constants!$B$13))</f>
        <v/>
      </c>
      <c r="CB147" s="97" t="str">
        <f aca="false">IF($BZ147&lt;&gt;Constants!$B$8,"",IF($BM147="-&gt;",$BT147,$BH147))</f>
        <v/>
      </c>
      <c r="CC147" s="97" t="str">
        <f aca="false">IF($BZ147&lt;&gt;Constants!$B$8,"",IF($AF147,0,Constants!$B$18))</f>
        <v/>
      </c>
      <c r="CD147" s="97" t="str">
        <f aca="false">IF($BZ147&lt;&gt;Constants!$B$8,"",((Constants!$B$31-$AZ147)-Constants!$B$31)/Constants!$B$32)</f>
        <v/>
      </c>
      <c r="CE147" s="97" t="str">
        <f aca="false">IF(ISBLANK($C147),"",IF($BZ147&lt;&gt;Constants!$B$8,$BZ147,SUM($CB147:$CD147)))</f>
        <v/>
      </c>
      <c r="CF147" s="93" t="str">
        <f aca="false">IF(ISBLANK($C147),"",IF($BZ147&lt;&gt;Constants!$B$8,$BZ147,RANK($CE147,$CE$9:$CE$508,1)))</f>
        <v/>
      </c>
      <c r="CG147" s="97" t="str">
        <f aca="false">IF($BZ147&lt;&gt;Constants!$B$8,"",IF($BM147="-&gt;",$BU147,$BI147))</f>
        <v/>
      </c>
      <c r="CH147" s="93" t="str">
        <f aca="false">IF(ISBLANK($C147),"",IF($BZ147&lt;&gt;Constants!$B$8,$BZ147,IF(ISNUMBER($CG147),RANK($CG147,$CG$9:$CG$508,1),COUNT($CG$9:$CG$508)+1)))</f>
        <v/>
      </c>
      <c r="CI147" s="97" t="str">
        <f aca="false">IF($BZ147&lt;&gt;Constants!$B$8,"",IF($BM147="-&gt;",$BV147,$BJ147))</f>
        <v/>
      </c>
      <c r="CJ147" s="93" t="str">
        <f aca="false">IF(ISBLANK($C147),"",IF($BZ147&lt;&gt;Constants!$B$8,$BZ147,IF(ISNUMBER($CI147),RANK($CI147,$CI$9:$CI$508,1),COUNT($CI$9:$CI$508)+1)))</f>
        <v/>
      </c>
      <c r="CK147" s="97" t="str">
        <f aca="false">IF($BZ147&lt;&gt;Constants!$B$8,"",IF($BM147="-&gt;",$BW147,$BK147))</f>
        <v/>
      </c>
      <c r="CL147" s="93" t="str">
        <f aca="false">IF(ISBLANK($C147),"",IF($BZ147&lt;&gt;Constants!$B$8,$BZ147,IF(ISNUMBER($CK147),RANK($CK147,$CK$9:$CK$508,1),COUNT($CK$9:$CK$508)+1)))</f>
        <v/>
      </c>
      <c r="CM147" s="97" t="str">
        <f aca="false">IF($BZ147&lt;&gt;Constants!$B$8,"",IF(AND(NOT($AL147),NOT($AT147),$AJ147,$AK147,$AR147,$AS147),"",IF($BM147="-&gt;",$BX147,$BL147)))</f>
        <v/>
      </c>
      <c r="CN147" s="93" t="str">
        <f aca="false">IF(ISBLANK($C147),"",IF($BZ147&lt;&gt;Constants!$B$8,$BZ147,IF(ISNUMBER($CM147),RANK($CM147,$CM$9:$CM$508,1),COUNT($CM$9:$CM$508)+1)))</f>
        <v/>
      </c>
      <c r="CO147" s="93" t="str">
        <f aca="false">IF(ISBLANK($C147),"",IF($BZ147&lt;&gt;Constants!$B$8,$BZ147,COUNTIFS($CF$9:$CF$508,"&lt;"&amp;$CF147)+COUNTIFS($CF$9:$CF$508,$CF147,$CH$9:$CH$508,"&lt;"&amp;$CH147)+COUNTIFS($CF$9:$CF$508,$CF147,$CH$9:$CH$508,$CH147,$CJ$9:$CJ$508,"&lt;"&amp;$CJ147)+COUNTIFS($CF$9:$CF$508,$CF147,$CH$9:$CH$508,$CH147,$CJ$9:$CJ$508,$CJ147,$CL$9:$CL$508,"&lt;"&amp;$CL147)+COUNTIFS($CF$9:$CF$508,$CF147,$CH$9:$CH$508,$CH147,$CJ$9:$CJ$508,$CJ147,$CL$9:$CL$508,$CL147,$CN$9:$CN$508,"&lt;"&amp;$CN147)+1))</f>
        <v/>
      </c>
      <c r="CP147" s="93" t="str">
        <f aca="false">IF(ISBLANK($C147),"",IF($BZ147&lt;&gt;Constants!$B$8,$BZ147,$CF147-$CO147))</f>
        <v/>
      </c>
      <c r="CQ147" s="100"/>
      <c r="CR147" s="101"/>
      <c r="CS147" s="102" t="str">
        <f aca="false">IF(ISBLANK($C147),"",IF($BZ147=Constants!$B$12,$BY147,""))</f>
        <v/>
      </c>
      <c r="CT147" s="101" t="str">
        <f aca="false">IF(ISBLANK($C147),"",IF($BZ147&lt;&gt;Constants!$B$8,"",IF($BM147="-&gt;",2,1)))</f>
        <v/>
      </c>
      <c r="CU147" s="103" t="str">
        <f aca="false">IF(ISBLANK($C147),"",IF($BZ147&lt;&gt;Constants!$B$8,"",IF($BM147="-&gt;",$BO147,$BC147)))</f>
        <v/>
      </c>
      <c r="CV147" s="103" t="str">
        <f aca="false">IF(ISBLANK($C147),"",IF($BZ147&lt;&gt;Constants!$B$8,"",IF($BM147="-&gt;",$BP147,$BD147)))</f>
        <v/>
      </c>
      <c r="CW147" s="103" t="str">
        <f aca="false">IF(ISBLANK($C147),"",IF($BZ147&lt;&gt;Constants!$B$8,"",IF($BM147="-&gt;",$BQ147+$BR147,$BE147+$BF147)+$CD147))</f>
        <v/>
      </c>
      <c r="CX147" s="103" t="str">
        <f aca="false">IF(ISBLANK($C147),"",IF($BZ147&lt;&gt;Constants!$B$8,"",IF($BM147="-&gt;",$BS147,$BG147)+$CC147))</f>
        <v/>
      </c>
      <c r="CY147" s="104" t="str">
        <f aca="false">IF(ISBLANK($C147),"",IF($BZ147&lt;&gt;Constants!$B$8,$BZ147,$CE147))</f>
        <v/>
      </c>
      <c r="CZ147" s="105" t="str">
        <f aca="false">IF(ISBLANK($C147),"",$CA147)</f>
        <v/>
      </c>
      <c r="DA147" s="106" t="str">
        <f aca="false">IF(ISBLANK($C147),"",$CP147)</f>
        <v/>
      </c>
      <c r="DB147" s="106" t="str">
        <f aca="false">IF(ISBLANK($C147),"",$CO147)</f>
        <v/>
      </c>
      <c r="DC147" s="107" t="str">
        <f aca="false">IF(ISBLANK($C147),"",IFERROR(_xlfn.SWITCH($DB147,Constants!$B$11,COUNTA($C$9:$C$508)+2,Constants!$B$10,COUNTA($C$9:$C$508)+1,Constants!$B$9,COUNTA($C$9:$C$508)),$DB147))</f>
        <v/>
      </c>
      <c r="DD147" s="9"/>
      <c r="DE147" s="108" t="n">
        <f aca="false">IF(OR(ISNUMBER($DB147),$DB147=Constants!$B$11,$DB147=Constants!$B$9,$DB147=Constants!$B$10),1,0)</f>
        <v>0</v>
      </c>
      <c r="DF147" s="108" t="n">
        <v>139</v>
      </c>
      <c r="DG147" s="108" t="str">
        <f aca="false">IF(ISBLANK($C147),"",IF(ISNUMBER($DC147),$DC147+ROW($B147)/1000,""))</f>
        <v/>
      </c>
      <c r="DH147" s="108" t="str">
        <f aca="false">IF(ISNUMBER($DG147),RANK($DG147,$DG$9:$DG$508,1),"")</f>
        <v/>
      </c>
      <c r="DI147" s="108" t="str">
        <f aca="false">IF(ISBLANK($C147),"",$B147)</f>
        <v/>
      </c>
      <c r="DJ147" s="108" t="str">
        <f aca="false">IF(ISBLANK($C147),"",$C147)</f>
        <v/>
      </c>
      <c r="DK147" s="108" t="str">
        <f aca="false">IF(ISBLANK($C147),"",$D147)</f>
        <v/>
      </c>
      <c r="DL147" s="109" t="str">
        <f aca="false">$CZ147</f>
        <v/>
      </c>
      <c r="DM147" s="110" t="str">
        <f aca="false">$CY147</f>
        <v/>
      </c>
      <c r="DN147" s="108" t="str">
        <f aca="false">IF(ISBLANK($C147),"",$DB147)</f>
        <v/>
      </c>
      <c r="DO147" s="111" t="str">
        <f aca="false">IF($DF147&gt;$DE$8,"",VLOOKUP($DF147,$DH$9:$DN$508,7,FALSE()))</f>
        <v/>
      </c>
      <c r="DP147" s="112" t="str">
        <f aca="false">IF($DF147&gt;$DE$8,"",VLOOKUP($DF147,$DH$9:$DN$508,2,FALSE()))</f>
        <v/>
      </c>
      <c r="DQ147" s="112" t="str">
        <f aca="false">IF($DF147&gt;$DE$8,"",VLOOKUP($DF147,$DH$9:$DN$508,3,FALSE()))</f>
        <v/>
      </c>
      <c r="DR147" s="112" t="str">
        <f aca="false">IF($DF147&gt;$DE$8,"",VLOOKUP($DF147,$DH$9:$DN$508,4,FALSE()))</f>
        <v/>
      </c>
      <c r="DS147" s="112" t="str">
        <f aca="false">IF($DF147&gt;$DE$8,"",VLOOKUP($DF147,$DH$9:$DN$508,5,FALSE()))</f>
        <v/>
      </c>
      <c r="DT147" s="113" t="str">
        <f aca="false">IF($DF147&gt;$DE$8,"",VLOOKUP($DF147,$DH$9:$DN$508,6,FALSE()))</f>
        <v/>
      </c>
      <c r="DU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IF(ISBLANK($C148),"",IF(E148=Constants!$B$3,TRUE(),IF(E148=Constants!$B$4,FALSE(),TRUE())))</f>
        <v/>
      </c>
      <c r="AG148" s="93" t="str">
        <f aca="false">IF(ISBLANK($C148),"",IF(F148=Constants!$B$3,TRUE(),IF(F148=Constants!$B$4,FALSE(),TRUE())))</f>
        <v/>
      </c>
      <c r="AH148" s="93" t="str">
        <f aca="false">IF(ISBLANK($C148),"",IF(G148=Constants!$B$3,TRUE(),IF(G148=Constants!$B$4,FALSE(),TRUE())))</f>
        <v/>
      </c>
      <c r="AI148" s="93" t="str">
        <f aca="false">IF(ISBLANK($C148),"",IF(AND(ISNUMBER(H148),H148&gt;=0),H148,Constants!$B$29))</f>
        <v/>
      </c>
      <c r="AJ148" s="93" t="str">
        <f aca="false">IF(ISBLANK($C148),"",IF(I148=Constants!$B$3,TRUE(),IF(I148=Constants!$B$4,FALSE(),TRUE())))</f>
        <v/>
      </c>
      <c r="AK148" s="93" t="str">
        <f aca="false">IF(ISBLANK($C148),"",IF(J148=Constants!$B$3,TRUE(),IF(J148=Constants!$B$4,FALSE(),TRUE())))</f>
        <v/>
      </c>
      <c r="AL148" s="93" t="str">
        <f aca="false">IF(ISBLANK($C148),"",IF(K148=Constants!$B$5,TRUE(),IF(K148=Constants!$B$6,FALSE(),COUNTA(L148:P148)&gt;0)))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IF(ISBLANK($C148),"",IF(N148=Constants!$B$3,TRUE(),IF(N148=Constants!$B$4,FALSE(),TRUE())))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IF(ISBLANK($C148),"",IF(P148=Constants!$B$3,TRUE(),IF(P148=Constants!$B$4,FALSE(),FALSE())))</f>
        <v/>
      </c>
      <c r="AR148" s="93" t="str">
        <f aca="false">IF(ISBLANK($C148),"",IF(Q148=Constants!$B$3,TRUE(),IF(Q148=Constants!$B$4,FALSE(),TRUE())))</f>
        <v/>
      </c>
      <c r="AS148" s="93" t="str">
        <f aca="false">IF(ISBLANK($C148),"",IF(R148=Constants!$B$3,TRUE(),IF(R148=Constants!$B$4,FALSE(),TRUE())))</f>
        <v/>
      </c>
      <c r="AT148" s="93" t="str">
        <f aca="false">IF(ISBLANK($C148),"",IF(S148=Constants!$B$5,TRUE(),IF(S148=Constants!$B$6,FALSE(),COUNTA(T148:X148)&gt;0)))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IF(ISBLANK($C148),"",IF(V148=Constants!$B$3,TRUE(),IF(V148=Constants!$B$4,FALSE(),TRUE())))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IF(ISBLANK($C148),"",IF(X148=Constants!$B$3,TRUE(),IF(X148=Constants!$B$4,FALSE(),FALSE())))</f>
        <v/>
      </c>
      <c r="AZ148" s="93" t="str">
        <f aca="false">IF(ISBLANK($C148),"",MIN(Constants!$B$31,MAX(0,IF(ISNUMBER(Y148),Y148*60,0)+IF(ISNUMBER(Z148),Z148,0))))</f>
        <v/>
      </c>
      <c r="BA148" s="93" t="str">
        <f aca="false">IF(ISBLANK($C148),"",IF(AA148=Constants!$B$3,TRUE(),IF(AA148=Constants!$B$4,FALSE(),FALSE())))</f>
        <v/>
      </c>
      <c r="BB148" s="92" t="str">
        <f aca="false">IF(ISBLANK($C148),"",AND($AL148,OR($AM148="",$AN148="",AND($AO148,$AP148=""))))</f>
        <v/>
      </c>
      <c r="BC148" s="94" t="str">
        <f aca="false">IF($BZ148&lt;&gt;Constants!$B$8,"",IF($AL148,Constants!$B$21*$AN148+Constants!$B$22*IF($AO148,$AP148,Constants!$B$23),Constants!$B$24))</f>
        <v/>
      </c>
      <c r="BD148" s="97" t="str">
        <f aca="false">IF($BZ148&lt;&gt;Constants!$B$8,"",Constants!$B$25*ABS($AD$9-IF($AL148,$AM148,0)))</f>
        <v/>
      </c>
      <c r="BE148" s="97" t="str">
        <f aca="false">IF($BZ148&lt;&gt;Constants!$B$8,"",IF(AND($AL148,$AQ148,$AO148),Constants!$B$27,0))</f>
        <v/>
      </c>
      <c r="BF148" s="97" t="str">
        <f aca="false">IF($BZ148&lt;&gt;Constants!$B$8,"",IF($AL148,($AI148-Constants!$B$29)*Constants!$B$28,0))</f>
        <v/>
      </c>
      <c r="BG148" s="97" t="str">
        <f aca="false">IF($BZ148&lt;&gt;Constants!$B$8,"",IF($AK148,0,Constants!$B$15)+IF($AJ148,0,Constants!$B$16)+IF($AH148,0,Constants!$B$17))</f>
        <v/>
      </c>
      <c r="BH148" s="98" t="str">
        <f aca="false">IF($BZ148&lt;&gt;Constants!$B$8,"",Constants!$B$20+SUM($BC148:$BG148))</f>
        <v/>
      </c>
      <c r="BI148" s="97" t="str">
        <f aca="false">IF($BZ148&lt;&gt;Constants!$B$8,"",$BC148)</f>
        <v/>
      </c>
      <c r="BJ148" s="97" t="str">
        <f aca="false">IF($BZ148&lt;&gt;Constants!$B$8,"",$BD148)</f>
        <v/>
      </c>
      <c r="BK148" s="97" t="str">
        <f aca="false">IF($BZ148&lt;&gt;Constants!$B$8,"",IF($AL148,$AN148,""))</f>
        <v/>
      </c>
      <c r="BL148" s="99" t="str">
        <f aca="false">IF($BZ148&lt;&gt;Constants!$B$8,"",$AI148)</f>
        <v/>
      </c>
      <c r="BM148" s="93" t="str">
        <f aca="false">IF($BZ148&lt;&gt;Constants!$B$8,"",IF(OR($BT148&lt;$BH148,AND($BT148=$BH148,OR($BU148&lt;$BI148,AND($BU148=$BI148,OR($BV148&lt;$BJ148,AND($BV148=$BJ148,OR(AND(ISNUMBER($BW148),OR(NOT(ISNUMBER($BK148)),$BW148&lt;$BK148)),AND(OR(AND($BW148="",$BK148=""),AND(ISNUMBER($BW148),ISNUMBER($BK148),$BW148=$BK148)),$BX148&lt;$BL148)))))))),"-&gt;","&lt;-"))</f>
        <v/>
      </c>
      <c r="BN148" s="92" t="str">
        <f aca="false">IF(ISBLANK($C148),"",AND($AT148,OR($AU148="",$AV148="",AND($AW148,$AX148=""))))</f>
        <v/>
      </c>
      <c r="BO148" s="94" t="str">
        <f aca="false">IF($BZ148&lt;&gt;Constants!$B$8,"",IF($AT148,Constants!$B$21*$AV148+Constants!$B$22*IF($AW148,$AX148,Constants!$B$23),Constants!$B$24))</f>
        <v/>
      </c>
      <c r="BP148" s="97" t="str">
        <f aca="false">IF($BZ148&lt;&gt;Constants!$B$8,"",Constants!$B$25*ABS($AD$9-IF($AT148,$AU148,0)))</f>
        <v/>
      </c>
      <c r="BQ148" s="97" t="str">
        <f aca="false">IF($BZ148&lt;&gt;Constants!$B$8,"",IF(AND($AT148,$AY148,$AW148),Constants!$B$27,0))</f>
        <v/>
      </c>
      <c r="BR148" s="97" t="str">
        <f aca="false">IF($BZ148&lt;&gt;Constants!$B$8,"",IF($AT148,($AI148-Constants!$B$29)*Constants!$B$28,0))</f>
        <v/>
      </c>
      <c r="BS148" s="97" t="str">
        <f aca="false">IF($BZ148&lt;&gt;Constants!$B$8,"",IF($AS148,0,Constants!$B$15)+IF($AR148,0,Constants!$B$16)+IF($AH148,0,Constants!$B$17))</f>
        <v/>
      </c>
      <c r="BT148" s="98" t="str">
        <f aca="false">IF($BZ148&lt;&gt;Constants!$B$8,"",Constants!$B$20+SUM($BO148:$BS148))</f>
        <v/>
      </c>
      <c r="BU148" s="97" t="str">
        <f aca="false">IF($BZ148&lt;&gt;Constants!$B$8,"",$BO148)</f>
        <v/>
      </c>
      <c r="BV148" s="97" t="str">
        <f aca="false">IF($BZ148&lt;&gt;Constants!$B$8,"",$BP148)</f>
        <v/>
      </c>
      <c r="BW148" s="97" t="str">
        <f aca="false">IF($BZ148&lt;&gt;Constants!$B$8,"",IF($AT148,$AV148,""))</f>
        <v/>
      </c>
      <c r="BX148" s="99" t="str">
        <f aca="false">IF($BZ148&lt;&gt;Constants!$B$8,"",$AI148)</f>
        <v/>
      </c>
      <c r="BY148" s="93" t="str">
        <f aca="false">IF(ISBLANK($C148),"",IF(ISBLANK($D$7),$BY$5,IF(NOT(ISNUMBER($D$7)),$BY$6,"")))</f>
        <v/>
      </c>
      <c r="BZ148" s="93" t="str">
        <f aca="false">IF(ISBLANK($C148),"",IF($BA148,Constants!$B$11,IF(COUNTA($E148:$AA148)=0,Constants!$B$10,IF(NOT($AG148),Constants!$B$9,IF(OR($BY148&lt;&gt;"",$BB148,$BN148),Constants!$B$12,Constants!$B$8)))))</f>
        <v/>
      </c>
      <c r="CA148" s="93" t="str">
        <f aca="false">IF(ISBLANK($C148),"",IF($BZ148&lt;&gt;Constants!$B$8,$BZ148,Constants!$B$13))</f>
        <v/>
      </c>
      <c r="CB148" s="97" t="str">
        <f aca="false">IF($BZ148&lt;&gt;Constants!$B$8,"",IF($BM148="-&gt;",$BT148,$BH148))</f>
        <v/>
      </c>
      <c r="CC148" s="97" t="str">
        <f aca="false">IF($BZ148&lt;&gt;Constants!$B$8,"",IF($AF148,0,Constants!$B$18))</f>
        <v/>
      </c>
      <c r="CD148" s="97" t="str">
        <f aca="false">IF($BZ148&lt;&gt;Constants!$B$8,"",((Constants!$B$31-$AZ148)-Constants!$B$31)/Constants!$B$32)</f>
        <v/>
      </c>
      <c r="CE148" s="97" t="str">
        <f aca="false">IF(ISBLANK($C148),"",IF($BZ148&lt;&gt;Constants!$B$8,$BZ148,SUM($CB148:$CD148)))</f>
        <v/>
      </c>
      <c r="CF148" s="93" t="str">
        <f aca="false">IF(ISBLANK($C148),"",IF($BZ148&lt;&gt;Constants!$B$8,$BZ148,RANK($CE148,$CE$9:$CE$508,1)))</f>
        <v/>
      </c>
      <c r="CG148" s="97" t="str">
        <f aca="false">IF($BZ148&lt;&gt;Constants!$B$8,"",IF($BM148="-&gt;",$BU148,$BI148))</f>
        <v/>
      </c>
      <c r="CH148" s="93" t="str">
        <f aca="false">IF(ISBLANK($C148),"",IF($BZ148&lt;&gt;Constants!$B$8,$BZ148,IF(ISNUMBER($CG148),RANK($CG148,$CG$9:$CG$508,1),COUNT($CG$9:$CG$508)+1)))</f>
        <v/>
      </c>
      <c r="CI148" s="97" t="str">
        <f aca="false">IF($BZ148&lt;&gt;Constants!$B$8,"",IF($BM148="-&gt;",$BV148,$BJ148))</f>
        <v/>
      </c>
      <c r="CJ148" s="93" t="str">
        <f aca="false">IF(ISBLANK($C148),"",IF($BZ148&lt;&gt;Constants!$B$8,$BZ148,IF(ISNUMBER($CI148),RANK($CI148,$CI$9:$CI$508,1),COUNT($CI$9:$CI$508)+1)))</f>
        <v/>
      </c>
      <c r="CK148" s="97" t="str">
        <f aca="false">IF($BZ148&lt;&gt;Constants!$B$8,"",IF($BM148="-&gt;",$BW148,$BK148))</f>
        <v/>
      </c>
      <c r="CL148" s="93" t="str">
        <f aca="false">IF(ISBLANK($C148),"",IF($BZ148&lt;&gt;Constants!$B$8,$BZ148,IF(ISNUMBER($CK148),RANK($CK148,$CK$9:$CK$508,1),COUNT($CK$9:$CK$508)+1)))</f>
        <v/>
      </c>
      <c r="CM148" s="97" t="str">
        <f aca="false">IF($BZ148&lt;&gt;Constants!$B$8,"",IF(AND(NOT($AL148),NOT($AT148),$AJ148,$AK148,$AR148,$AS148),"",IF($BM148="-&gt;",$BX148,$BL148)))</f>
        <v/>
      </c>
      <c r="CN148" s="93" t="str">
        <f aca="false">IF(ISBLANK($C148),"",IF($BZ148&lt;&gt;Constants!$B$8,$BZ148,IF(ISNUMBER($CM148),RANK($CM148,$CM$9:$CM$508,1),COUNT($CM$9:$CM$508)+1)))</f>
        <v/>
      </c>
      <c r="CO148" s="93" t="str">
        <f aca="false">IF(ISBLANK($C148),"",IF($BZ148&lt;&gt;Constants!$B$8,$BZ148,COUNTIFS($CF$9:$CF$508,"&lt;"&amp;$CF148)+COUNTIFS($CF$9:$CF$508,$CF148,$CH$9:$CH$508,"&lt;"&amp;$CH148)+COUNTIFS($CF$9:$CF$508,$CF148,$CH$9:$CH$508,$CH148,$CJ$9:$CJ$508,"&lt;"&amp;$CJ148)+COUNTIFS($CF$9:$CF$508,$CF148,$CH$9:$CH$508,$CH148,$CJ$9:$CJ$508,$CJ148,$CL$9:$CL$508,"&lt;"&amp;$CL148)+COUNTIFS($CF$9:$CF$508,$CF148,$CH$9:$CH$508,$CH148,$CJ$9:$CJ$508,$CJ148,$CL$9:$CL$508,$CL148,$CN$9:$CN$508,"&lt;"&amp;$CN148)+1))</f>
        <v/>
      </c>
      <c r="CP148" s="93" t="str">
        <f aca="false">IF(ISBLANK($C148),"",IF($BZ148&lt;&gt;Constants!$B$8,$BZ148,$CF148-$CO148))</f>
        <v/>
      </c>
      <c r="CQ148" s="100"/>
      <c r="CR148" s="101"/>
      <c r="CS148" s="102" t="str">
        <f aca="false">IF(ISBLANK($C148),"",IF($BZ148=Constants!$B$12,$BY148,""))</f>
        <v/>
      </c>
      <c r="CT148" s="101" t="str">
        <f aca="false">IF(ISBLANK($C148),"",IF($BZ148&lt;&gt;Constants!$B$8,"",IF($BM148="-&gt;",2,1)))</f>
        <v/>
      </c>
      <c r="CU148" s="103" t="str">
        <f aca="false">IF(ISBLANK($C148),"",IF($BZ148&lt;&gt;Constants!$B$8,"",IF($BM148="-&gt;",$BO148,$BC148)))</f>
        <v/>
      </c>
      <c r="CV148" s="103" t="str">
        <f aca="false">IF(ISBLANK($C148),"",IF($BZ148&lt;&gt;Constants!$B$8,"",IF($BM148="-&gt;",$BP148,$BD148)))</f>
        <v/>
      </c>
      <c r="CW148" s="103" t="str">
        <f aca="false">IF(ISBLANK($C148),"",IF($BZ148&lt;&gt;Constants!$B$8,"",IF($BM148="-&gt;",$BQ148+$BR148,$BE148+$BF148)+$CD148))</f>
        <v/>
      </c>
      <c r="CX148" s="103" t="str">
        <f aca="false">IF(ISBLANK($C148),"",IF($BZ148&lt;&gt;Constants!$B$8,"",IF($BM148="-&gt;",$BS148,$BG148)+$CC148))</f>
        <v/>
      </c>
      <c r="CY148" s="104" t="str">
        <f aca="false">IF(ISBLANK($C148),"",IF($BZ148&lt;&gt;Constants!$B$8,$BZ148,$CE148))</f>
        <v/>
      </c>
      <c r="CZ148" s="105" t="str">
        <f aca="false">IF(ISBLANK($C148),"",$CA148)</f>
        <v/>
      </c>
      <c r="DA148" s="106" t="str">
        <f aca="false">IF(ISBLANK($C148),"",$CP148)</f>
        <v/>
      </c>
      <c r="DB148" s="106" t="str">
        <f aca="false">IF(ISBLANK($C148),"",$CO148)</f>
        <v/>
      </c>
      <c r="DC148" s="107" t="str">
        <f aca="false">IF(ISBLANK($C148),"",IFERROR(_xlfn.SWITCH($DB148,Constants!$B$11,COUNTA($C$9:$C$508)+2,Constants!$B$10,COUNTA($C$9:$C$508)+1,Constants!$B$9,COUNTA($C$9:$C$508)),$DB148))</f>
        <v/>
      </c>
      <c r="DD148" s="9"/>
      <c r="DE148" s="108" t="n">
        <f aca="false">IF(OR(ISNUMBER($DB148),$DB148=Constants!$B$11,$DB148=Constants!$B$9,$DB148=Constants!$B$10),1,0)</f>
        <v>0</v>
      </c>
      <c r="DF148" s="108" t="n">
        <v>140</v>
      </c>
      <c r="DG148" s="108" t="str">
        <f aca="false">IF(ISBLANK($C148),"",IF(ISNUMBER($DC148),$DC148+ROW($B148)/1000,""))</f>
        <v/>
      </c>
      <c r="DH148" s="108" t="str">
        <f aca="false">IF(ISNUMBER($DG148),RANK($DG148,$DG$9:$DG$508,1),"")</f>
        <v/>
      </c>
      <c r="DI148" s="108" t="str">
        <f aca="false">IF(ISBLANK($C148),"",$B148)</f>
        <v/>
      </c>
      <c r="DJ148" s="108" t="str">
        <f aca="false">IF(ISBLANK($C148),"",$C148)</f>
        <v/>
      </c>
      <c r="DK148" s="108" t="str">
        <f aca="false">IF(ISBLANK($C148),"",$D148)</f>
        <v/>
      </c>
      <c r="DL148" s="109" t="str">
        <f aca="false">$CZ148</f>
        <v/>
      </c>
      <c r="DM148" s="110" t="str">
        <f aca="false">$CY148</f>
        <v/>
      </c>
      <c r="DN148" s="108" t="str">
        <f aca="false">IF(ISBLANK($C148),"",$DB148)</f>
        <v/>
      </c>
      <c r="DO148" s="111" t="str">
        <f aca="false">IF($DF148&gt;$DE$8,"",VLOOKUP($DF148,$DH$9:$DN$508,7,FALSE()))</f>
        <v/>
      </c>
      <c r="DP148" s="112" t="str">
        <f aca="false">IF($DF148&gt;$DE$8,"",VLOOKUP($DF148,$DH$9:$DN$508,2,FALSE()))</f>
        <v/>
      </c>
      <c r="DQ148" s="112" t="str">
        <f aca="false">IF($DF148&gt;$DE$8,"",VLOOKUP($DF148,$DH$9:$DN$508,3,FALSE()))</f>
        <v/>
      </c>
      <c r="DR148" s="112" t="str">
        <f aca="false">IF($DF148&gt;$DE$8,"",VLOOKUP($DF148,$DH$9:$DN$508,4,FALSE()))</f>
        <v/>
      </c>
      <c r="DS148" s="112" t="str">
        <f aca="false">IF($DF148&gt;$DE$8,"",VLOOKUP($DF148,$DH$9:$DN$508,5,FALSE()))</f>
        <v/>
      </c>
      <c r="DT148" s="113" t="str">
        <f aca="false">IF($DF148&gt;$DE$8,"",VLOOKUP($DF148,$DH$9:$DN$508,6,FALSE()))</f>
        <v/>
      </c>
      <c r="DU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IF(ISBLANK($C149),"",IF(E149=Constants!$B$3,TRUE(),IF(E149=Constants!$B$4,FALSE(),TRUE())))</f>
        <v/>
      </c>
      <c r="AG149" s="93" t="str">
        <f aca="false">IF(ISBLANK($C149),"",IF(F149=Constants!$B$3,TRUE(),IF(F149=Constants!$B$4,FALSE(),TRUE())))</f>
        <v/>
      </c>
      <c r="AH149" s="93" t="str">
        <f aca="false">IF(ISBLANK($C149),"",IF(G149=Constants!$B$3,TRUE(),IF(G149=Constants!$B$4,FALSE(),TRUE())))</f>
        <v/>
      </c>
      <c r="AI149" s="93" t="str">
        <f aca="false">IF(ISBLANK($C149),"",IF(AND(ISNUMBER(H149),H149&gt;=0),H149,Constants!$B$29))</f>
        <v/>
      </c>
      <c r="AJ149" s="93" t="str">
        <f aca="false">IF(ISBLANK($C149),"",IF(I149=Constants!$B$3,TRUE(),IF(I149=Constants!$B$4,FALSE(),TRUE())))</f>
        <v/>
      </c>
      <c r="AK149" s="93" t="str">
        <f aca="false">IF(ISBLANK($C149),"",IF(J149=Constants!$B$3,TRUE(),IF(J149=Constants!$B$4,FALSE(),TRUE())))</f>
        <v/>
      </c>
      <c r="AL149" s="93" t="str">
        <f aca="false">IF(ISBLANK($C149),"",IF(K149=Constants!$B$5,TRUE(),IF(K149=Constants!$B$6,FALSE(),COUNTA(L149:P149)&gt;0)))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IF(ISBLANK($C149),"",IF(N149=Constants!$B$3,TRUE(),IF(N149=Constants!$B$4,FALSE(),TRUE())))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IF(ISBLANK($C149),"",IF(P149=Constants!$B$3,TRUE(),IF(P149=Constants!$B$4,FALSE(),FALSE())))</f>
        <v/>
      </c>
      <c r="AR149" s="93" t="str">
        <f aca="false">IF(ISBLANK($C149),"",IF(Q149=Constants!$B$3,TRUE(),IF(Q149=Constants!$B$4,FALSE(),TRUE())))</f>
        <v/>
      </c>
      <c r="AS149" s="93" t="str">
        <f aca="false">IF(ISBLANK($C149),"",IF(R149=Constants!$B$3,TRUE(),IF(R149=Constants!$B$4,FALSE(),TRUE())))</f>
        <v/>
      </c>
      <c r="AT149" s="93" t="str">
        <f aca="false">IF(ISBLANK($C149),"",IF(S149=Constants!$B$5,TRUE(),IF(S149=Constants!$B$6,FALSE(),COUNTA(T149:X149)&gt;0)))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IF(ISBLANK($C149),"",IF(V149=Constants!$B$3,TRUE(),IF(V149=Constants!$B$4,FALSE(),TRUE())))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IF(ISBLANK($C149),"",IF(X149=Constants!$B$3,TRUE(),IF(X149=Constants!$B$4,FALSE(),FALSE())))</f>
        <v/>
      </c>
      <c r="AZ149" s="93" t="str">
        <f aca="false">IF(ISBLANK($C149),"",MIN(Constants!$B$31,MAX(0,IF(ISNUMBER(Y149),Y149*60,0)+IF(ISNUMBER(Z149),Z149,0))))</f>
        <v/>
      </c>
      <c r="BA149" s="93" t="str">
        <f aca="false">IF(ISBLANK($C149),"",IF(AA149=Constants!$B$3,TRUE(),IF(AA149=Constants!$B$4,FALSE(),FALSE())))</f>
        <v/>
      </c>
      <c r="BB149" s="92" t="str">
        <f aca="false">IF(ISBLANK($C149),"",AND($AL149,OR($AM149="",$AN149="",AND($AO149,$AP149=""))))</f>
        <v/>
      </c>
      <c r="BC149" s="94" t="str">
        <f aca="false">IF($BZ149&lt;&gt;Constants!$B$8,"",IF($AL149,Constants!$B$21*$AN149+Constants!$B$22*IF($AO149,$AP149,Constants!$B$23),Constants!$B$24))</f>
        <v/>
      </c>
      <c r="BD149" s="97" t="str">
        <f aca="false">IF($BZ149&lt;&gt;Constants!$B$8,"",Constants!$B$25*ABS($AD$9-IF($AL149,$AM149,0)))</f>
        <v/>
      </c>
      <c r="BE149" s="97" t="str">
        <f aca="false">IF($BZ149&lt;&gt;Constants!$B$8,"",IF(AND($AL149,$AQ149,$AO149),Constants!$B$27,0))</f>
        <v/>
      </c>
      <c r="BF149" s="97" t="str">
        <f aca="false">IF($BZ149&lt;&gt;Constants!$B$8,"",IF($AL149,($AI149-Constants!$B$29)*Constants!$B$28,0))</f>
        <v/>
      </c>
      <c r="BG149" s="97" t="str">
        <f aca="false">IF($BZ149&lt;&gt;Constants!$B$8,"",IF($AK149,0,Constants!$B$15)+IF($AJ149,0,Constants!$B$16)+IF($AH149,0,Constants!$B$17))</f>
        <v/>
      </c>
      <c r="BH149" s="98" t="str">
        <f aca="false">IF($BZ149&lt;&gt;Constants!$B$8,"",Constants!$B$20+SUM($BC149:$BG149))</f>
        <v/>
      </c>
      <c r="BI149" s="97" t="str">
        <f aca="false">IF($BZ149&lt;&gt;Constants!$B$8,"",$BC149)</f>
        <v/>
      </c>
      <c r="BJ149" s="97" t="str">
        <f aca="false">IF($BZ149&lt;&gt;Constants!$B$8,"",$BD149)</f>
        <v/>
      </c>
      <c r="BK149" s="97" t="str">
        <f aca="false">IF($BZ149&lt;&gt;Constants!$B$8,"",IF($AL149,$AN149,""))</f>
        <v/>
      </c>
      <c r="BL149" s="99" t="str">
        <f aca="false">IF($BZ149&lt;&gt;Constants!$B$8,"",$AI149)</f>
        <v/>
      </c>
      <c r="BM149" s="93" t="str">
        <f aca="false">IF($BZ149&lt;&gt;Constants!$B$8,"",IF(OR($BT149&lt;$BH149,AND($BT149=$BH149,OR($BU149&lt;$BI149,AND($BU149=$BI149,OR($BV149&lt;$BJ149,AND($BV149=$BJ149,OR(AND(ISNUMBER($BW149),OR(NOT(ISNUMBER($BK149)),$BW149&lt;$BK149)),AND(OR(AND($BW149="",$BK149=""),AND(ISNUMBER($BW149),ISNUMBER($BK149),$BW149=$BK149)),$BX149&lt;$BL149)))))))),"-&gt;","&lt;-"))</f>
        <v/>
      </c>
      <c r="BN149" s="92" t="str">
        <f aca="false">IF(ISBLANK($C149),"",AND($AT149,OR($AU149="",$AV149="",AND($AW149,$AX149=""))))</f>
        <v/>
      </c>
      <c r="BO149" s="94" t="str">
        <f aca="false">IF($BZ149&lt;&gt;Constants!$B$8,"",IF($AT149,Constants!$B$21*$AV149+Constants!$B$22*IF($AW149,$AX149,Constants!$B$23),Constants!$B$24))</f>
        <v/>
      </c>
      <c r="BP149" s="97" t="str">
        <f aca="false">IF($BZ149&lt;&gt;Constants!$B$8,"",Constants!$B$25*ABS($AD$9-IF($AT149,$AU149,0)))</f>
        <v/>
      </c>
      <c r="BQ149" s="97" t="str">
        <f aca="false">IF($BZ149&lt;&gt;Constants!$B$8,"",IF(AND($AT149,$AY149,$AW149),Constants!$B$27,0))</f>
        <v/>
      </c>
      <c r="BR149" s="97" t="str">
        <f aca="false">IF($BZ149&lt;&gt;Constants!$B$8,"",IF($AT149,($AI149-Constants!$B$29)*Constants!$B$28,0))</f>
        <v/>
      </c>
      <c r="BS149" s="97" t="str">
        <f aca="false">IF($BZ149&lt;&gt;Constants!$B$8,"",IF($AS149,0,Constants!$B$15)+IF($AR149,0,Constants!$B$16)+IF($AH149,0,Constants!$B$17))</f>
        <v/>
      </c>
      <c r="BT149" s="98" t="str">
        <f aca="false">IF($BZ149&lt;&gt;Constants!$B$8,"",Constants!$B$20+SUM($BO149:$BS149))</f>
        <v/>
      </c>
      <c r="BU149" s="97" t="str">
        <f aca="false">IF($BZ149&lt;&gt;Constants!$B$8,"",$BO149)</f>
        <v/>
      </c>
      <c r="BV149" s="97" t="str">
        <f aca="false">IF($BZ149&lt;&gt;Constants!$B$8,"",$BP149)</f>
        <v/>
      </c>
      <c r="BW149" s="97" t="str">
        <f aca="false">IF($BZ149&lt;&gt;Constants!$B$8,"",IF($AT149,$AV149,""))</f>
        <v/>
      </c>
      <c r="BX149" s="99" t="str">
        <f aca="false">IF($BZ149&lt;&gt;Constants!$B$8,"",$AI149)</f>
        <v/>
      </c>
      <c r="BY149" s="93" t="str">
        <f aca="false">IF(ISBLANK($C149),"",IF(ISBLANK($D$7),$BY$5,IF(NOT(ISNUMBER($D$7)),$BY$6,"")))</f>
        <v/>
      </c>
      <c r="BZ149" s="93" t="str">
        <f aca="false">IF(ISBLANK($C149),"",IF($BA149,Constants!$B$11,IF(COUNTA($E149:$AA149)=0,Constants!$B$10,IF(NOT($AG149),Constants!$B$9,IF(OR($BY149&lt;&gt;"",$BB149,$BN149),Constants!$B$12,Constants!$B$8)))))</f>
        <v/>
      </c>
      <c r="CA149" s="93" t="str">
        <f aca="false">IF(ISBLANK($C149),"",IF($BZ149&lt;&gt;Constants!$B$8,$BZ149,Constants!$B$13))</f>
        <v/>
      </c>
      <c r="CB149" s="97" t="str">
        <f aca="false">IF($BZ149&lt;&gt;Constants!$B$8,"",IF($BM149="-&gt;",$BT149,$BH149))</f>
        <v/>
      </c>
      <c r="CC149" s="97" t="str">
        <f aca="false">IF($BZ149&lt;&gt;Constants!$B$8,"",IF($AF149,0,Constants!$B$18))</f>
        <v/>
      </c>
      <c r="CD149" s="97" t="str">
        <f aca="false">IF($BZ149&lt;&gt;Constants!$B$8,"",((Constants!$B$31-$AZ149)-Constants!$B$31)/Constants!$B$32)</f>
        <v/>
      </c>
      <c r="CE149" s="97" t="str">
        <f aca="false">IF(ISBLANK($C149),"",IF($BZ149&lt;&gt;Constants!$B$8,$BZ149,SUM($CB149:$CD149)))</f>
        <v/>
      </c>
      <c r="CF149" s="93" t="str">
        <f aca="false">IF(ISBLANK($C149),"",IF($BZ149&lt;&gt;Constants!$B$8,$BZ149,RANK($CE149,$CE$9:$CE$508,1)))</f>
        <v/>
      </c>
      <c r="CG149" s="97" t="str">
        <f aca="false">IF($BZ149&lt;&gt;Constants!$B$8,"",IF($BM149="-&gt;",$BU149,$BI149))</f>
        <v/>
      </c>
      <c r="CH149" s="93" t="str">
        <f aca="false">IF(ISBLANK($C149),"",IF($BZ149&lt;&gt;Constants!$B$8,$BZ149,IF(ISNUMBER($CG149),RANK($CG149,$CG$9:$CG$508,1),COUNT($CG$9:$CG$508)+1)))</f>
        <v/>
      </c>
      <c r="CI149" s="97" t="str">
        <f aca="false">IF($BZ149&lt;&gt;Constants!$B$8,"",IF($BM149="-&gt;",$BV149,$BJ149))</f>
        <v/>
      </c>
      <c r="CJ149" s="93" t="str">
        <f aca="false">IF(ISBLANK($C149),"",IF($BZ149&lt;&gt;Constants!$B$8,$BZ149,IF(ISNUMBER($CI149),RANK($CI149,$CI$9:$CI$508,1),COUNT($CI$9:$CI$508)+1)))</f>
        <v/>
      </c>
      <c r="CK149" s="97" t="str">
        <f aca="false">IF($BZ149&lt;&gt;Constants!$B$8,"",IF($BM149="-&gt;",$BW149,$BK149))</f>
        <v/>
      </c>
      <c r="CL149" s="93" t="str">
        <f aca="false">IF(ISBLANK($C149),"",IF($BZ149&lt;&gt;Constants!$B$8,$BZ149,IF(ISNUMBER($CK149),RANK($CK149,$CK$9:$CK$508,1),COUNT($CK$9:$CK$508)+1)))</f>
        <v/>
      </c>
      <c r="CM149" s="97" t="str">
        <f aca="false">IF($BZ149&lt;&gt;Constants!$B$8,"",IF(AND(NOT($AL149),NOT($AT149),$AJ149,$AK149,$AR149,$AS149),"",IF($BM149="-&gt;",$BX149,$BL149)))</f>
        <v/>
      </c>
      <c r="CN149" s="93" t="str">
        <f aca="false">IF(ISBLANK($C149),"",IF($BZ149&lt;&gt;Constants!$B$8,$BZ149,IF(ISNUMBER($CM149),RANK($CM149,$CM$9:$CM$508,1),COUNT($CM$9:$CM$508)+1)))</f>
        <v/>
      </c>
      <c r="CO149" s="93" t="str">
        <f aca="false">IF(ISBLANK($C149),"",IF($BZ149&lt;&gt;Constants!$B$8,$BZ149,COUNTIFS($CF$9:$CF$508,"&lt;"&amp;$CF149)+COUNTIFS($CF$9:$CF$508,$CF149,$CH$9:$CH$508,"&lt;"&amp;$CH149)+COUNTIFS($CF$9:$CF$508,$CF149,$CH$9:$CH$508,$CH149,$CJ$9:$CJ$508,"&lt;"&amp;$CJ149)+COUNTIFS($CF$9:$CF$508,$CF149,$CH$9:$CH$508,$CH149,$CJ$9:$CJ$508,$CJ149,$CL$9:$CL$508,"&lt;"&amp;$CL149)+COUNTIFS($CF$9:$CF$508,$CF149,$CH$9:$CH$508,$CH149,$CJ$9:$CJ$508,$CJ149,$CL$9:$CL$508,$CL149,$CN$9:$CN$508,"&lt;"&amp;$CN149)+1))</f>
        <v/>
      </c>
      <c r="CP149" s="93" t="str">
        <f aca="false">IF(ISBLANK($C149),"",IF($BZ149&lt;&gt;Constants!$B$8,$BZ149,$CF149-$CO149))</f>
        <v/>
      </c>
      <c r="CQ149" s="100"/>
      <c r="CR149" s="101"/>
      <c r="CS149" s="102" t="str">
        <f aca="false">IF(ISBLANK($C149),"",IF($BZ149=Constants!$B$12,$BY149,""))</f>
        <v/>
      </c>
      <c r="CT149" s="101" t="str">
        <f aca="false">IF(ISBLANK($C149),"",IF($BZ149&lt;&gt;Constants!$B$8,"",IF($BM149="-&gt;",2,1)))</f>
        <v/>
      </c>
      <c r="CU149" s="103" t="str">
        <f aca="false">IF(ISBLANK($C149),"",IF($BZ149&lt;&gt;Constants!$B$8,"",IF($BM149="-&gt;",$BO149,$BC149)))</f>
        <v/>
      </c>
      <c r="CV149" s="103" t="str">
        <f aca="false">IF(ISBLANK($C149),"",IF($BZ149&lt;&gt;Constants!$B$8,"",IF($BM149="-&gt;",$BP149,$BD149)))</f>
        <v/>
      </c>
      <c r="CW149" s="103" t="str">
        <f aca="false">IF(ISBLANK($C149),"",IF($BZ149&lt;&gt;Constants!$B$8,"",IF($BM149="-&gt;",$BQ149+$BR149,$BE149+$BF149)+$CD149))</f>
        <v/>
      </c>
      <c r="CX149" s="103" t="str">
        <f aca="false">IF(ISBLANK($C149),"",IF($BZ149&lt;&gt;Constants!$B$8,"",IF($BM149="-&gt;",$BS149,$BG149)+$CC149))</f>
        <v/>
      </c>
      <c r="CY149" s="104" t="str">
        <f aca="false">IF(ISBLANK($C149),"",IF($BZ149&lt;&gt;Constants!$B$8,$BZ149,$CE149))</f>
        <v/>
      </c>
      <c r="CZ149" s="105" t="str">
        <f aca="false">IF(ISBLANK($C149),"",$CA149)</f>
        <v/>
      </c>
      <c r="DA149" s="106" t="str">
        <f aca="false">IF(ISBLANK($C149),"",$CP149)</f>
        <v/>
      </c>
      <c r="DB149" s="106" t="str">
        <f aca="false">IF(ISBLANK($C149),"",$CO149)</f>
        <v/>
      </c>
      <c r="DC149" s="107" t="str">
        <f aca="false">IF(ISBLANK($C149),"",IFERROR(_xlfn.SWITCH($DB149,Constants!$B$11,COUNTA($C$9:$C$508)+2,Constants!$B$10,COUNTA($C$9:$C$508)+1,Constants!$B$9,COUNTA($C$9:$C$508)),$DB149))</f>
        <v/>
      </c>
      <c r="DD149" s="9"/>
      <c r="DE149" s="108" t="n">
        <f aca="false">IF(OR(ISNUMBER($DB149),$DB149=Constants!$B$11,$DB149=Constants!$B$9,$DB149=Constants!$B$10),1,0)</f>
        <v>0</v>
      </c>
      <c r="DF149" s="108" t="n">
        <v>141</v>
      </c>
      <c r="DG149" s="108" t="str">
        <f aca="false">IF(ISBLANK($C149),"",IF(ISNUMBER($DC149),$DC149+ROW($B149)/1000,""))</f>
        <v/>
      </c>
      <c r="DH149" s="108" t="str">
        <f aca="false">IF(ISNUMBER($DG149),RANK($DG149,$DG$9:$DG$508,1),"")</f>
        <v/>
      </c>
      <c r="DI149" s="108" t="str">
        <f aca="false">IF(ISBLANK($C149),"",$B149)</f>
        <v/>
      </c>
      <c r="DJ149" s="108" t="str">
        <f aca="false">IF(ISBLANK($C149),"",$C149)</f>
        <v/>
      </c>
      <c r="DK149" s="108" t="str">
        <f aca="false">IF(ISBLANK($C149),"",$D149)</f>
        <v/>
      </c>
      <c r="DL149" s="109" t="str">
        <f aca="false">$CZ149</f>
        <v/>
      </c>
      <c r="DM149" s="110" t="str">
        <f aca="false">$CY149</f>
        <v/>
      </c>
      <c r="DN149" s="108" t="str">
        <f aca="false">IF(ISBLANK($C149),"",$DB149)</f>
        <v/>
      </c>
      <c r="DO149" s="111" t="str">
        <f aca="false">IF($DF149&gt;$DE$8,"",VLOOKUP($DF149,$DH$9:$DN$508,7,FALSE()))</f>
        <v/>
      </c>
      <c r="DP149" s="112" t="str">
        <f aca="false">IF($DF149&gt;$DE$8,"",VLOOKUP($DF149,$DH$9:$DN$508,2,FALSE()))</f>
        <v/>
      </c>
      <c r="DQ149" s="112" t="str">
        <f aca="false">IF($DF149&gt;$DE$8,"",VLOOKUP($DF149,$DH$9:$DN$508,3,FALSE()))</f>
        <v/>
      </c>
      <c r="DR149" s="112" t="str">
        <f aca="false">IF($DF149&gt;$DE$8,"",VLOOKUP($DF149,$DH$9:$DN$508,4,FALSE()))</f>
        <v/>
      </c>
      <c r="DS149" s="112" t="str">
        <f aca="false">IF($DF149&gt;$DE$8,"",VLOOKUP($DF149,$DH$9:$DN$508,5,FALSE()))</f>
        <v/>
      </c>
      <c r="DT149" s="113" t="str">
        <f aca="false">IF($DF149&gt;$DE$8,"",VLOOKUP($DF149,$DH$9:$DN$508,6,FALSE()))</f>
        <v/>
      </c>
      <c r="DU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IF(ISBLANK($C150),"",IF(E150=Constants!$B$3,TRUE(),IF(E150=Constants!$B$4,FALSE(),TRUE())))</f>
        <v/>
      </c>
      <c r="AG150" s="135" t="str">
        <f aca="false">IF(ISBLANK($C150),"",IF(F150=Constants!$B$3,TRUE(),IF(F150=Constants!$B$4,FALSE(),TRUE())))</f>
        <v/>
      </c>
      <c r="AH150" s="135" t="str">
        <f aca="false">IF(ISBLANK($C150),"",IF(G150=Constants!$B$3,TRUE(),IF(G150=Constants!$B$4,FALSE(),TRUE())))</f>
        <v/>
      </c>
      <c r="AI150" s="135" t="str">
        <f aca="false">IF(ISBLANK($C150),"",IF(AND(ISNUMBER(H150),H150&gt;=0),H150,Constants!$B$29))</f>
        <v/>
      </c>
      <c r="AJ150" s="135" t="str">
        <f aca="false">IF(ISBLANK($C150),"",IF(I150=Constants!$B$3,TRUE(),IF(I150=Constants!$B$4,FALSE(),TRUE())))</f>
        <v/>
      </c>
      <c r="AK150" s="135" t="str">
        <f aca="false">IF(ISBLANK($C150),"",IF(J150=Constants!$B$3,TRUE(),IF(J150=Constants!$B$4,FALSE(),TRUE())))</f>
        <v/>
      </c>
      <c r="AL150" s="135" t="str">
        <f aca="false">IF(ISBLANK($C150),"",IF(K150=Constants!$B$5,TRUE(),IF(K150=Constants!$B$6,FALSE(),COUNTA(L150:P150)&gt;0)))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IF(ISBLANK($C150),"",IF(N150=Constants!$B$3,TRUE(),IF(N150=Constants!$B$4,FALSE(),TRUE())))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IF(ISBLANK($C150),"",IF(P150=Constants!$B$3,TRUE(),IF(P150=Constants!$B$4,FALSE(),FALSE())))</f>
        <v/>
      </c>
      <c r="AR150" s="135" t="str">
        <f aca="false">IF(ISBLANK($C150),"",IF(Q150=Constants!$B$3,TRUE(),IF(Q150=Constants!$B$4,FALSE(),TRUE())))</f>
        <v/>
      </c>
      <c r="AS150" s="135" t="str">
        <f aca="false">IF(ISBLANK($C150),"",IF(R150=Constants!$B$3,TRUE(),IF(R150=Constants!$B$4,FALSE(),TRUE())))</f>
        <v/>
      </c>
      <c r="AT150" s="135" t="str">
        <f aca="false">IF(ISBLANK($C150),"",IF(S150=Constants!$B$5,TRUE(),IF(S150=Constants!$B$6,FALSE(),COUNTA(T150:X150)&gt;0)))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IF(ISBLANK($C150),"",IF(V150=Constants!$B$3,TRUE(),IF(V150=Constants!$B$4,FALSE(),TRUE())))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IF(ISBLANK($C150),"",IF(X150=Constants!$B$3,TRUE(),IF(X150=Constants!$B$4,FALSE(),FALSE())))</f>
        <v/>
      </c>
      <c r="AZ150" s="135" t="str">
        <f aca="false">IF(ISBLANK($C150),"",MIN(Constants!$B$31,MAX(0,IF(ISNUMBER(Y150),Y150*60,0)+IF(ISNUMBER(Z150),Z150,0))))</f>
        <v/>
      </c>
      <c r="BA150" s="135" t="str">
        <f aca="false">IF(ISBLANK($C150),"",IF(AA150=Constants!$B$3,TRUE(),IF(AA150=Constants!$B$4,FALSE(),FALSE())))</f>
        <v/>
      </c>
      <c r="BB150" s="134" t="str">
        <f aca="false">IF(ISBLANK($C150),"",AND($AL150,OR($AM150="",$AN150="",AND($AO150,$AP150=""))))</f>
        <v/>
      </c>
      <c r="BC150" s="137" t="str">
        <f aca="false">IF($BZ150&lt;&gt;Constants!$B$8,"",IF($AL150,Constants!$B$21*$AN150+Constants!$B$22*IF($AO150,$AP150,Constants!$B$23),Constants!$B$24))</f>
        <v/>
      </c>
      <c r="BD150" s="138" t="str">
        <f aca="false">IF($BZ150&lt;&gt;Constants!$B$8,"",Constants!$B$25*ABS($AD$9-IF($AL150,$AM150,0)))</f>
        <v/>
      </c>
      <c r="BE150" s="138" t="str">
        <f aca="false">IF($BZ150&lt;&gt;Constants!$B$8,"",IF(AND($AL150,$AQ150,$AO150),Constants!$B$27,0))</f>
        <v/>
      </c>
      <c r="BF150" s="138" t="str">
        <f aca="false">IF($BZ150&lt;&gt;Constants!$B$8,"",IF($AL150,($AI150-Constants!$B$29)*Constants!$B$28,0))</f>
        <v/>
      </c>
      <c r="BG150" s="138" t="str">
        <f aca="false">IF($BZ150&lt;&gt;Constants!$B$8,"",IF($AK150,0,Constants!$B$15)+IF($AJ150,0,Constants!$B$16)+IF($AH150,0,Constants!$B$17))</f>
        <v/>
      </c>
      <c r="BH150" s="139" t="str">
        <f aca="false">IF($BZ150&lt;&gt;Constants!$B$8,"",Constants!$B$20+SUM($BC150:$BG150))</f>
        <v/>
      </c>
      <c r="BI150" s="138" t="str">
        <f aca="false">IF($BZ150&lt;&gt;Constants!$B$8,"",$BC150)</f>
        <v/>
      </c>
      <c r="BJ150" s="138" t="str">
        <f aca="false">IF($BZ150&lt;&gt;Constants!$B$8,"",$BD150)</f>
        <v/>
      </c>
      <c r="BK150" s="138" t="str">
        <f aca="false">IF($BZ150&lt;&gt;Constants!$B$8,"",IF($AL150,$AN150,""))</f>
        <v/>
      </c>
      <c r="BL150" s="140" t="str">
        <f aca="false">IF($BZ150&lt;&gt;Constants!$B$8,"",$AI150)</f>
        <v/>
      </c>
      <c r="BM150" s="135" t="str">
        <f aca="false">IF($BZ150&lt;&gt;Constants!$B$8,"",IF(OR($BT150&lt;$BH150,AND($BT150=$BH150,OR($BU150&lt;$BI150,AND($BU150=$BI150,OR($BV150&lt;$BJ150,AND($BV150=$BJ150,OR(AND(ISNUMBER($BW150),OR(NOT(ISNUMBER($BK150)),$BW150&lt;$BK150)),AND(OR(AND($BW150="",$BK150=""),AND(ISNUMBER($BW150),ISNUMBER($BK150),$BW150=$BK150)),$BX150&lt;$BL150)))))))),"-&gt;","&lt;-"))</f>
        <v/>
      </c>
      <c r="BN150" s="134" t="str">
        <f aca="false">IF(ISBLANK($C150),"",AND($AT150,OR($AU150="",$AV150="",AND($AW150,$AX150=""))))</f>
        <v/>
      </c>
      <c r="BO150" s="137" t="str">
        <f aca="false">IF($BZ150&lt;&gt;Constants!$B$8,"",IF($AT150,Constants!$B$21*$AV150+Constants!$B$22*IF($AW150,$AX150,Constants!$B$23),Constants!$B$24))</f>
        <v/>
      </c>
      <c r="BP150" s="138" t="str">
        <f aca="false">IF($BZ150&lt;&gt;Constants!$B$8,"",Constants!$B$25*ABS($AD$9-IF($AT150,$AU150,0)))</f>
        <v/>
      </c>
      <c r="BQ150" s="138" t="str">
        <f aca="false">IF($BZ150&lt;&gt;Constants!$B$8,"",IF(AND($AT150,$AY150,$AW150),Constants!$B$27,0))</f>
        <v/>
      </c>
      <c r="BR150" s="138" t="str">
        <f aca="false">IF($BZ150&lt;&gt;Constants!$B$8,"",IF($AT150,($AI150-Constants!$B$29)*Constants!$B$28,0))</f>
        <v/>
      </c>
      <c r="BS150" s="138" t="str">
        <f aca="false">IF($BZ150&lt;&gt;Constants!$B$8,"",IF($AS150,0,Constants!$B$15)+IF($AR150,0,Constants!$B$16)+IF($AH150,0,Constants!$B$17))</f>
        <v/>
      </c>
      <c r="BT150" s="139" t="str">
        <f aca="false">IF($BZ150&lt;&gt;Constants!$B$8,"",Constants!$B$20+SUM($BO150:$BS150))</f>
        <v/>
      </c>
      <c r="BU150" s="138" t="str">
        <f aca="false">IF($BZ150&lt;&gt;Constants!$B$8,"",$BO150)</f>
        <v/>
      </c>
      <c r="BV150" s="138" t="str">
        <f aca="false">IF($BZ150&lt;&gt;Constants!$B$8,"",$BP150)</f>
        <v/>
      </c>
      <c r="BW150" s="138" t="str">
        <f aca="false">IF($BZ150&lt;&gt;Constants!$B$8,"",IF($AT150,$AV150,""))</f>
        <v/>
      </c>
      <c r="BX150" s="140" t="str">
        <f aca="false">IF($BZ150&lt;&gt;Constants!$B$8,"",$AI150)</f>
        <v/>
      </c>
      <c r="BY150" s="135" t="str">
        <f aca="false">IF(ISBLANK($C150),"",IF(ISBLANK($D$7),$BY$5,IF(NOT(ISNUMBER($D$7)),$BY$6,"")))</f>
        <v/>
      </c>
      <c r="BZ150" s="135" t="str">
        <f aca="false">IF(ISBLANK($C150),"",IF($BA150,Constants!$B$11,IF(COUNTA($E150:$AA150)=0,Constants!$B$10,IF(NOT($AG150),Constants!$B$9,IF(OR($BY150&lt;&gt;"",$BB150,$BN150),Constants!$B$12,Constants!$B$8)))))</f>
        <v/>
      </c>
      <c r="CA150" s="135" t="str">
        <f aca="false">IF(ISBLANK($C150),"",IF($BZ150&lt;&gt;Constants!$B$8,$BZ150,Constants!$B$13))</f>
        <v/>
      </c>
      <c r="CB150" s="138" t="str">
        <f aca="false">IF($BZ150&lt;&gt;Constants!$B$8,"",IF($BM150="-&gt;",$BT150,$BH150))</f>
        <v/>
      </c>
      <c r="CC150" s="138" t="str">
        <f aca="false">IF($BZ150&lt;&gt;Constants!$B$8,"",IF($AF150,0,Constants!$B$18))</f>
        <v/>
      </c>
      <c r="CD150" s="138" t="str">
        <f aca="false">IF($BZ150&lt;&gt;Constants!$B$8,"",((Constants!$B$31-$AZ150)-Constants!$B$31)/Constants!$B$32)</f>
        <v/>
      </c>
      <c r="CE150" s="138" t="str">
        <f aca="false">IF(ISBLANK($C150),"",IF($BZ150&lt;&gt;Constants!$B$8,$BZ150,SUM($CB150:$CD150)))</f>
        <v/>
      </c>
      <c r="CF150" s="135" t="str">
        <f aca="false">IF(ISBLANK($C150),"",IF($BZ150&lt;&gt;Constants!$B$8,$BZ150,RANK($CE150,$CE$9:$CE$508,1)))</f>
        <v/>
      </c>
      <c r="CG150" s="138" t="str">
        <f aca="false">IF($BZ150&lt;&gt;Constants!$B$8,"",IF($BM150="-&gt;",$BU150,$BI150))</f>
        <v/>
      </c>
      <c r="CH150" s="135" t="str">
        <f aca="false">IF(ISBLANK($C150),"",IF($BZ150&lt;&gt;Constants!$B$8,$BZ150,IF(ISNUMBER($CG150),RANK($CG150,$CG$9:$CG$508,1),COUNT($CG$9:$CG$508)+1)))</f>
        <v/>
      </c>
      <c r="CI150" s="138" t="str">
        <f aca="false">IF($BZ150&lt;&gt;Constants!$B$8,"",IF($BM150="-&gt;",$BV150,$BJ150))</f>
        <v/>
      </c>
      <c r="CJ150" s="135" t="str">
        <f aca="false">IF(ISBLANK($C150),"",IF($BZ150&lt;&gt;Constants!$B$8,$BZ150,IF(ISNUMBER($CI150),RANK($CI150,$CI$9:$CI$508,1),COUNT($CI$9:$CI$508)+1)))</f>
        <v/>
      </c>
      <c r="CK150" s="138" t="str">
        <f aca="false">IF($BZ150&lt;&gt;Constants!$B$8,"",IF($BM150="-&gt;",$BW150,$BK150))</f>
        <v/>
      </c>
      <c r="CL150" s="135" t="str">
        <f aca="false">IF(ISBLANK($C150),"",IF($BZ150&lt;&gt;Constants!$B$8,$BZ150,IF(ISNUMBER($CK150),RANK($CK150,$CK$9:$CK$508,1),COUNT($CK$9:$CK$508)+1)))</f>
        <v/>
      </c>
      <c r="CM150" s="138" t="str">
        <f aca="false">IF($BZ150&lt;&gt;Constants!$B$8,"",IF(AND(NOT($AL150),NOT($AT150),$AJ150,$AK150,$AR150,$AS150),"",IF($BM150="-&gt;",$BX150,$BL150)))</f>
        <v/>
      </c>
      <c r="CN150" s="135" t="str">
        <f aca="false">IF(ISBLANK($C150),"",IF($BZ150&lt;&gt;Constants!$B$8,$BZ150,IF(ISNUMBER($CM150),RANK($CM150,$CM$9:$CM$508,1),COUNT($CM$9:$CM$508)+1)))</f>
        <v/>
      </c>
      <c r="CO150" s="135" t="str">
        <f aca="false">IF(ISBLANK($C150),"",IF($BZ150&lt;&gt;Constants!$B$8,$BZ150,COUNTIFS($CF$9:$CF$508,"&lt;"&amp;$CF150)+COUNTIFS($CF$9:$CF$508,$CF150,$CH$9:$CH$508,"&lt;"&amp;$CH150)+COUNTIFS($CF$9:$CF$508,$CF150,$CH$9:$CH$508,$CH150,$CJ$9:$CJ$508,"&lt;"&amp;$CJ150)+COUNTIFS($CF$9:$CF$508,$CF150,$CH$9:$CH$508,$CH150,$CJ$9:$CJ$508,$CJ150,$CL$9:$CL$508,"&lt;"&amp;$CL150)+COUNTIFS($CF$9:$CF$508,$CF150,$CH$9:$CH$508,$CH150,$CJ$9:$CJ$508,$CJ150,$CL$9:$CL$508,$CL150,$CN$9:$CN$508,"&lt;"&amp;$CN150)+1))</f>
        <v/>
      </c>
      <c r="CP150" s="135" t="str">
        <f aca="false">IF(ISBLANK($C150),"",IF($BZ150&lt;&gt;Constants!$B$8,$BZ150,$CF150-$CO150))</f>
        <v/>
      </c>
      <c r="CQ150" s="141"/>
      <c r="CR150" s="142"/>
      <c r="CS150" s="143" t="str">
        <f aca="false">IF(ISBLANK($C150),"",IF($BZ150=Constants!$B$12,$BY150,""))</f>
        <v/>
      </c>
      <c r="CT150" s="142" t="str">
        <f aca="false">IF(ISBLANK($C150),"",IF($BZ150&lt;&gt;Constants!$B$8,"",IF($BM150="-&gt;",2,1)))</f>
        <v/>
      </c>
      <c r="CU150" s="144" t="str">
        <f aca="false">IF(ISBLANK($C150),"",IF($BZ150&lt;&gt;Constants!$B$8,"",IF($BM150="-&gt;",$BO150,$BC150)))</f>
        <v/>
      </c>
      <c r="CV150" s="144" t="str">
        <f aca="false">IF(ISBLANK($C150),"",IF($BZ150&lt;&gt;Constants!$B$8,"",IF($BM150="-&gt;",$BP150,$BD150)))</f>
        <v/>
      </c>
      <c r="CW150" s="144" t="str">
        <f aca="false">IF(ISBLANK($C150),"",IF($BZ150&lt;&gt;Constants!$B$8,"",IF($BM150="-&gt;",$BQ150+$BR150,$BE150+$BF150)+$CD150))</f>
        <v/>
      </c>
      <c r="CX150" s="144" t="str">
        <f aca="false">IF(ISBLANK($C150),"",IF($BZ150&lt;&gt;Constants!$B$8,"",IF($BM150="-&gt;",$BS150,$BG150)+$CC150))</f>
        <v/>
      </c>
      <c r="CY150" s="145" t="str">
        <f aca="false">IF(ISBLANK($C150),"",IF($BZ150&lt;&gt;Constants!$B$8,$BZ150,$CE150))</f>
        <v/>
      </c>
      <c r="CZ150" s="146" t="str">
        <f aca="false">IF(ISBLANK($C150),"",$CA150)</f>
        <v/>
      </c>
      <c r="DA150" s="147" t="str">
        <f aca="false">IF(ISBLANK($C150),"",$CP150)</f>
        <v/>
      </c>
      <c r="DB150" s="147" t="str">
        <f aca="false">IF(ISBLANK($C150),"",$CO150)</f>
        <v/>
      </c>
      <c r="DC150" s="148" t="str">
        <f aca="false">IF(ISBLANK($C150),"",IFERROR(_xlfn.SWITCH($DB150,Constants!$B$11,COUNTA($C$9:$C$508)+2,Constants!$B$10,COUNTA($C$9:$C$508)+1,Constants!$B$9,COUNTA($C$9:$C$508)),$DB150))</f>
        <v/>
      </c>
      <c r="DD150" s="9"/>
      <c r="DE150" s="149" t="n">
        <f aca="false">IF(OR(ISNUMBER($DB150),$DB150=Constants!$B$11,$DB150=Constants!$B$9,$DB150=Constants!$B$10),1,0)</f>
        <v>0</v>
      </c>
      <c r="DF150" s="149" t="n">
        <v>142</v>
      </c>
      <c r="DG150" s="149" t="str">
        <f aca="false">IF(ISBLANK($C150),"",IF(ISNUMBER($DC150),$DC150+ROW($B150)/1000,""))</f>
        <v/>
      </c>
      <c r="DH150" s="149" t="str">
        <f aca="false">IF(ISNUMBER($DG150),RANK($DG150,$DG$9:$DG$508,1),"")</f>
        <v/>
      </c>
      <c r="DI150" s="149" t="str">
        <f aca="false">IF(ISBLANK($C150),"",$B150)</f>
        <v/>
      </c>
      <c r="DJ150" s="149" t="str">
        <f aca="false">IF(ISBLANK($C150),"",$C150)</f>
        <v/>
      </c>
      <c r="DK150" s="149" t="str">
        <f aca="false">IF(ISBLANK($C150),"",$D150)</f>
        <v/>
      </c>
      <c r="DL150" s="150" t="str">
        <f aca="false">$CZ150</f>
        <v/>
      </c>
      <c r="DM150" s="151" t="str">
        <f aca="false">$CY150</f>
        <v/>
      </c>
      <c r="DN150" s="149" t="str">
        <f aca="false">IF(ISBLANK($C150),"",$DB150)</f>
        <v/>
      </c>
      <c r="DO150" s="152" t="str">
        <f aca="false">IF($DF150&gt;$DE$8,"",VLOOKUP($DF150,$DH$9:$DN$508,7,FALSE()))</f>
        <v/>
      </c>
      <c r="DP150" s="153" t="str">
        <f aca="false">IF($DF150&gt;$DE$8,"",VLOOKUP($DF150,$DH$9:$DN$508,2,FALSE()))</f>
        <v/>
      </c>
      <c r="DQ150" s="153" t="str">
        <f aca="false">IF($DF150&gt;$DE$8,"",VLOOKUP($DF150,$DH$9:$DN$508,3,FALSE()))</f>
        <v/>
      </c>
      <c r="DR150" s="153" t="str">
        <f aca="false">IF($DF150&gt;$DE$8,"",VLOOKUP($DF150,$DH$9:$DN$508,4,FALSE()))</f>
        <v/>
      </c>
      <c r="DS150" s="153" t="str">
        <f aca="false">IF($DF150&gt;$DE$8,"",VLOOKUP($DF150,$DH$9:$DN$508,5,FALSE()))</f>
        <v/>
      </c>
      <c r="DT150" s="154" t="str">
        <f aca="false">IF($DF150&gt;$DE$8,"",VLOOKUP($DF150,$DH$9:$DN$508,6,FALSE()))</f>
        <v/>
      </c>
      <c r="DU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IF(ISBLANK($C151),"",IF(E151=Constants!$B$3,TRUE(),IF(E151=Constants!$B$4,FALSE(),TRUE())))</f>
        <v/>
      </c>
      <c r="AG151" s="135" t="str">
        <f aca="false">IF(ISBLANK($C151),"",IF(F151=Constants!$B$3,TRUE(),IF(F151=Constants!$B$4,FALSE(),TRUE())))</f>
        <v/>
      </c>
      <c r="AH151" s="135" t="str">
        <f aca="false">IF(ISBLANK($C151),"",IF(G151=Constants!$B$3,TRUE(),IF(G151=Constants!$B$4,FALSE(),TRUE())))</f>
        <v/>
      </c>
      <c r="AI151" s="135" t="str">
        <f aca="false">IF(ISBLANK($C151),"",IF(AND(ISNUMBER(H151),H151&gt;=0),H151,Constants!$B$29))</f>
        <v/>
      </c>
      <c r="AJ151" s="135" t="str">
        <f aca="false">IF(ISBLANK($C151),"",IF(I151=Constants!$B$3,TRUE(),IF(I151=Constants!$B$4,FALSE(),TRUE())))</f>
        <v/>
      </c>
      <c r="AK151" s="135" t="str">
        <f aca="false">IF(ISBLANK($C151),"",IF(J151=Constants!$B$3,TRUE(),IF(J151=Constants!$B$4,FALSE(),TRUE())))</f>
        <v/>
      </c>
      <c r="AL151" s="135" t="str">
        <f aca="false">IF(ISBLANK($C151),"",IF(K151=Constants!$B$5,TRUE(),IF(K151=Constants!$B$6,FALSE(),COUNTA(L151:P151)&gt;0)))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IF(ISBLANK($C151),"",IF(N151=Constants!$B$3,TRUE(),IF(N151=Constants!$B$4,FALSE(),TRUE())))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IF(ISBLANK($C151),"",IF(P151=Constants!$B$3,TRUE(),IF(P151=Constants!$B$4,FALSE(),FALSE())))</f>
        <v/>
      </c>
      <c r="AR151" s="135" t="str">
        <f aca="false">IF(ISBLANK($C151),"",IF(Q151=Constants!$B$3,TRUE(),IF(Q151=Constants!$B$4,FALSE(),TRUE())))</f>
        <v/>
      </c>
      <c r="AS151" s="135" t="str">
        <f aca="false">IF(ISBLANK($C151),"",IF(R151=Constants!$B$3,TRUE(),IF(R151=Constants!$B$4,FALSE(),TRUE())))</f>
        <v/>
      </c>
      <c r="AT151" s="135" t="str">
        <f aca="false">IF(ISBLANK($C151),"",IF(S151=Constants!$B$5,TRUE(),IF(S151=Constants!$B$6,FALSE(),COUNTA(T151:X151)&gt;0)))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IF(ISBLANK($C151),"",IF(V151=Constants!$B$3,TRUE(),IF(V151=Constants!$B$4,FALSE(),TRUE())))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IF(ISBLANK($C151),"",IF(X151=Constants!$B$3,TRUE(),IF(X151=Constants!$B$4,FALSE(),FALSE())))</f>
        <v/>
      </c>
      <c r="AZ151" s="135" t="str">
        <f aca="false">IF(ISBLANK($C151),"",MIN(Constants!$B$31,MAX(0,IF(ISNUMBER(Y151),Y151*60,0)+IF(ISNUMBER(Z151),Z151,0))))</f>
        <v/>
      </c>
      <c r="BA151" s="135" t="str">
        <f aca="false">IF(ISBLANK($C151),"",IF(AA151=Constants!$B$3,TRUE(),IF(AA151=Constants!$B$4,FALSE(),FALSE())))</f>
        <v/>
      </c>
      <c r="BB151" s="134" t="str">
        <f aca="false">IF(ISBLANK($C151),"",AND($AL151,OR($AM151="",$AN151="",AND($AO151,$AP151=""))))</f>
        <v/>
      </c>
      <c r="BC151" s="137" t="str">
        <f aca="false">IF($BZ151&lt;&gt;Constants!$B$8,"",IF($AL151,Constants!$B$21*$AN151+Constants!$B$22*IF($AO151,$AP151,Constants!$B$23),Constants!$B$24))</f>
        <v/>
      </c>
      <c r="BD151" s="138" t="str">
        <f aca="false">IF($BZ151&lt;&gt;Constants!$B$8,"",Constants!$B$25*ABS($AD$9-IF($AL151,$AM151,0)))</f>
        <v/>
      </c>
      <c r="BE151" s="138" t="str">
        <f aca="false">IF($BZ151&lt;&gt;Constants!$B$8,"",IF(AND($AL151,$AQ151,$AO151),Constants!$B$27,0))</f>
        <v/>
      </c>
      <c r="BF151" s="138" t="str">
        <f aca="false">IF($BZ151&lt;&gt;Constants!$B$8,"",IF($AL151,($AI151-Constants!$B$29)*Constants!$B$28,0))</f>
        <v/>
      </c>
      <c r="BG151" s="138" t="str">
        <f aca="false">IF($BZ151&lt;&gt;Constants!$B$8,"",IF($AK151,0,Constants!$B$15)+IF($AJ151,0,Constants!$B$16)+IF($AH151,0,Constants!$B$17))</f>
        <v/>
      </c>
      <c r="BH151" s="139" t="str">
        <f aca="false">IF($BZ151&lt;&gt;Constants!$B$8,"",Constants!$B$20+SUM($BC151:$BG151))</f>
        <v/>
      </c>
      <c r="BI151" s="138" t="str">
        <f aca="false">IF($BZ151&lt;&gt;Constants!$B$8,"",$BC151)</f>
        <v/>
      </c>
      <c r="BJ151" s="138" t="str">
        <f aca="false">IF($BZ151&lt;&gt;Constants!$B$8,"",$BD151)</f>
        <v/>
      </c>
      <c r="BK151" s="138" t="str">
        <f aca="false">IF($BZ151&lt;&gt;Constants!$B$8,"",IF($AL151,$AN151,""))</f>
        <v/>
      </c>
      <c r="BL151" s="140" t="str">
        <f aca="false">IF($BZ151&lt;&gt;Constants!$B$8,"",$AI151)</f>
        <v/>
      </c>
      <c r="BM151" s="135" t="str">
        <f aca="false">IF($BZ151&lt;&gt;Constants!$B$8,"",IF(OR($BT151&lt;$BH151,AND($BT151=$BH151,OR($BU151&lt;$BI151,AND($BU151=$BI151,OR($BV151&lt;$BJ151,AND($BV151=$BJ151,OR(AND(ISNUMBER($BW151),OR(NOT(ISNUMBER($BK151)),$BW151&lt;$BK151)),AND(OR(AND($BW151="",$BK151=""),AND(ISNUMBER($BW151),ISNUMBER($BK151),$BW151=$BK151)),$BX151&lt;$BL151)))))))),"-&gt;","&lt;-"))</f>
        <v/>
      </c>
      <c r="BN151" s="134" t="str">
        <f aca="false">IF(ISBLANK($C151),"",AND($AT151,OR($AU151="",$AV151="",AND($AW151,$AX151=""))))</f>
        <v/>
      </c>
      <c r="BO151" s="137" t="str">
        <f aca="false">IF($BZ151&lt;&gt;Constants!$B$8,"",IF($AT151,Constants!$B$21*$AV151+Constants!$B$22*IF($AW151,$AX151,Constants!$B$23),Constants!$B$24))</f>
        <v/>
      </c>
      <c r="BP151" s="138" t="str">
        <f aca="false">IF($BZ151&lt;&gt;Constants!$B$8,"",Constants!$B$25*ABS($AD$9-IF($AT151,$AU151,0)))</f>
        <v/>
      </c>
      <c r="BQ151" s="138" t="str">
        <f aca="false">IF($BZ151&lt;&gt;Constants!$B$8,"",IF(AND($AT151,$AY151,$AW151),Constants!$B$27,0))</f>
        <v/>
      </c>
      <c r="BR151" s="138" t="str">
        <f aca="false">IF($BZ151&lt;&gt;Constants!$B$8,"",IF($AT151,($AI151-Constants!$B$29)*Constants!$B$28,0))</f>
        <v/>
      </c>
      <c r="BS151" s="138" t="str">
        <f aca="false">IF($BZ151&lt;&gt;Constants!$B$8,"",IF($AS151,0,Constants!$B$15)+IF($AR151,0,Constants!$B$16)+IF($AH151,0,Constants!$B$17))</f>
        <v/>
      </c>
      <c r="BT151" s="139" t="str">
        <f aca="false">IF($BZ151&lt;&gt;Constants!$B$8,"",Constants!$B$20+SUM($BO151:$BS151))</f>
        <v/>
      </c>
      <c r="BU151" s="138" t="str">
        <f aca="false">IF($BZ151&lt;&gt;Constants!$B$8,"",$BO151)</f>
        <v/>
      </c>
      <c r="BV151" s="138" t="str">
        <f aca="false">IF($BZ151&lt;&gt;Constants!$B$8,"",$BP151)</f>
        <v/>
      </c>
      <c r="BW151" s="138" t="str">
        <f aca="false">IF($BZ151&lt;&gt;Constants!$B$8,"",IF($AT151,$AV151,""))</f>
        <v/>
      </c>
      <c r="BX151" s="140" t="str">
        <f aca="false">IF($BZ151&lt;&gt;Constants!$B$8,"",$AI151)</f>
        <v/>
      </c>
      <c r="BY151" s="135" t="str">
        <f aca="false">IF(ISBLANK($C151),"",IF(ISBLANK($D$7),$BY$5,IF(NOT(ISNUMBER($D$7)),$BY$6,"")))</f>
        <v/>
      </c>
      <c r="BZ151" s="135" t="str">
        <f aca="false">IF(ISBLANK($C151),"",IF($BA151,Constants!$B$11,IF(COUNTA($E151:$AA151)=0,Constants!$B$10,IF(NOT($AG151),Constants!$B$9,IF(OR($BY151&lt;&gt;"",$BB151,$BN151),Constants!$B$12,Constants!$B$8)))))</f>
        <v/>
      </c>
      <c r="CA151" s="135" t="str">
        <f aca="false">IF(ISBLANK($C151),"",IF($BZ151&lt;&gt;Constants!$B$8,$BZ151,Constants!$B$13))</f>
        <v/>
      </c>
      <c r="CB151" s="138" t="str">
        <f aca="false">IF($BZ151&lt;&gt;Constants!$B$8,"",IF($BM151="-&gt;",$BT151,$BH151))</f>
        <v/>
      </c>
      <c r="CC151" s="138" t="str">
        <f aca="false">IF($BZ151&lt;&gt;Constants!$B$8,"",IF($AF151,0,Constants!$B$18))</f>
        <v/>
      </c>
      <c r="CD151" s="138" t="str">
        <f aca="false">IF($BZ151&lt;&gt;Constants!$B$8,"",((Constants!$B$31-$AZ151)-Constants!$B$31)/Constants!$B$32)</f>
        <v/>
      </c>
      <c r="CE151" s="138" t="str">
        <f aca="false">IF(ISBLANK($C151),"",IF($BZ151&lt;&gt;Constants!$B$8,$BZ151,SUM($CB151:$CD151)))</f>
        <v/>
      </c>
      <c r="CF151" s="135" t="str">
        <f aca="false">IF(ISBLANK($C151),"",IF($BZ151&lt;&gt;Constants!$B$8,$BZ151,RANK($CE151,$CE$9:$CE$508,1)))</f>
        <v/>
      </c>
      <c r="CG151" s="138" t="str">
        <f aca="false">IF($BZ151&lt;&gt;Constants!$B$8,"",IF($BM151="-&gt;",$BU151,$BI151))</f>
        <v/>
      </c>
      <c r="CH151" s="135" t="str">
        <f aca="false">IF(ISBLANK($C151),"",IF($BZ151&lt;&gt;Constants!$B$8,$BZ151,IF(ISNUMBER($CG151),RANK($CG151,$CG$9:$CG$508,1),COUNT($CG$9:$CG$508)+1)))</f>
        <v/>
      </c>
      <c r="CI151" s="138" t="str">
        <f aca="false">IF($BZ151&lt;&gt;Constants!$B$8,"",IF($BM151="-&gt;",$BV151,$BJ151))</f>
        <v/>
      </c>
      <c r="CJ151" s="135" t="str">
        <f aca="false">IF(ISBLANK($C151),"",IF($BZ151&lt;&gt;Constants!$B$8,$BZ151,IF(ISNUMBER($CI151),RANK($CI151,$CI$9:$CI$508,1),COUNT($CI$9:$CI$508)+1)))</f>
        <v/>
      </c>
      <c r="CK151" s="138" t="str">
        <f aca="false">IF($BZ151&lt;&gt;Constants!$B$8,"",IF($BM151="-&gt;",$BW151,$BK151))</f>
        <v/>
      </c>
      <c r="CL151" s="135" t="str">
        <f aca="false">IF(ISBLANK($C151),"",IF($BZ151&lt;&gt;Constants!$B$8,$BZ151,IF(ISNUMBER($CK151),RANK($CK151,$CK$9:$CK$508,1),COUNT($CK$9:$CK$508)+1)))</f>
        <v/>
      </c>
      <c r="CM151" s="138" t="str">
        <f aca="false">IF($BZ151&lt;&gt;Constants!$B$8,"",IF(AND(NOT($AL151),NOT($AT151),$AJ151,$AK151,$AR151,$AS151),"",IF($BM151="-&gt;",$BX151,$BL151)))</f>
        <v/>
      </c>
      <c r="CN151" s="135" t="str">
        <f aca="false">IF(ISBLANK($C151),"",IF($BZ151&lt;&gt;Constants!$B$8,$BZ151,IF(ISNUMBER($CM151),RANK($CM151,$CM$9:$CM$508,1),COUNT($CM$9:$CM$508)+1)))</f>
        <v/>
      </c>
      <c r="CO151" s="135" t="str">
        <f aca="false">IF(ISBLANK($C151),"",IF($BZ151&lt;&gt;Constants!$B$8,$BZ151,COUNTIFS($CF$9:$CF$508,"&lt;"&amp;$CF151)+COUNTIFS($CF$9:$CF$508,$CF151,$CH$9:$CH$508,"&lt;"&amp;$CH151)+COUNTIFS($CF$9:$CF$508,$CF151,$CH$9:$CH$508,$CH151,$CJ$9:$CJ$508,"&lt;"&amp;$CJ151)+COUNTIFS($CF$9:$CF$508,$CF151,$CH$9:$CH$508,$CH151,$CJ$9:$CJ$508,$CJ151,$CL$9:$CL$508,"&lt;"&amp;$CL151)+COUNTIFS($CF$9:$CF$508,$CF151,$CH$9:$CH$508,$CH151,$CJ$9:$CJ$508,$CJ151,$CL$9:$CL$508,$CL151,$CN$9:$CN$508,"&lt;"&amp;$CN151)+1))</f>
        <v/>
      </c>
      <c r="CP151" s="135" t="str">
        <f aca="false">IF(ISBLANK($C151),"",IF($BZ151&lt;&gt;Constants!$B$8,$BZ151,$CF151-$CO151))</f>
        <v/>
      </c>
      <c r="CQ151" s="141"/>
      <c r="CR151" s="142"/>
      <c r="CS151" s="143" t="str">
        <f aca="false">IF(ISBLANK($C151),"",IF($BZ151=Constants!$B$12,$BY151,""))</f>
        <v/>
      </c>
      <c r="CT151" s="142" t="str">
        <f aca="false">IF(ISBLANK($C151),"",IF($BZ151&lt;&gt;Constants!$B$8,"",IF($BM151="-&gt;",2,1)))</f>
        <v/>
      </c>
      <c r="CU151" s="144" t="str">
        <f aca="false">IF(ISBLANK($C151),"",IF($BZ151&lt;&gt;Constants!$B$8,"",IF($BM151="-&gt;",$BO151,$BC151)))</f>
        <v/>
      </c>
      <c r="CV151" s="144" t="str">
        <f aca="false">IF(ISBLANK($C151),"",IF($BZ151&lt;&gt;Constants!$B$8,"",IF($BM151="-&gt;",$BP151,$BD151)))</f>
        <v/>
      </c>
      <c r="CW151" s="144" t="str">
        <f aca="false">IF(ISBLANK($C151),"",IF($BZ151&lt;&gt;Constants!$B$8,"",IF($BM151="-&gt;",$BQ151+$BR151,$BE151+$BF151)+$CD151))</f>
        <v/>
      </c>
      <c r="CX151" s="144" t="str">
        <f aca="false">IF(ISBLANK($C151),"",IF($BZ151&lt;&gt;Constants!$B$8,"",IF($BM151="-&gt;",$BS151,$BG151)+$CC151))</f>
        <v/>
      </c>
      <c r="CY151" s="145" t="str">
        <f aca="false">IF(ISBLANK($C151),"",IF($BZ151&lt;&gt;Constants!$B$8,$BZ151,$CE151))</f>
        <v/>
      </c>
      <c r="CZ151" s="146" t="str">
        <f aca="false">IF(ISBLANK($C151),"",$CA151)</f>
        <v/>
      </c>
      <c r="DA151" s="147" t="str">
        <f aca="false">IF(ISBLANK($C151),"",$CP151)</f>
        <v/>
      </c>
      <c r="DB151" s="147" t="str">
        <f aca="false">IF(ISBLANK($C151),"",$CO151)</f>
        <v/>
      </c>
      <c r="DC151" s="148" t="str">
        <f aca="false">IF(ISBLANK($C151),"",IFERROR(_xlfn.SWITCH($DB151,Constants!$B$11,COUNTA($C$9:$C$508)+2,Constants!$B$10,COUNTA($C$9:$C$508)+1,Constants!$B$9,COUNTA($C$9:$C$508)),$DB151))</f>
        <v/>
      </c>
      <c r="DD151" s="9"/>
      <c r="DE151" s="149" t="n">
        <f aca="false">IF(OR(ISNUMBER($DB151),$DB151=Constants!$B$11,$DB151=Constants!$B$9,$DB151=Constants!$B$10),1,0)</f>
        <v>0</v>
      </c>
      <c r="DF151" s="149" t="n">
        <v>143</v>
      </c>
      <c r="DG151" s="149" t="str">
        <f aca="false">IF(ISBLANK($C151),"",IF(ISNUMBER($DC151),$DC151+ROW($B151)/1000,""))</f>
        <v/>
      </c>
      <c r="DH151" s="149" t="str">
        <f aca="false">IF(ISNUMBER($DG151),RANK($DG151,$DG$9:$DG$508,1),"")</f>
        <v/>
      </c>
      <c r="DI151" s="149" t="str">
        <f aca="false">IF(ISBLANK($C151),"",$B151)</f>
        <v/>
      </c>
      <c r="DJ151" s="149" t="str">
        <f aca="false">IF(ISBLANK($C151),"",$C151)</f>
        <v/>
      </c>
      <c r="DK151" s="149" t="str">
        <f aca="false">IF(ISBLANK($C151),"",$D151)</f>
        <v/>
      </c>
      <c r="DL151" s="150" t="str">
        <f aca="false">$CZ151</f>
        <v/>
      </c>
      <c r="DM151" s="151" t="str">
        <f aca="false">$CY151</f>
        <v/>
      </c>
      <c r="DN151" s="149" t="str">
        <f aca="false">IF(ISBLANK($C151),"",$DB151)</f>
        <v/>
      </c>
      <c r="DO151" s="152" t="str">
        <f aca="false">IF($DF151&gt;$DE$8,"",VLOOKUP($DF151,$DH$9:$DN$508,7,FALSE()))</f>
        <v/>
      </c>
      <c r="DP151" s="153" t="str">
        <f aca="false">IF($DF151&gt;$DE$8,"",VLOOKUP($DF151,$DH$9:$DN$508,2,FALSE()))</f>
        <v/>
      </c>
      <c r="DQ151" s="153" t="str">
        <f aca="false">IF($DF151&gt;$DE$8,"",VLOOKUP($DF151,$DH$9:$DN$508,3,FALSE()))</f>
        <v/>
      </c>
      <c r="DR151" s="153" t="str">
        <f aca="false">IF($DF151&gt;$DE$8,"",VLOOKUP($DF151,$DH$9:$DN$508,4,FALSE()))</f>
        <v/>
      </c>
      <c r="DS151" s="153" t="str">
        <f aca="false">IF($DF151&gt;$DE$8,"",VLOOKUP($DF151,$DH$9:$DN$508,5,FALSE()))</f>
        <v/>
      </c>
      <c r="DT151" s="154" t="str">
        <f aca="false">IF($DF151&gt;$DE$8,"",VLOOKUP($DF151,$DH$9:$DN$508,6,FALSE()))</f>
        <v/>
      </c>
      <c r="DU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IF(ISBLANK($C152),"",IF(E152=Constants!$B$3,TRUE(),IF(E152=Constants!$B$4,FALSE(),TRUE())))</f>
        <v/>
      </c>
      <c r="AG152" s="135" t="str">
        <f aca="false">IF(ISBLANK($C152),"",IF(F152=Constants!$B$3,TRUE(),IF(F152=Constants!$B$4,FALSE(),TRUE())))</f>
        <v/>
      </c>
      <c r="AH152" s="135" t="str">
        <f aca="false">IF(ISBLANK($C152),"",IF(G152=Constants!$B$3,TRUE(),IF(G152=Constants!$B$4,FALSE(),TRUE())))</f>
        <v/>
      </c>
      <c r="AI152" s="135" t="str">
        <f aca="false">IF(ISBLANK($C152),"",IF(AND(ISNUMBER(H152),H152&gt;=0),H152,Constants!$B$29))</f>
        <v/>
      </c>
      <c r="AJ152" s="135" t="str">
        <f aca="false">IF(ISBLANK($C152),"",IF(I152=Constants!$B$3,TRUE(),IF(I152=Constants!$B$4,FALSE(),TRUE())))</f>
        <v/>
      </c>
      <c r="AK152" s="135" t="str">
        <f aca="false">IF(ISBLANK($C152),"",IF(J152=Constants!$B$3,TRUE(),IF(J152=Constants!$B$4,FALSE(),TRUE())))</f>
        <v/>
      </c>
      <c r="AL152" s="135" t="str">
        <f aca="false">IF(ISBLANK($C152),"",IF(K152=Constants!$B$5,TRUE(),IF(K152=Constants!$B$6,FALSE(),COUNTA(L152:P152)&gt;0)))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IF(ISBLANK($C152),"",IF(N152=Constants!$B$3,TRUE(),IF(N152=Constants!$B$4,FALSE(),TRUE())))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IF(ISBLANK($C152),"",IF(P152=Constants!$B$3,TRUE(),IF(P152=Constants!$B$4,FALSE(),FALSE())))</f>
        <v/>
      </c>
      <c r="AR152" s="135" t="str">
        <f aca="false">IF(ISBLANK($C152),"",IF(Q152=Constants!$B$3,TRUE(),IF(Q152=Constants!$B$4,FALSE(),TRUE())))</f>
        <v/>
      </c>
      <c r="AS152" s="135" t="str">
        <f aca="false">IF(ISBLANK($C152),"",IF(R152=Constants!$B$3,TRUE(),IF(R152=Constants!$B$4,FALSE(),TRUE())))</f>
        <v/>
      </c>
      <c r="AT152" s="135" t="str">
        <f aca="false">IF(ISBLANK($C152),"",IF(S152=Constants!$B$5,TRUE(),IF(S152=Constants!$B$6,FALSE(),COUNTA(T152:X152)&gt;0)))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IF(ISBLANK($C152),"",IF(V152=Constants!$B$3,TRUE(),IF(V152=Constants!$B$4,FALSE(),TRUE())))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IF(ISBLANK($C152),"",IF(X152=Constants!$B$3,TRUE(),IF(X152=Constants!$B$4,FALSE(),FALSE())))</f>
        <v/>
      </c>
      <c r="AZ152" s="135" t="str">
        <f aca="false">IF(ISBLANK($C152),"",MIN(Constants!$B$31,MAX(0,IF(ISNUMBER(Y152),Y152*60,0)+IF(ISNUMBER(Z152),Z152,0))))</f>
        <v/>
      </c>
      <c r="BA152" s="135" t="str">
        <f aca="false">IF(ISBLANK($C152),"",IF(AA152=Constants!$B$3,TRUE(),IF(AA152=Constants!$B$4,FALSE(),FALSE())))</f>
        <v/>
      </c>
      <c r="BB152" s="134" t="str">
        <f aca="false">IF(ISBLANK($C152),"",AND($AL152,OR($AM152="",$AN152="",AND($AO152,$AP152=""))))</f>
        <v/>
      </c>
      <c r="BC152" s="137" t="str">
        <f aca="false">IF($BZ152&lt;&gt;Constants!$B$8,"",IF($AL152,Constants!$B$21*$AN152+Constants!$B$22*IF($AO152,$AP152,Constants!$B$23),Constants!$B$24))</f>
        <v/>
      </c>
      <c r="BD152" s="138" t="str">
        <f aca="false">IF($BZ152&lt;&gt;Constants!$B$8,"",Constants!$B$25*ABS($AD$9-IF($AL152,$AM152,0)))</f>
        <v/>
      </c>
      <c r="BE152" s="138" t="str">
        <f aca="false">IF($BZ152&lt;&gt;Constants!$B$8,"",IF(AND($AL152,$AQ152,$AO152),Constants!$B$27,0))</f>
        <v/>
      </c>
      <c r="BF152" s="138" t="str">
        <f aca="false">IF($BZ152&lt;&gt;Constants!$B$8,"",IF($AL152,($AI152-Constants!$B$29)*Constants!$B$28,0))</f>
        <v/>
      </c>
      <c r="BG152" s="138" t="str">
        <f aca="false">IF($BZ152&lt;&gt;Constants!$B$8,"",IF($AK152,0,Constants!$B$15)+IF($AJ152,0,Constants!$B$16)+IF($AH152,0,Constants!$B$17))</f>
        <v/>
      </c>
      <c r="BH152" s="139" t="str">
        <f aca="false">IF($BZ152&lt;&gt;Constants!$B$8,"",Constants!$B$20+SUM($BC152:$BG152))</f>
        <v/>
      </c>
      <c r="BI152" s="138" t="str">
        <f aca="false">IF($BZ152&lt;&gt;Constants!$B$8,"",$BC152)</f>
        <v/>
      </c>
      <c r="BJ152" s="138" t="str">
        <f aca="false">IF($BZ152&lt;&gt;Constants!$B$8,"",$BD152)</f>
        <v/>
      </c>
      <c r="BK152" s="138" t="str">
        <f aca="false">IF($BZ152&lt;&gt;Constants!$B$8,"",IF($AL152,$AN152,""))</f>
        <v/>
      </c>
      <c r="BL152" s="140" t="str">
        <f aca="false">IF($BZ152&lt;&gt;Constants!$B$8,"",$AI152)</f>
        <v/>
      </c>
      <c r="BM152" s="135" t="str">
        <f aca="false">IF($BZ152&lt;&gt;Constants!$B$8,"",IF(OR($BT152&lt;$BH152,AND($BT152=$BH152,OR($BU152&lt;$BI152,AND($BU152=$BI152,OR($BV152&lt;$BJ152,AND($BV152=$BJ152,OR(AND(ISNUMBER($BW152),OR(NOT(ISNUMBER($BK152)),$BW152&lt;$BK152)),AND(OR(AND($BW152="",$BK152=""),AND(ISNUMBER($BW152),ISNUMBER($BK152),$BW152=$BK152)),$BX152&lt;$BL152)))))))),"-&gt;","&lt;-"))</f>
        <v/>
      </c>
      <c r="BN152" s="134" t="str">
        <f aca="false">IF(ISBLANK($C152),"",AND($AT152,OR($AU152="",$AV152="",AND($AW152,$AX152=""))))</f>
        <v/>
      </c>
      <c r="BO152" s="137" t="str">
        <f aca="false">IF($BZ152&lt;&gt;Constants!$B$8,"",IF($AT152,Constants!$B$21*$AV152+Constants!$B$22*IF($AW152,$AX152,Constants!$B$23),Constants!$B$24))</f>
        <v/>
      </c>
      <c r="BP152" s="138" t="str">
        <f aca="false">IF($BZ152&lt;&gt;Constants!$B$8,"",Constants!$B$25*ABS($AD$9-IF($AT152,$AU152,0)))</f>
        <v/>
      </c>
      <c r="BQ152" s="138" t="str">
        <f aca="false">IF($BZ152&lt;&gt;Constants!$B$8,"",IF(AND($AT152,$AY152,$AW152),Constants!$B$27,0))</f>
        <v/>
      </c>
      <c r="BR152" s="138" t="str">
        <f aca="false">IF($BZ152&lt;&gt;Constants!$B$8,"",IF($AT152,($AI152-Constants!$B$29)*Constants!$B$28,0))</f>
        <v/>
      </c>
      <c r="BS152" s="138" t="str">
        <f aca="false">IF($BZ152&lt;&gt;Constants!$B$8,"",IF($AS152,0,Constants!$B$15)+IF($AR152,0,Constants!$B$16)+IF($AH152,0,Constants!$B$17))</f>
        <v/>
      </c>
      <c r="BT152" s="139" t="str">
        <f aca="false">IF($BZ152&lt;&gt;Constants!$B$8,"",Constants!$B$20+SUM($BO152:$BS152))</f>
        <v/>
      </c>
      <c r="BU152" s="138" t="str">
        <f aca="false">IF($BZ152&lt;&gt;Constants!$B$8,"",$BO152)</f>
        <v/>
      </c>
      <c r="BV152" s="138" t="str">
        <f aca="false">IF($BZ152&lt;&gt;Constants!$B$8,"",$BP152)</f>
        <v/>
      </c>
      <c r="BW152" s="138" t="str">
        <f aca="false">IF($BZ152&lt;&gt;Constants!$B$8,"",IF($AT152,$AV152,""))</f>
        <v/>
      </c>
      <c r="BX152" s="140" t="str">
        <f aca="false">IF($BZ152&lt;&gt;Constants!$B$8,"",$AI152)</f>
        <v/>
      </c>
      <c r="BY152" s="135" t="str">
        <f aca="false">IF(ISBLANK($C152),"",IF(ISBLANK($D$7),$BY$5,IF(NOT(ISNUMBER($D$7)),$BY$6,"")))</f>
        <v/>
      </c>
      <c r="BZ152" s="135" t="str">
        <f aca="false">IF(ISBLANK($C152),"",IF($BA152,Constants!$B$11,IF(COUNTA($E152:$AA152)=0,Constants!$B$10,IF(NOT($AG152),Constants!$B$9,IF(OR($BY152&lt;&gt;"",$BB152,$BN152),Constants!$B$12,Constants!$B$8)))))</f>
        <v/>
      </c>
      <c r="CA152" s="135" t="str">
        <f aca="false">IF(ISBLANK($C152),"",IF($BZ152&lt;&gt;Constants!$B$8,$BZ152,Constants!$B$13))</f>
        <v/>
      </c>
      <c r="CB152" s="138" t="str">
        <f aca="false">IF($BZ152&lt;&gt;Constants!$B$8,"",IF($BM152="-&gt;",$BT152,$BH152))</f>
        <v/>
      </c>
      <c r="CC152" s="138" t="str">
        <f aca="false">IF($BZ152&lt;&gt;Constants!$B$8,"",IF($AF152,0,Constants!$B$18))</f>
        <v/>
      </c>
      <c r="CD152" s="138" t="str">
        <f aca="false">IF($BZ152&lt;&gt;Constants!$B$8,"",((Constants!$B$31-$AZ152)-Constants!$B$31)/Constants!$B$32)</f>
        <v/>
      </c>
      <c r="CE152" s="138" t="str">
        <f aca="false">IF(ISBLANK($C152),"",IF($BZ152&lt;&gt;Constants!$B$8,$BZ152,SUM($CB152:$CD152)))</f>
        <v/>
      </c>
      <c r="CF152" s="135" t="str">
        <f aca="false">IF(ISBLANK($C152),"",IF($BZ152&lt;&gt;Constants!$B$8,$BZ152,RANK($CE152,$CE$9:$CE$508,1)))</f>
        <v/>
      </c>
      <c r="CG152" s="138" t="str">
        <f aca="false">IF($BZ152&lt;&gt;Constants!$B$8,"",IF($BM152="-&gt;",$BU152,$BI152))</f>
        <v/>
      </c>
      <c r="CH152" s="135" t="str">
        <f aca="false">IF(ISBLANK($C152),"",IF($BZ152&lt;&gt;Constants!$B$8,$BZ152,IF(ISNUMBER($CG152),RANK($CG152,$CG$9:$CG$508,1),COUNT($CG$9:$CG$508)+1)))</f>
        <v/>
      </c>
      <c r="CI152" s="138" t="str">
        <f aca="false">IF($BZ152&lt;&gt;Constants!$B$8,"",IF($BM152="-&gt;",$BV152,$BJ152))</f>
        <v/>
      </c>
      <c r="CJ152" s="135" t="str">
        <f aca="false">IF(ISBLANK($C152),"",IF($BZ152&lt;&gt;Constants!$B$8,$BZ152,IF(ISNUMBER($CI152),RANK($CI152,$CI$9:$CI$508,1),COUNT($CI$9:$CI$508)+1)))</f>
        <v/>
      </c>
      <c r="CK152" s="138" t="str">
        <f aca="false">IF($BZ152&lt;&gt;Constants!$B$8,"",IF($BM152="-&gt;",$BW152,$BK152))</f>
        <v/>
      </c>
      <c r="CL152" s="135" t="str">
        <f aca="false">IF(ISBLANK($C152),"",IF($BZ152&lt;&gt;Constants!$B$8,$BZ152,IF(ISNUMBER($CK152),RANK($CK152,$CK$9:$CK$508,1),COUNT($CK$9:$CK$508)+1)))</f>
        <v/>
      </c>
      <c r="CM152" s="138" t="str">
        <f aca="false">IF($BZ152&lt;&gt;Constants!$B$8,"",IF(AND(NOT($AL152),NOT($AT152),$AJ152,$AK152,$AR152,$AS152),"",IF($BM152="-&gt;",$BX152,$BL152)))</f>
        <v/>
      </c>
      <c r="CN152" s="135" t="str">
        <f aca="false">IF(ISBLANK($C152),"",IF($BZ152&lt;&gt;Constants!$B$8,$BZ152,IF(ISNUMBER($CM152),RANK($CM152,$CM$9:$CM$508,1),COUNT($CM$9:$CM$508)+1)))</f>
        <v/>
      </c>
      <c r="CO152" s="135" t="str">
        <f aca="false">IF(ISBLANK($C152),"",IF($BZ152&lt;&gt;Constants!$B$8,$BZ152,COUNTIFS($CF$9:$CF$508,"&lt;"&amp;$CF152)+COUNTIFS($CF$9:$CF$508,$CF152,$CH$9:$CH$508,"&lt;"&amp;$CH152)+COUNTIFS($CF$9:$CF$508,$CF152,$CH$9:$CH$508,$CH152,$CJ$9:$CJ$508,"&lt;"&amp;$CJ152)+COUNTIFS($CF$9:$CF$508,$CF152,$CH$9:$CH$508,$CH152,$CJ$9:$CJ$508,$CJ152,$CL$9:$CL$508,"&lt;"&amp;$CL152)+COUNTIFS($CF$9:$CF$508,$CF152,$CH$9:$CH$508,$CH152,$CJ$9:$CJ$508,$CJ152,$CL$9:$CL$508,$CL152,$CN$9:$CN$508,"&lt;"&amp;$CN152)+1))</f>
        <v/>
      </c>
      <c r="CP152" s="135" t="str">
        <f aca="false">IF(ISBLANK($C152),"",IF($BZ152&lt;&gt;Constants!$B$8,$BZ152,$CF152-$CO152))</f>
        <v/>
      </c>
      <c r="CQ152" s="141"/>
      <c r="CR152" s="142"/>
      <c r="CS152" s="143" t="str">
        <f aca="false">IF(ISBLANK($C152),"",IF($BZ152=Constants!$B$12,$BY152,""))</f>
        <v/>
      </c>
      <c r="CT152" s="142" t="str">
        <f aca="false">IF(ISBLANK($C152),"",IF($BZ152&lt;&gt;Constants!$B$8,"",IF($BM152="-&gt;",2,1)))</f>
        <v/>
      </c>
      <c r="CU152" s="144" t="str">
        <f aca="false">IF(ISBLANK($C152),"",IF($BZ152&lt;&gt;Constants!$B$8,"",IF($BM152="-&gt;",$BO152,$BC152)))</f>
        <v/>
      </c>
      <c r="CV152" s="144" t="str">
        <f aca="false">IF(ISBLANK($C152),"",IF($BZ152&lt;&gt;Constants!$B$8,"",IF($BM152="-&gt;",$BP152,$BD152)))</f>
        <v/>
      </c>
      <c r="CW152" s="144" t="str">
        <f aca="false">IF(ISBLANK($C152),"",IF($BZ152&lt;&gt;Constants!$B$8,"",IF($BM152="-&gt;",$BQ152+$BR152,$BE152+$BF152)+$CD152))</f>
        <v/>
      </c>
      <c r="CX152" s="144" t="str">
        <f aca="false">IF(ISBLANK($C152),"",IF($BZ152&lt;&gt;Constants!$B$8,"",IF($BM152="-&gt;",$BS152,$BG152)+$CC152))</f>
        <v/>
      </c>
      <c r="CY152" s="145" t="str">
        <f aca="false">IF(ISBLANK($C152),"",IF($BZ152&lt;&gt;Constants!$B$8,$BZ152,$CE152))</f>
        <v/>
      </c>
      <c r="CZ152" s="146" t="str">
        <f aca="false">IF(ISBLANK($C152),"",$CA152)</f>
        <v/>
      </c>
      <c r="DA152" s="147" t="str">
        <f aca="false">IF(ISBLANK($C152),"",$CP152)</f>
        <v/>
      </c>
      <c r="DB152" s="147" t="str">
        <f aca="false">IF(ISBLANK($C152),"",$CO152)</f>
        <v/>
      </c>
      <c r="DC152" s="148" t="str">
        <f aca="false">IF(ISBLANK($C152),"",IFERROR(_xlfn.SWITCH($DB152,Constants!$B$11,COUNTA($C$9:$C$508)+2,Constants!$B$10,COUNTA($C$9:$C$508)+1,Constants!$B$9,COUNTA($C$9:$C$508)),$DB152))</f>
        <v/>
      </c>
      <c r="DD152" s="9"/>
      <c r="DE152" s="149" t="n">
        <f aca="false">IF(OR(ISNUMBER($DB152),$DB152=Constants!$B$11,$DB152=Constants!$B$9,$DB152=Constants!$B$10),1,0)</f>
        <v>0</v>
      </c>
      <c r="DF152" s="149" t="n">
        <v>144</v>
      </c>
      <c r="DG152" s="149" t="str">
        <f aca="false">IF(ISBLANK($C152),"",IF(ISNUMBER($DC152),$DC152+ROW($B152)/1000,""))</f>
        <v/>
      </c>
      <c r="DH152" s="149" t="str">
        <f aca="false">IF(ISNUMBER($DG152),RANK($DG152,$DG$9:$DG$508,1),"")</f>
        <v/>
      </c>
      <c r="DI152" s="149" t="str">
        <f aca="false">IF(ISBLANK($C152),"",$B152)</f>
        <v/>
      </c>
      <c r="DJ152" s="149" t="str">
        <f aca="false">IF(ISBLANK($C152),"",$C152)</f>
        <v/>
      </c>
      <c r="DK152" s="149" t="str">
        <f aca="false">IF(ISBLANK($C152),"",$D152)</f>
        <v/>
      </c>
      <c r="DL152" s="150" t="str">
        <f aca="false">$CZ152</f>
        <v/>
      </c>
      <c r="DM152" s="151" t="str">
        <f aca="false">$CY152</f>
        <v/>
      </c>
      <c r="DN152" s="149" t="str">
        <f aca="false">IF(ISBLANK($C152),"",$DB152)</f>
        <v/>
      </c>
      <c r="DO152" s="152" t="str">
        <f aca="false">IF($DF152&gt;$DE$8,"",VLOOKUP($DF152,$DH$9:$DN$508,7,FALSE()))</f>
        <v/>
      </c>
      <c r="DP152" s="153" t="str">
        <f aca="false">IF($DF152&gt;$DE$8,"",VLOOKUP($DF152,$DH$9:$DN$508,2,FALSE()))</f>
        <v/>
      </c>
      <c r="DQ152" s="153" t="str">
        <f aca="false">IF($DF152&gt;$DE$8,"",VLOOKUP($DF152,$DH$9:$DN$508,3,FALSE()))</f>
        <v/>
      </c>
      <c r="DR152" s="153" t="str">
        <f aca="false">IF($DF152&gt;$DE$8,"",VLOOKUP($DF152,$DH$9:$DN$508,4,FALSE()))</f>
        <v/>
      </c>
      <c r="DS152" s="153" t="str">
        <f aca="false">IF($DF152&gt;$DE$8,"",VLOOKUP($DF152,$DH$9:$DN$508,5,FALSE()))</f>
        <v/>
      </c>
      <c r="DT152" s="154" t="str">
        <f aca="false">IF($DF152&gt;$DE$8,"",VLOOKUP($DF152,$DH$9:$DN$508,6,FALSE()))</f>
        <v/>
      </c>
      <c r="DU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IF(ISBLANK($C153),"",IF(E153=Constants!$B$3,TRUE(),IF(E153=Constants!$B$4,FALSE(),TRUE())))</f>
        <v/>
      </c>
      <c r="AG153" s="93" t="str">
        <f aca="false">IF(ISBLANK($C153),"",IF(F153=Constants!$B$3,TRUE(),IF(F153=Constants!$B$4,FALSE(),TRUE())))</f>
        <v/>
      </c>
      <c r="AH153" s="93" t="str">
        <f aca="false">IF(ISBLANK($C153),"",IF(G153=Constants!$B$3,TRUE(),IF(G153=Constants!$B$4,FALSE(),TRUE())))</f>
        <v/>
      </c>
      <c r="AI153" s="93" t="str">
        <f aca="false">IF(ISBLANK($C153),"",IF(AND(ISNUMBER(H153),H153&gt;=0),H153,Constants!$B$29))</f>
        <v/>
      </c>
      <c r="AJ153" s="93" t="str">
        <f aca="false">IF(ISBLANK($C153),"",IF(I153=Constants!$B$3,TRUE(),IF(I153=Constants!$B$4,FALSE(),TRUE())))</f>
        <v/>
      </c>
      <c r="AK153" s="93" t="str">
        <f aca="false">IF(ISBLANK($C153),"",IF(J153=Constants!$B$3,TRUE(),IF(J153=Constants!$B$4,FALSE(),TRUE())))</f>
        <v/>
      </c>
      <c r="AL153" s="93" t="str">
        <f aca="false">IF(ISBLANK($C153),"",IF(K153=Constants!$B$5,TRUE(),IF(K153=Constants!$B$6,FALSE(),COUNTA(L153:P153)&gt;0)))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IF(ISBLANK($C153),"",IF(N153=Constants!$B$3,TRUE(),IF(N153=Constants!$B$4,FALSE(),TRUE())))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IF(ISBLANK($C153),"",IF(P153=Constants!$B$3,TRUE(),IF(P153=Constants!$B$4,FALSE(),FALSE())))</f>
        <v/>
      </c>
      <c r="AR153" s="93" t="str">
        <f aca="false">IF(ISBLANK($C153),"",IF(Q153=Constants!$B$3,TRUE(),IF(Q153=Constants!$B$4,FALSE(),TRUE())))</f>
        <v/>
      </c>
      <c r="AS153" s="93" t="str">
        <f aca="false">IF(ISBLANK($C153),"",IF(R153=Constants!$B$3,TRUE(),IF(R153=Constants!$B$4,FALSE(),TRUE())))</f>
        <v/>
      </c>
      <c r="AT153" s="93" t="str">
        <f aca="false">IF(ISBLANK($C153),"",IF(S153=Constants!$B$5,TRUE(),IF(S153=Constants!$B$6,FALSE(),COUNTA(T153:X153)&gt;0)))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IF(ISBLANK($C153),"",IF(V153=Constants!$B$3,TRUE(),IF(V153=Constants!$B$4,FALSE(),TRUE())))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IF(ISBLANK($C153),"",IF(X153=Constants!$B$3,TRUE(),IF(X153=Constants!$B$4,FALSE(),FALSE())))</f>
        <v/>
      </c>
      <c r="AZ153" s="93" t="str">
        <f aca="false">IF(ISBLANK($C153),"",MIN(Constants!$B$31,MAX(0,IF(ISNUMBER(Y153),Y153*60,0)+IF(ISNUMBER(Z153),Z153,0))))</f>
        <v/>
      </c>
      <c r="BA153" s="93" t="str">
        <f aca="false">IF(ISBLANK($C153),"",IF(AA153=Constants!$B$3,TRUE(),IF(AA153=Constants!$B$4,FALSE(),FALSE())))</f>
        <v/>
      </c>
      <c r="BB153" s="92" t="str">
        <f aca="false">IF(ISBLANK($C153),"",AND($AL153,OR($AM153="",$AN153="",AND($AO153,$AP153=""))))</f>
        <v/>
      </c>
      <c r="BC153" s="94" t="str">
        <f aca="false">IF($BZ153&lt;&gt;Constants!$B$8,"",IF($AL153,Constants!$B$21*$AN153+Constants!$B$22*IF($AO153,$AP153,Constants!$B$23),Constants!$B$24))</f>
        <v/>
      </c>
      <c r="BD153" s="97" t="str">
        <f aca="false">IF($BZ153&lt;&gt;Constants!$B$8,"",Constants!$B$25*ABS($AD$9-IF($AL153,$AM153,0)))</f>
        <v/>
      </c>
      <c r="BE153" s="97" t="str">
        <f aca="false">IF($BZ153&lt;&gt;Constants!$B$8,"",IF(AND($AL153,$AQ153,$AO153),Constants!$B$27,0))</f>
        <v/>
      </c>
      <c r="BF153" s="97" t="str">
        <f aca="false">IF($BZ153&lt;&gt;Constants!$B$8,"",IF($AL153,($AI153-Constants!$B$29)*Constants!$B$28,0))</f>
        <v/>
      </c>
      <c r="BG153" s="97" t="str">
        <f aca="false">IF($BZ153&lt;&gt;Constants!$B$8,"",IF($AK153,0,Constants!$B$15)+IF($AJ153,0,Constants!$B$16)+IF($AH153,0,Constants!$B$17))</f>
        <v/>
      </c>
      <c r="BH153" s="98" t="str">
        <f aca="false">IF($BZ153&lt;&gt;Constants!$B$8,"",Constants!$B$20+SUM($BC153:$BG153))</f>
        <v/>
      </c>
      <c r="BI153" s="97" t="str">
        <f aca="false">IF($BZ153&lt;&gt;Constants!$B$8,"",$BC153)</f>
        <v/>
      </c>
      <c r="BJ153" s="97" t="str">
        <f aca="false">IF($BZ153&lt;&gt;Constants!$B$8,"",$BD153)</f>
        <v/>
      </c>
      <c r="BK153" s="97" t="str">
        <f aca="false">IF($BZ153&lt;&gt;Constants!$B$8,"",IF($AL153,$AN153,""))</f>
        <v/>
      </c>
      <c r="BL153" s="99" t="str">
        <f aca="false">IF($BZ153&lt;&gt;Constants!$B$8,"",$AI153)</f>
        <v/>
      </c>
      <c r="BM153" s="93" t="str">
        <f aca="false">IF($BZ153&lt;&gt;Constants!$B$8,"",IF(OR($BT153&lt;$BH153,AND($BT153=$BH153,OR($BU153&lt;$BI153,AND($BU153=$BI153,OR($BV153&lt;$BJ153,AND($BV153=$BJ153,OR(AND(ISNUMBER($BW153),OR(NOT(ISNUMBER($BK153)),$BW153&lt;$BK153)),AND(OR(AND($BW153="",$BK153=""),AND(ISNUMBER($BW153),ISNUMBER($BK153),$BW153=$BK153)),$BX153&lt;$BL153)))))))),"-&gt;","&lt;-"))</f>
        <v/>
      </c>
      <c r="BN153" s="92" t="str">
        <f aca="false">IF(ISBLANK($C153),"",AND($AT153,OR($AU153="",$AV153="",AND($AW153,$AX153=""))))</f>
        <v/>
      </c>
      <c r="BO153" s="94" t="str">
        <f aca="false">IF($BZ153&lt;&gt;Constants!$B$8,"",IF($AT153,Constants!$B$21*$AV153+Constants!$B$22*IF($AW153,$AX153,Constants!$B$23),Constants!$B$24))</f>
        <v/>
      </c>
      <c r="BP153" s="97" t="str">
        <f aca="false">IF($BZ153&lt;&gt;Constants!$B$8,"",Constants!$B$25*ABS($AD$9-IF($AT153,$AU153,0)))</f>
        <v/>
      </c>
      <c r="BQ153" s="97" t="str">
        <f aca="false">IF($BZ153&lt;&gt;Constants!$B$8,"",IF(AND($AT153,$AY153,$AW153),Constants!$B$27,0))</f>
        <v/>
      </c>
      <c r="BR153" s="97" t="str">
        <f aca="false">IF($BZ153&lt;&gt;Constants!$B$8,"",IF($AT153,($AI153-Constants!$B$29)*Constants!$B$28,0))</f>
        <v/>
      </c>
      <c r="BS153" s="97" t="str">
        <f aca="false">IF($BZ153&lt;&gt;Constants!$B$8,"",IF($AS153,0,Constants!$B$15)+IF($AR153,0,Constants!$B$16)+IF($AH153,0,Constants!$B$17))</f>
        <v/>
      </c>
      <c r="BT153" s="98" t="str">
        <f aca="false">IF($BZ153&lt;&gt;Constants!$B$8,"",Constants!$B$20+SUM($BO153:$BS153))</f>
        <v/>
      </c>
      <c r="BU153" s="97" t="str">
        <f aca="false">IF($BZ153&lt;&gt;Constants!$B$8,"",$BO153)</f>
        <v/>
      </c>
      <c r="BV153" s="97" t="str">
        <f aca="false">IF($BZ153&lt;&gt;Constants!$B$8,"",$BP153)</f>
        <v/>
      </c>
      <c r="BW153" s="97" t="str">
        <f aca="false">IF($BZ153&lt;&gt;Constants!$B$8,"",IF($AT153,$AV153,""))</f>
        <v/>
      </c>
      <c r="BX153" s="99" t="str">
        <f aca="false">IF($BZ153&lt;&gt;Constants!$B$8,"",$AI153)</f>
        <v/>
      </c>
      <c r="BY153" s="93" t="str">
        <f aca="false">IF(ISBLANK($C153),"",IF(ISBLANK($D$7),$BY$5,IF(NOT(ISNUMBER($D$7)),$BY$6,"")))</f>
        <v/>
      </c>
      <c r="BZ153" s="93" t="str">
        <f aca="false">IF(ISBLANK($C153),"",IF($BA153,Constants!$B$11,IF(COUNTA($E153:$AA153)=0,Constants!$B$10,IF(NOT($AG153),Constants!$B$9,IF(OR($BY153&lt;&gt;"",$BB153,$BN153),Constants!$B$12,Constants!$B$8)))))</f>
        <v/>
      </c>
      <c r="CA153" s="93" t="str">
        <f aca="false">IF(ISBLANK($C153),"",IF($BZ153&lt;&gt;Constants!$B$8,$BZ153,Constants!$B$13))</f>
        <v/>
      </c>
      <c r="CB153" s="97" t="str">
        <f aca="false">IF($BZ153&lt;&gt;Constants!$B$8,"",IF($BM153="-&gt;",$BT153,$BH153))</f>
        <v/>
      </c>
      <c r="CC153" s="97" t="str">
        <f aca="false">IF($BZ153&lt;&gt;Constants!$B$8,"",IF($AF153,0,Constants!$B$18))</f>
        <v/>
      </c>
      <c r="CD153" s="97" t="str">
        <f aca="false">IF($BZ153&lt;&gt;Constants!$B$8,"",((Constants!$B$31-$AZ153)-Constants!$B$31)/Constants!$B$32)</f>
        <v/>
      </c>
      <c r="CE153" s="97" t="str">
        <f aca="false">IF(ISBLANK($C153),"",IF($BZ153&lt;&gt;Constants!$B$8,$BZ153,SUM($CB153:$CD153)))</f>
        <v/>
      </c>
      <c r="CF153" s="93" t="str">
        <f aca="false">IF(ISBLANK($C153),"",IF($BZ153&lt;&gt;Constants!$B$8,$BZ153,RANK($CE153,$CE$9:$CE$508,1)))</f>
        <v/>
      </c>
      <c r="CG153" s="97" t="str">
        <f aca="false">IF($BZ153&lt;&gt;Constants!$B$8,"",IF($BM153="-&gt;",$BU153,$BI153))</f>
        <v/>
      </c>
      <c r="CH153" s="93" t="str">
        <f aca="false">IF(ISBLANK($C153),"",IF($BZ153&lt;&gt;Constants!$B$8,$BZ153,IF(ISNUMBER($CG153),RANK($CG153,$CG$9:$CG$508,1),COUNT($CG$9:$CG$508)+1)))</f>
        <v/>
      </c>
      <c r="CI153" s="97" t="str">
        <f aca="false">IF($BZ153&lt;&gt;Constants!$B$8,"",IF($BM153="-&gt;",$BV153,$BJ153))</f>
        <v/>
      </c>
      <c r="CJ153" s="93" t="str">
        <f aca="false">IF(ISBLANK($C153),"",IF($BZ153&lt;&gt;Constants!$B$8,$BZ153,IF(ISNUMBER($CI153),RANK($CI153,$CI$9:$CI$508,1),COUNT($CI$9:$CI$508)+1)))</f>
        <v/>
      </c>
      <c r="CK153" s="97" t="str">
        <f aca="false">IF($BZ153&lt;&gt;Constants!$B$8,"",IF($BM153="-&gt;",$BW153,$BK153))</f>
        <v/>
      </c>
      <c r="CL153" s="93" t="str">
        <f aca="false">IF(ISBLANK($C153),"",IF($BZ153&lt;&gt;Constants!$B$8,$BZ153,IF(ISNUMBER($CK153),RANK($CK153,$CK$9:$CK$508,1),COUNT($CK$9:$CK$508)+1)))</f>
        <v/>
      </c>
      <c r="CM153" s="97" t="str">
        <f aca="false">IF($BZ153&lt;&gt;Constants!$B$8,"",IF(AND(NOT($AL153),NOT($AT153),$AJ153,$AK153,$AR153,$AS153),"",IF($BM153="-&gt;",$BX153,$BL153)))</f>
        <v/>
      </c>
      <c r="CN153" s="93" t="str">
        <f aca="false">IF(ISBLANK($C153),"",IF($BZ153&lt;&gt;Constants!$B$8,$BZ153,IF(ISNUMBER($CM153),RANK($CM153,$CM$9:$CM$508,1),COUNT($CM$9:$CM$508)+1)))</f>
        <v/>
      </c>
      <c r="CO153" s="93" t="str">
        <f aca="false">IF(ISBLANK($C153),"",IF($BZ153&lt;&gt;Constants!$B$8,$BZ153,COUNTIFS($CF$9:$CF$508,"&lt;"&amp;$CF153)+COUNTIFS($CF$9:$CF$508,$CF153,$CH$9:$CH$508,"&lt;"&amp;$CH153)+COUNTIFS($CF$9:$CF$508,$CF153,$CH$9:$CH$508,$CH153,$CJ$9:$CJ$508,"&lt;"&amp;$CJ153)+COUNTIFS($CF$9:$CF$508,$CF153,$CH$9:$CH$508,$CH153,$CJ$9:$CJ$508,$CJ153,$CL$9:$CL$508,"&lt;"&amp;$CL153)+COUNTIFS($CF$9:$CF$508,$CF153,$CH$9:$CH$508,$CH153,$CJ$9:$CJ$508,$CJ153,$CL$9:$CL$508,$CL153,$CN$9:$CN$508,"&lt;"&amp;$CN153)+1))</f>
        <v/>
      </c>
      <c r="CP153" s="93" t="str">
        <f aca="false">IF(ISBLANK($C153),"",IF($BZ153&lt;&gt;Constants!$B$8,$BZ153,$CF153-$CO153))</f>
        <v/>
      </c>
      <c r="CQ153" s="100"/>
      <c r="CR153" s="101"/>
      <c r="CS153" s="102" t="str">
        <f aca="false">IF(ISBLANK($C153),"",IF($BZ153=Constants!$B$12,$BY153,""))</f>
        <v/>
      </c>
      <c r="CT153" s="101" t="str">
        <f aca="false">IF(ISBLANK($C153),"",IF($BZ153&lt;&gt;Constants!$B$8,"",IF($BM153="-&gt;",2,1)))</f>
        <v/>
      </c>
      <c r="CU153" s="103" t="str">
        <f aca="false">IF(ISBLANK($C153),"",IF($BZ153&lt;&gt;Constants!$B$8,"",IF($BM153="-&gt;",$BO153,$BC153)))</f>
        <v/>
      </c>
      <c r="CV153" s="103" t="str">
        <f aca="false">IF(ISBLANK($C153),"",IF($BZ153&lt;&gt;Constants!$B$8,"",IF($BM153="-&gt;",$BP153,$BD153)))</f>
        <v/>
      </c>
      <c r="CW153" s="103" t="str">
        <f aca="false">IF(ISBLANK($C153),"",IF($BZ153&lt;&gt;Constants!$B$8,"",IF($BM153="-&gt;",$BQ153+$BR153,$BE153+$BF153)+$CD153))</f>
        <v/>
      </c>
      <c r="CX153" s="103" t="str">
        <f aca="false">IF(ISBLANK($C153),"",IF($BZ153&lt;&gt;Constants!$B$8,"",IF($BM153="-&gt;",$BS153,$BG153)+$CC153))</f>
        <v/>
      </c>
      <c r="CY153" s="104" t="str">
        <f aca="false">IF(ISBLANK($C153),"",IF($BZ153&lt;&gt;Constants!$B$8,$BZ153,$CE153))</f>
        <v/>
      </c>
      <c r="CZ153" s="105" t="str">
        <f aca="false">IF(ISBLANK($C153),"",$CA153)</f>
        <v/>
      </c>
      <c r="DA153" s="106" t="str">
        <f aca="false">IF(ISBLANK($C153),"",$CP153)</f>
        <v/>
      </c>
      <c r="DB153" s="106" t="str">
        <f aca="false">IF(ISBLANK($C153),"",$CO153)</f>
        <v/>
      </c>
      <c r="DC153" s="107" t="str">
        <f aca="false">IF(ISBLANK($C153),"",IFERROR(_xlfn.SWITCH($DB153,Constants!$B$11,COUNTA($C$9:$C$508)+2,Constants!$B$10,COUNTA($C$9:$C$508)+1,Constants!$B$9,COUNTA($C$9:$C$508)),$DB153))</f>
        <v/>
      </c>
      <c r="DD153" s="9"/>
      <c r="DE153" s="108" t="n">
        <f aca="false">IF(OR(ISNUMBER($DB153),$DB153=Constants!$B$11,$DB153=Constants!$B$9,$DB153=Constants!$B$10),1,0)</f>
        <v>0</v>
      </c>
      <c r="DF153" s="108" t="n">
        <v>145</v>
      </c>
      <c r="DG153" s="108" t="str">
        <f aca="false">IF(ISBLANK($C153),"",IF(ISNUMBER($DC153),$DC153+ROW($B153)/1000,""))</f>
        <v/>
      </c>
      <c r="DH153" s="108" t="str">
        <f aca="false">IF(ISNUMBER($DG153),RANK($DG153,$DG$9:$DG$508,1),"")</f>
        <v/>
      </c>
      <c r="DI153" s="108" t="str">
        <f aca="false">IF(ISBLANK($C153),"",$B153)</f>
        <v/>
      </c>
      <c r="DJ153" s="108" t="str">
        <f aca="false">IF(ISBLANK($C153),"",$C153)</f>
        <v/>
      </c>
      <c r="DK153" s="108" t="str">
        <f aca="false">IF(ISBLANK($C153),"",$D153)</f>
        <v/>
      </c>
      <c r="DL153" s="109" t="str">
        <f aca="false">$CZ153</f>
        <v/>
      </c>
      <c r="DM153" s="110" t="str">
        <f aca="false">$CY153</f>
        <v/>
      </c>
      <c r="DN153" s="108" t="str">
        <f aca="false">IF(ISBLANK($C153),"",$DB153)</f>
        <v/>
      </c>
      <c r="DO153" s="111" t="str">
        <f aca="false">IF($DF153&gt;$DE$8,"",VLOOKUP($DF153,$DH$9:$DN$508,7,FALSE()))</f>
        <v/>
      </c>
      <c r="DP153" s="112" t="str">
        <f aca="false">IF($DF153&gt;$DE$8,"",VLOOKUP($DF153,$DH$9:$DN$508,2,FALSE()))</f>
        <v/>
      </c>
      <c r="DQ153" s="112" t="str">
        <f aca="false">IF($DF153&gt;$DE$8,"",VLOOKUP($DF153,$DH$9:$DN$508,3,FALSE()))</f>
        <v/>
      </c>
      <c r="DR153" s="112" t="str">
        <f aca="false">IF($DF153&gt;$DE$8,"",VLOOKUP($DF153,$DH$9:$DN$508,4,FALSE()))</f>
        <v/>
      </c>
      <c r="DS153" s="112" t="str">
        <f aca="false">IF($DF153&gt;$DE$8,"",VLOOKUP($DF153,$DH$9:$DN$508,5,FALSE()))</f>
        <v/>
      </c>
      <c r="DT153" s="113" t="str">
        <f aca="false">IF($DF153&gt;$DE$8,"",VLOOKUP($DF153,$DH$9:$DN$508,6,FALSE()))</f>
        <v/>
      </c>
      <c r="DU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IF(ISBLANK($C154),"",IF(E154=Constants!$B$3,TRUE(),IF(E154=Constants!$B$4,FALSE(),TRUE())))</f>
        <v/>
      </c>
      <c r="AG154" s="93" t="str">
        <f aca="false">IF(ISBLANK($C154),"",IF(F154=Constants!$B$3,TRUE(),IF(F154=Constants!$B$4,FALSE(),TRUE())))</f>
        <v/>
      </c>
      <c r="AH154" s="93" t="str">
        <f aca="false">IF(ISBLANK($C154),"",IF(G154=Constants!$B$3,TRUE(),IF(G154=Constants!$B$4,FALSE(),TRUE())))</f>
        <v/>
      </c>
      <c r="AI154" s="93" t="str">
        <f aca="false">IF(ISBLANK($C154),"",IF(AND(ISNUMBER(H154),H154&gt;=0),H154,Constants!$B$29))</f>
        <v/>
      </c>
      <c r="AJ154" s="93" t="str">
        <f aca="false">IF(ISBLANK($C154),"",IF(I154=Constants!$B$3,TRUE(),IF(I154=Constants!$B$4,FALSE(),TRUE())))</f>
        <v/>
      </c>
      <c r="AK154" s="93" t="str">
        <f aca="false">IF(ISBLANK($C154),"",IF(J154=Constants!$B$3,TRUE(),IF(J154=Constants!$B$4,FALSE(),TRUE())))</f>
        <v/>
      </c>
      <c r="AL154" s="93" t="str">
        <f aca="false">IF(ISBLANK($C154),"",IF(K154=Constants!$B$5,TRUE(),IF(K154=Constants!$B$6,FALSE(),COUNTA(L154:P154)&gt;0)))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IF(ISBLANK($C154),"",IF(N154=Constants!$B$3,TRUE(),IF(N154=Constants!$B$4,FALSE(),TRUE())))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IF(ISBLANK($C154),"",IF(P154=Constants!$B$3,TRUE(),IF(P154=Constants!$B$4,FALSE(),FALSE())))</f>
        <v/>
      </c>
      <c r="AR154" s="93" t="str">
        <f aca="false">IF(ISBLANK($C154),"",IF(Q154=Constants!$B$3,TRUE(),IF(Q154=Constants!$B$4,FALSE(),TRUE())))</f>
        <v/>
      </c>
      <c r="AS154" s="93" t="str">
        <f aca="false">IF(ISBLANK($C154),"",IF(R154=Constants!$B$3,TRUE(),IF(R154=Constants!$B$4,FALSE(),TRUE())))</f>
        <v/>
      </c>
      <c r="AT154" s="93" t="str">
        <f aca="false">IF(ISBLANK($C154),"",IF(S154=Constants!$B$5,TRUE(),IF(S154=Constants!$B$6,FALSE(),COUNTA(T154:X154)&gt;0)))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IF(ISBLANK($C154),"",IF(V154=Constants!$B$3,TRUE(),IF(V154=Constants!$B$4,FALSE(),TRUE())))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IF(ISBLANK($C154),"",IF(X154=Constants!$B$3,TRUE(),IF(X154=Constants!$B$4,FALSE(),FALSE())))</f>
        <v/>
      </c>
      <c r="AZ154" s="93" t="str">
        <f aca="false">IF(ISBLANK($C154),"",MIN(Constants!$B$31,MAX(0,IF(ISNUMBER(Y154),Y154*60,0)+IF(ISNUMBER(Z154),Z154,0))))</f>
        <v/>
      </c>
      <c r="BA154" s="93" t="str">
        <f aca="false">IF(ISBLANK($C154),"",IF(AA154=Constants!$B$3,TRUE(),IF(AA154=Constants!$B$4,FALSE(),FALSE())))</f>
        <v/>
      </c>
      <c r="BB154" s="92" t="str">
        <f aca="false">IF(ISBLANK($C154),"",AND($AL154,OR($AM154="",$AN154="",AND($AO154,$AP154=""))))</f>
        <v/>
      </c>
      <c r="BC154" s="94" t="str">
        <f aca="false">IF($BZ154&lt;&gt;Constants!$B$8,"",IF($AL154,Constants!$B$21*$AN154+Constants!$B$22*IF($AO154,$AP154,Constants!$B$23),Constants!$B$24))</f>
        <v/>
      </c>
      <c r="BD154" s="97" t="str">
        <f aca="false">IF($BZ154&lt;&gt;Constants!$B$8,"",Constants!$B$25*ABS($AD$9-IF($AL154,$AM154,0)))</f>
        <v/>
      </c>
      <c r="BE154" s="97" t="str">
        <f aca="false">IF($BZ154&lt;&gt;Constants!$B$8,"",IF(AND($AL154,$AQ154,$AO154),Constants!$B$27,0))</f>
        <v/>
      </c>
      <c r="BF154" s="97" t="str">
        <f aca="false">IF($BZ154&lt;&gt;Constants!$B$8,"",IF($AL154,($AI154-Constants!$B$29)*Constants!$B$28,0))</f>
        <v/>
      </c>
      <c r="BG154" s="97" t="str">
        <f aca="false">IF($BZ154&lt;&gt;Constants!$B$8,"",IF($AK154,0,Constants!$B$15)+IF($AJ154,0,Constants!$B$16)+IF($AH154,0,Constants!$B$17))</f>
        <v/>
      </c>
      <c r="BH154" s="98" t="str">
        <f aca="false">IF($BZ154&lt;&gt;Constants!$B$8,"",Constants!$B$20+SUM($BC154:$BG154))</f>
        <v/>
      </c>
      <c r="BI154" s="97" t="str">
        <f aca="false">IF($BZ154&lt;&gt;Constants!$B$8,"",$BC154)</f>
        <v/>
      </c>
      <c r="BJ154" s="97" t="str">
        <f aca="false">IF($BZ154&lt;&gt;Constants!$B$8,"",$BD154)</f>
        <v/>
      </c>
      <c r="BK154" s="97" t="str">
        <f aca="false">IF($BZ154&lt;&gt;Constants!$B$8,"",IF($AL154,$AN154,""))</f>
        <v/>
      </c>
      <c r="BL154" s="99" t="str">
        <f aca="false">IF($BZ154&lt;&gt;Constants!$B$8,"",$AI154)</f>
        <v/>
      </c>
      <c r="BM154" s="93" t="str">
        <f aca="false">IF($BZ154&lt;&gt;Constants!$B$8,"",IF(OR($BT154&lt;$BH154,AND($BT154=$BH154,OR($BU154&lt;$BI154,AND($BU154=$BI154,OR($BV154&lt;$BJ154,AND($BV154=$BJ154,OR(AND(ISNUMBER($BW154),OR(NOT(ISNUMBER($BK154)),$BW154&lt;$BK154)),AND(OR(AND($BW154="",$BK154=""),AND(ISNUMBER($BW154),ISNUMBER($BK154),$BW154=$BK154)),$BX154&lt;$BL154)))))))),"-&gt;","&lt;-"))</f>
        <v/>
      </c>
      <c r="BN154" s="92" t="str">
        <f aca="false">IF(ISBLANK($C154),"",AND($AT154,OR($AU154="",$AV154="",AND($AW154,$AX154=""))))</f>
        <v/>
      </c>
      <c r="BO154" s="94" t="str">
        <f aca="false">IF($BZ154&lt;&gt;Constants!$B$8,"",IF($AT154,Constants!$B$21*$AV154+Constants!$B$22*IF($AW154,$AX154,Constants!$B$23),Constants!$B$24))</f>
        <v/>
      </c>
      <c r="BP154" s="97" t="str">
        <f aca="false">IF($BZ154&lt;&gt;Constants!$B$8,"",Constants!$B$25*ABS($AD$9-IF($AT154,$AU154,0)))</f>
        <v/>
      </c>
      <c r="BQ154" s="97" t="str">
        <f aca="false">IF($BZ154&lt;&gt;Constants!$B$8,"",IF(AND($AT154,$AY154,$AW154),Constants!$B$27,0))</f>
        <v/>
      </c>
      <c r="BR154" s="97" t="str">
        <f aca="false">IF($BZ154&lt;&gt;Constants!$B$8,"",IF($AT154,($AI154-Constants!$B$29)*Constants!$B$28,0))</f>
        <v/>
      </c>
      <c r="BS154" s="97" t="str">
        <f aca="false">IF($BZ154&lt;&gt;Constants!$B$8,"",IF($AS154,0,Constants!$B$15)+IF($AR154,0,Constants!$B$16)+IF($AH154,0,Constants!$B$17))</f>
        <v/>
      </c>
      <c r="BT154" s="98" t="str">
        <f aca="false">IF($BZ154&lt;&gt;Constants!$B$8,"",Constants!$B$20+SUM($BO154:$BS154))</f>
        <v/>
      </c>
      <c r="BU154" s="97" t="str">
        <f aca="false">IF($BZ154&lt;&gt;Constants!$B$8,"",$BO154)</f>
        <v/>
      </c>
      <c r="BV154" s="97" t="str">
        <f aca="false">IF($BZ154&lt;&gt;Constants!$B$8,"",$BP154)</f>
        <v/>
      </c>
      <c r="BW154" s="97" t="str">
        <f aca="false">IF($BZ154&lt;&gt;Constants!$B$8,"",IF($AT154,$AV154,""))</f>
        <v/>
      </c>
      <c r="BX154" s="99" t="str">
        <f aca="false">IF($BZ154&lt;&gt;Constants!$B$8,"",$AI154)</f>
        <v/>
      </c>
      <c r="BY154" s="93" t="str">
        <f aca="false">IF(ISBLANK($C154),"",IF(ISBLANK($D$7),$BY$5,IF(NOT(ISNUMBER($D$7)),$BY$6,"")))</f>
        <v/>
      </c>
      <c r="BZ154" s="93" t="str">
        <f aca="false">IF(ISBLANK($C154),"",IF($BA154,Constants!$B$11,IF(COUNTA($E154:$AA154)=0,Constants!$B$10,IF(NOT($AG154),Constants!$B$9,IF(OR($BY154&lt;&gt;"",$BB154,$BN154),Constants!$B$12,Constants!$B$8)))))</f>
        <v/>
      </c>
      <c r="CA154" s="93" t="str">
        <f aca="false">IF(ISBLANK($C154),"",IF($BZ154&lt;&gt;Constants!$B$8,$BZ154,Constants!$B$13))</f>
        <v/>
      </c>
      <c r="CB154" s="97" t="str">
        <f aca="false">IF($BZ154&lt;&gt;Constants!$B$8,"",IF($BM154="-&gt;",$BT154,$BH154))</f>
        <v/>
      </c>
      <c r="CC154" s="97" t="str">
        <f aca="false">IF($BZ154&lt;&gt;Constants!$B$8,"",IF($AF154,0,Constants!$B$18))</f>
        <v/>
      </c>
      <c r="CD154" s="97" t="str">
        <f aca="false">IF($BZ154&lt;&gt;Constants!$B$8,"",((Constants!$B$31-$AZ154)-Constants!$B$31)/Constants!$B$32)</f>
        <v/>
      </c>
      <c r="CE154" s="97" t="str">
        <f aca="false">IF(ISBLANK($C154),"",IF($BZ154&lt;&gt;Constants!$B$8,$BZ154,SUM($CB154:$CD154)))</f>
        <v/>
      </c>
      <c r="CF154" s="93" t="str">
        <f aca="false">IF(ISBLANK($C154),"",IF($BZ154&lt;&gt;Constants!$B$8,$BZ154,RANK($CE154,$CE$9:$CE$508,1)))</f>
        <v/>
      </c>
      <c r="CG154" s="97" t="str">
        <f aca="false">IF($BZ154&lt;&gt;Constants!$B$8,"",IF($BM154="-&gt;",$BU154,$BI154))</f>
        <v/>
      </c>
      <c r="CH154" s="93" t="str">
        <f aca="false">IF(ISBLANK($C154),"",IF($BZ154&lt;&gt;Constants!$B$8,$BZ154,IF(ISNUMBER($CG154),RANK($CG154,$CG$9:$CG$508,1),COUNT($CG$9:$CG$508)+1)))</f>
        <v/>
      </c>
      <c r="CI154" s="97" t="str">
        <f aca="false">IF($BZ154&lt;&gt;Constants!$B$8,"",IF($BM154="-&gt;",$BV154,$BJ154))</f>
        <v/>
      </c>
      <c r="CJ154" s="93" t="str">
        <f aca="false">IF(ISBLANK($C154),"",IF($BZ154&lt;&gt;Constants!$B$8,$BZ154,IF(ISNUMBER($CI154),RANK($CI154,$CI$9:$CI$508,1),COUNT($CI$9:$CI$508)+1)))</f>
        <v/>
      </c>
      <c r="CK154" s="97" t="str">
        <f aca="false">IF($BZ154&lt;&gt;Constants!$B$8,"",IF($BM154="-&gt;",$BW154,$BK154))</f>
        <v/>
      </c>
      <c r="CL154" s="93" t="str">
        <f aca="false">IF(ISBLANK($C154),"",IF($BZ154&lt;&gt;Constants!$B$8,$BZ154,IF(ISNUMBER($CK154),RANK($CK154,$CK$9:$CK$508,1),COUNT($CK$9:$CK$508)+1)))</f>
        <v/>
      </c>
      <c r="CM154" s="97" t="str">
        <f aca="false">IF($BZ154&lt;&gt;Constants!$B$8,"",IF(AND(NOT($AL154),NOT($AT154),$AJ154,$AK154,$AR154,$AS154),"",IF($BM154="-&gt;",$BX154,$BL154)))</f>
        <v/>
      </c>
      <c r="CN154" s="93" t="str">
        <f aca="false">IF(ISBLANK($C154),"",IF($BZ154&lt;&gt;Constants!$B$8,$BZ154,IF(ISNUMBER($CM154),RANK($CM154,$CM$9:$CM$508,1),COUNT($CM$9:$CM$508)+1)))</f>
        <v/>
      </c>
      <c r="CO154" s="93" t="str">
        <f aca="false">IF(ISBLANK($C154),"",IF($BZ154&lt;&gt;Constants!$B$8,$BZ154,COUNTIFS($CF$9:$CF$508,"&lt;"&amp;$CF154)+COUNTIFS($CF$9:$CF$508,$CF154,$CH$9:$CH$508,"&lt;"&amp;$CH154)+COUNTIFS($CF$9:$CF$508,$CF154,$CH$9:$CH$508,$CH154,$CJ$9:$CJ$508,"&lt;"&amp;$CJ154)+COUNTIFS($CF$9:$CF$508,$CF154,$CH$9:$CH$508,$CH154,$CJ$9:$CJ$508,$CJ154,$CL$9:$CL$508,"&lt;"&amp;$CL154)+COUNTIFS($CF$9:$CF$508,$CF154,$CH$9:$CH$508,$CH154,$CJ$9:$CJ$508,$CJ154,$CL$9:$CL$508,$CL154,$CN$9:$CN$508,"&lt;"&amp;$CN154)+1))</f>
        <v/>
      </c>
      <c r="CP154" s="93" t="str">
        <f aca="false">IF(ISBLANK($C154),"",IF($BZ154&lt;&gt;Constants!$B$8,$BZ154,$CF154-$CO154))</f>
        <v/>
      </c>
      <c r="CQ154" s="100"/>
      <c r="CR154" s="101"/>
      <c r="CS154" s="102" t="str">
        <f aca="false">IF(ISBLANK($C154),"",IF($BZ154=Constants!$B$12,$BY154,""))</f>
        <v/>
      </c>
      <c r="CT154" s="101" t="str">
        <f aca="false">IF(ISBLANK($C154),"",IF($BZ154&lt;&gt;Constants!$B$8,"",IF($BM154="-&gt;",2,1)))</f>
        <v/>
      </c>
      <c r="CU154" s="103" t="str">
        <f aca="false">IF(ISBLANK($C154),"",IF($BZ154&lt;&gt;Constants!$B$8,"",IF($BM154="-&gt;",$BO154,$BC154)))</f>
        <v/>
      </c>
      <c r="CV154" s="103" t="str">
        <f aca="false">IF(ISBLANK($C154),"",IF($BZ154&lt;&gt;Constants!$B$8,"",IF($BM154="-&gt;",$BP154,$BD154)))</f>
        <v/>
      </c>
      <c r="CW154" s="103" t="str">
        <f aca="false">IF(ISBLANK($C154),"",IF($BZ154&lt;&gt;Constants!$B$8,"",IF($BM154="-&gt;",$BQ154+$BR154,$BE154+$BF154)+$CD154))</f>
        <v/>
      </c>
      <c r="CX154" s="103" t="str">
        <f aca="false">IF(ISBLANK($C154),"",IF($BZ154&lt;&gt;Constants!$B$8,"",IF($BM154="-&gt;",$BS154,$BG154)+$CC154))</f>
        <v/>
      </c>
      <c r="CY154" s="104" t="str">
        <f aca="false">IF(ISBLANK($C154),"",IF($BZ154&lt;&gt;Constants!$B$8,$BZ154,$CE154))</f>
        <v/>
      </c>
      <c r="CZ154" s="105" t="str">
        <f aca="false">IF(ISBLANK($C154),"",$CA154)</f>
        <v/>
      </c>
      <c r="DA154" s="106" t="str">
        <f aca="false">IF(ISBLANK($C154),"",$CP154)</f>
        <v/>
      </c>
      <c r="DB154" s="106" t="str">
        <f aca="false">IF(ISBLANK($C154),"",$CO154)</f>
        <v/>
      </c>
      <c r="DC154" s="107" t="str">
        <f aca="false">IF(ISBLANK($C154),"",IFERROR(_xlfn.SWITCH($DB154,Constants!$B$11,COUNTA($C$9:$C$508)+2,Constants!$B$10,COUNTA($C$9:$C$508)+1,Constants!$B$9,COUNTA($C$9:$C$508)),$DB154))</f>
        <v/>
      </c>
      <c r="DD154" s="9"/>
      <c r="DE154" s="108" t="n">
        <f aca="false">IF(OR(ISNUMBER($DB154),$DB154=Constants!$B$11,$DB154=Constants!$B$9,$DB154=Constants!$B$10),1,0)</f>
        <v>0</v>
      </c>
      <c r="DF154" s="108" t="n">
        <v>146</v>
      </c>
      <c r="DG154" s="108" t="str">
        <f aca="false">IF(ISBLANK($C154),"",IF(ISNUMBER($DC154),$DC154+ROW($B154)/1000,""))</f>
        <v/>
      </c>
      <c r="DH154" s="108" t="str">
        <f aca="false">IF(ISNUMBER($DG154),RANK($DG154,$DG$9:$DG$508,1),"")</f>
        <v/>
      </c>
      <c r="DI154" s="108" t="str">
        <f aca="false">IF(ISBLANK($C154),"",$B154)</f>
        <v/>
      </c>
      <c r="DJ154" s="108" t="str">
        <f aca="false">IF(ISBLANK($C154),"",$C154)</f>
        <v/>
      </c>
      <c r="DK154" s="108" t="str">
        <f aca="false">IF(ISBLANK($C154),"",$D154)</f>
        <v/>
      </c>
      <c r="DL154" s="109" t="str">
        <f aca="false">$CZ154</f>
        <v/>
      </c>
      <c r="DM154" s="110" t="str">
        <f aca="false">$CY154</f>
        <v/>
      </c>
      <c r="DN154" s="108" t="str">
        <f aca="false">IF(ISBLANK($C154),"",$DB154)</f>
        <v/>
      </c>
      <c r="DO154" s="111" t="str">
        <f aca="false">IF($DF154&gt;$DE$8,"",VLOOKUP($DF154,$DH$9:$DN$508,7,FALSE()))</f>
        <v/>
      </c>
      <c r="DP154" s="112" t="str">
        <f aca="false">IF($DF154&gt;$DE$8,"",VLOOKUP($DF154,$DH$9:$DN$508,2,FALSE()))</f>
        <v/>
      </c>
      <c r="DQ154" s="112" t="str">
        <f aca="false">IF($DF154&gt;$DE$8,"",VLOOKUP($DF154,$DH$9:$DN$508,3,FALSE()))</f>
        <v/>
      </c>
      <c r="DR154" s="112" t="str">
        <f aca="false">IF($DF154&gt;$DE$8,"",VLOOKUP($DF154,$DH$9:$DN$508,4,FALSE()))</f>
        <v/>
      </c>
      <c r="DS154" s="112" t="str">
        <f aca="false">IF($DF154&gt;$DE$8,"",VLOOKUP($DF154,$DH$9:$DN$508,5,FALSE()))</f>
        <v/>
      </c>
      <c r="DT154" s="113" t="str">
        <f aca="false">IF($DF154&gt;$DE$8,"",VLOOKUP($DF154,$DH$9:$DN$508,6,FALSE()))</f>
        <v/>
      </c>
      <c r="DU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IF(ISBLANK($C155),"",IF(E155=Constants!$B$3,TRUE(),IF(E155=Constants!$B$4,FALSE(),TRUE())))</f>
        <v/>
      </c>
      <c r="AG155" s="93" t="str">
        <f aca="false">IF(ISBLANK($C155),"",IF(F155=Constants!$B$3,TRUE(),IF(F155=Constants!$B$4,FALSE(),TRUE())))</f>
        <v/>
      </c>
      <c r="AH155" s="93" t="str">
        <f aca="false">IF(ISBLANK($C155),"",IF(G155=Constants!$B$3,TRUE(),IF(G155=Constants!$B$4,FALSE(),TRUE())))</f>
        <v/>
      </c>
      <c r="AI155" s="93" t="str">
        <f aca="false">IF(ISBLANK($C155),"",IF(AND(ISNUMBER(H155),H155&gt;=0),H155,Constants!$B$29))</f>
        <v/>
      </c>
      <c r="AJ155" s="93" t="str">
        <f aca="false">IF(ISBLANK($C155),"",IF(I155=Constants!$B$3,TRUE(),IF(I155=Constants!$B$4,FALSE(),TRUE())))</f>
        <v/>
      </c>
      <c r="AK155" s="93" t="str">
        <f aca="false">IF(ISBLANK($C155),"",IF(J155=Constants!$B$3,TRUE(),IF(J155=Constants!$B$4,FALSE(),TRUE())))</f>
        <v/>
      </c>
      <c r="AL155" s="93" t="str">
        <f aca="false">IF(ISBLANK($C155),"",IF(K155=Constants!$B$5,TRUE(),IF(K155=Constants!$B$6,FALSE(),COUNTA(L155:P155)&gt;0)))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IF(ISBLANK($C155),"",IF(N155=Constants!$B$3,TRUE(),IF(N155=Constants!$B$4,FALSE(),TRUE())))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IF(ISBLANK($C155),"",IF(P155=Constants!$B$3,TRUE(),IF(P155=Constants!$B$4,FALSE(),FALSE())))</f>
        <v/>
      </c>
      <c r="AR155" s="93" t="str">
        <f aca="false">IF(ISBLANK($C155),"",IF(Q155=Constants!$B$3,TRUE(),IF(Q155=Constants!$B$4,FALSE(),TRUE())))</f>
        <v/>
      </c>
      <c r="AS155" s="93" t="str">
        <f aca="false">IF(ISBLANK($C155),"",IF(R155=Constants!$B$3,TRUE(),IF(R155=Constants!$B$4,FALSE(),TRUE())))</f>
        <v/>
      </c>
      <c r="AT155" s="93" t="str">
        <f aca="false">IF(ISBLANK($C155),"",IF(S155=Constants!$B$5,TRUE(),IF(S155=Constants!$B$6,FALSE(),COUNTA(T155:X155)&gt;0)))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IF(ISBLANK($C155),"",IF(V155=Constants!$B$3,TRUE(),IF(V155=Constants!$B$4,FALSE(),TRUE())))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IF(ISBLANK($C155),"",IF(X155=Constants!$B$3,TRUE(),IF(X155=Constants!$B$4,FALSE(),FALSE())))</f>
        <v/>
      </c>
      <c r="AZ155" s="93" t="str">
        <f aca="false">IF(ISBLANK($C155),"",MIN(Constants!$B$31,MAX(0,IF(ISNUMBER(Y155),Y155*60,0)+IF(ISNUMBER(Z155),Z155,0))))</f>
        <v/>
      </c>
      <c r="BA155" s="93" t="str">
        <f aca="false">IF(ISBLANK($C155),"",IF(AA155=Constants!$B$3,TRUE(),IF(AA155=Constants!$B$4,FALSE(),FALSE())))</f>
        <v/>
      </c>
      <c r="BB155" s="92" t="str">
        <f aca="false">IF(ISBLANK($C155),"",AND($AL155,OR($AM155="",$AN155="",AND($AO155,$AP155=""))))</f>
        <v/>
      </c>
      <c r="BC155" s="94" t="str">
        <f aca="false">IF($BZ155&lt;&gt;Constants!$B$8,"",IF($AL155,Constants!$B$21*$AN155+Constants!$B$22*IF($AO155,$AP155,Constants!$B$23),Constants!$B$24))</f>
        <v/>
      </c>
      <c r="BD155" s="97" t="str">
        <f aca="false">IF($BZ155&lt;&gt;Constants!$B$8,"",Constants!$B$25*ABS($AD$9-IF($AL155,$AM155,0)))</f>
        <v/>
      </c>
      <c r="BE155" s="97" t="str">
        <f aca="false">IF($BZ155&lt;&gt;Constants!$B$8,"",IF(AND($AL155,$AQ155,$AO155),Constants!$B$27,0))</f>
        <v/>
      </c>
      <c r="BF155" s="97" t="str">
        <f aca="false">IF($BZ155&lt;&gt;Constants!$B$8,"",IF($AL155,($AI155-Constants!$B$29)*Constants!$B$28,0))</f>
        <v/>
      </c>
      <c r="BG155" s="97" t="str">
        <f aca="false">IF($BZ155&lt;&gt;Constants!$B$8,"",IF($AK155,0,Constants!$B$15)+IF($AJ155,0,Constants!$B$16)+IF($AH155,0,Constants!$B$17))</f>
        <v/>
      </c>
      <c r="BH155" s="98" t="str">
        <f aca="false">IF($BZ155&lt;&gt;Constants!$B$8,"",Constants!$B$20+SUM($BC155:$BG155))</f>
        <v/>
      </c>
      <c r="BI155" s="97" t="str">
        <f aca="false">IF($BZ155&lt;&gt;Constants!$B$8,"",$BC155)</f>
        <v/>
      </c>
      <c r="BJ155" s="97" t="str">
        <f aca="false">IF($BZ155&lt;&gt;Constants!$B$8,"",$BD155)</f>
        <v/>
      </c>
      <c r="BK155" s="97" t="str">
        <f aca="false">IF($BZ155&lt;&gt;Constants!$B$8,"",IF($AL155,$AN155,""))</f>
        <v/>
      </c>
      <c r="BL155" s="99" t="str">
        <f aca="false">IF($BZ155&lt;&gt;Constants!$B$8,"",$AI155)</f>
        <v/>
      </c>
      <c r="BM155" s="93" t="str">
        <f aca="false">IF($BZ155&lt;&gt;Constants!$B$8,"",IF(OR($BT155&lt;$BH155,AND($BT155=$BH155,OR($BU155&lt;$BI155,AND($BU155=$BI155,OR($BV155&lt;$BJ155,AND($BV155=$BJ155,OR(AND(ISNUMBER($BW155),OR(NOT(ISNUMBER($BK155)),$BW155&lt;$BK155)),AND(OR(AND($BW155="",$BK155=""),AND(ISNUMBER($BW155),ISNUMBER($BK155),$BW155=$BK155)),$BX155&lt;$BL155)))))))),"-&gt;","&lt;-"))</f>
        <v/>
      </c>
      <c r="BN155" s="92" t="str">
        <f aca="false">IF(ISBLANK($C155),"",AND($AT155,OR($AU155="",$AV155="",AND($AW155,$AX155=""))))</f>
        <v/>
      </c>
      <c r="BO155" s="94" t="str">
        <f aca="false">IF($BZ155&lt;&gt;Constants!$B$8,"",IF($AT155,Constants!$B$21*$AV155+Constants!$B$22*IF($AW155,$AX155,Constants!$B$23),Constants!$B$24))</f>
        <v/>
      </c>
      <c r="BP155" s="97" t="str">
        <f aca="false">IF($BZ155&lt;&gt;Constants!$B$8,"",Constants!$B$25*ABS($AD$9-IF($AT155,$AU155,0)))</f>
        <v/>
      </c>
      <c r="BQ155" s="97" t="str">
        <f aca="false">IF($BZ155&lt;&gt;Constants!$B$8,"",IF(AND($AT155,$AY155,$AW155),Constants!$B$27,0))</f>
        <v/>
      </c>
      <c r="BR155" s="97" t="str">
        <f aca="false">IF($BZ155&lt;&gt;Constants!$B$8,"",IF($AT155,($AI155-Constants!$B$29)*Constants!$B$28,0))</f>
        <v/>
      </c>
      <c r="BS155" s="97" t="str">
        <f aca="false">IF($BZ155&lt;&gt;Constants!$B$8,"",IF($AS155,0,Constants!$B$15)+IF($AR155,0,Constants!$B$16)+IF($AH155,0,Constants!$B$17))</f>
        <v/>
      </c>
      <c r="BT155" s="98" t="str">
        <f aca="false">IF($BZ155&lt;&gt;Constants!$B$8,"",Constants!$B$20+SUM($BO155:$BS155))</f>
        <v/>
      </c>
      <c r="BU155" s="97" t="str">
        <f aca="false">IF($BZ155&lt;&gt;Constants!$B$8,"",$BO155)</f>
        <v/>
      </c>
      <c r="BV155" s="97" t="str">
        <f aca="false">IF($BZ155&lt;&gt;Constants!$B$8,"",$BP155)</f>
        <v/>
      </c>
      <c r="BW155" s="97" t="str">
        <f aca="false">IF($BZ155&lt;&gt;Constants!$B$8,"",IF($AT155,$AV155,""))</f>
        <v/>
      </c>
      <c r="BX155" s="99" t="str">
        <f aca="false">IF($BZ155&lt;&gt;Constants!$B$8,"",$AI155)</f>
        <v/>
      </c>
      <c r="BY155" s="93" t="str">
        <f aca="false">IF(ISBLANK($C155),"",IF(ISBLANK($D$7),$BY$5,IF(NOT(ISNUMBER($D$7)),$BY$6,"")))</f>
        <v/>
      </c>
      <c r="BZ155" s="93" t="str">
        <f aca="false">IF(ISBLANK($C155),"",IF($BA155,Constants!$B$11,IF(COUNTA($E155:$AA155)=0,Constants!$B$10,IF(NOT($AG155),Constants!$B$9,IF(OR($BY155&lt;&gt;"",$BB155,$BN155),Constants!$B$12,Constants!$B$8)))))</f>
        <v/>
      </c>
      <c r="CA155" s="93" t="str">
        <f aca="false">IF(ISBLANK($C155),"",IF($BZ155&lt;&gt;Constants!$B$8,$BZ155,Constants!$B$13))</f>
        <v/>
      </c>
      <c r="CB155" s="97" t="str">
        <f aca="false">IF($BZ155&lt;&gt;Constants!$B$8,"",IF($BM155="-&gt;",$BT155,$BH155))</f>
        <v/>
      </c>
      <c r="CC155" s="97" t="str">
        <f aca="false">IF($BZ155&lt;&gt;Constants!$B$8,"",IF($AF155,0,Constants!$B$18))</f>
        <v/>
      </c>
      <c r="CD155" s="97" t="str">
        <f aca="false">IF($BZ155&lt;&gt;Constants!$B$8,"",((Constants!$B$31-$AZ155)-Constants!$B$31)/Constants!$B$32)</f>
        <v/>
      </c>
      <c r="CE155" s="97" t="str">
        <f aca="false">IF(ISBLANK($C155),"",IF($BZ155&lt;&gt;Constants!$B$8,$BZ155,SUM($CB155:$CD155)))</f>
        <v/>
      </c>
      <c r="CF155" s="93" t="str">
        <f aca="false">IF(ISBLANK($C155),"",IF($BZ155&lt;&gt;Constants!$B$8,$BZ155,RANK($CE155,$CE$9:$CE$508,1)))</f>
        <v/>
      </c>
      <c r="CG155" s="97" t="str">
        <f aca="false">IF($BZ155&lt;&gt;Constants!$B$8,"",IF($BM155="-&gt;",$BU155,$BI155))</f>
        <v/>
      </c>
      <c r="CH155" s="93" t="str">
        <f aca="false">IF(ISBLANK($C155),"",IF($BZ155&lt;&gt;Constants!$B$8,$BZ155,IF(ISNUMBER($CG155),RANK($CG155,$CG$9:$CG$508,1),COUNT($CG$9:$CG$508)+1)))</f>
        <v/>
      </c>
      <c r="CI155" s="97" t="str">
        <f aca="false">IF($BZ155&lt;&gt;Constants!$B$8,"",IF($BM155="-&gt;",$BV155,$BJ155))</f>
        <v/>
      </c>
      <c r="CJ155" s="93" t="str">
        <f aca="false">IF(ISBLANK($C155),"",IF($BZ155&lt;&gt;Constants!$B$8,$BZ155,IF(ISNUMBER($CI155),RANK($CI155,$CI$9:$CI$508,1),COUNT($CI$9:$CI$508)+1)))</f>
        <v/>
      </c>
      <c r="CK155" s="97" t="str">
        <f aca="false">IF($BZ155&lt;&gt;Constants!$B$8,"",IF($BM155="-&gt;",$BW155,$BK155))</f>
        <v/>
      </c>
      <c r="CL155" s="93" t="str">
        <f aca="false">IF(ISBLANK($C155),"",IF($BZ155&lt;&gt;Constants!$B$8,$BZ155,IF(ISNUMBER($CK155),RANK($CK155,$CK$9:$CK$508,1),COUNT($CK$9:$CK$508)+1)))</f>
        <v/>
      </c>
      <c r="CM155" s="97" t="str">
        <f aca="false">IF($BZ155&lt;&gt;Constants!$B$8,"",IF(AND(NOT($AL155),NOT($AT155),$AJ155,$AK155,$AR155,$AS155),"",IF($BM155="-&gt;",$BX155,$BL155)))</f>
        <v/>
      </c>
      <c r="CN155" s="93" t="str">
        <f aca="false">IF(ISBLANK($C155),"",IF($BZ155&lt;&gt;Constants!$B$8,$BZ155,IF(ISNUMBER($CM155),RANK($CM155,$CM$9:$CM$508,1),COUNT($CM$9:$CM$508)+1)))</f>
        <v/>
      </c>
      <c r="CO155" s="93" t="str">
        <f aca="false">IF(ISBLANK($C155),"",IF($BZ155&lt;&gt;Constants!$B$8,$BZ155,COUNTIFS($CF$9:$CF$508,"&lt;"&amp;$CF155)+COUNTIFS($CF$9:$CF$508,$CF155,$CH$9:$CH$508,"&lt;"&amp;$CH155)+COUNTIFS($CF$9:$CF$508,$CF155,$CH$9:$CH$508,$CH155,$CJ$9:$CJ$508,"&lt;"&amp;$CJ155)+COUNTIFS($CF$9:$CF$508,$CF155,$CH$9:$CH$508,$CH155,$CJ$9:$CJ$508,$CJ155,$CL$9:$CL$508,"&lt;"&amp;$CL155)+COUNTIFS($CF$9:$CF$508,$CF155,$CH$9:$CH$508,$CH155,$CJ$9:$CJ$508,$CJ155,$CL$9:$CL$508,$CL155,$CN$9:$CN$508,"&lt;"&amp;$CN155)+1))</f>
        <v/>
      </c>
      <c r="CP155" s="93" t="str">
        <f aca="false">IF(ISBLANK($C155),"",IF($BZ155&lt;&gt;Constants!$B$8,$BZ155,$CF155-$CO155))</f>
        <v/>
      </c>
      <c r="CQ155" s="100"/>
      <c r="CR155" s="101"/>
      <c r="CS155" s="102" t="str">
        <f aca="false">IF(ISBLANK($C155),"",IF($BZ155=Constants!$B$12,$BY155,""))</f>
        <v/>
      </c>
      <c r="CT155" s="101" t="str">
        <f aca="false">IF(ISBLANK($C155),"",IF($BZ155&lt;&gt;Constants!$B$8,"",IF($BM155="-&gt;",2,1)))</f>
        <v/>
      </c>
      <c r="CU155" s="103" t="str">
        <f aca="false">IF(ISBLANK($C155),"",IF($BZ155&lt;&gt;Constants!$B$8,"",IF($BM155="-&gt;",$BO155,$BC155)))</f>
        <v/>
      </c>
      <c r="CV155" s="103" t="str">
        <f aca="false">IF(ISBLANK($C155),"",IF($BZ155&lt;&gt;Constants!$B$8,"",IF($BM155="-&gt;",$BP155,$BD155)))</f>
        <v/>
      </c>
      <c r="CW155" s="103" t="str">
        <f aca="false">IF(ISBLANK($C155),"",IF($BZ155&lt;&gt;Constants!$B$8,"",IF($BM155="-&gt;",$BQ155+$BR155,$BE155+$BF155)+$CD155))</f>
        <v/>
      </c>
      <c r="CX155" s="103" t="str">
        <f aca="false">IF(ISBLANK($C155),"",IF($BZ155&lt;&gt;Constants!$B$8,"",IF($BM155="-&gt;",$BS155,$BG155)+$CC155))</f>
        <v/>
      </c>
      <c r="CY155" s="104" t="str">
        <f aca="false">IF(ISBLANK($C155),"",IF($BZ155&lt;&gt;Constants!$B$8,$BZ155,$CE155))</f>
        <v/>
      </c>
      <c r="CZ155" s="105" t="str">
        <f aca="false">IF(ISBLANK($C155),"",$CA155)</f>
        <v/>
      </c>
      <c r="DA155" s="106" t="str">
        <f aca="false">IF(ISBLANK($C155),"",$CP155)</f>
        <v/>
      </c>
      <c r="DB155" s="106" t="str">
        <f aca="false">IF(ISBLANK($C155),"",$CO155)</f>
        <v/>
      </c>
      <c r="DC155" s="107" t="str">
        <f aca="false">IF(ISBLANK($C155),"",IFERROR(_xlfn.SWITCH($DB155,Constants!$B$11,COUNTA($C$9:$C$508)+2,Constants!$B$10,COUNTA($C$9:$C$508)+1,Constants!$B$9,COUNTA($C$9:$C$508)),$DB155))</f>
        <v/>
      </c>
      <c r="DD155" s="9"/>
      <c r="DE155" s="108" t="n">
        <f aca="false">IF(OR(ISNUMBER($DB155),$DB155=Constants!$B$11,$DB155=Constants!$B$9,$DB155=Constants!$B$10),1,0)</f>
        <v>0</v>
      </c>
      <c r="DF155" s="108" t="n">
        <v>147</v>
      </c>
      <c r="DG155" s="108" t="str">
        <f aca="false">IF(ISBLANK($C155),"",IF(ISNUMBER($DC155),$DC155+ROW($B155)/1000,""))</f>
        <v/>
      </c>
      <c r="DH155" s="108" t="str">
        <f aca="false">IF(ISNUMBER($DG155),RANK($DG155,$DG$9:$DG$508,1),"")</f>
        <v/>
      </c>
      <c r="DI155" s="108" t="str">
        <f aca="false">IF(ISBLANK($C155),"",$B155)</f>
        <v/>
      </c>
      <c r="DJ155" s="108" t="str">
        <f aca="false">IF(ISBLANK($C155),"",$C155)</f>
        <v/>
      </c>
      <c r="DK155" s="108" t="str">
        <f aca="false">IF(ISBLANK($C155),"",$D155)</f>
        <v/>
      </c>
      <c r="DL155" s="109" t="str">
        <f aca="false">$CZ155</f>
        <v/>
      </c>
      <c r="DM155" s="110" t="str">
        <f aca="false">$CY155</f>
        <v/>
      </c>
      <c r="DN155" s="108" t="str">
        <f aca="false">IF(ISBLANK($C155),"",$DB155)</f>
        <v/>
      </c>
      <c r="DO155" s="111" t="str">
        <f aca="false">IF($DF155&gt;$DE$8,"",VLOOKUP($DF155,$DH$9:$DN$508,7,FALSE()))</f>
        <v/>
      </c>
      <c r="DP155" s="112" t="str">
        <f aca="false">IF($DF155&gt;$DE$8,"",VLOOKUP($DF155,$DH$9:$DN$508,2,FALSE()))</f>
        <v/>
      </c>
      <c r="DQ155" s="112" t="str">
        <f aca="false">IF($DF155&gt;$DE$8,"",VLOOKUP($DF155,$DH$9:$DN$508,3,FALSE()))</f>
        <v/>
      </c>
      <c r="DR155" s="112" t="str">
        <f aca="false">IF($DF155&gt;$DE$8,"",VLOOKUP($DF155,$DH$9:$DN$508,4,FALSE()))</f>
        <v/>
      </c>
      <c r="DS155" s="112" t="str">
        <f aca="false">IF($DF155&gt;$DE$8,"",VLOOKUP($DF155,$DH$9:$DN$508,5,FALSE()))</f>
        <v/>
      </c>
      <c r="DT155" s="113" t="str">
        <f aca="false">IF($DF155&gt;$DE$8,"",VLOOKUP($DF155,$DH$9:$DN$508,6,FALSE()))</f>
        <v/>
      </c>
      <c r="DU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IF(ISBLANK($C156),"",IF(E156=Constants!$B$3,TRUE(),IF(E156=Constants!$B$4,FALSE(),TRUE())))</f>
        <v/>
      </c>
      <c r="AG156" s="135" t="str">
        <f aca="false">IF(ISBLANK($C156),"",IF(F156=Constants!$B$3,TRUE(),IF(F156=Constants!$B$4,FALSE(),TRUE())))</f>
        <v/>
      </c>
      <c r="AH156" s="135" t="str">
        <f aca="false">IF(ISBLANK($C156),"",IF(G156=Constants!$B$3,TRUE(),IF(G156=Constants!$B$4,FALSE(),TRUE())))</f>
        <v/>
      </c>
      <c r="AI156" s="135" t="str">
        <f aca="false">IF(ISBLANK($C156),"",IF(AND(ISNUMBER(H156),H156&gt;=0),H156,Constants!$B$29))</f>
        <v/>
      </c>
      <c r="AJ156" s="135" t="str">
        <f aca="false">IF(ISBLANK($C156),"",IF(I156=Constants!$B$3,TRUE(),IF(I156=Constants!$B$4,FALSE(),TRUE())))</f>
        <v/>
      </c>
      <c r="AK156" s="135" t="str">
        <f aca="false">IF(ISBLANK($C156),"",IF(J156=Constants!$B$3,TRUE(),IF(J156=Constants!$B$4,FALSE(),TRUE())))</f>
        <v/>
      </c>
      <c r="AL156" s="135" t="str">
        <f aca="false">IF(ISBLANK($C156),"",IF(K156=Constants!$B$5,TRUE(),IF(K156=Constants!$B$6,FALSE(),COUNTA(L156:P156)&gt;0)))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IF(ISBLANK($C156),"",IF(N156=Constants!$B$3,TRUE(),IF(N156=Constants!$B$4,FALSE(),TRUE())))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IF(ISBLANK($C156),"",IF(P156=Constants!$B$3,TRUE(),IF(P156=Constants!$B$4,FALSE(),FALSE())))</f>
        <v/>
      </c>
      <c r="AR156" s="135" t="str">
        <f aca="false">IF(ISBLANK($C156),"",IF(Q156=Constants!$B$3,TRUE(),IF(Q156=Constants!$B$4,FALSE(),TRUE())))</f>
        <v/>
      </c>
      <c r="AS156" s="135" t="str">
        <f aca="false">IF(ISBLANK($C156),"",IF(R156=Constants!$B$3,TRUE(),IF(R156=Constants!$B$4,FALSE(),TRUE())))</f>
        <v/>
      </c>
      <c r="AT156" s="135" t="str">
        <f aca="false">IF(ISBLANK($C156),"",IF(S156=Constants!$B$5,TRUE(),IF(S156=Constants!$B$6,FALSE(),COUNTA(T156:X156)&gt;0)))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IF(ISBLANK($C156),"",IF(V156=Constants!$B$3,TRUE(),IF(V156=Constants!$B$4,FALSE(),TRUE())))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IF(ISBLANK($C156),"",IF(X156=Constants!$B$3,TRUE(),IF(X156=Constants!$B$4,FALSE(),FALSE())))</f>
        <v/>
      </c>
      <c r="AZ156" s="135" t="str">
        <f aca="false">IF(ISBLANK($C156),"",MIN(Constants!$B$31,MAX(0,IF(ISNUMBER(Y156),Y156*60,0)+IF(ISNUMBER(Z156),Z156,0))))</f>
        <v/>
      </c>
      <c r="BA156" s="135" t="str">
        <f aca="false">IF(ISBLANK($C156),"",IF(AA156=Constants!$B$3,TRUE(),IF(AA156=Constants!$B$4,FALSE(),FALSE())))</f>
        <v/>
      </c>
      <c r="BB156" s="134" t="str">
        <f aca="false">IF(ISBLANK($C156),"",AND($AL156,OR($AM156="",$AN156="",AND($AO156,$AP156=""))))</f>
        <v/>
      </c>
      <c r="BC156" s="137" t="str">
        <f aca="false">IF($BZ156&lt;&gt;Constants!$B$8,"",IF($AL156,Constants!$B$21*$AN156+Constants!$B$22*IF($AO156,$AP156,Constants!$B$23),Constants!$B$24))</f>
        <v/>
      </c>
      <c r="BD156" s="138" t="str">
        <f aca="false">IF($BZ156&lt;&gt;Constants!$B$8,"",Constants!$B$25*ABS($AD$9-IF($AL156,$AM156,0)))</f>
        <v/>
      </c>
      <c r="BE156" s="138" t="str">
        <f aca="false">IF($BZ156&lt;&gt;Constants!$B$8,"",IF(AND($AL156,$AQ156,$AO156),Constants!$B$27,0))</f>
        <v/>
      </c>
      <c r="BF156" s="138" t="str">
        <f aca="false">IF($BZ156&lt;&gt;Constants!$B$8,"",IF($AL156,($AI156-Constants!$B$29)*Constants!$B$28,0))</f>
        <v/>
      </c>
      <c r="BG156" s="138" t="str">
        <f aca="false">IF($BZ156&lt;&gt;Constants!$B$8,"",IF($AK156,0,Constants!$B$15)+IF($AJ156,0,Constants!$B$16)+IF($AH156,0,Constants!$B$17))</f>
        <v/>
      </c>
      <c r="BH156" s="139" t="str">
        <f aca="false">IF($BZ156&lt;&gt;Constants!$B$8,"",Constants!$B$20+SUM($BC156:$BG156))</f>
        <v/>
      </c>
      <c r="BI156" s="138" t="str">
        <f aca="false">IF($BZ156&lt;&gt;Constants!$B$8,"",$BC156)</f>
        <v/>
      </c>
      <c r="BJ156" s="138" t="str">
        <f aca="false">IF($BZ156&lt;&gt;Constants!$B$8,"",$BD156)</f>
        <v/>
      </c>
      <c r="BK156" s="138" t="str">
        <f aca="false">IF($BZ156&lt;&gt;Constants!$B$8,"",IF($AL156,$AN156,""))</f>
        <v/>
      </c>
      <c r="BL156" s="140" t="str">
        <f aca="false">IF($BZ156&lt;&gt;Constants!$B$8,"",$AI156)</f>
        <v/>
      </c>
      <c r="BM156" s="135" t="str">
        <f aca="false">IF($BZ156&lt;&gt;Constants!$B$8,"",IF(OR($BT156&lt;$BH156,AND($BT156=$BH156,OR($BU156&lt;$BI156,AND($BU156=$BI156,OR($BV156&lt;$BJ156,AND($BV156=$BJ156,OR(AND(ISNUMBER($BW156),OR(NOT(ISNUMBER($BK156)),$BW156&lt;$BK156)),AND(OR(AND($BW156="",$BK156=""),AND(ISNUMBER($BW156),ISNUMBER($BK156),$BW156=$BK156)),$BX156&lt;$BL156)))))))),"-&gt;","&lt;-"))</f>
        <v/>
      </c>
      <c r="BN156" s="134" t="str">
        <f aca="false">IF(ISBLANK($C156),"",AND($AT156,OR($AU156="",$AV156="",AND($AW156,$AX156=""))))</f>
        <v/>
      </c>
      <c r="BO156" s="137" t="str">
        <f aca="false">IF($BZ156&lt;&gt;Constants!$B$8,"",IF($AT156,Constants!$B$21*$AV156+Constants!$B$22*IF($AW156,$AX156,Constants!$B$23),Constants!$B$24))</f>
        <v/>
      </c>
      <c r="BP156" s="138" t="str">
        <f aca="false">IF($BZ156&lt;&gt;Constants!$B$8,"",Constants!$B$25*ABS($AD$9-IF($AT156,$AU156,0)))</f>
        <v/>
      </c>
      <c r="BQ156" s="138" t="str">
        <f aca="false">IF($BZ156&lt;&gt;Constants!$B$8,"",IF(AND($AT156,$AY156,$AW156),Constants!$B$27,0))</f>
        <v/>
      </c>
      <c r="BR156" s="138" t="str">
        <f aca="false">IF($BZ156&lt;&gt;Constants!$B$8,"",IF($AT156,($AI156-Constants!$B$29)*Constants!$B$28,0))</f>
        <v/>
      </c>
      <c r="BS156" s="138" t="str">
        <f aca="false">IF($BZ156&lt;&gt;Constants!$B$8,"",IF($AS156,0,Constants!$B$15)+IF($AR156,0,Constants!$B$16)+IF($AH156,0,Constants!$B$17))</f>
        <v/>
      </c>
      <c r="BT156" s="139" t="str">
        <f aca="false">IF($BZ156&lt;&gt;Constants!$B$8,"",Constants!$B$20+SUM($BO156:$BS156))</f>
        <v/>
      </c>
      <c r="BU156" s="138" t="str">
        <f aca="false">IF($BZ156&lt;&gt;Constants!$B$8,"",$BO156)</f>
        <v/>
      </c>
      <c r="BV156" s="138" t="str">
        <f aca="false">IF($BZ156&lt;&gt;Constants!$B$8,"",$BP156)</f>
        <v/>
      </c>
      <c r="BW156" s="138" t="str">
        <f aca="false">IF($BZ156&lt;&gt;Constants!$B$8,"",IF($AT156,$AV156,""))</f>
        <v/>
      </c>
      <c r="BX156" s="140" t="str">
        <f aca="false">IF($BZ156&lt;&gt;Constants!$B$8,"",$AI156)</f>
        <v/>
      </c>
      <c r="BY156" s="135" t="str">
        <f aca="false">IF(ISBLANK($C156),"",IF(ISBLANK($D$7),$BY$5,IF(NOT(ISNUMBER($D$7)),$BY$6,"")))</f>
        <v/>
      </c>
      <c r="BZ156" s="135" t="str">
        <f aca="false">IF(ISBLANK($C156),"",IF($BA156,Constants!$B$11,IF(COUNTA($E156:$AA156)=0,Constants!$B$10,IF(NOT($AG156),Constants!$B$9,IF(OR($BY156&lt;&gt;"",$BB156,$BN156),Constants!$B$12,Constants!$B$8)))))</f>
        <v/>
      </c>
      <c r="CA156" s="135" t="str">
        <f aca="false">IF(ISBLANK($C156),"",IF($BZ156&lt;&gt;Constants!$B$8,$BZ156,Constants!$B$13))</f>
        <v/>
      </c>
      <c r="CB156" s="138" t="str">
        <f aca="false">IF($BZ156&lt;&gt;Constants!$B$8,"",IF($BM156="-&gt;",$BT156,$BH156))</f>
        <v/>
      </c>
      <c r="CC156" s="138" t="str">
        <f aca="false">IF($BZ156&lt;&gt;Constants!$B$8,"",IF($AF156,0,Constants!$B$18))</f>
        <v/>
      </c>
      <c r="CD156" s="138" t="str">
        <f aca="false">IF($BZ156&lt;&gt;Constants!$B$8,"",((Constants!$B$31-$AZ156)-Constants!$B$31)/Constants!$B$32)</f>
        <v/>
      </c>
      <c r="CE156" s="138" t="str">
        <f aca="false">IF(ISBLANK($C156),"",IF($BZ156&lt;&gt;Constants!$B$8,$BZ156,SUM($CB156:$CD156)))</f>
        <v/>
      </c>
      <c r="CF156" s="135" t="str">
        <f aca="false">IF(ISBLANK($C156),"",IF($BZ156&lt;&gt;Constants!$B$8,$BZ156,RANK($CE156,$CE$9:$CE$508,1)))</f>
        <v/>
      </c>
      <c r="CG156" s="138" t="str">
        <f aca="false">IF($BZ156&lt;&gt;Constants!$B$8,"",IF($BM156="-&gt;",$BU156,$BI156))</f>
        <v/>
      </c>
      <c r="CH156" s="135" t="str">
        <f aca="false">IF(ISBLANK($C156),"",IF($BZ156&lt;&gt;Constants!$B$8,$BZ156,IF(ISNUMBER($CG156),RANK($CG156,$CG$9:$CG$508,1),COUNT($CG$9:$CG$508)+1)))</f>
        <v/>
      </c>
      <c r="CI156" s="138" t="str">
        <f aca="false">IF($BZ156&lt;&gt;Constants!$B$8,"",IF($BM156="-&gt;",$BV156,$BJ156))</f>
        <v/>
      </c>
      <c r="CJ156" s="135" t="str">
        <f aca="false">IF(ISBLANK($C156),"",IF($BZ156&lt;&gt;Constants!$B$8,$BZ156,IF(ISNUMBER($CI156),RANK($CI156,$CI$9:$CI$508,1),COUNT($CI$9:$CI$508)+1)))</f>
        <v/>
      </c>
      <c r="CK156" s="138" t="str">
        <f aca="false">IF($BZ156&lt;&gt;Constants!$B$8,"",IF($BM156="-&gt;",$BW156,$BK156))</f>
        <v/>
      </c>
      <c r="CL156" s="135" t="str">
        <f aca="false">IF(ISBLANK($C156),"",IF($BZ156&lt;&gt;Constants!$B$8,$BZ156,IF(ISNUMBER($CK156),RANK($CK156,$CK$9:$CK$508,1),COUNT($CK$9:$CK$508)+1)))</f>
        <v/>
      </c>
      <c r="CM156" s="138" t="str">
        <f aca="false">IF($BZ156&lt;&gt;Constants!$B$8,"",IF(AND(NOT($AL156),NOT($AT156),$AJ156,$AK156,$AR156,$AS156),"",IF($BM156="-&gt;",$BX156,$BL156)))</f>
        <v/>
      </c>
      <c r="CN156" s="135" t="str">
        <f aca="false">IF(ISBLANK($C156),"",IF($BZ156&lt;&gt;Constants!$B$8,$BZ156,IF(ISNUMBER($CM156),RANK($CM156,$CM$9:$CM$508,1),COUNT($CM$9:$CM$508)+1)))</f>
        <v/>
      </c>
      <c r="CO156" s="135" t="str">
        <f aca="false">IF(ISBLANK($C156),"",IF($BZ156&lt;&gt;Constants!$B$8,$BZ156,COUNTIFS($CF$9:$CF$508,"&lt;"&amp;$CF156)+COUNTIFS($CF$9:$CF$508,$CF156,$CH$9:$CH$508,"&lt;"&amp;$CH156)+COUNTIFS($CF$9:$CF$508,$CF156,$CH$9:$CH$508,$CH156,$CJ$9:$CJ$508,"&lt;"&amp;$CJ156)+COUNTIFS($CF$9:$CF$508,$CF156,$CH$9:$CH$508,$CH156,$CJ$9:$CJ$508,$CJ156,$CL$9:$CL$508,"&lt;"&amp;$CL156)+COUNTIFS($CF$9:$CF$508,$CF156,$CH$9:$CH$508,$CH156,$CJ$9:$CJ$508,$CJ156,$CL$9:$CL$508,$CL156,$CN$9:$CN$508,"&lt;"&amp;$CN156)+1))</f>
        <v/>
      </c>
      <c r="CP156" s="135" t="str">
        <f aca="false">IF(ISBLANK($C156),"",IF($BZ156&lt;&gt;Constants!$B$8,$BZ156,$CF156-$CO156))</f>
        <v/>
      </c>
      <c r="CQ156" s="141"/>
      <c r="CR156" s="142"/>
      <c r="CS156" s="143" t="str">
        <f aca="false">IF(ISBLANK($C156),"",IF($BZ156=Constants!$B$12,$BY156,""))</f>
        <v/>
      </c>
      <c r="CT156" s="142" t="str">
        <f aca="false">IF(ISBLANK($C156),"",IF($BZ156&lt;&gt;Constants!$B$8,"",IF($BM156="-&gt;",2,1)))</f>
        <v/>
      </c>
      <c r="CU156" s="144" t="str">
        <f aca="false">IF(ISBLANK($C156),"",IF($BZ156&lt;&gt;Constants!$B$8,"",IF($BM156="-&gt;",$BO156,$BC156)))</f>
        <v/>
      </c>
      <c r="CV156" s="144" t="str">
        <f aca="false">IF(ISBLANK($C156),"",IF($BZ156&lt;&gt;Constants!$B$8,"",IF($BM156="-&gt;",$BP156,$BD156)))</f>
        <v/>
      </c>
      <c r="CW156" s="144" t="str">
        <f aca="false">IF(ISBLANK($C156),"",IF($BZ156&lt;&gt;Constants!$B$8,"",IF($BM156="-&gt;",$BQ156+$BR156,$BE156+$BF156)+$CD156))</f>
        <v/>
      </c>
      <c r="CX156" s="144" t="str">
        <f aca="false">IF(ISBLANK($C156),"",IF($BZ156&lt;&gt;Constants!$B$8,"",IF($BM156="-&gt;",$BS156,$BG156)+$CC156))</f>
        <v/>
      </c>
      <c r="CY156" s="145" t="str">
        <f aca="false">IF(ISBLANK($C156),"",IF($BZ156&lt;&gt;Constants!$B$8,$BZ156,$CE156))</f>
        <v/>
      </c>
      <c r="CZ156" s="146" t="str">
        <f aca="false">IF(ISBLANK($C156),"",$CA156)</f>
        <v/>
      </c>
      <c r="DA156" s="147" t="str">
        <f aca="false">IF(ISBLANK($C156),"",$CP156)</f>
        <v/>
      </c>
      <c r="DB156" s="147" t="str">
        <f aca="false">IF(ISBLANK($C156),"",$CO156)</f>
        <v/>
      </c>
      <c r="DC156" s="148" t="str">
        <f aca="false">IF(ISBLANK($C156),"",IFERROR(_xlfn.SWITCH($DB156,Constants!$B$11,COUNTA($C$9:$C$508)+2,Constants!$B$10,COUNTA($C$9:$C$508)+1,Constants!$B$9,COUNTA($C$9:$C$508)),$DB156))</f>
        <v/>
      </c>
      <c r="DD156" s="9"/>
      <c r="DE156" s="149" t="n">
        <f aca="false">IF(OR(ISNUMBER($DB156),$DB156=Constants!$B$11,$DB156=Constants!$B$9,$DB156=Constants!$B$10),1,0)</f>
        <v>0</v>
      </c>
      <c r="DF156" s="149" t="n">
        <v>148</v>
      </c>
      <c r="DG156" s="149" t="str">
        <f aca="false">IF(ISBLANK($C156),"",IF(ISNUMBER($DC156),$DC156+ROW($B156)/1000,""))</f>
        <v/>
      </c>
      <c r="DH156" s="149" t="str">
        <f aca="false">IF(ISNUMBER($DG156),RANK($DG156,$DG$9:$DG$508,1),"")</f>
        <v/>
      </c>
      <c r="DI156" s="149" t="str">
        <f aca="false">IF(ISBLANK($C156),"",$B156)</f>
        <v/>
      </c>
      <c r="DJ156" s="149" t="str">
        <f aca="false">IF(ISBLANK($C156),"",$C156)</f>
        <v/>
      </c>
      <c r="DK156" s="149" t="str">
        <f aca="false">IF(ISBLANK($C156),"",$D156)</f>
        <v/>
      </c>
      <c r="DL156" s="150" t="str">
        <f aca="false">$CZ156</f>
        <v/>
      </c>
      <c r="DM156" s="151" t="str">
        <f aca="false">$CY156</f>
        <v/>
      </c>
      <c r="DN156" s="149" t="str">
        <f aca="false">IF(ISBLANK($C156),"",$DB156)</f>
        <v/>
      </c>
      <c r="DO156" s="152" t="str">
        <f aca="false">IF($DF156&gt;$DE$8,"",VLOOKUP($DF156,$DH$9:$DN$508,7,FALSE()))</f>
        <v/>
      </c>
      <c r="DP156" s="153" t="str">
        <f aca="false">IF($DF156&gt;$DE$8,"",VLOOKUP($DF156,$DH$9:$DN$508,2,FALSE()))</f>
        <v/>
      </c>
      <c r="DQ156" s="153" t="str">
        <f aca="false">IF($DF156&gt;$DE$8,"",VLOOKUP($DF156,$DH$9:$DN$508,3,FALSE()))</f>
        <v/>
      </c>
      <c r="DR156" s="153" t="str">
        <f aca="false">IF($DF156&gt;$DE$8,"",VLOOKUP($DF156,$DH$9:$DN$508,4,FALSE()))</f>
        <v/>
      </c>
      <c r="DS156" s="153" t="str">
        <f aca="false">IF($DF156&gt;$DE$8,"",VLOOKUP($DF156,$DH$9:$DN$508,5,FALSE()))</f>
        <v/>
      </c>
      <c r="DT156" s="154" t="str">
        <f aca="false">IF($DF156&gt;$DE$8,"",VLOOKUP($DF156,$DH$9:$DN$508,6,FALSE()))</f>
        <v/>
      </c>
      <c r="DU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IF(ISBLANK($C157),"",IF(E157=Constants!$B$3,TRUE(),IF(E157=Constants!$B$4,FALSE(),TRUE())))</f>
        <v/>
      </c>
      <c r="AG157" s="135" t="str">
        <f aca="false">IF(ISBLANK($C157),"",IF(F157=Constants!$B$3,TRUE(),IF(F157=Constants!$B$4,FALSE(),TRUE())))</f>
        <v/>
      </c>
      <c r="AH157" s="135" t="str">
        <f aca="false">IF(ISBLANK($C157),"",IF(G157=Constants!$B$3,TRUE(),IF(G157=Constants!$B$4,FALSE(),TRUE())))</f>
        <v/>
      </c>
      <c r="AI157" s="135" t="str">
        <f aca="false">IF(ISBLANK($C157),"",IF(AND(ISNUMBER(H157),H157&gt;=0),H157,Constants!$B$29))</f>
        <v/>
      </c>
      <c r="AJ157" s="135" t="str">
        <f aca="false">IF(ISBLANK($C157),"",IF(I157=Constants!$B$3,TRUE(),IF(I157=Constants!$B$4,FALSE(),TRUE())))</f>
        <v/>
      </c>
      <c r="AK157" s="135" t="str">
        <f aca="false">IF(ISBLANK($C157),"",IF(J157=Constants!$B$3,TRUE(),IF(J157=Constants!$B$4,FALSE(),TRUE())))</f>
        <v/>
      </c>
      <c r="AL157" s="135" t="str">
        <f aca="false">IF(ISBLANK($C157),"",IF(K157=Constants!$B$5,TRUE(),IF(K157=Constants!$B$6,FALSE(),COUNTA(L157:P157)&gt;0)))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IF(ISBLANK($C157),"",IF(N157=Constants!$B$3,TRUE(),IF(N157=Constants!$B$4,FALSE(),TRUE())))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IF(ISBLANK($C157),"",IF(P157=Constants!$B$3,TRUE(),IF(P157=Constants!$B$4,FALSE(),FALSE())))</f>
        <v/>
      </c>
      <c r="AR157" s="135" t="str">
        <f aca="false">IF(ISBLANK($C157),"",IF(Q157=Constants!$B$3,TRUE(),IF(Q157=Constants!$B$4,FALSE(),TRUE())))</f>
        <v/>
      </c>
      <c r="AS157" s="135" t="str">
        <f aca="false">IF(ISBLANK($C157),"",IF(R157=Constants!$B$3,TRUE(),IF(R157=Constants!$B$4,FALSE(),TRUE())))</f>
        <v/>
      </c>
      <c r="AT157" s="135" t="str">
        <f aca="false">IF(ISBLANK($C157),"",IF(S157=Constants!$B$5,TRUE(),IF(S157=Constants!$B$6,FALSE(),COUNTA(T157:X157)&gt;0)))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IF(ISBLANK($C157),"",IF(V157=Constants!$B$3,TRUE(),IF(V157=Constants!$B$4,FALSE(),TRUE())))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IF(ISBLANK($C157),"",IF(X157=Constants!$B$3,TRUE(),IF(X157=Constants!$B$4,FALSE(),FALSE())))</f>
        <v/>
      </c>
      <c r="AZ157" s="135" t="str">
        <f aca="false">IF(ISBLANK($C157),"",MIN(Constants!$B$31,MAX(0,IF(ISNUMBER(Y157),Y157*60,0)+IF(ISNUMBER(Z157),Z157,0))))</f>
        <v/>
      </c>
      <c r="BA157" s="135" t="str">
        <f aca="false">IF(ISBLANK($C157),"",IF(AA157=Constants!$B$3,TRUE(),IF(AA157=Constants!$B$4,FALSE(),FALSE())))</f>
        <v/>
      </c>
      <c r="BB157" s="134" t="str">
        <f aca="false">IF(ISBLANK($C157),"",AND($AL157,OR($AM157="",$AN157="",AND($AO157,$AP157=""))))</f>
        <v/>
      </c>
      <c r="BC157" s="137" t="str">
        <f aca="false">IF($BZ157&lt;&gt;Constants!$B$8,"",IF($AL157,Constants!$B$21*$AN157+Constants!$B$22*IF($AO157,$AP157,Constants!$B$23),Constants!$B$24))</f>
        <v/>
      </c>
      <c r="BD157" s="138" t="str">
        <f aca="false">IF($BZ157&lt;&gt;Constants!$B$8,"",Constants!$B$25*ABS($AD$9-IF($AL157,$AM157,0)))</f>
        <v/>
      </c>
      <c r="BE157" s="138" t="str">
        <f aca="false">IF($BZ157&lt;&gt;Constants!$B$8,"",IF(AND($AL157,$AQ157,$AO157),Constants!$B$27,0))</f>
        <v/>
      </c>
      <c r="BF157" s="138" t="str">
        <f aca="false">IF($BZ157&lt;&gt;Constants!$B$8,"",IF($AL157,($AI157-Constants!$B$29)*Constants!$B$28,0))</f>
        <v/>
      </c>
      <c r="BG157" s="138" t="str">
        <f aca="false">IF($BZ157&lt;&gt;Constants!$B$8,"",IF($AK157,0,Constants!$B$15)+IF($AJ157,0,Constants!$B$16)+IF($AH157,0,Constants!$B$17))</f>
        <v/>
      </c>
      <c r="BH157" s="139" t="str">
        <f aca="false">IF($BZ157&lt;&gt;Constants!$B$8,"",Constants!$B$20+SUM($BC157:$BG157))</f>
        <v/>
      </c>
      <c r="BI157" s="138" t="str">
        <f aca="false">IF($BZ157&lt;&gt;Constants!$B$8,"",$BC157)</f>
        <v/>
      </c>
      <c r="BJ157" s="138" t="str">
        <f aca="false">IF($BZ157&lt;&gt;Constants!$B$8,"",$BD157)</f>
        <v/>
      </c>
      <c r="BK157" s="138" t="str">
        <f aca="false">IF($BZ157&lt;&gt;Constants!$B$8,"",IF($AL157,$AN157,""))</f>
        <v/>
      </c>
      <c r="BL157" s="140" t="str">
        <f aca="false">IF($BZ157&lt;&gt;Constants!$B$8,"",$AI157)</f>
        <v/>
      </c>
      <c r="BM157" s="135" t="str">
        <f aca="false">IF($BZ157&lt;&gt;Constants!$B$8,"",IF(OR($BT157&lt;$BH157,AND($BT157=$BH157,OR($BU157&lt;$BI157,AND($BU157=$BI157,OR($BV157&lt;$BJ157,AND($BV157=$BJ157,OR(AND(ISNUMBER($BW157),OR(NOT(ISNUMBER($BK157)),$BW157&lt;$BK157)),AND(OR(AND($BW157="",$BK157=""),AND(ISNUMBER($BW157),ISNUMBER($BK157),$BW157=$BK157)),$BX157&lt;$BL157)))))))),"-&gt;","&lt;-"))</f>
        <v/>
      </c>
      <c r="BN157" s="134" t="str">
        <f aca="false">IF(ISBLANK($C157),"",AND($AT157,OR($AU157="",$AV157="",AND($AW157,$AX157=""))))</f>
        <v/>
      </c>
      <c r="BO157" s="137" t="str">
        <f aca="false">IF($BZ157&lt;&gt;Constants!$B$8,"",IF($AT157,Constants!$B$21*$AV157+Constants!$B$22*IF($AW157,$AX157,Constants!$B$23),Constants!$B$24))</f>
        <v/>
      </c>
      <c r="BP157" s="138" t="str">
        <f aca="false">IF($BZ157&lt;&gt;Constants!$B$8,"",Constants!$B$25*ABS($AD$9-IF($AT157,$AU157,0)))</f>
        <v/>
      </c>
      <c r="BQ157" s="138" t="str">
        <f aca="false">IF($BZ157&lt;&gt;Constants!$B$8,"",IF(AND($AT157,$AY157,$AW157),Constants!$B$27,0))</f>
        <v/>
      </c>
      <c r="BR157" s="138" t="str">
        <f aca="false">IF($BZ157&lt;&gt;Constants!$B$8,"",IF($AT157,($AI157-Constants!$B$29)*Constants!$B$28,0))</f>
        <v/>
      </c>
      <c r="BS157" s="138" t="str">
        <f aca="false">IF($BZ157&lt;&gt;Constants!$B$8,"",IF($AS157,0,Constants!$B$15)+IF($AR157,0,Constants!$B$16)+IF($AH157,0,Constants!$B$17))</f>
        <v/>
      </c>
      <c r="BT157" s="139" t="str">
        <f aca="false">IF($BZ157&lt;&gt;Constants!$B$8,"",Constants!$B$20+SUM($BO157:$BS157))</f>
        <v/>
      </c>
      <c r="BU157" s="138" t="str">
        <f aca="false">IF($BZ157&lt;&gt;Constants!$B$8,"",$BO157)</f>
        <v/>
      </c>
      <c r="BV157" s="138" t="str">
        <f aca="false">IF($BZ157&lt;&gt;Constants!$B$8,"",$BP157)</f>
        <v/>
      </c>
      <c r="BW157" s="138" t="str">
        <f aca="false">IF($BZ157&lt;&gt;Constants!$B$8,"",IF($AT157,$AV157,""))</f>
        <v/>
      </c>
      <c r="BX157" s="140" t="str">
        <f aca="false">IF($BZ157&lt;&gt;Constants!$B$8,"",$AI157)</f>
        <v/>
      </c>
      <c r="BY157" s="135" t="str">
        <f aca="false">IF(ISBLANK($C157),"",IF(ISBLANK($D$7),$BY$5,IF(NOT(ISNUMBER($D$7)),$BY$6,"")))</f>
        <v/>
      </c>
      <c r="BZ157" s="135" t="str">
        <f aca="false">IF(ISBLANK($C157),"",IF($BA157,Constants!$B$11,IF(COUNTA($E157:$AA157)=0,Constants!$B$10,IF(NOT($AG157),Constants!$B$9,IF(OR($BY157&lt;&gt;"",$BB157,$BN157),Constants!$B$12,Constants!$B$8)))))</f>
        <v/>
      </c>
      <c r="CA157" s="135" t="str">
        <f aca="false">IF(ISBLANK($C157),"",IF($BZ157&lt;&gt;Constants!$B$8,$BZ157,Constants!$B$13))</f>
        <v/>
      </c>
      <c r="CB157" s="138" t="str">
        <f aca="false">IF($BZ157&lt;&gt;Constants!$B$8,"",IF($BM157="-&gt;",$BT157,$BH157))</f>
        <v/>
      </c>
      <c r="CC157" s="138" t="str">
        <f aca="false">IF($BZ157&lt;&gt;Constants!$B$8,"",IF($AF157,0,Constants!$B$18))</f>
        <v/>
      </c>
      <c r="CD157" s="138" t="str">
        <f aca="false">IF($BZ157&lt;&gt;Constants!$B$8,"",((Constants!$B$31-$AZ157)-Constants!$B$31)/Constants!$B$32)</f>
        <v/>
      </c>
      <c r="CE157" s="138" t="str">
        <f aca="false">IF(ISBLANK($C157),"",IF($BZ157&lt;&gt;Constants!$B$8,$BZ157,SUM($CB157:$CD157)))</f>
        <v/>
      </c>
      <c r="CF157" s="135" t="str">
        <f aca="false">IF(ISBLANK($C157),"",IF($BZ157&lt;&gt;Constants!$B$8,$BZ157,RANK($CE157,$CE$9:$CE$508,1)))</f>
        <v/>
      </c>
      <c r="CG157" s="138" t="str">
        <f aca="false">IF($BZ157&lt;&gt;Constants!$B$8,"",IF($BM157="-&gt;",$BU157,$BI157))</f>
        <v/>
      </c>
      <c r="CH157" s="135" t="str">
        <f aca="false">IF(ISBLANK($C157),"",IF($BZ157&lt;&gt;Constants!$B$8,$BZ157,IF(ISNUMBER($CG157),RANK($CG157,$CG$9:$CG$508,1),COUNT($CG$9:$CG$508)+1)))</f>
        <v/>
      </c>
      <c r="CI157" s="138" t="str">
        <f aca="false">IF($BZ157&lt;&gt;Constants!$B$8,"",IF($BM157="-&gt;",$BV157,$BJ157))</f>
        <v/>
      </c>
      <c r="CJ157" s="135" t="str">
        <f aca="false">IF(ISBLANK($C157),"",IF($BZ157&lt;&gt;Constants!$B$8,$BZ157,IF(ISNUMBER($CI157),RANK($CI157,$CI$9:$CI$508,1),COUNT($CI$9:$CI$508)+1)))</f>
        <v/>
      </c>
      <c r="CK157" s="138" t="str">
        <f aca="false">IF($BZ157&lt;&gt;Constants!$B$8,"",IF($BM157="-&gt;",$BW157,$BK157))</f>
        <v/>
      </c>
      <c r="CL157" s="135" t="str">
        <f aca="false">IF(ISBLANK($C157),"",IF($BZ157&lt;&gt;Constants!$B$8,$BZ157,IF(ISNUMBER($CK157),RANK($CK157,$CK$9:$CK$508,1),COUNT($CK$9:$CK$508)+1)))</f>
        <v/>
      </c>
      <c r="CM157" s="138" t="str">
        <f aca="false">IF($BZ157&lt;&gt;Constants!$B$8,"",IF(AND(NOT($AL157),NOT($AT157),$AJ157,$AK157,$AR157,$AS157),"",IF($BM157="-&gt;",$BX157,$BL157)))</f>
        <v/>
      </c>
      <c r="CN157" s="135" t="str">
        <f aca="false">IF(ISBLANK($C157),"",IF($BZ157&lt;&gt;Constants!$B$8,$BZ157,IF(ISNUMBER($CM157),RANK($CM157,$CM$9:$CM$508,1),COUNT($CM$9:$CM$508)+1)))</f>
        <v/>
      </c>
      <c r="CO157" s="135" t="str">
        <f aca="false">IF(ISBLANK($C157),"",IF($BZ157&lt;&gt;Constants!$B$8,$BZ157,COUNTIFS($CF$9:$CF$508,"&lt;"&amp;$CF157)+COUNTIFS($CF$9:$CF$508,$CF157,$CH$9:$CH$508,"&lt;"&amp;$CH157)+COUNTIFS($CF$9:$CF$508,$CF157,$CH$9:$CH$508,$CH157,$CJ$9:$CJ$508,"&lt;"&amp;$CJ157)+COUNTIFS($CF$9:$CF$508,$CF157,$CH$9:$CH$508,$CH157,$CJ$9:$CJ$508,$CJ157,$CL$9:$CL$508,"&lt;"&amp;$CL157)+COUNTIFS($CF$9:$CF$508,$CF157,$CH$9:$CH$508,$CH157,$CJ$9:$CJ$508,$CJ157,$CL$9:$CL$508,$CL157,$CN$9:$CN$508,"&lt;"&amp;$CN157)+1))</f>
        <v/>
      </c>
      <c r="CP157" s="135" t="str">
        <f aca="false">IF(ISBLANK($C157),"",IF($BZ157&lt;&gt;Constants!$B$8,$BZ157,$CF157-$CO157))</f>
        <v/>
      </c>
      <c r="CQ157" s="141"/>
      <c r="CR157" s="142"/>
      <c r="CS157" s="143" t="str">
        <f aca="false">IF(ISBLANK($C157),"",IF($BZ157=Constants!$B$12,$BY157,""))</f>
        <v/>
      </c>
      <c r="CT157" s="142" t="str">
        <f aca="false">IF(ISBLANK($C157),"",IF($BZ157&lt;&gt;Constants!$B$8,"",IF($BM157="-&gt;",2,1)))</f>
        <v/>
      </c>
      <c r="CU157" s="144" t="str">
        <f aca="false">IF(ISBLANK($C157),"",IF($BZ157&lt;&gt;Constants!$B$8,"",IF($BM157="-&gt;",$BO157,$BC157)))</f>
        <v/>
      </c>
      <c r="CV157" s="144" t="str">
        <f aca="false">IF(ISBLANK($C157),"",IF($BZ157&lt;&gt;Constants!$B$8,"",IF($BM157="-&gt;",$BP157,$BD157)))</f>
        <v/>
      </c>
      <c r="CW157" s="144" t="str">
        <f aca="false">IF(ISBLANK($C157),"",IF($BZ157&lt;&gt;Constants!$B$8,"",IF($BM157="-&gt;",$BQ157+$BR157,$BE157+$BF157)+$CD157))</f>
        <v/>
      </c>
      <c r="CX157" s="144" t="str">
        <f aca="false">IF(ISBLANK($C157),"",IF($BZ157&lt;&gt;Constants!$B$8,"",IF($BM157="-&gt;",$BS157,$BG157)+$CC157))</f>
        <v/>
      </c>
      <c r="CY157" s="145" t="str">
        <f aca="false">IF(ISBLANK($C157),"",IF($BZ157&lt;&gt;Constants!$B$8,$BZ157,$CE157))</f>
        <v/>
      </c>
      <c r="CZ157" s="146" t="str">
        <f aca="false">IF(ISBLANK($C157),"",$CA157)</f>
        <v/>
      </c>
      <c r="DA157" s="147" t="str">
        <f aca="false">IF(ISBLANK($C157),"",$CP157)</f>
        <v/>
      </c>
      <c r="DB157" s="147" t="str">
        <f aca="false">IF(ISBLANK($C157),"",$CO157)</f>
        <v/>
      </c>
      <c r="DC157" s="148" t="str">
        <f aca="false">IF(ISBLANK($C157),"",IFERROR(_xlfn.SWITCH($DB157,Constants!$B$11,COUNTA($C$9:$C$508)+2,Constants!$B$10,COUNTA($C$9:$C$508)+1,Constants!$B$9,COUNTA($C$9:$C$508)),$DB157))</f>
        <v/>
      </c>
      <c r="DD157" s="9"/>
      <c r="DE157" s="149" t="n">
        <f aca="false">IF(OR(ISNUMBER($DB157),$DB157=Constants!$B$11,$DB157=Constants!$B$9,$DB157=Constants!$B$10),1,0)</f>
        <v>0</v>
      </c>
      <c r="DF157" s="149" t="n">
        <v>149</v>
      </c>
      <c r="DG157" s="149" t="str">
        <f aca="false">IF(ISBLANK($C157),"",IF(ISNUMBER($DC157),$DC157+ROW($B157)/1000,""))</f>
        <v/>
      </c>
      <c r="DH157" s="149" t="str">
        <f aca="false">IF(ISNUMBER($DG157),RANK($DG157,$DG$9:$DG$508,1),"")</f>
        <v/>
      </c>
      <c r="DI157" s="149" t="str">
        <f aca="false">IF(ISBLANK($C157),"",$B157)</f>
        <v/>
      </c>
      <c r="DJ157" s="149" t="str">
        <f aca="false">IF(ISBLANK($C157),"",$C157)</f>
        <v/>
      </c>
      <c r="DK157" s="149" t="str">
        <f aca="false">IF(ISBLANK($C157),"",$D157)</f>
        <v/>
      </c>
      <c r="DL157" s="150" t="str">
        <f aca="false">$CZ157</f>
        <v/>
      </c>
      <c r="DM157" s="151" t="str">
        <f aca="false">$CY157</f>
        <v/>
      </c>
      <c r="DN157" s="149" t="str">
        <f aca="false">IF(ISBLANK($C157),"",$DB157)</f>
        <v/>
      </c>
      <c r="DO157" s="152" t="str">
        <f aca="false">IF($DF157&gt;$DE$8,"",VLOOKUP($DF157,$DH$9:$DN$508,7,FALSE()))</f>
        <v/>
      </c>
      <c r="DP157" s="153" t="str">
        <f aca="false">IF($DF157&gt;$DE$8,"",VLOOKUP($DF157,$DH$9:$DN$508,2,FALSE()))</f>
        <v/>
      </c>
      <c r="DQ157" s="153" t="str">
        <f aca="false">IF($DF157&gt;$DE$8,"",VLOOKUP($DF157,$DH$9:$DN$508,3,FALSE()))</f>
        <v/>
      </c>
      <c r="DR157" s="153" t="str">
        <f aca="false">IF($DF157&gt;$DE$8,"",VLOOKUP($DF157,$DH$9:$DN$508,4,FALSE()))</f>
        <v/>
      </c>
      <c r="DS157" s="153" t="str">
        <f aca="false">IF($DF157&gt;$DE$8,"",VLOOKUP($DF157,$DH$9:$DN$508,5,FALSE()))</f>
        <v/>
      </c>
      <c r="DT157" s="154" t="str">
        <f aca="false">IF($DF157&gt;$DE$8,"",VLOOKUP($DF157,$DH$9:$DN$508,6,FALSE()))</f>
        <v/>
      </c>
      <c r="DU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IF(ISBLANK($C158),"",IF(E158=Constants!$B$3,TRUE(),IF(E158=Constants!$B$4,FALSE(),TRUE())))</f>
        <v/>
      </c>
      <c r="AG158" s="135" t="str">
        <f aca="false">IF(ISBLANK($C158),"",IF(F158=Constants!$B$3,TRUE(),IF(F158=Constants!$B$4,FALSE(),TRUE())))</f>
        <v/>
      </c>
      <c r="AH158" s="135" t="str">
        <f aca="false">IF(ISBLANK($C158),"",IF(G158=Constants!$B$3,TRUE(),IF(G158=Constants!$B$4,FALSE(),TRUE())))</f>
        <v/>
      </c>
      <c r="AI158" s="135" t="str">
        <f aca="false">IF(ISBLANK($C158),"",IF(AND(ISNUMBER(H158),H158&gt;=0),H158,Constants!$B$29))</f>
        <v/>
      </c>
      <c r="AJ158" s="135" t="str">
        <f aca="false">IF(ISBLANK($C158),"",IF(I158=Constants!$B$3,TRUE(),IF(I158=Constants!$B$4,FALSE(),TRUE())))</f>
        <v/>
      </c>
      <c r="AK158" s="135" t="str">
        <f aca="false">IF(ISBLANK($C158),"",IF(J158=Constants!$B$3,TRUE(),IF(J158=Constants!$B$4,FALSE(),TRUE())))</f>
        <v/>
      </c>
      <c r="AL158" s="135" t="str">
        <f aca="false">IF(ISBLANK($C158),"",IF(K158=Constants!$B$5,TRUE(),IF(K158=Constants!$B$6,FALSE(),COUNTA(L158:P158)&gt;0)))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IF(ISBLANK($C158),"",IF(N158=Constants!$B$3,TRUE(),IF(N158=Constants!$B$4,FALSE(),TRUE())))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IF(ISBLANK($C158),"",IF(P158=Constants!$B$3,TRUE(),IF(P158=Constants!$B$4,FALSE(),FALSE())))</f>
        <v/>
      </c>
      <c r="AR158" s="135" t="str">
        <f aca="false">IF(ISBLANK($C158),"",IF(Q158=Constants!$B$3,TRUE(),IF(Q158=Constants!$B$4,FALSE(),TRUE())))</f>
        <v/>
      </c>
      <c r="AS158" s="135" t="str">
        <f aca="false">IF(ISBLANK($C158),"",IF(R158=Constants!$B$3,TRUE(),IF(R158=Constants!$B$4,FALSE(),TRUE())))</f>
        <v/>
      </c>
      <c r="AT158" s="135" t="str">
        <f aca="false">IF(ISBLANK($C158),"",IF(S158=Constants!$B$5,TRUE(),IF(S158=Constants!$B$6,FALSE(),COUNTA(T158:X158)&gt;0)))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IF(ISBLANK($C158),"",IF(V158=Constants!$B$3,TRUE(),IF(V158=Constants!$B$4,FALSE(),TRUE())))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IF(ISBLANK($C158),"",IF(X158=Constants!$B$3,TRUE(),IF(X158=Constants!$B$4,FALSE(),FALSE())))</f>
        <v/>
      </c>
      <c r="AZ158" s="135" t="str">
        <f aca="false">IF(ISBLANK($C158),"",MIN(Constants!$B$31,MAX(0,IF(ISNUMBER(Y158),Y158*60,0)+IF(ISNUMBER(Z158),Z158,0))))</f>
        <v/>
      </c>
      <c r="BA158" s="135" t="str">
        <f aca="false">IF(ISBLANK($C158),"",IF(AA158=Constants!$B$3,TRUE(),IF(AA158=Constants!$B$4,FALSE(),FALSE())))</f>
        <v/>
      </c>
      <c r="BB158" s="134" t="str">
        <f aca="false">IF(ISBLANK($C158),"",AND($AL158,OR($AM158="",$AN158="",AND($AO158,$AP158=""))))</f>
        <v/>
      </c>
      <c r="BC158" s="137" t="str">
        <f aca="false">IF($BZ158&lt;&gt;Constants!$B$8,"",IF($AL158,Constants!$B$21*$AN158+Constants!$B$22*IF($AO158,$AP158,Constants!$B$23),Constants!$B$24))</f>
        <v/>
      </c>
      <c r="BD158" s="138" t="str">
        <f aca="false">IF($BZ158&lt;&gt;Constants!$B$8,"",Constants!$B$25*ABS($AD$9-IF($AL158,$AM158,0)))</f>
        <v/>
      </c>
      <c r="BE158" s="138" t="str">
        <f aca="false">IF($BZ158&lt;&gt;Constants!$B$8,"",IF(AND($AL158,$AQ158,$AO158),Constants!$B$27,0))</f>
        <v/>
      </c>
      <c r="BF158" s="138" t="str">
        <f aca="false">IF($BZ158&lt;&gt;Constants!$B$8,"",IF($AL158,($AI158-Constants!$B$29)*Constants!$B$28,0))</f>
        <v/>
      </c>
      <c r="BG158" s="138" t="str">
        <f aca="false">IF($BZ158&lt;&gt;Constants!$B$8,"",IF($AK158,0,Constants!$B$15)+IF($AJ158,0,Constants!$B$16)+IF($AH158,0,Constants!$B$17))</f>
        <v/>
      </c>
      <c r="BH158" s="139" t="str">
        <f aca="false">IF($BZ158&lt;&gt;Constants!$B$8,"",Constants!$B$20+SUM($BC158:$BG158))</f>
        <v/>
      </c>
      <c r="BI158" s="138" t="str">
        <f aca="false">IF($BZ158&lt;&gt;Constants!$B$8,"",$BC158)</f>
        <v/>
      </c>
      <c r="BJ158" s="138" t="str">
        <f aca="false">IF($BZ158&lt;&gt;Constants!$B$8,"",$BD158)</f>
        <v/>
      </c>
      <c r="BK158" s="138" t="str">
        <f aca="false">IF($BZ158&lt;&gt;Constants!$B$8,"",IF($AL158,$AN158,""))</f>
        <v/>
      </c>
      <c r="BL158" s="140" t="str">
        <f aca="false">IF($BZ158&lt;&gt;Constants!$B$8,"",$AI158)</f>
        <v/>
      </c>
      <c r="BM158" s="135" t="str">
        <f aca="false">IF($BZ158&lt;&gt;Constants!$B$8,"",IF(OR($BT158&lt;$BH158,AND($BT158=$BH158,OR($BU158&lt;$BI158,AND($BU158=$BI158,OR($BV158&lt;$BJ158,AND($BV158=$BJ158,OR(AND(ISNUMBER($BW158),OR(NOT(ISNUMBER($BK158)),$BW158&lt;$BK158)),AND(OR(AND($BW158="",$BK158=""),AND(ISNUMBER($BW158),ISNUMBER($BK158),$BW158=$BK158)),$BX158&lt;$BL158)))))))),"-&gt;","&lt;-"))</f>
        <v/>
      </c>
      <c r="BN158" s="134" t="str">
        <f aca="false">IF(ISBLANK($C158),"",AND($AT158,OR($AU158="",$AV158="",AND($AW158,$AX158=""))))</f>
        <v/>
      </c>
      <c r="BO158" s="137" t="str">
        <f aca="false">IF($BZ158&lt;&gt;Constants!$B$8,"",IF($AT158,Constants!$B$21*$AV158+Constants!$B$22*IF($AW158,$AX158,Constants!$B$23),Constants!$B$24))</f>
        <v/>
      </c>
      <c r="BP158" s="138" t="str">
        <f aca="false">IF($BZ158&lt;&gt;Constants!$B$8,"",Constants!$B$25*ABS($AD$9-IF($AT158,$AU158,0)))</f>
        <v/>
      </c>
      <c r="BQ158" s="138" t="str">
        <f aca="false">IF($BZ158&lt;&gt;Constants!$B$8,"",IF(AND($AT158,$AY158,$AW158),Constants!$B$27,0))</f>
        <v/>
      </c>
      <c r="BR158" s="138" t="str">
        <f aca="false">IF($BZ158&lt;&gt;Constants!$B$8,"",IF($AT158,($AI158-Constants!$B$29)*Constants!$B$28,0))</f>
        <v/>
      </c>
      <c r="BS158" s="138" t="str">
        <f aca="false">IF($BZ158&lt;&gt;Constants!$B$8,"",IF($AS158,0,Constants!$B$15)+IF($AR158,0,Constants!$B$16)+IF($AH158,0,Constants!$B$17))</f>
        <v/>
      </c>
      <c r="BT158" s="139" t="str">
        <f aca="false">IF($BZ158&lt;&gt;Constants!$B$8,"",Constants!$B$20+SUM($BO158:$BS158))</f>
        <v/>
      </c>
      <c r="BU158" s="138" t="str">
        <f aca="false">IF($BZ158&lt;&gt;Constants!$B$8,"",$BO158)</f>
        <v/>
      </c>
      <c r="BV158" s="138" t="str">
        <f aca="false">IF($BZ158&lt;&gt;Constants!$B$8,"",$BP158)</f>
        <v/>
      </c>
      <c r="BW158" s="138" t="str">
        <f aca="false">IF($BZ158&lt;&gt;Constants!$B$8,"",IF($AT158,$AV158,""))</f>
        <v/>
      </c>
      <c r="BX158" s="140" t="str">
        <f aca="false">IF($BZ158&lt;&gt;Constants!$B$8,"",$AI158)</f>
        <v/>
      </c>
      <c r="BY158" s="135" t="str">
        <f aca="false">IF(ISBLANK($C158),"",IF(ISBLANK($D$7),$BY$5,IF(NOT(ISNUMBER($D$7)),$BY$6,"")))</f>
        <v/>
      </c>
      <c r="BZ158" s="135" t="str">
        <f aca="false">IF(ISBLANK($C158),"",IF($BA158,Constants!$B$11,IF(COUNTA($E158:$AA158)=0,Constants!$B$10,IF(NOT($AG158),Constants!$B$9,IF(OR($BY158&lt;&gt;"",$BB158,$BN158),Constants!$B$12,Constants!$B$8)))))</f>
        <v/>
      </c>
      <c r="CA158" s="135" t="str">
        <f aca="false">IF(ISBLANK($C158),"",IF($BZ158&lt;&gt;Constants!$B$8,$BZ158,Constants!$B$13))</f>
        <v/>
      </c>
      <c r="CB158" s="138" t="str">
        <f aca="false">IF($BZ158&lt;&gt;Constants!$B$8,"",IF($BM158="-&gt;",$BT158,$BH158))</f>
        <v/>
      </c>
      <c r="CC158" s="138" t="str">
        <f aca="false">IF($BZ158&lt;&gt;Constants!$B$8,"",IF($AF158,0,Constants!$B$18))</f>
        <v/>
      </c>
      <c r="CD158" s="138" t="str">
        <f aca="false">IF($BZ158&lt;&gt;Constants!$B$8,"",((Constants!$B$31-$AZ158)-Constants!$B$31)/Constants!$B$32)</f>
        <v/>
      </c>
      <c r="CE158" s="138" t="str">
        <f aca="false">IF(ISBLANK($C158),"",IF($BZ158&lt;&gt;Constants!$B$8,$BZ158,SUM($CB158:$CD158)))</f>
        <v/>
      </c>
      <c r="CF158" s="135" t="str">
        <f aca="false">IF(ISBLANK($C158),"",IF($BZ158&lt;&gt;Constants!$B$8,$BZ158,RANK($CE158,$CE$9:$CE$508,1)))</f>
        <v/>
      </c>
      <c r="CG158" s="138" t="str">
        <f aca="false">IF($BZ158&lt;&gt;Constants!$B$8,"",IF($BM158="-&gt;",$BU158,$BI158))</f>
        <v/>
      </c>
      <c r="CH158" s="135" t="str">
        <f aca="false">IF(ISBLANK($C158),"",IF($BZ158&lt;&gt;Constants!$B$8,$BZ158,IF(ISNUMBER($CG158),RANK($CG158,$CG$9:$CG$508,1),COUNT($CG$9:$CG$508)+1)))</f>
        <v/>
      </c>
      <c r="CI158" s="138" t="str">
        <f aca="false">IF($BZ158&lt;&gt;Constants!$B$8,"",IF($BM158="-&gt;",$BV158,$BJ158))</f>
        <v/>
      </c>
      <c r="CJ158" s="135" t="str">
        <f aca="false">IF(ISBLANK($C158),"",IF($BZ158&lt;&gt;Constants!$B$8,$BZ158,IF(ISNUMBER($CI158),RANK($CI158,$CI$9:$CI$508,1),COUNT($CI$9:$CI$508)+1)))</f>
        <v/>
      </c>
      <c r="CK158" s="138" t="str">
        <f aca="false">IF($BZ158&lt;&gt;Constants!$B$8,"",IF($BM158="-&gt;",$BW158,$BK158))</f>
        <v/>
      </c>
      <c r="CL158" s="135" t="str">
        <f aca="false">IF(ISBLANK($C158),"",IF($BZ158&lt;&gt;Constants!$B$8,$BZ158,IF(ISNUMBER($CK158),RANK($CK158,$CK$9:$CK$508,1),COUNT($CK$9:$CK$508)+1)))</f>
        <v/>
      </c>
      <c r="CM158" s="138" t="str">
        <f aca="false">IF($BZ158&lt;&gt;Constants!$B$8,"",IF(AND(NOT($AL158),NOT($AT158),$AJ158,$AK158,$AR158,$AS158),"",IF($BM158="-&gt;",$BX158,$BL158)))</f>
        <v/>
      </c>
      <c r="CN158" s="135" t="str">
        <f aca="false">IF(ISBLANK($C158),"",IF($BZ158&lt;&gt;Constants!$B$8,$BZ158,IF(ISNUMBER($CM158),RANK($CM158,$CM$9:$CM$508,1),COUNT($CM$9:$CM$508)+1)))</f>
        <v/>
      </c>
      <c r="CO158" s="135" t="str">
        <f aca="false">IF(ISBLANK($C158),"",IF($BZ158&lt;&gt;Constants!$B$8,$BZ158,COUNTIFS($CF$9:$CF$508,"&lt;"&amp;$CF158)+COUNTIFS($CF$9:$CF$508,$CF158,$CH$9:$CH$508,"&lt;"&amp;$CH158)+COUNTIFS($CF$9:$CF$508,$CF158,$CH$9:$CH$508,$CH158,$CJ$9:$CJ$508,"&lt;"&amp;$CJ158)+COUNTIFS($CF$9:$CF$508,$CF158,$CH$9:$CH$508,$CH158,$CJ$9:$CJ$508,$CJ158,$CL$9:$CL$508,"&lt;"&amp;$CL158)+COUNTIFS($CF$9:$CF$508,$CF158,$CH$9:$CH$508,$CH158,$CJ$9:$CJ$508,$CJ158,$CL$9:$CL$508,$CL158,$CN$9:$CN$508,"&lt;"&amp;$CN158)+1))</f>
        <v/>
      </c>
      <c r="CP158" s="135" t="str">
        <f aca="false">IF(ISBLANK($C158),"",IF($BZ158&lt;&gt;Constants!$B$8,$BZ158,$CF158-$CO158))</f>
        <v/>
      </c>
      <c r="CQ158" s="141"/>
      <c r="CR158" s="142"/>
      <c r="CS158" s="143" t="str">
        <f aca="false">IF(ISBLANK($C158),"",IF($BZ158=Constants!$B$12,$BY158,""))</f>
        <v/>
      </c>
      <c r="CT158" s="142" t="str">
        <f aca="false">IF(ISBLANK($C158),"",IF($BZ158&lt;&gt;Constants!$B$8,"",IF($BM158="-&gt;",2,1)))</f>
        <v/>
      </c>
      <c r="CU158" s="144" t="str">
        <f aca="false">IF(ISBLANK($C158),"",IF($BZ158&lt;&gt;Constants!$B$8,"",IF($BM158="-&gt;",$BO158,$BC158)))</f>
        <v/>
      </c>
      <c r="CV158" s="144" t="str">
        <f aca="false">IF(ISBLANK($C158),"",IF($BZ158&lt;&gt;Constants!$B$8,"",IF($BM158="-&gt;",$BP158,$BD158)))</f>
        <v/>
      </c>
      <c r="CW158" s="144" t="str">
        <f aca="false">IF(ISBLANK($C158),"",IF($BZ158&lt;&gt;Constants!$B$8,"",IF($BM158="-&gt;",$BQ158+$BR158,$BE158+$BF158)+$CD158))</f>
        <v/>
      </c>
      <c r="CX158" s="144" t="str">
        <f aca="false">IF(ISBLANK($C158),"",IF($BZ158&lt;&gt;Constants!$B$8,"",IF($BM158="-&gt;",$BS158,$BG158)+$CC158))</f>
        <v/>
      </c>
      <c r="CY158" s="145" t="str">
        <f aca="false">IF(ISBLANK($C158),"",IF($BZ158&lt;&gt;Constants!$B$8,$BZ158,$CE158))</f>
        <v/>
      </c>
      <c r="CZ158" s="146" t="str">
        <f aca="false">IF(ISBLANK($C158),"",$CA158)</f>
        <v/>
      </c>
      <c r="DA158" s="147" t="str">
        <f aca="false">IF(ISBLANK($C158),"",$CP158)</f>
        <v/>
      </c>
      <c r="DB158" s="147" t="str">
        <f aca="false">IF(ISBLANK($C158),"",$CO158)</f>
        <v/>
      </c>
      <c r="DC158" s="148" t="str">
        <f aca="false">IF(ISBLANK($C158),"",IFERROR(_xlfn.SWITCH($DB158,Constants!$B$11,COUNTA($C$9:$C$508)+2,Constants!$B$10,COUNTA($C$9:$C$508)+1,Constants!$B$9,COUNTA($C$9:$C$508)),$DB158))</f>
        <v/>
      </c>
      <c r="DD158" s="9"/>
      <c r="DE158" s="149" t="n">
        <f aca="false">IF(OR(ISNUMBER($DB158),$DB158=Constants!$B$11,$DB158=Constants!$B$9,$DB158=Constants!$B$10),1,0)</f>
        <v>0</v>
      </c>
      <c r="DF158" s="149" t="n">
        <v>150</v>
      </c>
      <c r="DG158" s="149" t="str">
        <f aca="false">IF(ISBLANK($C158),"",IF(ISNUMBER($DC158),$DC158+ROW($B158)/1000,""))</f>
        <v/>
      </c>
      <c r="DH158" s="149" t="str">
        <f aca="false">IF(ISNUMBER($DG158),RANK($DG158,$DG$9:$DG$508,1),"")</f>
        <v/>
      </c>
      <c r="DI158" s="149" t="str">
        <f aca="false">IF(ISBLANK($C158),"",$B158)</f>
        <v/>
      </c>
      <c r="DJ158" s="149" t="str">
        <f aca="false">IF(ISBLANK($C158),"",$C158)</f>
        <v/>
      </c>
      <c r="DK158" s="149" t="str">
        <f aca="false">IF(ISBLANK($C158),"",$D158)</f>
        <v/>
      </c>
      <c r="DL158" s="150" t="str">
        <f aca="false">$CZ158</f>
        <v/>
      </c>
      <c r="DM158" s="151" t="str">
        <f aca="false">$CY158</f>
        <v/>
      </c>
      <c r="DN158" s="149" t="str">
        <f aca="false">IF(ISBLANK($C158),"",$DB158)</f>
        <v/>
      </c>
      <c r="DO158" s="152" t="str">
        <f aca="false">IF($DF158&gt;$DE$8,"",VLOOKUP($DF158,$DH$9:$DN$508,7,FALSE()))</f>
        <v/>
      </c>
      <c r="DP158" s="153" t="str">
        <f aca="false">IF($DF158&gt;$DE$8,"",VLOOKUP($DF158,$DH$9:$DN$508,2,FALSE()))</f>
        <v/>
      </c>
      <c r="DQ158" s="153" t="str">
        <f aca="false">IF($DF158&gt;$DE$8,"",VLOOKUP($DF158,$DH$9:$DN$508,3,FALSE()))</f>
        <v/>
      </c>
      <c r="DR158" s="153" t="str">
        <f aca="false">IF($DF158&gt;$DE$8,"",VLOOKUP($DF158,$DH$9:$DN$508,4,FALSE()))</f>
        <v/>
      </c>
      <c r="DS158" s="153" t="str">
        <f aca="false">IF($DF158&gt;$DE$8,"",VLOOKUP($DF158,$DH$9:$DN$508,5,FALSE()))</f>
        <v/>
      </c>
      <c r="DT158" s="154" t="str">
        <f aca="false">IF($DF158&gt;$DE$8,"",VLOOKUP($DF158,$DH$9:$DN$508,6,FALSE()))</f>
        <v/>
      </c>
      <c r="DU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IF(ISBLANK($C159),"",IF(E159=Constants!$B$3,TRUE(),IF(E159=Constants!$B$4,FALSE(),TRUE())))</f>
        <v/>
      </c>
      <c r="AG159" s="93" t="str">
        <f aca="false">IF(ISBLANK($C159),"",IF(F159=Constants!$B$3,TRUE(),IF(F159=Constants!$B$4,FALSE(),TRUE())))</f>
        <v/>
      </c>
      <c r="AH159" s="93" t="str">
        <f aca="false">IF(ISBLANK($C159),"",IF(G159=Constants!$B$3,TRUE(),IF(G159=Constants!$B$4,FALSE(),TRUE())))</f>
        <v/>
      </c>
      <c r="AI159" s="93" t="str">
        <f aca="false">IF(ISBLANK($C159),"",IF(AND(ISNUMBER(H159),H159&gt;=0),H159,Constants!$B$29))</f>
        <v/>
      </c>
      <c r="AJ159" s="93" t="str">
        <f aca="false">IF(ISBLANK($C159),"",IF(I159=Constants!$B$3,TRUE(),IF(I159=Constants!$B$4,FALSE(),TRUE())))</f>
        <v/>
      </c>
      <c r="AK159" s="93" t="str">
        <f aca="false">IF(ISBLANK($C159),"",IF(J159=Constants!$B$3,TRUE(),IF(J159=Constants!$B$4,FALSE(),TRUE())))</f>
        <v/>
      </c>
      <c r="AL159" s="93" t="str">
        <f aca="false">IF(ISBLANK($C159),"",IF(K159=Constants!$B$5,TRUE(),IF(K159=Constants!$B$6,FALSE(),COUNTA(L159:P159)&gt;0)))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IF(ISBLANK($C159),"",IF(N159=Constants!$B$3,TRUE(),IF(N159=Constants!$B$4,FALSE(),TRUE())))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IF(ISBLANK($C159),"",IF(P159=Constants!$B$3,TRUE(),IF(P159=Constants!$B$4,FALSE(),FALSE())))</f>
        <v/>
      </c>
      <c r="AR159" s="93" t="str">
        <f aca="false">IF(ISBLANK($C159),"",IF(Q159=Constants!$B$3,TRUE(),IF(Q159=Constants!$B$4,FALSE(),TRUE())))</f>
        <v/>
      </c>
      <c r="AS159" s="93" t="str">
        <f aca="false">IF(ISBLANK($C159),"",IF(R159=Constants!$B$3,TRUE(),IF(R159=Constants!$B$4,FALSE(),TRUE())))</f>
        <v/>
      </c>
      <c r="AT159" s="93" t="str">
        <f aca="false">IF(ISBLANK($C159),"",IF(S159=Constants!$B$5,TRUE(),IF(S159=Constants!$B$6,FALSE(),COUNTA(T159:X159)&gt;0)))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IF(ISBLANK($C159),"",IF(V159=Constants!$B$3,TRUE(),IF(V159=Constants!$B$4,FALSE(),TRUE())))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IF(ISBLANK($C159),"",IF(X159=Constants!$B$3,TRUE(),IF(X159=Constants!$B$4,FALSE(),FALSE())))</f>
        <v/>
      </c>
      <c r="AZ159" s="93" t="str">
        <f aca="false">IF(ISBLANK($C159),"",MIN(Constants!$B$31,MAX(0,IF(ISNUMBER(Y159),Y159*60,0)+IF(ISNUMBER(Z159),Z159,0))))</f>
        <v/>
      </c>
      <c r="BA159" s="93" t="str">
        <f aca="false">IF(ISBLANK($C159),"",IF(AA159=Constants!$B$3,TRUE(),IF(AA159=Constants!$B$4,FALSE(),FALSE())))</f>
        <v/>
      </c>
      <c r="BB159" s="92" t="str">
        <f aca="false">IF(ISBLANK($C159),"",AND($AL159,OR($AM159="",$AN159="",AND($AO159,$AP159=""))))</f>
        <v/>
      </c>
      <c r="BC159" s="94" t="str">
        <f aca="false">IF($BZ159&lt;&gt;Constants!$B$8,"",IF($AL159,Constants!$B$21*$AN159+Constants!$B$22*IF($AO159,$AP159,Constants!$B$23),Constants!$B$24))</f>
        <v/>
      </c>
      <c r="BD159" s="97" t="str">
        <f aca="false">IF($BZ159&lt;&gt;Constants!$B$8,"",Constants!$B$25*ABS($AD$9-IF($AL159,$AM159,0)))</f>
        <v/>
      </c>
      <c r="BE159" s="97" t="str">
        <f aca="false">IF($BZ159&lt;&gt;Constants!$B$8,"",IF(AND($AL159,$AQ159,$AO159),Constants!$B$27,0))</f>
        <v/>
      </c>
      <c r="BF159" s="97" t="str">
        <f aca="false">IF($BZ159&lt;&gt;Constants!$B$8,"",IF($AL159,($AI159-Constants!$B$29)*Constants!$B$28,0))</f>
        <v/>
      </c>
      <c r="BG159" s="97" t="str">
        <f aca="false">IF($BZ159&lt;&gt;Constants!$B$8,"",IF($AK159,0,Constants!$B$15)+IF($AJ159,0,Constants!$B$16)+IF($AH159,0,Constants!$B$17))</f>
        <v/>
      </c>
      <c r="BH159" s="98" t="str">
        <f aca="false">IF($BZ159&lt;&gt;Constants!$B$8,"",Constants!$B$20+SUM($BC159:$BG159))</f>
        <v/>
      </c>
      <c r="BI159" s="97" t="str">
        <f aca="false">IF($BZ159&lt;&gt;Constants!$B$8,"",$BC159)</f>
        <v/>
      </c>
      <c r="BJ159" s="97" t="str">
        <f aca="false">IF($BZ159&lt;&gt;Constants!$B$8,"",$BD159)</f>
        <v/>
      </c>
      <c r="BK159" s="97" t="str">
        <f aca="false">IF($BZ159&lt;&gt;Constants!$B$8,"",IF($AL159,$AN159,""))</f>
        <v/>
      </c>
      <c r="BL159" s="99" t="str">
        <f aca="false">IF($BZ159&lt;&gt;Constants!$B$8,"",$AI159)</f>
        <v/>
      </c>
      <c r="BM159" s="93" t="str">
        <f aca="false">IF($BZ159&lt;&gt;Constants!$B$8,"",IF(OR($BT159&lt;$BH159,AND($BT159=$BH159,OR($BU159&lt;$BI159,AND($BU159=$BI159,OR($BV159&lt;$BJ159,AND($BV159=$BJ159,OR(AND(ISNUMBER($BW159),OR(NOT(ISNUMBER($BK159)),$BW159&lt;$BK159)),AND(OR(AND($BW159="",$BK159=""),AND(ISNUMBER($BW159),ISNUMBER($BK159),$BW159=$BK159)),$BX159&lt;$BL159)))))))),"-&gt;","&lt;-"))</f>
        <v/>
      </c>
      <c r="BN159" s="92" t="str">
        <f aca="false">IF(ISBLANK($C159),"",AND($AT159,OR($AU159="",$AV159="",AND($AW159,$AX159=""))))</f>
        <v/>
      </c>
      <c r="BO159" s="94" t="str">
        <f aca="false">IF($BZ159&lt;&gt;Constants!$B$8,"",IF($AT159,Constants!$B$21*$AV159+Constants!$B$22*IF($AW159,$AX159,Constants!$B$23),Constants!$B$24))</f>
        <v/>
      </c>
      <c r="BP159" s="97" t="str">
        <f aca="false">IF($BZ159&lt;&gt;Constants!$B$8,"",Constants!$B$25*ABS($AD$9-IF($AT159,$AU159,0)))</f>
        <v/>
      </c>
      <c r="BQ159" s="97" t="str">
        <f aca="false">IF($BZ159&lt;&gt;Constants!$B$8,"",IF(AND($AT159,$AY159,$AW159),Constants!$B$27,0))</f>
        <v/>
      </c>
      <c r="BR159" s="97" t="str">
        <f aca="false">IF($BZ159&lt;&gt;Constants!$B$8,"",IF($AT159,($AI159-Constants!$B$29)*Constants!$B$28,0))</f>
        <v/>
      </c>
      <c r="BS159" s="97" t="str">
        <f aca="false">IF($BZ159&lt;&gt;Constants!$B$8,"",IF($AS159,0,Constants!$B$15)+IF($AR159,0,Constants!$B$16)+IF($AH159,0,Constants!$B$17))</f>
        <v/>
      </c>
      <c r="BT159" s="98" t="str">
        <f aca="false">IF($BZ159&lt;&gt;Constants!$B$8,"",Constants!$B$20+SUM($BO159:$BS159))</f>
        <v/>
      </c>
      <c r="BU159" s="97" t="str">
        <f aca="false">IF($BZ159&lt;&gt;Constants!$B$8,"",$BO159)</f>
        <v/>
      </c>
      <c r="BV159" s="97" t="str">
        <f aca="false">IF($BZ159&lt;&gt;Constants!$B$8,"",$BP159)</f>
        <v/>
      </c>
      <c r="BW159" s="97" t="str">
        <f aca="false">IF($BZ159&lt;&gt;Constants!$B$8,"",IF($AT159,$AV159,""))</f>
        <v/>
      </c>
      <c r="BX159" s="99" t="str">
        <f aca="false">IF($BZ159&lt;&gt;Constants!$B$8,"",$AI159)</f>
        <v/>
      </c>
      <c r="BY159" s="93" t="str">
        <f aca="false">IF(ISBLANK($C159),"",IF(ISBLANK($D$7),$BY$5,IF(NOT(ISNUMBER($D$7)),$BY$6,"")))</f>
        <v/>
      </c>
      <c r="BZ159" s="93" t="str">
        <f aca="false">IF(ISBLANK($C159),"",IF($BA159,Constants!$B$11,IF(COUNTA($E159:$AA159)=0,Constants!$B$10,IF(NOT($AG159),Constants!$B$9,IF(OR($BY159&lt;&gt;"",$BB159,$BN159),Constants!$B$12,Constants!$B$8)))))</f>
        <v/>
      </c>
      <c r="CA159" s="93" t="str">
        <f aca="false">IF(ISBLANK($C159),"",IF($BZ159&lt;&gt;Constants!$B$8,$BZ159,Constants!$B$13))</f>
        <v/>
      </c>
      <c r="CB159" s="97" t="str">
        <f aca="false">IF($BZ159&lt;&gt;Constants!$B$8,"",IF($BM159="-&gt;",$BT159,$BH159))</f>
        <v/>
      </c>
      <c r="CC159" s="97" t="str">
        <f aca="false">IF($BZ159&lt;&gt;Constants!$B$8,"",IF($AF159,0,Constants!$B$18))</f>
        <v/>
      </c>
      <c r="CD159" s="97" t="str">
        <f aca="false">IF($BZ159&lt;&gt;Constants!$B$8,"",((Constants!$B$31-$AZ159)-Constants!$B$31)/Constants!$B$32)</f>
        <v/>
      </c>
      <c r="CE159" s="97" t="str">
        <f aca="false">IF(ISBLANK($C159),"",IF($BZ159&lt;&gt;Constants!$B$8,$BZ159,SUM($CB159:$CD159)))</f>
        <v/>
      </c>
      <c r="CF159" s="93" t="str">
        <f aca="false">IF(ISBLANK($C159),"",IF($BZ159&lt;&gt;Constants!$B$8,$BZ159,RANK($CE159,$CE$9:$CE$508,1)))</f>
        <v/>
      </c>
      <c r="CG159" s="97" t="str">
        <f aca="false">IF($BZ159&lt;&gt;Constants!$B$8,"",IF($BM159="-&gt;",$BU159,$BI159))</f>
        <v/>
      </c>
      <c r="CH159" s="93" t="str">
        <f aca="false">IF(ISBLANK($C159),"",IF($BZ159&lt;&gt;Constants!$B$8,$BZ159,IF(ISNUMBER($CG159),RANK($CG159,$CG$9:$CG$508,1),COUNT($CG$9:$CG$508)+1)))</f>
        <v/>
      </c>
      <c r="CI159" s="97" t="str">
        <f aca="false">IF($BZ159&lt;&gt;Constants!$B$8,"",IF($BM159="-&gt;",$BV159,$BJ159))</f>
        <v/>
      </c>
      <c r="CJ159" s="93" t="str">
        <f aca="false">IF(ISBLANK($C159),"",IF($BZ159&lt;&gt;Constants!$B$8,$BZ159,IF(ISNUMBER($CI159),RANK($CI159,$CI$9:$CI$508,1),COUNT($CI$9:$CI$508)+1)))</f>
        <v/>
      </c>
      <c r="CK159" s="97" t="str">
        <f aca="false">IF($BZ159&lt;&gt;Constants!$B$8,"",IF($BM159="-&gt;",$BW159,$BK159))</f>
        <v/>
      </c>
      <c r="CL159" s="93" t="str">
        <f aca="false">IF(ISBLANK($C159),"",IF($BZ159&lt;&gt;Constants!$B$8,$BZ159,IF(ISNUMBER($CK159),RANK($CK159,$CK$9:$CK$508,1),COUNT($CK$9:$CK$508)+1)))</f>
        <v/>
      </c>
      <c r="CM159" s="97" t="str">
        <f aca="false">IF($BZ159&lt;&gt;Constants!$B$8,"",IF(AND(NOT($AL159),NOT($AT159),$AJ159,$AK159,$AR159,$AS159),"",IF($BM159="-&gt;",$BX159,$BL159)))</f>
        <v/>
      </c>
      <c r="CN159" s="93" t="str">
        <f aca="false">IF(ISBLANK($C159),"",IF($BZ159&lt;&gt;Constants!$B$8,$BZ159,IF(ISNUMBER($CM159),RANK($CM159,$CM$9:$CM$508,1),COUNT($CM$9:$CM$508)+1)))</f>
        <v/>
      </c>
      <c r="CO159" s="93" t="str">
        <f aca="false">IF(ISBLANK($C159),"",IF($BZ159&lt;&gt;Constants!$B$8,$BZ159,COUNTIFS($CF$9:$CF$508,"&lt;"&amp;$CF159)+COUNTIFS($CF$9:$CF$508,$CF159,$CH$9:$CH$508,"&lt;"&amp;$CH159)+COUNTIFS($CF$9:$CF$508,$CF159,$CH$9:$CH$508,$CH159,$CJ$9:$CJ$508,"&lt;"&amp;$CJ159)+COUNTIFS($CF$9:$CF$508,$CF159,$CH$9:$CH$508,$CH159,$CJ$9:$CJ$508,$CJ159,$CL$9:$CL$508,"&lt;"&amp;$CL159)+COUNTIFS($CF$9:$CF$508,$CF159,$CH$9:$CH$508,$CH159,$CJ$9:$CJ$508,$CJ159,$CL$9:$CL$508,$CL159,$CN$9:$CN$508,"&lt;"&amp;$CN159)+1))</f>
        <v/>
      </c>
      <c r="CP159" s="93" t="str">
        <f aca="false">IF(ISBLANK($C159),"",IF($BZ159&lt;&gt;Constants!$B$8,$BZ159,$CF159-$CO159))</f>
        <v/>
      </c>
      <c r="CQ159" s="100"/>
      <c r="CR159" s="101"/>
      <c r="CS159" s="102" t="str">
        <f aca="false">IF(ISBLANK($C159),"",IF($BZ159=Constants!$B$12,$BY159,""))</f>
        <v/>
      </c>
      <c r="CT159" s="101" t="str">
        <f aca="false">IF(ISBLANK($C159),"",IF($BZ159&lt;&gt;Constants!$B$8,"",IF($BM159="-&gt;",2,1)))</f>
        <v/>
      </c>
      <c r="CU159" s="103" t="str">
        <f aca="false">IF(ISBLANK($C159),"",IF($BZ159&lt;&gt;Constants!$B$8,"",IF($BM159="-&gt;",$BO159,$BC159)))</f>
        <v/>
      </c>
      <c r="CV159" s="103" t="str">
        <f aca="false">IF(ISBLANK($C159),"",IF($BZ159&lt;&gt;Constants!$B$8,"",IF($BM159="-&gt;",$BP159,$BD159)))</f>
        <v/>
      </c>
      <c r="CW159" s="103" t="str">
        <f aca="false">IF(ISBLANK($C159),"",IF($BZ159&lt;&gt;Constants!$B$8,"",IF($BM159="-&gt;",$BQ159+$BR159,$BE159+$BF159)+$CD159))</f>
        <v/>
      </c>
      <c r="CX159" s="103" t="str">
        <f aca="false">IF(ISBLANK($C159),"",IF($BZ159&lt;&gt;Constants!$B$8,"",IF($BM159="-&gt;",$BS159,$BG159)+$CC159))</f>
        <v/>
      </c>
      <c r="CY159" s="104" t="str">
        <f aca="false">IF(ISBLANK($C159),"",IF($BZ159&lt;&gt;Constants!$B$8,$BZ159,$CE159))</f>
        <v/>
      </c>
      <c r="CZ159" s="105" t="str">
        <f aca="false">IF(ISBLANK($C159),"",$CA159)</f>
        <v/>
      </c>
      <c r="DA159" s="106" t="str">
        <f aca="false">IF(ISBLANK($C159),"",$CP159)</f>
        <v/>
      </c>
      <c r="DB159" s="106" t="str">
        <f aca="false">IF(ISBLANK($C159),"",$CO159)</f>
        <v/>
      </c>
      <c r="DC159" s="107" t="str">
        <f aca="false">IF(ISBLANK($C159),"",IFERROR(_xlfn.SWITCH($DB159,Constants!$B$11,COUNTA($C$9:$C$508)+2,Constants!$B$10,COUNTA($C$9:$C$508)+1,Constants!$B$9,COUNTA($C$9:$C$508)),$DB159))</f>
        <v/>
      </c>
      <c r="DD159" s="9"/>
      <c r="DE159" s="108" t="n">
        <f aca="false">IF(OR(ISNUMBER($DB159),$DB159=Constants!$B$11,$DB159=Constants!$B$9,$DB159=Constants!$B$10),1,0)</f>
        <v>0</v>
      </c>
      <c r="DF159" s="108" t="n">
        <v>151</v>
      </c>
      <c r="DG159" s="108" t="str">
        <f aca="false">IF(ISBLANK($C159),"",IF(ISNUMBER($DC159),$DC159+ROW($B159)/1000,""))</f>
        <v/>
      </c>
      <c r="DH159" s="108" t="str">
        <f aca="false">IF(ISNUMBER($DG159),RANK($DG159,$DG$9:$DG$508,1),"")</f>
        <v/>
      </c>
      <c r="DI159" s="108" t="str">
        <f aca="false">IF(ISBLANK($C159),"",$B159)</f>
        <v/>
      </c>
      <c r="DJ159" s="108" t="str">
        <f aca="false">IF(ISBLANK($C159),"",$C159)</f>
        <v/>
      </c>
      <c r="DK159" s="108" t="str">
        <f aca="false">IF(ISBLANK($C159),"",$D159)</f>
        <v/>
      </c>
      <c r="DL159" s="109" t="str">
        <f aca="false">$CZ159</f>
        <v/>
      </c>
      <c r="DM159" s="110" t="str">
        <f aca="false">$CY159</f>
        <v/>
      </c>
      <c r="DN159" s="108" t="str">
        <f aca="false">IF(ISBLANK($C159),"",$DB159)</f>
        <v/>
      </c>
      <c r="DO159" s="111" t="str">
        <f aca="false">IF($DF159&gt;$DE$8,"",VLOOKUP($DF159,$DH$9:$DN$508,7,FALSE()))</f>
        <v/>
      </c>
      <c r="DP159" s="112" t="str">
        <f aca="false">IF($DF159&gt;$DE$8,"",VLOOKUP($DF159,$DH$9:$DN$508,2,FALSE()))</f>
        <v/>
      </c>
      <c r="DQ159" s="112" t="str">
        <f aca="false">IF($DF159&gt;$DE$8,"",VLOOKUP($DF159,$DH$9:$DN$508,3,FALSE()))</f>
        <v/>
      </c>
      <c r="DR159" s="112" t="str">
        <f aca="false">IF($DF159&gt;$DE$8,"",VLOOKUP($DF159,$DH$9:$DN$508,4,FALSE()))</f>
        <v/>
      </c>
      <c r="DS159" s="112" t="str">
        <f aca="false">IF($DF159&gt;$DE$8,"",VLOOKUP($DF159,$DH$9:$DN$508,5,FALSE()))</f>
        <v/>
      </c>
      <c r="DT159" s="113" t="str">
        <f aca="false">IF($DF159&gt;$DE$8,"",VLOOKUP($DF159,$DH$9:$DN$508,6,FALSE()))</f>
        <v/>
      </c>
      <c r="DU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IF(ISBLANK($C160),"",IF(E160=Constants!$B$3,TRUE(),IF(E160=Constants!$B$4,FALSE(),TRUE())))</f>
        <v/>
      </c>
      <c r="AG160" s="93" t="str">
        <f aca="false">IF(ISBLANK($C160),"",IF(F160=Constants!$B$3,TRUE(),IF(F160=Constants!$B$4,FALSE(),TRUE())))</f>
        <v/>
      </c>
      <c r="AH160" s="93" t="str">
        <f aca="false">IF(ISBLANK($C160),"",IF(G160=Constants!$B$3,TRUE(),IF(G160=Constants!$B$4,FALSE(),TRUE())))</f>
        <v/>
      </c>
      <c r="AI160" s="93" t="str">
        <f aca="false">IF(ISBLANK($C160),"",IF(AND(ISNUMBER(H160),H160&gt;=0),H160,Constants!$B$29))</f>
        <v/>
      </c>
      <c r="AJ160" s="93" t="str">
        <f aca="false">IF(ISBLANK($C160),"",IF(I160=Constants!$B$3,TRUE(),IF(I160=Constants!$B$4,FALSE(),TRUE())))</f>
        <v/>
      </c>
      <c r="AK160" s="93" t="str">
        <f aca="false">IF(ISBLANK($C160),"",IF(J160=Constants!$B$3,TRUE(),IF(J160=Constants!$B$4,FALSE(),TRUE())))</f>
        <v/>
      </c>
      <c r="AL160" s="93" t="str">
        <f aca="false">IF(ISBLANK($C160),"",IF(K160=Constants!$B$5,TRUE(),IF(K160=Constants!$B$6,FALSE(),COUNTA(L160:P160)&gt;0)))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IF(ISBLANK($C160),"",IF(N160=Constants!$B$3,TRUE(),IF(N160=Constants!$B$4,FALSE(),TRUE())))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IF(ISBLANK($C160),"",IF(P160=Constants!$B$3,TRUE(),IF(P160=Constants!$B$4,FALSE(),FALSE())))</f>
        <v/>
      </c>
      <c r="AR160" s="93" t="str">
        <f aca="false">IF(ISBLANK($C160),"",IF(Q160=Constants!$B$3,TRUE(),IF(Q160=Constants!$B$4,FALSE(),TRUE())))</f>
        <v/>
      </c>
      <c r="AS160" s="93" t="str">
        <f aca="false">IF(ISBLANK($C160),"",IF(R160=Constants!$B$3,TRUE(),IF(R160=Constants!$B$4,FALSE(),TRUE())))</f>
        <v/>
      </c>
      <c r="AT160" s="93" t="str">
        <f aca="false">IF(ISBLANK($C160),"",IF(S160=Constants!$B$5,TRUE(),IF(S160=Constants!$B$6,FALSE(),COUNTA(T160:X160)&gt;0)))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IF(ISBLANK($C160),"",IF(V160=Constants!$B$3,TRUE(),IF(V160=Constants!$B$4,FALSE(),TRUE())))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IF(ISBLANK($C160),"",IF(X160=Constants!$B$3,TRUE(),IF(X160=Constants!$B$4,FALSE(),FALSE())))</f>
        <v/>
      </c>
      <c r="AZ160" s="93" t="str">
        <f aca="false">IF(ISBLANK($C160),"",MIN(Constants!$B$31,MAX(0,IF(ISNUMBER(Y160),Y160*60,0)+IF(ISNUMBER(Z160),Z160,0))))</f>
        <v/>
      </c>
      <c r="BA160" s="93" t="str">
        <f aca="false">IF(ISBLANK($C160),"",IF(AA160=Constants!$B$3,TRUE(),IF(AA160=Constants!$B$4,FALSE(),FALSE())))</f>
        <v/>
      </c>
      <c r="BB160" s="92" t="str">
        <f aca="false">IF(ISBLANK($C160),"",AND($AL160,OR($AM160="",$AN160="",AND($AO160,$AP160=""))))</f>
        <v/>
      </c>
      <c r="BC160" s="94" t="str">
        <f aca="false">IF($BZ160&lt;&gt;Constants!$B$8,"",IF($AL160,Constants!$B$21*$AN160+Constants!$B$22*IF($AO160,$AP160,Constants!$B$23),Constants!$B$24))</f>
        <v/>
      </c>
      <c r="BD160" s="97" t="str">
        <f aca="false">IF($BZ160&lt;&gt;Constants!$B$8,"",Constants!$B$25*ABS($AD$9-IF($AL160,$AM160,0)))</f>
        <v/>
      </c>
      <c r="BE160" s="97" t="str">
        <f aca="false">IF($BZ160&lt;&gt;Constants!$B$8,"",IF(AND($AL160,$AQ160,$AO160),Constants!$B$27,0))</f>
        <v/>
      </c>
      <c r="BF160" s="97" t="str">
        <f aca="false">IF($BZ160&lt;&gt;Constants!$B$8,"",IF($AL160,($AI160-Constants!$B$29)*Constants!$B$28,0))</f>
        <v/>
      </c>
      <c r="BG160" s="97" t="str">
        <f aca="false">IF($BZ160&lt;&gt;Constants!$B$8,"",IF($AK160,0,Constants!$B$15)+IF($AJ160,0,Constants!$B$16)+IF($AH160,0,Constants!$B$17))</f>
        <v/>
      </c>
      <c r="BH160" s="98" t="str">
        <f aca="false">IF($BZ160&lt;&gt;Constants!$B$8,"",Constants!$B$20+SUM($BC160:$BG160))</f>
        <v/>
      </c>
      <c r="BI160" s="97" t="str">
        <f aca="false">IF($BZ160&lt;&gt;Constants!$B$8,"",$BC160)</f>
        <v/>
      </c>
      <c r="BJ160" s="97" t="str">
        <f aca="false">IF($BZ160&lt;&gt;Constants!$B$8,"",$BD160)</f>
        <v/>
      </c>
      <c r="BK160" s="97" t="str">
        <f aca="false">IF($BZ160&lt;&gt;Constants!$B$8,"",IF($AL160,$AN160,""))</f>
        <v/>
      </c>
      <c r="BL160" s="99" t="str">
        <f aca="false">IF($BZ160&lt;&gt;Constants!$B$8,"",$AI160)</f>
        <v/>
      </c>
      <c r="BM160" s="93" t="str">
        <f aca="false">IF($BZ160&lt;&gt;Constants!$B$8,"",IF(OR($BT160&lt;$BH160,AND($BT160=$BH160,OR($BU160&lt;$BI160,AND($BU160=$BI160,OR($BV160&lt;$BJ160,AND($BV160=$BJ160,OR(AND(ISNUMBER($BW160),OR(NOT(ISNUMBER($BK160)),$BW160&lt;$BK160)),AND(OR(AND($BW160="",$BK160=""),AND(ISNUMBER($BW160),ISNUMBER($BK160),$BW160=$BK160)),$BX160&lt;$BL160)))))))),"-&gt;","&lt;-"))</f>
        <v/>
      </c>
      <c r="BN160" s="92" t="str">
        <f aca="false">IF(ISBLANK($C160),"",AND($AT160,OR($AU160="",$AV160="",AND($AW160,$AX160=""))))</f>
        <v/>
      </c>
      <c r="BO160" s="94" t="str">
        <f aca="false">IF($BZ160&lt;&gt;Constants!$B$8,"",IF($AT160,Constants!$B$21*$AV160+Constants!$B$22*IF($AW160,$AX160,Constants!$B$23),Constants!$B$24))</f>
        <v/>
      </c>
      <c r="BP160" s="97" t="str">
        <f aca="false">IF($BZ160&lt;&gt;Constants!$B$8,"",Constants!$B$25*ABS($AD$9-IF($AT160,$AU160,0)))</f>
        <v/>
      </c>
      <c r="BQ160" s="97" t="str">
        <f aca="false">IF($BZ160&lt;&gt;Constants!$B$8,"",IF(AND($AT160,$AY160,$AW160),Constants!$B$27,0))</f>
        <v/>
      </c>
      <c r="BR160" s="97" t="str">
        <f aca="false">IF($BZ160&lt;&gt;Constants!$B$8,"",IF($AT160,($AI160-Constants!$B$29)*Constants!$B$28,0))</f>
        <v/>
      </c>
      <c r="BS160" s="97" t="str">
        <f aca="false">IF($BZ160&lt;&gt;Constants!$B$8,"",IF($AS160,0,Constants!$B$15)+IF($AR160,0,Constants!$B$16)+IF($AH160,0,Constants!$B$17))</f>
        <v/>
      </c>
      <c r="BT160" s="98" t="str">
        <f aca="false">IF($BZ160&lt;&gt;Constants!$B$8,"",Constants!$B$20+SUM($BO160:$BS160))</f>
        <v/>
      </c>
      <c r="BU160" s="97" t="str">
        <f aca="false">IF($BZ160&lt;&gt;Constants!$B$8,"",$BO160)</f>
        <v/>
      </c>
      <c r="BV160" s="97" t="str">
        <f aca="false">IF($BZ160&lt;&gt;Constants!$B$8,"",$BP160)</f>
        <v/>
      </c>
      <c r="BW160" s="97" t="str">
        <f aca="false">IF($BZ160&lt;&gt;Constants!$B$8,"",IF($AT160,$AV160,""))</f>
        <v/>
      </c>
      <c r="BX160" s="99" t="str">
        <f aca="false">IF($BZ160&lt;&gt;Constants!$B$8,"",$AI160)</f>
        <v/>
      </c>
      <c r="BY160" s="93" t="str">
        <f aca="false">IF(ISBLANK($C160),"",IF(ISBLANK($D$7),$BY$5,IF(NOT(ISNUMBER($D$7)),$BY$6,"")))</f>
        <v/>
      </c>
      <c r="BZ160" s="93" t="str">
        <f aca="false">IF(ISBLANK($C160),"",IF($BA160,Constants!$B$11,IF(COUNTA($E160:$AA160)=0,Constants!$B$10,IF(NOT($AG160),Constants!$B$9,IF(OR($BY160&lt;&gt;"",$BB160,$BN160),Constants!$B$12,Constants!$B$8)))))</f>
        <v/>
      </c>
      <c r="CA160" s="93" t="str">
        <f aca="false">IF(ISBLANK($C160),"",IF($BZ160&lt;&gt;Constants!$B$8,$BZ160,Constants!$B$13))</f>
        <v/>
      </c>
      <c r="CB160" s="97" t="str">
        <f aca="false">IF($BZ160&lt;&gt;Constants!$B$8,"",IF($BM160="-&gt;",$BT160,$BH160))</f>
        <v/>
      </c>
      <c r="CC160" s="97" t="str">
        <f aca="false">IF($BZ160&lt;&gt;Constants!$B$8,"",IF($AF160,0,Constants!$B$18))</f>
        <v/>
      </c>
      <c r="CD160" s="97" t="str">
        <f aca="false">IF($BZ160&lt;&gt;Constants!$B$8,"",((Constants!$B$31-$AZ160)-Constants!$B$31)/Constants!$B$32)</f>
        <v/>
      </c>
      <c r="CE160" s="97" t="str">
        <f aca="false">IF(ISBLANK($C160),"",IF($BZ160&lt;&gt;Constants!$B$8,$BZ160,SUM($CB160:$CD160)))</f>
        <v/>
      </c>
      <c r="CF160" s="93" t="str">
        <f aca="false">IF(ISBLANK($C160),"",IF($BZ160&lt;&gt;Constants!$B$8,$BZ160,RANK($CE160,$CE$9:$CE$508,1)))</f>
        <v/>
      </c>
      <c r="CG160" s="97" t="str">
        <f aca="false">IF($BZ160&lt;&gt;Constants!$B$8,"",IF($BM160="-&gt;",$BU160,$BI160))</f>
        <v/>
      </c>
      <c r="CH160" s="93" t="str">
        <f aca="false">IF(ISBLANK($C160),"",IF($BZ160&lt;&gt;Constants!$B$8,$BZ160,IF(ISNUMBER($CG160),RANK($CG160,$CG$9:$CG$508,1),COUNT($CG$9:$CG$508)+1)))</f>
        <v/>
      </c>
      <c r="CI160" s="97" t="str">
        <f aca="false">IF($BZ160&lt;&gt;Constants!$B$8,"",IF($BM160="-&gt;",$BV160,$BJ160))</f>
        <v/>
      </c>
      <c r="CJ160" s="93" t="str">
        <f aca="false">IF(ISBLANK($C160),"",IF($BZ160&lt;&gt;Constants!$B$8,$BZ160,IF(ISNUMBER($CI160),RANK($CI160,$CI$9:$CI$508,1),COUNT($CI$9:$CI$508)+1)))</f>
        <v/>
      </c>
      <c r="CK160" s="97" t="str">
        <f aca="false">IF($BZ160&lt;&gt;Constants!$B$8,"",IF($BM160="-&gt;",$BW160,$BK160))</f>
        <v/>
      </c>
      <c r="CL160" s="93" t="str">
        <f aca="false">IF(ISBLANK($C160),"",IF($BZ160&lt;&gt;Constants!$B$8,$BZ160,IF(ISNUMBER($CK160),RANK($CK160,$CK$9:$CK$508,1),COUNT($CK$9:$CK$508)+1)))</f>
        <v/>
      </c>
      <c r="CM160" s="97" t="str">
        <f aca="false">IF($BZ160&lt;&gt;Constants!$B$8,"",IF(AND(NOT($AL160),NOT($AT160),$AJ160,$AK160,$AR160,$AS160),"",IF($BM160="-&gt;",$BX160,$BL160)))</f>
        <v/>
      </c>
      <c r="CN160" s="93" t="str">
        <f aca="false">IF(ISBLANK($C160),"",IF($BZ160&lt;&gt;Constants!$B$8,$BZ160,IF(ISNUMBER($CM160),RANK($CM160,$CM$9:$CM$508,1),COUNT($CM$9:$CM$508)+1)))</f>
        <v/>
      </c>
      <c r="CO160" s="93" t="str">
        <f aca="false">IF(ISBLANK($C160),"",IF($BZ160&lt;&gt;Constants!$B$8,$BZ160,COUNTIFS($CF$9:$CF$508,"&lt;"&amp;$CF160)+COUNTIFS($CF$9:$CF$508,$CF160,$CH$9:$CH$508,"&lt;"&amp;$CH160)+COUNTIFS($CF$9:$CF$508,$CF160,$CH$9:$CH$508,$CH160,$CJ$9:$CJ$508,"&lt;"&amp;$CJ160)+COUNTIFS($CF$9:$CF$508,$CF160,$CH$9:$CH$508,$CH160,$CJ$9:$CJ$508,$CJ160,$CL$9:$CL$508,"&lt;"&amp;$CL160)+COUNTIFS($CF$9:$CF$508,$CF160,$CH$9:$CH$508,$CH160,$CJ$9:$CJ$508,$CJ160,$CL$9:$CL$508,$CL160,$CN$9:$CN$508,"&lt;"&amp;$CN160)+1))</f>
        <v/>
      </c>
      <c r="CP160" s="93" t="str">
        <f aca="false">IF(ISBLANK($C160),"",IF($BZ160&lt;&gt;Constants!$B$8,$BZ160,$CF160-$CO160))</f>
        <v/>
      </c>
      <c r="CQ160" s="100"/>
      <c r="CR160" s="101"/>
      <c r="CS160" s="102" t="str">
        <f aca="false">IF(ISBLANK($C160),"",IF($BZ160=Constants!$B$12,$BY160,""))</f>
        <v/>
      </c>
      <c r="CT160" s="101" t="str">
        <f aca="false">IF(ISBLANK($C160),"",IF($BZ160&lt;&gt;Constants!$B$8,"",IF($BM160="-&gt;",2,1)))</f>
        <v/>
      </c>
      <c r="CU160" s="103" t="str">
        <f aca="false">IF(ISBLANK($C160),"",IF($BZ160&lt;&gt;Constants!$B$8,"",IF($BM160="-&gt;",$BO160,$BC160)))</f>
        <v/>
      </c>
      <c r="CV160" s="103" t="str">
        <f aca="false">IF(ISBLANK($C160),"",IF($BZ160&lt;&gt;Constants!$B$8,"",IF($BM160="-&gt;",$BP160,$BD160)))</f>
        <v/>
      </c>
      <c r="CW160" s="103" t="str">
        <f aca="false">IF(ISBLANK($C160),"",IF($BZ160&lt;&gt;Constants!$B$8,"",IF($BM160="-&gt;",$BQ160+$BR160,$BE160+$BF160)+$CD160))</f>
        <v/>
      </c>
      <c r="CX160" s="103" t="str">
        <f aca="false">IF(ISBLANK($C160),"",IF($BZ160&lt;&gt;Constants!$B$8,"",IF($BM160="-&gt;",$BS160,$BG160)+$CC160))</f>
        <v/>
      </c>
      <c r="CY160" s="104" t="str">
        <f aca="false">IF(ISBLANK($C160),"",IF($BZ160&lt;&gt;Constants!$B$8,$BZ160,$CE160))</f>
        <v/>
      </c>
      <c r="CZ160" s="105" t="str">
        <f aca="false">IF(ISBLANK($C160),"",$CA160)</f>
        <v/>
      </c>
      <c r="DA160" s="106" t="str">
        <f aca="false">IF(ISBLANK($C160),"",$CP160)</f>
        <v/>
      </c>
      <c r="DB160" s="106" t="str">
        <f aca="false">IF(ISBLANK($C160),"",$CO160)</f>
        <v/>
      </c>
      <c r="DC160" s="107" t="str">
        <f aca="false">IF(ISBLANK($C160),"",IFERROR(_xlfn.SWITCH($DB160,Constants!$B$11,COUNTA($C$9:$C$508)+2,Constants!$B$10,COUNTA($C$9:$C$508)+1,Constants!$B$9,COUNTA($C$9:$C$508)),$DB160))</f>
        <v/>
      </c>
      <c r="DD160" s="9"/>
      <c r="DE160" s="108" t="n">
        <f aca="false">IF(OR(ISNUMBER($DB160),$DB160=Constants!$B$11,$DB160=Constants!$B$9,$DB160=Constants!$B$10),1,0)</f>
        <v>0</v>
      </c>
      <c r="DF160" s="108" t="n">
        <v>152</v>
      </c>
      <c r="DG160" s="108" t="str">
        <f aca="false">IF(ISBLANK($C160),"",IF(ISNUMBER($DC160),$DC160+ROW($B160)/1000,""))</f>
        <v/>
      </c>
      <c r="DH160" s="108" t="str">
        <f aca="false">IF(ISNUMBER($DG160),RANK($DG160,$DG$9:$DG$508,1),"")</f>
        <v/>
      </c>
      <c r="DI160" s="108" t="str">
        <f aca="false">IF(ISBLANK($C160),"",$B160)</f>
        <v/>
      </c>
      <c r="DJ160" s="108" t="str">
        <f aca="false">IF(ISBLANK($C160),"",$C160)</f>
        <v/>
      </c>
      <c r="DK160" s="108" t="str">
        <f aca="false">IF(ISBLANK($C160),"",$D160)</f>
        <v/>
      </c>
      <c r="DL160" s="109" t="str">
        <f aca="false">$CZ160</f>
        <v/>
      </c>
      <c r="DM160" s="110" t="str">
        <f aca="false">$CY160</f>
        <v/>
      </c>
      <c r="DN160" s="108" t="str">
        <f aca="false">IF(ISBLANK($C160),"",$DB160)</f>
        <v/>
      </c>
      <c r="DO160" s="111" t="str">
        <f aca="false">IF($DF160&gt;$DE$8,"",VLOOKUP($DF160,$DH$9:$DN$508,7,FALSE()))</f>
        <v/>
      </c>
      <c r="DP160" s="112" t="str">
        <f aca="false">IF($DF160&gt;$DE$8,"",VLOOKUP($DF160,$DH$9:$DN$508,2,FALSE()))</f>
        <v/>
      </c>
      <c r="DQ160" s="112" t="str">
        <f aca="false">IF($DF160&gt;$DE$8,"",VLOOKUP($DF160,$DH$9:$DN$508,3,FALSE()))</f>
        <v/>
      </c>
      <c r="DR160" s="112" t="str">
        <f aca="false">IF($DF160&gt;$DE$8,"",VLOOKUP($DF160,$DH$9:$DN$508,4,FALSE()))</f>
        <v/>
      </c>
      <c r="DS160" s="112" t="str">
        <f aca="false">IF($DF160&gt;$DE$8,"",VLOOKUP($DF160,$DH$9:$DN$508,5,FALSE()))</f>
        <v/>
      </c>
      <c r="DT160" s="113" t="str">
        <f aca="false">IF($DF160&gt;$DE$8,"",VLOOKUP($DF160,$DH$9:$DN$508,6,FALSE()))</f>
        <v/>
      </c>
      <c r="DU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IF(ISBLANK($C161),"",IF(E161=Constants!$B$3,TRUE(),IF(E161=Constants!$B$4,FALSE(),TRUE())))</f>
        <v/>
      </c>
      <c r="AG161" s="93" t="str">
        <f aca="false">IF(ISBLANK($C161),"",IF(F161=Constants!$B$3,TRUE(),IF(F161=Constants!$B$4,FALSE(),TRUE())))</f>
        <v/>
      </c>
      <c r="AH161" s="93" t="str">
        <f aca="false">IF(ISBLANK($C161),"",IF(G161=Constants!$B$3,TRUE(),IF(G161=Constants!$B$4,FALSE(),TRUE())))</f>
        <v/>
      </c>
      <c r="AI161" s="93" t="str">
        <f aca="false">IF(ISBLANK($C161),"",IF(AND(ISNUMBER(H161),H161&gt;=0),H161,Constants!$B$29))</f>
        <v/>
      </c>
      <c r="AJ161" s="93" t="str">
        <f aca="false">IF(ISBLANK($C161),"",IF(I161=Constants!$B$3,TRUE(),IF(I161=Constants!$B$4,FALSE(),TRUE())))</f>
        <v/>
      </c>
      <c r="AK161" s="93" t="str">
        <f aca="false">IF(ISBLANK($C161),"",IF(J161=Constants!$B$3,TRUE(),IF(J161=Constants!$B$4,FALSE(),TRUE())))</f>
        <v/>
      </c>
      <c r="AL161" s="93" t="str">
        <f aca="false">IF(ISBLANK($C161),"",IF(K161=Constants!$B$5,TRUE(),IF(K161=Constants!$B$6,FALSE(),COUNTA(L161:P161)&gt;0)))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IF(ISBLANK($C161),"",IF(N161=Constants!$B$3,TRUE(),IF(N161=Constants!$B$4,FALSE(),TRUE())))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IF(ISBLANK($C161),"",IF(P161=Constants!$B$3,TRUE(),IF(P161=Constants!$B$4,FALSE(),FALSE())))</f>
        <v/>
      </c>
      <c r="AR161" s="93" t="str">
        <f aca="false">IF(ISBLANK($C161),"",IF(Q161=Constants!$B$3,TRUE(),IF(Q161=Constants!$B$4,FALSE(),TRUE())))</f>
        <v/>
      </c>
      <c r="AS161" s="93" t="str">
        <f aca="false">IF(ISBLANK($C161),"",IF(R161=Constants!$B$3,TRUE(),IF(R161=Constants!$B$4,FALSE(),TRUE())))</f>
        <v/>
      </c>
      <c r="AT161" s="93" t="str">
        <f aca="false">IF(ISBLANK($C161),"",IF(S161=Constants!$B$5,TRUE(),IF(S161=Constants!$B$6,FALSE(),COUNTA(T161:X161)&gt;0)))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IF(ISBLANK($C161),"",IF(V161=Constants!$B$3,TRUE(),IF(V161=Constants!$B$4,FALSE(),TRUE())))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IF(ISBLANK($C161),"",IF(X161=Constants!$B$3,TRUE(),IF(X161=Constants!$B$4,FALSE(),FALSE())))</f>
        <v/>
      </c>
      <c r="AZ161" s="93" t="str">
        <f aca="false">IF(ISBLANK($C161),"",MIN(Constants!$B$31,MAX(0,IF(ISNUMBER(Y161),Y161*60,0)+IF(ISNUMBER(Z161),Z161,0))))</f>
        <v/>
      </c>
      <c r="BA161" s="93" t="str">
        <f aca="false">IF(ISBLANK($C161),"",IF(AA161=Constants!$B$3,TRUE(),IF(AA161=Constants!$B$4,FALSE(),FALSE())))</f>
        <v/>
      </c>
      <c r="BB161" s="92" t="str">
        <f aca="false">IF(ISBLANK($C161),"",AND($AL161,OR($AM161="",$AN161="",AND($AO161,$AP161=""))))</f>
        <v/>
      </c>
      <c r="BC161" s="94" t="str">
        <f aca="false">IF($BZ161&lt;&gt;Constants!$B$8,"",IF($AL161,Constants!$B$21*$AN161+Constants!$B$22*IF($AO161,$AP161,Constants!$B$23),Constants!$B$24))</f>
        <v/>
      </c>
      <c r="BD161" s="97" t="str">
        <f aca="false">IF($BZ161&lt;&gt;Constants!$B$8,"",Constants!$B$25*ABS($AD$9-IF($AL161,$AM161,0)))</f>
        <v/>
      </c>
      <c r="BE161" s="97" t="str">
        <f aca="false">IF($BZ161&lt;&gt;Constants!$B$8,"",IF(AND($AL161,$AQ161,$AO161),Constants!$B$27,0))</f>
        <v/>
      </c>
      <c r="BF161" s="97" t="str">
        <f aca="false">IF($BZ161&lt;&gt;Constants!$B$8,"",IF($AL161,($AI161-Constants!$B$29)*Constants!$B$28,0))</f>
        <v/>
      </c>
      <c r="BG161" s="97" t="str">
        <f aca="false">IF($BZ161&lt;&gt;Constants!$B$8,"",IF($AK161,0,Constants!$B$15)+IF($AJ161,0,Constants!$B$16)+IF($AH161,0,Constants!$B$17))</f>
        <v/>
      </c>
      <c r="BH161" s="98" t="str">
        <f aca="false">IF($BZ161&lt;&gt;Constants!$B$8,"",Constants!$B$20+SUM($BC161:$BG161))</f>
        <v/>
      </c>
      <c r="BI161" s="97" t="str">
        <f aca="false">IF($BZ161&lt;&gt;Constants!$B$8,"",$BC161)</f>
        <v/>
      </c>
      <c r="BJ161" s="97" t="str">
        <f aca="false">IF($BZ161&lt;&gt;Constants!$B$8,"",$BD161)</f>
        <v/>
      </c>
      <c r="BK161" s="97" t="str">
        <f aca="false">IF($BZ161&lt;&gt;Constants!$B$8,"",IF($AL161,$AN161,""))</f>
        <v/>
      </c>
      <c r="BL161" s="99" t="str">
        <f aca="false">IF($BZ161&lt;&gt;Constants!$B$8,"",$AI161)</f>
        <v/>
      </c>
      <c r="BM161" s="93" t="str">
        <f aca="false">IF($BZ161&lt;&gt;Constants!$B$8,"",IF(OR($BT161&lt;$BH161,AND($BT161=$BH161,OR($BU161&lt;$BI161,AND($BU161=$BI161,OR($BV161&lt;$BJ161,AND($BV161=$BJ161,OR(AND(ISNUMBER($BW161),OR(NOT(ISNUMBER($BK161)),$BW161&lt;$BK161)),AND(OR(AND($BW161="",$BK161=""),AND(ISNUMBER($BW161),ISNUMBER($BK161),$BW161=$BK161)),$BX161&lt;$BL161)))))))),"-&gt;","&lt;-"))</f>
        <v/>
      </c>
      <c r="BN161" s="92" t="str">
        <f aca="false">IF(ISBLANK($C161),"",AND($AT161,OR($AU161="",$AV161="",AND($AW161,$AX161=""))))</f>
        <v/>
      </c>
      <c r="BO161" s="94" t="str">
        <f aca="false">IF($BZ161&lt;&gt;Constants!$B$8,"",IF($AT161,Constants!$B$21*$AV161+Constants!$B$22*IF($AW161,$AX161,Constants!$B$23),Constants!$B$24))</f>
        <v/>
      </c>
      <c r="BP161" s="97" t="str">
        <f aca="false">IF($BZ161&lt;&gt;Constants!$B$8,"",Constants!$B$25*ABS($AD$9-IF($AT161,$AU161,0)))</f>
        <v/>
      </c>
      <c r="BQ161" s="97" t="str">
        <f aca="false">IF($BZ161&lt;&gt;Constants!$B$8,"",IF(AND($AT161,$AY161,$AW161),Constants!$B$27,0))</f>
        <v/>
      </c>
      <c r="BR161" s="97" t="str">
        <f aca="false">IF($BZ161&lt;&gt;Constants!$B$8,"",IF($AT161,($AI161-Constants!$B$29)*Constants!$B$28,0))</f>
        <v/>
      </c>
      <c r="BS161" s="97" t="str">
        <f aca="false">IF($BZ161&lt;&gt;Constants!$B$8,"",IF($AS161,0,Constants!$B$15)+IF($AR161,0,Constants!$B$16)+IF($AH161,0,Constants!$B$17))</f>
        <v/>
      </c>
      <c r="BT161" s="98" t="str">
        <f aca="false">IF($BZ161&lt;&gt;Constants!$B$8,"",Constants!$B$20+SUM($BO161:$BS161))</f>
        <v/>
      </c>
      <c r="BU161" s="97" t="str">
        <f aca="false">IF($BZ161&lt;&gt;Constants!$B$8,"",$BO161)</f>
        <v/>
      </c>
      <c r="BV161" s="97" t="str">
        <f aca="false">IF($BZ161&lt;&gt;Constants!$B$8,"",$BP161)</f>
        <v/>
      </c>
      <c r="BW161" s="97" t="str">
        <f aca="false">IF($BZ161&lt;&gt;Constants!$B$8,"",IF($AT161,$AV161,""))</f>
        <v/>
      </c>
      <c r="BX161" s="99" t="str">
        <f aca="false">IF($BZ161&lt;&gt;Constants!$B$8,"",$AI161)</f>
        <v/>
      </c>
      <c r="BY161" s="93" t="str">
        <f aca="false">IF(ISBLANK($C161),"",IF(ISBLANK($D$7),$BY$5,IF(NOT(ISNUMBER($D$7)),$BY$6,"")))</f>
        <v/>
      </c>
      <c r="BZ161" s="93" t="str">
        <f aca="false">IF(ISBLANK($C161),"",IF($BA161,Constants!$B$11,IF(COUNTA($E161:$AA161)=0,Constants!$B$10,IF(NOT($AG161),Constants!$B$9,IF(OR($BY161&lt;&gt;"",$BB161,$BN161),Constants!$B$12,Constants!$B$8)))))</f>
        <v/>
      </c>
      <c r="CA161" s="93" t="str">
        <f aca="false">IF(ISBLANK($C161),"",IF($BZ161&lt;&gt;Constants!$B$8,$BZ161,Constants!$B$13))</f>
        <v/>
      </c>
      <c r="CB161" s="97" t="str">
        <f aca="false">IF($BZ161&lt;&gt;Constants!$B$8,"",IF($BM161="-&gt;",$BT161,$BH161))</f>
        <v/>
      </c>
      <c r="CC161" s="97" t="str">
        <f aca="false">IF($BZ161&lt;&gt;Constants!$B$8,"",IF($AF161,0,Constants!$B$18))</f>
        <v/>
      </c>
      <c r="CD161" s="97" t="str">
        <f aca="false">IF($BZ161&lt;&gt;Constants!$B$8,"",((Constants!$B$31-$AZ161)-Constants!$B$31)/Constants!$B$32)</f>
        <v/>
      </c>
      <c r="CE161" s="97" t="str">
        <f aca="false">IF(ISBLANK($C161),"",IF($BZ161&lt;&gt;Constants!$B$8,$BZ161,SUM($CB161:$CD161)))</f>
        <v/>
      </c>
      <c r="CF161" s="93" t="str">
        <f aca="false">IF(ISBLANK($C161),"",IF($BZ161&lt;&gt;Constants!$B$8,$BZ161,RANK($CE161,$CE$9:$CE$508,1)))</f>
        <v/>
      </c>
      <c r="CG161" s="97" t="str">
        <f aca="false">IF($BZ161&lt;&gt;Constants!$B$8,"",IF($BM161="-&gt;",$BU161,$BI161))</f>
        <v/>
      </c>
      <c r="CH161" s="93" t="str">
        <f aca="false">IF(ISBLANK($C161),"",IF($BZ161&lt;&gt;Constants!$B$8,$BZ161,IF(ISNUMBER($CG161),RANK($CG161,$CG$9:$CG$508,1),COUNT($CG$9:$CG$508)+1)))</f>
        <v/>
      </c>
      <c r="CI161" s="97" t="str">
        <f aca="false">IF($BZ161&lt;&gt;Constants!$B$8,"",IF($BM161="-&gt;",$BV161,$BJ161))</f>
        <v/>
      </c>
      <c r="CJ161" s="93" t="str">
        <f aca="false">IF(ISBLANK($C161),"",IF($BZ161&lt;&gt;Constants!$B$8,$BZ161,IF(ISNUMBER($CI161),RANK($CI161,$CI$9:$CI$508,1),COUNT($CI$9:$CI$508)+1)))</f>
        <v/>
      </c>
      <c r="CK161" s="97" t="str">
        <f aca="false">IF($BZ161&lt;&gt;Constants!$B$8,"",IF($BM161="-&gt;",$BW161,$BK161))</f>
        <v/>
      </c>
      <c r="CL161" s="93" t="str">
        <f aca="false">IF(ISBLANK($C161),"",IF($BZ161&lt;&gt;Constants!$B$8,$BZ161,IF(ISNUMBER($CK161),RANK($CK161,$CK$9:$CK$508,1),COUNT($CK$9:$CK$508)+1)))</f>
        <v/>
      </c>
      <c r="CM161" s="97" t="str">
        <f aca="false">IF($BZ161&lt;&gt;Constants!$B$8,"",IF(AND(NOT($AL161),NOT($AT161),$AJ161,$AK161,$AR161,$AS161),"",IF($BM161="-&gt;",$BX161,$BL161)))</f>
        <v/>
      </c>
      <c r="CN161" s="93" t="str">
        <f aca="false">IF(ISBLANK($C161),"",IF($BZ161&lt;&gt;Constants!$B$8,$BZ161,IF(ISNUMBER($CM161),RANK($CM161,$CM$9:$CM$508,1),COUNT($CM$9:$CM$508)+1)))</f>
        <v/>
      </c>
      <c r="CO161" s="93" t="str">
        <f aca="false">IF(ISBLANK($C161),"",IF($BZ161&lt;&gt;Constants!$B$8,$BZ161,COUNTIFS($CF$9:$CF$508,"&lt;"&amp;$CF161)+COUNTIFS($CF$9:$CF$508,$CF161,$CH$9:$CH$508,"&lt;"&amp;$CH161)+COUNTIFS($CF$9:$CF$508,$CF161,$CH$9:$CH$508,$CH161,$CJ$9:$CJ$508,"&lt;"&amp;$CJ161)+COUNTIFS($CF$9:$CF$508,$CF161,$CH$9:$CH$508,$CH161,$CJ$9:$CJ$508,$CJ161,$CL$9:$CL$508,"&lt;"&amp;$CL161)+COUNTIFS($CF$9:$CF$508,$CF161,$CH$9:$CH$508,$CH161,$CJ$9:$CJ$508,$CJ161,$CL$9:$CL$508,$CL161,$CN$9:$CN$508,"&lt;"&amp;$CN161)+1))</f>
        <v/>
      </c>
      <c r="CP161" s="93" t="str">
        <f aca="false">IF(ISBLANK($C161),"",IF($BZ161&lt;&gt;Constants!$B$8,$BZ161,$CF161-$CO161))</f>
        <v/>
      </c>
      <c r="CQ161" s="100"/>
      <c r="CR161" s="101"/>
      <c r="CS161" s="102" t="str">
        <f aca="false">IF(ISBLANK($C161),"",IF($BZ161=Constants!$B$12,$BY161,""))</f>
        <v/>
      </c>
      <c r="CT161" s="101" t="str">
        <f aca="false">IF(ISBLANK($C161),"",IF($BZ161&lt;&gt;Constants!$B$8,"",IF($BM161="-&gt;",2,1)))</f>
        <v/>
      </c>
      <c r="CU161" s="103" t="str">
        <f aca="false">IF(ISBLANK($C161),"",IF($BZ161&lt;&gt;Constants!$B$8,"",IF($BM161="-&gt;",$BO161,$BC161)))</f>
        <v/>
      </c>
      <c r="CV161" s="103" t="str">
        <f aca="false">IF(ISBLANK($C161),"",IF($BZ161&lt;&gt;Constants!$B$8,"",IF($BM161="-&gt;",$BP161,$BD161)))</f>
        <v/>
      </c>
      <c r="CW161" s="103" t="str">
        <f aca="false">IF(ISBLANK($C161),"",IF($BZ161&lt;&gt;Constants!$B$8,"",IF($BM161="-&gt;",$BQ161+$BR161,$BE161+$BF161)+$CD161))</f>
        <v/>
      </c>
      <c r="CX161" s="103" t="str">
        <f aca="false">IF(ISBLANK($C161),"",IF($BZ161&lt;&gt;Constants!$B$8,"",IF($BM161="-&gt;",$BS161,$BG161)+$CC161))</f>
        <v/>
      </c>
      <c r="CY161" s="104" t="str">
        <f aca="false">IF(ISBLANK($C161),"",IF($BZ161&lt;&gt;Constants!$B$8,$BZ161,$CE161))</f>
        <v/>
      </c>
      <c r="CZ161" s="105" t="str">
        <f aca="false">IF(ISBLANK($C161),"",$CA161)</f>
        <v/>
      </c>
      <c r="DA161" s="106" t="str">
        <f aca="false">IF(ISBLANK($C161),"",$CP161)</f>
        <v/>
      </c>
      <c r="DB161" s="106" t="str">
        <f aca="false">IF(ISBLANK($C161),"",$CO161)</f>
        <v/>
      </c>
      <c r="DC161" s="107" t="str">
        <f aca="false">IF(ISBLANK($C161),"",IFERROR(_xlfn.SWITCH($DB161,Constants!$B$11,COUNTA($C$9:$C$508)+2,Constants!$B$10,COUNTA($C$9:$C$508)+1,Constants!$B$9,COUNTA($C$9:$C$508)),$DB161))</f>
        <v/>
      </c>
      <c r="DD161" s="9"/>
      <c r="DE161" s="108" t="n">
        <f aca="false">IF(OR(ISNUMBER($DB161),$DB161=Constants!$B$11,$DB161=Constants!$B$9,$DB161=Constants!$B$10),1,0)</f>
        <v>0</v>
      </c>
      <c r="DF161" s="108" t="n">
        <v>153</v>
      </c>
      <c r="DG161" s="108" t="str">
        <f aca="false">IF(ISBLANK($C161),"",IF(ISNUMBER($DC161),$DC161+ROW($B161)/1000,""))</f>
        <v/>
      </c>
      <c r="DH161" s="108" t="str">
        <f aca="false">IF(ISNUMBER($DG161),RANK($DG161,$DG$9:$DG$508,1),"")</f>
        <v/>
      </c>
      <c r="DI161" s="108" t="str">
        <f aca="false">IF(ISBLANK($C161),"",$B161)</f>
        <v/>
      </c>
      <c r="DJ161" s="108" t="str">
        <f aca="false">IF(ISBLANK($C161),"",$C161)</f>
        <v/>
      </c>
      <c r="DK161" s="108" t="str">
        <f aca="false">IF(ISBLANK($C161),"",$D161)</f>
        <v/>
      </c>
      <c r="DL161" s="109" t="str">
        <f aca="false">$CZ161</f>
        <v/>
      </c>
      <c r="DM161" s="110" t="str">
        <f aca="false">$CY161</f>
        <v/>
      </c>
      <c r="DN161" s="108" t="str">
        <f aca="false">IF(ISBLANK($C161),"",$DB161)</f>
        <v/>
      </c>
      <c r="DO161" s="111" t="str">
        <f aca="false">IF($DF161&gt;$DE$8,"",VLOOKUP($DF161,$DH$9:$DN$508,7,FALSE()))</f>
        <v/>
      </c>
      <c r="DP161" s="112" t="str">
        <f aca="false">IF($DF161&gt;$DE$8,"",VLOOKUP($DF161,$DH$9:$DN$508,2,FALSE()))</f>
        <v/>
      </c>
      <c r="DQ161" s="112" t="str">
        <f aca="false">IF($DF161&gt;$DE$8,"",VLOOKUP($DF161,$DH$9:$DN$508,3,FALSE()))</f>
        <v/>
      </c>
      <c r="DR161" s="112" t="str">
        <f aca="false">IF($DF161&gt;$DE$8,"",VLOOKUP($DF161,$DH$9:$DN$508,4,FALSE()))</f>
        <v/>
      </c>
      <c r="DS161" s="112" t="str">
        <f aca="false">IF($DF161&gt;$DE$8,"",VLOOKUP($DF161,$DH$9:$DN$508,5,FALSE()))</f>
        <v/>
      </c>
      <c r="DT161" s="113" t="str">
        <f aca="false">IF($DF161&gt;$DE$8,"",VLOOKUP($DF161,$DH$9:$DN$508,6,FALSE()))</f>
        <v/>
      </c>
      <c r="DU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IF(ISBLANK($C162),"",IF(E162=Constants!$B$3,TRUE(),IF(E162=Constants!$B$4,FALSE(),TRUE())))</f>
        <v/>
      </c>
      <c r="AG162" s="135" t="str">
        <f aca="false">IF(ISBLANK($C162),"",IF(F162=Constants!$B$3,TRUE(),IF(F162=Constants!$B$4,FALSE(),TRUE())))</f>
        <v/>
      </c>
      <c r="AH162" s="135" t="str">
        <f aca="false">IF(ISBLANK($C162),"",IF(G162=Constants!$B$3,TRUE(),IF(G162=Constants!$B$4,FALSE(),TRUE())))</f>
        <v/>
      </c>
      <c r="AI162" s="135" t="str">
        <f aca="false">IF(ISBLANK($C162),"",IF(AND(ISNUMBER(H162),H162&gt;=0),H162,Constants!$B$29))</f>
        <v/>
      </c>
      <c r="AJ162" s="135" t="str">
        <f aca="false">IF(ISBLANK($C162),"",IF(I162=Constants!$B$3,TRUE(),IF(I162=Constants!$B$4,FALSE(),TRUE())))</f>
        <v/>
      </c>
      <c r="AK162" s="135" t="str">
        <f aca="false">IF(ISBLANK($C162),"",IF(J162=Constants!$B$3,TRUE(),IF(J162=Constants!$B$4,FALSE(),TRUE())))</f>
        <v/>
      </c>
      <c r="AL162" s="135" t="str">
        <f aca="false">IF(ISBLANK($C162),"",IF(K162=Constants!$B$5,TRUE(),IF(K162=Constants!$B$6,FALSE(),COUNTA(L162:P162)&gt;0)))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IF(ISBLANK($C162),"",IF(N162=Constants!$B$3,TRUE(),IF(N162=Constants!$B$4,FALSE(),TRUE())))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IF(ISBLANK($C162),"",IF(P162=Constants!$B$3,TRUE(),IF(P162=Constants!$B$4,FALSE(),FALSE())))</f>
        <v/>
      </c>
      <c r="AR162" s="135" t="str">
        <f aca="false">IF(ISBLANK($C162),"",IF(Q162=Constants!$B$3,TRUE(),IF(Q162=Constants!$B$4,FALSE(),TRUE())))</f>
        <v/>
      </c>
      <c r="AS162" s="135" t="str">
        <f aca="false">IF(ISBLANK($C162),"",IF(R162=Constants!$B$3,TRUE(),IF(R162=Constants!$B$4,FALSE(),TRUE())))</f>
        <v/>
      </c>
      <c r="AT162" s="135" t="str">
        <f aca="false">IF(ISBLANK($C162),"",IF(S162=Constants!$B$5,TRUE(),IF(S162=Constants!$B$6,FALSE(),COUNTA(T162:X162)&gt;0)))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IF(ISBLANK($C162),"",IF(V162=Constants!$B$3,TRUE(),IF(V162=Constants!$B$4,FALSE(),TRUE())))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IF(ISBLANK($C162),"",IF(X162=Constants!$B$3,TRUE(),IF(X162=Constants!$B$4,FALSE(),FALSE())))</f>
        <v/>
      </c>
      <c r="AZ162" s="135" t="str">
        <f aca="false">IF(ISBLANK($C162),"",MIN(Constants!$B$31,MAX(0,IF(ISNUMBER(Y162),Y162*60,0)+IF(ISNUMBER(Z162),Z162,0))))</f>
        <v/>
      </c>
      <c r="BA162" s="135" t="str">
        <f aca="false">IF(ISBLANK($C162),"",IF(AA162=Constants!$B$3,TRUE(),IF(AA162=Constants!$B$4,FALSE(),FALSE())))</f>
        <v/>
      </c>
      <c r="BB162" s="134" t="str">
        <f aca="false">IF(ISBLANK($C162),"",AND($AL162,OR($AM162="",$AN162="",AND($AO162,$AP162=""))))</f>
        <v/>
      </c>
      <c r="BC162" s="137" t="str">
        <f aca="false">IF($BZ162&lt;&gt;Constants!$B$8,"",IF($AL162,Constants!$B$21*$AN162+Constants!$B$22*IF($AO162,$AP162,Constants!$B$23),Constants!$B$24))</f>
        <v/>
      </c>
      <c r="BD162" s="138" t="str">
        <f aca="false">IF($BZ162&lt;&gt;Constants!$B$8,"",Constants!$B$25*ABS($AD$9-IF($AL162,$AM162,0)))</f>
        <v/>
      </c>
      <c r="BE162" s="138" t="str">
        <f aca="false">IF($BZ162&lt;&gt;Constants!$B$8,"",IF(AND($AL162,$AQ162,$AO162),Constants!$B$27,0))</f>
        <v/>
      </c>
      <c r="BF162" s="138" t="str">
        <f aca="false">IF($BZ162&lt;&gt;Constants!$B$8,"",IF($AL162,($AI162-Constants!$B$29)*Constants!$B$28,0))</f>
        <v/>
      </c>
      <c r="BG162" s="138" t="str">
        <f aca="false">IF($BZ162&lt;&gt;Constants!$B$8,"",IF($AK162,0,Constants!$B$15)+IF($AJ162,0,Constants!$B$16)+IF($AH162,0,Constants!$B$17))</f>
        <v/>
      </c>
      <c r="BH162" s="139" t="str">
        <f aca="false">IF($BZ162&lt;&gt;Constants!$B$8,"",Constants!$B$20+SUM($BC162:$BG162))</f>
        <v/>
      </c>
      <c r="BI162" s="138" t="str">
        <f aca="false">IF($BZ162&lt;&gt;Constants!$B$8,"",$BC162)</f>
        <v/>
      </c>
      <c r="BJ162" s="138" t="str">
        <f aca="false">IF($BZ162&lt;&gt;Constants!$B$8,"",$BD162)</f>
        <v/>
      </c>
      <c r="BK162" s="138" t="str">
        <f aca="false">IF($BZ162&lt;&gt;Constants!$B$8,"",IF($AL162,$AN162,""))</f>
        <v/>
      </c>
      <c r="BL162" s="140" t="str">
        <f aca="false">IF($BZ162&lt;&gt;Constants!$B$8,"",$AI162)</f>
        <v/>
      </c>
      <c r="BM162" s="135" t="str">
        <f aca="false">IF($BZ162&lt;&gt;Constants!$B$8,"",IF(OR($BT162&lt;$BH162,AND($BT162=$BH162,OR($BU162&lt;$BI162,AND($BU162=$BI162,OR($BV162&lt;$BJ162,AND($BV162=$BJ162,OR(AND(ISNUMBER($BW162),OR(NOT(ISNUMBER($BK162)),$BW162&lt;$BK162)),AND(OR(AND($BW162="",$BK162=""),AND(ISNUMBER($BW162),ISNUMBER($BK162),$BW162=$BK162)),$BX162&lt;$BL162)))))))),"-&gt;","&lt;-"))</f>
        <v/>
      </c>
      <c r="BN162" s="134" t="str">
        <f aca="false">IF(ISBLANK($C162),"",AND($AT162,OR($AU162="",$AV162="",AND($AW162,$AX162=""))))</f>
        <v/>
      </c>
      <c r="BO162" s="137" t="str">
        <f aca="false">IF($BZ162&lt;&gt;Constants!$B$8,"",IF($AT162,Constants!$B$21*$AV162+Constants!$B$22*IF($AW162,$AX162,Constants!$B$23),Constants!$B$24))</f>
        <v/>
      </c>
      <c r="BP162" s="138" t="str">
        <f aca="false">IF($BZ162&lt;&gt;Constants!$B$8,"",Constants!$B$25*ABS($AD$9-IF($AT162,$AU162,0)))</f>
        <v/>
      </c>
      <c r="BQ162" s="138" t="str">
        <f aca="false">IF($BZ162&lt;&gt;Constants!$B$8,"",IF(AND($AT162,$AY162,$AW162),Constants!$B$27,0))</f>
        <v/>
      </c>
      <c r="BR162" s="138" t="str">
        <f aca="false">IF($BZ162&lt;&gt;Constants!$B$8,"",IF($AT162,($AI162-Constants!$B$29)*Constants!$B$28,0))</f>
        <v/>
      </c>
      <c r="BS162" s="138" t="str">
        <f aca="false">IF($BZ162&lt;&gt;Constants!$B$8,"",IF($AS162,0,Constants!$B$15)+IF($AR162,0,Constants!$B$16)+IF($AH162,0,Constants!$B$17))</f>
        <v/>
      </c>
      <c r="BT162" s="139" t="str">
        <f aca="false">IF($BZ162&lt;&gt;Constants!$B$8,"",Constants!$B$20+SUM($BO162:$BS162))</f>
        <v/>
      </c>
      <c r="BU162" s="138" t="str">
        <f aca="false">IF($BZ162&lt;&gt;Constants!$B$8,"",$BO162)</f>
        <v/>
      </c>
      <c r="BV162" s="138" t="str">
        <f aca="false">IF($BZ162&lt;&gt;Constants!$B$8,"",$BP162)</f>
        <v/>
      </c>
      <c r="BW162" s="138" t="str">
        <f aca="false">IF($BZ162&lt;&gt;Constants!$B$8,"",IF($AT162,$AV162,""))</f>
        <v/>
      </c>
      <c r="BX162" s="140" t="str">
        <f aca="false">IF($BZ162&lt;&gt;Constants!$B$8,"",$AI162)</f>
        <v/>
      </c>
      <c r="BY162" s="135" t="str">
        <f aca="false">IF(ISBLANK($C162),"",IF(ISBLANK($D$7),$BY$5,IF(NOT(ISNUMBER($D$7)),$BY$6,"")))</f>
        <v/>
      </c>
      <c r="BZ162" s="135" t="str">
        <f aca="false">IF(ISBLANK($C162),"",IF($BA162,Constants!$B$11,IF(COUNTA($E162:$AA162)=0,Constants!$B$10,IF(NOT($AG162),Constants!$B$9,IF(OR($BY162&lt;&gt;"",$BB162,$BN162),Constants!$B$12,Constants!$B$8)))))</f>
        <v/>
      </c>
      <c r="CA162" s="135" t="str">
        <f aca="false">IF(ISBLANK($C162),"",IF($BZ162&lt;&gt;Constants!$B$8,$BZ162,Constants!$B$13))</f>
        <v/>
      </c>
      <c r="CB162" s="138" t="str">
        <f aca="false">IF($BZ162&lt;&gt;Constants!$B$8,"",IF($BM162="-&gt;",$BT162,$BH162))</f>
        <v/>
      </c>
      <c r="CC162" s="138" t="str">
        <f aca="false">IF($BZ162&lt;&gt;Constants!$B$8,"",IF($AF162,0,Constants!$B$18))</f>
        <v/>
      </c>
      <c r="CD162" s="138" t="str">
        <f aca="false">IF($BZ162&lt;&gt;Constants!$B$8,"",((Constants!$B$31-$AZ162)-Constants!$B$31)/Constants!$B$32)</f>
        <v/>
      </c>
      <c r="CE162" s="138" t="str">
        <f aca="false">IF(ISBLANK($C162),"",IF($BZ162&lt;&gt;Constants!$B$8,$BZ162,SUM($CB162:$CD162)))</f>
        <v/>
      </c>
      <c r="CF162" s="135" t="str">
        <f aca="false">IF(ISBLANK($C162),"",IF($BZ162&lt;&gt;Constants!$B$8,$BZ162,RANK($CE162,$CE$9:$CE$508,1)))</f>
        <v/>
      </c>
      <c r="CG162" s="138" t="str">
        <f aca="false">IF($BZ162&lt;&gt;Constants!$B$8,"",IF($BM162="-&gt;",$BU162,$BI162))</f>
        <v/>
      </c>
      <c r="CH162" s="135" t="str">
        <f aca="false">IF(ISBLANK($C162),"",IF($BZ162&lt;&gt;Constants!$B$8,$BZ162,IF(ISNUMBER($CG162),RANK($CG162,$CG$9:$CG$508,1),COUNT($CG$9:$CG$508)+1)))</f>
        <v/>
      </c>
      <c r="CI162" s="138" t="str">
        <f aca="false">IF($BZ162&lt;&gt;Constants!$B$8,"",IF($BM162="-&gt;",$BV162,$BJ162))</f>
        <v/>
      </c>
      <c r="CJ162" s="135" t="str">
        <f aca="false">IF(ISBLANK($C162),"",IF($BZ162&lt;&gt;Constants!$B$8,$BZ162,IF(ISNUMBER($CI162),RANK($CI162,$CI$9:$CI$508,1),COUNT($CI$9:$CI$508)+1)))</f>
        <v/>
      </c>
      <c r="CK162" s="138" t="str">
        <f aca="false">IF($BZ162&lt;&gt;Constants!$B$8,"",IF($BM162="-&gt;",$BW162,$BK162))</f>
        <v/>
      </c>
      <c r="CL162" s="135" t="str">
        <f aca="false">IF(ISBLANK($C162),"",IF($BZ162&lt;&gt;Constants!$B$8,$BZ162,IF(ISNUMBER($CK162),RANK($CK162,$CK$9:$CK$508,1),COUNT($CK$9:$CK$508)+1)))</f>
        <v/>
      </c>
      <c r="CM162" s="138" t="str">
        <f aca="false">IF($BZ162&lt;&gt;Constants!$B$8,"",IF(AND(NOT($AL162),NOT($AT162),$AJ162,$AK162,$AR162,$AS162),"",IF($BM162="-&gt;",$BX162,$BL162)))</f>
        <v/>
      </c>
      <c r="CN162" s="135" t="str">
        <f aca="false">IF(ISBLANK($C162),"",IF($BZ162&lt;&gt;Constants!$B$8,$BZ162,IF(ISNUMBER($CM162),RANK($CM162,$CM$9:$CM$508,1),COUNT($CM$9:$CM$508)+1)))</f>
        <v/>
      </c>
      <c r="CO162" s="135" t="str">
        <f aca="false">IF(ISBLANK($C162),"",IF($BZ162&lt;&gt;Constants!$B$8,$BZ162,COUNTIFS($CF$9:$CF$508,"&lt;"&amp;$CF162)+COUNTIFS($CF$9:$CF$508,$CF162,$CH$9:$CH$508,"&lt;"&amp;$CH162)+COUNTIFS($CF$9:$CF$508,$CF162,$CH$9:$CH$508,$CH162,$CJ$9:$CJ$508,"&lt;"&amp;$CJ162)+COUNTIFS($CF$9:$CF$508,$CF162,$CH$9:$CH$508,$CH162,$CJ$9:$CJ$508,$CJ162,$CL$9:$CL$508,"&lt;"&amp;$CL162)+COUNTIFS($CF$9:$CF$508,$CF162,$CH$9:$CH$508,$CH162,$CJ$9:$CJ$508,$CJ162,$CL$9:$CL$508,$CL162,$CN$9:$CN$508,"&lt;"&amp;$CN162)+1))</f>
        <v/>
      </c>
      <c r="CP162" s="135" t="str">
        <f aca="false">IF(ISBLANK($C162),"",IF($BZ162&lt;&gt;Constants!$B$8,$BZ162,$CF162-$CO162))</f>
        <v/>
      </c>
      <c r="CQ162" s="141"/>
      <c r="CR162" s="142"/>
      <c r="CS162" s="143" t="str">
        <f aca="false">IF(ISBLANK($C162),"",IF($BZ162=Constants!$B$12,$BY162,""))</f>
        <v/>
      </c>
      <c r="CT162" s="142" t="str">
        <f aca="false">IF(ISBLANK($C162),"",IF($BZ162&lt;&gt;Constants!$B$8,"",IF($BM162="-&gt;",2,1)))</f>
        <v/>
      </c>
      <c r="CU162" s="144" t="str">
        <f aca="false">IF(ISBLANK($C162),"",IF($BZ162&lt;&gt;Constants!$B$8,"",IF($BM162="-&gt;",$BO162,$BC162)))</f>
        <v/>
      </c>
      <c r="CV162" s="144" t="str">
        <f aca="false">IF(ISBLANK($C162),"",IF($BZ162&lt;&gt;Constants!$B$8,"",IF($BM162="-&gt;",$BP162,$BD162)))</f>
        <v/>
      </c>
      <c r="CW162" s="144" t="str">
        <f aca="false">IF(ISBLANK($C162),"",IF($BZ162&lt;&gt;Constants!$B$8,"",IF($BM162="-&gt;",$BQ162+$BR162,$BE162+$BF162)+$CD162))</f>
        <v/>
      </c>
      <c r="CX162" s="144" t="str">
        <f aca="false">IF(ISBLANK($C162),"",IF($BZ162&lt;&gt;Constants!$B$8,"",IF($BM162="-&gt;",$BS162,$BG162)+$CC162))</f>
        <v/>
      </c>
      <c r="CY162" s="145" t="str">
        <f aca="false">IF(ISBLANK($C162),"",IF($BZ162&lt;&gt;Constants!$B$8,$BZ162,$CE162))</f>
        <v/>
      </c>
      <c r="CZ162" s="146" t="str">
        <f aca="false">IF(ISBLANK($C162),"",$CA162)</f>
        <v/>
      </c>
      <c r="DA162" s="147" t="str">
        <f aca="false">IF(ISBLANK($C162),"",$CP162)</f>
        <v/>
      </c>
      <c r="DB162" s="147" t="str">
        <f aca="false">IF(ISBLANK($C162),"",$CO162)</f>
        <v/>
      </c>
      <c r="DC162" s="148" t="str">
        <f aca="false">IF(ISBLANK($C162),"",IFERROR(_xlfn.SWITCH($DB162,Constants!$B$11,COUNTA($C$9:$C$508)+2,Constants!$B$10,COUNTA($C$9:$C$508)+1,Constants!$B$9,COUNTA($C$9:$C$508)),$DB162))</f>
        <v/>
      </c>
      <c r="DD162" s="9"/>
      <c r="DE162" s="149" t="n">
        <f aca="false">IF(OR(ISNUMBER($DB162),$DB162=Constants!$B$11,$DB162=Constants!$B$9,$DB162=Constants!$B$10),1,0)</f>
        <v>0</v>
      </c>
      <c r="DF162" s="149" t="n">
        <v>154</v>
      </c>
      <c r="DG162" s="149" t="str">
        <f aca="false">IF(ISBLANK($C162),"",IF(ISNUMBER($DC162),$DC162+ROW($B162)/1000,""))</f>
        <v/>
      </c>
      <c r="DH162" s="149" t="str">
        <f aca="false">IF(ISNUMBER($DG162),RANK($DG162,$DG$9:$DG$508,1),"")</f>
        <v/>
      </c>
      <c r="DI162" s="149" t="str">
        <f aca="false">IF(ISBLANK($C162),"",$B162)</f>
        <v/>
      </c>
      <c r="DJ162" s="149" t="str">
        <f aca="false">IF(ISBLANK($C162),"",$C162)</f>
        <v/>
      </c>
      <c r="DK162" s="149" t="str">
        <f aca="false">IF(ISBLANK($C162),"",$D162)</f>
        <v/>
      </c>
      <c r="DL162" s="150" t="str">
        <f aca="false">$CZ162</f>
        <v/>
      </c>
      <c r="DM162" s="151" t="str">
        <f aca="false">$CY162</f>
        <v/>
      </c>
      <c r="DN162" s="149" t="str">
        <f aca="false">IF(ISBLANK($C162),"",$DB162)</f>
        <v/>
      </c>
      <c r="DO162" s="152" t="str">
        <f aca="false">IF($DF162&gt;$DE$8,"",VLOOKUP($DF162,$DH$9:$DN$508,7,FALSE()))</f>
        <v/>
      </c>
      <c r="DP162" s="153" t="str">
        <f aca="false">IF($DF162&gt;$DE$8,"",VLOOKUP($DF162,$DH$9:$DN$508,2,FALSE()))</f>
        <v/>
      </c>
      <c r="DQ162" s="153" t="str">
        <f aca="false">IF($DF162&gt;$DE$8,"",VLOOKUP($DF162,$DH$9:$DN$508,3,FALSE()))</f>
        <v/>
      </c>
      <c r="DR162" s="153" t="str">
        <f aca="false">IF($DF162&gt;$DE$8,"",VLOOKUP($DF162,$DH$9:$DN$508,4,FALSE()))</f>
        <v/>
      </c>
      <c r="DS162" s="153" t="str">
        <f aca="false">IF($DF162&gt;$DE$8,"",VLOOKUP($DF162,$DH$9:$DN$508,5,FALSE()))</f>
        <v/>
      </c>
      <c r="DT162" s="154" t="str">
        <f aca="false">IF($DF162&gt;$DE$8,"",VLOOKUP($DF162,$DH$9:$DN$508,6,FALSE()))</f>
        <v/>
      </c>
      <c r="DU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IF(ISBLANK($C163),"",IF(E163=Constants!$B$3,TRUE(),IF(E163=Constants!$B$4,FALSE(),TRUE())))</f>
        <v/>
      </c>
      <c r="AG163" s="135" t="str">
        <f aca="false">IF(ISBLANK($C163),"",IF(F163=Constants!$B$3,TRUE(),IF(F163=Constants!$B$4,FALSE(),TRUE())))</f>
        <v/>
      </c>
      <c r="AH163" s="135" t="str">
        <f aca="false">IF(ISBLANK($C163),"",IF(G163=Constants!$B$3,TRUE(),IF(G163=Constants!$B$4,FALSE(),TRUE())))</f>
        <v/>
      </c>
      <c r="AI163" s="135" t="str">
        <f aca="false">IF(ISBLANK($C163),"",IF(AND(ISNUMBER(H163),H163&gt;=0),H163,Constants!$B$29))</f>
        <v/>
      </c>
      <c r="AJ163" s="135" t="str">
        <f aca="false">IF(ISBLANK($C163),"",IF(I163=Constants!$B$3,TRUE(),IF(I163=Constants!$B$4,FALSE(),TRUE())))</f>
        <v/>
      </c>
      <c r="AK163" s="135" t="str">
        <f aca="false">IF(ISBLANK($C163),"",IF(J163=Constants!$B$3,TRUE(),IF(J163=Constants!$B$4,FALSE(),TRUE())))</f>
        <v/>
      </c>
      <c r="AL163" s="135" t="str">
        <f aca="false">IF(ISBLANK($C163),"",IF(K163=Constants!$B$5,TRUE(),IF(K163=Constants!$B$6,FALSE(),COUNTA(L163:P163)&gt;0)))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IF(ISBLANK($C163),"",IF(N163=Constants!$B$3,TRUE(),IF(N163=Constants!$B$4,FALSE(),TRUE())))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IF(ISBLANK($C163),"",IF(P163=Constants!$B$3,TRUE(),IF(P163=Constants!$B$4,FALSE(),FALSE())))</f>
        <v/>
      </c>
      <c r="AR163" s="135" t="str">
        <f aca="false">IF(ISBLANK($C163),"",IF(Q163=Constants!$B$3,TRUE(),IF(Q163=Constants!$B$4,FALSE(),TRUE())))</f>
        <v/>
      </c>
      <c r="AS163" s="135" t="str">
        <f aca="false">IF(ISBLANK($C163),"",IF(R163=Constants!$B$3,TRUE(),IF(R163=Constants!$B$4,FALSE(),TRUE())))</f>
        <v/>
      </c>
      <c r="AT163" s="135" t="str">
        <f aca="false">IF(ISBLANK($C163),"",IF(S163=Constants!$B$5,TRUE(),IF(S163=Constants!$B$6,FALSE(),COUNTA(T163:X163)&gt;0)))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IF(ISBLANK($C163),"",IF(V163=Constants!$B$3,TRUE(),IF(V163=Constants!$B$4,FALSE(),TRUE())))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IF(ISBLANK($C163),"",IF(X163=Constants!$B$3,TRUE(),IF(X163=Constants!$B$4,FALSE(),FALSE())))</f>
        <v/>
      </c>
      <c r="AZ163" s="135" t="str">
        <f aca="false">IF(ISBLANK($C163),"",MIN(Constants!$B$31,MAX(0,IF(ISNUMBER(Y163),Y163*60,0)+IF(ISNUMBER(Z163),Z163,0))))</f>
        <v/>
      </c>
      <c r="BA163" s="135" t="str">
        <f aca="false">IF(ISBLANK($C163),"",IF(AA163=Constants!$B$3,TRUE(),IF(AA163=Constants!$B$4,FALSE(),FALSE())))</f>
        <v/>
      </c>
      <c r="BB163" s="134" t="str">
        <f aca="false">IF(ISBLANK($C163),"",AND($AL163,OR($AM163="",$AN163="",AND($AO163,$AP163=""))))</f>
        <v/>
      </c>
      <c r="BC163" s="137" t="str">
        <f aca="false">IF($BZ163&lt;&gt;Constants!$B$8,"",IF($AL163,Constants!$B$21*$AN163+Constants!$B$22*IF($AO163,$AP163,Constants!$B$23),Constants!$B$24))</f>
        <v/>
      </c>
      <c r="BD163" s="138" t="str">
        <f aca="false">IF($BZ163&lt;&gt;Constants!$B$8,"",Constants!$B$25*ABS($AD$9-IF($AL163,$AM163,0)))</f>
        <v/>
      </c>
      <c r="BE163" s="138" t="str">
        <f aca="false">IF($BZ163&lt;&gt;Constants!$B$8,"",IF(AND($AL163,$AQ163,$AO163),Constants!$B$27,0))</f>
        <v/>
      </c>
      <c r="BF163" s="138" t="str">
        <f aca="false">IF($BZ163&lt;&gt;Constants!$B$8,"",IF($AL163,($AI163-Constants!$B$29)*Constants!$B$28,0))</f>
        <v/>
      </c>
      <c r="BG163" s="138" t="str">
        <f aca="false">IF($BZ163&lt;&gt;Constants!$B$8,"",IF($AK163,0,Constants!$B$15)+IF($AJ163,0,Constants!$B$16)+IF($AH163,0,Constants!$B$17))</f>
        <v/>
      </c>
      <c r="BH163" s="139" t="str">
        <f aca="false">IF($BZ163&lt;&gt;Constants!$B$8,"",Constants!$B$20+SUM($BC163:$BG163))</f>
        <v/>
      </c>
      <c r="BI163" s="138" t="str">
        <f aca="false">IF($BZ163&lt;&gt;Constants!$B$8,"",$BC163)</f>
        <v/>
      </c>
      <c r="BJ163" s="138" t="str">
        <f aca="false">IF($BZ163&lt;&gt;Constants!$B$8,"",$BD163)</f>
        <v/>
      </c>
      <c r="BK163" s="138" t="str">
        <f aca="false">IF($BZ163&lt;&gt;Constants!$B$8,"",IF($AL163,$AN163,""))</f>
        <v/>
      </c>
      <c r="BL163" s="140" t="str">
        <f aca="false">IF($BZ163&lt;&gt;Constants!$B$8,"",$AI163)</f>
        <v/>
      </c>
      <c r="BM163" s="135" t="str">
        <f aca="false">IF($BZ163&lt;&gt;Constants!$B$8,"",IF(OR($BT163&lt;$BH163,AND($BT163=$BH163,OR($BU163&lt;$BI163,AND($BU163=$BI163,OR($BV163&lt;$BJ163,AND($BV163=$BJ163,OR(AND(ISNUMBER($BW163),OR(NOT(ISNUMBER($BK163)),$BW163&lt;$BK163)),AND(OR(AND($BW163="",$BK163=""),AND(ISNUMBER($BW163),ISNUMBER($BK163),$BW163=$BK163)),$BX163&lt;$BL163)))))))),"-&gt;","&lt;-"))</f>
        <v/>
      </c>
      <c r="BN163" s="134" t="str">
        <f aca="false">IF(ISBLANK($C163),"",AND($AT163,OR($AU163="",$AV163="",AND($AW163,$AX163=""))))</f>
        <v/>
      </c>
      <c r="BO163" s="137" t="str">
        <f aca="false">IF($BZ163&lt;&gt;Constants!$B$8,"",IF($AT163,Constants!$B$21*$AV163+Constants!$B$22*IF($AW163,$AX163,Constants!$B$23),Constants!$B$24))</f>
        <v/>
      </c>
      <c r="BP163" s="138" t="str">
        <f aca="false">IF($BZ163&lt;&gt;Constants!$B$8,"",Constants!$B$25*ABS($AD$9-IF($AT163,$AU163,0)))</f>
        <v/>
      </c>
      <c r="BQ163" s="138" t="str">
        <f aca="false">IF($BZ163&lt;&gt;Constants!$B$8,"",IF(AND($AT163,$AY163,$AW163),Constants!$B$27,0))</f>
        <v/>
      </c>
      <c r="BR163" s="138" t="str">
        <f aca="false">IF($BZ163&lt;&gt;Constants!$B$8,"",IF($AT163,($AI163-Constants!$B$29)*Constants!$B$28,0))</f>
        <v/>
      </c>
      <c r="BS163" s="138" t="str">
        <f aca="false">IF($BZ163&lt;&gt;Constants!$B$8,"",IF($AS163,0,Constants!$B$15)+IF($AR163,0,Constants!$B$16)+IF($AH163,0,Constants!$B$17))</f>
        <v/>
      </c>
      <c r="BT163" s="139" t="str">
        <f aca="false">IF($BZ163&lt;&gt;Constants!$B$8,"",Constants!$B$20+SUM($BO163:$BS163))</f>
        <v/>
      </c>
      <c r="BU163" s="138" t="str">
        <f aca="false">IF($BZ163&lt;&gt;Constants!$B$8,"",$BO163)</f>
        <v/>
      </c>
      <c r="BV163" s="138" t="str">
        <f aca="false">IF($BZ163&lt;&gt;Constants!$B$8,"",$BP163)</f>
        <v/>
      </c>
      <c r="BW163" s="138" t="str">
        <f aca="false">IF($BZ163&lt;&gt;Constants!$B$8,"",IF($AT163,$AV163,""))</f>
        <v/>
      </c>
      <c r="BX163" s="140" t="str">
        <f aca="false">IF($BZ163&lt;&gt;Constants!$B$8,"",$AI163)</f>
        <v/>
      </c>
      <c r="BY163" s="135" t="str">
        <f aca="false">IF(ISBLANK($C163),"",IF(ISBLANK($D$7),$BY$5,IF(NOT(ISNUMBER($D$7)),$BY$6,"")))</f>
        <v/>
      </c>
      <c r="BZ163" s="135" t="str">
        <f aca="false">IF(ISBLANK($C163),"",IF($BA163,Constants!$B$11,IF(COUNTA($E163:$AA163)=0,Constants!$B$10,IF(NOT($AG163),Constants!$B$9,IF(OR($BY163&lt;&gt;"",$BB163,$BN163),Constants!$B$12,Constants!$B$8)))))</f>
        <v/>
      </c>
      <c r="CA163" s="135" t="str">
        <f aca="false">IF(ISBLANK($C163),"",IF($BZ163&lt;&gt;Constants!$B$8,$BZ163,Constants!$B$13))</f>
        <v/>
      </c>
      <c r="CB163" s="138" t="str">
        <f aca="false">IF($BZ163&lt;&gt;Constants!$B$8,"",IF($BM163="-&gt;",$BT163,$BH163))</f>
        <v/>
      </c>
      <c r="CC163" s="138" t="str">
        <f aca="false">IF($BZ163&lt;&gt;Constants!$B$8,"",IF($AF163,0,Constants!$B$18))</f>
        <v/>
      </c>
      <c r="CD163" s="138" t="str">
        <f aca="false">IF($BZ163&lt;&gt;Constants!$B$8,"",((Constants!$B$31-$AZ163)-Constants!$B$31)/Constants!$B$32)</f>
        <v/>
      </c>
      <c r="CE163" s="138" t="str">
        <f aca="false">IF(ISBLANK($C163),"",IF($BZ163&lt;&gt;Constants!$B$8,$BZ163,SUM($CB163:$CD163)))</f>
        <v/>
      </c>
      <c r="CF163" s="135" t="str">
        <f aca="false">IF(ISBLANK($C163),"",IF($BZ163&lt;&gt;Constants!$B$8,$BZ163,RANK($CE163,$CE$9:$CE$508,1)))</f>
        <v/>
      </c>
      <c r="CG163" s="138" t="str">
        <f aca="false">IF($BZ163&lt;&gt;Constants!$B$8,"",IF($BM163="-&gt;",$BU163,$BI163))</f>
        <v/>
      </c>
      <c r="CH163" s="135" t="str">
        <f aca="false">IF(ISBLANK($C163),"",IF($BZ163&lt;&gt;Constants!$B$8,$BZ163,IF(ISNUMBER($CG163),RANK($CG163,$CG$9:$CG$508,1),COUNT($CG$9:$CG$508)+1)))</f>
        <v/>
      </c>
      <c r="CI163" s="138" t="str">
        <f aca="false">IF($BZ163&lt;&gt;Constants!$B$8,"",IF($BM163="-&gt;",$BV163,$BJ163))</f>
        <v/>
      </c>
      <c r="CJ163" s="135" t="str">
        <f aca="false">IF(ISBLANK($C163),"",IF($BZ163&lt;&gt;Constants!$B$8,$BZ163,IF(ISNUMBER($CI163),RANK($CI163,$CI$9:$CI$508,1),COUNT($CI$9:$CI$508)+1)))</f>
        <v/>
      </c>
      <c r="CK163" s="138" t="str">
        <f aca="false">IF($BZ163&lt;&gt;Constants!$B$8,"",IF($BM163="-&gt;",$BW163,$BK163))</f>
        <v/>
      </c>
      <c r="CL163" s="135" t="str">
        <f aca="false">IF(ISBLANK($C163),"",IF($BZ163&lt;&gt;Constants!$B$8,$BZ163,IF(ISNUMBER($CK163),RANK($CK163,$CK$9:$CK$508,1),COUNT($CK$9:$CK$508)+1)))</f>
        <v/>
      </c>
      <c r="CM163" s="138" t="str">
        <f aca="false">IF($BZ163&lt;&gt;Constants!$B$8,"",IF(AND(NOT($AL163),NOT($AT163),$AJ163,$AK163,$AR163,$AS163),"",IF($BM163="-&gt;",$BX163,$BL163)))</f>
        <v/>
      </c>
      <c r="CN163" s="135" t="str">
        <f aca="false">IF(ISBLANK($C163),"",IF($BZ163&lt;&gt;Constants!$B$8,$BZ163,IF(ISNUMBER($CM163),RANK($CM163,$CM$9:$CM$508,1),COUNT($CM$9:$CM$508)+1)))</f>
        <v/>
      </c>
      <c r="CO163" s="135" t="str">
        <f aca="false">IF(ISBLANK($C163),"",IF($BZ163&lt;&gt;Constants!$B$8,$BZ163,COUNTIFS($CF$9:$CF$508,"&lt;"&amp;$CF163)+COUNTIFS($CF$9:$CF$508,$CF163,$CH$9:$CH$508,"&lt;"&amp;$CH163)+COUNTIFS($CF$9:$CF$508,$CF163,$CH$9:$CH$508,$CH163,$CJ$9:$CJ$508,"&lt;"&amp;$CJ163)+COUNTIFS($CF$9:$CF$508,$CF163,$CH$9:$CH$508,$CH163,$CJ$9:$CJ$508,$CJ163,$CL$9:$CL$508,"&lt;"&amp;$CL163)+COUNTIFS($CF$9:$CF$508,$CF163,$CH$9:$CH$508,$CH163,$CJ$9:$CJ$508,$CJ163,$CL$9:$CL$508,$CL163,$CN$9:$CN$508,"&lt;"&amp;$CN163)+1))</f>
        <v/>
      </c>
      <c r="CP163" s="135" t="str">
        <f aca="false">IF(ISBLANK($C163),"",IF($BZ163&lt;&gt;Constants!$B$8,$BZ163,$CF163-$CO163))</f>
        <v/>
      </c>
      <c r="CQ163" s="141"/>
      <c r="CR163" s="142"/>
      <c r="CS163" s="143" t="str">
        <f aca="false">IF(ISBLANK($C163),"",IF($BZ163=Constants!$B$12,$BY163,""))</f>
        <v/>
      </c>
      <c r="CT163" s="142" t="str">
        <f aca="false">IF(ISBLANK($C163),"",IF($BZ163&lt;&gt;Constants!$B$8,"",IF($BM163="-&gt;",2,1)))</f>
        <v/>
      </c>
      <c r="CU163" s="144" t="str">
        <f aca="false">IF(ISBLANK($C163),"",IF($BZ163&lt;&gt;Constants!$B$8,"",IF($BM163="-&gt;",$BO163,$BC163)))</f>
        <v/>
      </c>
      <c r="CV163" s="144" t="str">
        <f aca="false">IF(ISBLANK($C163),"",IF($BZ163&lt;&gt;Constants!$B$8,"",IF($BM163="-&gt;",$BP163,$BD163)))</f>
        <v/>
      </c>
      <c r="CW163" s="144" t="str">
        <f aca="false">IF(ISBLANK($C163),"",IF($BZ163&lt;&gt;Constants!$B$8,"",IF($BM163="-&gt;",$BQ163+$BR163,$BE163+$BF163)+$CD163))</f>
        <v/>
      </c>
      <c r="CX163" s="144" t="str">
        <f aca="false">IF(ISBLANK($C163),"",IF($BZ163&lt;&gt;Constants!$B$8,"",IF($BM163="-&gt;",$BS163,$BG163)+$CC163))</f>
        <v/>
      </c>
      <c r="CY163" s="145" t="str">
        <f aca="false">IF(ISBLANK($C163),"",IF($BZ163&lt;&gt;Constants!$B$8,$BZ163,$CE163))</f>
        <v/>
      </c>
      <c r="CZ163" s="146" t="str">
        <f aca="false">IF(ISBLANK($C163),"",$CA163)</f>
        <v/>
      </c>
      <c r="DA163" s="147" t="str">
        <f aca="false">IF(ISBLANK($C163),"",$CP163)</f>
        <v/>
      </c>
      <c r="DB163" s="147" t="str">
        <f aca="false">IF(ISBLANK($C163),"",$CO163)</f>
        <v/>
      </c>
      <c r="DC163" s="148" t="str">
        <f aca="false">IF(ISBLANK($C163),"",IFERROR(_xlfn.SWITCH($DB163,Constants!$B$11,COUNTA($C$9:$C$508)+2,Constants!$B$10,COUNTA($C$9:$C$508)+1,Constants!$B$9,COUNTA($C$9:$C$508)),$DB163))</f>
        <v/>
      </c>
      <c r="DD163" s="9"/>
      <c r="DE163" s="149" t="n">
        <f aca="false">IF(OR(ISNUMBER($DB163),$DB163=Constants!$B$11,$DB163=Constants!$B$9,$DB163=Constants!$B$10),1,0)</f>
        <v>0</v>
      </c>
      <c r="DF163" s="149" t="n">
        <v>155</v>
      </c>
      <c r="DG163" s="149" t="str">
        <f aca="false">IF(ISBLANK($C163),"",IF(ISNUMBER($DC163),$DC163+ROW($B163)/1000,""))</f>
        <v/>
      </c>
      <c r="DH163" s="149" t="str">
        <f aca="false">IF(ISNUMBER($DG163),RANK($DG163,$DG$9:$DG$508,1),"")</f>
        <v/>
      </c>
      <c r="DI163" s="149" t="str">
        <f aca="false">IF(ISBLANK($C163),"",$B163)</f>
        <v/>
      </c>
      <c r="DJ163" s="149" t="str">
        <f aca="false">IF(ISBLANK($C163),"",$C163)</f>
        <v/>
      </c>
      <c r="DK163" s="149" t="str">
        <f aca="false">IF(ISBLANK($C163),"",$D163)</f>
        <v/>
      </c>
      <c r="DL163" s="150" t="str">
        <f aca="false">$CZ163</f>
        <v/>
      </c>
      <c r="DM163" s="151" t="str">
        <f aca="false">$CY163</f>
        <v/>
      </c>
      <c r="DN163" s="149" t="str">
        <f aca="false">IF(ISBLANK($C163),"",$DB163)</f>
        <v/>
      </c>
      <c r="DO163" s="152" t="str">
        <f aca="false">IF($DF163&gt;$DE$8,"",VLOOKUP($DF163,$DH$9:$DN$508,7,FALSE()))</f>
        <v/>
      </c>
      <c r="DP163" s="153" t="str">
        <f aca="false">IF($DF163&gt;$DE$8,"",VLOOKUP($DF163,$DH$9:$DN$508,2,FALSE()))</f>
        <v/>
      </c>
      <c r="DQ163" s="153" t="str">
        <f aca="false">IF($DF163&gt;$DE$8,"",VLOOKUP($DF163,$DH$9:$DN$508,3,FALSE()))</f>
        <v/>
      </c>
      <c r="DR163" s="153" t="str">
        <f aca="false">IF($DF163&gt;$DE$8,"",VLOOKUP($DF163,$DH$9:$DN$508,4,FALSE()))</f>
        <v/>
      </c>
      <c r="DS163" s="153" t="str">
        <f aca="false">IF($DF163&gt;$DE$8,"",VLOOKUP($DF163,$DH$9:$DN$508,5,FALSE()))</f>
        <v/>
      </c>
      <c r="DT163" s="154" t="str">
        <f aca="false">IF($DF163&gt;$DE$8,"",VLOOKUP($DF163,$DH$9:$DN$508,6,FALSE()))</f>
        <v/>
      </c>
      <c r="DU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IF(ISBLANK($C164),"",IF(E164=Constants!$B$3,TRUE(),IF(E164=Constants!$B$4,FALSE(),TRUE())))</f>
        <v/>
      </c>
      <c r="AG164" s="135" t="str">
        <f aca="false">IF(ISBLANK($C164),"",IF(F164=Constants!$B$3,TRUE(),IF(F164=Constants!$B$4,FALSE(),TRUE())))</f>
        <v/>
      </c>
      <c r="AH164" s="135" t="str">
        <f aca="false">IF(ISBLANK($C164),"",IF(G164=Constants!$B$3,TRUE(),IF(G164=Constants!$B$4,FALSE(),TRUE())))</f>
        <v/>
      </c>
      <c r="AI164" s="135" t="str">
        <f aca="false">IF(ISBLANK($C164),"",IF(AND(ISNUMBER(H164),H164&gt;=0),H164,Constants!$B$29))</f>
        <v/>
      </c>
      <c r="AJ164" s="135" t="str">
        <f aca="false">IF(ISBLANK($C164),"",IF(I164=Constants!$B$3,TRUE(),IF(I164=Constants!$B$4,FALSE(),TRUE())))</f>
        <v/>
      </c>
      <c r="AK164" s="135" t="str">
        <f aca="false">IF(ISBLANK($C164),"",IF(J164=Constants!$B$3,TRUE(),IF(J164=Constants!$B$4,FALSE(),TRUE())))</f>
        <v/>
      </c>
      <c r="AL164" s="135" t="str">
        <f aca="false">IF(ISBLANK($C164),"",IF(K164=Constants!$B$5,TRUE(),IF(K164=Constants!$B$6,FALSE(),COUNTA(L164:P164)&gt;0)))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IF(ISBLANK($C164),"",IF(N164=Constants!$B$3,TRUE(),IF(N164=Constants!$B$4,FALSE(),TRUE())))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IF(ISBLANK($C164),"",IF(P164=Constants!$B$3,TRUE(),IF(P164=Constants!$B$4,FALSE(),FALSE())))</f>
        <v/>
      </c>
      <c r="AR164" s="135" t="str">
        <f aca="false">IF(ISBLANK($C164),"",IF(Q164=Constants!$B$3,TRUE(),IF(Q164=Constants!$B$4,FALSE(),TRUE())))</f>
        <v/>
      </c>
      <c r="AS164" s="135" t="str">
        <f aca="false">IF(ISBLANK($C164),"",IF(R164=Constants!$B$3,TRUE(),IF(R164=Constants!$B$4,FALSE(),TRUE())))</f>
        <v/>
      </c>
      <c r="AT164" s="135" t="str">
        <f aca="false">IF(ISBLANK($C164),"",IF(S164=Constants!$B$5,TRUE(),IF(S164=Constants!$B$6,FALSE(),COUNTA(T164:X164)&gt;0)))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IF(ISBLANK($C164),"",IF(V164=Constants!$B$3,TRUE(),IF(V164=Constants!$B$4,FALSE(),TRUE())))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IF(ISBLANK($C164),"",IF(X164=Constants!$B$3,TRUE(),IF(X164=Constants!$B$4,FALSE(),FALSE())))</f>
        <v/>
      </c>
      <c r="AZ164" s="135" t="str">
        <f aca="false">IF(ISBLANK($C164),"",MIN(Constants!$B$31,MAX(0,IF(ISNUMBER(Y164),Y164*60,0)+IF(ISNUMBER(Z164),Z164,0))))</f>
        <v/>
      </c>
      <c r="BA164" s="135" t="str">
        <f aca="false">IF(ISBLANK($C164),"",IF(AA164=Constants!$B$3,TRUE(),IF(AA164=Constants!$B$4,FALSE(),FALSE())))</f>
        <v/>
      </c>
      <c r="BB164" s="134" t="str">
        <f aca="false">IF(ISBLANK($C164),"",AND($AL164,OR($AM164="",$AN164="",AND($AO164,$AP164=""))))</f>
        <v/>
      </c>
      <c r="BC164" s="137" t="str">
        <f aca="false">IF($BZ164&lt;&gt;Constants!$B$8,"",IF($AL164,Constants!$B$21*$AN164+Constants!$B$22*IF($AO164,$AP164,Constants!$B$23),Constants!$B$24))</f>
        <v/>
      </c>
      <c r="BD164" s="138" t="str">
        <f aca="false">IF($BZ164&lt;&gt;Constants!$B$8,"",Constants!$B$25*ABS($AD$9-IF($AL164,$AM164,0)))</f>
        <v/>
      </c>
      <c r="BE164" s="138" t="str">
        <f aca="false">IF($BZ164&lt;&gt;Constants!$B$8,"",IF(AND($AL164,$AQ164,$AO164),Constants!$B$27,0))</f>
        <v/>
      </c>
      <c r="BF164" s="138" t="str">
        <f aca="false">IF($BZ164&lt;&gt;Constants!$B$8,"",IF($AL164,($AI164-Constants!$B$29)*Constants!$B$28,0))</f>
        <v/>
      </c>
      <c r="BG164" s="138" t="str">
        <f aca="false">IF($BZ164&lt;&gt;Constants!$B$8,"",IF($AK164,0,Constants!$B$15)+IF($AJ164,0,Constants!$B$16)+IF($AH164,0,Constants!$B$17))</f>
        <v/>
      </c>
      <c r="BH164" s="139" t="str">
        <f aca="false">IF($BZ164&lt;&gt;Constants!$B$8,"",Constants!$B$20+SUM($BC164:$BG164))</f>
        <v/>
      </c>
      <c r="BI164" s="138" t="str">
        <f aca="false">IF($BZ164&lt;&gt;Constants!$B$8,"",$BC164)</f>
        <v/>
      </c>
      <c r="BJ164" s="138" t="str">
        <f aca="false">IF($BZ164&lt;&gt;Constants!$B$8,"",$BD164)</f>
        <v/>
      </c>
      <c r="BK164" s="138" t="str">
        <f aca="false">IF($BZ164&lt;&gt;Constants!$B$8,"",IF($AL164,$AN164,""))</f>
        <v/>
      </c>
      <c r="BL164" s="140" t="str">
        <f aca="false">IF($BZ164&lt;&gt;Constants!$B$8,"",$AI164)</f>
        <v/>
      </c>
      <c r="BM164" s="135" t="str">
        <f aca="false">IF($BZ164&lt;&gt;Constants!$B$8,"",IF(OR($BT164&lt;$BH164,AND($BT164=$BH164,OR($BU164&lt;$BI164,AND($BU164=$BI164,OR($BV164&lt;$BJ164,AND($BV164=$BJ164,OR(AND(ISNUMBER($BW164),OR(NOT(ISNUMBER($BK164)),$BW164&lt;$BK164)),AND(OR(AND($BW164="",$BK164=""),AND(ISNUMBER($BW164),ISNUMBER($BK164),$BW164=$BK164)),$BX164&lt;$BL164)))))))),"-&gt;","&lt;-"))</f>
        <v/>
      </c>
      <c r="BN164" s="134" t="str">
        <f aca="false">IF(ISBLANK($C164),"",AND($AT164,OR($AU164="",$AV164="",AND($AW164,$AX164=""))))</f>
        <v/>
      </c>
      <c r="BO164" s="137" t="str">
        <f aca="false">IF($BZ164&lt;&gt;Constants!$B$8,"",IF($AT164,Constants!$B$21*$AV164+Constants!$B$22*IF($AW164,$AX164,Constants!$B$23),Constants!$B$24))</f>
        <v/>
      </c>
      <c r="BP164" s="138" t="str">
        <f aca="false">IF($BZ164&lt;&gt;Constants!$B$8,"",Constants!$B$25*ABS($AD$9-IF($AT164,$AU164,0)))</f>
        <v/>
      </c>
      <c r="BQ164" s="138" t="str">
        <f aca="false">IF($BZ164&lt;&gt;Constants!$B$8,"",IF(AND($AT164,$AY164,$AW164),Constants!$B$27,0))</f>
        <v/>
      </c>
      <c r="BR164" s="138" t="str">
        <f aca="false">IF($BZ164&lt;&gt;Constants!$B$8,"",IF($AT164,($AI164-Constants!$B$29)*Constants!$B$28,0))</f>
        <v/>
      </c>
      <c r="BS164" s="138" t="str">
        <f aca="false">IF($BZ164&lt;&gt;Constants!$B$8,"",IF($AS164,0,Constants!$B$15)+IF($AR164,0,Constants!$B$16)+IF($AH164,0,Constants!$B$17))</f>
        <v/>
      </c>
      <c r="BT164" s="139" t="str">
        <f aca="false">IF($BZ164&lt;&gt;Constants!$B$8,"",Constants!$B$20+SUM($BO164:$BS164))</f>
        <v/>
      </c>
      <c r="BU164" s="138" t="str">
        <f aca="false">IF($BZ164&lt;&gt;Constants!$B$8,"",$BO164)</f>
        <v/>
      </c>
      <c r="BV164" s="138" t="str">
        <f aca="false">IF($BZ164&lt;&gt;Constants!$B$8,"",$BP164)</f>
        <v/>
      </c>
      <c r="BW164" s="138" t="str">
        <f aca="false">IF($BZ164&lt;&gt;Constants!$B$8,"",IF($AT164,$AV164,""))</f>
        <v/>
      </c>
      <c r="BX164" s="140" t="str">
        <f aca="false">IF($BZ164&lt;&gt;Constants!$B$8,"",$AI164)</f>
        <v/>
      </c>
      <c r="BY164" s="135" t="str">
        <f aca="false">IF(ISBLANK($C164),"",IF(ISBLANK($D$7),$BY$5,IF(NOT(ISNUMBER($D$7)),$BY$6,"")))</f>
        <v/>
      </c>
      <c r="BZ164" s="135" t="str">
        <f aca="false">IF(ISBLANK($C164),"",IF($BA164,Constants!$B$11,IF(COUNTA($E164:$AA164)=0,Constants!$B$10,IF(NOT($AG164),Constants!$B$9,IF(OR($BY164&lt;&gt;"",$BB164,$BN164),Constants!$B$12,Constants!$B$8)))))</f>
        <v/>
      </c>
      <c r="CA164" s="135" t="str">
        <f aca="false">IF(ISBLANK($C164),"",IF($BZ164&lt;&gt;Constants!$B$8,$BZ164,Constants!$B$13))</f>
        <v/>
      </c>
      <c r="CB164" s="138" t="str">
        <f aca="false">IF($BZ164&lt;&gt;Constants!$B$8,"",IF($BM164="-&gt;",$BT164,$BH164))</f>
        <v/>
      </c>
      <c r="CC164" s="138" t="str">
        <f aca="false">IF($BZ164&lt;&gt;Constants!$B$8,"",IF($AF164,0,Constants!$B$18))</f>
        <v/>
      </c>
      <c r="CD164" s="138" t="str">
        <f aca="false">IF($BZ164&lt;&gt;Constants!$B$8,"",((Constants!$B$31-$AZ164)-Constants!$B$31)/Constants!$B$32)</f>
        <v/>
      </c>
      <c r="CE164" s="138" t="str">
        <f aca="false">IF(ISBLANK($C164),"",IF($BZ164&lt;&gt;Constants!$B$8,$BZ164,SUM($CB164:$CD164)))</f>
        <v/>
      </c>
      <c r="CF164" s="135" t="str">
        <f aca="false">IF(ISBLANK($C164),"",IF($BZ164&lt;&gt;Constants!$B$8,$BZ164,RANK($CE164,$CE$9:$CE$508,1)))</f>
        <v/>
      </c>
      <c r="CG164" s="138" t="str">
        <f aca="false">IF($BZ164&lt;&gt;Constants!$B$8,"",IF($BM164="-&gt;",$BU164,$BI164))</f>
        <v/>
      </c>
      <c r="CH164" s="135" t="str">
        <f aca="false">IF(ISBLANK($C164),"",IF($BZ164&lt;&gt;Constants!$B$8,$BZ164,IF(ISNUMBER($CG164),RANK($CG164,$CG$9:$CG$508,1),COUNT($CG$9:$CG$508)+1)))</f>
        <v/>
      </c>
      <c r="CI164" s="138" t="str">
        <f aca="false">IF($BZ164&lt;&gt;Constants!$B$8,"",IF($BM164="-&gt;",$BV164,$BJ164))</f>
        <v/>
      </c>
      <c r="CJ164" s="135" t="str">
        <f aca="false">IF(ISBLANK($C164),"",IF($BZ164&lt;&gt;Constants!$B$8,$BZ164,IF(ISNUMBER($CI164),RANK($CI164,$CI$9:$CI$508,1),COUNT($CI$9:$CI$508)+1)))</f>
        <v/>
      </c>
      <c r="CK164" s="138" t="str">
        <f aca="false">IF($BZ164&lt;&gt;Constants!$B$8,"",IF($BM164="-&gt;",$BW164,$BK164))</f>
        <v/>
      </c>
      <c r="CL164" s="135" t="str">
        <f aca="false">IF(ISBLANK($C164),"",IF($BZ164&lt;&gt;Constants!$B$8,$BZ164,IF(ISNUMBER($CK164),RANK($CK164,$CK$9:$CK$508,1),COUNT($CK$9:$CK$508)+1)))</f>
        <v/>
      </c>
      <c r="CM164" s="138" t="str">
        <f aca="false">IF($BZ164&lt;&gt;Constants!$B$8,"",IF(AND(NOT($AL164),NOT($AT164),$AJ164,$AK164,$AR164,$AS164),"",IF($BM164="-&gt;",$BX164,$BL164)))</f>
        <v/>
      </c>
      <c r="CN164" s="135" t="str">
        <f aca="false">IF(ISBLANK($C164),"",IF($BZ164&lt;&gt;Constants!$B$8,$BZ164,IF(ISNUMBER($CM164),RANK($CM164,$CM$9:$CM$508,1),COUNT($CM$9:$CM$508)+1)))</f>
        <v/>
      </c>
      <c r="CO164" s="135" t="str">
        <f aca="false">IF(ISBLANK($C164),"",IF($BZ164&lt;&gt;Constants!$B$8,$BZ164,COUNTIFS($CF$9:$CF$508,"&lt;"&amp;$CF164)+COUNTIFS($CF$9:$CF$508,$CF164,$CH$9:$CH$508,"&lt;"&amp;$CH164)+COUNTIFS($CF$9:$CF$508,$CF164,$CH$9:$CH$508,$CH164,$CJ$9:$CJ$508,"&lt;"&amp;$CJ164)+COUNTIFS($CF$9:$CF$508,$CF164,$CH$9:$CH$508,$CH164,$CJ$9:$CJ$508,$CJ164,$CL$9:$CL$508,"&lt;"&amp;$CL164)+COUNTIFS($CF$9:$CF$508,$CF164,$CH$9:$CH$508,$CH164,$CJ$9:$CJ$508,$CJ164,$CL$9:$CL$508,$CL164,$CN$9:$CN$508,"&lt;"&amp;$CN164)+1))</f>
        <v/>
      </c>
      <c r="CP164" s="135" t="str">
        <f aca="false">IF(ISBLANK($C164),"",IF($BZ164&lt;&gt;Constants!$B$8,$BZ164,$CF164-$CO164))</f>
        <v/>
      </c>
      <c r="CQ164" s="141"/>
      <c r="CR164" s="142"/>
      <c r="CS164" s="143" t="str">
        <f aca="false">IF(ISBLANK($C164),"",IF($BZ164=Constants!$B$12,$BY164,""))</f>
        <v/>
      </c>
      <c r="CT164" s="142" t="str">
        <f aca="false">IF(ISBLANK($C164),"",IF($BZ164&lt;&gt;Constants!$B$8,"",IF($BM164="-&gt;",2,1)))</f>
        <v/>
      </c>
      <c r="CU164" s="144" t="str">
        <f aca="false">IF(ISBLANK($C164),"",IF($BZ164&lt;&gt;Constants!$B$8,"",IF($BM164="-&gt;",$BO164,$BC164)))</f>
        <v/>
      </c>
      <c r="CV164" s="144" t="str">
        <f aca="false">IF(ISBLANK($C164),"",IF($BZ164&lt;&gt;Constants!$B$8,"",IF($BM164="-&gt;",$BP164,$BD164)))</f>
        <v/>
      </c>
      <c r="CW164" s="144" t="str">
        <f aca="false">IF(ISBLANK($C164),"",IF($BZ164&lt;&gt;Constants!$B$8,"",IF($BM164="-&gt;",$BQ164+$BR164,$BE164+$BF164)+$CD164))</f>
        <v/>
      </c>
      <c r="CX164" s="144" t="str">
        <f aca="false">IF(ISBLANK($C164),"",IF($BZ164&lt;&gt;Constants!$B$8,"",IF($BM164="-&gt;",$BS164,$BG164)+$CC164))</f>
        <v/>
      </c>
      <c r="CY164" s="145" t="str">
        <f aca="false">IF(ISBLANK($C164),"",IF($BZ164&lt;&gt;Constants!$B$8,$BZ164,$CE164))</f>
        <v/>
      </c>
      <c r="CZ164" s="146" t="str">
        <f aca="false">IF(ISBLANK($C164),"",$CA164)</f>
        <v/>
      </c>
      <c r="DA164" s="147" t="str">
        <f aca="false">IF(ISBLANK($C164),"",$CP164)</f>
        <v/>
      </c>
      <c r="DB164" s="147" t="str">
        <f aca="false">IF(ISBLANK($C164),"",$CO164)</f>
        <v/>
      </c>
      <c r="DC164" s="148" t="str">
        <f aca="false">IF(ISBLANK($C164),"",IFERROR(_xlfn.SWITCH($DB164,Constants!$B$11,COUNTA($C$9:$C$508)+2,Constants!$B$10,COUNTA($C$9:$C$508)+1,Constants!$B$9,COUNTA($C$9:$C$508)),$DB164))</f>
        <v/>
      </c>
      <c r="DD164" s="9"/>
      <c r="DE164" s="149" t="n">
        <f aca="false">IF(OR(ISNUMBER($DB164),$DB164=Constants!$B$11,$DB164=Constants!$B$9,$DB164=Constants!$B$10),1,0)</f>
        <v>0</v>
      </c>
      <c r="DF164" s="149" t="n">
        <v>156</v>
      </c>
      <c r="DG164" s="149" t="str">
        <f aca="false">IF(ISBLANK($C164),"",IF(ISNUMBER($DC164),$DC164+ROW($B164)/1000,""))</f>
        <v/>
      </c>
      <c r="DH164" s="149" t="str">
        <f aca="false">IF(ISNUMBER($DG164),RANK($DG164,$DG$9:$DG$508,1),"")</f>
        <v/>
      </c>
      <c r="DI164" s="149" t="str">
        <f aca="false">IF(ISBLANK($C164),"",$B164)</f>
        <v/>
      </c>
      <c r="DJ164" s="149" t="str">
        <f aca="false">IF(ISBLANK($C164),"",$C164)</f>
        <v/>
      </c>
      <c r="DK164" s="149" t="str">
        <f aca="false">IF(ISBLANK($C164),"",$D164)</f>
        <v/>
      </c>
      <c r="DL164" s="150" t="str">
        <f aca="false">$CZ164</f>
        <v/>
      </c>
      <c r="DM164" s="151" t="str">
        <f aca="false">$CY164</f>
        <v/>
      </c>
      <c r="DN164" s="149" t="str">
        <f aca="false">IF(ISBLANK($C164),"",$DB164)</f>
        <v/>
      </c>
      <c r="DO164" s="152" t="str">
        <f aca="false">IF($DF164&gt;$DE$8,"",VLOOKUP($DF164,$DH$9:$DN$508,7,FALSE()))</f>
        <v/>
      </c>
      <c r="DP164" s="153" t="str">
        <f aca="false">IF($DF164&gt;$DE$8,"",VLOOKUP($DF164,$DH$9:$DN$508,2,FALSE()))</f>
        <v/>
      </c>
      <c r="DQ164" s="153" t="str">
        <f aca="false">IF($DF164&gt;$DE$8,"",VLOOKUP($DF164,$DH$9:$DN$508,3,FALSE()))</f>
        <v/>
      </c>
      <c r="DR164" s="153" t="str">
        <f aca="false">IF($DF164&gt;$DE$8,"",VLOOKUP($DF164,$DH$9:$DN$508,4,FALSE()))</f>
        <v/>
      </c>
      <c r="DS164" s="153" t="str">
        <f aca="false">IF($DF164&gt;$DE$8,"",VLOOKUP($DF164,$DH$9:$DN$508,5,FALSE()))</f>
        <v/>
      </c>
      <c r="DT164" s="154" t="str">
        <f aca="false">IF($DF164&gt;$DE$8,"",VLOOKUP($DF164,$DH$9:$DN$508,6,FALSE()))</f>
        <v/>
      </c>
      <c r="DU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IF(ISBLANK($C165),"",IF(E165=Constants!$B$3,TRUE(),IF(E165=Constants!$B$4,FALSE(),TRUE())))</f>
        <v/>
      </c>
      <c r="AG165" s="93" t="str">
        <f aca="false">IF(ISBLANK($C165),"",IF(F165=Constants!$B$3,TRUE(),IF(F165=Constants!$B$4,FALSE(),TRUE())))</f>
        <v/>
      </c>
      <c r="AH165" s="93" t="str">
        <f aca="false">IF(ISBLANK($C165),"",IF(G165=Constants!$B$3,TRUE(),IF(G165=Constants!$B$4,FALSE(),TRUE())))</f>
        <v/>
      </c>
      <c r="AI165" s="93" t="str">
        <f aca="false">IF(ISBLANK($C165),"",IF(AND(ISNUMBER(H165),H165&gt;=0),H165,Constants!$B$29))</f>
        <v/>
      </c>
      <c r="AJ165" s="93" t="str">
        <f aca="false">IF(ISBLANK($C165),"",IF(I165=Constants!$B$3,TRUE(),IF(I165=Constants!$B$4,FALSE(),TRUE())))</f>
        <v/>
      </c>
      <c r="AK165" s="93" t="str">
        <f aca="false">IF(ISBLANK($C165),"",IF(J165=Constants!$B$3,TRUE(),IF(J165=Constants!$B$4,FALSE(),TRUE())))</f>
        <v/>
      </c>
      <c r="AL165" s="93" t="str">
        <f aca="false">IF(ISBLANK($C165),"",IF(K165=Constants!$B$5,TRUE(),IF(K165=Constants!$B$6,FALSE(),COUNTA(L165:P165)&gt;0)))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IF(ISBLANK($C165),"",IF(N165=Constants!$B$3,TRUE(),IF(N165=Constants!$B$4,FALSE(),TRUE())))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IF(ISBLANK($C165),"",IF(P165=Constants!$B$3,TRUE(),IF(P165=Constants!$B$4,FALSE(),FALSE())))</f>
        <v/>
      </c>
      <c r="AR165" s="93" t="str">
        <f aca="false">IF(ISBLANK($C165),"",IF(Q165=Constants!$B$3,TRUE(),IF(Q165=Constants!$B$4,FALSE(),TRUE())))</f>
        <v/>
      </c>
      <c r="AS165" s="93" t="str">
        <f aca="false">IF(ISBLANK($C165),"",IF(R165=Constants!$B$3,TRUE(),IF(R165=Constants!$B$4,FALSE(),TRUE())))</f>
        <v/>
      </c>
      <c r="AT165" s="93" t="str">
        <f aca="false">IF(ISBLANK($C165),"",IF(S165=Constants!$B$5,TRUE(),IF(S165=Constants!$B$6,FALSE(),COUNTA(T165:X165)&gt;0)))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IF(ISBLANK($C165),"",IF(V165=Constants!$B$3,TRUE(),IF(V165=Constants!$B$4,FALSE(),TRUE())))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IF(ISBLANK($C165),"",IF(X165=Constants!$B$3,TRUE(),IF(X165=Constants!$B$4,FALSE(),FALSE())))</f>
        <v/>
      </c>
      <c r="AZ165" s="93" t="str">
        <f aca="false">IF(ISBLANK($C165),"",MIN(Constants!$B$31,MAX(0,IF(ISNUMBER(Y165),Y165*60,0)+IF(ISNUMBER(Z165),Z165,0))))</f>
        <v/>
      </c>
      <c r="BA165" s="93" t="str">
        <f aca="false">IF(ISBLANK($C165),"",IF(AA165=Constants!$B$3,TRUE(),IF(AA165=Constants!$B$4,FALSE(),FALSE())))</f>
        <v/>
      </c>
      <c r="BB165" s="92" t="str">
        <f aca="false">IF(ISBLANK($C165),"",AND($AL165,OR($AM165="",$AN165="",AND($AO165,$AP165=""))))</f>
        <v/>
      </c>
      <c r="BC165" s="94" t="str">
        <f aca="false">IF($BZ165&lt;&gt;Constants!$B$8,"",IF($AL165,Constants!$B$21*$AN165+Constants!$B$22*IF($AO165,$AP165,Constants!$B$23),Constants!$B$24))</f>
        <v/>
      </c>
      <c r="BD165" s="97" t="str">
        <f aca="false">IF($BZ165&lt;&gt;Constants!$B$8,"",Constants!$B$25*ABS($AD$9-IF($AL165,$AM165,0)))</f>
        <v/>
      </c>
      <c r="BE165" s="97" t="str">
        <f aca="false">IF($BZ165&lt;&gt;Constants!$B$8,"",IF(AND($AL165,$AQ165,$AO165),Constants!$B$27,0))</f>
        <v/>
      </c>
      <c r="BF165" s="97" t="str">
        <f aca="false">IF($BZ165&lt;&gt;Constants!$B$8,"",IF($AL165,($AI165-Constants!$B$29)*Constants!$B$28,0))</f>
        <v/>
      </c>
      <c r="BG165" s="97" t="str">
        <f aca="false">IF($BZ165&lt;&gt;Constants!$B$8,"",IF($AK165,0,Constants!$B$15)+IF($AJ165,0,Constants!$B$16)+IF($AH165,0,Constants!$B$17))</f>
        <v/>
      </c>
      <c r="BH165" s="98" t="str">
        <f aca="false">IF($BZ165&lt;&gt;Constants!$B$8,"",Constants!$B$20+SUM($BC165:$BG165))</f>
        <v/>
      </c>
      <c r="BI165" s="97" t="str">
        <f aca="false">IF($BZ165&lt;&gt;Constants!$B$8,"",$BC165)</f>
        <v/>
      </c>
      <c r="BJ165" s="97" t="str">
        <f aca="false">IF($BZ165&lt;&gt;Constants!$B$8,"",$BD165)</f>
        <v/>
      </c>
      <c r="BK165" s="97" t="str">
        <f aca="false">IF($BZ165&lt;&gt;Constants!$B$8,"",IF($AL165,$AN165,""))</f>
        <v/>
      </c>
      <c r="BL165" s="99" t="str">
        <f aca="false">IF($BZ165&lt;&gt;Constants!$B$8,"",$AI165)</f>
        <v/>
      </c>
      <c r="BM165" s="93" t="str">
        <f aca="false">IF($BZ165&lt;&gt;Constants!$B$8,"",IF(OR($BT165&lt;$BH165,AND($BT165=$BH165,OR($BU165&lt;$BI165,AND($BU165=$BI165,OR($BV165&lt;$BJ165,AND($BV165=$BJ165,OR(AND(ISNUMBER($BW165),OR(NOT(ISNUMBER($BK165)),$BW165&lt;$BK165)),AND(OR(AND($BW165="",$BK165=""),AND(ISNUMBER($BW165),ISNUMBER($BK165),$BW165=$BK165)),$BX165&lt;$BL165)))))))),"-&gt;","&lt;-"))</f>
        <v/>
      </c>
      <c r="BN165" s="92" t="str">
        <f aca="false">IF(ISBLANK($C165),"",AND($AT165,OR($AU165="",$AV165="",AND($AW165,$AX165=""))))</f>
        <v/>
      </c>
      <c r="BO165" s="94" t="str">
        <f aca="false">IF($BZ165&lt;&gt;Constants!$B$8,"",IF($AT165,Constants!$B$21*$AV165+Constants!$B$22*IF($AW165,$AX165,Constants!$B$23),Constants!$B$24))</f>
        <v/>
      </c>
      <c r="BP165" s="97" t="str">
        <f aca="false">IF($BZ165&lt;&gt;Constants!$B$8,"",Constants!$B$25*ABS($AD$9-IF($AT165,$AU165,0)))</f>
        <v/>
      </c>
      <c r="BQ165" s="97" t="str">
        <f aca="false">IF($BZ165&lt;&gt;Constants!$B$8,"",IF(AND($AT165,$AY165,$AW165),Constants!$B$27,0))</f>
        <v/>
      </c>
      <c r="BR165" s="97" t="str">
        <f aca="false">IF($BZ165&lt;&gt;Constants!$B$8,"",IF($AT165,($AI165-Constants!$B$29)*Constants!$B$28,0))</f>
        <v/>
      </c>
      <c r="BS165" s="97" t="str">
        <f aca="false">IF($BZ165&lt;&gt;Constants!$B$8,"",IF($AS165,0,Constants!$B$15)+IF($AR165,0,Constants!$B$16)+IF($AH165,0,Constants!$B$17))</f>
        <v/>
      </c>
      <c r="BT165" s="98" t="str">
        <f aca="false">IF($BZ165&lt;&gt;Constants!$B$8,"",Constants!$B$20+SUM($BO165:$BS165))</f>
        <v/>
      </c>
      <c r="BU165" s="97" t="str">
        <f aca="false">IF($BZ165&lt;&gt;Constants!$B$8,"",$BO165)</f>
        <v/>
      </c>
      <c r="BV165" s="97" t="str">
        <f aca="false">IF($BZ165&lt;&gt;Constants!$B$8,"",$BP165)</f>
        <v/>
      </c>
      <c r="BW165" s="97" t="str">
        <f aca="false">IF($BZ165&lt;&gt;Constants!$B$8,"",IF($AT165,$AV165,""))</f>
        <v/>
      </c>
      <c r="BX165" s="99" t="str">
        <f aca="false">IF($BZ165&lt;&gt;Constants!$B$8,"",$AI165)</f>
        <v/>
      </c>
      <c r="BY165" s="93" t="str">
        <f aca="false">IF(ISBLANK($C165),"",IF(ISBLANK($D$7),$BY$5,IF(NOT(ISNUMBER($D$7)),$BY$6,"")))</f>
        <v/>
      </c>
      <c r="BZ165" s="93" t="str">
        <f aca="false">IF(ISBLANK($C165),"",IF($BA165,Constants!$B$11,IF(COUNTA($E165:$AA165)=0,Constants!$B$10,IF(NOT($AG165),Constants!$B$9,IF(OR($BY165&lt;&gt;"",$BB165,$BN165),Constants!$B$12,Constants!$B$8)))))</f>
        <v/>
      </c>
      <c r="CA165" s="93" t="str">
        <f aca="false">IF(ISBLANK($C165),"",IF($BZ165&lt;&gt;Constants!$B$8,$BZ165,Constants!$B$13))</f>
        <v/>
      </c>
      <c r="CB165" s="97" t="str">
        <f aca="false">IF($BZ165&lt;&gt;Constants!$B$8,"",IF($BM165="-&gt;",$BT165,$BH165))</f>
        <v/>
      </c>
      <c r="CC165" s="97" t="str">
        <f aca="false">IF($BZ165&lt;&gt;Constants!$B$8,"",IF($AF165,0,Constants!$B$18))</f>
        <v/>
      </c>
      <c r="CD165" s="97" t="str">
        <f aca="false">IF($BZ165&lt;&gt;Constants!$B$8,"",((Constants!$B$31-$AZ165)-Constants!$B$31)/Constants!$B$32)</f>
        <v/>
      </c>
      <c r="CE165" s="97" t="str">
        <f aca="false">IF(ISBLANK($C165),"",IF($BZ165&lt;&gt;Constants!$B$8,$BZ165,SUM($CB165:$CD165)))</f>
        <v/>
      </c>
      <c r="CF165" s="93" t="str">
        <f aca="false">IF(ISBLANK($C165),"",IF($BZ165&lt;&gt;Constants!$B$8,$BZ165,RANK($CE165,$CE$9:$CE$508,1)))</f>
        <v/>
      </c>
      <c r="CG165" s="97" t="str">
        <f aca="false">IF($BZ165&lt;&gt;Constants!$B$8,"",IF($BM165="-&gt;",$BU165,$BI165))</f>
        <v/>
      </c>
      <c r="CH165" s="93" t="str">
        <f aca="false">IF(ISBLANK($C165),"",IF($BZ165&lt;&gt;Constants!$B$8,$BZ165,IF(ISNUMBER($CG165),RANK($CG165,$CG$9:$CG$508,1),COUNT($CG$9:$CG$508)+1)))</f>
        <v/>
      </c>
      <c r="CI165" s="97" t="str">
        <f aca="false">IF($BZ165&lt;&gt;Constants!$B$8,"",IF($BM165="-&gt;",$BV165,$BJ165))</f>
        <v/>
      </c>
      <c r="CJ165" s="93" t="str">
        <f aca="false">IF(ISBLANK($C165),"",IF($BZ165&lt;&gt;Constants!$B$8,$BZ165,IF(ISNUMBER($CI165),RANK($CI165,$CI$9:$CI$508,1),COUNT($CI$9:$CI$508)+1)))</f>
        <v/>
      </c>
      <c r="CK165" s="97" t="str">
        <f aca="false">IF($BZ165&lt;&gt;Constants!$B$8,"",IF($BM165="-&gt;",$BW165,$BK165))</f>
        <v/>
      </c>
      <c r="CL165" s="93" t="str">
        <f aca="false">IF(ISBLANK($C165),"",IF($BZ165&lt;&gt;Constants!$B$8,$BZ165,IF(ISNUMBER($CK165),RANK($CK165,$CK$9:$CK$508,1),COUNT($CK$9:$CK$508)+1)))</f>
        <v/>
      </c>
      <c r="CM165" s="97" t="str">
        <f aca="false">IF($BZ165&lt;&gt;Constants!$B$8,"",IF(AND(NOT($AL165),NOT($AT165),$AJ165,$AK165,$AR165,$AS165),"",IF($BM165="-&gt;",$BX165,$BL165)))</f>
        <v/>
      </c>
      <c r="CN165" s="93" t="str">
        <f aca="false">IF(ISBLANK($C165),"",IF($BZ165&lt;&gt;Constants!$B$8,$BZ165,IF(ISNUMBER($CM165),RANK($CM165,$CM$9:$CM$508,1),COUNT($CM$9:$CM$508)+1)))</f>
        <v/>
      </c>
      <c r="CO165" s="93" t="str">
        <f aca="false">IF(ISBLANK($C165),"",IF($BZ165&lt;&gt;Constants!$B$8,$BZ165,COUNTIFS($CF$9:$CF$508,"&lt;"&amp;$CF165)+COUNTIFS($CF$9:$CF$508,$CF165,$CH$9:$CH$508,"&lt;"&amp;$CH165)+COUNTIFS($CF$9:$CF$508,$CF165,$CH$9:$CH$508,$CH165,$CJ$9:$CJ$508,"&lt;"&amp;$CJ165)+COUNTIFS($CF$9:$CF$508,$CF165,$CH$9:$CH$508,$CH165,$CJ$9:$CJ$508,$CJ165,$CL$9:$CL$508,"&lt;"&amp;$CL165)+COUNTIFS($CF$9:$CF$508,$CF165,$CH$9:$CH$508,$CH165,$CJ$9:$CJ$508,$CJ165,$CL$9:$CL$508,$CL165,$CN$9:$CN$508,"&lt;"&amp;$CN165)+1))</f>
        <v/>
      </c>
      <c r="CP165" s="93" t="str">
        <f aca="false">IF(ISBLANK($C165),"",IF($BZ165&lt;&gt;Constants!$B$8,$BZ165,$CF165-$CO165))</f>
        <v/>
      </c>
      <c r="CQ165" s="100"/>
      <c r="CR165" s="101"/>
      <c r="CS165" s="102" t="str">
        <f aca="false">IF(ISBLANK($C165),"",IF($BZ165=Constants!$B$12,$BY165,""))</f>
        <v/>
      </c>
      <c r="CT165" s="101" t="str">
        <f aca="false">IF(ISBLANK($C165),"",IF($BZ165&lt;&gt;Constants!$B$8,"",IF($BM165="-&gt;",2,1)))</f>
        <v/>
      </c>
      <c r="CU165" s="103" t="str">
        <f aca="false">IF(ISBLANK($C165),"",IF($BZ165&lt;&gt;Constants!$B$8,"",IF($BM165="-&gt;",$BO165,$BC165)))</f>
        <v/>
      </c>
      <c r="CV165" s="103" t="str">
        <f aca="false">IF(ISBLANK($C165),"",IF($BZ165&lt;&gt;Constants!$B$8,"",IF($BM165="-&gt;",$BP165,$BD165)))</f>
        <v/>
      </c>
      <c r="CW165" s="103" t="str">
        <f aca="false">IF(ISBLANK($C165),"",IF($BZ165&lt;&gt;Constants!$B$8,"",IF($BM165="-&gt;",$BQ165+$BR165,$BE165+$BF165)+$CD165))</f>
        <v/>
      </c>
      <c r="CX165" s="103" t="str">
        <f aca="false">IF(ISBLANK($C165),"",IF($BZ165&lt;&gt;Constants!$B$8,"",IF($BM165="-&gt;",$BS165,$BG165)+$CC165))</f>
        <v/>
      </c>
      <c r="CY165" s="104" t="str">
        <f aca="false">IF(ISBLANK($C165),"",IF($BZ165&lt;&gt;Constants!$B$8,$BZ165,$CE165))</f>
        <v/>
      </c>
      <c r="CZ165" s="105" t="str">
        <f aca="false">IF(ISBLANK($C165),"",$CA165)</f>
        <v/>
      </c>
      <c r="DA165" s="106" t="str">
        <f aca="false">IF(ISBLANK($C165),"",$CP165)</f>
        <v/>
      </c>
      <c r="DB165" s="106" t="str">
        <f aca="false">IF(ISBLANK($C165),"",$CO165)</f>
        <v/>
      </c>
      <c r="DC165" s="107" t="str">
        <f aca="false">IF(ISBLANK($C165),"",IFERROR(_xlfn.SWITCH($DB165,Constants!$B$11,COUNTA($C$9:$C$508)+2,Constants!$B$10,COUNTA($C$9:$C$508)+1,Constants!$B$9,COUNTA($C$9:$C$508)),$DB165))</f>
        <v/>
      </c>
      <c r="DD165" s="9"/>
      <c r="DE165" s="108" t="n">
        <f aca="false">IF(OR(ISNUMBER($DB165),$DB165=Constants!$B$11,$DB165=Constants!$B$9,$DB165=Constants!$B$10),1,0)</f>
        <v>0</v>
      </c>
      <c r="DF165" s="108" t="n">
        <v>157</v>
      </c>
      <c r="DG165" s="108" t="str">
        <f aca="false">IF(ISBLANK($C165),"",IF(ISNUMBER($DC165),$DC165+ROW($B165)/1000,""))</f>
        <v/>
      </c>
      <c r="DH165" s="108" t="str">
        <f aca="false">IF(ISNUMBER($DG165),RANK($DG165,$DG$9:$DG$508,1),"")</f>
        <v/>
      </c>
      <c r="DI165" s="108" t="str">
        <f aca="false">IF(ISBLANK($C165),"",$B165)</f>
        <v/>
      </c>
      <c r="DJ165" s="108" t="str">
        <f aca="false">IF(ISBLANK($C165),"",$C165)</f>
        <v/>
      </c>
      <c r="DK165" s="108" t="str">
        <f aca="false">IF(ISBLANK($C165),"",$D165)</f>
        <v/>
      </c>
      <c r="DL165" s="109" t="str">
        <f aca="false">$CZ165</f>
        <v/>
      </c>
      <c r="DM165" s="110" t="str">
        <f aca="false">$CY165</f>
        <v/>
      </c>
      <c r="DN165" s="108" t="str">
        <f aca="false">IF(ISBLANK($C165),"",$DB165)</f>
        <v/>
      </c>
      <c r="DO165" s="111" t="str">
        <f aca="false">IF($DF165&gt;$DE$8,"",VLOOKUP($DF165,$DH$9:$DN$508,7,FALSE()))</f>
        <v/>
      </c>
      <c r="DP165" s="112" t="str">
        <f aca="false">IF($DF165&gt;$DE$8,"",VLOOKUP($DF165,$DH$9:$DN$508,2,FALSE()))</f>
        <v/>
      </c>
      <c r="DQ165" s="112" t="str">
        <f aca="false">IF($DF165&gt;$DE$8,"",VLOOKUP($DF165,$DH$9:$DN$508,3,FALSE()))</f>
        <v/>
      </c>
      <c r="DR165" s="112" t="str">
        <f aca="false">IF($DF165&gt;$DE$8,"",VLOOKUP($DF165,$DH$9:$DN$508,4,FALSE()))</f>
        <v/>
      </c>
      <c r="DS165" s="112" t="str">
        <f aca="false">IF($DF165&gt;$DE$8,"",VLOOKUP($DF165,$DH$9:$DN$508,5,FALSE()))</f>
        <v/>
      </c>
      <c r="DT165" s="113" t="str">
        <f aca="false">IF($DF165&gt;$DE$8,"",VLOOKUP($DF165,$DH$9:$DN$508,6,FALSE()))</f>
        <v/>
      </c>
      <c r="DU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IF(ISBLANK($C166),"",IF(E166=Constants!$B$3,TRUE(),IF(E166=Constants!$B$4,FALSE(),TRUE())))</f>
        <v/>
      </c>
      <c r="AG166" s="93" t="str">
        <f aca="false">IF(ISBLANK($C166),"",IF(F166=Constants!$B$3,TRUE(),IF(F166=Constants!$B$4,FALSE(),TRUE())))</f>
        <v/>
      </c>
      <c r="AH166" s="93" t="str">
        <f aca="false">IF(ISBLANK($C166),"",IF(G166=Constants!$B$3,TRUE(),IF(G166=Constants!$B$4,FALSE(),TRUE())))</f>
        <v/>
      </c>
      <c r="AI166" s="93" t="str">
        <f aca="false">IF(ISBLANK($C166),"",IF(AND(ISNUMBER(H166),H166&gt;=0),H166,Constants!$B$29))</f>
        <v/>
      </c>
      <c r="AJ166" s="93" t="str">
        <f aca="false">IF(ISBLANK($C166),"",IF(I166=Constants!$B$3,TRUE(),IF(I166=Constants!$B$4,FALSE(),TRUE())))</f>
        <v/>
      </c>
      <c r="AK166" s="93" t="str">
        <f aca="false">IF(ISBLANK($C166),"",IF(J166=Constants!$B$3,TRUE(),IF(J166=Constants!$B$4,FALSE(),TRUE())))</f>
        <v/>
      </c>
      <c r="AL166" s="93" t="str">
        <f aca="false">IF(ISBLANK($C166),"",IF(K166=Constants!$B$5,TRUE(),IF(K166=Constants!$B$6,FALSE(),COUNTA(L166:P166)&gt;0)))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IF(ISBLANK($C166),"",IF(N166=Constants!$B$3,TRUE(),IF(N166=Constants!$B$4,FALSE(),TRUE())))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IF(ISBLANK($C166),"",IF(P166=Constants!$B$3,TRUE(),IF(P166=Constants!$B$4,FALSE(),FALSE())))</f>
        <v/>
      </c>
      <c r="AR166" s="93" t="str">
        <f aca="false">IF(ISBLANK($C166),"",IF(Q166=Constants!$B$3,TRUE(),IF(Q166=Constants!$B$4,FALSE(),TRUE())))</f>
        <v/>
      </c>
      <c r="AS166" s="93" t="str">
        <f aca="false">IF(ISBLANK($C166),"",IF(R166=Constants!$B$3,TRUE(),IF(R166=Constants!$B$4,FALSE(),TRUE())))</f>
        <v/>
      </c>
      <c r="AT166" s="93" t="str">
        <f aca="false">IF(ISBLANK($C166),"",IF(S166=Constants!$B$5,TRUE(),IF(S166=Constants!$B$6,FALSE(),COUNTA(T166:X166)&gt;0)))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IF(ISBLANK($C166),"",IF(V166=Constants!$B$3,TRUE(),IF(V166=Constants!$B$4,FALSE(),TRUE())))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IF(ISBLANK($C166),"",IF(X166=Constants!$B$3,TRUE(),IF(X166=Constants!$B$4,FALSE(),FALSE())))</f>
        <v/>
      </c>
      <c r="AZ166" s="93" t="str">
        <f aca="false">IF(ISBLANK($C166),"",MIN(Constants!$B$31,MAX(0,IF(ISNUMBER(Y166),Y166*60,0)+IF(ISNUMBER(Z166),Z166,0))))</f>
        <v/>
      </c>
      <c r="BA166" s="93" t="str">
        <f aca="false">IF(ISBLANK($C166),"",IF(AA166=Constants!$B$3,TRUE(),IF(AA166=Constants!$B$4,FALSE(),FALSE())))</f>
        <v/>
      </c>
      <c r="BB166" s="92" t="str">
        <f aca="false">IF(ISBLANK($C166),"",AND($AL166,OR($AM166="",$AN166="",AND($AO166,$AP166=""))))</f>
        <v/>
      </c>
      <c r="BC166" s="94" t="str">
        <f aca="false">IF($BZ166&lt;&gt;Constants!$B$8,"",IF($AL166,Constants!$B$21*$AN166+Constants!$B$22*IF($AO166,$AP166,Constants!$B$23),Constants!$B$24))</f>
        <v/>
      </c>
      <c r="BD166" s="97" t="str">
        <f aca="false">IF($BZ166&lt;&gt;Constants!$B$8,"",Constants!$B$25*ABS($AD$9-IF($AL166,$AM166,0)))</f>
        <v/>
      </c>
      <c r="BE166" s="97" t="str">
        <f aca="false">IF($BZ166&lt;&gt;Constants!$B$8,"",IF(AND($AL166,$AQ166,$AO166),Constants!$B$27,0))</f>
        <v/>
      </c>
      <c r="BF166" s="97" t="str">
        <f aca="false">IF($BZ166&lt;&gt;Constants!$B$8,"",IF($AL166,($AI166-Constants!$B$29)*Constants!$B$28,0))</f>
        <v/>
      </c>
      <c r="BG166" s="97" t="str">
        <f aca="false">IF($BZ166&lt;&gt;Constants!$B$8,"",IF($AK166,0,Constants!$B$15)+IF($AJ166,0,Constants!$B$16)+IF($AH166,0,Constants!$B$17))</f>
        <v/>
      </c>
      <c r="BH166" s="98" t="str">
        <f aca="false">IF($BZ166&lt;&gt;Constants!$B$8,"",Constants!$B$20+SUM($BC166:$BG166))</f>
        <v/>
      </c>
      <c r="BI166" s="97" t="str">
        <f aca="false">IF($BZ166&lt;&gt;Constants!$B$8,"",$BC166)</f>
        <v/>
      </c>
      <c r="BJ166" s="97" t="str">
        <f aca="false">IF($BZ166&lt;&gt;Constants!$B$8,"",$BD166)</f>
        <v/>
      </c>
      <c r="BK166" s="97" t="str">
        <f aca="false">IF($BZ166&lt;&gt;Constants!$B$8,"",IF($AL166,$AN166,""))</f>
        <v/>
      </c>
      <c r="BL166" s="99" t="str">
        <f aca="false">IF($BZ166&lt;&gt;Constants!$B$8,"",$AI166)</f>
        <v/>
      </c>
      <c r="BM166" s="93" t="str">
        <f aca="false">IF($BZ166&lt;&gt;Constants!$B$8,"",IF(OR($BT166&lt;$BH166,AND($BT166=$BH166,OR($BU166&lt;$BI166,AND($BU166=$BI166,OR($BV166&lt;$BJ166,AND($BV166=$BJ166,OR(AND(ISNUMBER($BW166),OR(NOT(ISNUMBER($BK166)),$BW166&lt;$BK166)),AND(OR(AND($BW166="",$BK166=""),AND(ISNUMBER($BW166),ISNUMBER($BK166),$BW166=$BK166)),$BX166&lt;$BL166)))))))),"-&gt;","&lt;-"))</f>
        <v/>
      </c>
      <c r="BN166" s="92" t="str">
        <f aca="false">IF(ISBLANK($C166),"",AND($AT166,OR($AU166="",$AV166="",AND($AW166,$AX166=""))))</f>
        <v/>
      </c>
      <c r="BO166" s="94" t="str">
        <f aca="false">IF($BZ166&lt;&gt;Constants!$B$8,"",IF($AT166,Constants!$B$21*$AV166+Constants!$B$22*IF($AW166,$AX166,Constants!$B$23),Constants!$B$24))</f>
        <v/>
      </c>
      <c r="BP166" s="97" t="str">
        <f aca="false">IF($BZ166&lt;&gt;Constants!$B$8,"",Constants!$B$25*ABS($AD$9-IF($AT166,$AU166,0)))</f>
        <v/>
      </c>
      <c r="BQ166" s="97" t="str">
        <f aca="false">IF($BZ166&lt;&gt;Constants!$B$8,"",IF(AND($AT166,$AY166,$AW166),Constants!$B$27,0))</f>
        <v/>
      </c>
      <c r="BR166" s="97" t="str">
        <f aca="false">IF($BZ166&lt;&gt;Constants!$B$8,"",IF($AT166,($AI166-Constants!$B$29)*Constants!$B$28,0))</f>
        <v/>
      </c>
      <c r="BS166" s="97" t="str">
        <f aca="false">IF($BZ166&lt;&gt;Constants!$B$8,"",IF($AS166,0,Constants!$B$15)+IF($AR166,0,Constants!$B$16)+IF($AH166,0,Constants!$B$17))</f>
        <v/>
      </c>
      <c r="BT166" s="98" t="str">
        <f aca="false">IF($BZ166&lt;&gt;Constants!$B$8,"",Constants!$B$20+SUM($BO166:$BS166))</f>
        <v/>
      </c>
      <c r="BU166" s="97" t="str">
        <f aca="false">IF($BZ166&lt;&gt;Constants!$B$8,"",$BO166)</f>
        <v/>
      </c>
      <c r="BV166" s="97" t="str">
        <f aca="false">IF($BZ166&lt;&gt;Constants!$B$8,"",$BP166)</f>
        <v/>
      </c>
      <c r="BW166" s="97" t="str">
        <f aca="false">IF($BZ166&lt;&gt;Constants!$B$8,"",IF($AT166,$AV166,""))</f>
        <v/>
      </c>
      <c r="BX166" s="99" t="str">
        <f aca="false">IF($BZ166&lt;&gt;Constants!$B$8,"",$AI166)</f>
        <v/>
      </c>
      <c r="BY166" s="93" t="str">
        <f aca="false">IF(ISBLANK($C166),"",IF(ISBLANK($D$7),$BY$5,IF(NOT(ISNUMBER($D$7)),$BY$6,"")))</f>
        <v/>
      </c>
      <c r="BZ166" s="93" t="str">
        <f aca="false">IF(ISBLANK($C166),"",IF($BA166,Constants!$B$11,IF(COUNTA($E166:$AA166)=0,Constants!$B$10,IF(NOT($AG166),Constants!$B$9,IF(OR($BY166&lt;&gt;"",$BB166,$BN166),Constants!$B$12,Constants!$B$8)))))</f>
        <v/>
      </c>
      <c r="CA166" s="93" t="str">
        <f aca="false">IF(ISBLANK($C166),"",IF($BZ166&lt;&gt;Constants!$B$8,$BZ166,Constants!$B$13))</f>
        <v/>
      </c>
      <c r="CB166" s="97" t="str">
        <f aca="false">IF($BZ166&lt;&gt;Constants!$B$8,"",IF($BM166="-&gt;",$BT166,$BH166))</f>
        <v/>
      </c>
      <c r="CC166" s="97" t="str">
        <f aca="false">IF($BZ166&lt;&gt;Constants!$B$8,"",IF($AF166,0,Constants!$B$18))</f>
        <v/>
      </c>
      <c r="CD166" s="97" t="str">
        <f aca="false">IF($BZ166&lt;&gt;Constants!$B$8,"",((Constants!$B$31-$AZ166)-Constants!$B$31)/Constants!$B$32)</f>
        <v/>
      </c>
      <c r="CE166" s="97" t="str">
        <f aca="false">IF(ISBLANK($C166),"",IF($BZ166&lt;&gt;Constants!$B$8,$BZ166,SUM($CB166:$CD166)))</f>
        <v/>
      </c>
      <c r="CF166" s="93" t="str">
        <f aca="false">IF(ISBLANK($C166),"",IF($BZ166&lt;&gt;Constants!$B$8,$BZ166,RANK($CE166,$CE$9:$CE$508,1)))</f>
        <v/>
      </c>
      <c r="CG166" s="97" t="str">
        <f aca="false">IF($BZ166&lt;&gt;Constants!$B$8,"",IF($BM166="-&gt;",$BU166,$BI166))</f>
        <v/>
      </c>
      <c r="CH166" s="93" t="str">
        <f aca="false">IF(ISBLANK($C166),"",IF($BZ166&lt;&gt;Constants!$B$8,$BZ166,IF(ISNUMBER($CG166),RANK($CG166,$CG$9:$CG$508,1),COUNT($CG$9:$CG$508)+1)))</f>
        <v/>
      </c>
      <c r="CI166" s="97" t="str">
        <f aca="false">IF($BZ166&lt;&gt;Constants!$B$8,"",IF($BM166="-&gt;",$BV166,$BJ166))</f>
        <v/>
      </c>
      <c r="CJ166" s="93" t="str">
        <f aca="false">IF(ISBLANK($C166),"",IF($BZ166&lt;&gt;Constants!$B$8,$BZ166,IF(ISNUMBER($CI166),RANK($CI166,$CI$9:$CI$508,1),COUNT($CI$9:$CI$508)+1)))</f>
        <v/>
      </c>
      <c r="CK166" s="97" t="str">
        <f aca="false">IF($BZ166&lt;&gt;Constants!$B$8,"",IF($BM166="-&gt;",$BW166,$BK166))</f>
        <v/>
      </c>
      <c r="CL166" s="93" t="str">
        <f aca="false">IF(ISBLANK($C166),"",IF($BZ166&lt;&gt;Constants!$B$8,$BZ166,IF(ISNUMBER($CK166),RANK($CK166,$CK$9:$CK$508,1),COUNT($CK$9:$CK$508)+1)))</f>
        <v/>
      </c>
      <c r="CM166" s="97" t="str">
        <f aca="false">IF($BZ166&lt;&gt;Constants!$B$8,"",IF(AND(NOT($AL166),NOT($AT166),$AJ166,$AK166,$AR166,$AS166),"",IF($BM166="-&gt;",$BX166,$BL166)))</f>
        <v/>
      </c>
      <c r="CN166" s="93" t="str">
        <f aca="false">IF(ISBLANK($C166),"",IF($BZ166&lt;&gt;Constants!$B$8,$BZ166,IF(ISNUMBER($CM166),RANK($CM166,$CM$9:$CM$508,1),COUNT($CM$9:$CM$508)+1)))</f>
        <v/>
      </c>
      <c r="CO166" s="93" t="str">
        <f aca="false">IF(ISBLANK($C166),"",IF($BZ166&lt;&gt;Constants!$B$8,$BZ166,COUNTIFS($CF$9:$CF$508,"&lt;"&amp;$CF166)+COUNTIFS($CF$9:$CF$508,$CF166,$CH$9:$CH$508,"&lt;"&amp;$CH166)+COUNTIFS($CF$9:$CF$508,$CF166,$CH$9:$CH$508,$CH166,$CJ$9:$CJ$508,"&lt;"&amp;$CJ166)+COUNTIFS($CF$9:$CF$508,$CF166,$CH$9:$CH$508,$CH166,$CJ$9:$CJ$508,$CJ166,$CL$9:$CL$508,"&lt;"&amp;$CL166)+COUNTIFS($CF$9:$CF$508,$CF166,$CH$9:$CH$508,$CH166,$CJ$9:$CJ$508,$CJ166,$CL$9:$CL$508,$CL166,$CN$9:$CN$508,"&lt;"&amp;$CN166)+1))</f>
        <v/>
      </c>
      <c r="CP166" s="93" t="str">
        <f aca="false">IF(ISBLANK($C166),"",IF($BZ166&lt;&gt;Constants!$B$8,$BZ166,$CF166-$CO166))</f>
        <v/>
      </c>
      <c r="CQ166" s="100"/>
      <c r="CR166" s="101"/>
      <c r="CS166" s="102" t="str">
        <f aca="false">IF(ISBLANK($C166),"",IF($BZ166=Constants!$B$12,$BY166,""))</f>
        <v/>
      </c>
      <c r="CT166" s="101" t="str">
        <f aca="false">IF(ISBLANK($C166),"",IF($BZ166&lt;&gt;Constants!$B$8,"",IF($BM166="-&gt;",2,1)))</f>
        <v/>
      </c>
      <c r="CU166" s="103" t="str">
        <f aca="false">IF(ISBLANK($C166),"",IF($BZ166&lt;&gt;Constants!$B$8,"",IF($BM166="-&gt;",$BO166,$BC166)))</f>
        <v/>
      </c>
      <c r="CV166" s="103" t="str">
        <f aca="false">IF(ISBLANK($C166),"",IF($BZ166&lt;&gt;Constants!$B$8,"",IF($BM166="-&gt;",$BP166,$BD166)))</f>
        <v/>
      </c>
      <c r="CW166" s="103" t="str">
        <f aca="false">IF(ISBLANK($C166),"",IF($BZ166&lt;&gt;Constants!$B$8,"",IF($BM166="-&gt;",$BQ166+$BR166,$BE166+$BF166)+$CD166))</f>
        <v/>
      </c>
      <c r="CX166" s="103" t="str">
        <f aca="false">IF(ISBLANK($C166),"",IF($BZ166&lt;&gt;Constants!$B$8,"",IF($BM166="-&gt;",$BS166,$BG166)+$CC166))</f>
        <v/>
      </c>
      <c r="CY166" s="104" t="str">
        <f aca="false">IF(ISBLANK($C166),"",IF($BZ166&lt;&gt;Constants!$B$8,$BZ166,$CE166))</f>
        <v/>
      </c>
      <c r="CZ166" s="105" t="str">
        <f aca="false">IF(ISBLANK($C166),"",$CA166)</f>
        <v/>
      </c>
      <c r="DA166" s="106" t="str">
        <f aca="false">IF(ISBLANK($C166),"",$CP166)</f>
        <v/>
      </c>
      <c r="DB166" s="106" t="str">
        <f aca="false">IF(ISBLANK($C166),"",$CO166)</f>
        <v/>
      </c>
      <c r="DC166" s="107" t="str">
        <f aca="false">IF(ISBLANK($C166),"",IFERROR(_xlfn.SWITCH($DB166,Constants!$B$11,COUNTA($C$9:$C$508)+2,Constants!$B$10,COUNTA($C$9:$C$508)+1,Constants!$B$9,COUNTA($C$9:$C$508)),$DB166))</f>
        <v/>
      </c>
      <c r="DD166" s="9"/>
      <c r="DE166" s="108" t="n">
        <f aca="false">IF(OR(ISNUMBER($DB166),$DB166=Constants!$B$11,$DB166=Constants!$B$9,$DB166=Constants!$B$10),1,0)</f>
        <v>0</v>
      </c>
      <c r="DF166" s="108" t="n">
        <v>158</v>
      </c>
      <c r="DG166" s="108" t="str">
        <f aca="false">IF(ISBLANK($C166),"",IF(ISNUMBER($DC166),$DC166+ROW($B166)/1000,""))</f>
        <v/>
      </c>
      <c r="DH166" s="108" t="str">
        <f aca="false">IF(ISNUMBER($DG166),RANK($DG166,$DG$9:$DG$508,1),"")</f>
        <v/>
      </c>
      <c r="DI166" s="108" t="str">
        <f aca="false">IF(ISBLANK($C166),"",$B166)</f>
        <v/>
      </c>
      <c r="DJ166" s="108" t="str">
        <f aca="false">IF(ISBLANK($C166),"",$C166)</f>
        <v/>
      </c>
      <c r="DK166" s="108" t="str">
        <f aca="false">IF(ISBLANK($C166),"",$D166)</f>
        <v/>
      </c>
      <c r="DL166" s="109" t="str">
        <f aca="false">$CZ166</f>
        <v/>
      </c>
      <c r="DM166" s="110" t="str">
        <f aca="false">$CY166</f>
        <v/>
      </c>
      <c r="DN166" s="108" t="str">
        <f aca="false">IF(ISBLANK($C166),"",$DB166)</f>
        <v/>
      </c>
      <c r="DO166" s="111" t="str">
        <f aca="false">IF($DF166&gt;$DE$8,"",VLOOKUP($DF166,$DH$9:$DN$508,7,FALSE()))</f>
        <v/>
      </c>
      <c r="DP166" s="112" t="str">
        <f aca="false">IF($DF166&gt;$DE$8,"",VLOOKUP($DF166,$DH$9:$DN$508,2,FALSE()))</f>
        <v/>
      </c>
      <c r="DQ166" s="112" t="str">
        <f aca="false">IF($DF166&gt;$DE$8,"",VLOOKUP($DF166,$DH$9:$DN$508,3,FALSE()))</f>
        <v/>
      </c>
      <c r="DR166" s="112" t="str">
        <f aca="false">IF($DF166&gt;$DE$8,"",VLOOKUP($DF166,$DH$9:$DN$508,4,FALSE()))</f>
        <v/>
      </c>
      <c r="DS166" s="112" t="str">
        <f aca="false">IF($DF166&gt;$DE$8,"",VLOOKUP($DF166,$DH$9:$DN$508,5,FALSE()))</f>
        <v/>
      </c>
      <c r="DT166" s="113" t="str">
        <f aca="false">IF($DF166&gt;$DE$8,"",VLOOKUP($DF166,$DH$9:$DN$508,6,FALSE()))</f>
        <v/>
      </c>
      <c r="DU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IF(ISBLANK($C167),"",IF(E167=Constants!$B$3,TRUE(),IF(E167=Constants!$B$4,FALSE(),TRUE())))</f>
        <v/>
      </c>
      <c r="AG167" s="93" t="str">
        <f aca="false">IF(ISBLANK($C167),"",IF(F167=Constants!$B$3,TRUE(),IF(F167=Constants!$B$4,FALSE(),TRUE())))</f>
        <v/>
      </c>
      <c r="AH167" s="93" t="str">
        <f aca="false">IF(ISBLANK($C167),"",IF(G167=Constants!$B$3,TRUE(),IF(G167=Constants!$B$4,FALSE(),TRUE())))</f>
        <v/>
      </c>
      <c r="AI167" s="93" t="str">
        <f aca="false">IF(ISBLANK($C167),"",IF(AND(ISNUMBER(H167),H167&gt;=0),H167,Constants!$B$29))</f>
        <v/>
      </c>
      <c r="AJ167" s="93" t="str">
        <f aca="false">IF(ISBLANK($C167),"",IF(I167=Constants!$B$3,TRUE(),IF(I167=Constants!$B$4,FALSE(),TRUE())))</f>
        <v/>
      </c>
      <c r="AK167" s="93" t="str">
        <f aca="false">IF(ISBLANK($C167),"",IF(J167=Constants!$B$3,TRUE(),IF(J167=Constants!$B$4,FALSE(),TRUE())))</f>
        <v/>
      </c>
      <c r="AL167" s="93" t="str">
        <f aca="false">IF(ISBLANK($C167),"",IF(K167=Constants!$B$5,TRUE(),IF(K167=Constants!$B$6,FALSE(),COUNTA(L167:P167)&gt;0)))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IF(ISBLANK($C167),"",IF(N167=Constants!$B$3,TRUE(),IF(N167=Constants!$B$4,FALSE(),TRUE())))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IF(ISBLANK($C167),"",IF(P167=Constants!$B$3,TRUE(),IF(P167=Constants!$B$4,FALSE(),FALSE())))</f>
        <v/>
      </c>
      <c r="AR167" s="93" t="str">
        <f aca="false">IF(ISBLANK($C167),"",IF(Q167=Constants!$B$3,TRUE(),IF(Q167=Constants!$B$4,FALSE(),TRUE())))</f>
        <v/>
      </c>
      <c r="AS167" s="93" t="str">
        <f aca="false">IF(ISBLANK($C167),"",IF(R167=Constants!$B$3,TRUE(),IF(R167=Constants!$B$4,FALSE(),TRUE())))</f>
        <v/>
      </c>
      <c r="AT167" s="93" t="str">
        <f aca="false">IF(ISBLANK($C167),"",IF(S167=Constants!$B$5,TRUE(),IF(S167=Constants!$B$6,FALSE(),COUNTA(T167:X167)&gt;0)))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IF(ISBLANK($C167),"",IF(V167=Constants!$B$3,TRUE(),IF(V167=Constants!$B$4,FALSE(),TRUE())))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IF(ISBLANK($C167),"",IF(X167=Constants!$B$3,TRUE(),IF(X167=Constants!$B$4,FALSE(),FALSE())))</f>
        <v/>
      </c>
      <c r="AZ167" s="93" t="str">
        <f aca="false">IF(ISBLANK($C167),"",MIN(Constants!$B$31,MAX(0,IF(ISNUMBER(Y167),Y167*60,0)+IF(ISNUMBER(Z167),Z167,0))))</f>
        <v/>
      </c>
      <c r="BA167" s="93" t="str">
        <f aca="false">IF(ISBLANK($C167),"",IF(AA167=Constants!$B$3,TRUE(),IF(AA167=Constants!$B$4,FALSE(),FALSE())))</f>
        <v/>
      </c>
      <c r="BB167" s="92" t="str">
        <f aca="false">IF(ISBLANK($C167),"",AND($AL167,OR($AM167="",$AN167="",AND($AO167,$AP167=""))))</f>
        <v/>
      </c>
      <c r="BC167" s="94" t="str">
        <f aca="false">IF($BZ167&lt;&gt;Constants!$B$8,"",IF($AL167,Constants!$B$21*$AN167+Constants!$B$22*IF($AO167,$AP167,Constants!$B$23),Constants!$B$24))</f>
        <v/>
      </c>
      <c r="BD167" s="97" t="str">
        <f aca="false">IF($BZ167&lt;&gt;Constants!$B$8,"",Constants!$B$25*ABS($AD$9-IF($AL167,$AM167,0)))</f>
        <v/>
      </c>
      <c r="BE167" s="97" t="str">
        <f aca="false">IF($BZ167&lt;&gt;Constants!$B$8,"",IF(AND($AL167,$AQ167,$AO167),Constants!$B$27,0))</f>
        <v/>
      </c>
      <c r="BF167" s="97" t="str">
        <f aca="false">IF($BZ167&lt;&gt;Constants!$B$8,"",IF($AL167,($AI167-Constants!$B$29)*Constants!$B$28,0))</f>
        <v/>
      </c>
      <c r="BG167" s="97" t="str">
        <f aca="false">IF($BZ167&lt;&gt;Constants!$B$8,"",IF($AK167,0,Constants!$B$15)+IF($AJ167,0,Constants!$B$16)+IF($AH167,0,Constants!$B$17))</f>
        <v/>
      </c>
      <c r="BH167" s="98" t="str">
        <f aca="false">IF($BZ167&lt;&gt;Constants!$B$8,"",Constants!$B$20+SUM($BC167:$BG167))</f>
        <v/>
      </c>
      <c r="BI167" s="97" t="str">
        <f aca="false">IF($BZ167&lt;&gt;Constants!$B$8,"",$BC167)</f>
        <v/>
      </c>
      <c r="BJ167" s="97" t="str">
        <f aca="false">IF($BZ167&lt;&gt;Constants!$B$8,"",$BD167)</f>
        <v/>
      </c>
      <c r="BK167" s="97" t="str">
        <f aca="false">IF($BZ167&lt;&gt;Constants!$B$8,"",IF($AL167,$AN167,""))</f>
        <v/>
      </c>
      <c r="BL167" s="99" t="str">
        <f aca="false">IF($BZ167&lt;&gt;Constants!$B$8,"",$AI167)</f>
        <v/>
      </c>
      <c r="BM167" s="93" t="str">
        <f aca="false">IF($BZ167&lt;&gt;Constants!$B$8,"",IF(OR($BT167&lt;$BH167,AND($BT167=$BH167,OR($BU167&lt;$BI167,AND($BU167=$BI167,OR($BV167&lt;$BJ167,AND($BV167=$BJ167,OR(AND(ISNUMBER($BW167),OR(NOT(ISNUMBER($BK167)),$BW167&lt;$BK167)),AND(OR(AND($BW167="",$BK167=""),AND(ISNUMBER($BW167),ISNUMBER($BK167),$BW167=$BK167)),$BX167&lt;$BL167)))))))),"-&gt;","&lt;-"))</f>
        <v/>
      </c>
      <c r="BN167" s="92" t="str">
        <f aca="false">IF(ISBLANK($C167),"",AND($AT167,OR($AU167="",$AV167="",AND($AW167,$AX167=""))))</f>
        <v/>
      </c>
      <c r="BO167" s="94" t="str">
        <f aca="false">IF($BZ167&lt;&gt;Constants!$B$8,"",IF($AT167,Constants!$B$21*$AV167+Constants!$B$22*IF($AW167,$AX167,Constants!$B$23),Constants!$B$24))</f>
        <v/>
      </c>
      <c r="BP167" s="97" t="str">
        <f aca="false">IF($BZ167&lt;&gt;Constants!$B$8,"",Constants!$B$25*ABS($AD$9-IF($AT167,$AU167,0)))</f>
        <v/>
      </c>
      <c r="BQ167" s="97" t="str">
        <f aca="false">IF($BZ167&lt;&gt;Constants!$B$8,"",IF(AND($AT167,$AY167,$AW167),Constants!$B$27,0))</f>
        <v/>
      </c>
      <c r="BR167" s="97" t="str">
        <f aca="false">IF($BZ167&lt;&gt;Constants!$B$8,"",IF($AT167,($AI167-Constants!$B$29)*Constants!$B$28,0))</f>
        <v/>
      </c>
      <c r="BS167" s="97" t="str">
        <f aca="false">IF($BZ167&lt;&gt;Constants!$B$8,"",IF($AS167,0,Constants!$B$15)+IF($AR167,0,Constants!$B$16)+IF($AH167,0,Constants!$B$17))</f>
        <v/>
      </c>
      <c r="BT167" s="98" t="str">
        <f aca="false">IF($BZ167&lt;&gt;Constants!$B$8,"",Constants!$B$20+SUM($BO167:$BS167))</f>
        <v/>
      </c>
      <c r="BU167" s="97" t="str">
        <f aca="false">IF($BZ167&lt;&gt;Constants!$B$8,"",$BO167)</f>
        <v/>
      </c>
      <c r="BV167" s="97" t="str">
        <f aca="false">IF($BZ167&lt;&gt;Constants!$B$8,"",$BP167)</f>
        <v/>
      </c>
      <c r="BW167" s="97" t="str">
        <f aca="false">IF($BZ167&lt;&gt;Constants!$B$8,"",IF($AT167,$AV167,""))</f>
        <v/>
      </c>
      <c r="BX167" s="99" t="str">
        <f aca="false">IF($BZ167&lt;&gt;Constants!$B$8,"",$AI167)</f>
        <v/>
      </c>
      <c r="BY167" s="93" t="str">
        <f aca="false">IF(ISBLANK($C167),"",IF(ISBLANK($D$7),$BY$5,IF(NOT(ISNUMBER($D$7)),$BY$6,"")))</f>
        <v/>
      </c>
      <c r="BZ167" s="93" t="str">
        <f aca="false">IF(ISBLANK($C167),"",IF($BA167,Constants!$B$11,IF(COUNTA($E167:$AA167)=0,Constants!$B$10,IF(NOT($AG167),Constants!$B$9,IF(OR($BY167&lt;&gt;"",$BB167,$BN167),Constants!$B$12,Constants!$B$8)))))</f>
        <v/>
      </c>
      <c r="CA167" s="93" t="str">
        <f aca="false">IF(ISBLANK($C167),"",IF($BZ167&lt;&gt;Constants!$B$8,$BZ167,Constants!$B$13))</f>
        <v/>
      </c>
      <c r="CB167" s="97" t="str">
        <f aca="false">IF($BZ167&lt;&gt;Constants!$B$8,"",IF($BM167="-&gt;",$BT167,$BH167))</f>
        <v/>
      </c>
      <c r="CC167" s="97" t="str">
        <f aca="false">IF($BZ167&lt;&gt;Constants!$B$8,"",IF($AF167,0,Constants!$B$18))</f>
        <v/>
      </c>
      <c r="CD167" s="97" t="str">
        <f aca="false">IF($BZ167&lt;&gt;Constants!$B$8,"",((Constants!$B$31-$AZ167)-Constants!$B$31)/Constants!$B$32)</f>
        <v/>
      </c>
      <c r="CE167" s="97" t="str">
        <f aca="false">IF(ISBLANK($C167),"",IF($BZ167&lt;&gt;Constants!$B$8,$BZ167,SUM($CB167:$CD167)))</f>
        <v/>
      </c>
      <c r="CF167" s="93" t="str">
        <f aca="false">IF(ISBLANK($C167),"",IF($BZ167&lt;&gt;Constants!$B$8,$BZ167,RANK($CE167,$CE$9:$CE$508,1)))</f>
        <v/>
      </c>
      <c r="CG167" s="97" t="str">
        <f aca="false">IF($BZ167&lt;&gt;Constants!$B$8,"",IF($BM167="-&gt;",$BU167,$BI167))</f>
        <v/>
      </c>
      <c r="CH167" s="93" t="str">
        <f aca="false">IF(ISBLANK($C167),"",IF($BZ167&lt;&gt;Constants!$B$8,$BZ167,IF(ISNUMBER($CG167),RANK($CG167,$CG$9:$CG$508,1),COUNT($CG$9:$CG$508)+1)))</f>
        <v/>
      </c>
      <c r="CI167" s="97" t="str">
        <f aca="false">IF($BZ167&lt;&gt;Constants!$B$8,"",IF($BM167="-&gt;",$BV167,$BJ167))</f>
        <v/>
      </c>
      <c r="CJ167" s="93" t="str">
        <f aca="false">IF(ISBLANK($C167),"",IF($BZ167&lt;&gt;Constants!$B$8,$BZ167,IF(ISNUMBER($CI167),RANK($CI167,$CI$9:$CI$508,1),COUNT($CI$9:$CI$508)+1)))</f>
        <v/>
      </c>
      <c r="CK167" s="97" t="str">
        <f aca="false">IF($BZ167&lt;&gt;Constants!$B$8,"",IF($BM167="-&gt;",$BW167,$BK167))</f>
        <v/>
      </c>
      <c r="CL167" s="93" t="str">
        <f aca="false">IF(ISBLANK($C167),"",IF($BZ167&lt;&gt;Constants!$B$8,$BZ167,IF(ISNUMBER($CK167),RANK($CK167,$CK$9:$CK$508,1),COUNT($CK$9:$CK$508)+1)))</f>
        <v/>
      </c>
      <c r="CM167" s="97" t="str">
        <f aca="false">IF($BZ167&lt;&gt;Constants!$B$8,"",IF(AND(NOT($AL167),NOT($AT167),$AJ167,$AK167,$AR167,$AS167),"",IF($BM167="-&gt;",$BX167,$BL167)))</f>
        <v/>
      </c>
      <c r="CN167" s="93" t="str">
        <f aca="false">IF(ISBLANK($C167),"",IF($BZ167&lt;&gt;Constants!$B$8,$BZ167,IF(ISNUMBER($CM167),RANK($CM167,$CM$9:$CM$508,1),COUNT($CM$9:$CM$508)+1)))</f>
        <v/>
      </c>
      <c r="CO167" s="93" t="str">
        <f aca="false">IF(ISBLANK($C167),"",IF($BZ167&lt;&gt;Constants!$B$8,$BZ167,COUNTIFS($CF$9:$CF$508,"&lt;"&amp;$CF167)+COUNTIFS($CF$9:$CF$508,$CF167,$CH$9:$CH$508,"&lt;"&amp;$CH167)+COUNTIFS($CF$9:$CF$508,$CF167,$CH$9:$CH$508,$CH167,$CJ$9:$CJ$508,"&lt;"&amp;$CJ167)+COUNTIFS($CF$9:$CF$508,$CF167,$CH$9:$CH$508,$CH167,$CJ$9:$CJ$508,$CJ167,$CL$9:$CL$508,"&lt;"&amp;$CL167)+COUNTIFS($CF$9:$CF$508,$CF167,$CH$9:$CH$508,$CH167,$CJ$9:$CJ$508,$CJ167,$CL$9:$CL$508,$CL167,$CN$9:$CN$508,"&lt;"&amp;$CN167)+1))</f>
        <v/>
      </c>
      <c r="CP167" s="93" t="str">
        <f aca="false">IF(ISBLANK($C167),"",IF($BZ167&lt;&gt;Constants!$B$8,$BZ167,$CF167-$CO167))</f>
        <v/>
      </c>
      <c r="CQ167" s="100"/>
      <c r="CR167" s="101"/>
      <c r="CS167" s="102" t="str">
        <f aca="false">IF(ISBLANK($C167),"",IF($BZ167=Constants!$B$12,$BY167,""))</f>
        <v/>
      </c>
      <c r="CT167" s="101" t="str">
        <f aca="false">IF(ISBLANK($C167),"",IF($BZ167&lt;&gt;Constants!$B$8,"",IF($BM167="-&gt;",2,1)))</f>
        <v/>
      </c>
      <c r="CU167" s="103" t="str">
        <f aca="false">IF(ISBLANK($C167),"",IF($BZ167&lt;&gt;Constants!$B$8,"",IF($BM167="-&gt;",$BO167,$BC167)))</f>
        <v/>
      </c>
      <c r="CV167" s="103" t="str">
        <f aca="false">IF(ISBLANK($C167),"",IF($BZ167&lt;&gt;Constants!$B$8,"",IF($BM167="-&gt;",$BP167,$BD167)))</f>
        <v/>
      </c>
      <c r="CW167" s="103" t="str">
        <f aca="false">IF(ISBLANK($C167),"",IF($BZ167&lt;&gt;Constants!$B$8,"",IF($BM167="-&gt;",$BQ167+$BR167,$BE167+$BF167)+$CD167))</f>
        <v/>
      </c>
      <c r="CX167" s="103" t="str">
        <f aca="false">IF(ISBLANK($C167),"",IF($BZ167&lt;&gt;Constants!$B$8,"",IF($BM167="-&gt;",$BS167,$BG167)+$CC167))</f>
        <v/>
      </c>
      <c r="CY167" s="104" t="str">
        <f aca="false">IF(ISBLANK($C167),"",IF($BZ167&lt;&gt;Constants!$B$8,$BZ167,$CE167))</f>
        <v/>
      </c>
      <c r="CZ167" s="105" t="str">
        <f aca="false">IF(ISBLANK($C167),"",$CA167)</f>
        <v/>
      </c>
      <c r="DA167" s="106" t="str">
        <f aca="false">IF(ISBLANK($C167),"",$CP167)</f>
        <v/>
      </c>
      <c r="DB167" s="106" t="str">
        <f aca="false">IF(ISBLANK($C167),"",$CO167)</f>
        <v/>
      </c>
      <c r="DC167" s="107" t="str">
        <f aca="false">IF(ISBLANK($C167),"",IFERROR(_xlfn.SWITCH($DB167,Constants!$B$11,COUNTA($C$9:$C$508)+2,Constants!$B$10,COUNTA($C$9:$C$508)+1,Constants!$B$9,COUNTA($C$9:$C$508)),$DB167))</f>
        <v/>
      </c>
      <c r="DD167" s="9"/>
      <c r="DE167" s="108" t="n">
        <f aca="false">IF(OR(ISNUMBER($DB167),$DB167=Constants!$B$11,$DB167=Constants!$B$9,$DB167=Constants!$B$10),1,0)</f>
        <v>0</v>
      </c>
      <c r="DF167" s="108" t="n">
        <v>159</v>
      </c>
      <c r="DG167" s="108" t="str">
        <f aca="false">IF(ISBLANK($C167),"",IF(ISNUMBER($DC167),$DC167+ROW($B167)/1000,""))</f>
        <v/>
      </c>
      <c r="DH167" s="108" t="str">
        <f aca="false">IF(ISNUMBER($DG167),RANK($DG167,$DG$9:$DG$508,1),"")</f>
        <v/>
      </c>
      <c r="DI167" s="108" t="str">
        <f aca="false">IF(ISBLANK($C167),"",$B167)</f>
        <v/>
      </c>
      <c r="DJ167" s="108" t="str">
        <f aca="false">IF(ISBLANK($C167),"",$C167)</f>
        <v/>
      </c>
      <c r="DK167" s="108" t="str">
        <f aca="false">IF(ISBLANK($C167),"",$D167)</f>
        <v/>
      </c>
      <c r="DL167" s="109" t="str">
        <f aca="false">$CZ167</f>
        <v/>
      </c>
      <c r="DM167" s="110" t="str">
        <f aca="false">$CY167</f>
        <v/>
      </c>
      <c r="DN167" s="108" t="str">
        <f aca="false">IF(ISBLANK($C167),"",$DB167)</f>
        <v/>
      </c>
      <c r="DO167" s="111" t="str">
        <f aca="false">IF($DF167&gt;$DE$8,"",VLOOKUP($DF167,$DH$9:$DN$508,7,FALSE()))</f>
        <v/>
      </c>
      <c r="DP167" s="112" t="str">
        <f aca="false">IF($DF167&gt;$DE$8,"",VLOOKUP($DF167,$DH$9:$DN$508,2,FALSE()))</f>
        <v/>
      </c>
      <c r="DQ167" s="112" t="str">
        <f aca="false">IF($DF167&gt;$DE$8,"",VLOOKUP($DF167,$DH$9:$DN$508,3,FALSE()))</f>
        <v/>
      </c>
      <c r="DR167" s="112" t="str">
        <f aca="false">IF($DF167&gt;$DE$8,"",VLOOKUP($DF167,$DH$9:$DN$508,4,FALSE()))</f>
        <v/>
      </c>
      <c r="DS167" s="112" t="str">
        <f aca="false">IF($DF167&gt;$DE$8,"",VLOOKUP($DF167,$DH$9:$DN$508,5,FALSE()))</f>
        <v/>
      </c>
      <c r="DT167" s="113" t="str">
        <f aca="false">IF($DF167&gt;$DE$8,"",VLOOKUP($DF167,$DH$9:$DN$508,6,FALSE()))</f>
        <v/>
      </c>
      <c r="DU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IF(ISBLANK($C168),"",IF(E168=Constants!$B$3,TRUE(),IF(E168=Constants!$B$4,FALSE(),TRUE())))</f>
        <v/>
      </c>
      <c r="AG168" s="135" t="str">
        <f aca="false">IF(ISBLANK($C168),"",IF(F168=Constants!$B$3,TRUE(),IF(F168=Constants!$B$4,FALSE(),TRUE())))</f>
        <v/>
      </c>
      <c r="AH168" s="135" t="str">
        <f aca="false">IF(ISBLANK($C168),"",IF(G168=Constants!$B$3,TRUE(),IF(G168=Constants!$B$4,FALSE(),TRUE())))</f>
        <v/>
      </c>
      <c r="AI168" s="135" t="str">
        <f aca="false">IF(ISBLANK($C168),"",IF(AND(ISNUMBER(H168),H168&gt;=0),H168,Constants!$B$29))</f>
        <v/>
      </c>
      <c r="AJ168" s="135" t="str">
        <f aca="false">IF(ISBLANK($C168),"",IF(I168=Constants!$B$3,TRUE(),IF(I168=Constants!$B$4,FALSE(),TRUE())))</f>
        <v/>
      </c>
      <c r="AK168" s="135" t="str">
        <f aca="false">IF(ISBLANK($C168),"",IF(J168=Constants!$B$3,TRUE(),IF(J168=Constants!$B$4,FALSE(),TRUE())))</f>
        <v/>
      </c>
      <c r="AL168" s="135" t="str">
        <f aca="false">IF(ISBLANK($C168),"",IF(K168=Constants!$B$5,TRUE(),IF(K168=Constants!$B$6,FALSE(),COUNTA(L168:P168)&gt;0)))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IF(ISBLANK($C168),"",IF(N168=Constants!$B$3,TRUE(),IF(N168=Constants!$B$4,FALSE(),TRUE())))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IF(ISBLANK($C168),"",IF(P168=Constants!$B$3,TRUE(),IF(P168=Constants!$B$4,FALSE(),FALSE())))</f>
        <v/>
      </c>
      <c r="AR168" s="135" t="str">
        <f aca="false">IF(ISBLANK($C168),"",IF(Q168=Constants!$B$3,TRUE(),IF(Q168=Constants!$B$4,FALSE(),TRUE())))</f>
        <v/>
      </c>
      <c r="AS168" s="135" t="str">
        <f aca="false">IF(ISBLANK($C168),"",IF(R168=Constants!$B$3,TRUE(),IF(R168=Constants!$B$4,FALSE(),TRUE())))</f>
        <v/>
      </c>
      <c r="AT168" s="135" t="str">
        <f aca="false">IF(ISBLANK($C168),"",IF(S168=Constants!$B$5,TRUE(),IF(S168=Constants!$B$6,FALSE(),COUNTA(T168:X168)&gt;0)))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IF(ISBLANK($C168),"",IF(V168=Constants!$B$3,TRUE(),IF(V168=Constants!$B$4,FALSE(),TRUE())))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IF(ISBLANK($C168),"",IF(X168=Constants!$B$3,TRUE(),IF(X168=Constants!$B$4,FALSE(),FALSE())))</f>
        <v/>
      </c>
      <c r="AZ168" s="135" t="str">
        <f aca="false">IF(ISBLANK($C168),"",MIN(Constants!$B$31,MAX(0,IF(ISNUMBER(Y168),Y168*60,0)+IF(ISNUMBER(Z168),Z168,0))))</f>
        <v/>
      </c>
      <c r="BA168" s="135" t="str">
        <f aca="false">IF(ISBLANK($C168),"",IF(AA168=Constants!$B$3,TRUE(),IF(AA168=Constants!$B$4,FALSE(),FALSE())))</f>
        <v/>
      </c>
      <c r="BB168" s="134" t="str">
        <f aca="false">IF(ISBLANK($C168),"",AND($AL168,OR($AM168="",$AN168="",AND($AO168,$AP168=""))))</f>
        <v/>
      </c>
      <c r="BC168" s="137" t="str">
        <f aca="false">IF($BZ168&lt;&gt;Constants!$B$8,"",IF($AL168,Constants!$B$21*$AN168+Constants!$B$22*IF($AO168,$AP168,Constants!$B$23),Constants!$B$24))</f>
        <v/>
      </c>
      <c r="BD168" s="138" t="str">
        <f aca="false">IF($BZ168&lt;&gt;Constants!$B$8,"",Constants!$B$25*ABS($AD$9-IF($AL168,$AM168,0)))</f>
        <v/>
      </c>
      <c r="BE168" s="138" t="str">
        <f aca="false">IF($BZ168&lt;&gt;Constants!$B$8,"",IF(AND($AL168,$AQ168,$AO168),Constants!$B$27,0))</f>
        <v/>
      </c>
      <c r="BF168" s="138" t="str">
        <f aca="false">IF($BZ168&lt;&gt;Constants!$B$8,"",IF($AL168,($AI168-Constants!$B$29)*Constants!$B$28,0))</f>
        <v/>
      </c>
      <c r="BG168" s="138" t="str">
        <f aca="false">IF($BZ168&lt;&gt;Constants!$B$8,"",IF($AK168,0,Constants!$B$15)+IF($AJ168,0,Constants!$B$16)+IF($AH168,0,Constants!$B$17))</f>
        <v/>
      </c>
      <c r="BH168" s="139" t="str">
        <f aca="false">IF($BZ168&lt;&gt;Constants!$B$8,"",Constants!$B$20+SUM($BC168:$BG168))</f>
        <v/>
      </c>
      <c r="BI168" s="138" t="str">
        <f aca="false">IF($BZ168&lt;&gt;Constants!$B$8,"",$BC168)</f>
        <v/>
      </c>
      <c r="BJ168" s="138" t="str">
        <f aca="false">IF($BZ168&lt;&gt;Constants!$B$8,"",$BD168)</f>
        <v/>
      </c>
      <c r="BK168" s="138" t="str">
        <f aca="false">IF($BZ168&lt;&gt;Constants!$B$8,"",IF($AL168,$AN168,""))</f>
        <v/>
      </c>
      <c r="BL168" s="140" t="str">
        <f aca="false">IF($BZ168&lt;&gt;Constants!$B$8,"",$AI168)</f>
        <v/>
      </c>
      <c r="BM168" s="135" t="str">
        <f aca="false">IF($BZ168&lt;&gt;Constants!$B$8,"",IF(OR($BT168&lt;$BH168,AND($BT168=$BH168,OR($BU168&lt;$BI168,AND($BU168=$BI168,OR($BV168&lt;$BJ168,AND($BV168=$BJ168,OR(AND(ISNUMBER($BW168),OR(NOT(ISNUMBER($BK168)),$BW168&lt;$BK168)),AND(OR(AND($BW168="",$BK168=""),AND(ISNUMBER($BW168),ISNUMBER($BK168),$BW168=$BK168)),$BX168&lt;$BL168)))))))),"-&gt;","&lt;-"))</f>
        <v/>
      </c>
      <c r="BN168" s="134" t="str">
        <f aca="false">IF(ISBLANK($C168),"",AND($AT168,OR($AU168="",$AV168="",AND($AW168,$AX168=""))))</f>
        <v/>
      </c>
      <c r="BO168" s="137" t="str">
        <f aca="false">IF($BZ168&lt;&gt;Constants!$B$8,"",IF($AT168,Constants!$B$21*$AV168+Constants!$B$22*IF($AW168,$AX168,Constants!$B$23),Constants!$B$24))</f>
        <v/>
      </c>
      <c r="BP168" s="138" t="str">
        <f aca="false">IF($BZ168&lt;&gt;Constants!$B$8,"",Constants!$B$25*ABS($AD$9-IF($AT168,$AU168,0)))</f>
        <v/>
      </c>
      <c r="BQ168" s="138" t="str">
        <f aca="false">IF($BZ168&lt;&gt;Constants!$B$8,"",IF(AND($AT168,$AY168,$AW168),Constants!$B$27,0))</f>
        <v/>
      </c>
      <c r="BR168" s="138" t="str">
        <f aca="false">IF($BZ168&lt;&gt;Constants!$B$8,"",IF($AT168,($AI168-Constants!$B$29)*Constants!$B$28,0))</f>
        <v/>
      </c>
      <c r="BS168" s="138" t="str">
        <f aca="false">IF($BZ168&lt;&gt;Constants!$B$8,"",IF($AS168,0,Constants!$B$15)+IF($AR168,0,Constants!$B$16)+IF($AH168,0,Constants!$B$17))</f>
        <v/>
      </c>
      <c r="BT168" s="139" t="str">
        <f aca="false">IF($BZ168&lt;&gt;Constants!$B$8,"",Constants!$B$20+SUM($BO168:$BS168))</f>
        <v/>
      </c>
      <c r="BU168" s="138" t="str">
        <f aca="false">IF($BZ168&lt;&gt;Constants!$B$8,"",$BO168)</f>
        <v/>
      </c>
      <c r="BV168" s="138" t="str">
        <f aca="false">IF($BZ168&lt;&gt;Constants!$B$8,"",$BP168)</f>
        <v/>
      </c>
      <c r="BW168" s="138" t="str">
        <f aca="false">IF($BZ168&lt;&gt;Constants!$B$8,"",IF($AT168,$AV168,""))</f>
        <v/>
      </c>
      <c r="BX168" s="140" t="str">
        <f aca="false">IF($BZ168&lt;&gt;Constants!$B$8,"",$AI168)</f>
        <v/>
      </c>
      <c r="BY168" s="135" t="str">
        <f aca="false">IF(ISBLANK($C168),"",IF(ISBLANK($D$7),$BY$5,IF(NOT(ISNUMBER($D$7)),$BY$6,"")))</f>
        <v/>
      </c>
      <c r="BZ168" s="135" t="str">
        <f aca="false">IF(ISBLANK($C168),"",IF($BA168,Constants!$B$11,IF(COUNTA($E168:$AA168)=0,Constants!$B$10,IF(NOT($AG168),Constants!$B$9,IF(OR($BY168&lt;&gt;"",$BB168,$BN168),Constants!$B$12,Constants!$B$8)))))</f>
        <v/>
      </c>
      <c r="CA168" s="135" t="str">
        <f aca="false">IF(ISBLANK($C168),"",IF($BZ168&lt;&gt;Constants!$B$8,$BZ168,Constants!$B$13))</f>
        <v/>
      </c>
      <c r="CB168" s="138" t="str">
        <f aca="false">IF($BZ168&lt;&gt;Constants!$B$8,"",IF($BM168="-&gt;",$BT168,$BH168))</f>
        <v/>
      </c>
      <c r="CC168" s="138" t="str">
        <f aca="false">IF($BZ168&lt;&gt;Constants!$B$8,"",IF($AF168,0,Constants!$B$18))</f>
        <v/>
      </c>
      <c r="CD168" s="138" t="str">
        <f aca="false">IF($BZ168&lt;&gt;Constants!$B$8,"",((Constants!$B$31-$AZ168)-Constants!$B$31)/Constants!$B$32)</f>
        <v/>
      </c>
      <c r="CE168" s="138" t="str">
        <f aca="false">IF(ISBLANK($C168),"",IF($BZ168&lt;&gt;Constants!$B$8,$BZ168,SUM($CB168:$CD168)))</f>
        <v/>
      </c>
      <c r="CF168" s="135" t="str">
        <f aca="false">IF(ISBLANK($C168),"",IF($BZ168&lt;&gt;Constants!$B$8,$BZ168,RANK($CE168,$CE$9:$CE$508,1)))</f>
        <v/>
      </c>
      <c r="CG168" s="138" t="str">
        <f aca="false">IF($BZ168&lt;&gt;Constants!$B$8,"",IF($BM168="-&gt;",$BU168,$BI168))</f>
        <v/>
      </c>
      <c r="CH168" s="135" t="str">
        <f aca="false">IF(ISBLANK($C168),"",IF($BZ168&lt;&gt;Constants!$B$8,$BZ168,IF(ISNUMBER($CG168),RANK($CG168,$CG$9:$CG$508,1),COUNT($CG$9:$CG$508)+1)))</f>
        <v/>
      </c>
      <c r="CI168" s="138" t="str">
        <f aca="false">IF($BZ168&lt;&gt;Constants!$B$8,"",IF($BM168="-&gt;",$BV168,$BJ168))</f>
        <v/>
      </c>
      <c r="CJ168" s="135" t="str">
        <f aca="false">IF(ISBLANK($C168),"",IF($BZ168&lt;&gt;Constants!$B$8,$BZ168,IF(ISNUMBER($CI168),RANK($CI168,$CI$9:$CI$508,1),COUNT($CI$9:$CI$508)+1)))</f>
        <v/>
      </c>
      <c r="CK168" s="138" t="str">
        <f aca="false">IF($BZ168&lt;&gt;Constants!$B$8,"",IF($BM168="-&gt;",$BW168,$BK168))</f>
        <v/>
      </c>
      <c r="CL168" s="135" t="str">
        <f aca="false">IF(ISBLANK($C168),"",IF($BZ168&lt;&gt;Constants!$B$8,$BZ168,IF(ISNUMBER($CK168),RANK($CK168,$CK$9:$CK$508,1),COUNT($CK$9:$CK$508)+1)))</f>
        <v/>
      </c>
      <c r="CM168" s="138" t="str">
        <f aca="false">IF($BZ168&lt;&gt;Constants!$B$8,"",IF(AND(NOT($AL168),NOT($AT168),$AJ168,$AK168,$AR168,$AS168),"",IF($BM168="-&gt;",$BX168,$BL168)))</f>
        <v/>
      </c>
      <c r="CN168" s="135" t="str">
        <f aca="false">IF(ISBLANK($C168),"",IF($BZ168&lt;&gt;Constants!$B$8,$BZ168,IF(ISNUMBER($CM168),RANK($CM168,$CM$9:$CM$508,1),COUNT($CM$9:$CM$508)+1)))</f>
        <v/>
      </c>
      <c r="CO168" s="135" t="str">
        <f aca="false">IF(ISBLANK($C168),"",IF($BZ168&lt;&gt;Constants!$B$8,$BZ168,COUNTIFS($CF$9:$CF$508,"&lt;"&amp;$CF168)+COUNTIFS($CF$9:$CF$508,$CF168,$CH$9:$CH$508,"&lt;"&amp;$CH168)+COUNTIFS($CF$9:$CF$508,$CF168,$CH$9:$CH$508,$CH168,$CJ$9:$CJ$508,"&lt;"&amp;$CJ168)+COUNTIFS($CF$9:$CF$508,$CF168,$CH$9:$CH$508,$CH168,$CJ$9:$CJ$508,$CJ168,$CL$9:$CL$508,"&lt;"&amp;$CL168)+COUNTIFS($CF$9:$CF$508,$CF168,$CH$9:$CH$508,$CH168,$CJ$9:$CJ$508,$CJ168,$CL$9:$CL$508,$CL168,$CN$9:$CN$508,"&lt;"&amp;$CN168)+1))</f>
        <v/>
      </c>
      <c r="CP168" s="135" t="str">
        <f aca="false">IF(ISBLANK($C168),"",IF($BZ168&lt;&gt;Constants!$B$8,$BZ168,$CF168-$CO168))</f>
        <v/>
      </c>
      <c r="CQ168" s="141"/>
      <c r="CR168" s="142"/>
      <c r="CS168" s="143" t="str">
        <f aca="false">IF(ISBLANK($C168),"",IF($BZ168=Constants!$B$12,$BY168,""))</f>
        <v/>
      </c>
      <c r="CT168" s="142" t="str">
        <f aca="false">IF(ISBLANK($C168),"",IF($BZ168&lt;&gt;Constants!$B$8,"",IF($BM168="-&gt;",2,1)))</f>
        <v/>
      </c>
      <c r="CU168" s="144" t="str">
        <f aca="false">IF(ISBLANK($C168),"",IF($BZ168&lt;&gt;Constants!$B$8,"",IF($BM168="-&gt;",$BO168,$BC168)))</f>
        <v/>
      </c>
      <c r="CV168" s="144" t="str">
        <f aca="false">IF(ISBLANK($C168),"",IF($BZ168&lt;&gt;Constants!$B$8,"",IF($BM168="-&gt;",$BP168,$BD168)))</f>
        <v/>
      </c>
      <c r="CW168" s="144" t="str">
        <f aca="false">IF(ISBLANK($C168),"",IF($BZ168&lt;&gt;Constants!$B$8,"",IF($BM168="-&gt;",$BQ168+$BR168,$BE168+$BF168)+$CD168))</f>
        <v/>
      </c>
      <c r="CX168" s="144" t="str">
        <f aca="false">IF(ISBLANK($C168),"",IF($BZ168&lt;&gt;Constants!$B$8,"",IF($BM168="-&gt;",$BS168,$BG168)+$CC168))</f>
        <v/>
      </c>
      <c r="CY168" s="145" t="str">
        <f aca="false">IF(ISBLANK($C168),"",IF($BZ168&lt;&gt;Constants!$B$8,$BZ168,$CE168))</f>
        <v/>
      </c>
      <c r="CZ168" s="146" t="str">
        <f aca="false">IF(ISBLANK($C168),"",$CA168)</f>
        <v/>
      </c>
      <c r="DA168" s="147" t="str">
        <f aca="false">IF(ISBLANK($C168),"",$CP168)</f>
        <v/>
      </c>
      <c r="DB168" s="147" t="str">
        <f aca="false">IF(ISBLANK($C168),"",$CO168)</f>
        <v/>
      </c>
      <c r="DC168" s="148" t="str">
        <f aca="false">IF(ISBLANK($C168),"",IFERROR(_xlfn.SWITCH($DB168,Constants!$B$11,COUNTA($C$9:$C$508)+2,Constants!$B$10,COUNTA($C$9:$C$508)+1,Constants!$B$9,COUNTA($C$9:$C$508)),$DB168))</f>
        <v/>
      </c>
      <c r="DD168" s="9"/>
      <c r="DE168" s="149" t="n">
        <f aca="false">IF(OR(ISNUMBER($DB168),$DB168=Constants!$B$11,$DB168=Constants!$B$9,$DB168=Constants!$B$10),1,0)</f>
        <v>0</v>
      </c>
      <c r="DF168" s="149" t="n">
        <v>160</v>
      </c>
      <c r="DG168" s="149" t="str">
        <f aca="false">IF(ISBLANK($C168),"",IF(ISNUMBER($DC168),$DC168+ROW($B168)/1000,""))</f>
        <v/>
      </c>
      <c r="DH168" s="149" t="str">
        <f aca="false">IF(ISNUMBER($DG168),RANK($DG168,$DG$9:$DG$508,1),"")</f>
        <v/>
      </c>
      <c r="DI168" s="149" t="str">
        <f aca="false">IF(ISBLANK($C168),"",$B168)</f>
        <v/>
      </c>
      <c r="DJ168" s="149" t="str">
        <f aca="false">IF(ISBLANK($C168),"",$C168)</f>
        <v/>
      </c>
      <c r="DK168" s="149" t="str">
        <f aca="false">IF(ISBLANK($C168),"",$D168)</f>
        <v/>
      </c>
      <c r="DL168" s="150" t="str">
        <f aca="false">$CZ168</f>
        <v/>
      </c>
      <c r="DM168" s="151" t="str">
        <f aca="false">$CY168</f>
        <v/>
      </c>
      <c r="DN168" s="149" t="str">
        <f aca="false">IF(ISBLANK($C168),"",$DB168)</f>
        <v/>
      </c>
      <c r="DO168" s="152" t="str">
        <f aca="false">IF($DF168&gt;$DE$8,"",VLOOKUP($DF168,$DH$9:$DN$508,7,FALSE()))</f>
        <v/>
      </c>
      <c r="DP168" s="153" t="str">
        <f aca="false">IF($DF168&gt;$DE$8,"",VLOOKUP($DF168,$DH$9:$DN$508,2,FALSE()))</f>
        <v/>
      </c>
      <c r="DQ168" s="153" t="str">
        <f aca="false">IF($DF168&gt;$DE$8,"",VLOOKUP($DF168,$DH$9:$DN$508,3,FALSE()))</f>
        <v/>
      </c>
      <c r="DR168" s="153" t="str">
        <f aca="false">IF($DF168&gt;$DE$8,"",VLOOKUP($DF168,$DH$9:$DN$508,4,FALSE()))</f>
        <v/>
      </c>
      <c r="DS168" s="153" t="str">
        <f aca="false">IF($DF168&gt;$DE$8,"",VLOOKUP($DF168,$DH$9:$DN$508,5,FALSE()))</f>
        <v/>
      </c>
      <c r="DT168" s="154" t="str">
        <f aca="false">IF($DF168&gt;$DE$8,"",VLOOKUP($DF168,$DH$9:$DN$508,6,FALSE()))</f>
        <v/>
      </c>
      <c r="DU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IF(ISBLANK($C169),"",IF(E169=Constants!$B$3,TRUE(),IF(E169=Constants!$B$4,FALSE(),TRUE())))</f>
        <v/>
      </c>
      <c r="AG169" s="135" t="str">
        <f aca="false">IF(ISBLANK($C169),"",IF(F169=Constants!$B$3,TRUE(),IF(F169=Constants!$B$4,FALSE(),TRUE())))</f>
        <v/>
      </c>
      <c r="AH169" s="135" t="str">
        <f aca="false">IF(ISBLANK($C169),"",IF(G169=Constants!$B$3,TRUE(),IF(G169=Constants!$B$4,FALSE(),TRUE())))</f>
        <v/>
      </c>
      <c r="AI169" s="135" t="str">
        <f aca="false">IF(ISBLANK($C169),"",IF(AND(ISNUMBER(H169),H169&gt;=0),H169,Constants!$B$29))</f>
        <v/>
      </c>
      <c r="AJ169" s="135" t="str">
        <f aca="false">IF(ISBLANK($C169),"",IF(I169=Constants!$B$3,TRUE(),IF(I169=Constants!$B$4,FALSE(),TRUE())))</f>
        <v/>
      </c>
      <c r="AK169" s="135" t="str">
        <f aca="false">IF(ISBLANK($C169),"",IF(J169=Constants!$B$3,TRUE(),IF(J169=Constants!$B$4,FALSE(),TRUE())))</f>
        <v/>
      </c>
      <c r="AL169" s="135" t="str">
        <f aca="false">IF(ISBLANK($C169),"",IF(K169=Constants!$B$5,TRUE(),IF(K169=Constants!$B$6,FALSE(),COUNTA(L169:P169)&gt;0)))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IF(ISBLANK($C169),"",IF(N169=Constants!$B$3,TRUE(),IF(N169=Constants!$B$4,FALSE(),TRUE())))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IF(ISBLANK($C169),"",IF(P169=Constants!$B$3,TRUE(),IF(P169=Constants!$B$4,FALSE(),FALSE())))</f>
        <v/>
      </c>
      <c r="AR169" s="135" t="str">
        <f aca="false">IF(ISBLANK($C169),"",IF(Q169=Constants!$B$3,TRUE(),IF(Q169=Constants!$B$4,FALSE(),TRUE())))</f>
        <v/>
      </c>
      <c r="AS169" s="135" t="str">
        <f aca="false">IF(ISBLANK($C169),"",IF(R169=Constants!$B$3,TRUE(),IF(R169=Constants!$B$4,FALSE(),TRUE())))</f>
        <v/>
      </c>
      <c r="AT169" s="135" t="str">
        <f aca="false">IF(ISBLANK($C169),"",IF(S169=Constants!$B$5,TRUE(),IF(S169=Constants!$B$6,FALSE(),COUNTA(T169:X169)&gt;0)))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IF(ISBLANK($C169),"",IF(V169=Constants!$B$3,TRUE(),IF(V169=Constants!$B$4,FALSE(),TRUE())))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IF(ISBLANK($C169),"",IF(X169=Constants!$B$3,TRUE(),IF(X169=Constants!$B$4,FALSE(),FALSE())))</f>
        <v/>
      </c>
      <c r="AZ169" s="135" t="str">
        <f aca="false">IF(ISBLANK($C169),"",MIN(Constants!$B$31,MAX(0,IF(ISNUMBER(Y169),Y169*60,0)+IF(ISNUMBER(Z169),Z169,0))))</f>
        <v/>
      </c>
      <c r="BA169" s="135" t="str">
        <f aca="false">IF(ISBLANK($C169),"",IF(AA169=Constants!$B$3,TRUE(),IF(AA169=Constants!$B$4,FALSE(),FALSE())))</f>
        <v/>
      </c>
      <c r="BB169" s="134" t="str">
        <f aca="false">IF(ISBLANK($C169),"",AND($AL169,OR($AM169="",$AN169="",AND($AO169,$AP169=""))))</f>
        <v/>
      </c>
      <c r="BC169" s="137" t="str">
        <f aca="false">IF($BZ169&lt;&gt;Constants!$B$8,"",IF($AL169,Constants!$B$21*$AN169+Constants!$B$22*IF($AO169,$AP169,Constants!$B$23),Constants!$B$24))</f>
        <v/>
      </c>
      <c r="BD169" s="138" t="str">
        <f aca="false">IF($BZ169&lt;&gt;Constants!$B$8,"",Constants!$B$25*ABS($AD$9-IF($AL169,$AM169,0)))</f>
        <v/>
      </c>
      <c r="BE169" s="138" t="str">
        <f aca="false">IF($BZ169&lt;&gt;Constants!$B$8,"",IF(AND($AL169,$AQ169,$AO169),Constants!$B$27,0))</f>
        <v/>
      </c>
      <c r="BF169" s="138" t="str">
        <f aca="false">IF($BZ169&lt;&gt;Constants!$B$8,"",IF($AL169,($AI169-Constants!$B$29)*Constants!$B$28,0))</f>
        <v/>
      </c>
      <c r="BG169" s="138" t="str">
        <f aca="false">IF($BZ169&lt;&gt;Constants!$B$8,"",IF($AK169,0,Constants!$B$15)+IF($AJ169,0,Constants!$B$16)+IF($AH169,0,Constants!$B$17))</f>
        <v/>
      </c>
      <c r="BH169" s="139" t="str">
        <f aca="false">IF($BZ169&lt;&gt;Constants!$B$8,"",Constants!$B$20+SUM($BC169:$BG169))</f>
        <v/>
      </c>
      <c r="BI169" s="138" t="str">
        <f aca="false">IF($BZ169&lt;&gt;Constants!$B$8,"",$BC169)</f>
        <v/>
      </c>
      <c r="BJ169" s="138" t="str">
        <f aca="false">IF($BZ169&lt;&gt;Constants!$B$8,"",$BD169)</f>
        <v/>
      </c>
      <c r="BK169" s="138" t="str">
        <f aca="false">IF($BZ169&lt;&gt;Constants!$B$8,"",IF($AL169,$AN169,""))</f>
        <v/>
      </c>
      <c r="BL169" s="140" t="str">
        <f aca="false">IF($BZ169&lt;&gt;Constants!$B$8,"",$AI169)</f>
        <v/>
      </c>
      <c r="BM169" s="135" t="str">
        <f aca="false">IF($BZ169&lt;&gt;Constants!$B$8,"",IF(OR($BT169&lt;$BH169,AND($BT169=$BH169,OR($BU169&lt;$BI169,AND($BU169=$BI169,OR($BV169&lt;$BJ169,AND($BV169=$BJ169,OR(AND(ISNUMBER($BW169),OR(NOT(ISNUMBER($BK169)),$BW169&lt;$BK169)),AND(OR(AND($BW169="",$BK169=""),AND(ISNUMBER($BW169),ISNUMBER($BK169),$BW169=$BK169)),$BX169&lt;$BL169)))))))),"-&gt;","&lt;-"))</f>
        <v/>
      </c>
      <c r="BN169" s="134" t="str">
        <f aca="false">IF(ISBLANK($C169),"",AND($AT169,OR($AU169="",$AV169="",AND($AW169,$AX169=""))))</f>
        <v/>
      </c>
      <c r="BO169" s="137" t="str">
        <f aca="false">IF($BZ169&lt;&gt;Constants!$B$8,"",IF($AT169,Constants!$B$21*$AV169+Constants!$B$22*IF($AW169,$AX169,Constants!$B$23),Constants!$B$24))</f>
        <v/>
      </c>
      <c r="BP169" s="138" t="str">
        <f aca="false">IF($BZ169&lt;&gt;Constants!$B$8,"",Constants!$B$25*ABS($AD$9-IF($AT169,$AU169,0)))</f>
        <v/>
      </c>
      <c r="BQ169" s="138" t="str">
        <f aca="false">IF($BZ169&lt;&gt;Constants!$B$8,"",IF(AND($AT169,$AY169,$AW169),Constants!$B$27,0))</f>
        <v/>
      </c>
      <c r="BR169" s="138" t="str">
        <f aca="false">IF($BZ169&lt;&gt;Constants!$B$8,"",IF($AT169,($AI169-Constants!$B$29)*Constants!$B$28,0))</f>
        <v/>
      </c>
      <c r="BS169" s="138" t="str">
        <f aca="false">IF($BZ169&lt;&gt;Constants!$B$8,"",IF($AS169,0,Constants!$B$15)+IF($AR169,0,Constants!$B$16)+IF($AH169,0,Constants!$B$17))</f>
        <v/>
      </c>
      <c r="BT169" s="139" t="str">
        <f aca="false">IF($BZ169&lt;&gt;Constants!$B$8,"",Constants!$B$20+SUM($BO169:$BS169))</f>
        <v/>
      </c>
      <c r="BU169" s="138" t="str">
        <f aca="false">IF($BZ169&lt;&gt;Constants!$B$8,"",$BO169)</f>
        <v/>
      </c>
      <c r="BV169" s="138" t="str">
        <f aca="false">IF($BZ169&lt;&gt;Constants!$B$8,"",$BP169)</f>
        <v/>
      </c>
      <c r="BW169" s="138" t="str">
        <f aca="false">IF($BZ169&lt;&gt;Constants!$B$8,"",IF($AT169,$AV169,""))</f>
        <v/>
      </c>
      <c r="BX169" s="140" t="str">
        <f aca="false">IF($BZ169&lt;&gt;Constants!$B$8,"",$AI169)</f>
        <v/>
      </c>
      <c r="BY169" s="135" t="str">
        <f aca="false">IF(ISBLANK($C169),"",IF(ISBLANK($D$7),$BY$5,IF(NOT(ISNUMBER($D$7)),$BY$6,"")))</f>
        <v/>
      </c>
      <c r="BZ169" s="135" t="str">
        <f aca="false">IF(ISBLANK($C169),"",IF($BA169,Constants!$B$11,IF(COUNTA($E169:$AA169)=0,Constants!$B$10,IF(NOT($AG169),Constants!$B$9,IF(OR($BY169&lt;&gt;"",$BB169,$BN169),Constants!$B$12,Constants!$B$8)))))</f>
        <v/>
      </c>
      <c r="CA169" s="135" t="str">
        <f aca="false">IF(ISBLANK($C169),"",IF($BZ169&lt;&gt;Constants!$B$8,$BZ169,Constants!$B$13))</f>
        <v/>
      </c>
      <c r="CB169" s="138" t="str">
        <f aca="false">IF($BZ169&lt;&gt;Constants!$B$8,"",IF($BM169="-&gt;",$BT169,$BH169))</f>
        <v/>
      </c>
      <c r="CC169" s="138" t="str">
        <f aca="false">IF($BZ169&lt;&gt;Constants!$B$8,"",IF($AF169,0,Constants!$B$18))</f>
        <v/>
      </c>
      <c r="CD169" s="138" t="str">
        <f aca="false">IF($BZ169&lt;&gt;Constants!$B$8,"",((Constants!$B$31-$AZ169)-Constants!$B$31)/Constants!$B$32)</f>
        <v/>
      </c>
      <c r="CE169" s="138" t="str">
        <f aca="false">IF(ISBLANK($C169),"",IF($BZ169&lt;&gt;Constants!$B$8,$BZ169,SUM($CB169:$CD169)))</f>
        <v/>
      </c>
      <c r="CF169" s="135" t="str">
        <f aca="false">IF(ISBLANK($C169),"",IF($BZ169&lt;&gt;Constants!$B$8,$BZ169,RANK($CE169,$CE$9:$CE$508,1)))</f>
        <v/>
      </c>
      <c r="CG169" s="138" t="str">
        <f aca="false">IF($BZ169&lt;&gt;Constants!$B$8,"",IF($BM169="-&gt;",$BU169,$BI169))</f>
        <v/>
      </c>
      <c r="CH169" s="135" t="str">
        <f aca="false">IF(ISBLANK($C169),"",IF($BZ169&lt;&gt;Constants!$B$8,$BZ169,IF(ISNUMBER($CG169),RANK($CG169,$CG$9:$CG$508,1),COUNT($CG$9:$CG$508)+1)))</f>
        <v/>
      </c>
      <c r="CI169" s="138" t="str">
        <f aca="false">IF($BZ169&lt;&gt;Constants!$B$8,"",IF($BM169="-&gt;",$BV169,$BJ169))</f>
        <v/>
      </c>
      <c r="CJ169" s="135" t="str">
        <f aca="false">IF(ISBLANK($C169),"",IF($BZ169&lt;&gt;Constants!$B$8,$BZ169,IF(ISNUMBER($CI169),RANK($CI169,$CI$9:$CI$508,1),COUNT($CI$9:$CI$508)+1)))</f>
        <v/>
      </c>
      <c r="CK169" s="138" t="str">
        <f aca="false">IF($BZ169&lt;&gt;Constants!$B$8,"",IF($BM169="-&gt;",$BW169,$BK169))</f>
        <v/>
      </c>
      <c r="CL169" s="135" t="str">
        <f aca="false">IF(ISBLANK($C169),"",IF($BZ169&lt;&gt;Constants!$B$8,$BZ169,IF(ISNUMBER($CK169),RANK($CK169,$CK$9:$CK$508,1),COUNT($CK$9:$CK$508)+1)))</f>
        <v/>
      </c>
      <c r="CM169" s="138" t="str">
        <f aca="false">IF($BZ169&lt;&gt;Constants!$B$8,"",IF(AND(NOT($AL169),NOT($AT169),$AJ169,$AK169,$AR169,$AS169),"",IF($BM169="-&gt;",$BX169,$BL169)))</f>
        <v/>
      </c>
      <c r="CN169" s="135" t="str">
        <f aca="false">IF(ISBLANK($C169),"",IF($BZ169&lt;&gt;Constants!$B$8,$BZ169,IF(ISNUMBER($CM169),RANK($CM169,$CM$9:$CM$508,1),COUNT($CM$9:$CM$508)+1)))</f>
        <v/>
      </c>
      <c r="CO169" s="135" t="str">
        <f aca="false">IF(ISBLANK($C169),"",IF($BZ169&lt;&gt;Constants!$B$8,$BZ169,COUNTIFS($CF$9:$CF$508,"&lt;"&amp;$CF169)+COUNTIFS($CF$9:$CF$508,$CF169,$CH$9:$CH$508,"&lt;"&amp;$CH169)+COUNTIFS($CF$9:$CF$508,$CF169,$CH$9:$CH$508,$CH169,$CJ$9:$CJ$508,"&lt;"&amp;$CJ169)+COUNTIFS($CF$9:$CF$508,$CF169,$CH$9:$CH$508,$CH169,$CJ$9:$CJ$508,$CJ169,$CL$9:$CL$508,"&lt;"&amp;$CL169)+COUNTIFS($CF$9:$CF$508,$CF169,$CH$9:$CH$508,$CH169,$CJ$9:$CJ$508,$CJ169,$CL$9:$CL$508,$CL169,$CN$9:$CN$508,"&lt;"&amp;$CN169)+1))</f>
        <v/>
      </c>
      <c r="CP169" s="135" t="str">
        <f aca="false">IF(ISBLANK($C169),"",IF($BZ169&lt;&gt;Constants!$B$8,$BZ169,$CF169-$CO169))</f>
        <v/>
      </c>
      <c r="CQ169" s="141"/>
      <c r="CR169" s="142"/>
      <c r="CS169" s="143" t="str">
        <f aca="false">IF(ISBLANK($C169),"",IF($BZ169=Constants!$B$12,$BY169,""))</f>
        <v/>
      </c>
      <c r="CT169" s="142" t="str">
        <f aca="false">IF(ISBLANK($C169),"",IF($BZ169&lt;&gt;Constants!$B$8,"",IF($BM169="-&gt;",2,1)))</f>
        <v/>
      </c>
      <c r="CU169" s="144" t="str">
        <f aca="false">IF(ISBLANK($C169),"",IF($BZ169&lt;&gt;Constants!$B$8,"",IF($BM169="-&gt;",$BO169,$BC169)))</f>
        <v/>
      </c>
      <c r="CV169" s="144" t="str">
        <f aca="false">IF(ISBLANK($C169),"",IF($BZ169&lt;&gt;Constants!$B$8,"",IF($BM169="-&gt;",$BP169,$BD169)))</f>
        <v/>
      </c>
      <c r="CW169" s="144" t="str">
        <f aca="false">IF(ISBLANK($C169),"",IF($BZ169&lt;&gt;Constants!$B$8,"",IF($BM169="-&gt;",$BQ169+$BR169,$BE169+$BF169)+$CD169))</f>
        <v/>
      </c>
      <c r="CX169" s="144" t="str">
        <f aca="false">IF(ISBLANK($C169),"",IF($BZ169&lt;&gt;Constants!$B$8,"",IF($BM169="-&gt;",$BS169,$BG169)+$CC169))</f>
        <v/>
      </c>
      <c r="CY169" s="145" t="str">
        <f aca="false">IF(ISBLANK($C169),"",IF($BZ169&lt;&gt;Constants!$B$8,$BZ169,$CE169))</f>
        <v/>
      </c>
      <c r="CZ169" s="146" t="str">
        <f aca="false">IF(ISBLANK($C169),"",$CA169)</f>
        <v/>
      </c>
      <c r="DA169" s="147" t="str">
        <f aca="false">IF(ISBLANK($C169),"",$CP169)</f>
        <v/>
      </c>
      <c r="DB169" s="147" t="str">
        <f aca="false">IF(ISBLANK($C169),"",$CO169)</f>
        <v/>
      </c>
      <c r="DC169" s="148" t="str">
        <f aca="false">IF(ISBLANK($C169),"",IFERROR(_xlfn.SWITCH($DB169,Constants!$B$11,COUNTA($C$9:$C$508)+2,Constants!$B$10,COUNTA($C$9:$C$508)+1,Constants!$B$9,COUNTA($C$9:$C$508)),$DB169))</f>
        <v/>
      </c>
      <c r="DD169" s="9"/>
      <c r="DE169" s="149" t="n">
        <f aca="false">IF(OR(ISNUMBER($DB169),$DB169=Constants!$B$11,$DB169=Constants!$B$9,$DB169=Constants!$B$10),1,0)</f>
        <v>0</v>
      </c>
      <c r="DF169" s="149" t="n">
        <v>161</v>
      </c>
      <c r="DG169" s="149" t="str">
        <f aca="false">IF(ISBLANK($C169),"",IF(ISNUMBER($DC169),$DC169+ROW($B169)/1000,""))</f>
        <v/>
      </c>
      <c r="DH169" s="149" t="str">
        <f aca="false">IF(ISNUMBER($DG169),RANK($DG169,$DG$9:$DG$508,1),"")</f>
        <v/>
      </c>
      <c r="DI169" s="149" t="str">
        <f aca="false">IF(ISBLANK($C169),"",$B169)</f>
        <v/>
      </c>
      <c r="DJ169" s="149" t="str">
        <f aca="false">IF(ISBLANK($C169),"",$C169)</f>
        <v/>
      </c>
      <c r="DK169" s="149" t="str">
        <f aca="false">IF(ISBLANK($C169),"",$D169)</f>
        <v/>
      </c>
      <c r="DL169" s="150" t="str">
        <f aca="false">$CZ169</f>
        <v/>
      </c>
      <c r="DM169" s="151" t="str">
        <f aca="false">$CY169</f>
        <v/>
      </c>
      <c r="DN169" s="149" t="str">
        <f aca="false">IF(ISBLANK($C169),"",$DB169)</f>
        <v/>
      </c>
      <c r="DO169" s="152" t="str">
        <f aca="false">IF($DF169&gt;$DE$8,"",VLOOKUP($DF169,$DH$9:$DN$508,7,FALSE()))</f>
        <v/>
      </c>
      <c r="DP169" s="153" t="str">
        <f aca="false">IF($DF169&gt;$DE$8,"",VLOOKUP($DF169,$DH$9:$DN$508,2,FALSE()))</f>
        <v/>
      </c>
      <c r="DQ169" s="153" t="str">
        <f aca="false">IF($DF169&gt;$DE$8,"",VLOOKUP($DF169,$DH$9:$DN$508,3,FALSE()))</f>
        <v/>
      </c>
      <c r="DR169" s="153" t="str">
        <f aca="false">IF($DF169&gt;$DE$8,"",VLOOKUP($DF169,$DH$9:$DN$508,4,FALSE()))</f>
        <v/>
      </c>
      <c r="DS169" s="153" t="str">
        <f aca="false">IF($DF169&gt;$DE$8,"",VLOOKUP($DF169,$DH$9:$DN$508,5,FALSE()))</f>
        <v/>
      </c>
      <c r="DT169" s="154" t="str">
        <f aca="false">IF($DF169&gt;$DE$8,"",VLOOKUP($DF169,$DH$9:$DN$508,6,FALSE()))</f>
        <v/>
      </c>
      <c r="DU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IF(ISBLANK($C170),"",IF(E170=Constants!$B$3,TRUE(),IF(E170=Constants!$B$4,FALSE(),TRUE())))</f>
        <v/>
      </c>
      <c r="AG170" s="135" t="str">
        <f aca="false">IF(ISBLANK($C170),"",IF(F170=Constants!$B$3,TRUE(),IF(F170=Constants!$B$4,FALSE(),TRUE())))</f>
        <v/>
      </c>
      <c r="AH170" s="135" t="str">
        <f aca="false">IF(ISBLANK($C170),"",IF(G170=Constants!$B$3,TRUE(),IF(G170=Constants!$B$4,FALSE(),TRUE())))</f>
        <v/>
      </c>
      <c r="AI170" s="135" t="str">
        <f aca="false">IF(ISBLANK($C170),"",IF(AND(ISNUMBER(H170),H170&gt;=0),H170,Constants!$B$29))</f>
        <v/>
      </c>
      <c r="AJ170" s="135" t="str">
        <f aca="false">IF(ISBLANK($C170),"",IF(I170=Constants!$B$3,TRUE(),IF(I170=Constants!$B$4,FALSE(),TRUE())))</f>
        <v/>
      </c>
      <c r="AK170" s="135" t="str">
        <f aca="false">IF(ISBLANK($C170),"",IF(J170=Constants!$B$3,TRUE(),IF(J170=Constants!$B$4,FALSE(),TRUE())))</f>
        <v/>
      </c>
      <c r="AL170" s="135" t="str">
        <f aca="false">IF(ISBLANK($C170),"",IF(K170=Constants!$B$5,TRUE(),IF(K170=Constants!$B$6,FALSE(),COUNTA(L170:P170)&gt;0)))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IF(ISBLANK($C170),"",IF(N170=Constants!$B$3,TRUE(),IF(N170=Constants!$B$4,FALSE(),TRUE())))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IF(ISBLANK($C170),"",IF(P170=Constants!$B$3,TRUE(),IF(P170=Constants!$B$4,FALSE(),FALSE())))</f>
        <v/>
      </c>
      <c r="AR170" s="135" t="str">
        <f aca="false">IF(ISBLANK($C170),"",IF(Q170=Constants!$B$3,TRUE(),IF(Q170=Constants!$B$4,FALSE(),TRUE())))</f>
        <v/>
      </c>
      <c r="AS170" s="135" t="str">
        <f aca="false">IF(ISBLANK($C170),"",IF(R170=Constants!$B$3,TRUE(),IF(R170=Constants!$B$4,FALSE(),TRUE())))</f>
        <v/>
      </c>
      <c r="AT170" s="135" t="str">
        <f aca="false">IF(ISBLANK($C170),"",IF(S170=Constants!$B$5,TRUE(),IF(S170=Constants!$B$6,FALSE(),COUNTA(T170:X170)&gt;0)))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IF(ISBLANK($C170),"",IF(V170=Constants!$B$3,TRUE(),IF(V170=Constants!$B$4,FALSE(),TRUE())))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IF(ISBLANK($C170),"",IF(X170=Constants!$B$3,TRUE(),IF(X170=Constants!$B$4,FALSE(),FALSE())))</f>
        <v/>
      </c>
      <c r="AZ170" s="135" t="str">
        <f aca="false">IF(ISBLANK($C170),"",MIN(Constants!$B$31,MAX(0,IF(ISNUMBER(Y170),Y170*60,0)+IF(ISNUMBER(Z170),Z170,0))))</f>
        <v/>
      </c>
      <c r="BA170" s="135" t="str">
        <f aca="false">IF(ISBLANK($C170),"",IF(AA170=Constants!$B$3,TRUE(),IF(AA170=Constants!$B$4,FALSE(),FALSE())))</f>
        <v/>
      </c>
      <c r="BB170" s="134" t="str">
        <f aca="false">IF(ISBLANK($C170),"",AND($AL170,OR($AM170="",$AN170="",AND($AO170,$AP170=""))))</f>
        <v/>
      </c>
      <c r="BC170" s="137" t="str">
        <f aca="false">IF($BZ170&lt;&gt;Constants!$B$8,"",IF($AL170,Constants!$B$21*$AN170+Constants!$B$22*IF($AO170,$AP170,Constants!$B$23),Constants!$B$24))</f>
        <v/>
      </c>
      <c r="BD170" s="138" t="str">
        <f aca="false">IF($BZ170&lt;&gt;Constants!$B$8,"",Constants!$B$25*ABS($AD$9-IF($AL170,$AM170,0)))</f>
        <v/>
      </c>
      <c r="BE170" s="138" t="str">
        <f aca="false">IF($BZ170&lt;&gt;Constants!$B$8,"",IF(AND($AL170,$AQ170,$AO170),Constants!$B$27,0))</f>
        <v/>
      </c>
      <c r="BF170" s="138" t="str">
        <f aca="false">IF($BZ170&lt;&gt;Constants!$B$8,"",IF($AL170,($AI170-Constants!$B$29)*Constants!$B$28,0))</f>
        <v/>
      </c>
      <c r="BG170" s="138" t="str">
        <f aca="false">IF($BZ170&lt;&gt;Constants!$B$8,"",IF($AK170,0,Constants!$B$15)+IF($AJ170,0,Constants!$B$16)+IF($AH170,0,Constants!$B$17))</f>
        <v/>
      </c>
      <c r="BH170" s="139" t="str">
        <f aca="false">IF($BZ170&lt;&gt;Constants!$B$8,"",Constants!$B$20+SUM($BC170:$BG170))</f>
        <v/>
      </c>
      <c r="BI170" s="138" t="str">
        <f aca="false">IF($BZ170&lt;&gt;Constants!$B$8,"",$BC170)</f>
        <v/>
      </c>
      <c r="BJ170" s="138" t="str">
        <f aca="false">IF($BZ170&lt;&gt;Constants!$B$8,"",$BD170)</f>
        <v/>
      </c>
      <c r="BK170" s="138" t="str">
        <f aca="false">IF($BZ170&lt;&gt;Constants!$B$8,"",IF($AL170,$AN170,""))</f>
        <v/>
      </c>
      <c r="BL170" s="140" t="str">
        <f aca="false">IF($BZ170&lt;&gt;Constants!$B$8,"",$AI170)</f>
        <v/>
      </c>
      <c r="BM170" s="135" t="str">
        <f aca="false">IF($BZ170&lt;&gt;Constants!$B$8,"",IF(OR($BT170&lt;$BH170,AND($BT170=$BH170,OR($BU170&lt;$BI170,AND($BU170=$BI170,OR($BV170&lt;$BJ170,AND($BV170=$BJ170,OR(AND(ISNUMBER($BW170),OR(NOT(ISNUMBER($BK170)),$BW170&lt;$BK170)),AND(OR(AND($BW170="",$BK170=""),AND(ISNUMBER($BW170),ISNUMBER($BK170),$BW170=$BK170)),$BX170&lt;$BL170)))))))),"-&gt;","&lt;-"))</f>
        <v/>
      </c>
      <c r="BN170" s="134" t="str">
        <f aca="false">IF(ISBLANK($C170),"",AND($AT170,OR($AU170="",$AV170="",AND($AW170,$AX170=""))))</f>
        <v/>
      </c>
      <c r="BO170" s="137" t="str">
        <f aca="false">IF($BZ170&lt;&gt;Constants!$B$8,"",IF($AT170,Constants!$B$21*$AV170+Constants!$B$22*IF($AW170,$AX170,Constants!$B$23),Constants!$B$24))</f>
        <v/>
      </c>
      <c r="BP170" s="138" t="str">
        <f aca="false">IF($BZ170&lt;&gt;Constants!$B$8,"",Constants!$B$25*ABS($AD$9-IF($AT170,$AU170,0)))</f>
        <v/>
      </c>
      <c r="BQ170" s="138" t="str">
        <f aca="false">IF($BZ170&lt;&gt;Constants!$B$8,"",IF(AND($AT170,$AY170,$AW170),Constants!$B$27,0))</f>
        <v/>
      </c>
      <c r="BR170" s="138" t="str">
        <f aca="false">IF($BZ170&lt;&gt;Constants!$B$8,"",IF($AT170,($AI170-Constants!$B$29)*Constants!$B$28,0))</f>
        <v/>
      </c>
      <c r="BS170" s="138" t="str">
        <f aca="false">IF($BZ170&lt;&gt;Constants!$B$8,"",IF($AS170,0,Constants!$B$15)+IF($AR170,0,Constants!$B$16)+IF($AH170,0,Constants!$B$17))</f>
        <v/>
      </c>
      <c r="BT170" s="139" t="str">
        <f aca="false">IF($BZ170&lt;&gt;Constants!$B$8,"",Constants!$B$20+SUM($BO170:$BS170))</f>
        <v/>
      </c>
      <c r="BU170" s="138" t="str">
        <f aca="false">IF($BZ170&lt;&gt;Constants!$B$8,"",$BO170)</f>
        <v/>
      </c>
      <c r="BV170" s="138" t="str">
        <f aca="false">IF($BZ170&lt;&gt;Constants!$B$8,"",$BP170)</f>
        <v/>
      </c>
      <c r="BW170" s="138" t="str">
        <f aca="false">IF($BZ170&lt;&gt;Constants!$B$8,"",IF($AT170,$AV170,""))</f>
        <v/>
      </c>
      <c r="BX170" s="140" t="str">
        <f aca="false">IF($BZ170&lt;&gt;Constants!$B$8,"",$AI170)</f>
        <v/>
      </c>
      <c r="BY170" s="135" t="str">
        <f aca="false">IF(ISBLANK($C170),"",IF(ISBLANK($D$7),$BY$5,IF(NOT(ISNUMBER($D$7)),$BY$6,"")))</f>
        <v/>
      </c>
      <c r="BZ170" s="135" t="str">
        <f aca="false">IF(ISBLANK($C170),"",IF($BA170,Constants!$B$11,IF(COUNTA($E170:$AA170)=0,Constants!$B$10,IF(NOT($AG170),Constants!$B$9,IF(OR($BY170&lt;&gt;"",$BB170,$BN170),Constants!$B$12,Constants!$B$8)))))</f>
        <v/>
      </c>
      <c r="CA170" s="135" t="str">
        <f aca="false">IF(ISBLANK($C170),"",IF($BZ170&lt;&gt;Constants!$B$8,$BZ170,Constants!$B$13))</f>
        <v/>
      </c>
      <c r="CB170" s="138" t="str">
        <f aca="false">IF($BZ170&lt;&gt;Constants!$B$8,"",IF($BM170="-&gt;",$BT170,$BH170))</f>
        <v/>
      </c>
      <c r="CC170" s="138" t="str">
        <f aca="false">IF($BZ170&lt;&gt;Constants!$B$8,"",IF($AF170,0,Constants!$B$18))</f>
        <v/>
      </c>
      <c r="CD170" s="138" t="str">
        <f aca="false">IF($BZ170&lt;&gt;Constants!$B$8,"",((Constants!$B$31-$AZ170)-Constants!$B$31)/Constants!$B$32)</f>
        <v/>
      </c>
      <c r="CE170" s="138" t="str">
        <f aca="false">IF(ISBLANK($C170),"",IF($BZ170&lt;&gt;Constants!$B$8,$BZ170,SUM($CB170:$CD170)))</f>
        <v/>
      </c>
      <c r="CF170" s="135" t="str">
        <f aca="false">IF(ISBLANK($C170),"",IF($BZ170&lt;&gt;Constants!$B$8,$BZ170,RANK($CE170,$CE$9:$CE$508,1)))</f>
        <v/>
      </c>
      <c r="CG170" s="138" t="str">
        <f aca="false">IF($BZ170&lt;&gt;Constants!$B$8,"",IF($BM170="-&gt;",$BU170,$BI170))</f>
        <v/>
      </c>
      <c r="CH170" s="135" t="str">
        <f aca="false">IF(ISBLANK($C170),"",IF($BZ170&lt;&gt;Constants!$B$8,$BZ170,IF(ISNUMBER($CG170),RANK($CG170,$CG$9:$CG$508,1),COUNT($CG$9:$CG$508)+1)))</f>
        <v/>
      </c>
      <c r="CI170" s="138" t="str">
        <f aca="false">IF($BZ170&lt;&gt;Constants!$B$8,"",IF($BM170="-&gt;",$BV170,$BJ170))</f>
        <v/>
      </c>
      <c r="CJ170" s="135" t="str">
        <f aca="false">IF(ISBLANK($C170),"",IF($BZ170&lt;&gt;Constants!$B$8,$BZ170,IF(ISNUMBER($CI170),RANK($CI170,$CI$9:$CI$508,1),COUNT($CI$9:$CI$508)+1)))</f>
        <v/>
      </c>
      <c r="CK170" s="138" t="str">
        <f aca="false">IF($BZ170&lt;&gt;Constants!$B$8,"",IF($BM170="-&gt;",$BW170,$BK170))</f>
        <v/>
      </c>
      <c r="CL170" s="135" t="str">
        <f aca="false">IF(ISBLANK($C170),"",IF($BZ170&lt;&gt;Constants!$B$8,$BZ170,IF(ISNUMBER($CK170),RANK($CK170,$CK$9:$CK$508,1),COUNT($CK$9:$CK$508)+1)))</f>
        <v/>
      </c>
      <c r="CM170" s="138" t="str">
        <f aca="false">IF($BZ170&lt;&gt;Constants!$B$8,"",IF(AND(NOT($AL170),NOT($AT170),$AJ170,$AK170,$AR170,$AS170),"",IF($BM170="-&gt;",$BX170,$BL170)))</f>
        <v/>
      </c>
      <c r="CN170" s="135" t="str">
        <f aca="false">IF(ISBLANK($C170),"",IF($BZ170&lt;&gt;Constants!$B$8,$BZ170,IF(ISNUMBER($CM170),RANK($CM170,$CM$9:$CM$508,1),COUNT($CM$9:$CM$508)+1)))</f>
        <v/>
      </c>
      <c r="CO170" s="135" t="str">
        <f aca="false">IF(ISBLANK($C170),"",IF($BZ170&lt;&gt;Constants!$B$8,$BZ170,COUNTIFS($CF$9:$CF$508,"&lt;"&amp;$CF170)+COUNTIFS($CF$9:$CF$508,$CF170,$CH$9:$CH$508,"&lt;"&amp;$CH170)+COUNTIFS($CF$9:$CF$508,$CF170,$CH$9:$CH$508,$CH170,$CJ$9:$CJ$508,"&lt;"&amp;$CJ170)+COUNTIFS($CF$9:$CF$508,$CF170,$CH$9:$CH$508,$CH170,$CJ$9:$CJ$508,$CJ170,$CL$9:$CL$508,"&lt;"&amp;$CL170)+COUNTIFS($CF$9:$CF$508,$CF170,$CH$9:$CH$508,$CH170,$CJ$9:$CJ$508,$CJ170,$CL$9:$CL$508,$CL170,$CN$9:$CN$508,"&lt;"&amp;$CN170)+1))</f>
        <v/>
      </c>
      <c r="CP170" s="135" t="str">
        <f aca="false">IF(ISBLANK($C170),"",IF($BZ170&lt;&gt;Constants!$B$8,$BZ170,$CF170-$CO170))</f>
        <v/>
      </c>
      <c r="CQ170" s="141"/>
      <c r="CR170" s="142"/>
      <c r="CS170" s="143" t="str">
        <f aca="false">IF(ISBLANK($C170),"",IF($BZ170=Constants!$B$12,$BY170,""))</f>
        <v/>
      </c>
      <c r="CT170" s="142" t="str">
        <f aca="false">IF(ISBLANK($C170),"",IF($BZ170&lt;&gt;Constants!$B$8,"",IF($BM170="-&gt;",2,1)))</f>
        <v/>
      </c>
      <c r="CU170" s="144" t="str">
        <f aca="false">IF(ISBLANK($C170),"",IF($BZ170&lt;&gt;Constants!$B$8,"",IF($BM170="-&gt;",$BO170,$BC170)))</f>
        <v/>
      </c>
      <c r="CV170" s="144" t="str">
        <f aca="false">IF(ISBLANK($C170),"",IF($BZ170&lt;&gt;Constants!$B$8,"",IF($BM170="-&gt;",$BP170,$BD170)))</f>
        <v/>
      </c>
      <c r="CW170" s="144" t="str">
        <f aca="false">IF(ISBLANK($C170),"",IF($BZ170&lt;&gt;Constants!$B$8,"",IF($BM170="-&gt;",$BQ170+$BR170,$BE170+$BF170)+$CD170))</f>
        <v/>
      </c>
      <c r="CX170" s="144" t="str">
        <f aca="false">IF(ISBLANK($C170),"",IF($BZ170&lt;&gt;Constants!$B$8,"",IF($BM170="-&gt;",$BS170,$BG170)+$CC170))</f>
        <v/>
      </c>
      <c r="CY170" s="145" t="str">
        <f aca="false">IF(ISBLANK($C170),"",IF($BZ170&lt;&gt;Constants!$B$8,$BZ170,$CE170))</f>
        <v/>
      </c>
      <c r="CZ170" s="146" t="str">
        <f aca="false">IF(ISBLANK($C170),"",$CA170)</f>
        <v/>
      </c>
      <c r="DA170" s="147" t="str">
        <f aca="false">IF(ISBLANK($C170),"",$CP170)</f>
        <v/>
      </c>
      <c r="DB170" s="147" t="str">
        <f aca="false">IF(ISBLANK($C170),"",$CO170)</f>
        <v/>
      </c>
      <c r="DC170" s="148" t="str">
        <f aca="false">IF(ISBLANK($C170),"",IFERROR(_xlfn.SWITCH($DB170,Constants!$B$11,COUNTA($C$9:$C$508)+2,Constants!$B$10,COUNTA($C$9:$C$508)+1,Constants!$B$9,COUNTA($C$9:$C$508)),$DB170))</f>
        <v/>
      </c>
      <c r="DD170" s="9"/>
      <c r="DE170" s="149" t="n">
        <f aca="false">IF(OR(ISNUMBER($DB170),$DB170=Constants!$B$11,$DB170=Constants!$B$9,$DB170=Constants!$B$10),1,0)</f>
        <v>0</v>
      </c>
      <c r="DF170" s="149" t="n">
        <v>162</v>
      </c>
      <c r="DG170" s="149" t="str">
        <f aca="false">IF(ISBLANK($C170),"",IF(ISNUMBER($DC170),$DC170+ROW($B170)/1000,""))</f>
        <v/>
      </c>
      <c r="DH170" s="149" t="str">
        <f aca="false">IF(ISNUMBER($DG170),RANK($DG170,$DG$9:$DG$508,1),"")</f>
        <v/>
      </c>
      <c r="DI170" s="149" t="str">
        <f aca="false">IF(ISBLANK($C170),"",$B170)</f>
        <v/>
      </c>
      <c r="DJ170" s="149" t="str">
        <f aca="false">IF(ISBLANK($C170),"",$C170)</f>
        <v/>
      </c>
      <c r="DK170" s="149" t="str">
        <f aca="false">IF(ISBLANK($C170),"",$D170)</f>
        <v/>
      </c>
      <c r="DL170" s="150" t="str">
        <f aca="false">$CZ170</f>
        <v/>
      </c>
      <c r="DM170" s="151" t="str">
        <f aca="false">$CY170</f>
        <v/>
      </c>
      <c r="DN170" s="149" t="str">
        <f aca="false">IF(ISBLANK($C170),"",$DB170)</f>
        <v/>
      </c>
      <c r="DO170" s="152" t="str">
        <f aca="false">IF($DF170&gt;$DE$8,"",VLOOKUP($DF170,$DH$9:$DN$508,7,FALSE()))</f>
        <v/>
      </c>
      <c r="DP170" s="153" t="str">
        <f aca="false">IF($DF170&gt;$DE$8,"",VLOOKUP($DF170,$DH$9:$DN$508,2,FALSE()))</f>
        <v/>
      </c>
      <c r="DQ170" s="153" t="str">
        <f aca="false">IF($DF170&gt;$DE$8,"",VLOOKUP($DF170,$DH$9:$DN$508,3,FALSE()))</f>
        <v/>
      </c>
      <c r="DR170" s="153" t="str">
        <f aca="false">IF($DF170&gt;$DE$8,"",VLOOKUP($DF170,$DH$9:$DN$508,4,FALSE()))</f>
        <v/>
      </c>
      <c r="DS170" s="153" t="str">
        <f aca="false">IF($DF170&gt;$DE$8,"",VLOOKUP($DF170,$DH$9:$DN$508,5,FALSE()))</f>
        <v/>
      </c>
      <c r="DT170" s="154" t="str">
        <f aca="false">IF($DF170&gt;$DE$8,"",VLOOKUP($DF170,$DH$9:$DN$508,6,FALSE()))</f>
        <v/>
      </c>
      <c r="DU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IF(ISBLANK($C171),"",IF(E171=Constants!$B$3,TRUE(),IF(E171=Constants!$B$4,FALSE(),TRUE())))</f>
        <v/>
      </c>
      <c r="AG171" s="93" t="str">
        <f aca="false">IF(ISBLANK($C171),"",IF(F171=Constants!$B$3,TRUE(),IF(F171=Constants!$B$4,FALSE(),TRUE())))</f>
        <v/>
      </c>
      <c r="AH171" s="93" t="str">
        <f aca="false">IF(ISBLANK($C171),"",IF(G171=Constants!$B$3,TRUE(),IF(G171=Constants!$B$4,FALSE(),TRUE())))</f>
        <v/>
      </c>
      <c r="AI171" s="93" t="str">
        <f aca="false">IF(ISBLANK($C171),"",IF(AND(ISNUMBER(H171),H171&gt;=0),H171,Constants!$B$29))</f>
        <v/>
      </c>
      <c r="AJ171" s="93" t="str">
        <f aca="false">IF(ISBLANK($C171),"",IF(I171=Constants!$B$3,TRUE(),IF(I171=Constants!$B$4,FALSE(),TRUE())))</f>
        <v/>
      </c>
      <c r="AK171" s="93" t="str">
        <f aca="false">IF(ISBLANK($C171),"",IF(J171=Constants!$B$3,TRUE(),IF(J171=Constants!$B$4,FALSE(),TRUE())))</f>
        <v/>
      </c>
      <c r="AL171" s="93" t="str">
        <f aca="false">IF(ISBLANK($C171),"",IF(K171=Constants!$B$5,TRUE(),IF(K171=Constants!$B$6,FALSE(),COUNTA(L171:P171)&gt;0)))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IF(ISBLANK($C171),"",IF(N171=Constants!$B$3,TRUE(),IF(N171=Constants!$B$4,FALSE(),TRUE())))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IF(ISBLANK($C171),"",IF(P171=Constants!$B$3,TRUE(),IF(P171=Constants!$B$4,FALSE(),FALSE())))</f>
        <v/>
      </c>
      <c r="AR171" s="93" t="str">
        <f aca="false">IF(ISBLANK($C171),"",IF(Q171=Constants!$B$3,TRUE(),IF(Q171=Constants!$B$4,FALSE(),TRUE())))</f>
        <v/>
      </c>
      <c r="AS171" s="93" t="str">
        <f aca="false">IF(ISBLANK($C171),"",IF(R171=Constants!$B$3,TRUE(),IF(R171=Constants!$B$4,FALSE(),TRUE())))</f>
        <v/>
      </c>
      <c r="AT171" s="93" t="str">
        <f aca="false">IF(ISBLANK($C171),"",IF(S171=Constants!$B$5,TRUE(),IF(S171=Constants!$B$6,FALSE(),COUNTA(T171:X171)&gt;0)))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IF(ISBLANK($C171),"",IF(V171=Constants!$B$3,TRUE(),IF(V171=Constants!$B$4,FALSE(),TRUE())))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IF(ISBLANK($C171),"",IF(X171=Constants!$B$3,TRUE(),IF(X171=Constants!$B$4,FALSE(),FALSE())))</f>
        <v/>
      </c>
      <c r="AZ171" s="93" t="str">
        <f aca="false">IF(ISBLANK($C171),"",MIN(Constants!$B$31,MAX(0,IF(ISNUMBER(Y171),Y171*60,0)+IF(ISNUMBER(Z171),Z171,0))))</f>
        <v/>
      </c>
      <c r="BA171" s="93" t="str">
        <f aca="false">IF(ISBLANK($C171),"",IF(AA171=Constants!$B$3,TRUE(),IF(AA171=Constants!$B$4,FALSE(),FALSE())))</f>
        <v/>
      </c>
      <c r="BB171" s="92" t="str">
        <f aca="false">IF(ISBLANK($C171),"",AND($AL171,OR($AM171="",$AN171="",AND($AO171,$AP171=""))))</f>
        <v/>
      </c>
      <c r="BC171" s="94" t="str">
        <f aca="false">IF($BZ171&lt;&gt;Constants!$B$8,"",IF($AL171,Constants!$B$21*$AN171+Constants!$B$22*IF($AO171,$AP171,Constants!$B$23),Constants!$B$24))</f>
        <v/>
      </c>
      <c r="BD171" s="97" t="str">
        <f aca="false">IF($BZ171&lt;&gt;Constants!$B$8,"",Constants!$B$25*ABS($AD$9-IF($AL171,$AM171,0)))</f>
        <v/>
      </c>
      <c r="BE171" s="97" t="str">
        <f aca="false">IF($BZ171&lt;&gt;Constants!$B$8,"",IF(AND($AL171,$AQ171,$AO171),Constants!$B$27,0))</f>
        <v/>
      </c>
      <c r="BF171" s="97" t="str">
        <f aca="false">IF($BZ171&lt;&gt;Constants!$B$8,"",IF($AL171,($AI171-Constants!$B$29)*Constants!$B$28,0))</f>
        <v/>
      </c>
      <c r="BG171" s="97" t="str">
        <f aca="false">IF($BZ171&lt;&gt;Constants!$B$8,"",IF($AK171,0,Constants!$B$15)+IF($AJ171,0,Constants!$B$16)+IF($AH171,0,Constants!$B$17))</f>
        <v/>
      </c>
      <c r="BH171" s="98" t="str">
        <f aca="false">IF($BZ171&lt;&gt;Constants!$B$8,"",Constants!$B$20+SUM($BC171:$BG171))</f>
        <v/>
      </c>
      <c r="BI171" s="97" t="str">
        <f aca="false">IF($BZ171&lt;&gt;Constants!$B$8,"",$BC171)</f>
        <v/>
      </c>
      <c r="BJ171" s="97" t="str">
        <f aca="false">IF($BZ171&lt;&gt;Constants!$B$8,"",$BD171)</f>
        <v/>
      </c>
      <c r="BK171" s="97" t="str">
        <f aca="false">IF($BZ171&lt;&gt;Constants!$B$8,"",IF($AL171,$AN171,""))</f>
        <v/>
      </c>
      <c r="BL171" s="99" t="str">
        <f aca="false">IF($BZ171&lt;&gt;Constants!$B$8,"",$AI171)</f>
        <v/>
      </c>
      <c r="BM171" s="93" t="str">
        <f aca="false">IF($BZ171&lt;&gt;Constants!$B$8,"",IF(OR($BT171&lt;$BH171,AND($BT171=$BH171,OR($BU171&lt;$BI171,AND($BU171=$BI171,OR($BV171&lt;$BJ171,AND($BV171=$BJ171,OR(AND(ISNUMBER($BW171),OR(NOT(ISNUMBER($BK171)),$BW171&lt;$BK171)),AND(OR(AND($BW171="",$BK171=""),AND(ISNUMBER($BW171),ISNUMBER($BK171),$BW171=$BK171)),$BX171&lt;$BL171)))))))),"-&gt;","&lt;-"))</f>
        <v/>
      </c>
      <c r="BN171" s="92" t="str">
        <f aca="false">IF(ISBLANK($C171),"",AND($AT171,OR($AU171="",$AV171="",AND($AW171,$AX171=""))))</f>
        <v/>
      </c>
      <c r="BO171" s="94" t="str">
        <f aca="false">IF($BZ171&lt;&gt;Constants!$B$8,"",IF($AT171,Constants!$B$21*$AV171+Constants!$B$22*IF($AW171,$AX171,Constants!$B$23),Constants!$B$24))</f>
        <v/>
      </c>
      <c r="BP171" s="97" t="str">
        <f aca="false">IF($BZ171&lt;&gt;Constants!$B$8,"",Constants!$B$25*ABS($AD$9-IF($AT171,$AU171,0)))</f>
        <v/>
      </c>
      <c r="BQ171" s="97" t="str">
        <f aca="false">IF($BZ171&lt;&gt;Constants!$B$8,"",IF(AND($AT171,$AY171,$AW171),Constants!$B$27,0))</f>
        <v/>
      </c>
      <c r="BR171" s="97" t="str">
        <f aca="false">IF($BZ171&lt;&gt;Constants!$B$8,"",IF($AT171,($AI171-Constants!$B$29)*Constants!$B$28,0))</f>
        <v/>
      </c>
      <c r="BS171" s="97" t="str">
        <f aca="false">IF($BZ171&lt;&gt;Constants!$B$8,"",IF($AS171,0,Constants!$B$15)+IF($AR171,0,Constants!$B$16)+IF($AH171,0,Constants!$B$17))</f>
        <v/>
      </c>
      <c r="BT171" s="98" t="str">
        <f aca="false">IF($BZ171&lt;&gt;Constants!$B$8,"",Constants!$B$20+SUM($BO171:$BS171))</f>
        <v/>
      </c>
      <c r="BU171" s="97" t="str">
        <f aca="false">IF($BZ171&lt;&gt;Constants!$B$8,"",$BO171)</f>
        <v/>
      </c>
      <c r="BV171" s="97" t="str">
        <f aca="false">IF($BZ171&lt;&gt;Constants!$B$8,"",$BP171)</f>
        <v/>
      </c>
      <c r="BW171" s="97" t="str">
        <f aca="false">IF($BZ171&lt;&gt;Constants!$B$8,"",IF($AT171,$AV171,""))</f>
        <v/>
      </c>
      <c r="BX171" s="99" t="str">
        <f aca="false">IF($BZ171&lt;&gt;Constants!$B$8,"",$AI171)</f>
        <v/>
      </c>
      <c r="BY171" s="93" t="str">
        <f aca="false">IF(ISBLANK($C171),"",IF(ISBLANK($D$7),$BY$5,IF(NOT(ISNUMBER($D$7)),$BY$6,"")))</f>
        <v/>
      </c>
      <c r="BZ171" s="93" t="str">
        <f aca="false">IF(ISBLANK($C171),"",IF($BA171,Constants!$B$11,IF(COUNTA($E171:$AA171)=0,Constants!$B$10,IF(NOT($AG171),Constants!$B$9,IF(OR($BY171&lt;&gt;"",$BB171,$BN171),Constants!$B$12,Constants!$B$8)))))</f>
        <v/>
      </c>
      <c r="CA171" s="93" t="str">
        <f aca="false">IF(ISBLANK($C171),"",IF($BZ171&lt;&gt;Constants!$B$8,$BZ171,Constants!$B$13))</f>
        <v/>
      </c>
      <c r="CB171" s="97" t="str">
        <f aca="false">IF($BZ171&lt;&gt;Constants!$B$8,"",IF($BM171="-&gt;",$BT171,$BH171))</f>
        <v/>
      </c>
      <c r="CC171" s="97" t="str">
        <f aca="false">IF($BZ171&lt;&gt;Constants!$B$8,"",IF($AF171,0,Constants!$B$18))</f>
        <v/>
      </c>
      <c r="CD171" s="97" t="str">
        <f aca="false">IF($BZ171&lt;&gt;Constants!$B$8,"",((Constants!$B$31-$AZ171)-Constants!$B$31)/Constants!$B$32)</f>
        <v/>
      </c>
      <c r="CE171" s="97" t="str">
        <f aca="false">IF(ISBLANK($C171),"",IF($BZ171&lt;&gt;Constants!$B$8,$BZ171,SUM($CB171:$CD171)))</f>
        <v/>
      </c>
      <c r="CF171" s="93" t="str">
        <f aca="false">IF(ISBLANK($C171),"",IF($BZ171&lt;&gt;Constants!$B$8,$BZ171,RANK($CE171,$CE$9:$CE$508,1)))</f>
        <v/>
      </c>
      <c r="CG171" s="97" t="str">
        <f aca="false">IF($BZ171&lt;&gt;Constants!$B$8,"",IF($BM171="-&gt;",$BU171,$BI171))</f>
        <v/>
      </c>
      <c r="CH171" s="93" t="str">
        <f aca="false">IF(ISBLANK($C171),"",IF($BZ171&lt;&gt;Constants!$B$8,$BZ171,IF(ISNUMBER($CG171),RANK($CG171,$CG$9:$CG$508,1),COUNT($CG$9:$CG$508)+1)))</f>
        <v/>
      </c>
      <c r="CI171" s="97" t="str">
        <f aca="false">IF($BZ171&lt;&gt;Constants!$B$8,"",IF($BM171="-&gt;",$BV171,$BJ171))</f>
        <v/>
      </c>
      <c r="CJ171" s="93" t="str">
        <f aca="false">IF(ISBLANK($C171),"",IF($BZ171&lt;&gt;Constants!$B$8,$BZ171,IF(ISNUMBER($CI171),RANK($CI171,$CI$9:$CI$508,1),COUNT($CI$9:$CI$508)+1)))</f>
        <v/>
      </c>
      <c r="CK171" s="97" t="str">
        <f aca="false">IF($BZ171&lt;&gt;Constants!$B$8,"",IF($BM171="-&gt;",$BW171,$BK171))</f>
        <v/>
      </c>
      <c r="CL171" s="93" t="str">
        <f aca="false">IF(ISBLANK($C171),"",IF($BZ171&lt;&gt;Constants!$B$8,$BZ171,IF(ISNUMBER($CK171),RANK($CK171,$CK$9:$CK$508,1),COUNT($CK$9:$CK$508)+1)))</f>
        <v/>
      </c>
      <c r="CM171" s="97" t="str">
        <f aca="false">IF($BZ171&lt;&gt;Constants!$B$8,"",IF(AND(NOT($AL171),NOT($AT171),$AJ171,$AK171,$AR171,$AS171),"",IF($BM171="-&gt;",$BX171,$BL171)))</f>
        <v/>
      </c>
      <c r="CN171" s="93" t="str">
        <f aca="false">IF(ISBLANK($C171),"",IF($BZ171&lt;&gt;Constants!$B$8,$BZ171,IF(ISNUMBER($CM171),RANK($CM171,$CM$9:$CM$508,1),COUNT($CM$9:$CM$508)+1)))</f>
        <v/>
      </c>
      <c r="CO171" s="93" t="str">
        <f aca="false">IF(ISBLANK($C171),"",IF($BZ171&lt;&gt;Constants!$B$8,$BZ171,COUNTIFS($CF$9:$CF$508,"&lt;"&amp;$CF171)+COUNTIFS($CF$9:$CF$508,$CF171,$CH$9:$CH$508,"&lt;"&amp;$CH171)+COUNTIFS($CF$9:$CF$508,$CF171,$CH$9:$CH$508,$CH171,$CJ$9:$CJ$508,"&lt;"&amp;$CJ171)+COUNTIFS($CF$9:$CF$508,$CF171,$CH$9:$CH$508,$CH171,$CJ$9:$CJ$508,$CJ171,$CL$9:$CL$508,"&lt;"&amp;$CL171)+COUNTIFS($CF$9:$CF$508,$CF171,$CH$9:$CH$508,$CH171,$CJ$9:$CJ$508,$CJ171,$CL$9:$CL$508,$CL171,$CN$9:$CN$508,"&lt;"&amp;$CN171)+1))</f>
        <v/>
      </c>
      <c r="CP171" s="93" t="str">
        <f aca="false">IF(ISBLANK($C171),"",IF($BZ171&lt;&gt;Constants!$B$8,$BZ171,$CF171-$CO171))</f>
        <v/>
      </c>
      <c r="CQ171" s="100"/>
      <c r="CR171" s="101"/>
      <c r="CS171" s="102" t="str">
        <f aca="false">IF(ISBLANK($C171),"",IF($BZ171=Constants!$B$12,$BY171,""))</f>
        <v/>
      </c>
      <c r="CT171" s="101" t="str">
        <f aca="false">IF(ISBLANK($C171),"",IF($BZ171&lt;&gt;Constants!$B$8,"",IF($BM171="-&gt;",2,1)))</f>
        <v/>
      </c>
      <c r="CU171" s="103" t="str">
        <f aca="false">IF(ISBLANK($C171),"",IF($BZ171&lt;&gt;Constants!$B$8,"",IF($BM171="-&gt;",$BO171,$BC171)))</f>
        <v/>
      </c>
      <c r="CV171" s="103" t="str">
        <f aca="false">IF(ISBLANK($C171),"",IF($BZ171&lt;&gt;Constants!$B$8,"",IF($BM171="-&gt;",$BP171,$BD171)))</f>
        <v/>
      </c>
      <c r="CW171" s="103" t="str">
        <f aca="false">IF(ISBLANK($C171),"",IF($BZ171&lt;&gt;Constants!$B$8,"",IF($BM171="-&gt;",$BQ171+$BR171,$BE171+$BF171)+$CD171))</f>
        <v/>
      </c>
      <c r="CX171" s="103" t="str">
        <f aca="false">IF(ISBLANK($C171),"",IF($BZ171&lt;&gt;Constants!$B$8,"",IF($BM171="-&gt;",$BS171,$BG171)+$CC171))</f>
        <v/>
      </c>
      <c r="CY171" s="104" t="str">
        <f aca="false">IF(ISBLANK($C171),"",IF($BZ171&lt;&gt;Constants!$B$8,$BZ171,$CE171))</f>
        <v/>
      </c>
      <c r="CZ171" s="105" t="str">
        <f aca="false">IF(ISBLANK($C171),"",$CA171)</f>
        <v/>
      </c>
      <c r="DA171" s="106" t="str">
        <f aca="false">IF(ISBLANK($C171),"",$CP171)</f>
        <v/>
      </c>
      <c r="DB171" s="106" t="str">
        <f aca="false">IF(ISBLANK($C171),"",$CO171)</f>
        <v/>
      </c>
      <c r="DC171" s="107" t="str">
        <f aca="false">IF(ISBLANK($C171),"",IFERROR(_xlfn.SWITCH($DB171,Constants!$B$11,COUNTA($C$9:$C$508)+2,Constants!$B$10,COUNTA($C$9:$C$508)+1,Constants!$B$9,COUNTA($C$9:$C$508)),$DB171))</f>
        <v/>
      </c>
      <c r="DD171" s="9"/>
      <c r="DE171" s="108" t="n">
        <f aca="false">IF(OR(ISNUMBER($DB171),$DB171=Constants!$B$11,$DB171=Constants!$B$9,$DB171=Constants!$B$10),1,0)</f>
        <v>0</v>
      </c>
      <c r="DF171" s="108" t="n">
        <v>163</v>
      </c>
      <c r="DG171" s="108" t="str">
        <f aca="false">IF(ISBLANK($C171),"",IF(ISNUMBER($DC171),$DC171+ROW($B171)/1000,""))</f>
        <v/>
      </c>
      <c r="DH171" s="108" t="str">
        <f aca="false">IF(ISNUMBER($DG171),RANK($DG171,$DG$9:$DG$508,1),"")</f>
        <v/>
      </c>
      <c r="DI171" s="108" t="str">
        <f aca="false">IF(ISBLANK($C171),"",$B171)</f>
        <v/>
      </c>
      <c r="DJ171" s="108" t="str">
        <f aca="false">IF(ISBLANK($C171),"",$C171)</f>
        <v/>
      </c>
      <c r="DK171" s="108" t="str">
        <f aca="false">IF(ISBLANK($C171),"",$D171)</f>
        <v/>
      </c>
      <c r="DL171" s="109" t="str">
        <f aca="false">$CZ171</f>
        <v/>
      </c>
      <c r="DM171" s="110" t="str">
        <f aca="false">$CY171</f>
        <v/>
      </c>
      <c r="DN171" s="108" t="str">
        <f aca="false">IF(ISBLANK($C171),"",$DB171)</f>
        <v/>
      </c>
      <c r="DO171" s="111" t="str">
        <f aca="false">IF($DF171&gt;$DE$8,"",VLOOKUP($DF171,$DH$9:$DN$508,7,FALSE()))</f>
        <v/>
      </c>
      <c r="DP171" s="112" t="str">
        <f aca="false">IF($DF171&gt;$DE$8,"",VLOOKUP($DF171,$DH$9:$DN$508,2,FALSE()))</f>
        <v/>
      </c>
      <c r="DQ171" s="112" t="str">
        <f aca="false">IF($DF171&gt;$DE$8,"",VLOOKUP($DF171,$DH$9:$DN$508,3,FALSE()))</f>
        <v/>
      </c>
      <c r="DR171" s="112" t="str">
        <f aca="false">IF($DF171&gt;$DE$8,"",VLOOKUP($DF171,$DH$9:$DN$508,4,FALSE()))</f>
        <v/>
      </c>
      <c r="DS171" s="112" t="str">
        <f aca="false">IF($DF171&gt;$DE$8,"",VLOOKUP($DF171,$DH$9:$DN$508,5,FALSE()))</f>
        <v/>
      </c>
      <c r="DT171" s="113" t="str">
        <f aca="false">IF($DF171&gt;$DE$8,"",VLOOKUP($DF171,$DH$9:$DN$508,6,FALSE()))</f>
        <v/>
      </c>
      <c r="DU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IF(ISBLANK($C172),"",IF(E172=Constants!$B$3,TRUE(),IF(E172=Constants!$B$4,FALSE(),TRUE())))</f>
        <v/>
      </c>
      <c r="AG172" s="93" t="str">
        <f aca="false">IF(ISBLANK($C172),"",IF(F172=Constants!$B$3,TRUE(),IF(F172=Constants!$B$4,FALSE(),TRUE())))</f>
        <v/>
      </c>
      <c r="AH172" s="93" t="str">
        <f aca="false">IF(ISBLANK($C172),"",IF(G172=Constants!$B$3,TRUE(),IF(G172=Constants!$B$4,FALSE(),TRUE())))</f>
        <v/>
      </c>
      <c r="AI172" s="93" t="str">
        <f aca="false">IF(ISBLANK($C172),"",IF(AND(ISNUMBER(H172),H172&gt;=0),H172,Constants!$B$29))</f>
        <v/>
      </c>
      <c r="AJ172" s="93" t="str">
        <f aca="false">IF(ISBLANK($C172),"",IF(I172=Constants!$B$3,TRUE(),IF(I172=Constants!$B$4,FALSE(),TRUE())))</f>
        <v/>
      </c>
      <c r="AK172" s="93" t="str">
        <f aca="false">IF(ISBLANK($C172),"",IF(J172=Constants!$B$3,TRUE(),IF(J172=Constants!$B$4,FALSE(),TRUE())))</f>
        <v/>
      </c>
      <c r="AL172" s="93" t="str">
        <f aca="false">IF(ISBLANK($C172),"",IF(K172=Constants!$B$5,TRUE(),IF(K172=Constants!$B$6,FALSE(),COUNTA(L172:P172)&gt;0)))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IF(ISBLANK($C172),"",IF(N172=Constants!$B$3,TRUE(),IF(N172=Constants!$B$4,FALSE(),TRUE())))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IF(ISBLANK($C172),"",IF(P172=Constants!$B$3,TRUE(),IF(P172=Constants!$B$4,FALSE(),FALSE())))</f>
        <v/>
      </c>
      <c r="AR172" s="93" t="str">
        <f aca="false">IF(ISBLANK($C172),"",IF(Q172=Constants!$B$3,TRUE(),IF(Q172=Constants!$B$4,FALSE(),TRUE())))</f>
        <v/>
      </c>
      <c r="AS172" s="93" t="str">
        <f aca="false">IF(ISBLANK($C172),"",IF(R172=Constants!$B$3,TRUE(),IF(R172=Constants!$B$4,FALSE(),TRUE())))</f>
        <v/>
      </c>
      <c r="AT172" s="93" t="str">
        <f aca="false">IF(ISBLANK($C172),"",IF(S172=Constants!$B$5,TRUE(),IF(S172=Constants!$B$6,FALSE(),COUNTA(T172:X172)&gt;0)))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IF(ISBLANK($C172),"",IF(V172=Constants!$B$3,TRUE(),IF(V172=Constants!$B$4,FALSE(),TRUE())))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IF(ISBLANK($C172),"",IF(X172=Constants!$B$3,TRUE(),IF(X172=Constants!$B$4,FALSE(),FALSE())))</f>
        <v/>
      </c>
      <c r="AZ172" s="93" t="str">
        <f aca="false">IF(ISBLANK($C172),"",MIN(Constants!$B$31,MAX(0,IF(ISNUMBER(Y172),Y172*60,0)+IF(ISNUMBER(Z172),Z172,0))))</f>
        <v/>
      </c>
      <c r="BA172" s="93" t="str">
        <f aca="false">IF(ISBLANK($C172),"",IF(AA172=Constants!$B$3,TRUE(),IF(AA172=Constants!$B$4,FALSE(),FALSE())))</f>
        <v/>
      </c>
      <c r="BB172" s="92" t="str">
        <f aca="false">IF(ISBLANK($C172),"",AND($AL172,OR($AM172="",$AN172="",AND($AO172,$AP172=""))))</f>
        <v/>
      </c>
      <c r="BC172" s="94" t="str">
        <f aca="false">IF($BZ172&lt;&gt;Constants!$B$8,"",IF($AL172,Constants!$B$21*$AN172+Constants!$B$22*IF($AO172,$AP172,Constants!$B$23),Constants!$B$24))</f>
        <v/>
      </c>
      <c r="BD172" s="97" t="str">
        <f aca="false">IF($BZ172&lt;&gt;Constants!$B$8,"",Constants!$B$25*ABS($AD$9-IF($AL172,$AM172,0)))</f>
        <v/>
      </c>
      <c r="BE172" s="97" t="str">
        <f aca="false">IF($BZ172&lt;&gt;Constants!$B$8,"",IF(AND($AL172,$AQ172,$AO172),Constants!$B$27,0))</f>
        <v/>
      </c>
      <c r="BF172" s="97" t="str">
        <f aca="false">IF($BZ172&lt;&gt;Constants!$B$8,"",IF($AL172,($AI172-Constants!$B$29)*Constants!$B$28,0))</f>
        <v/>
      </c>
      <c r="BG172" s="97" t="str">
        <f aca="false">IF($BZ172&lt;&gt;Constants!$B$8,"",IF($AK172,0,Constants!$B$15)+IF($AJ172,0,Constants!$B$16)+IF($AH172,0,Constants!$B$17))</f>
        <v/>
      </c>
      <c r="BH172" s="98" t="str">
        <f aca="false">IF($BZ172&lt;&gt;Constants!$B$8,"",Constants!$B$20+SUM($BC172:$BG172))</f>
        <v/>
      </c>
      <c r="BI172" s="97" t="str">
        <f aca="false">IF($BZ172&lt;&gt;Constants!$B$8,"",$BC172)</f>
        <v/>
      </c>
      <c r="BJ172" s="97" t="str">
        <f aca="false">IF($BZ172&lt;&gt;Constants!$B$8,"",$BD172)</f>
        <v/>
      </c>
      <c r="BK172" s="97" t="str">
        <f aca="false">IF($BZ172&lt;&gt;Constants!$B$8,"",IF($AL172,$AN172,""))</f>
        <v/>
      </c>
      <c r="BL172" s="99" t="str">
        <f aca="false">IF($BZ172&lt;&gt;Constants!$B$8,"",$AI172)</f>
        <v/>
      </c>
      <c r="BM172" s="93" t="str">
        <f aca="false">IF($BZ172&lt;&gt;Constants!$B$8,"",IF(OR($BT172&lt;$BH172,AND($BT172=$BH172,OR($BU172&lt;$BI172,AND($BU172=$BI172,OR($BV172&lt;$BJ172,AND($BV172=$BJ172,OR(AND(ISNUMBER($BW172),OR(NOT(ISNUMBER($BK172)),$BW172&lt;$BK172)),AND(OR(AND($BW172="",$BK172=""),AND(ISNUMBER($BW172),ISNUMBER($BK172),$BW172=$BK172)),$BX172&lt;$BL172)))))))),"-&gt;","&lt;-"))</f>
        <v/>
      </c>
      <c r="BN172" s="92" t="str">
        <f aca="false">IF(ISBLANK($C172),"",AND($AT172,OR($AU172="",$AV172="",AND($AW172,$AX172=""))))</f>
        <v/>
      </c>
      <c r="BO172" s="94" t="str">
        <f aca="false">IF($BZ172&lt;&gt;Constants!$B$8,"",IF($AT172,Constants!$B$21*$AV172+Constants!$B$22*IF($AW172,$AX172,Constants!$B$23),Constants!$B$24))</f>
        <v/>
      </c>
      <c r="BP172" s="97" t="str">
        <f aca="false">IF($BZ172&lt;&gt;Constants!$B$8,"",Constants!$B$25*ABS($AD$9-IF($AT172,$AU172,0)))</f>
        <v/>
      </c>
      <c r="BQ172" s="97" t="str">
        <f aca="false">IF($BZ172&lt;&gt;Constants!$B$8,"",IF(AND($AT172,$AY172,$AW172),Constants!$B$27,0))</f>
        <v/>
      </c>
      <c r="BR172" s="97" t="str">
        <f aca="false">IF($BZ172&lt;&gt;Constants!$B$8,"",IF($AT172,($AI172-Constants!$B$29)*Constants!$B$28,0))</f>
        <v/>
      </c>
      <c r="BS172" s="97" t="str">
        <f aca="false">IF($BZ172&lt;&gt;Constants!$B$8,"",IF($AS172,0,Constants!$B$15)+IF($AR172,0,Constants!$B$16)+IF($AH172,0,Constants!$B$17))</f>
        <v/>
      </c>
      <c r="BT172" s="98" t="str">
        <f aca="false">IF($BZ172&lt;&gt;Constants!$B$8,"",Constants!$B$20+SUM($BO172:$BS172))</f>
        <v/>
      </c>
      <c r="BU172" s="97" t="str">
        <f aca="false">IF($BZ172&lt;&gt;Constants!$B$8,"",$BO172)</f>
        <v/>
      </c>
      <c r="BV172" s="97" t="str">
        <f aca="false">IF($BZ172&lt;&gt;Constants!$B$8,"",$BP172)</f>
        <v/>
      </c>
      <c r="BW172" s="97" t="str">
        <f aca="false">IF($BZ172&lt;&gt;Constants!$B$8,"",IF($AT172,$AV172,""))</f>
        <v/>
      </c>
      <c r="BX172" s="99" t="str">
        <f aca="false">IF($BZ172&lt;&gt;Constants!$B$8,"",$AI172)</f>
        <v/>
      </c>
      <c r="BY172" s="93" t="str">
        <f aca="false">IF(ISBLANK($C172),"",IF(ISBLANK($D$7),$BY$5,IF(NOT(ISNUMBER($D$7)),$BY$6,"")))</f>
        <v/>
      </c>
      <c r="BZ172" s="93" t="str">
        <f aca="false">IF(ISBLANK($C172),"",IF($BA172,Constants!$B$11,IF(COUNTA($E172:$AA172)=0,Constants!$B$10,IF(NOT($AG172),Constants!$B$9,IF(OR($BY172&lt;&gt;"",$BB172,$BN172),Constants!$B$12,Constants!$B$8)))))</f>
        <v/>
      </c>
      <c r="CA172" s="93" t="str">
        <f aca="false">IF(ISBLANK($C172),"",IF($BZ172&lt;&gt;Constants!$B$8,$BZ172,Constants!$B$13))</f>
        <v/>
      </c>
      <c r="CB172" s="97" t="str">
        <f aca="false">IF($BZ172&lt;&gt;Constants!$B$8,"",IF($BM172="-&gt;",$BT172,$BH172))</f>
        <v/>
      </c>
      <c r="CC172" s="97" t="str">
        <f aca="false">IF($BZ172&lt;&gt;Constants!$B$8,"",IF($AF172,0,Constants!$B$18))</f>
        <v/>
      </c>
      <c r="CD172" s="97" t="str">
        <f aca="false">IF($BZ172&lt;&gt;Constants!$B$8,"",((Constants!$B$31-$AZ172)-Constants!$B$31)/Constants!$B$32)</f>
        <v/>
      </c>
      <c r="CE172" s="97" t="str">
        <f aca="false">IF(ISBLANK($C172),"",IF($BZ172&lt;&gt;Constants!$B$8,$BZ172,SUM($CB172:$CD172)))</f>
        <v/>
      </c>
      <c r="CF172" s="93" t="str">
        <f aca="false">IF(ISBLANK($C172),"",IF($BZ172&lt;&gt;Constants!$B$8,$BZ172,RANK($CE172,$CE$9:$CE$508,1)))</f>
        <v/>
      </c>
      <c r="CG172" s="97" t="str">
        <f aca="false">IF($BZ172&lt;&gt;Constants!$B$8,"",IF($BM172="-&gt;",$BU172,$BI172))</f>
        <v/>
      </c>
      <c r="CH172" s="93" t="str">
        <f aca="false">IF(ISBLANK($C172),"",IF($BZ172&lt;&gt;Constants!$B$8,$BZ172,IF(ISNUMBER($CG172),RANK($CG172,$CG$9:$CG$508,1),COUNT($CG$9:$CG$508)+1)))</f>
        <v/>
      </c>
      <c r="CI172" s="97" t="str">
        <f aca="false">IF($BZ172&lt;&gt;Constants!$B$8,"",IF($BM172="-&gt;",$BV172,$BJ172))</f>
        <v/>
      </c>
      <c r="CJ172" s="93" t="str">
        <f aca="false">IF(ISBLANK($C172),"",IF($BZ172&lt;&gt;Constants!$B$8,$BZ172,IF(ISNUMBER($CI172),RANK($CI172,$CI$9:$CI$508,1),COUNT($CI$9:$CI$508)+1)))</f>
        <v/>
      </c>
      <c r="CK172" s="97" t="str">
        <f aca="false">IF($BZ172&lt;&gt;Constants!$B$8,"",IF($BM172="-&gt;",$BW172,$BK172))</f>
        <v/>
      </c>
      <c r="CL172" s="93" t="str">
        <f aca="false">IF(ISBLANK($C172),"",IF($BZ172&lt;&gt;Constants!$B$8,$BZ172,IF(ISNUMBER($CK172),RANK($CK172,$CK$9:$CK$508,1),COUNT($CK$9:$CK$508)+1)))</f>
        <v/>
      </c>
      <c r="CM172" s="97" t="str">
        <f aca="false">IF($BZ172&lt;&gt;Constants!$B$8,"",IF(AND(NOT($AL172),NOT($AT172),$AJ172,$AK172,$AR172,$AS172),"",IF($BM172="-&gt;",$BX172,$BL172)))</f>
        <v/>
      </c>
      <c r="CN172" s="93" t="str">
        <f aca="false">IF(ISBLANK($C172),"",IF($BZ172&lt;&gt;Constants!$B$8,$BZ172,IF(ISNUMBER($CM172),RANK($CM172,$CM$9:$CM$508,1),COUNT($CM$9:$CM$508)+1)))</f>
        <v/>
      </c>
      <c r="CO172" s="93" t="str">
        <f aca="false">IF(ISBLANK($C172),"",IF($BZ172&lt;&gt;Constants!$B$8,$BZ172,COUNTIFS($CF$9:$CF$508,"&lt;"&amp;$CF172)+COUNTIFS($CF$9:$CF$508,$CF172,$CH$9:$CH$508,"&lt;"&amp;$CH172)+COUNTIFS($CF$9:$CF$508,$CF172,$CH$9:$CH$508,$CH172,$CJ$9:$CJ$508,"&lt;"&amp;$CJ172)+COUNTIFS($CF$9:$CF$508,$CF172,$CH$9:$CH$508,$CH172,$CJ$9:$CJ$508,$CJ172,$CL$9:$CL$508,"&lt;"&amp;$CL172)+COUNTIFS($CF$9:$CF$508,$CF172,$CH$9:$CH$508,$CH172,$CJ$9:$CJ$508,$CJ172,$CL$9:$CL$508,$CL172,$CN$9:$CN$508,"&lt;"&amp;$CN172)+1))</f>
        <v/>
      </c>
      <c r="CP172" s="93" t="str">
        <f aca="false">IF(ISBLANK($C172),"",IF($BZ172&lt;&gt;Constants!$B$8,$BZ172,$CF172-$CO172))</f>
        <v/>
      </c>
      <c r="CQ172" s="100"/>
      <c r="CR172" s="101"/>
      <c r="CS172" s="102" t="str">
        <f aca="false">IF(ISBLANK($C172),"",IF($BZ172=Constants!$B$12,$BY172,""))</f>
        <v/>
      </c>
      <c r="CT172" s="101" t="str">
        <f aca="false">IF(ISBLANK($C172),"",IF($BZ172&lt;&gt;Constants!$B$8,"",IF($BM172="-&gt;",2,1)))</f>
        <v/>
      </c>
      <c r="CU172" s="103" t="str">
        <f aca="false">IF(ISBLANK($C172),"",IF($BZ172&lt;&gt;Constants!$B$8,"",IF($BM172="-&gt;",$BO172,$BC172)))</f>
        <v/>
      </c>
      <c r="CV172" s="103" t="str">
        <f aca="false">IF(ISBLANK($C172),"",IF($BZ172&lt;&gt;Constants!$B$8,"",IF($BM172="-&gt;",$BP172,$BD172)))</f>
        <v/>
      </c>
      <c r="CW172" s="103" t="str">
        <f aca="false">IF(ISBLANK($C172),"",IF($BZ172&lt;&gt;Constants!$B$8,"",IF($BM172="-&gt;",$BQ172+$BR172,$BE172+$BF172)+$CD172))</f>
        <v/>
      </c>
      <c r="CX172" s="103" t="str">
        <f aca="false">IF(ISBLANK($C172),"",IF($BZ172&lt;&gt;Constants!$B$8,"",IF($BM172="-&gt;",$BS172,$BG172)+$CC172))</f>
        <v/>
      </c>
      <c r="CY172" s="104" t="str">
        <f aca="false">IF(ISBLANK($C172),"",IF($BZ172&lt;&gt;Constants!$B$8,$BZ172,$CE172))</f>
        <v/>
      </c>
      <c r="CZ172" s="105" t="str">
        <f aca="false">IF(ISBLANK($C172),"",$CA172)</f>
        <v/>
      </c>
      <c r="DA172" s="106" t="str">
        <f aca="false">IF(ISBLANK($C172),"",$CP172)</f>
        <v/>
      </c>
      <c r="DB172" s="106" t="str">
        <f aca="false">IF(ISBLANK($C172),"",$CO172)</f>
        <v/>
      </c>
      <c r="DC172" s="107" t="str">
        <f aca="false">IF(ISBLANK($C172),"",IFERROR(_xlfn.SWITCH($DB172,Constants!$B$11,COUNTA($C$9:$C$508)+2,Constants!$B$10,COUNTA($C$9:$C$508)+1,Constants!$B$9,COUNTA($C$9:$C$508)),$DB172))</f>
        <v/>
      </c>
      <c r="DD172" s="9"/>
      <c r="DE172" s="108" t="n">
        <f aca="false">IF(OR(ISNUMBER($DB172),$DB172=Constants!$B$11,$DB172=Constants!$B$9,$DB172=Constants!$B$10),1,0)</f>
        <v>0</v>
      </c>
      <c r="DF172" s="108" t="n">
        <v>164</v>
      </c>
      <c r="DG172" s="108" t="str">
        <f aca="false">IF(ISBLANK($C172),"",IF(ISNUMBER($DC172),$DC172+ROW($B172)/1000,""))</f>
        <v/>
      </c>
      <c r="DH172" s="108" t="str">
        <f aca="false">IF(ISNUMBER($DG172),RANK($DG172,$DG$9:$DG$508,1),"")</f>
        <v/>
      </c>
      <c r="DI172" s="108" t="str">
        <f aca="false">IF(ISBLANK($C172),"",$B172)</f>
        <v/>
      </c>
      <c r="DJ172" s="108" t="str">
        <f aca="false">IF(ISBLANK($C172),"",$C172)</f>
        <v/>
      </c>
      <c r="DK172" s="108" t="str">
        <f aca="false">IF(ISBLANK($C172),"",$D172)</f>
        <v/>
      </c>
      <c r="DL172" s="109" t="str">
        <f aca="false">$CZ172</f>
        <v/>
      </c>
      <c r="DM172" s="110" t="str">
        <f aca="false">$CY172</f>
        <v/>
      </c>
      <c r="DN172" s="108" t="str">
        <f aca="false">IF(ISBLANK($C172),"",$DB172)</f>
        <v/>
      </c>
      <c r="DO172" s="111" t="str">
        <f aca="false">IF($DF172&gt;$DE$8,"",VLOOKUP($DF172,$DH$9:$DN$508,7,FALSE()))</f>
        <v/>
      </c>
      <c r="DP172" s="112" t="str">
        <f aca="false">IF($DF172&gt;$DE$8,"",VLOOKUP($DF172,$DH$9:$DN$508,2,FALSE()))</f>
        <v/>
      </c>
      <c r="DQ172" s="112" t="str">
        <f aca="false">IF($DF172&gt;$DE$8,"",VLOOKUP($DF172,$DH$9:$DN$508,3,FALSE()))</f>
        <v/>
      </c>
      <c r="DR172" s="112" t="str">
        <f aca="false">IF($DF172&gt;$DE$8,"",VLOOKUP($DF172,$DH$9:$DN$508,4,FALSE()))</f>
        <v/>
      </c>
      <c r="DS172" s="112" t="str">
        <f aca="false">IF($DF172&gt;$DE$8,"",VLOOKUP($DF172,$DH$9:$DN$508,5,FALSE()))</f>
        <v/>
      </c>
      <c r="DT172" s="113" t="str">
        <f aca="false">IF($DF172&gt;$DE$8,"",VLOOKUP($DF172,$DH$9:$DN$508,6,FALSE()))</f>
        <v/>
      </c>
      <c r="DU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IF(ISBLANK($C173),"",IF(E173=Constants!$B$3,TRUE(),IF(E173=Constants!$B$4,FALSE(),TRUE())))</f>
        <v/>
      </c>
      <c r="AG173" s="93" t="str">
        <f aca="false">IF(ISBLANK($C173),"",IF(F173=Constants!$B$3,TRUE(),IF(F173=Constants!$B$4,FALSE(),TRUE())))</f>
        <v/>
      </c>
      <c r="AH173" s="93" t="str">
        <f aca="false">IF(ISBLANK($C173),"",IF(G173=Constants!$B$3,TRUE(),IF(G173=Constants!$B$4,FALSE(),TRUE())))</f>
        <v/>
      </c>
      <c r="AI173" s="93" t="str">
        <f aca="false">IF(ISBLANK($C173),"",IF(AND(ISNUMBER(H173),H173&gt;=0),H173,Constants!$B$29))</f>
        <v/>
      </c>
      <c r="AJ173" s="93" t="str">
        <f aca="false">IF(ISBLANK($C173),"",IF(I173=Constants!$B$3,TRUE(),IF(I173=Constants!$B$4,FALSE(),TRUE())))</f>
        <v/>
      </c>
      <c r="AK173" s="93" t="str">
        <f aca="false">IF(ISBLANK($C173),"",IF(J173=Constants!$B$3,TRUE(),IF(J173=Constants!$B$4,FALSE(),TRUE())))</f>
        <v/>
      </c>
      <c r="AL173" s="93" t="str">
        <f aca="false">IF(ISBLANK($C173),"",IF(K173=Constants!$B$5,TRUE(),IF(K173=Constants!$B$6,FALSE(),COUNTA(L173:P173)&gt;0)))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IF(ISBLANK($C173),"",IF(N173=Constants!$B$3,TRUE(),IF(N173=Constants!$B$4,FALSE(),TRUE())))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IF(ISBLANK($C173),"",IF(P173=Constants!$B$3,TRUE(),IF(P173=Constants!$B$4,FALSE(),FALSE())))</f>
        <v/>
      </c>
      <c r="AR173" s="93" t="str">
        <f aca="false">IF(ISBLANK($C173),"",IF(Q173=Constants!$B$3,TRUE(),IF(Q173=Constants!$B$4,FALSE(),TRUE())))</f>
        <v/>
      </c>
      <c r="AS173" s="93" t="str">
        <f aca="false">IF(ISBLANK($C173),"",IF(R173=Constants!$B$3,TRUE(),IF(R173=Constants!$B$4,FALSE(),TRUE())))</f>
        <v/>
      </c>
      <c r="AT173" s="93" t="str">
        <f aca="false">IF(ISBLANK($C173),"",IF(S173=Constants!$B$5,TRUE(),IF(S173=Constants!$B$6,FALSE(),COUNTA(T173:X173)&gt;0)))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IF(ISBLANK($C173),"",IF(V173=Constants!$B$3,TRUE(),IF(V173=Constants!$B$4,FALSE(),TRUE())))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IF(ISBLANK($C173),"",IF(X173=Constants!$B$3,TRUE(),IF(X173=Constants!$B$4,FALSE(),FALSE())))</f>
        <v/>
      </c>
      <c r="AZ173" s="93" t="str">
        <f aca="false">IF(ISBLANK($C173),"",MIN(Constants!$B$31,MAX(0,IF(ISNUMBER(Y173),Y173*60,0)+IF(ISNUMBER(Z173),Z173,0))))</f>
        <v/>
      </c>
      <c r="BA173" s="93" t="str">
        <f aca="false">IF(ISBLANK($C173),"",IF(AA173=Constants!$B$3,TRUE(),IF(AA173=Constants!$B$4,FALSE(),FALSE())))</f>
        <v/>
      </c>
      <c r="BB173" s="92" t="str">
        <f aca="false">IF(ISBLANK($C173),"",AND($AL173,OR($AM173="",$AN173="",AND($AO173,$AP173=""))))</f>
        <v/>
      </c>
      <c r="BC173" s="94" t="str">
        <f aca="false">IF($BZ173&lt;&gt;Constants!$B$8,"",IF($AL173,Constants!$B$21*$AN173+Constants!$B$22*IF($AO173,$AP173,Constants!$B$23),Constants!$B$24))</f>
        <v/>
      </c>
      <c r="BD173" s="97" t="str">
        <f aca="false">IF($BZ173&lt;&gt;Constants!$B$8,"",Constants!$B$25*ABS($AD$9-IF($AL173,$AM173,0)))</f>
        <v/>
      </c>
      <c r="BE173" s="97" t="str">
        <f aca="false">IF($BZ173&lt;&gt;Constants!$B$8,"",IF(AND($AL173,$AQ173,$AO173),Constants!$B$27,0))</f>
        <v/>
      </c>
      <c r="BF173" s="97" t="str">
        <f aca="false">IF($BZ173&lt;&gt;Constants!$B$8,"",IF($AL173,($AI173-Constants!$B$29)*Constants!$B$28,0))</f>
        <v/>
      </c>
      <c r="BG173" s="97" t="str">
        <f aca="false">IF($BZ173&lt;&gt;Constants!$B$8,"",IF($AK173,0,Constants!$B$15)+IF($AJ173,0,Constants!$B$16)+IF($AH173,0,Constants!$B$17))</f>
        <v/>
      </c>
      <c r="BH173" s="98" t="str">
        <f aca="false">IF($BZ173&lt;&gt;Constants!$B$8,"",Constants!$B$20+SUM($BC173:$BG173))</f>
        <v/>
      </c>
      <c r="BI173" s="97" t="str">
        <f aca="false">IF($BZ173&lt;&gt;Constants!$B$8,"",$BC173)</f>
        <v/>
      </c>
      <c r="BJ173" s="97" t="str">
        <f aca="false">IF($BZ173&lt;&gt;Constants!$B$8,"",$BD173)</f>
        <v/>
      </c>
      <c r="BK173" s="97" t="str">
        <f aca="false">IF($BZ173&lt;&gt;Constants!$B$8,"",IF($AL173,$AN173,""))</f>
        <v/>
      </c>
      <c r="BL173" s="99" t="str">
        <f aca="false">IF($BZ173&lt;&gt;Constants!$B$8,"",$AI173)</f>
        <v/>
      </c>
      <c r="BM173" s="93" t="str">
        <f aca="false">IF($BZ173&lt;&gt;Constants!$B$8,"",IF(OR($BT173&lt;$BH173,AND($BT173=$BH173,OR($BU173&lt;$BI173,AND($BU173=$BI173,OR($BV173&lt;$BJ173,AND($BV173=$BJ173,OR(AND(ISNUMBER($BW173),OR(NOT(ISNUMBER($BK173)),$BW173&lt;$BK173)),AND(OR(AND($BW173="",$BK173=""),AND(ISNUMBER($BW173),ISNUMBER($BK173),$BW173=$BK173)),$BX173&lt;$BL173)))))))),"-&gt;","&lt;-"))</f>
        <v/>
      </c>
      <c r="BN173" s="92" t="str">
        <f aca="false">IF(ISBLANK($C173),"",AND($AT173,OR($AU173="",$AV173="",AND($AW173,$AX173=""))))</f>
        <v/>
      </c>
      <c r="BO173" s="94" t="str">
        <f aca="false">IF($BZ173&lt;&gt;Constants!$B$8,"",IF($AT173,Constants!$B$21*$AV173+Constants!$B$22*IF($AW173,$AX173,Constants!$B$23),Constants!$B$24))</f>
        <v/>
      </c>
      <c r="BP173" s="97" t="str">
        <f aca="false">IF($BZ173&lt;&gt;Constants!$B$8,"",Constants!$B$25*ABS($AD$9-IF($AT173,$AU173,0)))</f>
        <v/>
      </c>
      <c r="BQ173" s="97" t="str">
        <f aca="false">IF($BZ173&lt;&gt;Constants!$B$8,"",IF(AND($AT173,$AY173,$AW173),Constants!$B$27,0))</f>
        <v/>
      </c>
      <c r="BR173" s="97" t="str">
        <f aca="false">IF($BZ173&lt;&gt;Constants!$B$8,"",IF($AT173,($AI173-Constants!$B$29)*Constants!$B$28,0))</f>
        <v/>
      </c>
      <c r="BS173" s="97" t="str">
        <f aca="false">IF($BZ173&lt;&gt;Constants!$B$8,"",IF($AS173,0,Constants!$B$15)+IF($AR173,0,Constants!$B$16)+IF($AH173,0,Constants!$B$17))</f>
        <v/>
      </c>
      <c r="BT173" s="98" t="str">
        <f aca="false">IF($BZ173&lt;&gt;Constants!$B$8,"",Constants!$B$20+SUM($BO173:$BS173))</f>
        <v/>
      </c>
      <c r="BU173" s="97" t="str">
        <f aca="false">IF($BZ173&lt;&gt;Constants!$B$8,"",$BO173)</f>
        <v/>
      </c>
      <c r="BV173" s="97" t="str">
        <f aca="false">IF($BZ173&lt;&gt;Constants!$B$8,"",$BP173)</f>
        <v/>
      </c>
      <c r="BW173" s="97" t="str">
        <f aca="false">IF($BZ173&lt;&gt;Constants!$B$8,"",IF($AT173,$AV173,""))</f>
        <v/>
      </c>
      <c r="BX173" s="99" t="str">
        <f aca="false">IF($BZ173&lt;&gt;Constants!$B$8,"",$AI173)</f>
        <v/>
      </c>
      <c r="BY173" s="93" t="str">
        <f aca="false">IF(ISBLANK($C173),"",IF(ISBLANK($D$7),$BY$5,IF(NOT(ISNUMBER($D$7)),$BY$6,"")))</f>
        <v/>
      </c>
      <c r="BZ173" s="93" t="str">
        <f aca="false">IF(ISBLANK($C173),"",IF($BA173,Constants!$B$11,IF(COUNTA($E173:$AA173)=0,Constants!$B$10,IF(NOT($AG173),Constants!$B$9,IF(OR($BY173&lt;&gt;"",$BB173,$BN173),Constants!$B$12,Constants!$B$8)))))</f>
        <v/>
      </c>
      <c r="CA173" s="93" t="str">
        <f aca="false">IF(ISBLANK($C173),"",IF($BZ173&lt;&gt;Constants!$B$8,$BZ173,Constants!$B$13))</f>
        <v/>
      </c>
      <c r="CB173" s="97" t="str">
        <f aca="false">IF($BZ173&lt;&gt;Constants!$B$8,"",IF($BM173="-&gt;",$BT173,$BH173))</f>
        <v/>
      </c>
      <c r="CC173" s="97" t="str">
        <f aca="false">IF($BZ173&lt;&gt;Constants!$B$8,"",IF($AF173,0,Constants!$B$18))</f>
        <v/>
      </c>
      <c r="CD173" s="97" t="str">
        <f aca="false">IF($BZ173&lt;&gt;Constants!$B$8,"",((Constants!$B$31-$AZ173)-Constants!$B$31)/Constants!$B$32)</f>
        <v/>
      </c>
      <c r="CE173" s="97" t="str">
        <f aca="false">IF(ISBLANK($C173),"",IF($BZ173&lt;&gt;Constants!$B$8,$BZ173,SUM($CB173:$CD173)))</f>
        <v/>
      </c>
      <c r="CF173" s="93" t="str">
        <f aca="false">IF(ISBLANK($C173),"",IF($BZ173&lt;&gt;Constants!$B$8,$BZ173,RANK($CE173,$CE$9:$CE$508,1)))</f>
        <v/>
      </c>
      <c r="CG173" s="97" t="str">
        <f aca="false">IF($BZ173&lt;&gt;Constants!$B$8,"",IF($BM173="-&gt;",$BU173,$BI173))</f>
        <v/>
      </c>
      <c r="CH173" s="93" t="str">
        <f aca="false">IF(ISBLANK($C173),"",IF($BZ173&lt;&gt;Constants!$B$8,$BZ173,IF(ISNUMBER($CG173),RANK($CG173,$CG$9:$CG$508,1),COUNT($CG$9:$CG$508)+1)))</f>
        <v/>
      </c>
      <c r="CI173" s="97" t="str">
        <f aca="false">IF($BZ173&lt;&gt;Constants!$B$8,"",IF($BM173="-&gt;",$BV173,$BJ173))</f>
        <v/>
      </c>
      <c r="CJ173" s="93" t="str">
        <f aca="false">IF(ISBLANK($C173),"",IF($BZ173&lt;&gt;Constants!$B$8,$BZ173,IF(ISNUMBER($CI173),RANK($CI173,$CI$9:$CI$508,1),COUNT($CI$9:$CI$508)+1)))</f>
        <v/>
      </c>
      <c r="CK173" s="97" t="str">
        <f aca="false">IF($BZ173&lt;&gt;Constants!$B$8,"",IF($BM173="-&gt;",$BW173,$BK173))</f>
        <v/>
      </c>
      <c r="CL173" s="93" t="str">
        <f aca="false">IF(ISBLANK($C173),"",IF($BZ173&lt;&gt;Constants!$B$8,$BZ173,IF(ISNUMBER($CK173),RANK($CK173,$CK$9:$CK$508,1),COUNT($CK$9:$CK$508)+1)))</f>
        <v/>
      </c>
      <c r="CM173" s="97" t="str">
        <f aca="false">IF($BZ173&lt;&gt;Constants!$B$8,"",IF(AND(NOT($AL173),NOT($AT173),$AJ173,$AK173,$AR173,$AS173),"",IF($BM173="-&gt;",$BX173,$BL173)))</f>
        <v/>
      </c>
      <c r="CN173" s="93" t="str">
        <f aca="false">IF(ISBLANK($C173),"",IF($BZ173&lt;&gt;Constants!$B$8,$BZ173,IF(ISNUMBER($CM173),RANK($CM173,$CM$9:$CM$508,1),COUNT($CM$9:$CM$508)+1)))</f>
        <v/>
      </c>
      <c r="CO173" s="93" t="str">
        <f aca="false">IF(ISBLANK($C173),"",IF($BZ173&lt;&gt;Constants!$B$8,$BZ173,COUNTIFS($CF$9:$CF$508,"&lt;"&amp;$CF173)+COUNTIFS($CF$9:$CF$508,$CF173,$CH$9:$CH$508,"&lt;"&amp;$CH173)+COUNTIFS($CF$9:$CF$508,$CF173,$CH$9:$CH$508,$CH173,$CJ$9:$CJ$508,"&lt;"&amp;$CJ173)+COUNTIFS($CF$9:$CF$508,$CF173,$CH$9:$CH$508,$CH173,$CJ$9:$CJ$508,$CJ173,$CL$9:$CL$508,"&lt;"&amp;$CL173)+COUNTIFS($CF$9:$CF$508,$CF173,$CH$9:$CH$508,$CH173,$CJ$9:$CJ$508,$CJ173,$CL$9:$CL$508,$CL173,$CN$9:$CN$508,"&lt;"&amp;$CN173)+1))</f>
        <v/>
      </c>
      <c r="CP173" s="93" t="str">
        <f aca="false">IF(ISBLANK($C173),"",IF($BZ173&lt;&gt;Constants!$B$8,$BZ173,$CF173-$CO173))</f>
        <v/>
      </c>
      <c r="CQ173" s="100"/>
      <c r="CR173" s="101"/>
      <c r="CS173" s="102" t="str">
        <f aca="false">IF(ISBLANK($C173),"",IF($BZ173=Constants!$B$12,$BY173,""))</f>
        <v/>
      </c>
      <c r="CT173" s="101" t="str">
        <f aca="false">IF(ISBLANK($C173),"",IF($BZ173&lt;&gt;Constants!$B$8,"",IF($BM173="-&gt;",2,1)))</f>
        <v/>
      </c>
      <c r="CU173" s="103" t="str">
        <f aca="false">IF(ISBLANK($C173),"",IF($BZ173&lt;&gt;Constants!$B$8,"",IF($BM173="-&gt;",$BO173,$BC173)))</f>
        <v/>
      </c>
      <c r="CV173" s="103" t="str">
        <f aca="false">IF(ISBLANK($C173),"",IF($BZ173&lt;&gt;Constants!$B$8,"",IF($BM173="-&gt;",$BP173,$BD173)))</f>
        <v/>
      </c>
      <c r="CW173" s="103" t="str">
        <f aca="false">IF(ISBLANK($C173),"",IF($BZ173&lt;&gt;Constants!$B$8,"",IF($BM173="-&gt;",$BQ173+$BR173,$BE173+$BF173)+$CD173))</f>
        <v/>
      </c>
      <c r="CX173" s="103" t="str">
        <f aca="false">IF(ISBLANK($C173),"",IF($BZ173&lt;&gt;Constants!$B$8,"",IF($BM173="-&gt;",$BS173,$BG173)+$CC173))</f>
        <v/>
      </c>
      <c r="CY173" s="104" t="str">
        <f aca="false">IF(ISBLANK($C173),"",IF($BZ173&lt;&gt;Constants!$B$8,$BZ173,$CE173))</f>
        <v/>
      </c>
      <c r="CZ173" s="105" t="str">
        <f aca="false">IF(ISBLANK($C173),"",$CA173)</f>
        <v/>
      </c>
      <c r="DA173" s="106" t="str">
        <f aca="false">IF(ISBLANK($C173),"",$CP173)</f>
        <v/>
      </c>
      <c r="DB173" s="106" t="str">
        <f aca="false">IF(ISBLANK($C173),"",$CO173)</f>
        <v/>
      </c>
      <c r="DC173" s="107" t="str">
        <f aca="false">IF(ISBLANK($C173),"",IFERROR(_xlfn.SWITCH($DB173,Constants!$B$11,COUNTA($C$9:$C$508)+2,Constants!$B$10,COUNTA($C$9:$C$508)+1,Constants!$B$9,COUNTA($C$9:$C$508)),$DB173))</f>
        <v/>
      </c>
      <c r="DD173" s="9"/>
      <c r="DE173" s="108" t="n">
        <f aca="false">IF(OR(ISNUMBER($DB173),$DB173=Constants!$B$11,$DB173=Constants!$B$9,$DB173=Constants!$B$10),1,0)</f>
        <v>0</v>
      </c>
      <c r="DF173" s="108" t="n">
        <v>165</v>
      </c>
      <c r="DG173" s="108" t="str">
        <f aca="false">IF(ISBLANK($C173),"",IF(ISNUMBER($DC173),$DC173+ROW($B173)/1000,""))</f>
        <v/>
      </c>
      <c r="DH173" s="108" t="str">
        <f aca="false">IF(ISNUMBER($DG173),RANK($DG173,$DG$9:$DG$508,1),"")</f>
        <v/>
      </c>
      <c r="DI173" s="108" t="str">
        <f aca="false">IF(ISBLANK($C173),"",$B173)</f>
        <v/>
      </c>
      <c r="DJ173" s="108" t="str">
        <f aca="false">IF(ISBLANK($C173),"",$C173)</f>
        <v/>
      </c>
      <c r="DK173" s="108" t="str">
        <f aca="false">IF(ISBLANK($C173),"",$D173)</f>
        <v/>
      </c>
      <c r="DL173" s="109" t="str">
        <f aca="false">$CZ173</f>
        <v/>
      </c>
      <c r="DM173" s="110" t="str">
        <f aca="false">$CY173</f>
        <v/>
      </c>
      <c r="DN173" s="108" t="str">
        <f aca="false">IF(ISBLANK($C173),"",$DB173)</f>
        <v/>
      </c>
      <c r="DO173" s="111" t="str">
        <f aca="false">IF($DF173&gt;$DE$8,"",VLOOKUP($DF173,$DH$9:$DN$508,7,FALSE()))</f>
        <v/>
      </c>
      <c r="DP173" s="112" t="str">
        <f aca="false">IF($DF173&gt;$DE$8,"",VLOOKUP($DF173,$DH$9:$DN$508,2,FALSE()))</f>
        <v/>
      </c>
      <c r="DQ173" s="112" t="str">
        <f aca="false">IF($DF173&gt;$DE$8,"",VLOOKUP($DF173,$DH$9:$DN$508,3,FALSE()))</f>
        <v/>
      </c>
      <c r="DR173" s="112" t="str">
        <f aca="false">IF($DF173&gt;$DE$8,"",VLOOKUP($DF173,$DH$9:$DN$508,4,FALSE()))</f>
        <v/>
      </c>
      <c r="DS173" s="112" t="str">
        <f aca="false">IF($DF173&gt;$DE$8,"",VLOOKUP($DF173,$DH$9:$DN$508,5,FALSE()))</f>
        <v/>
      </c>
      <c r="DT173" s="113" t="str">
        <f aca="false">IF($DF173&gt;$DE$8,"",VLOOKUP($DF173,$DH$9:$DN$508,6,FALSE()))</f>
        <v/>
      </c>
      <c r="DU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IF(ISBLANK($C174),"",IF(E174=Constants!$B$3,TRUE(),IF(E174=Constants!$B$4,FALSE(),TRUE())))</f>
        <v/>
      </c>
      <c r="AG174" s="135" t="str">
        <f aca="false">IF(ISBLANK($C174),"",IF(F174=Constants!$B$3,TRUE(),IF(F174=Constants!$B$4,FALSE(),TRUE())))</f>
        <v/>
      </c>
      <c r="AH174" s="135" t="str">
        <f aca="false">IF(ISBLANK($C174),"",IF(G174=Constants!$B$3,TRUE(),IF(G174=Constants!$B$4,FALSE(),TRUE())))</f>
        <v/>
      </c>
      <c r="AI174" s="135" t="str">
        <f aca="false">IF(ISBLANK($C174),"",IF(AND(ISNUMBER(H174),H174&gt;=0),H174,Constants!$B$29))</f>
        <v/>
      </c>
      <c r="AJ174" s="135" t="str">
        <f aca="false">IF(ISBLANK($C174),"",IF(I174=Constants!$B$3,TRUE(),IF(I174=Constants!$B$4,FALSE(),TRUE())))</f>
        <v/>
      </c>
      <c r="AK174" s="135" t="str">
        <f aca="false">IF(ISBLANK($C174),"",IF(J174=Constants!$B$3,TRUE(),IF(J174=Constants!$B$4,FALSE(),TRUE())))</f>
        <v/>
      </c>
      <c r="AL174" s="135" t="str">
        <f aca="false">IF(ISBLANK($C174),"",IF(K174=Constants!$B$5,TRUE(),IF(K174=Constants!$B$6,FALSE(),COUNTA(L174:P174)&gt;0)))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IF(ISBLANK($C174),"",IF(N174=Constants!$B$3,TRUE(),IF(N174=Constants!$B$4,FALSE(),TRUE())))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IF(ISBLANK($C174),"",IF(P174=Constants!$B$3,TRUE(),IF(P174=Constants!$B$4,FALSE(),FALSE())))</f>
        <v/>
      </c>
      <c r="AR174" s="135" t="str">
        <f aca="false">IF(ISBLANK($C174),"",IF(Q174=Constants!$B$3,TRUE(),IF(Q174=Constants!$B$4,FALSE(),TRUE())))</f>
        <v/>
      </c>
      <c r="AS174" s="135" t="str">
        <f aca="false">IF(ISBLANK($C174),"",IF(R174=Constants!$B$3,TRUE(),IF(R174=Constants!$B$4,FALSE(),TRUE())))</f>
        <v/>
      </c>
      <c r="AT174" s="135" t="str">
        <f aca="false">IF(ISBLANK($C174),"",IF(S174=Constants!$B$5,TRUE(),IF(S174=Constants!$B$6,FALSE(),COUNTA(T174:X174)&gt;0)))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IF(ISBLANK($C174),"",IF(V174=Constants!$B$3,TRUE(),IF(V174=Constants!$B$4,FALSE(),TRUE())))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IF(ISBLANK($C174),"",IF(X174=Constants!$B$3,TRUE(),IF(X174=Constants!$B$4,FALSE(),FALSE())))</f>
        <v/>
      </c>
      <c r="AZ174" s="135" t="str">
        <f aca="false">IF(ISBLANK($C174),"",MIN(Constants!$B$31,MAX(0,IF(ISNUMBER(Y174),Y174*60,0)+IF(ISNUMBER(Z174),Z174,0))))</f>
        <v/>
      </c>
      <c r="BA174" s="135" t="str">
        <f aca="false">IF(ISBLANK($C174),"",IF(AA174=Constants!$B$3,TRUE(),IF(AA174=Constants!$B$4,FALSE(),FALSE())))</f>
        <v/>
      </c>
      <c r="BB174" s="134" t="str">
        <f aca="false">IF(ISBLANK($C174),"",AND($AL174,OR($AM174="",$AN174="",AND($AO174,$AP174=""))))</f>
        <v/>
      </c>
      <c r="BC174" s="137" t="str">
        <f aca="false">IF($BZ174&lt;&gt;Constants!$B$8,"",IF($AL174,Constants!$B$21*$AN174+Constants!$B$22*IF($AO174,$AP174,Constants!$B$23),Constants!$B$24))</f>
        <v/>
      </c>
      <c r="BD174" s="138" t="str">
        <f aca="false">IF($BZ174&lt;&gt;Constants!$B$8,"",Constants!$B$25*ABS($AD$9-IF($AL174,$AM174,0)))</f>
        <v/>
      </c>
      <c r="BE174" s="138" t="str">
        <f aca="false">IF($BZ174&lt;&gt;Constants!$B$8,"",IF(AND($AL174,$AQ174,$AO174),Constants!$B$27,0))</f>
        <v/>
      </c>
      <c r="BF174" s="138" t="str">
        <f aca="false">IF($BZ174&lt;&gt;Constants!$B$8,"",IF($AL174,($AI174-Constants!$B$29)*Constants!$B$28,0))</f>
        <v/>
      </c>
      <c r="BG174" s="138" t="str">
        <f aca="false">IF($BZ174&lt;&gt;Constants!$B$8,"",IF($AK174,0,Constants!$B$15)+IF($AJ174,0,Constants!$B$16)+IF($AH174,0,Constants!$B$17))</f>
        <v/>
      </c>
      <c r="BH174" s="139" t="str">
        <f aca="false">IF($BZ174&lt;&gt;Constants!$B$8,"",Constants!$B$20+SUM($BC174:$BG174))</f>
        <v/>
      </c>
      <c r="BI174" s="138" t="str">
        <f aca="false">IF($BZ174&lt;&gt;Constants!$B$8,"",$BC174)</f>
        <v/>
      </c>
      <c r="BJ174" s="138" t="str">
        <f aca="false">IF($BZ174&lt;&gt;Constants!$B$8,"",$BD174)</f>
        <v/>
      </c>
      <c r="BK174" s="138" t="str">
        <f aca="false">IF($BZ174&lt;&gt;Constants!$B$8,"",IF($AL174,$AN174,""))</f>
        <v/>
      </c>
      <c r="BL174" s="140" t="str">
        <f aca="false">IF($BZ174&lt;&gt;Constants!$B$8,"",$AI174)</f>
        <v/>
      </c>
      <c r="BM174" s="135" t="str">
        <f aca="false">IF($BZ174&lt;&gt;Constants!$B$8,"",IF(OR($BT174&lt;$BH174,AND($BT174=$BH174,OR($BU174&lt;$BI174,AND($BU174=$BI174,OR($BV174&lt;$BJ174,AND($BV174=$BJ174,OR(AND(ISNUMBER($BW174),OR(NOT(ISNUMBER($BK174)),$BW174&lt;$BK174)),AND(OR(AND($BW174="",$BK174=""),AND(ISNUMBER($BW174),ISNUMBER($BK174),$BW174=$BK174)),$BX174&lt;$BL174)))))))),"-&gt;","&lt;-"))</f>
        <v/>
      </c>
      <c r="BN174" s="134" t="str">
        <f aca="false">IF(ISBLANK($C174),"",AND($AT174,OR($AU174="",$AV174="",AND($AW174,$AX174=""))))</f>
        <v/>
      </c>
      <c r="BO174" s="137" t="str">
        <f aca="false">IF($BZ174&lt;&gt;Constants!$B$8,"",IF($AT174,Constants!$B$21*$AV174+Constants!$B$22*IF($AW174,$AX174,Constants!$B$23),Constants!$B$24))</f>
        <v/>
      </c>
      <c r="BP174" s="138" t="str">
        <f aca="false">IF($BZ174&lt;&gt;Constants!$B$8,"",Constants!$B$25*ABS($AD$9-IF($AT174,$AU174,0)))</f>
        <v/>
      </c>
      <c r="BQ174" s="138" t="str">
        <f aca="false">IF($BZ174&lt;&gt;Constants!$B$8,"",IF(AND($AT174,$AY174,$AW174),Constants!$B$27,0))</f>
        <v/>
      </c>
      <c r="BR174" s="138" t="str">
        <f aca="false">IF($BZ174&lt;&gt;Constants!$B$8,"",IF($AT174,($AI174-Constants!$B$29)*Constants!$B$28,0))</f>
        <v/>
      </c>
      <c r="BS174" s="138" t="str">
        <f aca="false">IF($BZ174&lt;&gt;Constants!$B$8,"",IF($AS174,0,Constants!$B$15)+IF($AR174,0,Constants!$B$16)+IF($AH174,0,Constants!$B$17))</f>
        <v/>
      </c>
      <c r="BT174" s="139" t="str">
        <f aca="false">IF($BZ174&lt;&gt;Constants!$B$8,"",Constants!$B$20+SUM($BO174:$BS174))</f>
        <v/>
      </c>
      <c r="BU174" s="138" t="str">
        <f aca="false">IF($BZ174&lt;&gt;Constants!$B$8,"",$BO174)</f>
        <v/>
      </c>
      <c r="BV174" s="138" t="str">
        <f aca="false">IF($BZ174&lt;&gt;Constants!$B$8,"",$BP174)</f>
        <v/>
      </c>
      <c r="BW174" s="138" t="str">
        <f aca="false">IF($BZ174&lt;&gt;Constants!$B$8,"",IF($AT174,$AV174,""))</f>
        <v/>
      </c>
      <c r="BX174" s="140" t="str">
        <f aca="false">IF($BZ174&lt;&gt;Constants!$B$8,"",$AI174)</f>
        <v/>
      </c>
      <c r="BY174" s="135" t="str">
        <f aca="false">IF(ISBLANK($C174),"",IF(ISBLANK($D$7),$BY$5,IF(NOT(ISNUMBER($D$7)),$BY$6,"")))</f>
        <v/>
      </c>
      <c r="BZ174" s="135" t="str">
        <f aca="false">IF(ISBLANK($C174),"",IF($BA174,Constants!$B$11,IF(COUNTA($E174:$AA174)=0,Constants!$B$10,IF(NOT($AG174),Constants!$B$9,IF(OR($BY174&lt;&gt;"",$BB174,$BN174),Constants!$B$12,Constants!$B$8)))))</f>
        <v/>
      </c>
      <c r="CA174" s="135" t="str">
        <f aca="false">IF(ISBLANK($C174),"",IF($BZ174&lt;&gt;Constants!$B$8,$BZ174,Constants!$B$13))</f>
        <v/>
      </c>
      <c r="CB174" s="138" t="str">
        <f aca="false">IF($BZ174&lt;&gt;Constants!$B$8,"",IF($BM174="-&gt;",$BT174,$BH174))</f>
        <v/>
      </c>
      <c r="CC174" s="138" t="str">
        <f aca="false">IF($BZ174&lt;&gt;Constants!$B$8,"",IF($AF174,0,Constants!$B$18))</f>
        <v/>
      </c>
      <c r="CD174" s="138" t="str">
        <f aca="false">IF($BZ174&lt;&gt;Constants!$B$8,"",((Constants!$B$31-$AZ174)-Constants!$B$31)/Constants!$B$32)</f>
        <v/>
      </c>
      <c r="CE174" s="138" t="str">
        <f aca="false">IF(ISBLANK($C174),"",IF($BZ174&lt;&gt;Constants!$B$8,$BZ174,SUM($CB174:$CD174)))</f>
        <v/>
      </c>
      <c r="CF174" s="135" t="str">
        <f aca="false">IF(ISBLANK($C174),"",IF($BZ174&lt;&gt;Constants!$B$8,$BZ174,RANK($CE174,$CE$9:$CE$508,1)))</f>
        <v/>
      </c>
      <c r="CG174" s="138" t="str">
        <f aca="false">IF($BZ174&lt;&gt;Constants!$B$8,"",IF($BM174="-&gt;",$BU174,$BI174))</f>
        <v/>
      </c>
      <c r="CH174" s="135" t="str">
        <f aca="false">IF(ISBLANK($C174),"",IF($BZ174&lt;&gt;Constants!$B$8,$BZ174,IF(ISNUMBER($CG174),RANK($CG174,$CG$9:$CG$508,1),COUNT($CG$9:$CG$508)+1)))</f>
        <v/>
      </c>
      <c r="CI174" s="138" t="str">
        <f aca="false">IF($BZ174&lt;&gt;Constants!$B$8,"",IF($BM174="-&gt;",$BV174,$BJ174))</f>
        <v/>
      </c>
      <c r="CJ174" s="135" t="str">
        <f aca="false">IF(ISBLANK($C174),"",IF($BZ174&lt;&gt;Constants!$B$8,$BZ174,IF(ISNUMBER($CI174),RANK($CI174,$CI$9:$CI$508,1),COUNT($CI$9:$CI$508)+1)))</f>
        <v/>
      </c>
      <c r="CK174" s="138" t="str">
        <f aca="false">IF($BZ174&lt;&gt;Constants!$B$8,"",IF($BM174="-&gt;",$BW174,$BK174))</f>
        <v/>
      </c>
      <c r="CL174" s="135" t="str">
        <f aca="false">IF(ISBLANK($C174),"",IF($BZ174&lt;&gt;Constants!$B$8,$BZ174,IF(ISNUMBER($CK174),RANK($CK174,$CK$9:$CK$508,1),COUNT($CK$9:$CK$508)+1)))</f>
        <v/>
      </c>
      <c r="CM174" s="138" t="str">
        <f aca="false">IF($BZ174&lt;&gt;Constants!$B$8,"",IF(AND(NOT($AL174),NOT($AT174),$AJ174,$AK174,$AR174,$AS174),"",IF($BM174="-&gt;",$BX174,$BL174)))</f>
        <v/>
      </c>
      <c r="CN174" s="135" t="str">
        <f aca="false">IF(ISBLANK($C174),"",IF($BZ174&lt;&gt;Constants!$B$8,$BZ174,IF(ISNUMBER($CM174),RANK($CM174,$CM$9:$CM$508,1),COUNT($CM$9:$CM$508)+1)))</f>
        <v/>
      </c>
      <c r="CO174" s="135" t="str">
        <f aca="false">IF(ISBLANK($C174),"",IF($BZ174&lt;&gt;Constants!$B$8,$BZ174,COUNTIFS($CF$9:$CF$508,"&lt;"&amp;$CF174)+COUNTIFS($CF$9:$CF$508,$CF174,$CH$9:$CH$508,"&lt;"&amp;$CH174)+COUNTIFS($CF$9:$CF$508,$CF174,$CH$9:$CH$508,$CH174,$CJ$9:$CJ$508,"&lt;"&amp;$CJ174)+COUNTIFS($CF$9:$CF$508,$CF174,$CH$9:$CH$508,$CH174,$CJ$9:$CJ$508,$CJ174,$CL$9:$CL$508,"&lt;"&amp;$CL174)+COUNTIFS($CF$9:$CF$508,$CF174,$CH$9:$CH$508,$CH174,$CJ$9:$CJ$508,$CJ174,$CL$9:$CL$508,$CL174,$CN$9:$CN$508,"&lt;"&amp;$CN174)+1))</f>
        <v/>
      </c>
      <c r="CP174" s="135" t="str">
        <f aca="false">IF(ISBLANK($C174),"",IF($BZ174&lt;&gt;Constants!$B$8,$BZ174,$CF174-$CO174))</f>
        <v/>
      </c>
      <c r="CQ174" s="141"/>
      <c r="CR174" s="142"/>
      <c r="CS174" s="143" t="str">
        <f aca="false">IF(ISBLANK($C174),"",IF($BZ174=Constants!$B$12,$BY174,""))</f>
        <v/>
      </c>
      <c r="CT174" s="142" t="str">
        <f aca="false">IF(ISBLANK($C174),"",IF($BZ174&lt;&gt;Constants!$B$8,"",IF($BM174="-&gt;",2,1)))</f>
        <v/>
      </c>
      <c r="CU174" s="144" t="str">
        <f aca="false">IF(ISBLANK($C174),"",IF($BZ174&lt;&gt;Constants!$B$8,"",IF($BM174="-&gt;",$BO174,$BC174)))</f>
        <v/>
      </c>
      <c r="CV174" s="144" t="str">
        <f aca="false">IF(ISBLANK($C174),"",IF($BZ174&lt;&gt;Constants!$B$8,"",IF($BM174="-&gt;",$BP174,$BD174)))</f>
        <v/>
      </c>
      <c r="CW174" s="144" t="str">
        <f aca="false">IF(ISBLANK($C174),"",IF($BZ174&lt;&gt;Constants!$B$8,"",IF($BM174="-&gt;",$BQ174+$BR174,$BE174+$BF174)+$CD174))</f>
        <v/>
      </c>
      <c r="CX174" s="144" t="str">
        <f aca="false">IF(ISBLANK($C174),"",IF($BZ174&lt;&gt;Constants!$B$8,"",IF($BM174="-&gt;",$BS174,$BG174)+$CC174))</f>
        <v/>
      </c>
      <c r="CY174" s="145" t="str">
        <f aca="false">IF(ISBLANK($C174),"",IF($BZ174&lt;&gt;Constants!$B$8,$BZ174,$CE174))</f>
        <v/>
      </c>
      <c r="CZ174" s="146" t="str">
        <f aca="false">IF(ISBLANK($C174),"",$CA174)</f>
        <v/>
      </c>
      <c r="DA174" s="147" t="str">
        <f aca="false">IF(ISBLANK($C174),"",$CP174)</f>
        <v/>
      </c>
      <c r="DB174" s="147" t="str">
        <f aca="false">IF(ISBLANK($C174),"",$CO174)</f>
        <v/>
      </c>
      <c r="DC174" s="148" t="str">
        <f aca="false">IF(ISBLANK($C174),"",IFERROR(_xlfn.SWITCH($DB174,Constants!$B$11,COUNTA($C$9:$C$508)+2,Constants!$B$10,COUNTA($C$9:$C$508)+1,Constants!$B$9,COUNTA($C$9:$C$508)),$DB174))</f>
        <v/>
      </c>
      <c r="DD174" s="9"/>
      <c r="DE174" s="149" t="n">
        <f aca="false">IF(OR(ISNUMBER($DB174),$DB174=Constants!$B$11,$DB174=Constants!$B$9,$DB174=Constants!$B$10),1,0)</f>
        <v>0</v>
      </c>
      <c r="DF174" s="149" t="n">
        <v>166</v>
      </c>
      <c r="DG174" s="149" t="str">
        <f aca="false">IF(ISBLANK($C174),"",IF(ISNUMBER($DC174),$DC174+ROW($B174)/1000,""))</f>
        <v/>
      </c>
      <c r="DH174" s="149" t="str">
        <f aca="false">IF(ISNUMBER($DG174),RANK($DG174,$DG$9:$DG$508,1),"")</f>
        <v/>
      </c>
      <c r="DI174" s="149" t="str">
        <f aca="false">IF(ISBLANK($C174),"",$B174)</f>
        <v/>
      </c>
      <c r="DJ174" s="149" t="str">
        <f aca="false">IF(ISBLANK($C174),"",$C174)</f>
        <v/>
      </c>
      <c r="DK174" s="149" t="str">
        <f aca="false">IF(ISBLANK($C174),"",$D174)</f>
        <v/>
      </c>
      <c r="DL174" s="150" t="str">
        <f aca="false">$CZ174</f>
        <v/>
      </c>
      <c r="DM174" s="151" t="str">
        <f aca="false">$CY174</f>
        <v/>
      </c>
      <c r="DN174" s="149" t="str">
        <f aca="false">IF(ISBLANK($C174),"",$DB174)</f>
        <v/>
      </c>
      <c r="DO174" s="152" t="str">
        <f aca="false">IF($DF174&gt;$DE$8,"",VLOOKUP($DF174,$DH$9:$DN$508,7,FALSE()))</f>
        <v/>
      </c>
      <c r="DP174" s="153" t="str">
        <f aca="false">IF($DF174&gt;$DE$8,"",VLOOKUP($DF174,$DH$9:$DN$508,2,FALSE()))</f>
        <v/>
      </c>
      <c r="DQ174" s="153" t="str">
        <f aca="false">IF($DF174&gt;$DE$8,"",VLOOKUP($DF174,$DH$9:$DN$508,3,FALSE()))</f>
        <v/>
      </c>
      <c r="DR174" s="153" t="str">
        <f aca="false">IF($DF174&gt;$DE$8,"",VLOOKUP($DF174,$DH$9:$DN$508,4,FALSE()))</f>
        <v/>
      </c>
      <c r="DS174" s="153" t="str">
        <f aca="false">IF($DF174&gt;$DE$8,"",VLOOKUP($DF174,$DH$9:$DN$508,5,FALSE()))</f>
        <v/>
      </c>
      <c r="DT174" s="154" t="str">
        <f aca="false">IF($DF174&gt;$DE$8,"",VLOOKUP($DF174,$DH$9:$DN$508,6,FALSE()))</f>
        <v/>
      </c>
      <c r="DU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IF(ISBLANK($C175),"",IF(E175=Constants!$B$3,TRUE(),IF(E175=Constants!$B$4,FALSE(),TRUE())))</f>
        <v/>
      </c>
      <c r="AG175" s="135" t="str">
        <f aca="false">IF(ISBLANK($C175),"",IF(F175=Constants!$B$3,TRUE(),IF(F175=Constants!$B$4,FALSE(),TRUE())))</f>
        <v/>
      </c>
      <c r="AH175" s="135" t="str">
        <f aca="false">IF(ISBLANK($C175),"",IF(G175=Constants!$B$3,TRUE(),IF(G175=Constants!$B$4,FALSE(),TRUE())))</f>
        <v/>
      </c>
      <c r="AI175" s="135" t="str">
        <f aca="false">IF(ISBLANK($C175),"",IF(AND(ISNUMBER(H175),H175&gt;=0),H175,Constants!$B$29))</f>
        <v/>
      </c>
      <c r="AJ175" s="135" t="str">
        <f aca="false">IF(ISBLANK($C175),"",IF(I175=Constants!$B$3,TRUE(),IF(I175=Constants!$B$4,FALSE(),TRUE())))</f>
        <v/>
      </c>
      <c r="AK175" s="135" t="str">
        <f aca="false">IF(ISBLANK($C175),"",IF(J175=Constants!$B$3,TRUE(),IF(J175=Constants!$B$4,FALSE(),TRUE())))</f>
        <v/>
      </c>
      <c r="AL175" s="135" t="str">
        <f aca="false">IF(ISBLANK($C175),"",IF(K175=Constants!$B$5,TRUE(),IF(K175=Constants!$B$6,FALSE(),COUNTA(L175:P175)&gt;0)))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IF(ISBLANK($C175),"",IF(N175=Constants!$B$3,TRUE(),IF(N175=Constants!$B$4,FALSE(),TRUE())))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IF(ISBLANK($C175),"",IF(P175=Constants!$B$3,TRUE(),IF(P175=Constants!$B$4,FALSE(),FALSE())))</f>
        <v/>
      </c>
      <c r="AR175" s="135" t="str">
        <f aca="false">IF(ISBLANK($C175),"",IF(Q175=Constants!$B$3,TRUE(),IF(Q175=Constants!$B$4,FALSE(),TRUE())))</f>
        <v/>
      </c>
      <c r="AS175" s="135" t="str">
        <f aca="false">IF(ISBLANK($C175),"",IF(R175=Constants!$B$3,TRUE(),IF(R175=Constants!$B$4,FALSE(),TRUE())))</f>
        <v/>
      </c>
      <c r="AT175" s="135" t="str">
        <f aca="false">IF(ISBLANK($C175),"",IF(S175=Constants!$B$5,TRUE(),IF(S175=Constants!$B$6,FALSE(),COUNTA(T175:X175)&gt;0)))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IF(ISBLANK($C175),"",IF(V175=Constants!$B$3,TRUE(),IF(V175=Constants!$B$4,FALSE(),TRUE())))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IF(ISBLANK($C175),"",IF(X175=Constants!$B$3,TRUE(),IF(X175=Constants!$B$4,FALSE(),FALSE())))</f>
        <v/>
      </c>
      <c r="AZ175" s="135" t="str">
        <f aca="false">IF(ISBLANK($C175),"",MIN(Constants!$B$31,MAX(0,IF(ISNUMBER(Y175),Y175*60,0)+IF(ISNUMBER(Z175),Z175,0))))</f>
        <v/>
      </c>
      <c r="BA175" s="135" t="str">
        <f aca="false">IF(ISBLANK($C175),"",IF(AA175=Constants!$B$3,TRUE(),IF(AA175=Constants!$B$4,FALSE(),FALSE())))</f>
        <v/>
      </c>
      <c r="BB175" s="134" t="str">
        <f aca="false">IF(ISBLANK($C175),"",AND($AL175,OR($AM175="",$AN175="",AND($AO175,$AP175=""))))</f>
        <v/>
      </c>
      <c r="BC175" s="137" t="str">
        <f aca="false">IF($BZ175&lt;&gt;Constants!$B$8,"",IF($AL175,Constants!$B$21*$AN175+Constants!$B$22*IF($AO175,$AP175,Constants!$B$23),Constants!$B$24))</f>
        <v/>
      </c>
      <c r="BD175" s="138" t="str">
        <f aca="false">IF($BZ175&lt;&gt;Constants!$B$8,"",Constants!$B$25*ABS($AD$9-IF($AL175,$AM175,0)))</f>
        <v/>
      </c>
      <c r="BE175" s="138" t="str">
        <f aca="false">IF($BZ175&lt;&gt;Constants!$B$8,"",IF(AND($AL175,$AQ175,$AO175),Constants!$B$27,0))</f>
        <v/>
      </c>
      <c r="BF175" s="138" t="str">
        <f aca="false">IF($BZ175&lt;&gt;Constants!$B$8,"",IF($AL175,($AI175-Constants!$B$29)*Constants!$B$28,0))</f>
        <v/>
      </c>
      <c r="BG175" s="138" t="str">
        <f aca="false">IF($BZ175&lt;&gt;Constants!$B$8,"",IF($AK175,0,Constants!$B$15)+IF($AJ175,0,Constants!$B$16)+IF($AH175,0,Constants!$B$17))</f>
        <v/>
      </c>
      <c r="BH175" s="139" t="str">
        <f aca="false">IF($BZ175&lt;&gt;Constants!$B$8,"",Constants!$B$20+SUM($BC175:$BG175))</f>
        <v/>
      </c>
      <c r="BI175" s="138" t="str">
        <f aca="false">IF($BZ175&lt;&gt;Constants!$B$8,"",$BC175)</f>
        <v/>
      </c>
      <c r="BJ175" s="138" t="str">
        <f aca="false">IF($BZ175&lt;&gt;Constants!$B$8,"",$BD175)</f>
        <v/>
      </c>
      <c r="BK175" s="138" t="str">
        <f aca="false">IF($BZ175&lt;&gt;Constants!$B$8,"",IF($AL175,$AN175,""))</f>
        <v/>
      </c>
      <c r="BL175" s="140" t="str">
        <f aca="false">IF($BZ175&lt;&gt;Constants!$B$8,"",$AI175)</f>
        <v/>
      </c>
      <c r="BM175" s="135" t="str">
        <f aca="false">IF($BZ175&lt;&gt;Constants!$B$8,"",IF(OR($BT175&lt;$BH175,AND($BT175=$BH175,OR($BU175&lt;$BI175,AND($BU175=$BI175,OR($BV175&lt;$BJ175,AND($BV175=$BJ175,OR(AND(ISNUMBER($BW175),OR(NOT(ISNUMBER($BK175)),$BW175&lt;$BK175)),AND(OR(AND($BW175="",$BK175=""),AND(ISNUMBER($BW175),ISNUMBER($BK175),$BW175=$BK175)),$BX175&lt;$BL175)))))))),"-&gt;","&lt;-"))</f>
        <v/>
      </c>
      <c r="BN175" s="134" t="str">
        <f aca="false">IF(ISBLANK($C175),"",AND($AT175,OR($AU175="",$AV175="",AND($AW175,$AX175=""))))</f>
        <v/>
      </c>
      <c r="BO175" s="137" t="str">
        <f aca="false">IF($BZ175&lt;&gt;Constants!$B$8,"",IF($AT175,Constants!$B$21*$AV175+Constants!$B$22*IF($AW175,$AX175,Constants!$B$23),Constants!$B$24))</f>
        <v/>
      </c>
      <c r="BP175" s="138" t="str">
        <f aca="false">IF($BZ175&lt;&gt;Constants!$B$8,"",Constants!$B$25*ABS($AD$9-IF($AT175,$AU175,0)))</f>
        <v/>
      </c>
      <c r="BQ175" s="138" t="str">
        <f aca="false">IF($BZ175&lt;&gt;Constants!$B$8,"",IF(AND($AT175,$AY175,$AW175),Constants!$B$27,0))</f>
        <v/>
      </c>
      <c r="BR175" s="138" t="str">
        <f aca="false">IF($BZ175&lt;&gt;Constants!$B$8,"",IF($AT175,($AI175-Constants!$B$29)*Constants!$B$28,0))</f>
        <v/>
      </c>
      <c r="BS175" s="138" t="str">
        <f aca="false">IF($BZ175&lt;&gt;Constants!$B$8,"",IF($AS175,0,Constants!$B$15)+IF($AR175,0,Constants!$B$16)+IF($AH175,0,Constants!$B$17))</f>
        <v/>
      </c>
      <c r="BT175" s="139" t="str">
        <f aca="false">IF($BZ175&lt;&gt;Constants!$B$8,"",Constants!$B$20+SUM($BO175:$BS175))</f>
        <v/>
      </c>
      <c r="BU175" s="138" t="str">
        <f aca="false">IF($BZ175&lt;&gt;Constants!$B$8,"",$BO175)</f>
        <v/>
      </c>
      <c r="BV175" s="138" t="str">
        <f aca="false">IF($BZ175&lt;&gt;Constants!$B$8,"",$BP175)</f>
        <v/>
      </c>
      <c r="BW175" s="138" t="str">
        <f aca="false">IF($BZ175&lt;&gt;Constants!$B$8,"",IF($AT175,$AV175,""))</f>
        <v/>
      </c>
      <c r="BX175" s="140" t="str">
        <f aca="false">IF($BZ175&lt;&gt;Constants!$B$8,"",$AI175)</f>
        <v/>
      </c>
      <c r="BY175" s="135" t="str">
        <f aca="false">IF(ISBLANK($C175),"",IF(ISBLANK($D$7),$BY$5,IF(NOT(ISNUMBER($D$7)),$BY$6,"")))</f>
        <v/>
      </c>
      <c r="BZ175" s="135" t="str">
        <f aca="false">IF(ISBLANK($C175),"",IF($BA175,Constants!$B$11,IF(COUNTA($E175:$AA175)=0,Constants!$B$10,IF(NOT($AG175),Constants!$B$9,IF(OR($BY175&lt;&gt;"",$BB175,$BN175),Constants!$B$12,Constants!$B$8)))))</f>
        <v/>
      </c>
      <c r="CA175" s="135" t="str">
        <f aca="false">IF(ISBLANK($C175),"",IF($BZ175&lt;&gt;Constants!$B$8,$BZ175,Constants!$B$13))</f>
        <v/>
      </c>
      <c r="CB175" s="138" t="str">
        <f aca="false">IF($BZ175&lt;&gt;Constants!$B$8,"",IF($BM175="-&gt;",$BT175,$BH175))</f>
        <v/>
      </c>
      <c r="CC175" s="138" t="str">
        <f aca="false">IF($BZ175&lt;&gt;Constants!$B$8,"",IF($AF175,0,Constants!$B$18))</f>
        <v/>
      </c>
      <c r="CD175" s="138" t="str">
        <f aca="false">IF($BZ175&lt;&gt;Constants!$B$8,"",((Constants!$B$31-$AZ175)-Constants!$B$31)/Constants!$B$32)</f>
        <v/>
      </c>
      <c r="CE175" s="138" t="str">
        <f aca="false">IF(ISBLANK($C175),"",IF($BZ175&lt;&gt;Constants!$B$8,$BZ175,SUM($CB175:$CD175)))</f>
        <v/>
      </c>
      <c r="CF175" s="135" t="str">
        <f aca="false">IF(ISBLANK($C175),"",IF($BZ175&lt;&gt;Constants!$B$8,$BZ175,RANK($CE175,$CE$9:$CE$508,1)))</f>
        <v/>
      </c>
      <c r="CG175" s="138" t="str">
        <f aca="false">IF($BZ175&lt;&gt;Constants!$B$8,"",IF($BM175="-&gt;",$BU175,$BI175))</f>
        <v/>
      </c>
      <c r="CH175" s="135" t="str">
        <f aca="false">IF(ISBLANK($C175),"",IF($BZ175&lt;&gt;Constants!$B$8,$BZ175,IF(ISNUMBER($CG175),RANK($CG175,$CG$9:$CG$508,1),COUNT($CG$9:$CG$508)+1)))</f>
        <v/>
      </c>
      <c r="CI175" s="138" t="str">
        <f aca="false">IF($BZ175&lt;&gt;Constants!$B$8,"",IF($BM175="-&gt;",$BV175,$BJ175))</f>
        <v/>
      </c>
      <c r="CJ175" s="135" t="str">
        <f aca="false">IF(ISBLANK($C175),"",IF($BZ175&lt;&gt;Constants!$B$8,$BZ175,IF(ISNUMBER($CI175),RANK($CI175,$CI$9:$CI$508,1),COUNT($CI$9:$CI$508)+1)))</f>
        <v/>
      </c>
      <c r="CK175" s="138" t="str">
        <f aca="false">IF($BZ175&lt;&gt;Constants!$B$8,"",IF($BM175="-&gt;",$BW175,$BK175))</f>
        <v/>
      </c>
      <c r="CL175" s="135" t="str">
        <f aca="false">IF(ISBLANK($C175),"",IF($BZ175&lt;&gt;Constants!$B$8,$BZ175,IF(ISNUMBER($CK175),RANK($CK175,$CK$9:$CK$508,1),COUNT($CK$9:$CK$508)+1)))</f>
        <v/>
      </c>
      <c r="CM175" s="138" t="str">
        <f aca="false">IF($BZ175&lt;&gt;Constants!$B$8,"",IF(AND(NOT($AL175),NOT($AT175),$AJ175,$AK175,$AR175,$AS175),"",IF($BM175="-&gt;",$BX175,$BL175)))</f>
        <v/>
      </c>
      <c r="CN175" s="135" t="str">
        <f aca="false">IF(ISBLANK($C175),"",IF($BZ175&lt;&gt;Constants!$B$8,$BZ175,IF(ISNUMBER($CM175),RANK($CM175,$CM$9:$CM$508,1),COUNT($CM$9:$CM$508)+1)))</f>
        <v/>
      </c>
      <c r="CO175" s="135" t="str">
        <f aca="false">IF(ISBLANK($C175),"",IF($BZ175&lt;&gt;Constants!$B$8,$BZ175,COUNTIFS($CF$9:$CF$508,"&lt;"&amp;$CF175)+COUNTIFS($CF$9:$CF$508,$CF175,$CH$9:$CH$508,"&lt;"&amp;$CH175)+COUNTIFS($CF$9:$CF$508,$CF175,$CH$9:$CH$508,$CH175,$CJ$9:$CJ$508,"&lt;"&amp;$CJ175)+COUNTIFS($CF$9:$CF$508,$CF175,$CH$9:$CH$508,$CH175,$CJ$9:$CJ$508,$CJ175,$CL$9:$CL$508,"&lt;"&amp;$CL175)+COUNTIFS($CF$9:$CF$508,$CF175,$CH$9:$CH$508,$CH175,$CJ$9:$CJ$508,$CJ175,$CL$9:$CL$508,$CL175,$CN$9:$CN$508,"&lt;"&amp;$CN175)+1))</f>
        <v/>
      </c>
      <c r="CP175" s="135" t="str">
        <f aca="false">IF(ISBLANK($C175),"",IF($BZ175&lt;&gt;Constants!$B$8,$BZ175,$CF175-$CO175))</f>
        <v/>
      </c>
      <c r="CQ175" s="141"/>
      <c r="CR175" s="142"/>
      <c r="CS175" s="143" t="str">
        <f aca="false">IF(ISBLANK($C175),"",IF($BZ175=Constants!$B$12,$BY175,""))</f>
        <v/>
      </c>
      <c r="CT175" s="142" t="str">
        <f aca="false">IF(ISBLANK($C175),"",IF($BZ175&lt;&gt;Constants!$B$8,"",IF($BM175="-&gt;",2,1)))</f>
        <v/>
      </c>
      <c r="CU175" s="144" t="str">
        <f aca="false">IF(ISBLANK($C175),"",IF($BZ175&lt;&gt;Constants!$B$8,"",IF($BM175="-&gt;",$BO175,$BC175)))</f>
        <v/>
      </c>
      <c r="CV175" s="144" t="str">
        <f aca="false">IF(ISBLANK($C175),"",IF($BZ175&lt;&gt;Constants!$B$8,"",IF($BM175="-&gt;",$BP175,$BD175)))</f>
        <v/>
      </c>
      <c r="CW175" s="144" t="str">
        <f aca="false">IF(ISBLANK($C175),"",IF($BZ175&lt;&gt;Constants!$B$8,"",IF($BM175="-&gt;",$BQ175+$BR175,$BE175+$BF175)+$CD175))</f>
        <v/>
      </c>
      <c r="CX175" s="144" t="str">
        <f aca="false">IF(ISBLANK($C175),"",IF($BZ175&lt;&gt;Constants!$B$8,"",IF($BM175="-&gt;",$BS175,$BG175)+$CC175))</f>
        <v/>
      </c>
      <c r="CY175" s="145" t="str">
        <f aca="false">IF(ISBLANK($C175),"",IF($BZ175&lt;&gt;Constants!$B$8,$BZ175,$CE175))</f>
        <v/>
      </c>
      <c r="CZ175" s="146" t="str">
        <f aca="false">IF(ISBLANK($C175),"",$CA175)</f>
        <v/>
      </c>
      <c r="DA175" s="147" t="str">
        <f aca="false">IF(ISBLANK($C175),"",$CP175)</f>
        <v/>
      </c>
      <c r="DB175" s="147" t="str">
        <f aca="false">IF(ISBLANK($C175),"",$CO175)</f>
        <v/>
      </c>
      <c r="DC175" s="148" t="str">
        <f aca="false">IF(ISBLANK($C175),"",IFERROR(_xlfn.SWITCH($DB175,Constants!$B$11,COUNTA($C$9:$C$508)+2,Constants!$B$10,COUNTA($C$9:$C$508)+1,Constants!$B$9,COUNTA($C$9:$C$508)),$DB175))</f>
        <v/>
      </c>
      <c r="DD175" s="9"/>
      <c r="DE175" s="149" t="n">
        <f aca="false">IF(OR(ISNUMBER($DB175),$DB175=Constants!$B$11,$DB175=Constants!$B$9,$DB175=Constants!$B$10),1,0)</f>
        <v>0</v>
      </c>
      <c r="DF175" s="149" t="n">
        <v>167</v>
      </c>
      <c r="DG175" s="149" t="str">
        <f aca="false">IF(ISBLANK($C175),"",IF(ISNUMBER($DC175),$DC175+ROW($B175)/1000,""))</f>
        <v/>
      </c>
      <c r="DH175" s="149" t="str">
        <f aca="false">IF(ISNUMBER($DG175),RANK($DG175,$DG$9:$DG$508,1),"")</f>
        <v/>
      </c>
      <c r="DI175" s="149" t="str">
        <f aca="false">IF(ISBLANK($C175),"",$B175)</f>
        <v/>
      </c>
      <c r="DJ175" s="149" t="str">
        <f aca="false">IF(ISBLANK($C175),"",$C175)</f>
        <v/>
      </c>
      <c r="DK175" s="149" t="str">
        <f aca="false">IF(ISBLANK($C175),"",$D175)</f>
        <v/>
      </c>
      <c r="DL175" s="150" t="str">
        <f aca="false">$CZ175</f>
        <v/>
      </c>
      <c r="DM175" s="151" t="str">
        <f aca="false">$CY175</f>
        <v/>
      </c>
      <c r="DN175" s="149" t="str">
        <f aca="false">IF(ISBLANK($C175),"",$DB175)</f>
        <v/>
      </c>
      <c r="DO175" s="152" t="str">
        <f aca="false">IF($DF175&gt;$DE$8,"",VLOOKUP($DF175,$DH$9:$DN$508,7,FALSE()))</f>
        <v/>
      </c>
      <c r="DP175" s="153" t="str">
        <f aca="false">IF($DF175&gt;$DE$8,"",VLOOKUP($DF175,$DH$9:$DN$508,2,FALSE()))</f>
        <v/>
      </c>
      <c r="DQ175" s="153" t="str">
        <f aca="false">IF($DF175&gt;$DE$8,"",VLOOKUP($DF175,$DH$9:$DN$508,3,FALSE()))</f>
        <v/>
      </c>
      <c r="DR175" s="153" t="str">
        <f aca="false">IF($DF175&gt;$DE$8,"",VLOOKUP($DF175,$DH$9:$DN$508,4,FALSE()))</f>
        <v/>
      </c>
      <c r="DS175" s="153" t="str">
        <f aca="false">IF($DF175&gt;$DE$8,"",VLOOKUP($DF175,$DH$9:$DN$508,5,FALSE()))</f>
        <v/>
      </c>
      <c r="DT175" s="154" t="str">
        <f aca="false">IF($DF175&gt;$DE$8,"",VLOOKUP($DF175,$DH$9:$DN$508,6,FALSE()))</f>
        <v/>
      </c>
      <c r="DU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IF(ISBLANK($C176),"",IF(E176=Constants!$B$3,TRUE(),IF(E176=Constants!$B$4,FALSE(),TRUE())))</f>
        <v/>
      </c>
      <c r="AG176" s="135" t="str">
        <f aca="false">IF(ISBLANK($C176),"",IF(F176=Constants!$B$3,TRUE(),IF(F176=Constants!$B$4,FALSE(),TRUE())))</f>
        <v/>
      </c>
      <c r="AH176" s="135" t="str">
        <f aca="false">IF(ISBLANK($C176),"",IF(G176=Constants!$B$3,TRUE(),IF(G176=Constants!$B$4,FALSE(),TRUE())))</f>
        <v/>
      </c>
      <c r="AI176" s="135" t="str">
        <f aca="false">IF(ISBLANK($C176),"",IF(AND(ISNUMBER(H176),H176&gt;=0),H176,Constants!$B$29))</f>
        <v/>
      </c>
      <c r="AJ176" s="135" t="str">
        <f aca="false">IF(ISBLANK($C176),"",IF(I176=Constants!$B$3,TRUE(),IF(I176=Constants!$B$4,FALSE(),TRUE())))</f>
        <v/>
      </c>
      <c r="AK176" s="135" t="str">
        <f aca="false">IF(ISBLANK($C176),"",IF(J176=Constants!$B$3,TRUE(),IF(J176=Constants!$B$4,FALSE(),TRUE())))</f>
        <v/>
      </c>
      <c r="AL176" s="135" t="str">
        <f aca="false">IF(ISBLANK($C176),"",IF(K176=Constants!$B$5,TRUE(),IF(K176=Constants!$B$6,FALSE(),COUNTA(L176:P176)&gt;0)))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IF(ISBLANK($C176),"",IF(N176=Constants!$B$3,TRUE(),IF(N176=Constants!$B$4,FALSE(),TRUE())))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IF(ISBLANK($C176),"",IF(P176=Constants!$B$3,TRUE(),IF(P176=Constants!$B$4,FALSE(),FALSE())))</f>
        <v/>
      </c>
      <c r="AR176" s="135" t="str">
        <f aca="false">IF(ISBLANK($C176),"",IF(Q176=Constants!$B$3,TRUE(),IF(Q176=Constants!$B$4,FALSE(),TRUE())))</f>
        <v/>
      </c>
      <c r="AS176" s="135" t="str">
        <f aca="false">IF(ISBLANK($C176),"",IF(R176=Constants!$B$3,TRUE(),IF(R176=Constants!$B$4,FALSE(),TRUE())))</f>
        <v/>
      </c>
      <c r="AT176" s="135" t="str">
        <f aca="false">IF(ISBLANK($C176),"",IF(S176=Constants!$B$5,TRUE(),IF(S176=Constants!$B$6,FALSE(),COUNTA(T176:X176)&gt;0)))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IF(ISBLANK($C176),"",IF(V176=Constants!$B$3,TRUE(),IF(V176=Constants!$B$4,FALSE(),TRUE())))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IF(ISBLANK($C176),"",IF(X176=Constants!$B$3,TRUE(),IF(X176=Constants!$B$4,FALSE(),FALSE())))</f>
        <v/>
      </c>
      <c r="AZ176" s="135" t="str">
        <f aca="false">IF(ISBLANK($C176),"",MIN(Constants!$B$31,MAX(0,IF(ISNUMBER(Y176),Y176*60,0)+IF(ISNUMBER(Z176),Z176,0))))</f>
        <v/>
      </c>
      <c r="BA176" s="135" t="str">
        <f aca="false">IF(ISBLANK($C176),"",IF(AA176=Constants!$B$3,TRUE(),IF(AA176=Constants!$B$4,FALSE(),FALSE())))</f>
        <v/>
      </c>
      <c r="BB176" s="134" t="str">
        <f aca="false">IF(ISBLANK($C176),"",AND($AL176,OR($AM176="",$AN176="",AND($AO176,$AP176=""))))</f>
        <v/>
      </c>
      <c r="BC176" s="137" t="str">
        <f aca="false">IF($BZ176&lt;&gt;Constants!$B$8,"",IF($AL176,Constants!$B$21*$AN176+Constants!$B$22*IF($AO176,$AP176,Constants!$B$23),Constants!$B$24))</f>
        <v/>
      </c>
      <c r="BD176" s="138" t="str">
        <f aca="false">IF($BZ176&lt;&gt;Constants!$B$8,"",Constants!$B$25*ABS($AD$9-IF($AL176,$AM176,0)))</f>
        <v/>
      </c>
      <c r="BE176" s="138" t="str">
        <f aca="false">IF($BZ176&lt;&gt;Constants!$B$8,"",IF(AND($AL176,$AQ176,$AO176),Constants!$B$27,0))</f>
        <v/>
      </c>
      <c r="BF176" s="138" t="str">
        <f aca="false">IF($BZ176&lt;&gt;Constants!$B$8,"",IF($AL176,($AI176-Constants!$B$29)*Constants!$B$28,0))</f>
        <v/>
      </c>
      <c r="BG176" s="138" t="str">
        <f aca="false">IF($BZ176&lt;&gt;Constants!$B$8,"",IF($AK176,0,Constants!$B$15)+IF($AJ176,0,Constants!$B$16)+IF($AH176,0,Constants!$B$17))</f>
        <v/>
      </c>
      <c r="BH176" s="139" t="str">
        <f aca="false">IF($BZ176&lt;&gt;Constants!$B$8,"",Constants!$B$20+SUM($BC176:$BG176))</f>
        <v/>
      </c>
      <c r="BI176" s="138" t="str">
        <f aca="false">IF($BZ176&lt;&gt;Constants!$B$8,"",$BC176)</f>
        <v/>
      </c>
      <c r="BJ176" s="138" t="str">
        <f aca="false">IF($BZ176&lt;&gt;Constants!$B$8,"",$BD176)</f>
        <v/>
      </c>
      <c r="BK176" s="138" t="str">
        <f aca="false">IF($BZ176&lt;&gt;Constants!$B$8,"",IF($AL176,$AN176,""))</f>
        <v/>
      </c>
      <c r="BL176" s="140" t="str">
        <f aca="false">IF($BZ176&lt;&gt;Constants!$B$8,"",$AI176)</f>
        <v/>
      </c>
      <c r="BM176" s="135" t="str">
        <f aca="false">IF($BZ176&lt;&gt;Constants!$B$8,"",IF(OR($BT176&lt;$BH176,AND($BT176=$BH176,OR($BU176&lt;$BI176,AND($BU176=$BI176,OR($BV176&lt;$BJ176,AND($BV176=$BJ176,OR(AND(ISNUMBER($BW176),OR(NOT(ISNUMBER($BK176)),$BW176&lt;$BK176)),AND(OR(AND($BW176="",$BK176=""),AND(ISNUMBER($BW176),ISNUMBER($BK176),$BW176=$BK176)),$BX176&lt;$BL176)))))))),"-&gt;","&lt;-"))</f>
        <v/>
      </c>
      <c r="BN176" s="134" t="str">
        <f aca="false">IF(ISBLANK($C176),"",AND($AT176,OR($AU176="",$AV176="",AND($AW176,$AX176=""))))</f>
        <v/>
      </c>
      <c r="BO176" s="137" t="str">
        <f aca="false">IF($BZ176&lt;&gt;Constants!$B$8,"",IF($AT176,Constants!$B$21*$AV176+Constants!$B$22*IF($AW176,$AX176,Constants!$B$23),Constants!$B$24))</f>
        <v/>
      </c>
      <c r="BP176" s="138" t="str">
        <f aca="false">IF($BZ176&lt;&gt;Constants!$B$8,"",Constants!$B$25*ABS($AD$9-IF($AT176,$AU176,0)))</f>
        <v/>
      </c>
      <c r="BQ176" s="138" t="str">
        <f aca="false">IF($BZ176&lt;&gt;Constants!$B$8,"",IF(AND($AT176,$AY176,$AW176),Constants!$B$27,0))</f>
        <v/>
      </c>
      <c r="BR176" s="138" t="str">
        <f aca="false">IF($BZ176&lt;&gt;Constants!$B$8,"",IF($AT176,($AI176-Constants!$B$29)*Constants!$B$28,0))</f>
        <v/>
      </c>
      <c r="BS176" s="138" t="str">
        <f aca="false">IF($BZ176&lt;&gt;Constants!$B$8,"",IF($AS176,0,Constants!$B$15)+IF($AR176,0,Constants!$B$16)+IF($AH176,0,Constants!$B$17))</f>
        <v/>
      </c>
      <c r="BT176" s="139" t="str">
        <f aca="false">IF($BZ176&lt;&gt;Constants!$B$8,"",Constants!$B$20+SUM($BO176:$BS176))</f>
        <v/>
      </c>
      <c r="BU176" s="138" t="str">
        <f aca="false">IF($BZ176&lt;&gt;Constants!$B$8,"",$BO176)</f>
        <v/>
      </c>
      <c r="BV176" s="138" t="str">
        <f aca="false">IF($BZ176&lt;&gt;Constants!$B$8,"",$BP176)</f>
        <v/>
      </c>
      <c r="BW176" s="138" t="str">
        <f aca="false">IF($BZ176&lt;&gt;Constants!$B$8,"",IF($AT176,$AV176,""))</f>
        <v/>
      </c>
      <c r="BX176" s="140" t="str">
        <f aca="false">IF($BZ176&lt;&gt;Constants!$B$8,"",$AI176)</f>
        <v/>
      </c>
      <c r="BY176" s="135" t="str">
        <f aca="false">IF(ISBLANK($C176),"",IF(ISBLANK($D$7),$BY$5,IF(NOT(ISNUMBER($D$7)),$BY$6,"")))</f>
        <v/>
      </c>
      <c r="BZ176" s="135" t="str">
        <f aca="false">IF(ISBLANK($C176),"",IF($BA176,Constants!$B$11,IF(COUNTA($E176:$AA176)=0,Constants!$B$10,IF(NOT($AG176),Constants!$B$9,IF(OR($BY176&lt;&gt;"",$BB176,$BN176),Constants!$B$12,Constants!$B$8)))))</f>
        <v/>
      </c>
      <c r="CA176" s="135" t="str">
        <f aca="false">IF(ISBLANK($C176),"",IF($BZ176&lt;&gt;Constants!$B$8,$BZ176,Constants!$B$13))</f>
        <v/>
      </c>
      <c r="CB176" s="138" t="str">
        <f aca="false">IF($BZ176&lt;&gt;Constants!$B$8,"",IF($BM176="-&gt;",$BT176,$BH176))</f>
        <v/>
      </c>
      <c r="CC176" s="138" t="str">
        <f aca="false">IF($BZ176&lt;&gt;Constants!$B$8,"",IF($AF176,0,Constants!$B$18))</f>
        <v/>
      </c>
      <c r="CD176" s="138" t="str">
        <f aca="false">IF($BZ176&lt;&gt;Constants!$B$8,"",((Constants!$B$31-$AZ176)-Constants!$B$31)/Constants!$B$32)</f>
        <v/>
      </c>
      <c r="CE176" s="138" t="str">
        <f aca="false">IF(ISBLANK($C176),"",IF($BZ176&lt;&gt;Constants!$B$8,$BZ176,SUM($CB176:$CD176)))</f>
        <v/>
      </c>
      <c r="CF176" s="135" t="str">
        <f aca="false">IF(ISBLANK($C176),"",IF($BZ176&lt;&gt;Constants!$B$8,$BZ176,RANK($CE176,$CE$9:$CE$508,1)))</f>
        <v/>
      </c>
      <c r="CG176" s="138" t="str">
        <f aca="false">IF($BZ176&lt;&gt;Constants!$B$8,"",IF($BM176="-&gt;",$BU176,$BI176))</f>
        <v/>
      </c>
      <c r="CH176" s="135" t="str">
        <f aca="false">IF(ISBLANK($C176),"",IF($BZ176&lt;&gt;Constants!$B$8,$BZ176,IF(ISNUMBER($CG176),RANK($CG176,$CG$9:$CG$508,1),COUNT($CG$9:$CG$508)+1)))</f>
        <v/>
      </c>
      <c r="CI176" s="138" t="str">
        <f aca="false">IF($BZ176&lt;&gt;Constants!$B$8,"",IF($BM176="-&gt;",$BV176,$BJ176))</f>
        <v/>
      </c>
      <c r="CJ176" s="135" t="str">
        <f aca="false">IF(ISBLANK($C176),"",IF($BZ176&lt;&gt;Constants!$B$8,$BZ176,IF(ISNUMBER($CI176),RANK($CI176,$CI$9:$CI$508,1),COUNT($CI$9:$CI$508)+1)))</f>
        <v/>
      </c>
      <c r="CK176" s="138" t="str">
        <f aca="false">IF($BZ176&lt;&gt;Constants!$B$8,"",IF($BM176="-&gt;",$BW176,$BK176))</f>
        <v/>
      </c>
      <c r="CL176" s="135" t="str">
        <f aca="false">IF(ISBLANK($C176),"",IF($BZ176&lt;&gt;Constants!$B$8,$BZ176,IF(ISNUMBER($CK176),RANK($CK176,$CK$9:$CK$508,1),COUNT($CK$9:$CK$508)+1)))</f>
        <v/>
      </c>
      <c r="CM176" s="138" t="str">
        <f aca="false">IF($BZ176&lt;&gt;Constants!$B$8,"",IF(AND(NOT($AL176),NOT($AT176),$AJ176,$AK176,$AR176,$AS176),"",IF($BM176="-&gt;",$BX176,$BL176)))</f>
        <v/>
      </c>
      <c r="CN176" s="135" t="str">
        <f aca="false">IF(ISBLANK($C176),"",IF($BZ176&lt;&gt;Constants!$B$8,$BZ176,IF(ISNUMBER($CM176),RANK($CM176,$CM$9:$CM$508,1),COUNT($CM$9:$CM$508)+1)))</f>
        <v/>
      </c>
      <c r="CO176" s="135" t="str">
        <f aca="false">IF(ISBLANK($C176),"",IF($BZ176&lt;&gt;Constants!$B$8,$BZ176,COUNTIFS($CF$9:$CF$508,"&lt;"&amp;$CF176)+COUNTIFS($CF$9:$CF$508,$CF176,$CH$9:$CH$508,"&lt;"&amp;$CH176)+COUNTIFS($CF$9:$CF$508,$CF176,$CH$9:$CH$508,$CH176,$CJ$9:$CJ$508,"&lt;"&amp;$CJ176)+COUNTIFS($CF$9:$CF$508,$CF176,$CH$9:$CH$508,$CH176,$CJ$9:$CJ$508,$CJ176,$CL$9:$CL$508,"&lt;"&amp;$CL176)+COUNTIFS($CF$9:$CF$508,$CF176,$CH$9:$CH$508,$CH176,$CJ$9:$CJ$508,$CJ176,$CL$9:$CL$508,$CL176,$CN$9:$CN$508,"&lt;"&amp;$CN176)+1))</f>
        <v/>
      </c>
      <c r="CP176" s="135" t="str">
        <f aca="false">IF(ISBLANK($C176),"",IF($BZ176&lt;&gt;Constants!$B$8,$BZ176,$CF176-$CO176))</f>
        <v/>
      </c>
      <c r="CQ176" s="141"/>
      <c r="CR176" s="142"/>
      <c r="CS176" s="143" t="str">
        <f aca="false">IF(ISBLANK($C176),"",IF($BZ176=Constants!$B$12,$BY176,""))</f>
        <v/>
      </c>
      <c r="CT176" s="142" t="str">
        <f aca="false">IF(ISBLANK($C176),"",IF($BZ176&lt;&gt;Constants!$B$8,"",IF($BM176="-&gt;",2,1)))</f>
        <v/>
      </c>
      <c r="CU176" s="144" t="str">
        <f aca="false">IF(ISBLANK($C176),"",IF($BZ176&lt;&gt;Constants!$B$8,"",IF($BM176="-&gt;",$BO176,$BC176)))</f>
        <v/>
      </c>
      <c r="CV176" s="144" t="str">
        <f aca="false">IF(ISBLANK($C176),"",IF($BZ176&lt;&gt;Constants!$B$8,"",IF($BM176="-&gt;",$BP176,$BD176)))</f>
        <v/>
      </c>
      <c r="CW176" s="144" t="str">
        <f aca="false">IF(ISBLANK($C176),"",IF($BZ176&lt;&gt;Constants!$B$8,"",IF($BM176="-&gt;",$BQ176+$BR176,$BE176+$BF176)+$CD176))</f>
        <v/>
      </c>
      <c r="CX176" s="144" t="str">
        <f aca="false">IF(ISBLANK($C176),"",IF($BZ176&lt;&gt;Constants!$B$8,"",IF($BM176="-&gt;",$BS176,$BG176)+$CC176))</f>
        <v/>
      </c>
      <c r="CY176" s="145" t="str">
        <f aca="false">IF(ISBLANK($C176),"",IF($BZ176&lt;&gt;Constants!$B$8,$BZ176,$CE176))</f>
        <v/>
      </c>
      <c r="CZ176" s="146" t="str">
        <f aca="false">IF(ISBLANK($C176),"",$CA176)</f>
        <v/>
      </c>
      <c r="DA176" s="147" t="str">
        <f aca="false">IF(ISBLANK($C176),"",$CP176)</f>
        <v/>
      </c>
      <c r="DB176" s="147" t="str">
        <f aca="false">IF(ISBLANK($C176),"",$CO176)</f>
        <v/>
      </c>
      <c r="DC176" s="148" t="str">
        <f aca="false">IF(ISBLANK($C176),"",IFERROR(_xlfn.SWITCH($DB176,Constants!$B$11,COUNTA($C$9:$C$508)+2,Constants!$B$10,COUNTA($C$9:$C$508)+1,Constants!$B$9,COUNTA($C$9:$C$508)),$DB176))</f>
        <v/>
      </c>
      <c r="DD176" s="9"/>
      <c r="DE176" s="149" t="n">
        <f aca="false">IF(OR(ISNUMBER($DB176),$DB176=Constants!$B$11,$DB176=Constants!$B$9,$DB176=Constants!$B$10),1,0)</f>
        <v>0</v>
      </c>
      <c r="DF176" s="149" t="n">
        <v>168</v>
      </c>
      <c r="DG176" s="149" t="str">
        <f aca="false">IF(ISBLANK($C176),"",IF(ISNUMBER($DC176),$DC176+ROW($B176)/1000,""))</f>
        <v/>
      </c>
      <c r="DH176" s="149" t="str">
        <f aca="false">IF(ISNUMBER($DG176),RANK($DG176,$DG$9:$DG$508,1),"")</f>
        <v/>
      </c>
      <c r="DI176" s="149" t="str">
        <f aca="false">IF(ISBLANK($C176),"",$B176)</f>
        <v/>
      </c>
      <c r="DJ176" s="149" t="str">
        <f aca="false">IF(ISBLANK($C176),"",$C176)</f>
        <v/>
      </c>
      <c r="DK176" s="149" t="str">
        <f aca="false">IF(ISBLANK($C176),"",$D176)</f>
        <v/>
      </c>
      <c r="DL176" s="150" t="str">
        <f aca="false">$CZ176</f>
        <v/>
      </c>
      <c r="DM176" s="151" t="str">
        <f aca="false">$CY176</f>
        <v/>
      </c>
      <c r="DN176" s="149" t="str">
        <f aca="false">IF(ISBLANK($C176),"",$DB176)</f>
        <v/>
      </c>
      <c r="DO176" s="152" t="str">
        <f aca="false">IF($DF176&gt;$DE$8,"",VLOOKUP($DF176,$DH$9:$DN$508,7,FALSE()))</f>
        <v/>
      </c>
      <c r="DP176" s="153" t="str">
        <f aca="false">IF($DF176&gt;$DE$8,"",VLOOKUP($DF176,$DH$9:$DN$508,2,FALSE()))</f>
        <v/>
      </c>
      <c r="DQ176" s="153" t="str">
        <f aca="false">IF($DF176&gt;$DE$8,"",VLOOKUP($DF176,$DH$9:$DN$508,3,FALSE()))</f>
        <v/>
      </c>
      <c r="DR176" s="153" t="str">
        <f aca="false">IF($DF176&gt;$DE$8,"",VLOOKUP($DF176,$DH$9:$DN$508,4,FALSE()))</f>
        <v/>
      </c>
      <c r="DS176" s="153" t="str">
        <f aca="false">IF($DF176&gt;$DE$8,"",VLOOKUP($DF176,$DH$9:$DN$508,5,FALSE()))</f>
        <v/>
      </c>
      <c r="DT176" s="154" t="str">
        <f aca="false">IF($DF176&gt;$DE$8,"",VLOOKUP($DF176,$DH$9:$DN$508,6,FALSE()))</f>
        <v/>
      </c>
      <c r="DU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IF(ISBLANK($C177),"",IF(E177=Constants!$B$3,TRUE(),IF(E177=Constants!$B$4,FALSE(),TRUE())))</f>
        <v/>
      </c>
      <c r="AG177" s="93" t="str">
        <f aca="false">IF(ISBLANK($C177),"",IF(F177=Constants!$B$3,TRUE(),IF(F177=Constants!$B$4,FALSE(),TRUE())))</f>
        <v/>
      </c>
      <c r="AH177" s="93" t="str">
        <f aca="false">IF(ISBLANK($C177),"",IF(G177=Constants!$B$3,TRUE(),IF(G177=Constants!$B$4,FALSE(),TRUE())))</f>
        <v/>
      </c>
      <c r="AI177" s="93" t="str">
        <f aca="false">IF(ISBLANK($C177),"",IF(AND(ISNUMBER(H177),H177&gt;=0),H177,Constants!$B$29))</f>
        <v/>
      </c>
      <c r="AJ177" s="93" t="str">
        <f aca="false">IF(ISBLANK($C177),"",IF(I177=Constants!$B$3,TRUE(),IF(I177=Constants!$B$4,FALSE(),TRUE())))</f>
        <v/>
      </c>
      <c r="AK177" s="93" t="str">
        <f aca="false">IF(ISBLANK($C177),"",IF(J177=Constants!$B$3,TRUE(),IF(J177=Constants!$B$4,FALSE(),TRUE())))</f>
        <v/>
      </c>
      <c r="AL177" s="93" t="str">
        <f aca="false">IF(ISBLANK($C177),"",IF(K177=Constants!$B$5,TRUE(),IF(K177=Constants!$B$6,FALSE(),COUNTA(L177:P177)&gt;0)))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IF(ISBLANK($C177),"",IF(N177=Constants!$B$3,TRUE(),IF(N177=Constants!$B$4,FALSE(),TRUE())))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IF(ISBLANK($C177),"",IF(P177=Constants!$B$3,TRUE(),IF(P177=Constants!$B$4,FALSE(),FALSE())))</f>
        <v/>
      </c>
      <c r="AR177" s="93" t="str">
        <f aca="false">IF(ISBLANK($C177),"",IF(Q177=Constants!$B$3,TRUE(),IF(Q177=Constants!$B$4,FALSE(),TRUE())))</f>
        <v/>
      </c>
      <c r="AS177" s="93" t="str">
        <f aca="false">IF(ISBLANK($C177),"",IF(R177=Constants!$B$3,TRUE(),IF(R177=Constants!$B$4,FALSE(),TRUE())))</f>
        <v/>
      </c>
      <c r="AT177" s="93" t="str">
        <f aca="false">IF(ISBLANK($C177),"",IF(S177=Constants!$B$5,TRUE(),IF(S177=Constants!$B$6,FALSE(),COUNTA(T177:X177)&gt;0)))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IF(ISBLANK($C177),"",IF(V177=Constants!$B$3,TRUE(),IF(V177=Constants!$B$4,FALSE(),TRUE())))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IF(ISBLANK($C177),"",IF(X177=Constants!$B$3,TRUE(),IF(X177=Constants!$B$4,FALSE(),FALSE())))</f>
        <v/>
      </c>
      <c r="AZ177" s="93" t="str">
        <f aca="false">IF(ISBLANK($C177),"",MIN(Constants!$B$31,MAX(0,IF(ISNUMBER(Y177),Y177*60,0)+IF(ISNUMBER(Z177),Z177,0))))</f>
        <v/>
      </c>
      <c r="BA177" s="93" t="str">
        <f aca="false">IF(ISBLANK($C177),"",IF(AA177=Constants!$B$3,TRUE(),IF(AA177=Constants!$B$4,FALSE(),FALSE())))</f>
        <v/>
      </c>
      <c r="BB177" s="92" t="str">
        <f aca="false">IF(ISBLANK($C177),"",AND($AL177,OR($AM177="",$AN177="",AND($AO177,$AP177=""))))</f>
        <v/>
      </c>
      <c r="BC177" s="94" t="str">
        <f aca="false">IF($BZ177&lt;&gt;Constants!$B$8,"",IF($AL177,Constants!$B$21*$AN177+Constants!$B$22*IF($AO177,$AP177,Constants!$B$23),Constants!$B$24))</f>
        <v/>
      </c>
      <c r="BD177" s="97" t="str">
        <f aca="false">IF($BZ177&lt;&gt;Constants!$B$8,"",Constants!$B$25*ABS($AD$9-IF($AL177,$AM177,0)))</f>
        <v/>
      </c>
      <c r="BE177" s="97" t="str">
        <f aca="false">IF($BZ177&lt;&gt;Constants!$B$8,"",IF(AND($AL177,$AQ177,$AO177),Constants!$B$27,0))</f>
        <v/>
      </c>
      <c r="BF177" s="97" t="str">
        <f aca="false">IF($BZ177&lt;&gt;Constants!$B$8,"",IF($AL177,($AI177-Constants!$B$29)*Constants!$B$28,0))</f>
        <v/>
      </c>
      <c r="BG177" s="97" t="str">
        <f aca="false">IF($BZ177&lt;&gt;Constants!$B$8,"",IF($AK177,0,Constants!$B$15)+IF($AJ177,0,Constants!$B$16)+IF($AH177,0,Constants!$B$17))</f>
        <v/>
      </c>
      <c r="BH177" s="98" t="str">
        <f aca="false">IF($BZ177&lt;&gt;Constants!$B$8,"",Constants!$B$20+SUM($BC177:$BG177))</f>
        <v/>
      </c>
      <c r="BI177" s="97" t="str">
        <f aca="false">IF($BZ177&lt;&gt;Constants!$B$8,"",$BC177)</f>
        <v/>
      </c>
      <c r="BJ177" s="97" t="str">
        <f aca="false">IF($BZ177&lt;&gt;Constants!$B$8,"",$BD177)</f>
        <v/>
      </c>
      <c r="BK177" s="97" t="str">
        <f aca="false">IF($BZ177&lt;&gt;Constants!$B$8,"",IF($AL177,$AN177,""))</f>
        <v/>
      </c>
      <c r="BL177" s="99" t="str">
        <f aca="false">IF($BZ177&lt;&gt;Constants!$B$8,"",$AI177)</f>
        <v/>
      </c>
      <c r="BM177" s="93" t="str">
        <f aca="false">IF($BZ177&lt;&gt;Constants!$B$8,"",IF(OR($BT177&lt;$BH177,AND($BT177=$BH177,OR($BU177&lt;$BI177,AND($BU177=$BI177,OR($BV177&lt;$BJ177,AND($BV177=$BJ177,OR(AND(ISNUMBER($BW177),OR(NOT(ISNUMBER($BK177)),$BW177&lt;$BK177)),AND(OR(AND($BW177="",$BK177=""),AND(ISNUMBER($BW177),ISNUMBER($BK177),$BW177=$BK177)),$BX177&lt;$BL177)))))))),"-&gt;","&lt;-"))</f>
        <v/>
      </c>
      <c r="BN177" s="92" t="str">
        <f aca="false">IF(ISBLANK($C177),"",AND($AT177,OR($AU177="",$AV177="",AND($AW177,$AX177=""))))</f>
        <v/>
      </c>
      <c r="BO177" s="94" t="str">
        <f aca="false">IF($BZ177&lt;&gt;Constants!$B$8,"",IF($AT177,Constants!$B$21*$AV177+Constants!$B$22*IF($AW177,$AX177,Constants!$B$23),Constants!$B$24))</f>
        <v/>
      </c>
      <c r="BP177" s="97" t="str">
        <f aca="false">IF($BZ177&lt;&gt;Constants!$B$8,"",Constants!$B$25*ABS($AD$9-IF($AT177,$AU177,0)))</f>
        <v/>
      </c>
      <c r="BQ177" s="97" t="str">
        <f aca="false">IF($BZ177&lt;&gt;Constants!$B$8,"",IF(AND($AT177,$AY177,$AW177),Constants!$B$27,0))</f>
        <v/>
      </c>
      <c r="BR177" s="97" t="str">
        <f aca="false">IF($BZ177&lt;&gt;Constants!$B$8,"",IF($AT177,($AI177-Constants!$B$29)*Constants!$B$28,0))</f>
        <v/>
      </c>
      <c r="BS177" s="97" t="str">
        <f aca="false">IF($BZ177&lt;&gt;Constants!$B$8,"",IF($AS177,0,Constants!$B$15)+IF($AR177,0,Constants!$B$16)+IF($AH177,0,Constants!$B$17))</f>
        <v/>
      </c>
      <c r="BT177" s="98" t="str">
        <f aca="false">IF($BZ177&lt;&gt;Constants!$B$8,"",Constants!$B$20+SUM($BO177:$BS177))</f>
        <v/>
      </c>
      <c r="BU177" s="97" t="str">
        <f aca="false">IF($BZ177&lt;&gt;Constants!$B$8,"",$BO177)</f>
        <v/>
      </c>
      <c r="BV177" s="97" t="str">
        <f aca="false">IF($BZ177&lt;&gt;Constants!$B$8,"",$BP177)</f>
        <v/>
      </c>
      <c r="BW177" s="97" t="str">
        <f aca="false">IF($BZ177&lt;&gt;Constants!$B$8,"",IF($AT177,$AV177,""))</f>
        <v/>
      </c>
      <c r="BX177" s="99" t="str">
        <f aca="false">IF($BZ177&lt;&gt;Constants!$B$8,"",$AI177)</f>
        <v/>
      </c>
      <c r="BY177" s="93" t="str">
        <f aca="false">IF(ISBLANK($C177),"",IF(ISBLANK($D$7),$BY$5,IF(NOT(ISNUMBER($D$7)),$BY$6,"")))</f>
        <v/>
      </c>
      <c r="BZ177" s="93" t="str">
        <f aca="false">IF(ISBLANK($C177),"",IF($BA177,Constants!$B$11,IF(COUNTA($E177:$AA177)=0,Constants!$B$10,IF(NOT($AG177),Constants!$B$9,IF(OR($BY177&lt;&gt;"",$BB177,$BN177),Constants!$B$12,Constants!$B$8)))))</f>
        <v/>
      </c>
      <c r="CA177" s="93" t="str">
        <f aca="false">IF(ISBLANK($C177),"",IF($BZ177&lt;&gt;Constants!$B$8,$BZ177,Constants!$B$13))</f>
        <v/>
      </c>
      <c r="CB177" s="97" t="str">
        <f aca="false">IF($BZ177&lt;&gt;Constants!$B$8,"",IF($BM177="-&gt;",$BT177,$BH177))</f>
        <v/>
      </c>
      <c r="CC177" s="97" t="str">
        <f aca="false">IF($BZ177&lt;&gt;Constants!$B$8,"",IF($AF177,0,Constants!$B$18))</f>
        <v/>
      </c>
      <c r="CD177" s="97" t="str">
        <f aca="false">IF($BZ177&lt;&gt;Constants!$B$8,"",((Constants!$B$31-$AZ177)-Constants!$B$31)/Constants!$B$32)</f>
        <v/>
      </c>
      <c r="CE177" s="97" t="str">
        <f aca="false">IF(ISBLANK($C177),"",IF($BZ177&lt;&gt;Constants!$B$8,$BZ177,SUM($CB177:$CD177)))</f>
        <v/>
      </c>
      <c r="CF177" s="93" t="str">
        <f aca="false">IF(ISBLANK($C177),"",IF($BZ177&lt;&gt;Constants!$B$8,$BZ177,RANK($CE177,$CE$9:$CE$508,1)))</f>
        <v/>
      </c>
      <c r="CG177" s="97" t="str">
        <f aca="false">IF($BZ177&lt;&gt;Constants!$B$8,"",IF($BM177="-&gt;",$BU177,$BI177))</f>
        <v/>
      </c>
      <c r="CH177" s="93" t="str">
        <f aca="false">IF(ISBLANK($C177),"",IF($BZ177&lt;&gt;Constants!$B$8,$BZ177,IF(ISNUMBER($CG177),RANK($CG177,$CG$9:$CG$508,1),COUNT($CG$9:$CG$508)+1)))</f>
        <v/>
      </c>
      <c r="CI177" s="97" t="str">
        <f aca="false">IF($BZ177&lt;&gt;Constants!$B$8,"",IF($BM177="-&gt;",$BV177,$BJ177))</f>
        <v/>
      </c>
      <c r="CJ177" s="93" t="str">
        <f aca="false">IF(ISBLANK($C177),"",IF($BZ177&lt;&gt;Constants!$B$8,$BZ177,IF(ISNUMBER($CI177),RANK($CI177,$CI$9:$CI$508,1),COUNT($CI$9:$CI$508)+1)))</f>
        <v/>
      </c>
      <c r="CK177" s="97" t="str">
        <f aca="false">IF($BZ177&lt;&gt;Constants!$B$8,"",IF($BM177="-&gt;",$BW177,$BK177))</f>
        <v/>
      </c>
      <c r="CL177" s="93" t="str">
        <f aca="false">IF(ISBLANK($C177),"",IF($BZ177&lt;&gt;Constants!$B$8,$BZ177,IF(ISNUMBER($CK177),RANK($CK177,$CK$9:$CK$508,1),COUNT($CK$9:$CK$508)+1)))</f>
        <v/>
      </c>
      <c r="CM177" s="97" t="str">
        <f aca="false">IF($BZ177&lt;&gt;Constants!$B$8,"",IF(AND(NOT($AL177),NOT($AT177),$AJ177,$AK177,$AR177,$AS177),"",IF($BM177="-&gt;",$BX177,$BL177)))</f>
        <v/>
      </c>
      <c r="CN177" s="93" t="str">
        <f aca="false">IF(ISBLANK($C177),"",IF($BZ177&lt;&gt;Constants!$B$8,$BZ177,IF(ISNUMBER($CM177),RANK($CM177,$CM$9:$CM$508,1),COUNT($CM$9:$CM$508)+1)))</f>
        <v/>
      </c>
      <c r="CO177" s="93" t="str">
        <f aca="false">IF(ISBLANK($C177),"",IF($BZ177&lt;&gt;Constants!$B$8,$BZ177,COUNTIFS($CF$9:$CF$508,"&lt;"&amp;$CF177)+COUNTIFS($CF$9:$CF$508,$CF177,$CH$9:$CH$508,"&lt;"&amp;$CH177)+COUNTIFS($CF$9:$CF$508,$CF177,$CH$9:$CH$508,$CH177,$CJ$9:$CJ$508,"&lt;"&amp;$CJ177)+COUNTIFS($CF$9:$CF$508,$CF177,$CH$9:$CH$508,$CH177,$CJ$9:$CJ$508,$CJ177,$CL$9:$CL$508,"&lt;"&amp;$CL177)+COUNTIFS($CF$9:$CF$508,$CF177,$CH$9:$CH$508,$CH177,$CJ$9:$CJ$508,$CJ177,$CL$9:$CL$508,$CL177,$CN$9:$CN$508,"&lt;"&amp;$CN177)+1))</f>
        <v/>
      </c>
      <c r="CP177" s="93" t="str">
        <f aca="false">IF(ISBLANK($C177),"",IF($BZ177&lt;&gt;Constants!$B$8,$BZ177,$CF177-$CO177))</f>
        <v/>
      </c>
      <c r="CQ177" s="100"/>
      <c r="CR177" s="101"/>
      <c r="CS177" s="102" t="str">
        <f aca="false">IF(ISBLANK($C177),"",IF($BZ177=Constants!$B$12,$BY177,""))</f>
        <v/>
      </c>
      <c r="CT177" s="101" t="str">
        <f aca="false">IF(ISBLANK($C177),"",IF($BZ177&lt;&gt;Constants!$B$8,"",IF($BM177="-&gt;",2,1)))</f>
        <v/>
      </c>
      <c r="CU177" s="103" t="str">
        <f aca="false">IF(ISBLANK($C177),"",IF($BZ177&lt;&gt;Constants!$B$8,"",IF($BM177="-&gt;",$BO177,$BC177)))</f>
        <v/>
      </c>
      <c r="CV177" s="103" t="str">
        <f aca="false">IF(ISBLANK($C177),"",IF($BZ177&lt;&gt;Constants!$B$8,"",IF($BM177="-&gt;",$BP177,$BD177)))</f>
        <v/>
      </c>
      <c r="CW177" s="103" t="str">
        <f aca="false">IF(ISBLANK($C177),"",IF($BZ177&lt;&gt;Constants!$B$8,"",IF($BM177="-&gt;",$BQ177+$BR177,$BE177+$BF177)+$CD177))</f>
        <v/>
      </c>
      <c r="CX177" s="103" t="str">
        <f aca="false">IF(ISBLANK($C177),"",IF($BZ177&lt;&gt;Constants!$B$8,"",IF($BM177="-&gt;",$BS177,$BG177)+$CC177))</f>
        <v/>
      </c>
      <c r="CY177" s="104" t="str">
        <f aca="false">IF(ISBLANK($C177),"",IF($BZ177&lt;&gt;Constants!$B$8,$BZ177,$CE177))</f>
        <v/>
      </c>
      <c r="CZ177" s="105" t="str">
        <f aca="false">IF(ISBLANK($C177),"",$CA177)</f>
        <v/>
      </c>
      <c r="DA177" s="106" t="str">
        <f aca="false">IF(ISBLANK($C177),"",$CP177)</f>
        <v/>
      </c>
      <c r="DB177" s="106" t="str">
        <f aca="false">IF(ISBLANK($C177),"",$CO177)</f>
        <v/>
      </c>
      <c r="DC177" s="107" t="str">
        <f aca="false">IF(ISBLANK($C177),"",IFERROR(_xlfn.SWITCH($DB177,Constants!$B$11,COUNTA($C$9:$C$508)+2,Constants!$B$10,COUNTA($C$9:$C$508)+1,Constants!$B$9,COUNTA($C$9:$C$508)),$DB177))</f>
        <v/>
      </c>
      <c r="DD177" s="9"/>
      <c r="DE177" s="108" t="n">
        <f aca="false">IF(OR(ISNUMBER($DB177),$DB177=Constants!$B$11,$DB177=Constants!$B$9,$DB177=Constants!$B$10),1,0)</f>
        <v>0</v>
      </c>
      <c r="DF177" s="108" t="n">
        <v>169</v>
      </c>
      <c r="DG177" s="108" t="str">
        <f aca="false">IF(ISBLANK($C177),"",IF(ISNUMBER($DC177),$DC177+ROW($B177)/1000,""))</f>
        <v/>
      </c>
      <c r="DH177" s="108" t="str">
        <f aca="false">IF(ISNUMBER($DG177),RANK($DG177,$DG$9:$DG$508,1),"")</f>
        <v/>
      </c>
      <c r="DI177" s="108" t="str">
        <f aca="false">IF(ISBLANK($C177),"",$B177)</f>
        <v/>
      </c>
      <c r="DJ177" s="108" t="str">
        <f aca="false">IF(ISBLANK($C177),"",$C177)</f>
        <v/>
      </c>
      <c r="DK177" s="108" t="str">
        <f aca="false">IF(ISBLANK($C177),"",$D177)</f>
        <v/>
      </c>
      <c r="DL177" s="109" t="str">
        <f aca="false">$CZ177</f>
        <v/>
      </c>
      <c r="DM177" s="110" t="str">
        <f aca="false">$CY177</f>
        <v/>
      </c>
      <c r="DN177" s="108" t="str">
        <f aca="false">IF(ISBLANK($C177),"",$DB177)</f>
        <v/>
      </c>
      <c r="DO177" s="111" t="str">
        <f aca="false">IF($DF177&gt;$DE$8,"",VLOOKUP($DF177,$DH$9:$DN$508,7,FALSE()))</f>
        <v/>
      </c>
      <c r="DP177" s="112" t="str">
        <f aca="false">IF($DF177&gt;$DE$8,"",VLOOKUP($DF177,$DH$9:$DN$508,2,FALSE()))</f>
        <v/>
      </c>
      <c r="DQ177" s="112" t="str">
        <f aca="false">IF($DF177&gt;$DE$8,"",VLOOKUP($DF177,$DH$9:$DN$508,3,FALSE()))</f>
        <v/>
      </c>
      <c r="DR177" s="112" t="str">
        <f aca="false">IF($DF177&gt;$DE$8,"",VLOOKUP($DF177,$DH$9:$DN$508,4,FALSE()))</f>
        <v/>
      </c>
      <c r="DS177" s="112" t="str">
        <f aca="false">IF($DF177&gt;$DE$8,"",VLOOKUP($DF177,$DH$9:$DN$508,5,FALSE()))</f>
        <v/>
      </c>
      <c r="DT177" s="113" t="str">
        <f aca="false">IF($DF177&gt;$DE$8,"",VLOOKUP($DF177,$DH$9:$DN$508,6,FALSE()))</f>
        <v/>
      </c>
      <c r="DU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IF(ISBLANK($C178),"",IF(E178=Constants!$B$3,TRUE(),IF(E178=Constants!$B$4,FALSE(),TRUE())))</f>
        <v/>
      </c>
      <c r="AG178" s="93" t="str">
        <f aca="false">IF(ISBLANK($C178),"",IF(F178=Constants!$B$3,TRUE(),IF(F178=Constants!$B$4,FALSE(),TRUE())))</f>
        <v/>
      </c>
      <c r="AH178" s="93" t="str">
        <f aca="false">IF(ISBLANK($C178),"",IF(G178=Constants!$B$3,TRUE(),IF(G178=Constants!$B$4,FALSE(),TRUE())))</f>
        <v/>
      </c>
      <c r="AI178" s="93" t="str">
        <f aca="false">IF(ISBLANK($C178),"",IF(AND(ISNUMBER(H178),H178&gt;=0),H178,Constants!$B$29))</f>
        <v/>
      </c>
      <c r="AJ178" s="93" t="str">
        <f aca="false">IF(ISBLANK($C178),"",IF(I178=Constants!$B$3,TRUE(),IF(I178=Constants!$B$4,FALSE(),TRUE())))</f>
        <v/>
      </c>
      <c r="AK178" s="93" t="str">
        <f aca="false">IF(ISBLANK($C178),"",IF(J178=Constants!$B$3,TRUE(),IF(J178=Constants!$B$4,FALSE(),TRUE())))</f>
        <v/>
      </c>
      <c r="AL178" s="93" t="str">
        <f aca="false">IF(ISBLANK($C178),"",IF(K178=Constants!$B$5,TRUE(),IF(K178=Constants!$B$6,FALSE(),COUNTA(L178:P178)&gt;0)))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IF(ISBLANK($C178),"",IF(N178=Constants!$B$3,TRUE(),IF(N178=Constants!$B$4,FALSE(),TRUE())))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IF(ISBLANK($C178),"",IF(P178=Constants!$B$3,TRUE(),IF(P178=Constants!$B$4,FALSE(),FALSE())))</f>
        <v/>
      </c>
      <c r="AR178" s="93" t="str">
        <f aca="false">IF(ISBLANK($C178),"",IF(Q178=Constants!$B$3,TRUE(),IF(Q178=Constants!$B$4,FALSE(),TRUE())))</f>
        <v/>
      </c>
      <c r="AS178" s="93" t="str">
        <f aca="false">IF(ISBLANK($C178),"",IF(R178=Constants!$B$3,TRUE(),IF(R178=Constants!$B$4,FALSE(),TRUE())))</f>
        <v/>
      </c>
      <c r="AT178" s="93" t="str">
        <f aca="false">IF(ISBLANK($C178),"",IF(S178=Constants!$B$5,TRUE(),IF(S178=Constants!$B$6,FALSE(),COUNTA(T178:X178)&gt;0)))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IF(ISBLANK($C178),"",IF(V178=Constants!$B$3,TRUE(),IF(V178=Constants!$B$4,FALSE(),TRUE())))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IF(ISBLANK($C178),"",IF(X178=Constants!$B$3,TRUE(),IF(X178=Constants!$B$4,FALSE(),FALSE())))</f>
        <v/>
      </c>
      <c r="AZ178" s="93" t="str">
        <f aca="false">IF(ISBLANK($C178),"",MIN(Constants!$B$31,MAX(0,IF(ISNUMBER(Y178),Y178*60,0)+IF(ISNUMBER(Z178),Z178,0))))</f>
        <v/>
      </c>
      <c r="BA178" s="93" t="str">
        <f aca="false">IF(ISBLANK($C178),"",IF(AA178=Constants!$B$3,TRUE(),IF(AA178=Constants!$B$4,FALSE(),FALSE())))</f>
        <v/>
      </c>
      <c r="BB178" s="92" t="str">
        <f aca="false">IF(ISBLANK($C178),"",AND($AL178,OR($AM178="",$AN178="",AND($AO178,$AP178=""))))</f>
        <v/>
      </c>
      <c r="BC178" s="94" t="str">
        <f aca="false">IF($BZ178&lt;&gt;Constants!$B$8,"",IF($AL178,Constants!$B$21*$AN178+Constants!$B$22*IF($AO178,$AP178,Constants!$B$23),Constants!$B$24))</f>
        <v/>
      </c>
      <c r="BD178" s="97" t="str">
        <f aca="false">IF($BZ178&lt;&gt;Constants!$B$8,"",Constants!$B$25*ABS($AD$9-IF($AL178,$AM178,0)))</f>
        <v/>
      </c>
      <c r="BE178" s="97" t="str">
        <f aca="false">IF($BZ178&lt;&gt;Constants!$B$8,"",IF(AND($AL178,$AQ178,$AO178),Constants!$B$27,0))</f>
        <v/>
      </c>
      <c r="BF178" s="97" t="str">
        <f aca="false">IF($BZ178&lt;&gt;Constants!$B$8,"",IF($AL178,($AI178-Constants!$B$29)*Constants!$B$28,0))</f>
        <v/>
      </c>
      <c r="BG178" s="97" t="str">
        <f aca="false">IF($BZ178&lt;&gt;Constants!$B$8,"",IF($AK178,0,Constants!$B$15)+IF($AJ178,0,Constants!$B$16)+IF($AH178,0,Constants!$B$17))</f>
        <v/>
      </c>
      <c r="BH178" s="98" t="str">
        <f aca="false">IF($BZ178&lt;&gt;Constants!$B$8,"",Constants!$B$20+SUM($BC178:$BG178))</f>
        <v/>
      </c>
      <c r="BI178" s="97" t="str">
        <f aca="false">IF($BZ178&lt;&gt;Constants!$B$8,"",$BC178)</f>
        <v/>
      </c>
      <c r="BJ178" s="97" t="str">
        <f aca="false">IF($BZ178&lt;&gt;Constants!$B$8,"",$BD178)</f>
        <v/>
      </c>
      <c r="BK178" s="97" t="str">
        <f aca="false">IF($BZ178&lt;&gt;Constants!$B$8,"",IF($AL178,$AN178,""))</f>
        <v/>
      </c>
      <c r="BL178" s="99" t="str">
        <f aca="false">IF($BZ178&lt;&gt;Constants!$B$8,"",$AI178)</f>
        <v/>
      </c>
      <c r="BM178" s="93" t="str">
        <f aca="false">IF($BZ178&lt;&gt;Constants!$B$8,"",IF(OR($BT178&lt;$BH178,AND($BT178=$BH178,OR($BU178&lt;$BI178,AND($BU178=$BI178,OR($BV178&lt;$BJ178,AND($BV178=$BJ178,OR(AND(ISNUMBER($BW178),OR(NOT(ISNUMBER($BK178)),$BW178&lt;$BK178)),AND(OR(AND($BW178="",$BK178=""),AND(ISNUMBER($BW178),ISNUMBER($BK178),$BW178=$BK178)),$BX178&lt;$BL178)))))))),"-&gt;","&lt;-"))</f>
        <v/>
      </c>
      <c r="BN178" s="92" t="str">
        <f aca="false">IF(ISBLANK($C178),"",AND($AT178,OR($AU178="",$AV178="",AND($AW178,$AX178=""))))</f>
        <v/>
      </c>
      <c r="BO178" s="94" t="str">
        <f aca="false">IF($BZ178&lt;&gt;Constants!$B$8,"",IF($AT178,Constants!$B$21*$AV178+Constants!$B$22*IF($AW178,$AX178,Constants!$B$23),Constants!$B$24))</f>
        <v/>
      </c>
      <c r="BP178" s="97" t="str">
        <f aca="false">IF($BZ178&lt;&gt;Constants!$B$8,"",Constants!$B$25*ABS($AD$9-IF($AT178,$AU178,0)))</f>
        <v/>
      </c>
      <c r="BQ178" s="97" t="str">
        <f aca="false">IF($BZ178&lt;&gt;Constants!$B$8,"",IF(AND($AT178,$AY178,$AW178),Constants!$B$27,0))</f>
        <v/>
      </c>
      <c r="BR178" s="97" t="str">
        <f aca="false">IF($BZ178&lt;&gt;Constants!$B$8,"",IF($AT178,($AI178-Constants!$B$29)*Constants!$B$28,0))</f>
        <v/>
      </c>
      <c r="BS178" s="97" t="str">
        <f aca="false">IF($BZ178&lt;&gt;Constants!$B$8,"",IF($AS178,0,Constants!$B$15)+IF($AR178,0,Constants!$B$16)+IF($AH178,0,Constants!$B$17))</f>
        <v/>
      </c>
      <c r="BT178" s="98" t="str">
        <f aca="false">IF($BZ178&lt;&gt;Constants!$B$8,"",Constants!$B$20+SUM($BO178:$BS178))</f>
        <v/>
      </c>
      <c r="BU178" s="97" t="str">
        <f aca="false">IF($BZ178&lt;&gt;Constants!$B$8,"",$BO178)</f>
        <v/>
      </c>
      <c r="BV178" s="97" t="str">
        <f aca="false">IF($BZ178&lt;&gt;Constants!$B$8,"",$BP178)</f>
        <v/>
      </c>
      <c r="BW178" s="97" t="str">
        <f aca="false">IF($BZ178&lt;&gt;Constants!$B$8,"",IF($AT178,$AV178,""))</f>
        <v/>
      </c>
      <c r="BX178" s="99" t="str">
        <f aca="false">IF($BZ178&lt;&gt;Constants!$B$8,"",$AI178)</f>
        <v/>
      </c>
      <c r="BY178" s="93" t="str">
        <f aca="false">IF(ISBLANK($C178),"",IF(ISBLANK($D$7),$BY$5,IF(NOT(ISNUMBER($D$7)),$BY$6,"")))</f>
        <v/>
      </c>
      <c r="BZ178" s="93" t="str">
        <f aca="false">IF(ISBLANK($C178),"",IF($BA178,Constants!$B$11,IF(COUNTA($E178:$AA178)=0,Constants!$B$10,IF(NOT($AG178),Constants!$B$9,IF(OR($BY178&lt;&gt;"",$BB178,$BN178),Constants!$B$12,Constants!$B$8)))))</f>
        <v/>
      </c>
      <c r="CA178" s="93" t="str">
        <f aca="false">IF(ISBLANK($C178),"",IF($BZ178&lt;&gt;Constants!$B$8,$BZ178,Constants!$B$13))</f>
        <v/>
      </c>
      <c r="CB178" s="97" t="str">
        <f aca="false">IF($BZ178&lt;&gt;Constants!$B$8,"",IF($BM178="-&gt;",$BT178,$BH178))</f>
        <v/>
      </c>
      <c r="CC178" s="97" t="str">
        <f aca="false">IF($BZ178&lt;&gt;Constants!$B$8,"",IF($AF178,0,Constants!$B$18))</f>
        <v/>
      </c>
      <c r="CD178" s="97" t="str">
        <f aca="false">IF($BZ178&lt;&gt;Constants!$B$8,"",((Constants!$B$31-$AZ178)-Constants!$B$31)/Constants!$B$32)</f>
        <v/>
      </c>
      <c r="CE178" s="97" t="str">
        <f aca="false">IF(ISBLANK($C178),"",IF($BZ178&lt;&gt;Constants!$B$8,$BZ178,SUM($CB178:$CD178)))</f>
        <v/>
      </c>
      <c r="CF178" s="93" t="str">
        <f aca="false">IF(ISBLANK($C178),"",IF($BZ178&lt;&gt;Constants!$B$8,$BZ178,RANK($CE178,$CE$9:$CE$508,1)))</f>
        <v/>
      </c>
      <c r="CG178" s="97" t="str">
        <f aca="false">IF($BZ178&lt;&gt;Constants!$B$8,"",IF($BM178="-&gt;",$BU178,$BI178))</f>
        <v/>
      </c>
      <c r="CH178" s="93" t="str">
        <f aca="false">IF(ISBLANK($C178),"",IF($BZ178&lt;&gt;Constants!$B$8,$BZ178,IF(ISNUMBER($CG178),RANK($CG178,$CG$9:$CG$508,1),COUNT($CG$9:$CG$508)+1)))</f>
        <v/>
      </c>
      <c r="CI178" s="97" t="str">
        <f aca="false">IF($BZ178&lt;&gt;Constants!$B$8,"",IF($BM178="-&gt;",$BV178,$BJ178))</f>
        <v/>
      </c>
      <c r="CJ178" s="93" t="str">
        <f aca="false">IF(ISBLANK($C178),"",IF($BZ178&lt;&gt;Constants!$B$8,$BZ178,IF(ISNUMBER($CI178),RANK($CI178,$CI$9:$CI$508,1),COUNT($CI$9:$CI$508)+1)))</f>
        <v/>
      </c>
      <c r="CK178" s="97" t="str">
        <f aca="false">IF($BZ178&lt;&gt;Constants!$B$8,"",IF($BM178="-&gt;",$BW178,$BK178))</f>
        <v/>
      </c>
      <c r="CL178" s="93" t="str">
        <f aca="false">IF(ISBLANK($C178),"",IF($BZ178&lt;&gt;Constants!$B$8,$BZ178,IF(ISNUMBER($CK178),RANK($CK178,$CK$9:$CK$508,1),COUNT($CK$9:$CK$508)+1)))</f>
        <v/>
      </c>
      <c r="CM178" s="97" t="str">
        <f aca="false">IF($BZ178&lt;&gt;Constants!$B$8,"",IF(AND(NOT($AL178),NOT($AT178),$AJ178,$AK178,$AR178,$AS178),"",IF($BM178="-&gt;",$BX178,$BL178)))</f>
        <v/>
      </c>
      <c r="CN178" s="93" t="str">
        <f aca="false">IF(ISBLANK($C178),"",IF($BZ178&lt;&gt;Constants!$B$8,$BZ178,IF(ISNUMBER($CM178),RANK($CM178,$CM$9:$CM$508,1),COUNT($CM$9:$CM$508)+1)))</f>
        <v/>
      </c>
      <c r="CO178" s="93" t="str">
        <f aca="false">IF(ISBLANK($C178),"",IF($BZ178&lt;&gt;Constants!$B$8,$BZ178,COUNTIFS($CF$9:$CF$508,"&lt;"&amp;$CF178)+COUNTIFS($CF$9:$CF$508,$CF178,$CH$9:$CH$508,"&lt;"&amp;$CH178)+COUNTIFS($CF$9:$CF$508,$CF178,$CH$9:$CH$508,$CH178,$CJ$9:$CJ$508,"&lt;"&amp;$CJ178)+COUNTIFS($CF$9:$CF$508,$CF178,$CH$9:$CH$508,$CH178,$CJ$9:$CJ$508,$CJ178,$CL$9:$CL$508,"&lt;"&amp;$CL178)+COUNTIFS($CF$9:$CF$508,$CF178,$CH$9:$CH$508,$CH178,$CJ$9:$CJ$508,$CJ178,$CL$9:$CL$508,$CL178,$CN$9:$CN$508,"&lt;"&amp;$CN178)+1))</f>
        <v/>
      </c>
      <c r="CP178" s="93" t="str">
        <f aca="false">IF(ISBLANK($C178),"",IF($BZ178&lt;&gt;Constants!$B$8,$BZ178,$CF178-$CO178))</f>
        <v/>
      </c>
      <c r="CQ178" s="100"/>
      <c r="CR178" s="101"/>
      <c r="CS178" s="102" t="str">
        <f aca="false">IF(ISBLANK($C178),"",IF($BZ178=Constants!$B$12,$BY178,""))</f>
        <v/>
      </c>
      <c r="CT178" s="101" t="str">
        <f aca="false">IF(ISBLANK($C178),"",IF($BZ178&lt;&gt;Constants!$B$8,"",IF($BM178="-&gt;",2,1)))</f>
        <v/>
      </c>
      <c r="CU178" s="103" t="str">
        <f aca="false">IF(ISBLANK($C178),"",IF($BZ178&lt;&gt;Constants!$B$8,"",IF($BM178="-&gt;",$BO178,$BC178)))</f>
        <v/>
      </c>
      <c r="CV178" s="103" t="str">
        <f aca="false">IF(ISBLANK($C178),"",IF($BZ178&lt;&gt;Constants!$B$8,"",IF($BM178="-&gt;",$BP178,$BD178)))</f>
        <v/>
      </c>
      <c r="CW178" s="103" t="str">
        <f aca="false">IF(ISBLANK($C178),"",IF($BZ178&lt;&gt;Constants!$B$8,"",IF($BM178="-&gt;",$BQ178+$BR178,$BE178+$BF178)+$CD178))</f>
        <v/>
      </c>
      <c r="CX178" s="103" t="str">
        <f aca="false">IF(ISBLANK($C178),"",IF($BZ178&lt;&gt;Constants!$B$8,"",IF($BM178="-&gt;",$BS178,$BG178)+$CC178))</f>
        <v/>
      </c>
      <c r="CY178" s="104" t="str">
        <f aca="false">IF(ISBLANK($C178),"",IF($BZ178&lt;&gt;Constants!$B$8,$BZ178,$CE178))</f>
        <v/>
      </c>
      <c r="CZ178" s="105" t="str">
        <f aca="false">IF(ISBLANK($C178),"",$CA178)</f>
        <v/>
      </c>
      <c r="DA178" s="106" t="str">
        <f aca="false">IF(ISBLANK($C178),"",$CP178)</f>
        <v/>
      </c>
      <c r="DB178" s="106" t="str">
        <f aca="false">IF(ISBLANK($C178),"",$CO178)</f>
        <v/>
      </c>
      <c r="DC178" s="107" t="str">
        <f aca="false">IF(ISBLANK($C178),"",IFERROR(_xlfn.SWITCH($DB178,Constants!$B$11,COUNTA($C$9:$C$508)+2,Constants!$B$10,COUNTA($C$9:$C$508)+1,Constants!$B$9,COUNTA($C$9:$C$508)),$DB178))</f>
        <v/>
      </c>
      <c r="DD178" s="9"/>
      <c r="DE178" s="108" t="n">
        <f aca="false">IF(OR(ISNUMBER($DB178),$DB178=Constants!$B$11,$DB178=Constants!$B$9,$DB178=Constants!$B$10),1,0)</f>
        <v>0</v>
      </c>
      <c r="DF178" s="108" t="n">
        <v>170</v>
      </c>
      <c r="DG178" s="108" t="str">
        <f aca="false">IF(ISBLANK($C178),"",IF(ISNUMBER($DC178),$DC178+ROW($B178)/1000,""))</f>
        <v/>
      </c>
      <c r="DH178" s="108" t="str">
        <f aca="false">IF(ISNUMBER($DG178),RANK($DG178,$DG$9:$DG$508,1),"")</f>
        <v/>
      </c>
      <c r="DI178" s="108" t="str">
        <f aca="false">IF(ISBLANK($C178),"",$B178)</f>
        <v/>
      </c>
      <c r="DJ178" s="108" t="str">
        <f aca="false">IF(ISBLANK($C178),"",$C178)</f>
        <v/>
      </c>
      <c r="DK178" s="108" t="str">
        <f aca="false">IF(ISBLANK($C178),"",$D178)</f>
        <v/>
      </c>
      <c r="DL178" s="109" t="str">
        <f aca="false">$CZ178</f>
        <v/>
      </c>
      <c r="DM178" s="110" t="str">
        <f aca="false">$CY178</f>
        <v/>
      </c>
      <c r="DN178" s="108" t="str">
        <f aca="false">IF(ISBLANK($C178),"",$DB178)</f>
        <v/>
      </c>
      <c r="DO178" s="111" t="str">
        <f aca="false">IF($DF178&gt;$DE$8,"",VLOOKUP($DF178,$DH$9:$DN$508,7,FALSE()))</f>
        <v/>
      </c>
      <c r="DP178" s="112" t="str">
        <f aca="false">IF($DF178&gt;$DE$8,"",VLOOKUP($DF178,$DH$9:$DN$508,2,FALSE()))</f>
        <v/>
      </c>
      <c r="DQ178" s="112" t="str">
        <f aca="false">IF($DF178&gt;$DE$8,"",VLOOKUP($DF178,$DH$9:$DN$508,3,FALSE()))</f>
        <v/>
      </c>
      <c r="DR178" s="112" t="str">
        <f aca="false">IF($DF178&gt;$DE$8,"",VLOOKUP($DF178,$DH$9:$DN$508,4,FALSE()))</f>
        <v/>
      </c>
      <c r="DS178" s="112" t="str">
        <f aca="false">IF($DF178&gt;$DE$8,"",VLOOKUP($DF178,$DH$9:$DN$508,5,FALSE()))</f>
        <v/>
      </c>
      <c r="DT178" s="113" t="str">
        <f aca="false">IF($DF178&gt;$DE$8,"",VLOOKUP($DF178,$DH$9:$DN$508,6,FALSE()))</f>
        <v/>
      </c>
      <c r="DU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IF(ISBLANK($C179),"",IF(E179=Constants!$B$3,TRUE(),IF(E179=Constants!$B$4,FALSE(),TRUE())))</f>
        <v/>
      </c>
      <c r="AG179" s="93" t="str">
        <f aca="false">IF(ISBLANK($C179),"",IF(F179=Constants!$B$3,TRUE(),IF(F179=Constants!$B$4,FALSE(),TRUE())))</f>
        <v/>
      </c>
      <c r="AH179" s="93" t="str">
        <f aca="false">IF(ISBLANK($C179),"",IF(G179=Constants!$B$3,TRUE(),IF(G179=Constants!$B$4,FALSE(),TRUE())))</f>
        <v/>
      </c>
      <c r="AI179" s="93" t="str">
        <f aca="false">IF(ISBLANK($C179),"",IF(AND(ISNUMBER(H179),H179&gt;=0),H179,Constants!$B$29))</f>
        <v/>
      </c>
      <c r="AJ179" s="93" t="str">
        <f aca="false">IF(ISBLANK($C179),"",IF(I179=Constants!$B$3,TRUE(),IF(I179=Constants!$B$4,FALSE(),TRUE())))</f>
        <v/>
      </c>
      <c r="AK179" s="93" t="str">
        <f aca="false">IF(ISBLANK($C179),"",IF(J179=Constants!$B$3,TRUE(),IF(J179=Constants!$B$4,FALSE(),TRUE())))</f>
        <v/>
      </c>
      <c r="AL179" s="93" t="str">
        <f aca="false">IF(ISBLANK($C179),"",IF(K179=Constants!$B$5,TRUE(),IF(K179=Constants!$B$6,FALSE(),COUNTA(L179:P179)&gt;0)))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IF(ISBLANK($C179),"",IF(N179=Constants!$B$3,TRUE(),IF(N179=Constants!$B$4,FALSE(),TRUE())))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IF(ISBLANK($C179),"",IF(P179=Constants!$B$3,TRUE(),IF(P179=Constants!$B$4,FALSE(),FALSE())))</f>
        <v/>
      </c>
      <c r="AR179" s="93" t="str">
        <f aca="false">IF(ISBLANK($C179),"",IF(Q179=Constants!$B$3,TRUE(),IF(Q179=Constants!$B$4,FALSE(),TRUE())))</f>
        <v/>
      </c>
      <c r="AS179" s="93" t="str">
        <f aca="false">IF(ISBLANK($C179),"",IF(R179=Constants!$B$3,TRUE(),IF(R179=Constants!$B$4,FALSE(),TRUE())))</f>
        <v/>
      </c>
      <c r="AT179" s="93" t="str">
        <f aca="false">IF(ISBLANK($C179),"",IF(S179=Constants!$B$5,TRUE(),IF(S179=Constants!$B$6,FALSE(),COUNTA(T179:X179)&gt;0)))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IF(ISBLANK($C179),"",IF(V179=Constants!$B$3,TRUE(),IF(V179=Constants!$B$4,FALSE(),TRUE())))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IF(ISBLANK($C179),"",IF(X179=Constants!$B$3,TRUE(),IF(X179=Constants!$B$4,FALSE(),FALSE())))</f>
        <v/>
      </c>
      <c r="AZ179" s="93" t="str">
        <f aca="false">IF(ISBLANK($C179),"",MIN(Constants!$B$31,MAX(0,IF(ISNUMBER(Y179),Y179*60,0)+IF(ISNUMBER(Z179),Z179,0))))</f>
        <v/>
      </c>
      <c r="BA179" s="93" t="str">
        <f aca="false">IF(ISBLANK($C179),"",IF(AA179=Constants!$B$3,TRUE(),IF(AA179=Constants!$B$4,FALSE(),FALSE())))</f>
        <v/>
      </c>
      <c r="BB179" s="92" t="str">
        <f aca="false">IF(ISBLANK($C179),"",AND($AL179,OR($AM179="",$AN179="",AND($AO179,$AP179=""))))</f>
        <v/>
      </c>
      <c r="BC179" s="94" t="str">
        <f aca="false">IF($BZ179&lt;&gt;Constants!$B$8,"",IF($AL179,Constants!$B$21*$AN179+Constants!$B$22*IF($AO179,$AP179,Constants!$B$23),Constants!$B$24))</f>
        <v/>
      </c>
      <c r="BD179" s="97" t="str">
        <f aca="false">IF($BZ179&lt;&gt;Constants!$B$8,"",Constants!$B$25*ABS($AD$9-IF($AL179,$AM179,0)))</f>
        <v/>
      </c>
      <c r="BE179" s="97" t="str">
        <f aca="false">IF($BZ179&lt;&gt;Constants!$B$8,"",IF(AND($AL179,$AQ179,$AO179),Constants!$B$27,0))</f>
        <v/>
      </c>
      <c r="BF179" s="97" t="str">
        <f aca="false">IF($BZ179&lt;&gt;Constants!$B$8,"",IF($AL179,($AI179-Constants!$B$29)*Constants!$B$28,0))</f>
        <v/>
      </c>
      <c r="BG179" s="97" t="str">
        <f aca="false">IF($BZ179&lt;&gt;Constants!$B$8,"",IF($AK179,0,Constants!$B$15)+IF($AJ179,0,Constants!$B$16)+IF($AH179,0,Constants!$B$17))</f>
        <v/>
      </c>
      <c r="BH179" s="98" t="str">
        <f aca="false">IF($BZ179&lt;&gt;Constants!$B$8,"",Constants!$B$20+SUM($BC179:$BG179))</f>
        <v/>
      </c>
      <c r="BI179" s="97" t="str">
        <f aca="false">IF($BZ179&lt;&gt;Constants!$B$8,"",$BC179)</f>
        <v/>
      </c>
      <c r="BJ179" s="97" t="str">
        <f aca="false">IF($BZ179&lt;&gt;Constants!$B$8,"",$BD179)</f>
        <v/>
      </c>
      <c r="BK179" s="97" t="str">
        <f aca="false">IF($BZ179&lt;&gt;Constants!$B$8,"",IF($AL179,$AN179,""))</f>
        <v/>
      </c>
      <c r="BL179" s="99" t="str">
        <f aca="false">IF($BZ179&lt;&gt;Constants!$B$8,"",$AI179)</f>
        <v/>
      </c>
      <c r="BM179" s="93" t="str">
        <f aca="false">IF($BZ179&lt;&gt;Constants!$B$8,"",IF(OR($BT179&lt;$BH179,AND($BT179=$BH179,OR($BU179&lt;$BI179,AND($BU179=$BI179,OR($BV179&lt;$BJ179,AND($BV179=$BJ179,OR(AND(ISNUMBER($BW179),OR(NOT(ISNUMBER($BK179)),$BW179&lt;$BK179)),AND(OR(AND($BW179="",$BK179=""),AND(ISNUMBER($BW179),ISNUMBER($BK179),$BW179=$BK179)),$BX179&lt;$BL179)))))))),"-&gt;","&lt;-"))</f>
        <v/>
      </c>
      <c r="BN179" s="92" t="str">
        <f aca="false">IF(ISBLANK($C179),"",AND($AT179,OR($AU179="",$AV179="",AND($AW179,$AX179=""))))</f>
        <v/>
      </c>
      <c r="BO179" s="94" t="str">
        <f aca="false">IF($BZ179&lt;&gt;Constants!$B$8,"",IF($AT179,Constants!$B$21*$AV179+Constants!$B$22*IF($AW179,$AX179,Constants!$B$23),Constants!$B$24))</f>
        <v/>
      </c>
      <c r="BP179" s="97" t="str">
        <f aca="false">IF($BZ179&lt;&gt;Constants!$B$8,"",Constants!$B$25*ABS($AD$9-IF($AT179,$AU179,0)))</f>
        <v/>
      </c>
      <c r="BQ179" s="97" t="str">
        <f aca="false">IF($BZ179&lt;&gt;Constants!$B$8,"",IF(AND($AT179,$AY179,$AW179),Constants!$B$27,0))</f>
        <v/>
      </c>
      <c r="BR179" s="97" t="str">
        <f aca="false">IF($BZ179&lt;&gt;Constants!$B$8,"",IF($AT179,($AI179-Constants!$B$29)*Constants!$B$28,0))</f>
        <v/>
      </c>
      <c r="BS179" s="97" t="str">
        <f aca="false">IF($BZ179&lt;&gt;Constants!$B$8,"",IF($AS179,0,Constants!$B$15)+IF($AR179,0,Constants!$B$16)+IF($AH179,0,Constants!$B$17))</f>
        <v/>
      </c>
      <c r="BT179" s="98" t="str">
        <f aca="false">IF($BZ179&lt;&gt;Constants!$B$8,"",Constants!$B$20+SUM($BO179:$BS179))</f>
        <v/>
      </c>
      <c r="BU179" s="97" t="str">
        <f aca="false">IF($BZ179&lt;&gt;Constants!$B$8,"",$BO179)</f>
        <v/>
      </c>
      <c r="BV179" s="97" t="str">
        <f aca="false">IF($BZ179&lt;&gt;Constants!$B$8,"",$BP179)</f>
        <v/>
      </c>
      <c r="BW179" s="97" t="str">
        <f aca="false">IF($BZ179&lt;&gt;Constants!$B$8,"",IF($AT179,$AV179,""))</f>
        <v/>
      </c>
      <c r="BX179" s="99" t="str">
        <f aca="false">IF($BZ179&lt;&gt;Constants!$B$8,"",$AI179)</f>
        <v/>
      </c>
      <c r="BY179" s="93" t="str">
        <f aca="false">IF(ISBLANK($C179),"",IF(ISBLANK($D$7),$BY$5,IF(NOT(ISNUMBER($D$7)),$BY$6,"")))</f>
        <v/>
      </c>
      <c r="BZ179" s="93" t="str">
        <f aca="false">IF(ISBLANK($C179),"",IF($BA179,Constants!$B$11,IF(COUNTA($E179:$AA179)=0,Constants!$B$10,IF(NOT($AG179),Constants!$B$9,IF(OR($BY179&lt;&gt;"",$BB179,$BN179),Constants!$B$12,Constants!$B$8)))))</f>
        <v/>
      </c>
      <c r="CA179" s="93" t="str">
        <f aca="false">IF(ISBLANK($C179),"",IF($BZ179&lt;&gt;Constants!$B$8,$BZ179,Constants!$B$13))</f>
        <v/>
      </c>
      <c r="CB179" s="97" t="str">
        <f aca="false">IF($BZ179&lt;&gt;Constants!$B$8,"",IF($BM179="-&gt;",$BT179,$BH179))</f>
        <v/>
      </c>
      <c r="CC179" s="97" t="str">
        <f aca="false">IF($BZ179&lt;&gt;Constants!$B$8,"",IF($AF179,0,Constants!$B$18))</f>
        <v/>
      </c>
      <c r="CD179" s="97" t="str">
        <f aca="false">IF($BZ179&lt;&gt;Constants!$B$8,"",((Constants!$B$31-$AZ179)-Constants!$B$31)/Constants!$B$32)</f>
        <v/>
      </c>
      <c r="CE179" s="97" t="str">
        <f aca="false">IF(ISBLANK($C179),"",IF($BZ179&lt;&gt;Constants!$B$8,$BZ179,SUM($CB179:$CD179)))</f>
        <v/>
      </c>
      <c r="CF179" s="93" t="str">
        <f aca="false">IF(ISBLANK($C179),"",IF($BZ179&lt;&gt;Constants!$B$8,$BZ179,RANK($CE179,$CE$9:$CE$508,1)))</f>
        <v/>
      </c>
      <c r="CG179" s="97" t="str">
        <f aca="false">IF($BZ179&lt;&gt;Constants!$B$8,"",IF($BM179="-&gt;",$BU179,$BI179))</f>
        <v/>
      </c>
      <c r="CH179" s="93" t="str">
        <f aca="false">IF(ISBLANK($C179),"",IF($BZ179&lt;&gt;Constants!$B$8,$BZ179,IF(ISNUMBER($CG179),RANK($CG179,$CG$9:$CG$508,1),COUNT($CG$9:$CG$508)+1)))</f>
        <v/>
      </c>
      <c r="CI179" s="97" t="str">
        <f aca="false">IF($BZ179&lt;&gt;Constants!$B$8,"",IF($BM179="-&gt;",$BV179,$BJ179))</f>
        <v/>
      </c>
      <c r="CJ179" s="93" t="str">
        <f aca="false">IF(ISBLANK($C179),"",IF($BZ179&lt;&gt;Constants!$B$8,$BZ179,IF(ISNUMBER($CI179),RANK($CI179,$CI$9:$CI$508,1),COUNT($CI$9:$CI$508)+1)))</f>
        <v/>
      </c>
      <c r="CK179" s="97" t="str">
        <f aca="false">IF($BZ179&lt;&gt;Constants!$B$8,"",IF($BM179="-&gt;",$BW179,$BK179))</f>
        <v/>
      </c>
      <c r="CL179" s="93" t="str">
        <f aca="false">IF(ISBLANK($C179),"",IF($BZ179&lt;&gt;Constants!$B$8,$BZ179,IF(ISNUMBER($CK179),RANK($CK179,$CK$9:$CK$508,1),COUNT($CK$9:$CK$508)+1)))</f>
        <v/>
      </c>
      <c r="CM179" s="97" t="str">
        <f aca="false">IF($BZ179&lt;&gt;Constants!$B$8,"",IF(AND(NOT($AL179),NOT($AT179),$AJ179,$AK179,$AR179,$AS179),"",IF($BM179="-&gt;",$BX179,$BL179)))</f>
        <v/>
      </c>
      <c r="CN179" s="93" t="str">
        <f aca="false">IF(ISBLANK($C179),"",IF($BZ179&lt;&gt;Constants!$B$8,$BZ179,IF(ISNUMBER($CM179),RANK($CM179,$CM$9:$CM$508,1),COUNT($CM$9:$CM$508)+1)))</f>
        <v/>
      </c>
      <c r="CO179" s="93" t="str">
        <f aca="false">IF(ISBLANK($C179),"",IF($BZ179&lt;&gt;Constants!$B$8,$BZ179,COUNTIFS($CF$9:$CF$508,"&lt;"&amp;$CF179)+COUNTIFS($CF$9:$CF$508,$CF179,$CH$9:$CH$508,"&lt;"&amp;$CH179)+COUNTIFS($CF$9:$CF$508,$CF179,$CH$9:$CH$508,$CH179,$CJ$9:$CJ$508,"&lt;"&amp;$CJ179)+COUNTIFS($CF$9:$CF$508,$CF179,$CH$9:$CH$508,$CH179,$CJ$9:$CJ$508,$CJ179,$CL$9:$CL$508,"&lt;"&amp;$CL179)+COUNTIFS($CF$9:$CF$508,$CF179,$CH$9:$CH$508,$CH179,$CJ$9:$CJ$508,$CJ179,$CL$9:$CL$508,$CL179,$CN$9:$CN$508,"&lt;"&amp;$CN179)+1))</f>
        <v/>
      </c>
      <c r="CP179" s="93" t="str">
        <f aca="false">IF(ISBLANK($C179),"",IF($BZ179&lt;&gt;Constants!$B$8,$BZ179,$CF179-$CO179))</f>
        <v/>
      </c>
      <c r="CQ179" s="100"/>
      <c r="CR179" s="101"/>
      <c r="CS179" s="102" t="str">
        <f aca="false">IF(ISBLANK($C179),"",IF($BZ179=Constants!$B$12,$BY179,""))</f>
        <v/>
      </c>
      <c r="CT179" s="101" t="str">
        <f aca="false">IF(ISBLANK($C179),"",IF($BZ179&lt;&gt;Constants!$B$8,"",IF($BM179="-&gt;",2,1)))</f>
        <v/>
      </c>
      <c r="CU179" s="103" t="str">
        <f aca="false">IF(ISBLANK($C179),"",IF($BZ179&lt;&gt;Constants!$B$8,"",IF($BM179="-&gt;",$BO179,$BC179)))</f>
        <v/>
      </c>
      <c r="CV179" s="103" t="str">
        <f aca="false">IF(ISBLANK($C179),"",IF($BZ179&lt;&gt;Constants!$B$8,"",IF($BM179="-&gt;",$BP179,$BD179)))</f>
        <v/>
      </c>
      <c r="CW179" s="103" t="str">
        <f aca="false">IF(ISBLANK($C179),"",IF($BZ179&lt;&gt;Constants!$B$8,"",IF($BM179="-&gt;",$BQ179+$BR179,$BE179+$BF179)+$CD179))</f>
        <v/>
      </c>
      <c r="CX179" s="103" t="str">
        <f aca="false">IF(ISBLANK($C179),"",IF($BZ179&lt;&gt;Constants!$B$8,"",IF($BM179="-&gt;",$BS179,$BG179)+$CC179))</f>
        <v/>
      </c>
      <c r="CY179" s="104" t="str">
        <f aca="false">IF(ISBLANK($C179),"",IF($BZ179&lt;&gt;Constants!$B$8,$BZ179,$CE179))</f>
        <v/>
      </c>
      <c r="CZ179" s="105" t="str">
        <f aca="false">IF(ISBLANK($C179),"",$CA179)</f>
        <v/>
      </c>
      <c r="DA179" s="106" t="str">
        <f aca="false">IF(ISBLANK($C179),"",$CP179)</f>
        <v/>
      </c>
      <c r="DB179" s="106" t="str">
        <f aca="false">IF(ISBLANK($C179),"",$CO179)</f>
        <v/>
      </c>
      <c r="DC179" s="107" t="str">
        <f aca="false">IF(ISBLANK($C179),"",IFERROR(_xlfn.SWITCH($DB179,Constants!$B$11,COUNTA($C$9:$C$508)+2,Constants!$B$10,COUNTA($C$9:$C$508)+1,Constants!$B$9,COUNTA($C$9:$C$508)),$DB179))</f>
        <v/>
      </c>
      <c r="DD179" s="9"/>
      <c r="DE179" s="108" t="n">
        <f aca="false">IF(OR(ISNUMBER($DB179),$DB179=Constants!$B$11,$DB179=Constants!$B$9,$DB179=Constants!$B$10),1,0)</f>
        <v>0</v>
      </c>
      <c r="DF179" s="108" t="n">
        <v>171</v>
      </c>
      <c r="DG179" s="108" t="str">
        <f aca="false">IF(ISBLANK($C179),"",IF(ISNUMBER($DC179),$DC179+ROW($B179)/1000,""))</f>
        <v/>
      </c>
      <c r="DH179" s="108" t="str">
        <f aca="false">IF(ISNUMBER($DG179),RANK($DG179,$DG$9:$DG$508,1),"")</f>
        <v/>
      </c>
      <c r="DI179" s="108" t="str">
        <f aca="false">IF(ISBLANK($C179),"",$B179)</f>
        <v/>
      </c>
      <c r="DJ179" s="108" t="str">
        <f aca="false">IF(ISBLANK($C179),"",$C179)</f>
        <v/>
      </c>
      <c r="DK179" s="108" t="str">
        <f aca="false">IF(ISBLANK($C179),"",$D179)</f>
        <v/>
      </c>
      <c r="DL179" s="109" t="str">
        <f aca="false">$CZ179</f>
        <v/>
      </c>
      <c r="DM179" s="110" t="str">
        <f aca="false">$CY179</f>
        <v/>
      </c>
      <c r="DN179" s="108" t="str">
        <f aca="false">IF(ISBLANK($C179),"",$DB179)</f>
        <v/>
      </c>
      <c r="DO179" s="111" t="str">
        <f aca="false">IF($DF179&gt;$DE$8,"",VLOOKUP($DF179,$DH$9:$DN$508,7,FALSE()))</f>
        <v/>
      </c>
      <c r="DP179" s="112" t="str">
        <f aca="false">IF($DF179&gt;$DE$8,"",VLOOKUP($DF179,$DH$9:$DN$508,2,FALSE()))</f>
        <v/>
      </c>
      <c r="DQ179" s="112" t="str">
        <f aca="false">IF($DF179&gt;$DE$8,"",VLOOKUP($DF179,$DH$9:$DN$508,3,FALSE()))</f>
        <v/>
      </c>
      <c r="DR179" s="112" t="str">
        <f aca="false">IF($DF179&gt;$DE$8,"",VLOOKUP($DF179,$DH$9:$DN$508,4,FALSE()))</f>
        <v/>
      </c>
      <c r="DS179" s="112" t="str">
        <f aca="false">IF($DF179&gt;$DE$8,"",VLOOKUP($DF179,$DH$9:$DN$508,5,FALSE()))</f>
        <v/>
      </c>
      <c r="DT179" s="113" t="str">
        <f aca="false">IF($DF179&gt;$DE$8,"",VLOOKUP($DF179,$DH$9:$DN$508,6,FALSE()))</f>
        <v/>
      </c>
      <c r="DU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IF(ISBLANK($C180),"",IF(E180=Constants!$B$3,TRUE(),IF(E180=Constants!$B$4,FALSE(),TRUE())))</f>
        <v/>
      </c>
      <c r="AG180" s="135" t="str">
        <f aca="false">IF(ISBLANK($C180),"",IF(F180=Constants!$B$3,TRUE(),IF(F180=Constants!$B$4,FALSE(),TRUE())))</f>
        <v/>
      </c>
      <c r="AH180" s="135" t="str">
        <f aca="false">IF(ISBLANK($C180),"",IF(G180=Constants!$B$3,TRUE(),IF(G180=Constants!$B$4,FALSE(),TRUE())))</f>
        <v/>
      </c>
      <c r="AI180" s="135" t="str">
        <f aca="false">IF(ISBLANK($C180),"",IF(AND(ISNUMBER(H180),H180&gt;=0),H180,Constants!$B$29))</f>
        <v/>
      </c>
      <c r="AJ180" s="135" t="str">
        <f aca="false">IF(ISBLANK($C180),"",IF(I180=Constants!$B$3,TRUE(),IF(I180=Constants!$B$4,FALSE(),TRUE())))</f>
        <v/>
      </c>
      <c r="AK180" s="135" t="str">
        <f aca="false">IF(ISBLANK($C180),"",IF(J180=Constants!$B$3,TRUE(),IF(J180=Constants!$B$4,FALSE(),TRUE())))</f>
        <v/>
      </c>
      <c r="AL180" s="135" t="str">
        <f aca="false">IF(ISBLANK($C180),"",IF(K180=Constants!$B$5,TRUE(),IF(K180=Constants!$B$6,FALSE(),COUNTA(L180:P180)&gt;0)))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IF(ISBLANK($C180),"",IF(N180=Constants!$B$3,TRUE(),IF(N180=Constants!$B$4,FALSE(),TRUE())))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IF(ISBLANK($C180),"",IF(P180=Constants!$B$3,TRUE(),IF(P180=Constants!$B$4,FALSE(),FALSE())))</f>
        <v/>
      </c>
      <c r="AR180" s="135" t="str">
        <f aca="false">IF(ISBLANK($C180),"",IF(Q180=Constants!$B$3,TRUE(),IF(Q180=Constants!$B$4,FALSE(),TRUE())))</f>
        <v/>
      </c>
      <c r="AS180" s="135" t="str">
        <f aca="false">IF(ISBLANK($C180),"",IF(R180=Constants!$B$3,TRUE(),IF(R180=Constants!$B$4,FALSE(),TRUE())))</f>
        <v/>
      </c>
      <c r="AT180" s="135" t="str">
        <f aca="false">IF(ISBLANK($C180),"",IF(S180=Constants!$B$5,TRUE(),IF(S180=Constants!$B$6,FALSE(),COUNTA(T180:X180)&gt;0)))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IF(ISBLANK($C180),"",IF(V180=Constants!$B$3,TRUE(),IF(V180=Constants!$B$4,FALSE(),TRUE())))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IF(ISBLANK($C180),"",IF(X180=Constants!$B$3,TRUE(),IF(X180=Constants!$B$4,FALSE(),FALSE())))</f>
        <v/>
      </c>
      <c r="AZ180" s="135" t="str">
        <f aca="false">IF(ISBLANK($C180),"",MIN(Constants!$B$31,MAX(0,IF(ISNUMBER(Y180),Y180*60,0)+IF(ISNUMBER(Z180),Z180,0))))</f>
        <v/>
      </c>
      <c r="BA180" s="135" t="str">
        <f aca="false">IF(ISBLANK($C180),"",IF(AA180=Constants!$B$3,TRUE(),IF(AA180=Constants!$B$4,FALSE(),FALSE())))</f>
        <v/>
      </c>
      <c r="BB180" s="134" t="str">
        <f aca="false">IF(ISBLANK($C180),"",AND($AL180,OR($AM180="",$AN180="",AND($AO180,$AP180=""))))</f>
        <v/>
      </c>
      <c r="BC180" s="137" t="str">
        <f aca="false">IF($BZ180&lt;&gt;Constants!$B$8,"",IF($AL180,Constants!$B$21*$AN180+Constants!$B$22*IF($AO180,$AP180,Constants!$B$23),Constants!$B$24))</f>
        <v/>
      </c>
      <c r="BD180" s="138" t="str">
        <f aca="false">IF($BZ180&lt;&gt;Constants!$B$8,"",Constants!$B$25*ABS($AD$9-IF($AL180,$AM180,0)))</f>
        <v/>
      </c>
      <c r="BE180" s="138" t="str">
        <f aca="false">IF($BZ180&lt;&gt;Constants!$B$8,"",IF(AND($AL180,$AQ180,$AO180),Constants!$B$27,0))</f>
        <v/>
      </c>
      <c r="BF180" s="138" t="str">
        <f aca="false">IF($BZ180&lt;&gt;Constants!$B$8,"",IF($AL180,($AI180-Constants!$B$29)*Constants!$B$28,0))</f>
        <v/>
      </c>
      <c r="BG180" s="138" t="str">
        <f aca="false">IF($BZ180&lt;&gt;Constants!$B$8,"",IF($AK180,0,Constants!$B$15)+IF($AJ180,0,Constants!$B$16)+IF($AH180,0,Constants!$B$17))</f>
        <v/>
      </c>
      <c r="BH180" s="139" t="str">
        <f aca="false">IF($BZ180&lt;&gt;Constants!$B$8,"",Constants!$B$20+SUM($BC180:$BG180))</f>
        <v/>
      </c>
      <c r="BI180" s="138" t="str">
        <f aca="false">IF($BZ180&lt;&gt;Constants!$B$8,"",$BC180)</f>
        <v/>
      </c>
      <c r="BJ180" s="138" t="str">
        <f aca="false">IF($BZ180&lt;&gt;Constants!$B$8,"",$BD180)</f>
        <v/>
      </c>
      <c r="BK180" s="138" t="str">
        <f aca="false">IF($BZ180&lt;&gt;Constants!$B$8,"",IF($AL180,$AN180,""))</f>
        <v/>
      </c>
      <c r="BL180" s="140" t="str">
        <f aca="false">IF($BZ180&lt;&gt;Constants!$B$8,"",$AI180)</f>
        <v/>
      </c>
      <c r="BM180" s="135" t="str">
        <f aca="false">IF($BZ180&lt;&gt;Constants!$B$8,"",IF(OR($BT180&lt;$BH180,AND($BT180=$BH180,OR($BU180&lt;$BI180,AND($BU180=$BI180,OR($BV180&lt;$BJ180,AND($BV180=$BJ180,OR(AND(ISNUMBER($BW180),OR(NOT(ISNUMBER($BK180)),$BW180&lt;$BK180)),AND(OR(AND($BW180="",$BK180=""),AND(ISNUMBER($BW180),ISNUMBER($BK180),$BW180=$BK180)),$BX180&lt;$BL180)))))))),"-&gt;","&lt;-"))</f>
        <v/>
      </c>
      <c r="BN180" s="134" t="str">
        <f aca="false">IF(ISBLANK($C180),"",AND($AT180,OR($AU180="",$AV180="",AND($AW180,$AX180=""))))</f>
        <v/>
      </c>
      <c r="BO180" s="137" t="str">
        <f aca="false">IF($BZ180&lt;&gt;Constants!$B$8,"",IF($AT180,Constants!$B$21*$AV180+Constants!$B$22*IF($AW180,$AX180,Constants!$B$23),Constants!$B$24))</f>
        <v/>
      </c>
      <c r="BP180" s="138" t="str">
        <f aca="false">IF($BZ180&lt;&gt;Constants!$B$8,"",Constants!$B$25*ABS($AD$9-IF($AT180,$AU180,0)))</f>
        <v/>
      </c>
      <c r="BQ180" s="138" t="str">
        <f aca="false">IF($BZ180&lt;&gt;Constants!$B$8,"",IF(AND($AT180,$AY180,$AW180),Constants!$B$27,0))</f>
        <v/>
      </c>
      <c r="BR180" s="138" t="str">
        <f aca="false">IF($BZ180&lt;&gt;Constants!$B$8,"",IF($AT180,($AI180-Constants!$B$29)*Constants!$B$28,0))</f>
        <v/>
      </c>
      <c r="BS180" s="138" t="str">
        <f aca="false">IF($BZ180&lt;&gt;Constants!$B$8,"",IF($AS180,0,Constants!$B$15)+IF($AR180,0,Constants!$B$16)+IF($AH180,0,Constants!$B$17))</f>
        <v/>
      </c>
      <c r="BT180" s="139" t="str">
        <f aca="false">IF($BZ180&lt;&gt;Constants!$B$8,"",Constants!$B$20+SUM($BO180:$BS180))</f>
        <v/>
      </c>
      <c r="BU180" s="138" t="str">
        <f aca="false">IF($BZ180&lt;&gt;Constants!$B$8,"",$BO180)</f>
        <v/>
      </c>
      <c r="BV180" s="138" t="str">
        <f aca="false">IF($BZ180&lt;&gt;Constants!$B$8,"",$BP180)</f>
        <v/>
      </c>
      <c r="BW180" s="138" t="str">
        <f aca="false">IF($BZ180&lt;&gt;Constants!$B$8,"",IF($AT180,$AV180,""))</f>
        <v/>
      </c>
      <c r="BX180" s="140" t="str">
        <f aca="false">IF($BZ180&lt;&gt;Constants!$B$8,"",$AI180)</f>
        <v/>
      </c>
      <c r="BY180" s="135" t="str">
        <f aca="false">IF(ISBLANK($C180),"",IF(ISBLANK($D$7),$BY$5,IF(NOT(ISNUMBER($D$7)),$BY$6,"")))</f>
        <v/>
      </c>
      <c r="BZ180" s="135" t="str">
        <f aca="false">IF(ISBLANK($C180),"",IF($BA180,Constants!$B$11,IF(COUNTA($E180:$AA180)=0,Constants!$B$10,IF(NOT($AG180),Constants!$B$9,IF(OR($BY180&lt;&gt;"",$BB180,$BN180),Constants!$B$12,Constants!$B$8)))))</f>
        <v/>
      </c>
      <c r="CA180" s="135" t="str">
        <f aca="false">IF(ISBLANK($C180),"",IF($BZ180&lt;&gt;Constants!$B$8,$BZ180,Constants!$B$13))</f>
        <v/>
      </c>
      <c r="CB180" s="138" t="str">
        <f aca="false">IF($BZ180&lt;&gt;Constants!$B$8,"",IF($BM180="-&gt;",$BT180,$BH180))</f>
        <v/>
      </c>
      <c r="CC180" s="138" t="str">
        <f aca="false">IF($BZ180&lt;&gt;Constants!$B$8,"",IF($AF180,0,Constants!$B$18))</f>
        <v/>
      </c>
      <c r="CD180" s="138" t="str">
        <f aca="false">IF($BZ180&lt;&gt;Constants!$B$8,"",((Constants!$B$31-$AZ180)-Constants!$B$31)/Constants!$B$32)</f>
        <v/>
      </c>
      <c r="CE180" s="138" t="str">
        <f aca="false">IF(ISBLANK($C180),"",IF($BZ180&lt;&gt;Constants!$B$8,$BZ180,SUM($CB180:$CD180)))</f>
        <v/>
      </c>
      <c r="CF180" s="135" t="str">
        <f aca="false">IF(ISBLANK($C180),"",IF($BZ180&lt;&gt;Constants!$B$8,$BZ180,RANK($CE180,$CE$9:$CE$508,1)))</f>
        <v/>
      </c>
      <c r="CG180" s="138" t="str">
        <f aca="false">IF($BZ180&lt;&gt;Constants!$B$8,"",IF($BM180="-&gt;",$BU180,$BI180))</f>
        <v/>
      </c>
      <c r="CH180" s="135" t="str">
        <f aca="false">IF(ISBLANK($C180),"",IF($BZ180&lt;&gt;Constants!$B$8,$BZ180,IF(ISNUMBER($CG180),RANK($CG180,$CG$9:$CG$508,1),COUNT($CG$9:$CG$508)+1)))</f>
        <v/>
      </c>
      <c r="CI180" s="138" t="str">
        <f aca="false">IF($BZ180&lt;&gt;Constants!$B$8,"",IF($BM180="-&gt;",$BV180,$BJ180))</f>
        <v/>
      </c>
      <c r="CJ180" s="135" t="str">
        <f aca="false">IF(ISBLANK($C180),"",IF($BZ180&lt;&gt;Constants!$B$8,$BZ180,IF(ISNUMBER($CI180),RANK($CI180,$CI$9:$CI$508,1),COUNT($CI$9:$CI$508)+1)))</f>
        <v/>
      </c>
      <c r="CK180" s="138" t="str">
        <f aca="false">IF($BZ180&lt;&gt;Constants!$B$8,"",IF($BM180="-&gt;",$BW180,$BK180))</f>
        <v/>
      </c>
      <c r="CL180" s="135" t="str">
        <f aca="false">IF(ISBLANK($C180),"",IF($BZ180&lt;&gt;Constants!$B$8,$BZ180,IF(ISNUMBER($CK180),RANK($CK180,$CK$9:$CK$508,1),COUNT($CK$9:$CK$508)+1)))</f>
        <v/>
      </c>
      <c r="CM180" s="138" t="str">
        <f aca="false">IF($BZ180&lt;&gt;Constants!$B$8,"",IF(AND(NOT($AL180),NOT($AT180),$AJ180,$AK180,$AR180,$AS180),"",IF($BM180="-&gt;",$BX180,$BL180)))</f>
        <v/>
      </c>
      <c r="CN180" s="135" t="str">
        <f aca="false">IF(ISBLANK($C180),"",IF($BZ180&lt;&gt;Constants!$B$8,$BZ180,IF(ISNUMBER($CM180),RANK($CM180,$CM$9:$CM$508,1),COUNT($CM$9:$CM$508)+1)))</f>
        <v/>
      </c>
      <c r="CO180" s="135" t="str">
        <f aca="false">IF(ISBLANK($C180),"",IF($BZ180&lt;&gt;Constants!$B$8,$BZ180,COUNTIFS($CF$9:$CF$508,"&lt;"&amp;$CF180)+COUNTIFS($CF$9:$CF$508,$CF180,$CH$9:$CH$508,"&lt;"&amp;$CH180)+COUNTIFS($CF$9:$CF$508,$CF180,$CH$9:$CH$508,$CH180,$CJ$9:$CJ$508,"&lt;"&amp;$CJ180)+COUNTIFS($CF$9:$CF$508,$CF180,$CH$9:$CH$508,$CH180,$CJ$9:$CJ$508,$CJ180,$CL$9:$CL$508,"&lt;"&amp;$CL180)+COUNTIFS($CF$9:$CF$508,$CF180,$CH$9:$CH$508,$CH180,$CJ$9:$CJ$508,$CJ180,$CL$9:$CL$508,$CL180,$CN$9:$CN$508,"&lt;"&amp;$CN180)+1))</f>
        <v/>
      </c>
      <c r="CP180" s="135" t="str">
        <f aca="false">IF(ISBLANK($C180),"",IF($BZ180&lt;&gt;Constants!$B$8,$BZ180,$CF180-$CO180))</f>
        <v/>
      </c>
      <c r="CQ180" s="141"/>
      <c r="CR180" s="142"/>
      <c r="CS180" s="143" t="str">
        <f aca="false">IF(ISBLANK($C180),"",IF($BZ180=Constants!$B$12,$BY180,""))</f>
        <v/>
      </c>
      <c r="CT180" s="142" t="str">
        <f aca="false">IF(ISBLANK($C180),"",IF($BZ180&lt;&gt;Constants!$B$8,"",IF($BM180="-&gt;",2,1)))</f>
        <v/>
      </c>
      <c r="CU180" s="144" t="str">
        <f aca="false">IF(ISBLANK($C180),"",IF($BZ180&lt;&gt;Constants!$B$8,"",IF($BM180="-&gt;",$BO180,$BC180)))</f>
        <v/>
      </c>
      <c r="CV180" s="144" t="str">
        <f aca="false">IF(ISBLANK($C180),"",IF($BZ180&lt;&gt;Constants!$B$8,"",IF($BM180="-&gt;",$BP180,$BD180)))</f>
        <v/>
      </c>
      <c r="CW180" s="144" t="str">
        <f aca="false">IF(ISBLANK($C180),"",IF($BZ180&lt;&gt;Constants!$B$8,"",IF($BM180="-&gt;",$BQ180+$BR180,$BE180+$BF180)+$CD180))</f>
        <v/>
      </c>
      <c r="CX180" s="144" t="str">
        <f aca="false">IF(ISBLANK($C180),"",IF($BZ180&lt;&gt;Constants!$B$8,"",IF($BM180="-&gt;",$BS180,$BG180)+$CC180))</f>
        <v/>
      </c>
      <c r="CY180" s="145" t="str">
        <f aca="false">IF(ISBLANK($C180),"",IF($BZ180&lt;&gt;Constants!$B$8,$BZ180,$CE180))</f>
        <v/>
      </c>
      <c r="CZ180" s="146" t="str">
        <f aca="false">IF(ISBLANK($C180),"",$CA180)</f>
        <v/>
      </c>
      <c r="DA180" s="147" t="str">
        <f aca="false">IF(ISBLANK($C180),"",$CP180)</f>
        <v/>
      </c>
      <c r="DB180" s="147" t="str">
        <f aca="false">IF(ISBLANK($C180),"",$CO180)</f>
        <v/>
      </c>
      <c r="DC180" s="148" t="str">
        <f aca="false">IF(ISBLANK($C180),"",IFERROR(_xlfn.SWITCH($DB180,Constants!$B$11,COUNTA($C$9:$C$508)+2,Constants!$B$10,COUNTA($C$9:$C$508)+1,Constants!$B$9,COUNTA($C$9:$C$508)),$DB180))</f>
        <v/>
      </c>
      <c r="DD180" s="9"/>
      <c r="DE180" s="149" t="n">
        <f aca="false">IF(OR(ISNUMBER($DB180),$DB180=Constants!$B$11,$DB180=Constants!$B$9,$DB180=Constants!$B$10),1,0)</f>
        <v>0</v>
      </c>
      <c r="DF180" s="149" t="n">
        <v>172</v>
      </c>
      <c r="DG180" s="149" t="str">
        <f aca="false">IF(ISBLANK($C180),"",IF(ISNUMBER($DC180),$DC180+ROW($B180)/1000,""))</f>
        <v/>
      </c>
      <c r="DH180" s="149" t="str">
        <f aca="false">IF(ISNUMBER($DG180),RANK($DG180,$DG$9:$DG$508,1),"")</f>
        <v/>
      </c>
      <c r="DI180" s="149" t="str">
        <f aca="false">IF(ISBLANK($C180),"",$B180)</f>
        <v/>
      </c>
      <c r="DJ180" s="149" t="str">
        <f aca="false">IF(ISBLANK($C180),"",$C180)</f>
        <v/>
      </c>
      <c r="DK180" s="149" t="str">
        <f aca="false">IF(ISBLANK($C180),"",$D180)</f>
        <v/>
      </c>
      <c r="DL180" s="150" t="str">
        <f aca="false">$CZ180</f>
        <v/>
      </c>
      <c r="DM180" s="151" t="str">
        <f aca="false">$CY180</f>
        <v/>
      </c>
      <c r="DN180" s="149" t="str">
        <f aca="false">IF(ISBLANK($C180),"",$DB180)</f>
        <v/>
      </c>
      <c r="DO180" s="152" t="str">
        <f aca="false">IF($DF180&gt;$DE$8,"",VLOOKUP($DF180,$DH$9:$DN$508,7,FALSE()))</f>
        <v/>
      </c>
      <c r="DP180" s="153" t="str">
        <f aca="false">IF($DF180&gt;$DE$8,"",VLOOKUP($DF180,$DH$9:$DN$508,2,FALSE()))</f>
        <v/>
      </c>
      <c r="DQ180" s="153" t="str">
        <f aca="false">IF($DF180&gt;$DE$8,"",VLOOKUP($DF180,$DH$9:$DN$508,3,FALSE()))</f>
        <v/>
      </c>
      <c r="DR180" s="153" t="str">
        <f aca="false">IF($DF180&gt;$DE$8,"",VLOOKUP($DF180,$DH$9:$DN$508,4,FALSE()))</f>
        <v/>
      </c>
      <c r="DS180" s="153" t="str">
        <f aca="false">IF($DF180&gt;$DE$8,"",VLOOKUP($DF180,$DH$9:$DN$508,5,FALSE()))</f>
        <v/>
      </c>
      <c r="DT180" s="154" t="str">
        <f aca="false">IF($DF180&gt;$DE$8,"",VLOOKUP($DF180,$DH$9:$DN$508,6,FALSE()))</f>
        <v/>
      </c>
      <c r="DU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IF(ISBLANK($C181),"",IF(E181=Constants!$B$3,TRUE(),IF(E181=Constants!$B$4,FALSE(),TRUE())))</f>
        <v/>
      </c>
      <c r="AG181" s="135" t="str">
        <f aca="false">IF(ISBLANK($C181),"",IF(F181=Constants!$B$3,TRUE(),IF(F181=Constants!$B$4,FALSE(),TRUE())))</f>
        <v/>
      </c>
      <c r="AH181" s="135" t="str">
        <f aca="false">IF(ISBLANK($C181),"",IF(G181=Constants!$B$3,TRUE(),IF(G181=Constants!$B$4,FALSE(),TRUE())))</f>
        <v/>
      </c>
      <c r="AI181" s="135" t="str">
        <f aca="false">IF(ISBLANK($C181),"",IF(AND(ISNUMBER(H181),H181&gt;=0),H181,Constants!$B$29))</f>
        <v/>
      </c>
      <c r="AJ181" s="135" t="str">
        <f aca="false">IF(ISBLANK($C181),"",IF(I181=Constants!$B$3,TRUE(),IF(I181=Constants!$B$4,FALSE(),TRUE())))</f>
        <v/>
      </c>
      <c r="AK181" s="135" t="str">
        <f aca="false">IF(ISBLANK($C181),"",IF(J181=Constants!$B$3,TRUE(),IF(J181=Constants!$B$4,FALSE(),TRUE())))</f>
        <v/>
      </c>
      <c r="AL181" s="135" t="str">
        <f aca="false">IF(ISBLANK($C181),"",IF(K181=Constants!$B$5,TRUE(),IF(K181=Constants!$B$6,FALSE(),COUNTA(L181:P181)&gt;0)))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IF(ISBLANK($C181),"",IF(N181=Constants!$B$3,TRUE(),IF(N181=Constants!$B$4,FALSE(),TRUE())))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IF(ISBLANK($C181),"",IF(P181=Constants!$B$3,TRUE(),IF(P181=Constants!$B$4,FALSE(),FALSE())))</f>
        <v/>
      </c>
      <c r="AR181" s="135" t="str">
        <f aca="false">IF(ISBLANK($C181),"",IF(Q181=Constants!$B$3,TRUE(),IF(Q181=Constants!$B$4,FALSE(),TRUE())))</f>
        <v/>
      </c>
      <c r="AS181" s="135" t="str">
        <f aca="false">IF(ISBLANK($C181),"",IF(R181=Constants!$B$3,TRUE(),IF(R181=Constants!$B$4,FALSE(),TRUE())))</f>
        <v/>
      </c>
      <c r="AT181" s="135" t="str">
        <f aca="false">IF(ISBLANK($C181),"",IF(S181=Constants!$B$5,TRUE(),IF(S181=Constants!$B$6,FALSE(),COUNTA(T181:X181)&gt;0)))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IF(ISBLANK($C181),"",IF(V181=Constants!$B$3,TRUE(),IF(V181=Constants!$B$4,FALSE(),TRUE())))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IF(ISBLANK($C181),"",IF(X181=Constants!$B$3,TRUE(),IF(X181=Constants!$B$4,FALSE(),FALSE())))</f>
        <v/>
      </c>
      <c r="AZ181" s="135" t="str">
        <f aca="false">IF(ISBLANK($C181),"",MIN(Constants!$B$31,MAX(0,IF(ISNUMBER(Y181),Y181*60,0)+IF(ISNUMBER(Z181),Z181,0))))</f>
        <v/>
      </c>
      <c r="BA181" s="135" t="str">
        <f aca="false">IF(ISBLANK($C181),"",IF(AA181=Constants!$B$3,TRUE(),IF(AA181=Constants!$B$4,FALSE(),FALSE())))</f>
        <v/>
      </c>
      <c r="BB181" s="134" t="str">
        <f aca="false">IF(ISBLANK($C181),"",AND($AL181,OR($AM181="",$AN181="",AND($AO181,$AP181=""))))</f>
        <v/>
      </c>
      <c r="BC181" s="137" t="str">
        <f aca="false">IF($BZ181&lt;&gt;Constants!$B$8,"",IF($AL181,Constants!$B$21*$AN181+Constants!$B$22*IF($AO181,$AP181,Constants!$B$23),Constants!$B$24))</f>
        <v/>
      </c>
      <c r="BD181" s="138" t="str">
        <f aca="false">IF($BZ181&lt;&gt;Constants!$B$8,"",Constants!$B$25*ABS($AD$9-IF($AL181,$AM181,0)))</f>
        <v/>
      </c>
      <c r="BE181" s="138" t="str">
        <f aca="false">IF($BZ181&lt;&gt;Constants!$B$8,"",IF(AND($AL181,$AQ181,$AO181),Constants!$B$27,0))</f>
        <v/>
      </c>
      <c r="BF181" s="138" t="str">
        <f aca="false">IF($BZ181&lt;&gt;Constants!$B$8,"",IF($AL181,($AI181-Constants!$B$29)*Constants!$B$28,0))</f>
        <v/>
      </c>
      <c r="BG181" s="138" t="str">
        <f aca="false">IF($BZ181&lt;&gt;Constants!$B$8,"",IF($AK181,0,Constants!$B$15)+IF($AJ181,0,Constants!$B$16)+IF($AH181,0,Constants!$B$17))</f>
        <v/>
      </c>
      <c r="BH181" s="139" t="str">
        <f aca="false">IF($BZ181&lt;&gt;Constants!$B$8,"",Constants!$B$20+SUM($BC181:$BG181))</f>
        <v/>
      </c>
      <c r="BI181" s="138" t="str">
        <f aca="false">IF($BZ181&lt;&gt;Constants!$B$8,"",$BC181)</f>
        <v/>
      </c>
      <c r="BJ181" s="138" t="str">
        <f aca="false">IF($BZ181&lt;&gt;Constants!$B$8,"",$BD181)</f>
        <v/>
      </c>
      <c r="BK181" s="138" t="str">
        <f aca="false">IF($BZ181&lt;&gt;Constants!$B$8,"",IF($AL181,$AN181,""))</f>
        <v/>
      </c>
      <c r="BL181" s="140" t="str">
        <f aca="false">IF($BZ181&lt;&gt;Constants!$B$8,"",$AI181)</f>
        <v/>
      </c>
      <c r="BM181" s="135" t="str">
        <f aca="false">IF($BZ181&lt;&gt;Constants!$B$8,"",IF(OR($BT181&lt;$BH181,AND($BT181=$BH181,OR($BU181&lt;$BI181,AND($BU181=$BI181,OR($BV181&lt;$BJ181,AND($BV181=$BJ181,OR(AND(ISNUMBER($BW181),OR(NOT(ISNUMBER($BK181)),$BW181&lt;$BK181)),AND(OR(AND($BW181="",$BK181=""),AND(ISNUMBER($BW181),ISNUMBER($BK181),$BW181=$BK181)),$BX181&lt;$BL181)))))))),"-&gt;","&lt;-"))</f>
        <v/>
      </c>
      <c r="BN181" s="134" t="str">
        <f aca="false">IF(ISBLANK($C181),"",AND($AT181,OR($AU181="",$AV181="",AND($AW181,$AX181=""))))</f>
        <v/>
      </c>
      <c r="BO181" s="137" t="str">
        <f aca="false">IF($BZ181&lt;&gt;Constants!$B$8,"",IF($AT181,Constants!$B$21*$AV181+Constants!$B$22*IF($AW181,$AX181,Constants!$B$23),Constants!$B$24))</f>
        <v/>
      </c>
      <c r="BP181" s="138" t="str">
        <f aca="false">IF($BZ181&lt;&gt;Constants!$B$8,"",Constants!$B$25*ABS($AD$9-IF($AT181,$AU181,0)))</f>
        <v/>
      </c>
      <c r="BQ181" s="138" t="str">
        <f aca="false">IF($BZ181&lt;&gt;Constants!$B$8,"",IF(AND($AT181,$AY181,$AW181),Constants!$B$27,0))</f>
        <v/>
      </c>
      <c r="BR181" s="138" t="str">
        <f aca="false">IF($BZ181&lt;&gt;Constants!$B$8,"",IF($AT181,($AI181-Constants!$B$29)*Constants!$B$28,0))</f>
        <v/>
      </c>
      <c r="BS181" s="138" t="str">
        <f aca="false">IF($BZ181&lt;&gt;Constants!$B$8,"",IF($AS181,0,Constants!$B$15)+IF($AR181,0,Constants!$B$16)+IF($AH181,0,Constants!$B$17))</f>
        <v/>
      </c>
      <c r="BT181" s="139" t="str">
        <f aca="false">IF($BZ181&lt;&gt;Constants!$B$8,"",Constants!$B$20+SUM($BO181:$BS181))</f>
        <v/>
      </c>
      <c r="BU181" s="138" t="str">
        <f aca="false">IF($BZ181&lt;&gt;Constants!$B$8,"",$BO181)</f>
        <v/>
      </c>
      <c r="BV181" s="138" t="str">
        <f aca="false">IF($BZ181&lt;&gt;Constants!$B$8,"",$BP181)</f>
        <v/>
      </c>
      <c r="BW181" s="138" t="str">
        <f aca="false">IF($BZ181&lt;&gt;Constants!$B$8,"",IF($AT181,$AV181,""))</f>
        <v/>
      </c>
      <c r="BX181" s="140" t="str">
        <f aca="false">IF($BZ181&lt;&gt;Constants!$B$8,"",$AI181)</f>
        <v/>
      </c>
      <c r="BY181" s="135" t="str">
        <f aca="false">IF(ISBLANK($C181),"",IF(ISBLANK($D$7),$BY$5,IF(NOT(ISNUMBER($D$7)),$BY$6,"")))</f>
        <v/>
      </c>
      <c r="BZ181" s="135" t="str">
        <f aca="false">IF(ISBLANK($C181),"",IF($BA181,Constants!$B$11,IF(COUNTA($E181:$AA181)=0,Constants!$B$10,IF(NOT($AG181),Constants!$B$9,IF(OR($BY181&lt;&gt;"",$BB181,$BN181),Constants!$B$12,Constants!$B$8)))))</f>
        <v/>
      </c>
      <c r="CA181" s="135" t="str">
        <f aca="false">IF(ISBLANK($C181),"",IF($BZ181&lt;&gt;Constants!$B$8,$BZ181,Constants!$B$13))</f>
        <v/>
      </c>
      <c r="CB181" s="138" t="str">
        <f aca="false">IF($BZ181&lt;&gt;Constants!$B$8,"",IF($BM181="-&gt;",$BT181,$BH181))</f>
        <v/>
      </c>
      <c r="CC181" s="138" t="str">
        <f aca="false">IF($BZ181&lt;&gt;Constants!$B$8,"",IF($AF181,0,Constants!$B$18))</f>
        <v/>
      </c>
      <c r="CD181" s="138" t="str">
        <f aca="false">IF($BZ181&lt;&gt;Constants!$B$8,"",((Constants!$B$31-$AZ181)-Constants!$B$31)/Constants!$B$32)</f>
        <v/>
      </c>
      <c r="CE181" s="138" t="str">
        <f aca="false">IF(ISBLANK($C181),"",IF($BZ181&lt;&gt;Constants!$B$8,$BZ181,SUM($CB181:$CD181)))</f>
        <v/>
      </c>
      <c r="CF181" s="135" t="str">
        <f aca="false">IF(ISBLANK($C181),"",IF($BZ181&lt;&gt;Constants!$B$8,$BZ181,RANK($CE181,$CE$9:$CE$508,1)))</f>
        <v/>
      </c>
      <c r="CG181" s="138" t="str">
        <f aca="false">IF($BZ181&lt;&gt;Constants!$B$8,"",IF($BM181="-&gt;",$BU181,$BI181))</f>
        <v/>
      </c>
      <c r="CH181" s="135" t="str">
        <f aca="false">IF(ISBLANK($C181),"",IF($BZ181&lt;&gt;Constants!$B$8,$BZ181,IF(ISNUMBER($CG181),RANK($CG181,$CG$9:$CG$508,1),COUNT($CG$9:$CG$508)+1)))</f>
        <v/>
      </c>
      <c r="CI181" s="138" t="str">
        <f aca="false">IF($BZ181&lt;&gt;Constants!$B$8,"",IF($BM181="-&gt;",$BV181,$BJ181))</f>
        <v/>
      </c>
      <c r="CJ181" s="135" t="str">
        <f aca="false">IF(ISBLANK($C181),"",IF($BZ181&lt;&gt;Constants!$B$8,$BZ181,IF(ISNUMBER($CI181),RANK($CI181,$CI$9:$CI$508,1),COUNT($CI$9:$CI$508)+1)))</f>
        <v/>
      </c>
      <c r="CK181" s="138" t="str">
        <f aca="false">IF($BZ181&lt;&gt;Constants!$B$8,"",IF($BM181="-&gt;",$BW181,$BK181))</f>
        <v/>
      </c>
      <c r="CL181" s="135" t="str">
        <f aca="false">IF(ISBLANK($C181),"",IF($BZ181&lt;&gt;Constants!$B$8,$BZ181,IF(ISNUMBER($CK181),RANK($CK181,$CK$9:$CK$508,1),COUNT($CK$9:$CK$508)+1)))</f>
        <v/>
      </c>
      <c r="CM181" s="138" t="str">
        <f aca="false">IF($BZ181&lt;&gt;Constants!$B$8,"",IF(AND(NOT($AL181),NOT($AT181),$AJ181,$AK181,$AR181,$AS181),"",IF($BM181="-&gt;",$BX181,$BL181)))</f>
        <v/>
      </c>
      <c r="CN181" s="135" t="str">
        <f aca="false">IF(ISBLANK($C181),"",IF($BZ181&lt;&gt;Constants!$B$8,$BZ181,IF(ISNUMBER($CM181),RANK($CM181,$CM$9:$CM$508,1),COUNT($CM$9:$CM$508)+1)))</f>
        <v/>
      </c>
      <c r="CO181" s="135" t="str">
        <f aca="false">IF(ISBLANK($C181),"",IF($BZ181&lt;&gt;Constants!$B$8,$BZ181,COUNTIFS($CF$9:$CF$508,"&lt;"&amp;$CF181)+COUNTIFS($CF$9:$CF$508,$CF181,$CH$9:$CH$508,"&lt;"&amp;$CH181)+COUNTIFS($CF$9:$CF$508,$CF181,$CH$9:$CH$508,$CH181,$CJ$9:$CJ$508,"&lt;"&amp;$CJ181)+COUNTIFS($CF$9:$CF$508,$CF181,$CH$9:$CH$508,$CH181,$CJ$9:$CJ$508,$CJ181,$CL$9:$CL$508,"&lt;"&amp;$CL181)+COUNTIFS($CF$9:$CF$508,$CF181,$CH$9:$CH$508,$CH181,$CJ$9:$CJ$508,$CJ181,$CL$9:$CL$508,$CL181,$CN$9:$CN$508,"&lt;"&amp;$CN181)+1))</f>
        <v/>
      </c>
      <c r="CP181" s="135" t="str">
        <f aca="false">IF(ISBLANK($C181),"",IF($BZ181&lt;&gt;Constants!$B$8,$BZ181,$CF181-$CO181))</f>
        <v/>
      </c>
      <c r="CQ181" s="141"/>
      <c r="CR181" s="142"/>
      <c r="CS181" s="143" t="str">
        <f aca="false">IF(ISBLANK($C181),"",IF($BZ181=Constants!$B$12,$BY181,""))</f>
        <v/>
      </c>
      <c r="CT181" s="142" t="str">
        <f aca="false">IF(ISBLANK($C181),"",IF($BZ181&lt;&gt;Constants!$B$8,"",IF($BM181="-&gt;",2,1)))</f>
        <v/>
      </c>
      <c r="CU181" s="144" t="str">
        <f aca="false">IF(ISBLANK($C181),"",IF($BZ181&lt;&gt;Constants!$B$8,"",IF($BM181="-&gt;",$BO181,$BC181)))</f>
        <v/>
      </c>
      <c r="CV181" s="144" t="str">
        <f aca="false">IF(ISBLANK($C181),"",IF($BZ181&lt;&gt;Constants!$B$8,"",IF($BM181="-&gt;",$BP181,$BD181)))</f>
        <v/>
      </c>
      <c r="CW181" s="144" t="str">
        <f aca="false">IF(ISBLANK($C181),"",IF($BZ181&lt;&gt;Constants!$B$8,"",IF($BM181="-&gt;",$BQ181+$BR181,$BE181+$BF181)+$CD181))</f>
        <v/>
      </c>
      <c r="CX181" s="144" t="str">
        <f aca="false">IF(ISBLANK($C181),"",IF($BZ181&lt;&gt;Constants!$B$8,"",IF($BM181="-&gt;",$BS181,$BG181)+$CC181))</f>
        <v/>
      </c>
      <c r="CY181" s="145" t="str">
        <f aca="false">IF(ISBLANK($C181),"",IF($BZ181&lt;&gt;Constants!$B$8,$BZ181,$CE181))</f>
        <v/>
      </c>
      <c r="CZ181" s="146" t="str">
        <f aca="false">IF(ISBLANK($C181),"",$CA181)</f>
        <v/>
      </c>
      <c r="DA181" s="147" t="str">
        <f aca="false">IF(ISBLANK($C181),"",$CP181)</f>
        <v/>
      </c>
      <c r="DB181" s="147" t="str">
        <f aca="false">IF(ISBLANK($C181),"",$CO181)</f>
        <v/>
      </c>
      <c r="DC181" s="148" t="str">
        <f aca="false">IF(ISBLANK($C181),"",IFERROR(_xlfn.SWITCH($DB181,Constants!$B$11,COUNTA($C$9:$C$508)+2,Constants!$B$10,COUNTA($C$9:$C$508)+1,Constants!$B$9,COUNTA($C$9:$C$508)),$DB181))</f>
        <v/>
      </c>
      <c r="DD181" s="9"/>
      <c r="DE181" s="149" t="n">
        <f aca="false">IF(OR(ISNUMBER($DB181),$DB181=Constants!$B$11,$DB181=Constants!$B$9,$DB181=Constants!$B$10),1,0)</f>
        <v>0</v>
      </c>
      <c r="DF181" s="149" t="n">
        <v>173</v>
      </c>
      <c r="DG181" s="149" t="str">
        <f aca="false">IF(ISBLANK($C181),"",IF(ISNUMBER($DC181),$DC181+ROW($B181)/1000,""))</f>
        <v/>
      </c>
      <c r="DH181" s="149" t="str">
        <f aca="false">IF(ISNUMBER($DG181),RANK($DG181,$DG$9:$DG$508,1),"")</f>
        <v/>
      </c>
      <c r="DI181" s="149" t="str">
        <f aca="false">IF(ISBLANK($C181),"",$B181)</f>
        <v/>
      </c>
      <c r="DJ181" s="149" t="str">
        <f aca="false">IF(ISBLANK($C181),"",$C181)</f>
        <v/>
      </c>
      <c r="DK181" s="149" t="str">
        <f aca="false">IF(ISBLANK($C181),"",$D181)</f>
        <v/>
      </c>
      <c r="DL181" s="150" t="str">
        <f aca="false">$CZ181</f>
        <v/>
      </c>
      <c r="DM181" s="151" t="str">
        <f aca="false">$CY181</f>
        <v/>
      </c>
      <c r="DN181" s="149" t="str">
        <f aca="false">IF(ISBLANK($C181),"",$DB181)</f>
        <v/>
      </c>
      <c r="DO181" s="152" t="str">
        <f aca="false">IF($DF181&gt;$DE$8,"",VLOOKUP($DF181,$DH$9:$DN$508,7,FALSE()))</f>
        <v/>
      </c>
      <c r="DP181" s="153" t="str">
        <f aca="false">IF($DF181&gt;$DE$8,"",VLOOKUP($DF181,$DH$9:$DN$508,2,FALSE()))</f>
        <v/>
      </c>
      <c r="DQ181" s="153" t="str">
        <f aca="false">IF($DF181&gt;$DE$8,"",VLOOKUP($DF181,$DH$9:$DN$508,3,FALSE()))</f>
        <v/>
      </c>
      <c r="DR181" s="153" t="str">
        <f aca="false">IF($DF181&gt;$DE$8,"",VLOOKUP($DF181,$DH$9:$DN$508,4,FALSE()))</f>
        <v/>
      </c>
      <c r="DS181" s="153" t="str">
        <f aca="false">IF($DF181&gt;$DE$8,"",VLOOKUP($DF181,$DH$9:$DN$508,5,FALSE()))</f>
        <v/>
      </c>
      <c r="DT181" s="154" t="str">
        <f aca="false">IF($DF181&gt;$DE$8,"",VLOOKUP($DF181,$DH$9:$DN$508,6,FALSE()))</f>
        <v/>
      </c>
      <c r="DU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IF(ISBLANK($C182),"",IF(E182=Constants!$B$3,TRUE(),IF(E182=Constants!$B$4,FALSE(),TRUE())))</f>
        <v/>
      </c>
      <c r="AG182" s="135" t="str">
        <f aca="false">IF(ISBLANK($C182),"",IF(F182=Constants!$B$3,TRUE(),IF(F182=Constants!$B$4,FALSE(),TRUE())))</f>
        <v/>
      </c>
      <c r="AH182" s="135" t="str">
        <f aca="false">IF(ISBLANK($C182),"",IF(G182=Constants!$B$3,TRUE(),IF(G182=Constants!$B$4,FALSE(),TRUE())))</f>
        <v/>
      </c>
      <c r="AI182" s="135" t="str">
        <f aca="false">IF(ISBLANK($C182),"",IF(AND(ISNUMBER(H182),H182&gt;=0),H182,Constants!$B$29))</f>
        <v/>
      </c>
      <c r="AJ182" s="135" t="str">
        <f aca="false">IF(ISBLANK($C182),"",IF(I182=Constants!$B$3,TRUE(),IF(I182=Constants!$B$4,FALSE(),TRUE())))</f>
        <v/>
      </c>
      <c r="AK182" s="135" t="str">
        <f aca="false">IF(ISBLANK($C182),"",IF(J182=Constants!$B$3,TRUE(),IF(J182=Constants!$B$4,FALSE(),TRUE())))</f>
        <v/>
      </c>
      <c r="AL182" s="135" t="str">
        <f aca="false">IF(ISBLANK($C182),"",IF(K182=Constants!$B$5,TRUE(),IF(K182=Constants!$B$6,FALSE(),COUNTA(L182:P182)&gt;0)))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IF(ISBLANK($C182),"",IF(N182=Constants!$B$3,TRUE(),IF(N182=Constants!$B$4,FALSE(),TRUE())))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IF(ISBLANK($C182),"",IF(P182=Constants!$B$3,TRUE(),IF(P182=Constants!$B$4,FALSE(),FALSE())))</f>
        <v/>
      </c>
      <c r="AR182" s="135" t="str">
        <f aca="false">IF(ISBLANK($C182),"",IF(Q182=Constants!$B$3,TRUE(),IF(Q182=Constants!$B$4,FALSE(),TRUE())))</f>
        <v/>
      </c>
      <c r="AS182" s="135" t="str">
        <f aca="false">IF(ISBLANK($C182),"",IF(R182=Constants!$B$3,TRUE(),IF(R182=Constants!$B$4,FALSE(),TRUE())))</f>
        <v/>
      </c>
      <c r="AT182" s="135" t="str">
        <f aca="false">IF(ISBLANK($C182),"",IF(S182=Constants!$B$5,TRUE(),IF(S182=Constants!$B$6,FALSE(),COUNTA(T182:X182)&gt;0)))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IF(ISBLANK($C182),"",IF(V182=Constants!$B$3,TRUE(),IF(V182=Constants!$B$4,FALSE(),TRUE())))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IF(ISBLANK($C182),"",IF(X182=Constants!$B$3,TRUE(),IF(X182=Constants!$B$4,FALSE(),FALSE())))</f>
        <v/>
      </c>
      <c r="AZ182" s="135" t="str">
        <f aca="false">IF(ISBLANK($C182),"",MIN(Constants!$B$31,MAX(0,IF(ISNUMBER(Y182),Y182*60,0)+IF(ISNUMBER(Z182),Z182,0))))</f>
        <v/>
      </c>
      <c r="BA182" s="135" t="str">
        <f aca="false">IF(ISBLANK($C182),"",IF(AA182=Constants!$B$3,TRUE(),IF(AA182=Constants!$B$4,FALSE(),FALSE())))</f>
        <v/>
      </c>
      <c r="BB182" s="134" t="str">
        <f aca="false">IF(ISBLANK($C182),"",AND($AL182,OR($AM182="",$AN182="",AND($AO182,$AP182=""))))</f>
        <v/>
      </c>
      <c r="BC182" s="137" t="str">
        <f aca="false">IF($BZ182&lt;&gt;Constants!$B$8,"",IF($AL182,Constants!$B$21*$AN182+Constants!$B$22*IF($AO182,$AP182,Constants!$B$23),Constants!$B$24))</f>
        <v/>
      </c>
      <c r="BD182" s="138" t="str">
        <f aca="false">IF($BZ182&lt;&gt;Constants!$B$8,"",Constants!$B$25*ABS($AD$9-IF($AL182,$AM182,0)))</f>
        <v/>
      </c>
      <c r="BE182" s="138" t="str">
        <f aca="false">IF($BZ182&lt;&gt;Constants!$B$8,"",IF(AND($AL182,$AQ182,$AO182),Constants!$B$27,0))</f>
        <v/>
      </c>
      <c r="BF182" s="138" t="str">
        <f aca="false">IF($BZ182&lt;&gt;Constants!$B$8,"",IF($AL182,($AI182-Constants!$B$29)*Constants!$B$28,0))</f>
        <v/>
      </c>
      <c r="BG182" s="138" t="str">
        <f aca="false">IF($BZ182&lt;&gt;Constants!$B$8,"",IF($AK182,0,Constants!$B$15)+IF($AJ182,0,Constants!$B$16)+IF($AH182,0,Constants!$B$17))</f>
        <v/>
      </c>
      <c r="BH182" s="139" t="str">
        <f aca="false">IF($BZ182&lt;&gt;Constants!$B$8,"",Constants!$B$20+SUM($BC182:$BG182))</f>
        <v/>
      </c>
      <c r="BI182" s="138" t="str">
        <f aca="false">IF($BZ182&lt;&gt;Constants!$B$8,"",$BC182)</f>
        <v/>
      </c>
      <c r="BJ182" s="138" t="str">
        <f aca="false">IF($BZ182&lt;&gt;Constants!$B$8,"",$BD182)</f>
        <v/>
      </c>
      <c r="BK182" s="138" t="str">
        <f aca="false">IF($BZ182&lt;&gt;Constants!$B$8,"",IF($AL182,$AN182,""))</f>
        <v/>
      </c>
      <c r="BL182" s="140" t="str">
        <f aca="false">IF($BZ182&lt;&gt;Constants!$B$8,"",$AI182)</f>
        <v/>
      </c>
      <c r="BM182" s="135" t="str">
        <f aca="false">IF($BZ182&lt;&gt;Constants!$B$8,"",IF(OR($BT182&lt;$BH182,AND($BT182=$BH182,OR($BU182&lt;$BI182,AND($BU182=$BI182,OR($BV182&lt;$BJ182,AND($BV182=$BJ182,OR(AND(ISNUMBER($BW182),OR(NOT(ISNUMBER($BK182)),$BW182&lt;$BK182)),AND(OR(AND($BW182="",$BK182=""),AND(ISNUMBER($BW182),ISNUMBER($BK182),$BW182=$BK182)),$BX182&lt;$BL182)))))))),"-&gt;","&lt;-"))</f>
        <v/>
      </c>
      <c r="BN182" s="134" t="str">
        <f aca="false">IF(ISBLANK($C182),"",AND($AT182,OR($AU182="",$AV182="",AND($AW182,$AX182=""))))</f>
        <v/>
      </c>
      <c r="BO182" s="137" t="str">
        <f aca="false">IF($BZ182&lt;&gt;Constants!$B$8,"",IF($AT182,Constants!$B$21*$AV182+Constants!$B$22*IF($AW182,$AX182,Constants!$B$23),Constants!$B$24))</f>
        <v/>
      </c>
      <c r="BP182" s="138" t="str">
        <f aca="false">IF($BZ182&lt;&gt;Constants!$B$8,"",Constants!$B$25*ABS($AD$9-IF($AT182,$AU182,0)))</f>
        <v/>
      </c>
      <c r="BQ182" s="138" t="str">
        <f aca="false">IF($BZ182&lt;&gt;Constants!$B$8,"",IF(AND($AT182,$AY182,$AW182),Constants!$B$27,0))</f>
        <v/>
      </c>
      <c r="BR182" s="138" t="str">
        <f aca="false">IF($BZ182&lt;&gt;Constants!$B$8,"",IF($AT182,($AI182-Constants!$B$29)*Constants!$B$28,0))</f>
        <v/>
      </c>
      <c r="BS182" s="138" t="str">
        <f aca="false">IF($BZ182&lt;&gt;Constants!$B$8,"",IF($AS182,0,Constants!$B$15)+IF($AR182,0,Constants!$B$16)+IF($AH182,0,Constants!$B$17))</f>
        <v/>
      </c>
      <c r="BT182" s="139" t="str">
        <f aca="false">IF($BZ182&lt;&gt;Constants!$B$8,"",Constants!$B$20+SUM($BO182:$BS182))</f>
        <v/>
      </c>
      <c r="BU182" s="138" t="str">
        <f aca="false">IF($BZ182&lt;&gt;Constants!$B$8,"",$BO182)</f>
        <v/>
      </c>
      <c r="BV182" s="138" t="str">
        <f aca="false">IF($BZ182&lt;&gt;Constants!$B$8,"",$BP182)</f>
        <v/>
      </c>
      <c r="BW182" s="138" t="str">
        <f aca="false">IF($BZ182&lt;&gt;Constants!$B$8,"",IF($AT182,$AV182,""))</f>
        <v/>
      </c>
      <c r="BX182" s="140" t="str">
        <f aca="false">IF($BZ182&lt;&gt;Constants!$B$8,"",$AI182)</f>
        <v/>
      </c>
      <c r="BY182" s="135" t="str">
        <f aca="false">IF(ISBLANK($C182),"",IF(ISBLANK($D$7),$BY$5,IF(NOT(ISNUMBER($D$7)),$BY$6,"")))</f>
        <v/>
      </c>
      <c r="BZ182" s="135" t="str">
        <f aca="false">IF(ISBLANK($C182),"",IF($BA182,Constants!$B$11,IF(COUNTA($E182:$AA182)=0,Constants!$B$10,IF(NOT($AG182),Constants!$B$9,IF(OR($BY182&lt;&gt;"",$BB182,$BN182),Constants!$B$12,Constants!$B$8)))))</f>
        <v/>
      </c>
      <c r="CA182" s="135" t="str">
        <f aca="false">IF(ISBLANK($C182),"",IF($BZ182&lt;&gt;Constants!$B$8,$BZ182,Constants!$B$13))</f>
        <v/>
      </c>
      <c r="CB182" s="138" t="str">
        <f aca="false">IF($BZ182&lt;&gt;Constants!$B$8,"",IF($BM182="-&gt;",$BT182,$BH182))</f>
        <v/>
      </c>
      <c r="CC182" s="138" t="str">
        <f aca="false">IF($BZ182&lt;&gt;Constants!$B$8,"",IF($AF182,0,Constants!$B$18))</f>
        <v/>
      </c>
      <c r="CD182" s="138" t="str">
        <f aca="false">IF($BZ182&lt;&gt;Constants!$B$8,"",((Constants!$B$31-$AZ182)-Constants!$B$31)/Constants!$B$32)</f>
        <v/>
      </c>
      <c r="CE182" s="138" t="str">
        <f aca="false">IF(ISBLANK($C182),"",IF($BZ182&lt;&gt;Constants!$B$8,$BZ182,SUM($CB182:$CD182)))</f>
        <v/>
      </c>
      <c r="CF182" s="135" t="str">
        <f aca="false">IF(ISBLANK($C182),"",IF($BZ182&lt;&gt;Constants!$B$8,$BZ182,RANK($CE182,$CE$9:$CE$508,1)))</f>
        <v/>
      </c>
      <c r="CG182" s="138" t="str">
        <f aca="false">IF($BZ182&lt;&gt;Constants!$B$8,"",IF($BM182="-&gt;",$BU182,$BI182))</f>
        <v/>
      </c>
      <c r="CH182" s="135" t="str">
        <f aca="false">IF(ISBLANK($C182),"",IF($BZ182&lt;&gt;Constants!$B$8,$BZ182,IF(ISNUMBER($CG182),RANK($CG182,$CG$9:$CG$508,1),COUNT($CG$9:$CG$508)+1)))</f>
        <v/>
      </c>
      <c r="CI182" s="138" t="str">
        <f aca="false">IF($BZ182&lt;&gt;Constants!$B$8,"",IF($BM182="-&gt;",$BV182,$BJ182))</f>
        <v/>
      </c>
      <c r="CJ182" s="135" t="str">
        <f aca="false">IF(ISBLANK($C182),"",IF($BZ182&lt;&gt;Constants!$B$8,$BZ182,IF(ISNUMBER($CI182),RANK($CI182,$CI$9:$CI$508,1),COUNT($CI$9:$CI$508)+1)))</f>
        <v/>
      </c>
      <c r="CK182" s="138" t="str">
        <f aca="false">IF($BZ182&lt;&gt;Constants!$B$8,"",IF($BM182="-&gt;",$BW182,$BK182))</f>
        <v/>
      </c>
      <c r="CL182" s="135" t="str">
        <f aca="false">IF(ISBLANK($C182),"",IF($BZ182&lt;&gt;Constants!$B$8,$BZ182,IF(ISNUMBER($CK182),RANK($CK182,$CK$9:$CK$508,1),COUNT($CK$9:$CK$508)+1)))</f>
        <v/>
      </c>
      <c r="CM182" s="138" t="str">
        <f aca="false">IF($BZ182&lt;&gt;Constants!$B$8,"",IF(AND(NOT($AL182),NOT($AT182),$AJ182,$AK182,$AR182,$AS182),"",IF($BM182="-&gt;",$BX182,$BL182)))</f>
        <v/>
      </c>
      <c r="CN182" s="135" t="str">
        <f aca="false">IF(ISBLANK($C182),"",IF($BZ182&lt;&gt;Constants!$B$8,$BZ182,IF(ISNUMBER($CM182),RANK($CM182,$CM$9:$CM$508,1),COUNT($CM$9:$CM$508)+1)))</f>
        <v/>
      </c>
      <c r="CO182" s="135" t="str">
        <f aca="false">IF(ISBLANK($C182),"",IF($BZ182&lt;&gt;Constants!$B$8,$BZ182,COUNTIFS($CF$9:$CF$508,"&lt;"&amp;$CF182)+COUNTIFS($CF$9:$CF$508,$CF182,$CH$9:$CH$508,"&lt;"&amp;$CH182)+COUNTIFS($CF$9:$CF$508,$CF182,$CH$9:$CH$508,$CH182,$CJ$9:$CJ$508,"&lt;"&amp;$CJ182)+COUNTIFS($CF$9:$CF$508,$CF182,$CH$9:$CH$508,$CH182,$CJ$9:$CJ$508,$CJ182,$CL$9:$CL$508,"&lt;"&amp;$CL182)+COUNTIFS($CF$9:$CF$508,$CF182,$CH$9:$CH$508,$CH182,$CJ$9:$CJ$508,$CJ182,$CL$9:$CL$508,$CL182,$CN$9:$CN$508,"&lt;"&amp;$CN182)+1))</f>
        <v/>
      </c>
      <c r="CP182" s="135" t="str">
        <f aca="false">IF(ISBLANK($C182),"",IF($BZ182&lt;&gt;Constants!$B$8,$BZ182,$CF182-$CO182))</f>
        <v/>
      </c>
      <c r="CQ182" s="141"/>
      <c r="CR182" s="142"/>
      <c r="CS182" s="143" t="str">
        <f aca="false">IF(ISBLANK($C182),"",IF($BZ182=Constants!$B$12,$BY182,""))</f>
        <v/>
      </c>
      <c r="CT182" s="142" t="str">
        <f aca="false">IF(ISBLANK($C182),"",IF($BZ182&lt;&gt;Constants!$B$8,"",IF($BM182="-&gt;",2,1)))</f>
        <v/>
      </c>
      <c r="CU182" s="144" t="str">
        <f aca="false">IF(ISBLANK($C182),"",IF($BZ182&lt;&gt;Constants!$B$8,"",IF($BM182="-&gt;",$BO182,$BC182)))</f>
        <v/>
      </c>
      <c r="CV182" s="144" t="str">
        <f aca="false">IF(ISBLANK($C182),"",IF($BZ182&lt;&gt;Constants!$B$8,"",IF($BM182="-&gt;",$BP182,$BD182)))</f>
        <v/>
      </c>
      <c r="CW182" s="144" t="str">
        <f aca="false">IF(ISBLANK($C182),"",IF($BZ182&lt;&gt;Constants!$B$8,"",IF($BM182="-&gt;",$BQ182+$BR182,$BE182+$BF182)+$CD182))</f>
        <v/>
      </c>
      <c r="CX182" s="144" t="str">
        <f aca="false">IF(ISBLANK($C182),"",IF($BZ182&lt;&gt;Constants!$B$8,"",IF($BM182="-&gt;",$BS182,$BG182)+$CC182))</f>
        <v/>
      </c>
      <c r="CY182" s="145" t="str">
        <f aca="false">IF(ISBLANK($C182),"",IF($BZ182&lt;&gt;Constants!$B$8,$BZ182,$CE182))</f>
        <v/>
      </c>
      <c r="CZ182" s="146" t="str">
        <f aca="false">IF(ISBLANK($C182),"",$CA182)</f>
        <v/>
      </c>
      <c r="DA182" s="147" t="str">
        <f aca="false">IF(ISBLANK($C182),"",$CP182)</f>
        <v/>
      </c>
      <c r="DB182" s="147" t="str">
        <f aca="false">IF(ISBLANK($C182),"",$CO182)</f>
        <v/>
      </c>
      <c r="DC182" s="148" t="str">
        <f aca="false">IF(ISBLANK($C182),"",IFERROR(_xlfn.SWITCH($DB182,Constants!$B$11,COUNTA($C$9:$C$508)+2,Constants!$B$10,COUNTA($C$9:$C$508)+1,Constants!$B$9,COUNTA($C$9:$C$508)),$DB182))</f>
        <v/>
      </c>
      <c r="DD182" s="9"/>
      <c r="DE182" s="149" t="n">
        <f aca="false">IF(OR(ISNUMBER($DB182),$DB182=Constants!$B$11,$DB182=Constants!$B$9,$DB182=Constants!$B$10),1,0)</f>
        <v>0</v>
      </c>
      <c r="DF182" s="149" t="n">
        <v>174</v>
      </c>
      <c r="DG182" s="149" t="str">
        <f aca="false">IF(ISBLANK($C182),"",IF(ISNUMBER($DC182),$DC182+ROW($B182)/1000,""))</f>
        <v/>
      </c>
      <c r="DH182" s="149" t="str">
        <f aca="false">IF(ISNUMBER($DG182),RANK($DG182,$DG$9:$DG$508,1),"")</f>
        <v/>
      </c>
      <c r="DI182" s="149" t="str">
        <f aca="false">IF(ISBLANK($C182),"",$B182)</f>
        <v/>
      </c>
      <c r="DJ182" s="149" t="str">
        <f aca="false">IF(ISBLANK($C182),"",$C182)</f>
        <v/>
      </c>
      <c r="DK182" s="149" t="str">
        <f aca="false">IF(ISBLANK($C182),"",$D182)</f>
        <v/>
      </c>
      <c r="DL182" s="150" t="str">
        <f aca="false">$CZ182</f>
        <v/>
      </c>
      <c r="DM182" s="151" t="str">
        <f aca="false">$CY182</f>
        <v/>
      </c>
      <c r="DN182" s="149" t="str">
        <f aca="false">IF(ISBLANK($C182),"",$DB182)</f>
        <v/>
      </c>
      <c r="DO182" s="152" t="str">
        <f aca="false">IF($DF182&gt;$DE$8,"",VLOOKUP($DF182,$DH$9:$DN$508,7,FALSE()))</f>
        <v/>
      </c>
      <c r="DP182" s="153" t="str">
        <f aca="false">IF($DF182&gt;$DE$8,"",VLOOKUP($DF182,$DH$9:$DN$508,2,FALSE()))</f>
        <v/>
      </c>
      <c r="DQ182" s="153" t="str">
        <f aca="false">IF($DF182&gt;$DE$8,"",VLOOKUP($DF182,$DH$9:$DN$508,3,FALSE()))</f>
        <v/>
      </c>
      <c r="DR182" s="153" t="str">
        <f aca="false">IF($DF182&gt;$DE$8,"",VLOOKUP($DF182,$DH$9:$DN$508,4,FALSE()))</f>
        <v/>
      </c>
      <c r="DS182" s="153" t="str">
        <f aca="false">IF($DF182&gt;$DE$8,"",VLOOKUP($DF182,$DH$9:$DN$508,5,FALSE()))</f>
        <v/>
      </c>
      <c r="DT182" s="154" t="str">
        <f aca="false">IF($DF182&gt;$DE$8,"",VLOOKUP($DF182,$DH$9:$DN$508,6,FALSE()))</f>
        <v/>
      </c>
      <c r="DU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IF(ISBLANK($C183),"",IF(E183=Constants!$B$3,TRUE(),IF(E183=Constants!$B$4,FALSE(),TRUE())))</f>
        <v/>
      </c>
      <c r="AG183" s="93" t="str">
        <f aca="false">IF(ISBLANK($C183),"",IF(F183=Constants!$B$3,TRUE(),IF(F183=Constants!$B$4,FALSE(),TRUE())))</f>
        <v/>
      </c>
      <c r="AH183" s="93" t="str">
        <f aca="false">IF(ISBLANK($C183),"",IF(G183=Constants!$B$3,TRUE(),IF(G183=Constants!$B$4,FALSE(),TRUE())))</f>
        <v/>
      </c>
      <c r="AI183" s="93" t="str">
        <f aca="false">IF(ISBLANK($C183),"",IF(AND(ISNUMBER(H183),H183&gt;=0),H183,Constants!$B$29))</f>
        <v/>
      </c>
      <c r="AJ183" s="93" t="str">
        <f aca="false">IF(ISBLANK($C183),"",IF(I183=Constants!$B$3,TRUE(),IF(I183=Constants!$B$4,FALSE(),TRUE())))</f>
        <v/>
      </c>
      <c r="AK183" s="93" t="str">
        <f aca="false">IF(ISBLANK($C183),"",IF(J183=Constants!$B$3,TRUE(),IF(J183=Constants!$B$4,FALSE(),TRUE())))</f>
        <v/>
      </c>
      <c r="AL183" s="93" t="str">
        <f aca="false">IF(ISBLANK($C183),"",IF(K183=Constants!$B$5,TRUE(),IF(K183=Constants!$B$6,FALSE(),COUNTA(L183:P183)&gt;0)))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IF(ISBLANK($C183),"",IF(N183=Constants!$B$3,TRUE(),IF(N183=Constants!$B$4,FALSE(),TRUE())))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IF(ISBLANK($C183),"",IF(P183=Constants!$B$3,TRUE(),IF(P183=Constants!$B$4,FALSE(),FALSE())))</f>
        <v/>
      </c>
      <c r="AR183" s="93" t="str">
        <f aca="false">IF(ISBLANK($C183),"",IF(Q183=Constants!$B$3,TRUE(),IF(Q183=Constants!$B$4,FALSE(),TRUE())))</f>
        <v/>
      </c>
      <c r="AS183" s="93" t="str">
        <f aca="false">IF(ISBLANK($C183),"",IF(R183=Constants!$B$3,TRUE(),IF(R183=Constants!$B$4,FALSE(),TRUE())))</f>
        <v/>
      </c>
      <c r="AT183" s="93" t="str">
        <f aca="false">IF(ISBLANK($C183),"",IF(S183=Constants!$B$5,TRUE(),IF(S183=Constants!$B$6,FALSE(),COUNTA(T183:X183)&gt;0)))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IF(ISBLANK($C183),"",IF(V183=Constants!$B$3,TRUE(),IF(V183=Constants!$B$4,FALSE(),TRUE())))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IF(ISBLANK($C183),"",IF(X183=Constants!$B$3,TRUE(),IF(X183=Constants!$B$4,FALSE(),FALSE())))</f>
        <v/>
      </c>
      <c r="AZ183" s="93" t="str">
        <f aca="false">IF(ISBLANK($C183),"",MIN(Constants!$B$31,MAX(0,IF(ISNUMBER(Y183),Y183*60,0)+IF(ISNUMBER(Z183),Z183,0))))</f>
        <v/>
      </c>
      <c r="BA183" s="93" t="str">
        <f aca="false">IF(ISBLANK($C183),"",IF(AA183=Constants!$B$3,TRUE(),IF(AA183=Constants!$B$4,FALSE(),FALSE())))</f>
        <v/>
      </c>
      <c r="BB183" s="92" t="str">
        <f aca="false">IF(ISBLANK($C183),"",AND($AL183,OR($AM183="",$AN183="",AND($AO183,$AP183=""))))</f>
        <v/>
      </c>
      <c r="BC183" s="94" t="str">
        <f aca="false">IF($BZ183&lt;&gt;Constants!$B$8,"",IF($AL183,Constants!$B$21*$AN183+Constants!$B$22*IF($AO183,$AP183,Constants!$B$23),Constants!$B$24))</f>
        <v/>
      </c>
      <c r="BD183" s="97" t="str">
        <f aca="false">IF($BZ183&lt;&gt;Constants!$B$8,"",Constants!$B$25*ABS($AD$9-IF($AL183,$AM183,0)))</f>
        <v/>
      </c>
      <c r="BE183" s="97" t="str">
        <f aca="false">IF($BZ183&lt;&gt;Constants!$B$8,"",IF(AND($AL183,$AQ183,$AO183),Constants!$B$27,0))</f>
        <v/>
      </c>
      <c r="BF183" s="97" t="str">
        <f aca="false">IF($BZ183&lt;&gt;Constants!$B$8,"",IF($AL183,($AI183-Constants!$B$29)*Constants!$B$28,0))</f>
        <v/>
      </c>
      <c r="BG183" s="97" t="str">
        <f aca="false">IF($BZ183&lt;&gt;Constants!$B$8,"",IF($AK183,0,Constants!$B$15)+IF($AJ183,0,Constants!$B$16)+IF($AH183,0,Constants!$B$17))</f>
        <v/>
      </c>
      <c r="BH183" s="98" t="str">
        <f aca="false">IF($BZ183&lt;&gt;Constants!$B$8,"",Constants!$B$20+SUM($BC183:$BG183))</f>
        <v/>
      </c>
      <c r="BI183" s="97" t="str">
        <f aca="false">IF($BZ183&lt;&gt;Constants!$B$8,"",$BC183)</f>
        <v/>
      </c>
      <c r="BJ183" s="97" t="str">
        <f aca="false">IF($BZ183&lt;&gt;Constants!$B$8,"",$BD183)</f>
        <v/>
      </c>
      <c r="BK183" s="97" t="str">
        <f aca="false">IF($BZ183&lt;&gt;Constants!$B$8,"",IF($AL183,$AN183,""))</f>
        <v/>
      </c>
      <c r="BL183" s="99" t="str">
        <f aca="false">IF($BZ183&lt;&gt;Constants!$B$8,"",$AI183)</f>
        <v/>
      </c>
      <c r="BM183" s="93" t="str">
        <f aca="false">IF($BZ183&lt;&gt;Constants!$B$8,"",IF(OR($BT183&lt;$BH183,AND($BT183=$BH183,OR($BU183&lt;$BI183,AND($BU183=$BI183,OR($BV183&lt;$BJ183,AND($BV183=$BJ183,OR(AND(ISNUMBER($BW183),OR(NOT(ISNUMBER($BK183)),$BW183&lt;$BK183)),AND(OR(AND($BW183="",$BK183=""),AND(ISNUMBER($BW183),ISNUMBER($BK183),$BW183=$BK183)),$BX183&lt;$BL183)))))))),"-&gt;","&lt;-"))</f>
        <v/>
      </c>
      <c r="BN183" s="92" t="str">
        <f aca="false">IF(ISBLANK($C183),"",AND($AT183,OR($AU183="",$AV183="",AND($AW183,$AX183=""))))</f>
        <v/>
      </c>
      <c r="BO183" s="94" t="str">
        <f aca="false">IF($BZ183&lt;&gt;Constants!$B$8,"",IF($AT183,Constants!$B$21*$AV183+Constants!$B$22*IF($AW183,$AX183,Constants!$B$23),Constants!$B$24))</f>
        <v/>
      </c>
      <c r="BP183" s="97" t="str">
        <f aca="false">IF($BZ183&lt;&gt;Constants!$B$8,"",Constants!$B$25*ABS($AD$9-IF($AT183,$AU183,0)))</f>
        <v/>
      </c>
      <c r="BQ183" s="97" t="str">
        <f aca="false">IF($BZ183&lt;&gt;Constants!$B$8,"",IF(AND($AT183,$AY183,$AW183),Constants!$B$27,0))</f>
        <v/>
      </c>
      <c r="BR183" s="97" t="str">
        <f aca="false">IF($BZ183&lt;&gt;Constants!$B$8,"",IF($AT183,($AI183-Constants!$B$29)*Constants!$B$28,0))</f>
        <v/>
      </c>
      <c r="BS183" s="97" t="str">
        <f aca="false">IF($BZ183&lt;&gt;Constants!$B$8,"",IF($AS183,0,Constants!$B$15)+IF($AR183,0,Constants!$B$16)+IF($AH183,0,Constants!$B$17))</f>
        <v/>
      </c>
      <c r="BT183" s="98" t="str">
        <f aca="false">IF($BZ183&lt;&gt;Constants!$B$8,"",Constants!$B$20+SUM($BO183:$BS183))</f>
        <v/>
      </c>
      <c r="BU183" s="97" t="str">
        <f aca="false">IF($BZ183&lt;&gt;Constants!$B$8,"",$BO183)</f>
        <v/>
      </c>
      <c r="BV183" s="97" t="str">
        <f aca="false">IF($BZ183&lt;&gt;Constants!$B$8,"",$BP183)</f>
        <v/>
      </c>
      <c r="BW183" s="97" t="str">
        <f aca="false">IF($BZ183&lt;&gt;Constants!$B$8,"",IF($AT183,$AV183,""))</f>
        <v/>
      </c>
      <c r="BX183" s="99" t="str">
        <f aca="false">IF($BZ183&lt;&gt;Constants!$B$8,"",$AI183)</f>
        <v/>
      </c>
      <c r="BY183" s="93" t="str">
        <f aca="false">IF(ISBLANK($C183),"",IF(ISBLANK($D$7),$BY$5,IF(NOT(ISNUMBER($D$7)),$BY$6,"")))</f>
        <v/>
      </c>
      <c r="BZ183" s="93" t="str">
        <f aca="false">IF(ISBLANK($C183),"",IF($BA183,Constants!$B$11,IF(COUNTA($E183:$AA183)=0,Constants!$B$10,IF(NOT($AG183),Constants!$B$9,IF(OR($BY183&lt;&gt;"",$BB183,$BN183),Constants!$B$12,Constants!$B$8)))))</f>
        <v/>
      </c>
      <c r="CA183" s="93" t="str">
        <f aca="false">IF(ISBLANK($C183),"",IF($BZ183&lt;&gt;Constants!$B$8,$BZ183,Constants!$B$13))</f>
        <v/>
      </c>
      <c r="CB183" s="97" t="str">
        <f aca="false">IF($BZ183&lt;&gt;Constants!$B$8,"",IF($BM183="-&gt;",$BT183,$BH183))</f>
        <v/>
      </c>
      <c r="CC183" s="97" t="str">
        <f aca="false">IF($BZ183&lt;&gt;Constants!$B$8,"",IF($AF183,0,Constants!$B$18))</f>
        <v/>
      </c>
      <c r="CD183" s="97" t="str">
        <f aca="false">IF($BZ183&lt;&gt;Constants!$B$8,"",((Constants!$B$31-$AZ183)-Constants!$B$31)/Constants!$B$32)</f>
        <v/>
      </c>
      <c r="CE183" s="97" t="str">
        <f aca="false">IF(ISBLANK($C183),"",IF($BZ183&lt;&gt;Constants!$B$8,$BZ183,SUM($CB183:$CD183)))</f>
        <v/>
      </c>
      <c r="CF183" s="93" t="str">
        <f aca="false">IF(ISBLANK($C183),"",IF($BZ183&lt;&gt;Constants!$B$8,$BZ183,RANK($CE183,$CE$9:$CE$508,1)))</f>
        <v/>
      </c>
      <c r="CG183" s="97" t="str">
        <f aca="false">IF($BZ183&lt;&gt;Constants!$B$8,"",IF($BM183="-&gt;",$BU183,$BI183))</f>
        <v/>
      </c>
      <c r="CH183" s="93" t="str">
        <f aca="false">IF(ISBLANK($C183),"",IF($BZ183&lt;&gt;Constants!$B$8,$BZ183,IF(ISNUMBER($CG183),RANK($CG183,$CG$9:$CG$508,1),COUNT($CG$9:$CG$508)+1)))</f>
        <v/>
      </c>
      <c r="CI183" s="97" t="str">
        <f aca="false">IF($BZ183&lt;&gt;Constants!$B$8,"",IF($BM183="-&gt;",$BV183,$BJ183))</f>
        <v/>
      </c>
      <c r="CJ183" s="93" t="str">
        <f aca="false">IF(ISBLANK($C183),"",IF($BZ183&lt;&gt;Constants!$B$8,$BZ183,IF(ISNUMBER($CI183),RANK($CI183,$CI$9:$CI$508,1),COUNT($CI$9:$CI$508)+1)))</f>
        <v/>
      </c>
      <c r="CK183" s="97" t="str">
        <f aca="false">IF($BZ183&lt;&gt;Constants!$B$8,"",IF($BM183="-&gt;",$BW183,$BK183))</f>
        <v/>
      </c>
      <c r="CL183" s="93" t="str">
        <f aca="false">IF(ISBLANK($C183),"",IF($BZ183&lt;&gt;Constants!$B$8,$BZ183,IF(ISNUMBER($CK183),RANK($CK183,$CK$9:$CK$508,1),COUNT($CK$9:$CK$508)+1)))</f>
        <v/>
      </c>
      <c r="CM183" s="97" t="str">
        <f aca="false">IF($BZ183&lt;&gt;Constants!$B$8,"",IF(AND(NOT($AL183),NOT($AT183),$AJ183,$AK183,$AR183,$AS183),"",IF($BM183="-&gt;",$BX183,$BL183)))</f>
        <v/>
      </c>
      <c r="CN183" s="93" t="str">
        <f aca="false">IF(ISBLANK($C183),"",IF($BZ183&lt;&gt;Constants!$B$8,$BZ183,IF(ISNUMBER($CM183),RANK($CM183,$CM$9:$CM$508,1),COUNT($CM$9:$CM$508)+1)))</f>
        <v/>
      </c>
      <c r="CO183" s="93" t="str">
        <f aca="false">IF(ISBLANK($C183),"",IF($BZ183&lt;&gt;Constants!$B$8,$BZ183,COUNTIFS($CF$9:$CF$508,"&lt;"&amp;$CF183)+COUNTIFS($CF$9:$CF$508,$CF183,$CH$9:$CH$508,"&lt;"&amp;$CH183)+COUNTIFS($CF$9:$CF$508,$CF183,$CH$9:$CH$508,$CH183,$CJ$9:$CJ$508,"&lt;"&amp;$CJ183)+COUNTIFS($CF$9:$CF$508,$CF183,$CH$9:$CH$508,$CH183,$CJ$9:$CJ$508,$CJ183,$CL$9:$CL$508,"&lt;"&amp;$CL183)+COUNTIFS($CF$9:$CF$508,$CF183,$CH$9:$CH$508,$CH183,$CJ$9:$CJ$508,$CJ183,$CL$9:$CL$508,$CL183,$CN$9:$CN$508,"&lt;"&amp;$CN183)+1))</f>
        <v/>
      </c>
      <c r="CP183" s="93" t="str">
        <f aca="false">IF(ISBLANK($C183),"",IF($BZ183&lt;&gt;Constants!$B$8,$BZ183,$CF183-$CO183))</f>
        <v/>
      </c>
      <c r="CQ183" s="100"/>
      <c r="CR183" s="101"/>
      <c r="CS183" s="102" t="str">
        <f aca="false">IF(ISBLANK($C183),"",IF($BZ183=Constants!$B$12,$BY183,""))</f>
        <v/>
      </c>
      <c r="CT183" s="101" t="str">
        <f aca="false">IF(ISBLANK($C183),"",IF($BZ183&lt;&gt;Constants!$B$8,"",IF($BM183="-&gt;",2,1)))</f>
        <v/>
      </c>
      <c r="CU183" s="103" t="str">
        <f aca="false">IF(ISBLANK($C183),"",IF($BZ183&lt;&gt;Constants!$B$8,"",IF($BM183="-&gt;",$BO183,$BC183)))</f>
        <v/>
      </c>
      <c r="CV183" s="103" t="str">
        <f aca="false">IF(ISBLANK($C183),"",IF($BZ183&lt;&gt;Constants!$B$8,"",IF($BM183="-&gt;",$BP183,$BD183)))</f>
        <v/>
      </c>
      <c r="CW183" s="103" t="str">
        <f aca="false">IF(ISBLANK($C183),"",IF($BZ183&lt;&gt;Constants!$B$8,"",IF($BM183="-&gt;",$BQ183+$BR183,$BE183+$BF183)+$CD183))</f>
        <v/>
      </c>
      <c r="CX183" s="103" t="str">
        <f aca="false">IF(ISBLANK($C183),"",IF($BZ183&lt;&gt;Constants!$B$8,"",IF($BM183="-&gt;",$BS183,$BG183)+$CC183))</f>
        <v/>
      </c>
      <c r="CY183" s="104" t="str">
        <f aca="false">IF(ISBLANK($C183),"",IF($BZ183&lt;&gt;Constants!$B$8,$BZ183,$CE183))</f>
        <v/>
      </c>
      <c r="CZ183" s="105" t="str">
        <f aca="false">IF(ISBLANK($C183),"",$CA183)</f>
        <v/>
      </c>
      <c r="DA183" s="106" t="str">
        <f aca="false">IF(ISBLANK($C183),"",$CP183)</f>
        <v/>
      </c>
      <c r="DB183" s="106" t="str">
        <f aca="false">IF(ISBLANK($C183),"",$CO183)</f>
        <v/>
      </c>
      <c r="DC183" s="107" t="str">
        <f aca="false">IF(ISBLANK($C183),"",IFERROR(_xlfn.SWITCH($DB183,Constants!$B$11,COUNTA($C$9:$C$508)+2,Constants!$B$10,COUNTA($C$9:$C$508)+1,Constants!$B$9,COUNTA($C$9:$C$508)),$DB183))</f>
        <v/>
      </c>
      <c r="DD183" s="9"/>
      <c r="DE183" s="108" t="n">
        <f aca="false">IF(OR(ISNUMBER($DB183),$DB183=Constants!$B$11,$DB183=Constants!$B$9,$DB183=Constants!$B$10),1,0)</f>
        <v>0</v>
      </c>
      <c r="DF183" s="108" t="n">
        <v>175</v>
      </c>
      <c r="DG183" s="108" t="str">
        <f aca="false">IF(ISBLANK($C183),"",IF(ISNUMBER($DC183),$DC183+ROW($B183)/1000,""))</f>
        <v/>
      </c>
      <c r="DH183" s="108" t="str">
        <f aca="false">IF(ISNUMBER($DG183),RANK($DG183,$DG$9:$DG$508,1),"")</f>
        <v/>
      </c>
      <c r="DI183" s="108" t="str">
        <f aca="false">IF(ISBLANK($C183),"",$B183)</f>
        <v/>
      </c>
      <c r="DJ183" s="108" t="str">
        <f aca="false">IF(ISBLANK($C183),"",$C183)</f>
        <v/>
      </c>
      <c r="DK183" s="108" t="str">
        <f aca="false">IF(ISBLANK($C183),"",$D183)</f>
        <v/>
      </c>
      <c r="DL183" s="109" t="str">
        <f aca="false">$CZ183</f>
        <v/>
      </c>
      <c r="DM183" s="110" t="str">
        <f aca="false">$CY183</f>
        <v/>
      </c>
      <c r="DN183" s="108" t="str">
        <f aca="false">IF(ISBLANK($C183),"",$DB183)</f>
        <v/>
      </c>
      <c r="DO183" s="111" t="str">
        <f aca="false">IF($DF183&gt;$DE$8,"",VLOOKUP($DF183,$DH$9:$DN$508,7,FALSE()))</f>
        <v/>
      </c>
      <c r="DP183" s="112" t="str">
        <f aca="false">IF($DF183&gt;$DE$8,"",VLOOKUP($DF183,$DH$9:$DN$508,2,FALSE()))</f>
        <v/>
      </c>
      <c r="DQ183" s="112" t="str">
        <f aca="false">IF($DF183&gt;$DE$8,"",VLOOKUP($DF183,$DH$9:$DN$508,3,FALSE()))</f>
        <v/>
      </c>
      <c r="DR183" s="112" t="str">
        <f aca="false">IF($DF183&gt;$DE$8,"",VLOOKUP($DF183,$DH$9:$DN$508,4,FALSE()))</f>
        <v/>
      </c>
      <c r="DS183" s="112" t="str">
        <f aca="false">IF($DF183&gt;$DE$8,"",VLOOKUP($DF183,$DH$9:$DN$508,5,FALSE()))</f>
        <v/>
      </c>
      <c r="DT183" s="113" t="str">
        <f aca="false">IF($DF183&gt;$DE$8,"",VLOOKUP($DF183,$DH$9:$DN$508,6,FALSE()))</f>
        <v/>
      </c>
      <c r="DU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IF(ISBLANK($C184),"",IF(E184=Constants!$B$3,TRUE(),IF(E184=Constants!$B$4,FALSE(),TRUE())))</f>
        <v/>
      </c>
      <c r="AG184" s="93" t="str">
        <f aca="false">IF(ISBLANK($C184),"",IF(F184=Constants!$B$3,TRUE(),IF(F184=Constants!$B$4,FALSE(),TRUE())))</f>
        <v/>
      </c>
      <c r="AH184" s="93" t="str">
        <f aca="false">IF(ISBLANK($C184),"",IF(G184=Constants!$B$3,TRUE(),IF(G184=Constants!$B$4,FALSE(),TRUE())))</f>
        <v/>
      </c>
      <c r="AI184" s="93" t="str">
        <f aca="false">IF(ISBLANK($C184),"",IF(AND(ISNUMBER(H184),H184&gt;=0),H184,Constants!$B$29))</f>
        <v/>
      </c>
      <c r="AJ184" s="93" t="str">
        <f aca="false">IF(ISBLANK($C184),"",IF(I184=Constants!$B$3,TRUE(),IF(I184=Constants!$B$4,FALSE(),TRUE())))</f>
        <v/>
      </c>
      <c r="AK184" s="93" t="str">
        <f aca="false">IF(ISBLANK($C184),"",IF(J184=Constants!$B$3,TRUE(),IF(J184=Constants!$B$4,FALSE(),TRUE())))</f>
        <v/>
      </c>
      <c r="AL184" s="93" t="str">
        <f aca="false">IF(ISBLANK($C184),"",IF(K184=Constants!$B$5,TRUE(),IF(K184=Constants!$B$6,FALSE(),COUNTA(L184:P184)&gt;0)))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IF(ISBLANK($C184),"",IF(N184=Constants!$B$3,TRUE(),IF(N184=Constants!$B$4,FALSE(),TRUE())))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IF(ISBLANK($C184),"",IF(P184=Constants!$B$3,TRUE(),IF(P184=Constants!$B$4,FALSE(),FALSE())))</f>
        <v/>
      </c>
      <c r="AR184" s="93" t="str">
        <f aca="false">IF(ISBLANK($C184),"",IF(Q184=Constants!$B$3,TRUE(),IF(Q184=Constants!$B$4,FALSE(),TRUE())))</f>
        <v/>
      </c>
      <c r="AS184" s="93" t="str">
        <f aca="false">IF(ISBLANK($C184),"",IF(R184=Constants!$B$3,TRUE(),IF(R184=Constants!$B$4,FALSE(),TRUE())))</f>
        <v/>
      </c>
      <c r="AT184" s="93" t="str">
        <f aca="false">IF(ISBLANK($C184),"",IF(S184=Constants!$B$5,TRUE(),IF(S184=Constants!$B$6,FALSE(),COUNTA(T184:X184)&gt;0)))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IF(ISBLANK($C184),"",IF(V184=Constants!$B$3,TRUE(),IF(V184=Constants!$B$4,FALSE(),TRUE())))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IF(ISBLANK($C184),"",IF(X184=Constants!$B$3,TRUE(),IF(X184=Constants!$B$4,FALSE(),FALSE())))</f>
        <v/>
      </c>
      <c r="AZ184" s="93" t="str">
        <f aca="false">IF(ISBLANK($C184),"",MIN(Constants!$B$31,MAX(0,IF(ISNUMBER(Y184),Y184*60,0)+IF(ISNUMBER(Z184),Z184,0))))</f>
        <v/>
      </c>
      <c r="BA184" s="93" t="str">
        <f aca="false">IF(ISBLANK($C184),"",IF(AA184=Constants!$B$3,TRUE(),IF(AA184=Constants!$B$4,FALSE(),FALSE())))</f>
        <v/>
      </c>
      <c r="BB184" s="92" t="str">
        <f aca="false">IF(ISBLANK($C184),"",AND($AL184,OR($AM184="",$AN184="",AND($AO184,$AP184=""))))</f>
        <v/>
      </c>
      <c r="BC184" s="94" t="str">
        <f aca="false">IF($BZ184&lt;&gt;Constants!$B$8,"",IF($AL184,Constants!$B$21*$AN184+Constants!$B$22*IF($AO184,$AP184,Constants!$B$23),Constants!$B$24))</f>
        <v/>
      </c>
      <c r="BD184" s="97" t="str">
        <f aca="false">IF($BZ184&lt;&gt;Constants!$B$8,"",Constants!$B$25*ABS($AD$9-IF($AL184,$AM184,0)))</f>
        <v/>
      </c>
      <c r="BE184" s="97" t="str">
        <f aca="false">IF($BZ184&lt;&gt;Constants!$B$8,"",IF(AND($AL184,$AQ184,$AO184),Constants!$B$27,0))</f>
        <v/>
      </c>
      <c r="BF184" s="97" t="str">
        <f aca="false">IF($BZ184&lt;&gt;Constants!$B$8,"",IF($AL184,($AI184-Constants!$B$29)*Constants!$B$28,0))</f>
        <v/>
      </c>
      <c r="BG184" s="97" t="str">
        <f aca="false">IF($BZ184&lt;&gt;Constants!$B$8,"",IF($AK184,0,Constants!$B$15)+IF($AJ184,0,Constants!$B$16)+IF($AH184,0,Constants!$B$17))</f>
        <v/>
      </c>
      <c r="BH184" s="98" t="str">
        <f aca="false">IF($BZ184&lt;&gt;Constants!$B$8,"",Constants!$B$20+SUM($BC184:$BG184))</f>
        <v/>
      </c>
      <c r="BI184" s="97" t="str">
        <f aca="false">IF($BZ184&lt;&gt;Constants!$B$8,"",$BC184)</f>
        <v/>
      </c>
      <c r="BJ184" s="97" t="str">
        <f aca="false">IF($BZ184&lt;&gt;Constants!$B$8,"",$BD184)</f>
        <v/>
      </c>
      <c r="BK184" s="97" t="str">
        <f aca="false">IF($BZ184&lt;&gt;Constants!$B$8,"",IF($AL184,$AN184,""))</f>
        <v/>
      </c>
      <c r="BL184" s="99" t="str">
        <f aca="false">IF($BZ184&lt;&gt;Constants!$B$8,"",$AI184)</f>
        <v/>
      </c>
      <c r="BM184" s="93" t="str">
        <f aca="false">IF($BZ184&lt;&gt;Constants!$B$8,"",IF(OR($BT184&lt;$BH184,AND($BT184=$BH184,OR($BU184&lt;$BI184,AND($BU184=$BI184,OR($BV184&lt;$BJ184,AND($BV184=$BJ184,OR(AND(ISNUMBER($BW184),OR(NOT(ISNUMBER($BK184)),$BW184&lt;$BK184)),AND(OR(AND($BW184="",$BK184=""),AND(ISNUMBER($BW184),ISNUMBER($BK184),$BW184=$BK184)),$BX184&lt;$BL184)))))))),"-&gt;","&lt;-"))</f>
        <v/>
      </c>
      <c r="BN184" s="92" t="str">
        <f aca="false">IF(ISBLANK($C184),"",AND($AT184,OR($AU184="",$AV184="",AND($AW184,$AX184=""))))</f>
        <v/>
      </c>
      <c r="BO184" s="94" t="str">
        <f aca="false">IF($BZ184&lt;&gt;Constants!$B$8,"",IF($AT184,Constants!$B$21*$AV184+Constants!$B$22*IF($AW184,$AX184,Constants!$B$23),Constants!$B$24))</f>
        <v/>
      </c>
      <c r="BP184" s="97" t="str">
        <f aca="false">IF($BZ184&lt;&gt;Constants!$B$8,"",Constants!$B$25*ABS($AD$9-IF($AT184,$AU184,0)))</f>
        <v/>
      </c>
      <c r="BQ184" s="97" t="str">
        <f aca="false">IF($BZ184&lt;&gt;Constants!$B$8,"",IF(AND($AT184,$AY184,$AW184),Constants!$B$27,0))</f>
        <v/>
      </c>
      <c r="BR184" s="97" t="str">
        <f aca="false">IF($BZ184&lt;&gt;Constants!$B$8,"",IF($AT184,($AI184-Constants!$B$29)*Constants!$B$28,0))</f>
        <v/>
      </c>
      <c r="BS184" s="97" t="str">
        <f aca="false">IF($BZ184&lt;&gt;Constants!$B$8,"",IF($AS184,0,Constants!$B$15)+IF($AR184,0,Constants!$B$16)+IF($AH184,0,Constants!$B$17))</f>
        <v/>
      </c>
      <c r="BT184" s="98" t="str">
        <f aca="false">IF($BZ184&lt;&gt;Constants!$B$8,"",Constants!$B$20+SUM($BO184:$BS184))</f>
        <v/>
      </c>
      <c r="BU184" s="97" t="str">
        <f aca="false">IF($BZ184&lt;&gt;Constants!$B$8,"",$BO184)</f>
        <v/>
      </c>
      <c r="BV184" s="97" t="str">
        <f aca="false">IF($BZ184&lt;&gt;Constants!$B$8,"",$BP184)</f>
        <v/>
      </c>
      <c r="BW184" s="97" t="str">
        <f aca="false">IF($BZ184&lt;&gt;Constants!$B$8,"",IF($AT184,$AV184,""))</f>
        <v/>
      </c>
      <c r="BX184" s="99" t="str">
        <f aca="false">IF($BZ184&lt;&gt;Constants!$B$8,"",$AI184)</f>
        <v/>
      </c>
      <c r="BY184" s="93" t="str">
        <f aca="false">IF(ISBLANK($C184),"",IF(ISBLANK($D$7),$BY$5,IF(NOT(ISNUMBER($D$7)),$BY$6,"")))</f>
        <v/>
      </c>
      <c r="BZ184" s="93" t="str">
        <f aca="false">IF(ISBLANK($C184),"",IF($BA184,Constants!$B$11,IF(COUNTA($E184:$AA184)=0,Constants!$B$10,IF(NOT($AG184),Constants!$B$9,IF(OR($BY184&lt;&gt;"",$BB184,$BN184),Constants!$B$12,Constants!$B$8)))))</f>
        <v/>
      </c>
      <c r="CA184" s="93" t="str">
        <f aca="false">IF(ISBLANK($C184),"",IF($BZ184&lt;&gt;Constants!$B$8,$BZ184,Constants!$B$13))</f>
        <v/>
      </c>
      <c r="CB184" s="97" t="str">
        <f aca="false">IF($BZ184&lt;&gt;Constants!$B$8,"",IF($BM184="-&gt;",$BT184,$BH184))</f>
        <v/>
      </c>
      <c r="CC184" s="97" t="str">
        <f aca="false">IF($BZ184&lt;&gt;Constants!$B$8,"",IF($AF184,0,Constants!$B$18))</f>
        <v/>
      </c>
      <c r="CD184" s="97" t="str">
        <f aca="false">IF($BZ184&lt;&gt;Constants!$B$8,"",((Constants!$B$31-$AZ184)-Constants!$B$31)/Constants!$B$32)</f>
        <v/>
      </c>
      <c r="CE184" s="97" t="str">
        <f aca="false">IF(ISBLANK($C184),"",IF($BZ184&lt;&gt;Constants!$B$8,$BZ184,SUM($CB184:$CD184)))</f>
        <v/>
      </c>
      <c r="CF184" s="93" t="str">
        <f aca="false">IF(ISBLANK($C184),"",IF($BZ184&lt;&gt;Constants!$B$8,$BZ184,RANK($CE184,$CE$9:$CE$508,1)))</f>
        <v/>
      </c>
      <c r="CG184" s="97" t="str">
        <f aca="false">IF($BZ184&lt;&gt;Constants!$B$8,"",IF($BM184="-&gt;",$BU184,$BI184))</f>
        <v/>
      </c>
      <c r="CH184" s="93" t="str">
        <f aca="false">IF(ISBLANK($C184),"",IF($BZ184&lt;&gt;Constants!$B$8,$BZ184,IF(ISNUMBER($CG184),RANK($CG184,$CG$9:$CG$508,1),COUNT($CG$9:$CG$508)+1)))</f>
        <v/>
      </c>
      <c r="CI184" s="97" t="str">
        <f aca="false">IF($BZ184&lt;&gt;Constants!$B$8,"",IF($BM184="-&gt;",$BV184,$BJ184))</f>
        <v/>
      </c>
      <c r="CJ184" s="93" t="str">
        <f aca="false">IF(ISBLANK($C184),"",IF($BZ184&lt;&gt;Constants!$B$8,$BZ184,IF(ISNUMBER($CI184),RANK($CI184,$CI$9:$CI$508,1),COUNT($CI$9:$CI$508)+1)))</f>
        <v/>
      </c>
      <c r="CK184" s="97" t="str">
        <f aca="false">IF($BZ184&lt;&gt;Constants!$B$8,"",IF($BM184="-&gt;",$BW184,$BK184))</f>
        <v/>
      </c>
      <c r="CL184" s="93" t="str">
        <f aca="false">IF(ISBLANK($C184),"",IF($BZ184&lt;&gt;Constants!$B$8,$BZ184,IF(ISNUMBER($CK184),RANK($CK184,$CK$9:$CK$508,1),COUNT($CK$9:$CK$508)+1)))</f>
        <v/>
      </c>
      <c r="CM184" s="97" t="str">
        <f aca="false">IF($BZ184&lt;&gt;Constants!$B$8,"",IF(AND(NOT($AL184),NOT($AT184),$AJ184,$AK184,$AR184,$AS184),"",IF($BM184="-&gt;",$BX184,$BL184)))</f>
        <v/>
      </c>
      <c r="CN184" s="93" t="str">
        <f aca="false">IF(ISBLANK($C184),"",IF($BZ184&lt;&gt;Constants!$B$8,$BZ184,IF(ISNUMBER($CM184),RANK($CM184,$CM$9:$CM$508,1),COUNT($CM$9:$CM$508)+1)))</f>
        <v/>
      </c>
      <c r="CO184" s="93" t="str">
        <f aca="false">IF(ISBLANK($C184),"",IF($BZ184&lt;&gt;Constants!$B$8,$BZ184,COUNTIFS($CF$9:$CF$508,"&lt;"&amp;$CF184)+COUNTIFS($CF$9:$CF$508,$CF184,$CH$9:$CH$508,"&lt;"&amp;$CH184)+COUNTIFS($CF$9:$CF$508,$CF184,$CH$9:$CH$508,$CH184,$CJ$9:$CJ$508,"&lt;"&amp;$CJ184)+COUNTIFS($CF$9:$CF$508,$CF184,$CH$9:$CH$508,$CH184,$CJ$9:$CJ$508,$CJ184,$CL$9:$CL$508,"&lt;"&amp;$CL184)+COUNTIFS($CF$9:$CF$508,$CF184,$CH$9:$CH$508,$CH184,$CJ$9:$CJ$508,$CJ184,$CL$9:$CL$508,$CL184,$CN$9:$CN$508,"&lt;"&amp;$CN184)+1))</f>
        <v/>
      </c>
      <c r="CP184" s="93" t="str">
        <f aca="false">IF(ISBLANK($C184),"",IF($BZ184&lt;&gt;Constants!$B$8,$BZ184,$CF184-$CO184))</f>
        <v/>
      </c>
      <c r="CQ184" s="100"/>
      <c r="CR184" s="101"/>
      <c r="CS184" s="102" t="str">
        <f aca="false">IF(ISBLANK($C184),"",IF($BZ184=Constants!$B$12,$BY184,""))</f>
        <v/>
      </c>
      <c r="CT184" s="101" t="str">
        <f aca="false">IF(ISBLANK($C184),"",IF($BZ184&lt;&gt;Constants!$B$8,"",IF($BM184="-&gt;",2,1)))</f>
        <v/>
      </c>
      <c r="CU184" s="103" t="str">
        <f aca="false">IF(ISBLANK($C184),"",IF($BZ184&lt;&gt;Constants!$B$8,"",IF($BM184="-&gt;",$BO184,$BC184)))</f>
        <v/>
      </c>
      <c r="CV184" s="103" t="str">
        <f aca="false">IF(ISBLANK($C184),"",IF($BZ184&lt;&gt;Constants!$B$8,"",IF($BM184="-&gt;",$BP184,$BD184)))</f>
        <v/>
      </c>
      <c r="CW184" s="103" t="str">
        <f aca="false">IF(ISBLANK($C184),"",IF($BZ184&lt;&gt;Constants!$B$8,"",IF($BM184="-&gt;",$BQ184+$BR184,$BE184+$BF184)+$CD184))</f>
        <v/>
      </c>
      <c r="CX184" s="103" t="str">
        <f aca="false">IF(ISBLANK($C184),"",IF($BZ184&lt;&gt;Constants!$B$8,"",IF($BM184="-&gt;",$BS184,$BG184)+$CC184))</f>
        <v/>
      </c>
      <c r="CY184" s="104" t="str">
        <f aca="false">IF(ISBLANK($C184),"",IF($BZ184&lt;&gt;Constants!$B$8,$BZ184,$CE184))</f>
        <v/>
      </c>
      <c r="CZ184" s="105" t="str">
        <f aca="false">IF(ISBLANK($C184),"",$CA184)</f>
        <v/>
      </c>
      <c r="DA184" s="106" t="str">
        <f aca="false">IF(ISBLANK($C184),"",$CP184)</f>
        <v/>
      </c>
      <c r="DB184" s="106" t="str">
        <f aca="false">IF(ISBLANK($C184),"",$CO184)</f>
        <v/>
      </c>
      <c r="DC184" s="107" t="str">
        <f aca="false">IF(ISBLANK($C184),"",IFERROR(_xlfn.SWITCH($DB184,Constants!$B$11,COUNTA($C$9:$C$508)+2,Constants!$B$10,COUNTA($C$9:$C$508)+1,Constants!$B$9,COUNTA($C$9:$C$508)),$DB184))</f>
        <v/>
      </c>
      <c r="DD184" s="9"/>
      <c r="DE184" s="108" t="n">
        <f aca="false">IF(OR(ISNUMBER($DB184),$DB184=Constants!$B$11,$DB184=Constants!$B$9,$DB184=Constants!$B$10),1,0)</f>
        <v>0</v>
      </c>
      <c r="DF184" s="108" t="n">
        <v>176</v>
      </c>
      <c r="DG184" s="108" t="str">
        <f aca="false">IF(ISBLANK($C184),"",IF(ISNUMBER($DC184),$DC184+ROW($B184)/1000,""))</f>
        <v/>
      </c>
      <c r="DH184" s="108" t="str">
        <f aca="false">IF(ISNUMBER($DG184),RANK($DG184,$DG$9:$DG$508,1),"")</f>
        <v/>
      </c>
      <c r="DI184" s="108" t="str">
        <f aca="false">IF(ISBLANK($C184),"",$B184)</f>
        <v/>
      </c>
      <c r="DJ184" s="108" t="str">
        <f aca="false">IF(ISBLANK($C184),"",$C184)</f>
        <v/>
      </c>
      <c r="DK184" s="108" t="str">
        <f aca="false">IF(ISBLANK($C184),"",$D184)</f>
        <v/>
      </c>
      <c r="DL184" s="109" t="str">
        <f aca="false">$CZ184</f>
        <v/>
      </c>
      <c r="DM184" s="110" t="str">
        <f aca="false">$CY184</f>
        <v/>
      </c>
      <c r="DN184" s="108" t="str">
        <f aca="false">IF(ISBLANK($C184),"",$DB184)</f>
        <v/>
      </c>
      <c r="DO184" s="111" t="str">
        <f aca="false">IF($DF184&gt;$DE$8,"",VLOOKUP($DF184,$DH$9:$DN$508,7,FALSE()))</f>
        <v/>
      </c>
      <c r="DP184" s="112" t="str">
        <f aca="false">IF($DF184&gt;$DE$8,"",VLOOKUP($DF184,$DH$9:$DN$508,2,FALSE()))</f>
        <v/>
      </c>
      <c r="DQ184" s="112" t="str">
        <f aca="false">IF($DF184&gt;$DE$8,"",VLOOKUP($DF184,$DH$9:$DN$508,3,FALSE()))</f>
        <v/>
      </c>
      <c r="DR184" s="112" t="str">
        <f aca="false">IF($DF184&gt;$DE$8,"",VLOOKUP($DF184,$DH$9:$DN$508,4,FALSE()))</f>
        <v/>
      </c>
      <c r="DS184" s="112" t="str">
        <f aca="false">IF($DF184&gt;$DE$8,"",VLOOKUP($DF184,$DH$9:$DN$508,5,FALSE()))</f>
        <v/>
      </c>
      <c r="DT184" s="113" t="str">
        <f aca="false">IF($DF184&gt;$DE$8,"",VLOOKUP($DF184,$DH$9:$DN$508,6,FALSE()))</f>
        <v/>
      </c>
      <c r="DU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IF(ISBLANK($C185),"",IF(E185=Constants!$B$3,TRUE(),IF(E185=Constants!$B$4,FALSE(),TRUE())))</f>
        <v/>
      </c>
      <c r="AG185" s="93" t="str">
        <f aca="false">IF(ISBLANK($C185),"",IF(F185=Constants!$B$3,TRUE(),IF(F185=Constants!$B$4,FALSE(),TRUE())))</f>
        <v/>
      </c>
      <c r="AH185" s="93" t="str">
        <f aca="false">IF(ISBLANK($C185),"",IF(G185=Constants!$B$3,TRUE(),IF(G185=Constants!$B$4,FALSE(),TRUE())))</f>
        <v/>
      </c>
      <c r="AI185" s="93" t="str">
        <f aca="false">IF(ISBLANK($C185),"",IF(AND(ISNUMBER(H185),H185&gt;=0),H185,Constants!$B$29))</f>
        <v/>
      </c>
      <c r="AJ185" s="93" t="str">
        <f aca="false">IF(ISBLANK($C185),"",IF(I185=Constants!$B$3,TRUE(),IF(I185=Constants!$B$4,FALSE(),TRUE())))</f>
        <v/>
      </c>
      <c r="AK185" s="93" t="str">
        <f aca="false">IF(ISBLANK($C185),"",IF(J185=Constants!$B$3,TRUE(),IF(J185=Constants!$B$4,FALSE(),TRUE())))</f>
        <v/>
      </c>
      <c r="AL185" s="93" t="str">
        <f aca="false">IF(ISBLANK($C185),"",IF(K185=Constants!$B$5,TRUE(),IF(K185=Constants!$B$6,FALSE(),COUNTA(L185:P185)&gt;0)))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IF(ISBLANK($C185),"",IF(N185=Constants!$B$3,TRUE(),IF(N185=Constants!$B$4,FALSE(),TRUE())))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IF(ISBLANK($C185),"",IF(P185=Constants!$B$3,TRUE(),IF(P185=Constants!$B$4,FALSE(),FALSE())))</f>
        <v/>
      </c>
      <c r="AR185" s="93" t="str">
        <f aca="false">IF(ISBLANK($C185),"",IF(Q185=Constants!$B$3,TRUE(),IF(Q185=Constants!$B$4,FALSE(),TRUE())))</f>
        <v/>
      </c>
      <c r="AS185" s="93" t="str">
        <f aca="false">IF(ISBLANK($C185),"",IF(R185=Constants!$B$3,TRUE(),IF(R185=Constants!$B$4,FALSE(),TRUE())))</f>
        <v/>
      </c>
      <c r="AT185" s="93" t="str">
        <f aca="false">IF(ISBLANK($C185),"",IF(S185=Constants!$B$5,TRUE(),IF(S185=Constants!$B$6,FALSE(),COUNTA(T185:X185)&gt;0)))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IF(ISBLANK($C185),"",IF(V185=Constants!$B$3,TRUE(),IF(V185=Constants!$B$4,FALSE(),TRUE())))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IF(ISBLANK($C185),"",IF(X185=Constants!$B$3,TRUE(),IF(X185=Constants!$B$4,FALSE(),FALSE())))</f>
        <v/>
      </c>
      <c r="AZ185" s="93" t="str">
        <f aca="false">IF(ISBLANK($C185),"",MIN(Constants!$B$31,MAX(0,IF(ISNUMBER(Y185),Y185*60,0)+IF(ISNUMBER(Z185),Z185,0))))</f>
        <v/>
      </c>
      <c r="BA185" s="93" t="str">
        <f aca="false">IF(ISBLANK($C185),"",IF(AA185=Constants!$B$3,TRUE(),IF(AA185=Constants!$B$4,FALSE(),FALSE())))</f>
        <v/>
      </c>
      <c r="BB185" s="92" t="str">
        <f aca="false">IF(ISBLANK($C185),"",AND($AL185,OR($AM185="",$AN185="",AND($AO185,$AP185=""))))</f>
        <v/>
      </c>
      <c r="BC185" s="94" t="str">
        <f aca="false">IF($BZ185&lt;&gt;Constants!$B$8,"",IF($AL185,Constants!$B$21*$AN185+Constants!$B$22*IF($AO185,$AP185,Constants!$B$23),Constants!$B$24))</f>
        <v/>
      </c>
      <c r="BD185" s="97" t="str">
        <f aca="false">IF($BZ185&lt;&gt;Constants!$B$8,"",Constants!$B$25*ABS($AD$9-IF($AL185,$AM185,0)))</f>
        <v/>
      </c>
      <c r="BE185" s="97" t="str">
        <f aca="false">IF($BZ185&lt;&gt;Constants!$B$8,"",IF(AND($AL185,$AQ185,$AO185),Constants!$B$27,0))</f>
        <v/>
      </c>
      <c r="BF185" s="97" t="str">
        <f aca="false">IF($BZ185&lt;&gt;Constants!$B$8,"",IF($AL185,($AI185-Constants!$B$29)*Constants!$B$28,0))</f>
        <v/>
      </c>
      <c r="BG185" s="97" t="str">
        <f aca="false">IF($BZ185&lt;&gt;Constants!$B$8,"",IF($AK185,0,Constants!$B$15)+IF($AJ185,0,Constants!$B$16)+IF($AH185,0,Constants!$B$17))</f>
        <v/>
      </c>
      <c r="BH185" s="98" t="str">
        <f aca="false">IF($BZ185&lt;&gt;Constants!$B$8,"",Constants!$B$20+SUM($BC185:$BG185))</f>
        <v/>
      </c>
      <c r="BI185" s="97" t="str">
        <f aca="false">IF($BZ185&lt;&gt;Constants!$B$8,"",$BC185)</f>
        <v/>
      </c>
      <c r="BJ185" s="97" t="str">
        <f aca="false">IF($BZ185&lt;&gt;Constants!$B$8,"",$BD185)</f>
        <v/>
      </c>
      <c r="BK185" s="97" t="str">
        <f aca="false">IF($BZ185&lt;&gt;Constants!$B$8,"",IF($AL185,$AN185,""))</f>
        <v/>
      </c>
      <c r="BL185" s="99" t="str">
        <f aca="false">IF($BZ185&lt;&gt;Constants!$B$8,"",$AI185)</f>
        <v/>
      </c>
      <c r="BM185" s="93" t="str">
        <f aca="false">IF($BZ185&lt;&gt;Constants!$B$8,"",IF(OR($BT185&lt;$BH185,AND($BT185=$BH185,OR($BU185&lt;$BI185,AND($BU185=$BI185,OR($BV185&lt;$BJ185,AND($BV185=$BJ185,OR(AND(ISNUMBER($BW185),OR(NOT(ISNUMBER($BK185)),$BW185&lt;$BK185)),AND(OR(AND($BW185="",$BK185=""),AND(ISNUMBER($BW185),ISNUMBER($BK185),$BW185=$BK185)),$BX185&lt;$BL185)))))))),"-&gt;","&lt;-"))</f>
        <v/>
      </c>
      <c r="BN185" s="92" t="str">
        <f aca="false">IF(ISBLANK($C185),"",AND($AT185,OR($AU185="",$AV185="",AND($AW185,$AX185=""))))</f>
        <v/>
      </c>
      <c r="BO185" s="94" t="str">
        <f aca="false">IF($BZ185&lt;&gt;Constants!$B$8,"",IF($AT185,Constants!$B$21*$AV185+Constants!$B$22*IF($AW185,$AX185,Constants!$B$23),Constants!$B$24))</f>
        <v/>
      </c>
      <c r="BP185" s="97" t="str">
        <f aca="false">IF($BZ185&lt;&gt;Constants!$B$8,"",Constants!$B$25*ABS($AD$9-IF($AT185,$AU185,0)))</f>
        <v/>
      </c>
      <c r="BQ185" s="97" t="str">
        <f aca="false">IF($BZ185&lt;&gt;Constants!$B$8,"",IF(AND($AT185,$AY185,$AW185),Constants!$B$27,0))</f>
        <v/>
      </c>
      <c r="BR185" s="97" t="str">
        <f aca="false">IF($BZ185&lt;&gt;Constants!$B$8,"",IF($AT185,($AI185-Constants!$B$29)*Constants!$B$28,0))</f>
        <v/>
      </c>
      <c r="BS185" s="97" t="str">
        <f aca="false">IF($BZ185&lt;&gt;Constants!$B$8,"",IF($AS185,0,Constants!$B$15)+IF($AR185,0,Constants!$B$16)+IF($AH185,0,Constants!$B$17))</f>
        <v/>
      </c>
      <c r="BT185" s="98" t="str">
        <f aca="false">IF($BZ185&lt;&gt;Constants!$B$8,"",Constants!$B$20+SUM($BO185:$BS185))</f>
        <v/>
      </c>
      <c r="BU185" s="97" t="str">
        <f aca="false">IF($BZ185&lt;&gt;Constants!$B$8,"",$BO185)</f>
        <v/>
      </c>
      <c r="BV185" s="97" t="str">
        <f aca="false">IF($BZ185&lt;&gt;Constants!$B$8,"",$BP185)</f>
        <v/>
      </c>
      <c r="BW185" s="97" t="str">
        <f aca="false">IF($BZ185&lt;&gt;Constants!$B$8,"",IF($AT185,$AV185,""))</f>
        <v/>
      </c>
      <c r="BX185" s="99" t="str">
        <f aca="false">IF($BZ185&lt;&gt;Constants!$B$8,"",$AI185)</f>
        <v/>
      </c>
      <c r="BY185" s="93" t="str">
        <f aca="false">IF(ISBLANK($C185),"",IF(ISBLANK($D$7),$BY$5,IF(NOT(ISNUMBER($D$7)),$BY$6,"")))</f>
        <v/>
      </c>
      <c r="BZ185" s="93" t="str">
        <f aca="false">IF(ISBLANK($C185),"",IF($BA185,Constants!$B$11,IF(COUNTA($E185:$AA185)=0,Constants!$B$10,IF(NOT($AG185),Constants!$B$9,IF(OR($BY185&lt;&gt;"",$BB185,$BN185),Constants!$B$12,Constants!$B$8)))))</f>
        <v/>
      </c>
      <c r="CA185" s="93" t="str">
        <f aca="false">IF(ISBLANK($C185),"",IF($BZ185&lt;&gt;Constants!$B$8,$BZ185,Constants!$B$13))</f>
        <v/>
      </c>
      <c r="CB185" s="97" t="str">
        <f aca="false">IF($BZ185&lt;&gt;Constants!$B$8,"",IF($BM185="-&gt;",$BT185,$BH185))</f>
        <v/>
      </c>
      <c r="CC185" s="97" t="str">
        <f aca="false">IF($BZ185&lt;&gt;Constants!$B$8,"",IF($AF185,0,Constants!$B$18))</f>
        <v/>
      </c>
      <c r="CD185" s="97" t="str">
        <f aca="false">IF($BZ185&lt;&gt;Constants!$B$8,"",((Constants!$B$31-$AZ185)-Constants!$B$31)/Constants!$B$32)</f>
        <v/>
      </c>
      <c r="CE185" s="97" t="str">
        <f aca="false">IF(ISBLANK($C185),"",IF($BZ185&lt;&gt;Constants!$B$8,$BZ185,SUM($CB185:$CD185)))</f>
        <v/>
      </c>
      <c r="CF185" s="93" t="str">
        <f aca="false">IF(ISBLANK($C185),"",IF($BZ185&lt;&gt;Constants!$B$8,$BZ185,RANK($CE185,$CE$9:$CE$508,1)))</f>
        <v/>
      </c>
      <c r="CG185" s="97" t="str">
        <f aca="false">IF($BZ185&lt;&gt;Constants!$B$8,"",IF($BM185="-&gt;",$BU185,$BI185))</f>
        <v/>
      </c>
      <c r="CH185" s="93" t="str">
        <f aca="false">IF(ISBLANK($C185),"",IF($BZ185&lt;&gt;Constants!$B$8,$BZ185,IF(ISNUMBER($CG185),RANK($CG185,$CG$9:$CG$508,1),COUNT($CG$9:$CG$508)+1)))</f>
        <v/>
      </c>
      <c r="CI185" s="97" t="str">
        <f aca="false">IF($BZ185&lt;&gt;Constants!$B$8,"",IF($BM185="-&gt;",$BV185,$BJ185))</f>
        <v/>
      </c>
      <c r="CJ185" s="93" t="str">
        <f aca="false">IF(ISBLANK($C185),"",IF($BZ185&lt;&gt;Constants!$B$8,$BZ185,IF(ISNUMBER($CI185),RANK($CI185,$CI$9:$CI$508,1),COUNT($CI$9:$CI$508)+1)))</f>
        <v/>
      </c>
      <c r="CK185" s="97" t="str">
        <f aca="false">IF($BZ185&lt;&gt;Constants!$B$8,"",IF($BM185="-&gt;",$BW185,$BK185))</f>
        <v/>
      </c>
      <c r="CL185" s="93" t="str">
        <f aca="false">IF(ISBLANK($C185),"",IF($BZ185&lt;&gt;Constants!$B$8,$BZ185,IF(ISNUMBER($CK185),RANK($CK185,$CK$9:$CK$508,1),COUNT($CK$9:$CK$508)+1)))</f>
        <v/>
      </c>
      <c r="CM185" s="97" t="str">
        <f aca="false">IF($BZ185&lt;&gt;Constants!$B$8,"",IF(AND(NOT($AL185),NOT($AT185),$AJ185,$AK185,$AR185,$AS185),"",IF($BM185="-&gt;",$BX185,$BL185)))</f>
        <v/>
      </c>
      <c r="CN185" s="93" t="str">
        <f aca="false">IF(ISBLANK($C185),"",IF($BZ185&lt;&gt;Constants!$B$8,$BZ185,IF(ISNUMBER($CM185),RANK($CM185,$CM$9:$CM$508,1),COUNT($CM$9:$CM$508)+1)))</f>
        <v/>
      </c>
      <c r="CO185" s="93" t="str">
        <f aca="false">IF(ISBLANK($C185),"",IF($BZ185&lt;&gt;Constants!$B$8,$BZ185,COUNTIFS($CF$9:$CF$508,"&lt;"&amp;$CF185)+COUNTIFS($CF$9:$CF$508,$CF185,$CH$9:$CH$508,"&lt;"&amp;$CH185)+COUNTIFS($CF$9:$CF$508,$CF185,$CH$9:$CH$508,$CH185,$CJ$9:$CJ$508,"&lt;"&amp;$CJ185)+COUNTIFS($CF$9:$CF$508,$CF185,$CH$9:$CH$508,$CH185,$CJ$9:$CJ$508,$CJ185,$CL$9:$CL$508,"&lt;"&amp;$CL185)+COUNTIFS($CF$9:$CF$508,$CF185,$CH$9:$CH$508,$CH185,$CJ$9:$CJ$508,$CJ185,$CL$9:$CL$508,$CL185,$CN$9:$CN$508,"&lt;"&amp;$CN185)+1))</f>
        <v/>
      </c>
      <c r="CP185" s="93" t="str">
        <f aca="false">IF(ISBLANK($C185),"",IF($BZ185&lt;&gt;Constants!$B$8,$BZ185,$CF185-$CO185))</f>
        <v/>
      </c>
      <c r="CQ185" s="100"/>
      <c r="CR185" s="101"/>
      <c r="CS185" s="102" t="str">
        <f aca="false">IF(ISBLANK($C185),"",IF($BZ185=Constants!$B$12,$BY185,""))</f>
        <v/>
      </c>
      <c r="CT185" s="101" t="str">
        <f aca="false">IF(ISBLANK($C185),"",IF($BZ185&lt;&gt;Constants!$B$8,"",IF($BM185="-&gt;",2,1)))</f>
        <v/>
      </c>
      <c r="CU185" s="103" t="str">
        <f aca="false">IF(ISBLANK($C185),"",IF($BZ185&lt;&gt;Constants!$B$8,"",IF($BM185="-&gt;",$BO185,$BC185)))</f>
        <v/>
      </c>
      <c r="CV185" s="103" t="str">
        <f aca="false">IF(ISBLANK($C185),"",IF($BZ185&lt;&gt;Constants!$B$8,"",IF($BM185="-&gt;",$BP185,$BD185)))</f>
        <v/>
      </c>
      <c r="CW185" s="103" t="str">
        <f aca="false">IF(ISBLANK($C185),"",IF($BZ185&lt;&gt;Constants!$B$8,"",IF($BM185="-&gt;",$BQ185+$BR185,$BE185+$BF185)+$CD185))</f>
        <v/>
      </c>
      <c r="CX185" s="103" t="str">
        <f aca="false">IF(ISBLANK($C185),"",IF($BZ185&lt;&gt;Constants!$B$8,"",IF($BM185="-&gt;",$BS185,$BG185)+$CC185))</f>
        <v/>
      </c>
      <c r="CY185" s="104" t="str">
        <f aca="false">IF(ISBLANK($C185),"",IF($BZ185&lt;&gt;Constants!$B$8,$BZ185,$CE185))</f>
        <v/>
      </c>
      <c r="CZ185" s="105" t="str">
        <f aca="false">IF(ISBLANK($C185),"",$CA185)</f>
        <v/>
      </c>
      <c r="DA185" s="106" t="str">
        <f aca="false">IF(ISBLANK($C185),"",$CP185)</f>
        <v/>
      </c>
      <c r="DB185" s="106" t="str">
        <f aca="false">IF(ISBLANK($C185),"",$CO185)</f>
        <v/>
      </c>
      <c r="DC185" s="107" t="str">
        <f aca="false">IF(ISBLANK($C185),"",IFERROR(_xlfn.SWITCH($DB185,Constants!$B$11,COUNTA($C$9:$C$508)+2,Constants!$B$10,COUNTA($C$9:$C$508)+1,Constants!$B$9,COUNTA($C$9:$C$508)),$DB185))</f>
        <v/>
      </c>
      <c r="DD185" s="9"/>
      <c r="DE185" s="108" t="n">
        <f aca="false">IF(OR(ISNUMBER($DB185),$DB185=Constants!$B$11,$DB185=Constants!$B$9,$DB185=Constants!$B$10),1,0)</f>
        <v>0</v>
      </c>
      <c r="DF185" s="108" t="n">
        <v>177</v>
      </c>
      <c r="DG185" s="108" t="str">
        <f aca="false">IF(ISBLANK($C185),"",IF(ISNUMBER($DC185),$DC185+ROW($B185)/1000,""))</f>
        <v/>
      </c>
      <c r="DH185" s="108" t="str">
        <f aca="false">IF(ISNUMBER($DG185),RANK($DG185,$DG$9:$DG$508,1),"")</f>
        <v/>
      </c>
      <c r="DI185" s="108" t="str">
        <f aca="false">IF(ISBLANK($C185),"",$B185)</f>
        <v/>
      </c>
      <c r="DJ185" s="108" t="str">
        <f aca="false">IF(ISBLANK($C185),"",$C185)</f>
        <v/>
      </c>
      <c r="DK185" s="108" t="str">
        <f aca="false">IF(ISBLANK($C185),"",$D185)</f>
        <v/>
      </c>
      <c r="DL185" s="109" t="str">
        <f aca="false">$CZ185</f>
        <v/>
      </c>
      <c r="DM185" s="110" t="str">
        <f aca="false">$CY185</f>
        <v/>
      </c>
      <c r="DN185" s="108" t="str">
        <f aca="false">IF(ISBLANK($C185),"",$DB185)</f>
        <v/>
      </c>
      <c r="DO185" s="111" t="str">
        <f aca="false">IF($DF185&gt;$DE$8,"",VLOOKUP($DF185,$DH$9:$DN$508,7,FALSE()))</f>
        <v/>
      </c>
      <c r="DP185" s="112" t="str">
        <f aca="false">IF($DF185&gt;$DE$8,"",VLOOKUP($DF185,$DH$9:$DN$508,2,FALSE()))</f>
        <v/>
      </c>
      <c r="DQ185" s="112" t="str">
        <f aca="false">IF($DF185&gt;$DE$8,"",VLOOKUP($DF185,$DH$9:$DN$508,3,FALSE()))</f>
        <v/>
      </c>
      <c r="DR185" s="112" t="str">
        <f aca="false">IF($DF185&gt;$DE$8,"",VLOOKUP($DF185,$DH$9:$DN$508,4,FALSE()))</f>
        <v/>
      </c>
      <c r="DS185" s="112" t="str">
        <f aca="false">IF($DF185&gt;$DE$8,"",VLOOKUP($DF185,$DH$9:$DN$508,5,FALSE()))</f>
        <v/>
      </c>
      <c r="DT185" s="113" t="str">
        <f aca="false">IF($DF185&gt;$DE$8,"",VLOOKUP($DF185,$DH$9:$DN$508,6,FALSE()))</f>
        <v/>
      </c>
      <c r="DU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IF(ISBLANK($C186),"",IF(E186=Constants!$B$3,TRUE(),IF(E186=Constants!$B$4,FALSE(),TRUE())))</f>
        <v/>
      </c>
      <c r="AG186" s="135" t="str">
        <f aca="false">IF(ISBLANK($C186),"",IF(F186=Constants!$B$3,TRUE(),IF(F186=Constants!$B$4,FALSE(),TRUE())))</f>
        <v/>
      </c>
      <c r="AH186" s="135" t="str">
        <f aca="false">IF(ISBLANK($C186),"",IF(G186=Constants!$B$3,TRUE(),IF(G186=Constants!$B$4,FALSE(),TRUE())))</f>
        <v/>
      </c>
      <c r="AI186" s="135" t="str">
        <f aca="false">IF(ISBLANK($C186),"",IF(AND(ISNUMBER(H186),H186&gt;=0),H186,Constants!$B$29))</f>
        <v/>
      </c>
      <c r="AJ186" s="135" t="str">
        <f aca="false">IF(ISBLANK($C186),"",IF(I186=Constants!$B$3,TRUE(),IF(I186=Constants!$B$4,FALSE(),TRUE())))</f>
        <v/>
      </c>
      <c r="AK186" s="135" t="str">
        <f aca="false">IF(ISBLANK($C186),"",IF(J186=Constants!$B$3,TRUE(),IF(J186=Constants!$B$4,FALSE(),TRUE())))</f>
        <v/>
      </c>
      <c r="AL186" s="135" t="str">
        <f aca="false">IF(ISBLANK($C186),"",IF(K186=Constants!$B$5,TRUE(),IF(K186=Constants!$B$6,FALSE(),COUNTA(L186:P186)&gt;0)))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IF(ISBLANK($C186),"",IF(N186=Constants!$B$3,TRUE(),IF(N186=Constants!$B$4,FALSE(),TRUE())))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IF(ISBLANK($C186),"",IF(P186=Constants!$B$3,TRUE(),IF(P186=Constants!$B$4,FALSE(),FALSE())))</f>
        <v/>
      </c>
      <c r="AR186" s="135" t="str">
        <f aca="false">IF(ISBLANK($C186),"",IF(Q186=Constants!$B$3,TRUE(),IF(Q186=Constants!$B$4,FALSE(),TRUE())))</f>
        <v/>
      </c>
      <c r="AS186" s="135" t="str">
        <f aca="false">IF(ISBLANK($C186),"",IF(R186=Constants!$B$3,TRUE(),IF(R186=Constants!$B$4,FALSE(),TRUE())))</f>
        <v/>
      </c>
      <c r="AT186" s="135" t="str">
        <f aca="false">IF(ISBLANK($C186),"",IF(S186=Constants!$B$5,TRUE(),IF(S186=Constants!$B$6,FALSE(),COUNTA(T186:X186)&gt;0)))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IF(ISBLANK($C186),"",IF(V186=Constants!$B$3,TRUE(),IF(V186=Constants!$B$4,FALSE(),TRUE())))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IF(ISBLANK($C186),"",IF(X186=Constants!$B$3,TRUE(),IF(X186=Constants!$B$4,FALSE(),FALSE())))</f>
        <v/>
      </c>
      <c r="AZ186" s="135" t="str">
        <f aca="false">IF(ISBLANK($C186),"",MIN(Constants!$B$31,MAX(0,IF(ISNUMBER(Y186),Y186*60,0)+IF(ISNUMBER(Z186),Z186,0))))</f>
        <v/>
      </c>
      <c r="BA186" s="135" t="str">
        <f aca="false">IF(ISBLANK($C186),"",IF(AA186=Constants!$B$3,TRUE(),IF(AA186=Constants!$B$4,FALSE(),FALSE())))</f>
        <v/>
      </c>
      <c r="BB186" s="134" t="str">
        <f aca="false">IF(ISBLANK($C186),"",AND($AL186,OR($AM186="",$AN186="",AND($AO186,$AP186=""))))</f>
        <v/>
      </c>
      <c r="BC186" s="137" t="str">
        <f aca="false">IF($BZ186&lt;&gt;Constants!$B$8,"",IF($AL186,Constants!$B$21*$AN186+Constants!$B$22*IF($AO186,$AP186,Constants!$B$23),Constants!$B$24))</f>
        <v/>
      </c>
      <c r="BD186" s="138" t="str">
        <f aca="false">IF($BZ186&lt;&gt;Constants!$B$8,"",Constants!$B$25*ABS($AD$9-IF($AL186,$AM186,0)))</f>
        <v/>
      </c>
      <c r="BE186" s="138" t="str">
        <f aca="false">IF($BZ186&lt;&gt;Constants!$B$8,"",IF(AND($AL186,$AQ186,$AO186),Constants!$B$27,0))</f>
        <v/>
      </c>
      <c r="BF186" s="138" t="str">
        <f aca="false">IF($BZ186&lt;&gt;Constants!$B$8,"",IF($AL186,($AI186-Constants!$B$29)*Constants!$B$28,0))</f>
        <v/>
      </c>
      <c r="BG186" s="138" t="str">
        <f aca="false">IF($BZ186&lt;&gt;Constants!$B$8,"",IF($AK186,0,Constants!$B$15)+IF($AJ186,0,Constants!$B$16)+IF($AH186,0,Constants!$B$17))</f>
        <v/>
      </c>
      <c r="BH186" s="139" t="str">
        <f aca="false">IF($BZ186&lt;&gt;Constants!$B$8,"",Constants!$B$20+SUM($BC186:$BG186))</f>
        <v/>
      </c>
      <c r="BI186" s="138" t="str">
        <f aca="false">IF($BZ186&lt;&gt;Constants!$B$8,"",$BC186)</f>
        <v/>
      </c>
      <c r="BJ186" s="138" t="str">
        <f aca="false">IF($BZ186&lt;&gt;Constants!$B$8,"",$BD186)</f>
        <v/>
      </c>
      <c r="BK186" s="138" t="str">
        <f aca="false">IF($BZ186&lt;&gt;Constants!$B$8,"",IF($AL186,$AN186,""))</f>
        <v/>
      </c>
      <c r="BL186" s="140" t="str">
        <f aca="false">IF($BZ186&lt;&gt;Constants!$B$8,"",$AI186)</f>
        <v/>
      </c>
      <c r="BM186" s="135" t="str">
        <f aca="false">IF($BZ186&lt;&gt;Constants!$B$8,"",IF(OR($BT186&lt;$BH186,AND($BT186=$BH186,OR($BU186&lt;$BI186,AND($BU186=$BI186,OR($BV186&lt;$BJ186,AND($BV186=$BJ186,OR(AND(ISNUMBER($BW186),OR(NOT(ISNUMBER($BK186)),$BW186&lt;$BK186)),AND(OR(AND($BW186="",$BK186=""),AND(ISNUMBER($BW186),ISNUMBER($BK186),$BW186=$BK186)),$BX186&lt;$BL186)))))))),"-&gt;","&lt;-"))</f>
        <v/>
      </c>
      <c r="BN186" s="134" t="str">
        <f aca="false">IF(ISBLANK($C186),"",AND($AT186,OR($AU186="",$AV186="",AND($AW186,$AX186=""))))</f>
        <v/>
      </c>
      <c r="BO186" s="137" t="str">
        <f aca="false">IF($BZ186&lt;&gt;Constants!$B$8,"",IF($AT186,Constants!$B$21*$AV186+Constants!$B$22*IF($AW186,$AX186,Constants!$B$23),Constants!$B$24))</f>
        <v/>
      </c>
      <c r="BP186" s="138" t="str">
        <f aca="false">IF($BZ186&lt;&gt;Constants!$B$8,"",Constants!$B$25*ABS($AD$9-IF($AT186,$AU186,0)))</f>
        <v/>
      </c>
      <c r="BQ186" s="138" t="str">
        <f aca="false">IF($BZ186&lt;&gt;Constants!$B$8,"",IF(AND($AT186,$AY186,$AW186),Constants!$B$27,0))</f>
        <v/>
      </c>
      <c r="BR186" s="138" t="str">
        <f aca="false">IF($BZ186&lt;&gt;Constants!$B$8,"",IF($AT186,($AI186-Constants!$B$29)*Constants!$B$28,0))</f>
        <v/>
      </c>
      <c r="BS186" s="138" t="str">
        <f aca="false">IF($BZ186&lt;&gt;Constants!$B$8,"",IF($AS186,0,Constants!$B$15)+IF($AR186,0,Constants!$B$16)+IF($AH186,0,Constants!$B$17))</f>
        <v/>
      </c>
      <c r="BT186" s="139" t="str">
        <f aca="false">IF($BZ186&lt;&gt;Constants!$B$8,"",Constants!$B$20+SUM($BO186:$BS186))</f>
        <v/>
      </c>
      <c r="BU186" s="138" t="str">
        <f aca="false">IF($BZ186&lt;&gt;Constants!$B$8,"",$BO186)</f>
        <v/>
      </c>
      <c r="BV186" s="138" t="str">
        <f aca="false">IF($BZ186&lt;&gt;Constants!$B$8,"",$BP186)</f>
        <v/>
      </c>
      <c r="BW186" s="138" t="str">
        <f aca="false">IF($BZ186&lt;&gt;Constants!$B$8,"",IF($AT186,$AV186,""))</f>
        <v/>
      </c>
      <c r="BX186" s="140" t="str">
        <f aca="false">IF($BZ186&lt;&gt;Constants!$B$8,"",$AI186)</f>
        <v/>
      </c>
      <c r="BY186" s="135" t="str">
        <f aca="false">IF(ISBLANK($C186),"",IF(ISBLANK($D$7),$BY$5,IF(NOT(ISNUMBER($D$7)),$BY$6,"")))</f>
        <v/>
      </c>
      <c r="BZ186" s="135" t="str">
        <f aca="false">IF(ISBLANK($C186),"",IF($BA186,Constants!$B$11,IF(COUNTA($E186:$AA186)=0,Constants!$B$10,IF(NOT($AG186),Constants!$B$9,IF(OR($BY186&lt;&gt;"",$BB186,$BN186),Constants!$B$12,Constants!$B$8)))))</f>
        <v/>
      </c>
      <c r="CA186" s="135" t="str">
        <f aca="false">IF(ISBLANK($C186),"",IF($BZ186&lt;&gt;Constants!$B$8,$BZ186,Constants!$B$13))</f>
        <v/>
      </c>
      <c r="CB186" s="138" t="str">
        <f aca="false">IF($BZ186&lt;&gt;Constants!$B$8,"",IF($BM186="-&gt;",$BT186,$BH186))</f>
        <v/>
      </c>
      <c r="CC186" s="138" t="str">
        <f aca="false">IF($BZ186&lt;&gt;Constants!$B$8,"",IF($AF186,0,Constants!$B$18))</f>
        <v/>
      </c>
      <c r="CD186" s="138" t="str">
        <f aca="false">IF($BZ186&lt;&gt;Constants!$B$8,"",((Constants!$B$31-$AZ186)-Constants!$B$31)/Constants!$B$32)</f>
        <v/>
      </c>
      <c r="CE186" s="138" t="str">
        <f aca="false">IF(ISBLANK($C186),"",IF($BZ186&lt;&gt;Constants!$B$8,$BZ186,SUM($CB186:$CD186)))</f>
        <v/>
      </c>
      <c r="CF186" s="135" t="str">
        <f aca="false">IF(ISBLANK($C186),"",IF($BZ186&lt;&gt;Constants!$B$8,$BZ186,RANK($CE186,$CE$9:$CE$508,1)))</f>
        <v/>
      </c>
      <c r="CG186" s="138" t="str">
        <f aca="false">IF($BZ186&lt;&gt;Constants!$B$8,"",IF($BM186="-&gt;",$BU186,$BI186))</f>
        <v/>
      </c>
      <c r="CH186" s="135" t="str">
        <f aca="false">IF(ISBLANK($C186),"",IF($BZ186&lt;&gt;Constants!$B$8,$BZ186,IF(ISNUMBER($CG186),RANK($CG186,$CG$9:$CG$508,1),COUNT($CG$9:$CG$508)+1)))</f>
        <v/>
      </c>
      <c r="CI186" s="138" t="str">
        <f aca="false">IF($BZ186&lt;&gt;Constants!$B$8,"",IF($BM186="-&gt;",$BV186,$BJ186))</f>
        <v/>
      </c>
      <c r="CJ186" s="135" t="str">
        <f aca="false">IF(ISBLANK($C186),"",IF($BZ186&lt;&gt;Constants!$B$8,$BZ186,IF(ISNUMBER($CI186),RANK($CI186,$CI$9:$CI$508,1),COUNT($CI$9:$CI$508)+1)))</f>
        <v/>
      </c>
      <c r="CK186" s="138" t="str">
        <f aca="false">IF($BZ186&lt;&gt;Constants!$B$8,"",IF($BM186="-&gt;",$BW186,$BK186))</f>
        <v/>
      </c>
      <c r="CL186" s="135" t="str">
        <f aca="false">IF(ISBLANK($C186),"",IF($BZ186&lt;&gt;Constants!$B$8,$BZ186,IF(ISNUMBER($CK186),RANK($CK186,$CK$9:$CK$508,1),COUNT($CK$9:$CK$508)+1)))</f>
        <v/>
      </c>
      <c r="CM186" s="138" t="str">
        <f aca="false">IF($BZ186&lt;&gt;Constants!$B$8,"",IF(AND(NOT($AL186),NOT($AT186),$AJ186,$AK186,$AR186,$AS186),"",IF($BM186="-&gt;",$BX186,$BL186)))</f>
        <v/>
      </c>
      <c r="CN186" s="135" t="str">
        <f aca="false">IF(ISBLANK($C186),"",IF($BZ186&lt;&gt;Constants!$B$8,$BZ186,IF(ISNUMBER($CM186),RANK($CM186,$CM$9:$CM$508,1),COUNT($CM$9:$CM$508)+1)))</f>
        <v/>
      </c>
      <c r="CO186" s="135" t="str">
        <f aca="false">IF(ISBLANK($C186),"",IF($BZ186&lt;&gt;Constants!$B$8,$BZ186,COUNTIFS($CF$9:$CF$508,"&lt;"&amp;$CF186)+COUNTIFS($CF$9:$CF$508,$CF186,$CH$9:$CH$508,"&lt;"&amp;$CH186)+COUNTIFS($CF$9:$CF$508,$CF186,$CH$9:$CH$508,$CH186,$CJ$9:$CJ$508,"&lt;"&amp;$CJ186)+COUNTIFS($CF$9:$CF$508,$CF186,$CH$9:$CH$508,$CH186,$CJ$9:$CJ$508,$CJ186,$CL$9:$CL$508,"&lt;"&amp;$CL186)+COUNTIFS($CF$9:$CF$508,$CF186,$CH$9:$CH$508,$CH186,$CJ$9:$CJ$508,$CJ186,$CL$9:$CL$508,$CL186,$CN$9:$CN$508,"&lt;"&amp;$CN186)+1))</f>
        <v/>
      </c>
      <c r="CP186" s="135" t="str">
        <f aca="false">IF(ISBLANK($C186),"",IF($BZ186&lt;&gt;Constants!$B$8,$BZ186,$CF186-$CO186))</f>
        <v/>
      </c>
      <c r="CQ186" s="141"/>
      <c r="CR186" s="142"/>
      <c r="CS186" s="143" t="str">
        <f aca="false">IF(ISBLANK($C186),"",IF($BZ186=Constants!$B$12,$BY186,""))</f>
        <v/>
      </c>
      <c r="CT186" s="142" t="str">
        <f aca="false">IF(ISBLANK($C186),"",IF($BZ186&lt;&gt;Constants!$B$8,"",IF($BM186="-&gt;",2,1)))</f>
        <v/>
      </c>
      <c r="CU186" s="144" t="str">
        <f aca="false">IF(ISBLANK($C186),"",IF($BZ186&lt;&gt;Constants!$B$8,"",IF($BM186="-&gt;",$BO186,$BC186)))</f>
        <v/>
      </c>
      <c r="CV186" s="144" t="str">
        <f aca="false">IF(ISBLANK($C186),"",IF($BZ186&lt;&gt;Constants!$B$8,"",IF($BM186="-&gt;",$BP186,$BD186)))</f>
        <v/>
      </c>
      <c r="CW186" s="144" t="str">
        <f aca="false">IF(ISBLANK($C186),"",IF($BZ186&lt;&gt;Constants!$B$8,"",IF($BM186="-&gt;",$BQ186+$BR186,$BE186+$BF186)+$CD186))</f>
        <v/>
      </c>
      <c r="CX186" s="144" t="str">
        <f aca="false">IF(ISBLANK($C186),"",IF($BZ186&lt;&gt;Constants!$B$8,"",IF($BM186="-&gt;",$BS186,$BG186)+$CC186))</f>
        <v/>
      </c>
      <c r="CY186" s="145" t="str">
        <f aca="false">IF(ISBLANK($C186),"",IF($BZ186&lt;&gt;Constants!$B$8,$BZ186,$CE186))</f>
        <v/>
      </c>
      <c r="CZ186" s="146" t="str">
        <f aca="false">IF(ISBLANK($C186),"",$CA186)</f>
        <v/>
      </c>
      <c r="DA186" s="147" t="str">
        <f aca="false">IF(ISBLANK($C186),"",$CP186)</f>
        <v/>
      </c>
      <c r="DB186" s="147" t="str">
        <f aca="false">IF(ISBLANK($C186),"",$CO186)</f>
        <v/>
      </c>
      <c r="DC186" s="148" t="str">
        <f aca="false">IF(ISBLANK($C186),"",IFERROR(_xlfn.SWITCH($DB186,Constants!$B$11,COUNTA($C$9:$C$508)+2,Constants!$B$10,COUNTA($C$9:$C$508)+1,Constants!$B$9,COUNTA($C$9:$C$508)),$DB186))</f>
        <v/>
      </c>
      <c r="DD186" s="9"/>
      <c r="DE186" s="149" t="n">
        <f aca="false">IF(OR(ISNUMBER($DB186),$DB186=Constants!$B$11,$DB186=Constants!$B$9,$DB186=Constants!$B$10),1,0)</f>
        <v>0</v>
      </c>
      <c r="DF186" s="149" t="n">
        <v>178</v>
      </c>
      <c r="DG186" s="149" t="str">
        <f aca="false">IF(ISBLANK($C186),"",IF(ISNUMBER($DC186),$DC186+ROW($B186)/1000,""))</f>
        <v/>
      </c>
      <c r="DH186" s="149" t="str">
        <f aca="false">IF(ISNUMBER($DG186),RANK($DG186,$DG$9:$DG$508,1),"")</f>
        <v/>
      </c>
      <c r="DI186" s="149" t="str">
        <f aca="false">IF(ISBLANK($C186),"",$B186)</f>
        <v/>
      </c>
      <c r="DJ186" s="149" t="str">
        <f aca="false">IF(ISBLANK($C186),"",$C186)</f>
        <v/>
      </c>
      <c r="DK186" s="149" t="str">
        <f aca="false">IF(ISBLANK($C186),"",$D186)</f>
        <v/>
      </c>
      <c r="DL186" s="150" t="str">
        <f aca="false">$CZ186</f>
        <v/>
      </c>
      <c r="DM186" s="151" t="str">
        <f aca="false">$CY186</f>
        <v/>
      </c>
      <c r="DN186" s="149" t="str">
        <f aca="false">IF(ISBLANK($C186),"",$DB186)</f>
        <v/>
      </c>
      <c r="DO186" s="152" t="str">
        <f aca="false">IF($DF186&gt;$DE$8,"",VLOOKUP($DF186,$DH$9:$DN$508,7,FALSE()))</f>
        <v/>
      </c>
      <c r="DP186" s="153" t="str">
        <f aca="false">IF($DF186&gt;$DE$8,"",VLOOKUP($DF186,$DH$9:$DN$508,2,FALSE()))</f>
        <v/>
      </c>
      <c r="DQ186" s="153" t="str">
        <f aca="false">IF($DF186&gt;$DE$8,"",VLOOKUP($DF186,$DH$9:$DN$508,3,FALSE()))</f>
        <v/>
      </c>
      <c r="DR186" s="153" t="str">
        <f aca="false">IF($DF186&gt;$DE$8,"",VLOOKUP($DF186,$DH$9:$DN$508,4,FALSE()))</f>
        <v/>
      </c>
      <c r="DS186" s="153" t="str">
        <f aca="false">IF($DF186&gt;$DE$8,"",VLOOKUP($DF186,$DH$9:$DN$508,5,FALSE()))</f>
        <v/>
      </c>
      <c r="DT186" s="154" t="str">
        <f aca="false">IF($DF186&gt;$DE$8,"",VLOOKUP($DF186,$DH$9:$DN$508,6,FALSE()))</f>
        <v/>
      </c>
      <c r="DU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IF(ISBLANK($C187),"",IF(E187=Constants!$B$3,TRUE(),IF(E187=Constants!$B$4,FALSE(),TRUE())))</f>
        <v/>
      </c>
      <c r="AG187" s="135" t="str">
        <f aca="false">IF(ISBLANK($C187),"",IF(F187=Constants!$B$3,TRUE(),IF(F187=Constants!$B$4,FALSE(),TRUE())))</f>
        <v/>
      </c>
      <c r="AH187" s="135" t="str">
        <f aca="false">IF(ISBLANK($C187),"",IF(G187=Constants!$B$3,TRUE(),IF(G187=Constants!$B$4,FALSE(),TRUE())))</f>
        <v/>
      </c>
      <c r="AI187" s="135" t="str">
        <f aca="false">IF(ISBLANK($C187),"",IF(AND(ISNUMBER(H187),H187&gt;=0),H187,Constants!$B$29))</f>
        <v/>
      </c>
      <c r="AJ187" s="135" t="str">
        <f aca="false">IF(ISBLANK($C187),"",IF(I187=Constants!$B$3,TRUE(),IF(I187=Constants!$B$4,FALSE(),TRUE())))</f>
        <v/>
      </c>
      <c r="AK187" s="135" t="str">
        <f aca="false">IF(ISBLANK($C187),"",IF(J187=Constants!$B$3,TRUE(),IF(J187=Constants!$B$4,FALSE(),TRUE())))</f>
        <v/>
      </c>
      <c r="AL187" s="135" t="str">
        <f aca="false">IF(ISBLANK($C187),"",IF(K187=Constants!$B$5,TRUE(),IF(K187=Constants!$B$6,FALSE(),COUNTA(L187:P187)&gt;0)))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IF(ISBLANK($C187),"",IF(N187=Constants!$B$3,TRUE(),IF(N187=Constants!$B$4,FALSE(),TRUE())))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IF(ISBLANK($C187),"",IF(P187=Constants!$B$3,TRUE(),IF(P187=Constants!$B$4,FALSE(),FALSE())))</f>
        <v/>
      </c>
      <c r="AR187" s="135" t="str">
        <f aca="false">IF(ISBLANK($C187),"",IF(Q187=Constants!$B$3,TRUE(),IF(Q187=Constants!$B$4,FALSE(),TRUE())))</f>
        <v/>
      </c>
      <c r="AS187" s="135" t="str">
        <f aca="false">IF(ISBLANK($C187),"",IF(R187=Constants!$B$3,TRUE(),IF(R187=Constants!$B$4,FALSE(),TRUE())))</f>
        <v/>
      </c>
      <c r="AT187" s="135" t="str">
        <f aca="false">IF(ISBLANK($C187),"",IF(S187=Constants!$B$5,TRUE(),IF(S187=Constants!$B$6,FALSE(),COUNTA(T187:X187)&gt;0)))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IF(ISBLANK($C187),"",IF(V187=Constants!$B$3,TRUE(),IF(V187=Constants!$B$4,FALSE(),TRUE())))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IF(ISBLANK($C187),"",IF(X187=Constants!$B$3,TRUE(),IF(X187=Constants!$B$4,FALSE(),FALSE())))</f>
        <v/>
      </c>
      <c r="AZ187" s="135" t="str">
        <f aca="false">IF(ISBLANK($C187),"",MIN(Constants!$B$31,MAX(0,IF(ISNUMBER(Y187),Y187*60,0)+IF(ISNUMBER(Z187),Z187,0))))</f>
        <v/>
      </c>
      <c r="BA187" s="135" t="str">
        <f aca="false">IF(ISBLANK($C187),"",IF(AA187=Constants!$B$3,TRUE(),IF(AA187=Constants!$B$4,FALSE(),FALSE())))</f>
        <v/>
      </c>
      <c r="BB187" s="134" t="str">
        <f aca="false">IF(ISBLANK($C187),"",AND($AL187,OR($AM187="",$AN187="",AND($AO187,$AP187=""))))</f>
        <v/>
      </c>
      <c r="BC187" s="137" t="str">
        <f aca="false">IF($BZ187&lt;&gt;Constants!$B$8,"",IF($AL187,Constants!$B$21*$AN187+Constants!$B$22*IF($AO187,$AP187,Constants!$B$23),Constants!$B$24))</f>
        <v/>
      </c>
      <c r="BD187" s="138" t="str">
        <f aca="false">IF($BZ187&lt;&gt;Constants!$B$8,"",Constants!$B$25*ABS($AD$9-IF($AL187,$AM187,0)))</f>
        <v/>
      </c>
      <c r="BE187" s="138" t="str">
        <f aca="false">IF($BZ187&lt;&gt;Constants!$B$8,"",IF(AND($AL187,$AQ187,$AO187),Constants!$B$27,0))</f>
        <v/>
      </c>
      <c r="BF187" s="138" t="str">
        <f aca="false">IF($BZ187&lt;&gt;Constants!$B$8,"",IF($AL187,($AI187-Constants!$B$29)*Constants!$B$28,0))</f>
        <v/>
      </c>
      <c r="BG187" s="138" t="str">
        <f aca="false">IF($BZ187&lt;&gt;Constants!$B$8,"",IF($AK187,0,Constants!$B$15)+IF($AJ187,0,Constants!$B$16)+IF($AH187,0,Constants!$B$17))</f>
        <v/>
      </c>
      <c r="BH187" s="139" t="str">
        <f aca="false">IF($BZ187&lt;&gt;Constants!$B$8,"",Constants!$B$20+SUM($BC187:$BG187))</f>
        <v/>
      </c>
      <c r="BI187" s="138" t="str">
        <f aca="false">IF($BZ187&lt;&gt;Constants!$B$8,"",$BC187)</f>
        <v/>
      </c>
      <c r="BJ187" s="138" t="str">
        <f aca="false">IF($BZ187&lt;&gt;Constants!$B$8,"",$BD187)</f>
        <v/>
      </c>
      <c r="BK187" s="138" t="str">
        <f aca="false">IF($BZ187&lt;&gt;Constants!$B$8,"",IF($AL187,$AN187,""))</f>
        <v/>
      </c>
      <c r="BL187" s="140" t="str">
        <f aca="false">IF($BZ187&lt;&gt;Constants!$B$8,"",$AI187)</f>
        <v/>
      </c>
      <c r="BM187" s="135" t="str">
        <f aca="false">IF($BZ187&lt;&gt;Constants!$B$8,"",IF(OR($BT187&lt;$BH187,AND($BT187=$BH187,OR($BU187&lt;$BI187,AND($BU187=$BI187,OR($BV187&lt;$BJ187,AND($BV187=$BJ187,OR(AND(ISNUMBER($BW187),OR(NOT(ISNUMBER($BK187)),$BW187&lt;$BK187)),AND(OR(AND($BW187="",$BK187=""),AND(ISNUMBER($BW187),ISNUMBER($BK187),$BW187=$BK187)),$BX187&lt;$BL187)))))))),"-&gt;","&lt;-"))</f>
        <v/>
      </c>
      <c r="BN187" s="134" t="str">
        <f aca="false">IF(ISBLANK($C187),"",AND($AT187,OR($AU187="",$AV187="",AND($AW187,$AX187=""))))</f>
        <v/>
      </c>
      <c r="BO187" s="137" t="str">
        <f aca="false">IF($BZ187&lt;&gt;Constants!$B$8,"",IF($AT187,Constants!$B$21*$AV187+Constants!$B$22*IF($AW187,$AX187,Constants!$B$23),Constants!$B$24))</f>
        <v/>
      </c>
      <c r="BP187" s="138" t="str">
        <f aca="false">IF($BZ187&lt;&gt;Constants!$B$8,"",Constants!$B$25*ABS($AD$9-IF($AT187,$AU187,0)))</f>
        <v/>
      </c>
      <c r="BQ187" s="138" t="str">
        <f aca="false">IF($BZ187&lt;&gt;Constants!$B$8,"",IF(AND($AT187,$AY187,$AW187),Constants!$B$27,0))</f>
        <v/>
      </c>
      <c r="BR187" s="138" t="str">
        <f aca="false">IF($BZ187&lt;&gt;Constants!$B$8,"",IF($AT187,($AI187-Constants!$B$29)*Constants!$B$28,0))</f>
        <v/>
      </c>
      <c r="BS187" s="138" t="str">
        <f aca="false">IF($BZ187&lt;&gt;Constants!$B$8,"",IF($AS187,0,Constants!$B$15)+IF($AR187,0,Constants!$B$16)+IF($AH187,0,Constants!$B$17))</f>
        <v/>
      </c>
      <c r="BT187" s="139" t="str">
        <f aca="false">IF($BZ187&lt;&gt;Constants!$B$8,"",Constants!$B$20+SUM($BO187:$BS187))</f>
        <v/>
      </c>
      <c r="BU187" s="138" t="str">
        <f aca="false">IF($BZ187&lt;&gt;Constants!$B$8,"",$BO187)</f>
        <v/>
      </c>
      <c r="BV187" s="138" t="str">
        <f aca="false">IF($BZ187&lt;&gt;Constants!$B$8,"",$BP187)</f>
        <v/>
      </c>
      <c r="BW187" s="138" t="str">
        <f aca="false">IF($BZ187&lt;&gt;Constants!$B$8,"",IF($AT187,$AV187,""))</f>
        <v/>
      </c>
      <c r="BX187" s="140" t="str">
        <f aca="false">IF($BZ187&lt;&gt;Constants!$B$8,"",$AI187)</f>
        <v/>
      </c>
      <c r="BY187" s="135" t="str">
        <f aca="false">IF(ISBLANK($C187),"",IF(ISBLANK($D$7),$BY$5,IF(NOT(ISNUMBER($D$7)),$BY$6,"")))</f>
        <v/>
      </c>
      <c r="BZ187" s="135" t="str">
        <f aca="false">IF(ISBLANK($C187),"",IF($BA187,Constants!$B$11,IF(COUNTA($E187:$AA187)=0,Constants!$B$10,IF(NOT($AG187),Constants!$B$9,IF(OR($BY187&lt;&gt;"",$BB187,$BN187),Constants!$B$12,Constants!$B$8)))))</f>
        <v/>
      </c>
      <c r="CA187" s="135" t="str">
        <f aca="false">IF(ISBLANK($C187),"",IF($BZ187&lt;&gt;Constants!$B$8,$BZ187,Constants!$B$13))</f>
        <v/>
      </c>
      <c r="CB187" s="138" t="str">
        <f aca="false">IF($BZ187&lt;&gt;Constants!$B$8,"",IF($BM187="-&gt;",$BT187,$BH187))</f>
        <v/>
      </c>
      <c r="CC187" s="138" t="str">
        <f aca="false">IF($BZ187&lt;&gt;Constants!$B$8,"",IF($AF187,0,Constants!$B$18))</f>
        <v/>
      </c>
      <c r="CD187" s="138" t="str">
        <f aca="false">IF($BZ187&lt;&gt;Constants!$B$8,"",((Constants!$B$31-$AZ187)-Constants!$B$31)/Constants!$B$32)</f>
        <v/>
      </c>
      <c r="CE187" s="138" t="str">
        <f aca="false">IF(ISBLANK($C187),"",IF($BZ187&lt;&gt;Constants!$B$8,$BZ187,SUM($CB187:$CD187)))</f>
        <v/>
      </c>
      <c r="CF187" s="135" t="str">
        <f aca="false">IF(ISBLANK($C187),"",IF($BZ187&lt;&gt;Constants!$B$8,$BZ187,RANK($CE187,$CE$9:$CE$508,1)))</f>
        <v/>
      </c>
      <c r="CG187" s="138" t="str">
        <f aca="false">IF($BZ187&lt;&gt;Constants!$B$8,"",IF($BM187="-&gt;",$BU187,$BI187))</f>
        <v/>
      </c>
      <c r="CH187" s="135" t="str">
        <f aca="false">IF(ISBLANK($C187),"",IF($BZ187&lt;&gt;Constants!$B$8,$BZ187,IF(ISNUMBER($CG187),RANK($CG187,$CG$9:$CG$508,1),COUNT($CG$9:$CG$508)+1)))</f>
        <v/>
      </c>
      <c r="CI187" s="138" t="str">
        <f aca="false">IF($BZ187&lt;&gt;Constants!$B$8,"",IF($BM187="-&gt;",$BV187,$BJ187))</f>
        <v/>
      </c>
      <c r="CJ187" s="135" t="str">
        <f aca="false">IF(ISBLANK($C187),"",IF($BZ187&lt;&gt;Constants!$B$8,$BZ187,IF(ISNUMBER($CI187),RANK($CI187,$CI$9:$CI$508,1),COUNT($CI$9:$CI$508)+1)))</f>
        <v/>
      </c>
      <c r="CK187" s="138" t="str">
        <f aca="false">IF($BZ187&lt;&gt;Constants!$B$8,"",IF($BM187="-&gt;",$BW187,$BK187))</f>
        <v/>
      </c>
      <c r="CL187" s="135" t="str">
        <f aca="false">IF(ISBLANK($C187),"",IF($BZ187&lt;&gt;Constants!$B$8,$BZ187,IF(ISNUMBER($CK187),RANK($CK187,$CK$9:$CK$508,1),COUNT($CK$9:$CK$508)+1)))</f>
        <v/>
      </c>
      <c r="CM187" s="138" t="str">
        <f aca="false">IF($BZ187&lt;&gt;Constants!$B$8,"",IF(AND(NOT($AL187),NOT($AT187),$AJ187,$AK187,$AR187,$AS187),"",IF($BM187="-&gt;",$BX187,$BL187)))</f>
        <v/>
      </c>
      <c r="CN187" s="135" t="str">
        <f aca="false">IF(ISBLANK($C187),"",IF($BZ187&lt;&gt;Constants!$B$8,$BZ187,IF(ISNUMBER($CM187),RANK($CM187,$CM$9:$CM$508,1),COUNT($CM$9:$CM$508)+1)))</f>
        <v/>
      </c>
      <c r="CO187" s="135" t="str">
        <f aca="false">IF(ISBLANK($C187),"",IF($BZ187&lt;&gt;Constants!$B$8,$BZ187,COUNTIFS($CF$9:$CF$508,"&lt;"&amp;$CF187)+COUNTIFS($CF$9:$CF$508,$CF187,$CH$9:$CH$508,"&lt;"&amp;$CH187)+COUNTIFS($CF$9:$CF$508,$CF187,$CH$9:$CH$508,$CH187,$CJ$9:$CJ$508,"&lt;"&amp;$CJ187)+COUNTIFS($CF$9:$CF$508,$CF187,$CH$9:$CH$508,$CH187,$CJ$9:$CJ$508,$CJ187,$CL$9:$CL$508,"&lt;"&amp;$CL187)+COUNTIFS($CF$9:$CF$508,$CF187,$CH$9:$CH$508,$CH187,$CJ$9:$CJ$508,$CJ187,$CL$9:$CL$508,$CL187,$CN$9:$CN$508,"&lt;"&amp;$CN187)+1))</f>
        <v/>
      </c>
      <c r="CP187" s="135" t="str">
        <f aca="false">IF(ISBLANK($C187),"",IF($BZ187&lt;&gt;Constants!$B$8,$BZ187,$CF187-$CO187))</f>
        <v/>
      </c>
      <c r="CQ187" s="141"/>
      <c r="CR187" s="142"/>
      <c r="CS187" s="143" t="str">
        <f aca="false">IF(ISBLANK($C187),"",IF($BZ187=Constants!$B$12,$BY187,""))</f>
        <v/>
      </c>
      <c r="CT187" s="142" t="str">
        <f aca="false">IF(ISBLANK($C187),"",IF($BZ187&lt;&gt;Constants!$B$8,"",IF($BM187="-&gt;",2,1)))</f>
        <v/>
      </c>
      <c r="CU187" s="144" t="str">
        <f aca="false">IF(ISBLANK($C187),"",IF($BZ187&lt;&gt;Constants!$B$8,"",IF($BM187="-&gt;",$BO187,$BC187)))</f>
        <v/>
      </c>
      <c r="CV187" s="144" t="str">
        <f aca="false">IF(ISBLANK($C187),"",IF($BZ187&lt;&gt;Constants!$B$8,"",IF($BM187="-&gt;",$BP187,$BD187)))</f>
        <v/>
      </c>
      <c r="CW187" s="144" t="str">
        <f aca="false">IF(ISBLANK($C187),"",IF($BZ187&lt;&gt;Constants!$B$8,"",IF($BM187="-&gt;",$BQ187+$BR187,$BE187+$BF187)+$CD187))</f>
        <v/>
      </c>
      <c r="CX187" s="144" t="str">
        <f aca="false">IF(ISBLANK($C187),"",IF($BZ187&lt;&gt;Constants!$B$8,"",IF($BM187="-&gt;",$BS187,$BG187)+$CC187))</f>
        <v/>
      </c>
      <c r="CY187" s="145" t="str">
        <f aca="false">IF(ISBLANK($C187),"",IF($BZ187&lt;&gt;Constants!$B$8,$BZ187,$CE187))</f>
        <v/>
      </c>
      <c r="CZ187" s="146" t="str">
        <f aca="false">IF(ISBLANK($C187),"",$CA187)</f>
        <v/>
      </c>
      <c r="DA187" s="147" t="str">
        <f aca="false">IF(ISBLANK($C187),"",$CP187)</f>
        <v/>
      </c>
      <c r="DB187" s="147" t="str">
        <f aca="false">IF(ISBLANK($C187),"",$CO187)</f>
        <v/>
      </c>
      <c r="DC187" s="148" t="str">
        <f aca="false">IF(ISBLANK($C187),"",IFERROR(_xlfn.SWITCH($DB187,Constants!$B$11,COUNTA($C$9:$C$508)+2,Constants!$B$10,COUNTA($C$9:$C$508)+1,Constants!$B$9,COUNTA($C$9:$C$508)),$DB187))</f>
        <v/>
      </c>
      <c r="DD187" s="9"/>
      <c r="DE187" s="149" t="n">
        <f aca="false">IF(OR(ISNUMBER($DB187),$DB187=Constants!$B$11,$DB187=Constants!$B$9,$DB187=Constants!$B$10),1,0)</f>
        <v>0</v>
      </c>
      <c r="DF187" s="149" t="n">
        <v>179</v>
      </c>
      <c r="DG187" s="149" t="str">
        <f aca="false">IF(ISBLANK($C187),"",IF(ISNUMBER($DC187),$DC187+ROW($B187)/1000,""))</f>
        <v/>
      </c>
      <c r="DH187" s="149" t="str">
        <f aca="false">IF(ISNUMBER($DG187),RANK($DG187,$DG$9:$DG$508,1),"")</f>
        <v/>
      </c>
      <c r="DI187" s="149" t="str">
        <f aca="false">IF(ISBLANK($C187),"",$B187)</f>
        <v/>
      </c>
      <c r="DJ187" s="149" t="str">
        <f aca="false">IF(ISBLANK($C187),"",$C187)</f>
        <v/>
      </c>
      <c r="DK187" s="149" t="str">
        <f aca="false">IF(ISBLANK($C187),"",$D187)</f>
        <v/>
      </c>
      <c r="DL187" s="150" t="str">
        <f aca="false">$CZ187</f>
        <v/>
      </c>
      <c r="DM187" s="151" t="str">
        <f aca="false">$CY187</f>
        <v/>
      </c>
      <c r="DN187" s="149" t="str">
        <f aca="false">IF(ISBLANK($C187),"",$DB187)</f>
        <v/>
      </c>
      <c r="DO187" s="152" t="str">
        <f aca="false">IF($DF187&gt;$DE$8,"",VLOOKUP($DF187,$DH$9:$DN$508,7,FALSE()))</f>
        <v/>
      </c>
      <c r="DP187" s="153" t="str">
        <f aca="false">IF($DF187&gt;$DE$8,"",VLOOKUP($DF187,$DH$9:$DN$508,2,FALSE()))</f>
        <v/>
      </c>
      <c r="DQ187" s="153" t="str">
        <f aca="false">IF($DF187&gt;$DE$8,"",VLOOKUP($DF187,$DH$9:$DN$508,3,FALSE()))</f>
        <v/>
      </c>
      <c r="DR187" s="153" t="str">
        <f aca="false">IF($DF187&gt;$DE$8,"",VLOOKUP($DF187,$DH$9:$DN$508,4,FALSE()))</f>
        <v/>
      </c>
      <c r="DS187" s="153" t="str">
        <f aca="false">IF($DF187&gt;$DE$8,"",VLOOKUP($DF187,$DH$9:$DN$508,5,FALSE()))</f>
        <v/>
      </c>
      <c r="DT187" s="154" t="str">
        <f aca="false">IF($DF187&gt;$DE$8,"",VLOOKUP($DF187,$DH$9:$DN$508,6,FALSE()))</f>
        <v/>
      </c>
      <c r="DU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IF(ISBLANK($C188),"",IF(E188=Constants!$B$3,TRUE(),IF(E188=Constants!$B$4,FALSE(),TRUE())))</f>
        <v/>
      </c>
      <c r="AG188" s="135" t="str">
        <f aca="false">IF(ISBLANK($C188),"",IF(F188=Constants!$B$3,TRUE(),IF(F188=Constants!$B$4,FALSE(),TRUE())))</f>
        <v/>
      </c>
      <c r="AH188" s="135" t="str">
        <f aca="false">IF(ISBLANK($C188),"",IF(G188=Constants!$B$3,TRUE(),IF(G188=Constants!$B$4,FALSE(),TRUE())))</f>
        <v/>
      </c>
      <c r="AI188" s="135" t="str">
        <f aca="false">IF(ISBLANK($C188),"",IF(AND(ISNUMBER(H188),H188&gt;=0),H188,Constants!$B$29))</f>
        <v/>
      </c>
      <c r="AJ188" s="135" t="str">
        <f aca="false">IF(ISBLANK($C188),"",IF(I188=Constants!$B$3,TRUE(),IF(I188=Constants!$B$4,FALSE(),TRUE())))</f>
        <v/>
      </c>
      <c r="AK188" s="135" t="str">
        <f aca="false">IF(ISBLANK($C188),"",IF(J188=Constants!$B$3,TRUE(),IF(J188=Constants!$B$4,FALSE(),TRUE())))</f>
        <v/>
      </c>
      <c r="AL188" s="135" t="str">
        <f aca="false">IF(ISBLANK($C188),"",IF(K188=Constants!$B$5,TRUE(),IF(K188=Constants!$B$6,FALSE(),COUNTA(L188:P188)&gt;0)))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IF(ISBLANK($C188),"",IF(N188=Constants!$B$3,TRUE(),IF(N188=Constants!$B$4,FALSE(),TRUE())))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IF(ISBLANK($C188),"",IF(P188=Constants!$B$3,TRUE(),IF(P188=Constants!$B$4,FALSE(),FALSE())))</f>
        <v/>
      </c>
      <c r="AR188" s="135" t="str">
        <f aca="false">IF(ISBLANK($C188),"",IF(Q188=Constants!$B$3,TRUE(),IF(Q188=Constants!$B$4,FALSE(),TRUE())))</f>
        <v/>
      </c>
      <c r="AS188" s="135" t="str">
        <f aca="false">IF(ISBLANK($C188),"",IF(R188=Constants!$B$3,TRUE(),IF(R188=Constants!$B$4,FALSE(),TRUE())))</f>
        <v/>
      </c>
      <c r="AT188" s="135" t="str">
        <f aca="false">IF(ISBLANK($C188),"",IF(S188=Constants!$B$5,TRUE(),IF(S188=Constants!$B$6,FALSE(),COUNTA(T188:X188)&gt;0)))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IF(ISBLANK($C188),"",IF(V188=Constants!$B$3,TRUE(),IF(V188=Constants!$B$4,FALSE(),TRUE())))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IF(ISBLANK($C188),"",IF(X188=Constants!$B$3,TRUE(),IF(X188=Constants!$B$4,FALSE(),FALSE())))</f>
        <v/>
      </c>
      <c r="AZ188" s="135" t="str">
        <f aca="false">IF(ISBLANK($C188),"",MIN(Constants!$B$31,MAX(0,IF(ISNUMBER(Y188),Y188*60,0)+IF(ISNUMBER(Z188),Z188,0))))</f>
        <v/>
      </c>
      <c r="BA188" s="135" t="str">
        <f aca="false">IF(ISBLANK($C188),"",IF(AA188=Constants!$B$3,TRUE(),IF(AA188=Constants!$B$4,FALSE(),FALSE())))</f>
        <v/>
      </c>
      <c r="BB188" s="134" t="str">
        <f aca="false">IF(ISBLANK($C188),"",AND($AL188,OR($AM188="",$AN188="",AND($AO188,$AP188=""))))</f>
        <v/>
      </c>
      <c r="BC188" s="137" t="str">
        <f aca="false">IF($BZ188&lt;&gt;Constants!$B$8,"",IF($AL188,Constants!$B$21*$AN188+Constants!$B$22*IF($AO188,$AP188,Constants!$B$23),Constants!$B$24))</f>
        <v/>
      </c>
      <c r="BD188" s="138" t="str">
        <f aca="false">IF($BZ188&lt;&gt;Constants!$B$8,"",Constants!$B$25*ABS($AD$9-IF($AL188,$AM188,0)))</f>
        <v/>
      </c>
      <c r="BE188" s="138" t="str">
        <f aca="false">IF($BZ188&lt;&gt;Constants!$B$8,"",IF(AND($AL188,$AQ188,$AO188),Constants!$B$27,0))</f>
        <v/>
      </c>
      <c r="BF188" s="138" t="str">
        <f aca="false">IF($BZ188&lt;&gt;Constants!$B$8,"",IF($AL188,($AI188-Constants!$B$29)*Constants!$B$28,0))</f>
        <v/>
      </c>
      <c r="BG188" s="138" t="str">
        <f aca="false">IF($BZ188&lt;&gt;Constants!$B$8,"",IF($AK188,0,Constants!$B$15)+IF($AJ188,0,Constants!$B$16)+IF($AH188,0,Constants!$B$17))</f>
        <v/>
      </c>
      <c r="BH188" s="139" t="str">
        <f aca="false">IF($BZ188&lt;&gt;Constants!$B$8,"",Constants!$B$20+SUM($BC188:$BG188))</f>
        <v/>
      </c>
      <c r="BI188" s="138" t="str">
        <f aca="false">IF($BZ188&lt;&gt;Constants!$B$8,"",$BC188)</f>
        <v/>
      </c>
      <c r="BJ188" s="138" t="str">
        <f aca="false">IF($BZ188&lt;&gt;Constants!$B$8,"",$BD188)</f>
        <v/>
      </c>
      <c r="BK188" s="138" t="str">
        <f aca="false">IF($BZ188&lt;&gt;Constants!$B$8,"",IF($AL188,$AN188,""))</f>
        <v/>
      </c>
      <c r="BL188" s="140" t="str">
        <f aca="false">IF($BZ188&lt;&gt;Constants!$B$8,"",$AI188)</f>
        <v/>
      </c>
      <c r="BM188" s="135" t="str">
        <f aca="false">IF($BZ188&lt;&gt;Constants!$B$8,"",IF(OR($BT188&lt;$BH188,AND($BT188=$BH188,OR($BU188&lt;$BI188,AND($BU188=$BI188,OR($BV188&lt;$BJ188,AND($BV188=$BJ188,OR(AND(ISNUMBER($BW188),OR(NOT(ISNUMBER($BK188)),$BW188&lt;$BK188)),AND(OR(AND($BW188="",$BK188=""),AND(ISNUMBER($BW188),ISNUMBER($BK188),$BW188=$BK188)),$BX188&lt;$BL188)))))))),"-&gt;","&lt;-"))</f>
        <v/>
      </c>
      <c r="BN188" s="134" t="str">
        <f aca="false">IF(ISBLANK($C188),"",AND($AT188,OR($AU188="",$AV188="",AND($AW188,$AX188=""))))</f>
        <v/>
      </c>
      <c r="BO188" s="137" t="str">
        <f aca="false">IF($BZ188&lt;&gt;Constants!$B$8,"",IF($AT188,Constants!$B$21*$AV188+Constants!$B$22*IF($AW188,$AX188,Constants!$B$23),Constants!$B$24))</f>
        <v/>
      </c>
      <c r="BP188" s="138" t="str">
        <f aca="false">IF($BZ188&lt;&gt;Constants!$B$8,"",Constants!$B$25*ABS($AD$9-IF($AT188,$AU188,0)))</f>
        <v/>
      </c>
      <c r="BQ188" s="138" t="str">
        <f aca="false">IF($BZ188&lt;&gt;Constants!$B$8,"",IF(AND($AT188,$AY188,$AW188),Constants!$B$27,0))</f>
        <v/>
      </c>
      <c r="BR188" s="138" t="str">
        <f aca="false">IF($BZ188&lt;&gt;Constants!$B$8,"",IF($AT188,($AI188-Constants!$B$29)*Constants!$B$28,0))</f>
        <v/>
      </c>
      <c r="BS188" s="138" t="str">
        <f aca="false">IF($BZ188&lt;&gt;Constants!$B$8,"",IF($AS188,0,Constants!$B$15)+IF($AR188,0,Constants!$B$16)+IF($AH188,0,Constants!$B$17))</f>
        <v/>
      </c>
      <c r="BT188" s="139" t="str">
        <f aca="false">IF($BZ188&lt;&gt;Constants!$B$8,"",Constants!$B$20+SUM($BO188:$BS188))</f>
        <v/>
      </c>
      <c r="BU188" s="138" t="str">
        <f aca="false">IF($BZ188&lt;&gt;Constants!$B$8,"",$BO188)</f>
        <v/>
      </c>
      <c r="BV188" s="138" t="str">
        <f aca="false">IF($BZ188&lt;&gt;Constants!$B$8,"",$BP188)</f>
        <v/>
      </c>
      <c r="BW188" s="138" t="str">
        <f aca="false">IF($BZ188&lt;&gt;Constants!$B$8,"",IF($AT188,$AV188,""))</f>
        <v/>
      </c>
      <c r="BX188" s="140" t="str">
        <f aca="false">IF($BZ188&lt;&gt;Constants!$B$8,"",$AI188)</f>
        <v/>
      </c>
      <c r="BY188" s="135" t="str">
        <f aca="false">IF(ISBLANK($C188),"",IF(ISBLANK($D$7),$BY$5,IF(NOT(ISNUMBER($D$7)),$BY$6,"")))</f>
        <v/>
      </c>
      <c r="BZ188" s="135" t="str">
        <f aca="false">IF(ISBLANK($C188),"",IF($BA188,Constants!$B$11,IF(COUNTA($E188:$AA188)=0,Constants!$B$10,IF(NOT($AG188),Constants!$B$9,IF(OR($BY188&lt;&gt;"",$BB188,$BN188),Constants!$B$12,Constants!$B$8)))))</f>
        <v/>
      </c>
      <c r="CA188" s="135" t="str">
        <f aca="false">IF(ISBLANK($C188),"",IF($BZ188&lt;&gt;Constants!$B$8,$BZ188,Constants!$B$13))</f>
        <v/>
      </c>
      <c r="CB188" s="138" t="str">
        <f aca="false">IF($BZ188&lt;&gt;Constants!$B$8,"",IF($BM188="-&gt;",$BT188,$BH188))</f>
        <v/>
      </c>
      <c r="CC188" s="138" t="str">
        <f aca="false">IF($BZ188&lt;&gt;Constants!$B$8,"",IF($AF188,0,Constants!$B$18))</f>
        <v/>
      </c>
      <c r="CD188" s="138" t="str">
        <f aca="false">IF($BZ188&lt;&gt;Constants!$B$8,"",((Constants!$B$31-$AZ188)-Constants!$B$31)/Constants!$B$32)</f>
        <v/>
      </c>
      <c r="CE188" s="138" t="str">
        <f aca="false">IF(ISBLANK($C188),"",IF($BZ188&lt;&gt;Constants!$B$8,$BZ188,SUM($CB188:$CD188)))</f>
        <v/>
      </c>
      <c r="CF188" s="135" t="str">
        <f aca="false">IF(ISBLANK($C188),"",IF($BZ188&lt;&gt;Constants!$B$8,$BZ188,RANK($CE188,$CE$9:$CE$508,1)))</f>
        <v/>
      </c>
      <c r="CG188" s="138" t="str">
        <f aca="false">IF($BZ188&lt;&gt;Constants!$B$8,"",IF($BM188="-&gt;",$BU188,$BI188))</f>
        <v/>
      </c>
      <c r="CH188" s="135" t="str">
        <f aca="false">IF(ISBLANK($C188),"",IF($BZ188&lt;&gt;Constants!$B$8,$BZ188,IF(ISNUMBER($CG188),RANK($CG188,$CG$9:$CG$508,1),COUNT($CG$9:$CG$508)+1)))</f>
        <v/>
      </c>
      <c r="CI188" s="138" t="str">
        <f aca="false">IF($BZ188&lt;&gt;Constants!$B$8,"",IF($BM188="-&gt;",$BV188,$BJ188))</f>
        <v/>
      </c>
      <c r="CJ188" s="135" t="str">
        <f aca="false">IF(ISBLANK($C188),"",IF($BZ188&lt;&gt;Constants!$B$8,$BZ188,IF(ISNUMBER($CI188),RANK($CI188,$CI$9:$CI$508,1),COUNT($CI$9:$CI$508)+1)))</f>
        <v/>
      </c>
      <c r="CK188" s="138" t="str">
        <f aca="false">IF($BZ188&lt;&gt;Constants!$B$8,"",IF($BM188="-&gt;",$BW188,$BK188))</f>
        <v/>
      </c>
      <c r="CL188" s="135" t="str">
        <f aca="false">IF(ISBLANK($C188),"",IF($BZ188&lt;&gt;Constants!$B$8,$BZ188,IF(ISNUMBER($CK188),RANK($CK188,$CK$9:$CK$508,1),COUNT($CK$9:$CK$508)+1)))</f>
        <v/>
      </c>
      <c r="CM188" s="138" t="str">
        <f aca="false">IF($BZ188&lt;&gt;Constants!$B$8,"",IF(AND(NOT($AL188),NOT($AT188),$AJ188,$AK188,$AR188,$AS188),"",IF($BM188="-&gt;",$BX188,$BL188)))</f>
        <v/>
      </c>
      <c r="CN188" s="135" t="str">
        <f aca="false">IF(ISBLANK($C188),"",IF($BZ188&lt;&gt;Constants!$B$8,$BZ188,IF(ISNUMBER($CM188),RANK($CM188,$CM$9:$CM$508,1),COUNT($CM$9:$CM$508)+1)))</f>
        <v/>
      </c>
      <c r="CO188" s="135" t="str">
        <f aca="false">IF(ISBLANK($C188),"",IF($BZ188&lt;&gt;Constants!$B$8,$BZ188,COUNTIFS($CF$9:$CF$508,"&lt;"&amp;$CF188)+COUNTIFS($CF$9:$CF$508,$CF188,$CH$9:$CH$508,"&lt;"&amp;$CH188)+COUNTIFS($CF$9:$CF$508,$CF188,$CH$9:$CH$508,$CH188,$CJ$9:$CJ$508,"&lt;"&amp;$CJ188)+COUNTIFS($CF$9:$CF$508,$CF188,$CH$9:$CH$508,$CH188,$CJ$9:$CJ$508,$CJ188,$CL$9:$CL$508,"&lt;"&amp;$CL188)+COUNTIFS($CF$9:$CF$508,$CF188,$CH$9:$CH$508,$CH188,$CJ$9:$CJ$508,$CJ188,$CL$9:$CL$508,$CL188,$CN$9:$CN$508,"&lt;"&amp;$CN188)+1))</f>
        <v/>
      </c>
      <c r="CP188" s="135" t="str">
        <f aca="false">IF(ISBLANK($C188),"",IF($BZ188&lt;&gt;Constants!$B$8,$BZ188,$CF188-$CO188))</f>
        <v/>
      </c>
      <c r="CQ188" s="141"/>
      <c r="CR188" s="142"/>
      <c r="CS188" s="143" t="str">
        <f aca="false">IF(ISBLANK($C188),"",IF($BZ188=Constants!$B$12,$BY188,""))</f>
        <v/>
      </c>
      <c r="CT188" s="142" t="str">
        <f aca="false">IF(ISBLANK($C188),"",IF($BZ188&lt;&gt;Constants!$B$8,"",IF($BM188="-&gt;",2,1)))</f>
        <v/>
      </c>
      <c r="CU188" s="144" t="str">
        <f aca="false">IF(ISBLANK($C188),"",IF($BZ188&lt;&gt;Constants!$B$8,"",IF($BM188="-&gt;",$BO188,$BC188)))</f>
        <v/>
      </c>
      <c r="CV188" s="144" t="str">
        <f aca="false">IF(ISBLANK($C188),"",IF($BZ188&lt;&gt;Constants!$B$8,"",IF($BM188="-&gt;",$BP188,$BD188)))</f>
        <v/>
      </c>
      <c r="CW188" s="144" t="str">
        <f aca="false">IF(ISBLANK($C188),"",IF($BZ188&lt;&gt;Constants!$B$8,"",IF($BM188="-&gt;",$BQ188+$BR188,$BE188+$BF188)+$CD188))</f>
        <v/>
      </c>
      <c r="CX188" s="144" t="str">
        <f aca="false">IF(ISBLANK($C188),"",IF($BZ188&lt;&gt;Constants!$B$8,"",IF($BM188="-&gt;",$BS188,$BG188)+$CC188))</f>
        <v/>
      </c>
      <c r="CY188" s="145" t="str">
        <f aca="false">IF(ISBLANK($C188),"",IF($BZ188&lt;&gt;Constants!$B$8,$BZ188,$CE188))</f>
        <v/>
      </c>
      <c r="CZ188" s="146" t="str">
        <f aca="false">IF(ISBLANK($C188),"",$CA188)</f>
        <v/>
      </c>
      <c r="DA188" s="147" t="str">
        <f aca="false">IF(ISBLANK($C188),"",$CP188)</f>
        <v/>
      </c>
      <c r="DB188" s="147" t="str">
        <f aca="false">IF(ISBLANK($C188),"",$CO188)</f>
        <v/>
      </c>
      <c r="DC188" s="148" t="str">
        <f aca="false">IF(ISBLANK($C188),"",IFERROR(_xlfn.SWITCH($DB188,Constants!$B$11,COUNTA($C$9:$C$508)+2,Constants!$B$10,COUNTA($C$9:$C$508)+1,Constants!$B$9,COUNTA($C$9:$C$508)),$DB188))</f>
        <v/>
      </c>
      <c r="DD188" s="9"/>
      <c r="DE188" s="149" t="n">
        <f aca="false">IF(OR(ISNUMBER($DB188),$DB188=Constants!$B$11,$DB188=Constants!$B$9,$DB188=Constants!$B$10),1,0)</f>
        <v>0</v>
      </c>
      <c r="DF188" s="149" t="n">
        <v>180</v>
      </c>
      <c r="DG188" s="149" t="str">
        <f aca="false">IF(ISBLANK($C188),"",IF(ISNUMBER($DC188),$DC188+ROW($B188)/1000,""))</f>
        <v/>
      </c>
      <c r="DH188" s="149" t="str">
        <f aca="false">IF(ISNUMBER($DG188),RANK($DG188,$DG$9:$DG$508,1),"")</f>
        <v/>
      </c>
      <c r="DI188" s="149" t="str">
        <f aca="false">IF(ISBLANK($C188),"",$B188)</f>
        <v/>
      </c>
      <c r="DJ188" s="149" t="str">
        <f aca="false">IF(ISBLANK($C188),"",$C188)</f>
        <v/>
      </c>
      <c r="DK188" s="149" t="str">
        <f aca="false">IF(ISBLANK($C188),"",$D188)</f>
        <v/>
      </c>
      <c r="DL188" s="150" t="str">
        <f aca="false">$CZ188</f>
        <v/>
      </c>
      <c r="DM188" s="151" t="str">
        <f aca="false">$CY188</f>
        <v/>
      </c>
      <c r="DN188" s="149" t="str">
        <f aca="false">IF(ISBLANK($C188),"",$DB188)</f>
        <v/>
      </c>
      <c r="DO188" s="152" t="str">
        <f aca="false">IF($DF188&gt;$DE$8,"",VLOOKUP($DF188,$DH$9:$DN$508,7,FALSE()))</f>
        <v/>
      </c>
      <c r="DP188" s="153" t="str">
        <f aca="false">IF($DF188&gt;$DE$8,"",VLOOKUP($DF188,$DH$9:$DN$508,2,FALSE()))</f>
        <v/>
      </c>
      <c r="DQ188" s="153" t="str">
        <f aca="false">IF($DF188&gt;$DE$8,"",VLOOKUP($DF188,$DH$9:$DN$508,3,FALSE()))</f>
        <v/>
      </c>
      <c r="DR188" s="153" t="str">
        <f aca="false">IF($DF188&gt;$DE$8,"",VLOOKUP($DF188,$DH$9:$DN$508,4,FALSE()))</f>
        <v/>
      </c>
      <c r="DS188" s="153" t="str">
        <f aca="false">IF($DF188&gt;$DE$8,"",VLOOKUP($DF188,$DH$9:$DN$508,5,FALSE()))</f>
        <v/>
      </c>
      <c r="DT188" s="154" t="str">
        <f aca="false">IF($DF188&gt;$DE$8,"",VLOOKUP($DF188,$DH$9:$DN$508,6,FALSE()))</f>
        <v/>
      </c>
      <c r="DU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IF(ISBLANK($C189),"",IF(E189=Constants!$B$3,TRUE(),IF(E189=Constants!$B$4,FALSE(),TRUE())))</f>
        <v/>
      </c>
      <c r="AG189" s="93" t="str">
        <f aca="false">IF(ISBLANK($C189),"",IF(F189=Constants!$B$3,TRUE(),IF(F189=Constants!$B$4,FALSE(),TRUE())))</f>
        <v/>
      </c>
      <c r="AH189" s="93" t="str">
        <f aca="false">IF(ISBLANK($C189),"",IF(G189=Constants!$B$3,TRUE(),IF(G189=Constants!$B$4,FALSE(),TRUE())))</f>
        <v/>
      </c>
      <c r="AI189" s="93" t="str">
        <f aca="false">IF(ISBLANK($C189),"",IF(AND(ISNUMBER(H189),H189&gt;=0),H189,Constants!$B$29))</f>
        <v/>
      </c>
      <c r="AJ189" s="93" t="str">
        <f aca="false">IF(ISBLANK($C189),"",IF(I189=Constants!$B$3,TRUE(),IF(I189=Constants!$B$4,FALSE(),TRUE())))</f>
        <v/>
      </c>
      <c r="AK189" s="93" t="str">
        <f aca="false">IF(ISBLANK($C189),"",IF(J189=Constants!$B$3,TRUE(),IF(J189=Constants!$B$4,FALSE(),TRUE())))</f>
        <v/>
      </c>
      <c r="AL189" s="93" t="str">
        <f aca="false">IF(ISBLANK($C189),"",IF(K189=Constants!$B$5,TRUE(),IF(K189=Constants!$B$6,FALSE(),COUNTA(L189:P189)&gt;0)))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IF(ISBLANK($C189),"",IF(N189=Constants!$B$3,TRUE(),IF(N189=Constants!$B$4,FALSE(),TRUE())))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IF(ISBLANK($C189),"",IF(P189=Constants!$B$3,TRUE(),IF(P189=Constants!$B$4,FALSE(),FALSE())))</f>
        <v/>
      </c>
      <c r="AR189" s="93" t="str">
        <f aca="false">IF(ISBLANK($C189),"",IF(Q189=Constants!$B$3,TRUE(),IF(Q189=Constants!$B$4,FALSE(),TRUE())))</f>
        <v/>
      </c>
      <c r="AS189" s="93" t="str">
        <f aca="false">IF(ISBLANK($C189),"",IF(R189=Constants!$B$3,TRUE(),IF(R189=Constants!$B$4,FALSE(),TRUE())))</f>
        <v/>
      </c>
      <c r="AT189" s="93" t="str">
        <f aca="false">IF(ISBLANK($C189),"",IF(S189=Constants!$B$5,TRUE(),IF(S189=Constants!$B$6,FALSE(),COUNTA(T189:X189)&gt;0)))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IF(ISBLANK($C189),"",IF(V189=Constants!$B$3,TRUE(),IF(V189=Constants!$B$4,FALSE(),TRUE())))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IF(ISBLANK($C189),"",IF(X189=Constants!$B$3,TRUE(),IF(X189=Constants!$B$4,FALSE(),FALSE())))</f>
        <v/>
      </c>
      <c r="AZ189" s="93" t="str">
        <f aca="false">IF(ISBLANK($C189),"",MIN(Constants!$B$31,MAX(0,IF(ISNUMBER(Y189),Y189*60,0)+IF(ISNUMBER(Z189),Z189,0))))</f>
        <v/>
      </c>
      <c r="BA189" s="93" t="str">
        <f aca="false">IF(ISBLANK($C189),"",IF(AA189=Constants!$B$3,TRUE(),IF(AA189=Constants!$B$4,FALSE(),FALSE())))</f>
        <v/>
      </c>
      <c r="BB189" s="92" t="str">
        <f aca="false">IF(ISBLANK($C189),"",AND($AL189,OR($AM189="",$AN189="",AND($AO189,$AP189=""))))</f>
        <v/>
      </c>
      <c r="BC189" s="94" t="str">
        <f aca="false">IF($BZ189&lt;&gt;Constants!$B$8,"",IF($AL189,Constants!$B$21*$AN189+Constants!$B$22*IF($AO189,$AP189,Constants!$B$23),Constants!$B$24))</f>
        <v/>
      </c>
      <c r="BD189" s="97" t="str">
        <f aca="false">IF($BZ189&lt;&gt;Constants!$B$8,"",Constants!$B$25*ABS($AD$9-IF($AL189,$AM189,0)))</f>
        <v/>
      </c>
      <c r="BE189" s="97" t="str">
        <f aca="false">IF($BZ189&lt;&gt;Constants!$B$8,"",IF(AND($AL189,$AQ189,$AO189),Constants!$B$27,0))</f>
        <v/>
      </c>
      <c r="BF189" s="97" t="str">
        <f aca="false">IF($BZ189&lt;&gt;Constants!$B$8,"",IF($AL189,($AI189-Constants!$B$29)*Constants!$B$28,0))</f>
        <v/>
      </c>
      <c r="BG189" s="97" t="str">
        <f aca="false">IF($BZ189&lt;&gt;Constants!$B$8,"",IF($AK189,0,Constants!$B$15)+IF($AJ189,0,Constants!$B$16)+IF($AH189,0,Constants!$B$17))</f>
        <v/>
      </c>
      <c r="BH189" s="98" t="str">
        <f aca="false">IF($BZ189&lt;&gt;Constants!$B$8,"",Constants!$B$20+SUM($BC189:$BG189))</f>
        <v/>
      </c>
      <c r="BI189" s="97" t="str">
        <f aca="false">IF($BZ189&lt;&gt;Constants!$B$8,"",$BC189)</f>
        <v/>
      </c>
      <c r="BJ189" s="97" t="str">
        <f aca="false">IF($BZ189&lt;&gt;Constants!$B$8,"",$BD189)</f>
        <v/>
      </c>
      <c r="BK189" s="97" t="str">
        <f aca="false">IF($BZ189&lt;&gt;Constants!$B$8,"",IF($AL189,$AN189,""))</f>
        <v/>
      </c>
      <c r="BL189" s="99" t="str">
        <f aca="false">IF($BZ189&lt;&gt;Constants!$B$8,"",$AI189)</f>
        <v/>
      </c>
      <c r="BM189" s="93" t="str">
        <f aca="false">IF($BZ189&lt;&gt;Constants!$B$8,"",IF(OR($BT189&lt;$BH189,AND($BT189=$BH189,OR($BU189&lt;$BI189,AND($BU189=$BI189,OR($BV189&lt;$BJ189,AND($BV189=$BJ189,OR(AND(ISNUMBER($BW189),OR(NOT(ISNUMBER($BK189)),$BW189&lt;$BK189)),AND(OR(AND($BW189="",$BK189=""),AND(ISNUMBER($BW189),ISNUMBER($BK189),$BW189=$BK189)),$BX189&lt;$BL189)))))))),"-&gt;","&lt;-"))</f>
        <v/>
      </c>
      <c r="BN189" s="92" t="str">
        <f aca="false">IF(ISBLANK($C189),"",AND($AT189,OR($AU189="",$AV189="",AND($AW189,$AX189=""))))</f>
        <v/>
      </c>
      <c r="BO189" s="94" t="str">
        <f aca="false">IF($BZ189&lt;&gt;Constants!$B$8,"",IF($AT189,Constants!$B$21*$AV189+Constants!$B$22*IF($AW189,$AX189,Constants!$B$23),Constants!$B$24))</f>
        <v/>
      </c>
      <c r="BP189" s="97" t="str">
        <f aca="false">IF($BZ189&lt;&gt;Constants!$B$8,"",Constants!$B$25*ABS($AD$9-IF($AT189,$AU189,0)))</f>
        <v/>
      </c>
      <c r="BQ189" s="97" t="str">
        <f aca="false">IF($BZ189&lt;&gt;Constants!$B$8,"",IF(AND($AT189,$AY189,$AW189),Constants!$B$27,0))</f>
        <v/>
      </c>
      <c r="BR189" s="97" t="str">
        <f aca="false">IF($BZ189&lt;&gt;Constants!$B$8,"",IF($AT189,($AI189-Constants!$B$29)*Constants!$B$28,0))</f>
        <v/>
      </c>
      <c r="BS189" s="97" t="str">
        <f aca="false">IF($BZ189&lt;&gt;Constants!$B$8,"",IF($AS189,0,Constants!$B$15)+IF($AR189,0,Constants!$B$16)+IF($AH189,0,Constants!$B$17))</f>
        <v/>
      </c>
      <c r="BT189" s="98" t="str">
        <f aca="false">IF($BZ189&lt;&gt;Constants!$B$8,"",Constants!$B$20+SUM($BO189:$BS189))</f>
        <v/>
      </c>
      <c r="BU189" s="97" t="str">
        <f aca="false">IF($BZ189&lt;&gt;Constants!$B$8,"",$BO189)</f>
        <v/>
      </c>
      <c r="BV189" s="97" t="str">
        <f aca="false">IF($BZ189&lt;&gt;Constants!$B$8,"",$BP189)</f>
        <v/>
      </c>
      <c r="BW189" s="97" t="str">
        <f aca="false">IF($BZ189&lt;&gt;Constants!$B$8,"",IF($AT189,$AV189,""))</f>
        <v/>
      </c>
      <c r="BX189" s="99" t="str">
        <f aca="false">IF($BZ189&lt;&gt;Constants!$B$8,"",$AI189)</f>
        <v/>
      </c>
      <c r="BY189" s="93" t="str">
        <f aca="false">IF(ISBLANK($C189),"",IF(ISBLANK($D$7),$BY$5,IF(NOT(ISNUMBER($D$7)),$BY$6,"")))</f>
        <v/>
      </c>
      <c r="BZ189" s="93" t="str">
        <f aca="false">IF(ISBLANK($C189),"",IF($BA189,Constants!$B$11,IF(COUNTA($E189:$AA189)=0,Constants!$B$10,IF(NOT($AG189),Constants!$B$9,IF(OR($BY189&lt;&gt;"",$BB189,$BN189),Constants!$B$12,Constants!$B$8)))))</f>
        <v/>
      </c>
      <c r="CA189" s="93" t="str">
        <f aca="false">IF(ISBLANK($C189),"",IF($BZ189&lt;&gt;Constants!$B$8,$BZ189,Constants!$B$13))</f>
        <v/>
      </c>
      <c r="CB189" s="97" t="str">
        <f aca="false">IF($BZ189&lt;&gt;Constants!$B$8,"",IF($BM189="-&gt;",$BT189,$BH189))</f>
        <v/>
      </c>
      <c r="CC189" s="97" t="str">
        <f aca="false">IF($BZ189&lt;&gt;Constants!$B$8,"",IF($AF189,0,Constants!$B$18))</f>
        <v/>
      </c>
      <c r="CD189" s="97" t="str">
        <f aca="false">IF($BZ189&lt;&gt;Constants!$B$8,"",((Constants!$B$31-$AZ189)-Constants!$B$31)/Constants!$B$32)</f>
        <v/>
      </c>
      <c r="CE189" s="97" t="str">
        <f aca="false">IF(ISBLANK($C189),"",IF($BZ189&lt;&gt;Constants!$B$8,$BZ189,SUM($CB189:$CD189)))</f>
        <v/>
      </c>
      <c r="CF189" s="93" t="str">
        <f aca="false">IF(ISBLANK($C189),"",IF($BZ189&lt;&gt;Constants!$B$8,$BZ189,RANK($CE189,$CE$9:$CE$508,1)))</f>
        <v/>
      </c>
      <c r="CG189" s="97" t="str">
        <f aca="false">IF($BZ189&lt;&gt;Constants!$B$8,"",IF($BM189="-&gt;",$BU189,$BI189))</f>
        <v/>
      </c>
      <c r="CH189" s="93" t="str">
        <f aca="false">IF(ISBLANK($C189),"",IF($BZ189&lt;&gt;Constants!$B$8,$BZ189,IF(ISNUMBER($CG189),RANK($CG189,$CG$9:$CG$508,1),COUNT($CG$9:$CG$508)+1)))</f>
        <v/>
      </c>
      <c r="CI189" s="97" t="str">
        <f aca="false">IF($BZ189&lt;&gt;Constants!$B$8,"",IF($BM189="-&gt;",$BV189,$BJ189))</f>
        <v/>
      </c>
      <c r="CJ189" s="93" t="str">
        <f aca="false">IF(ISBLANK($C189),"",IF($BZ189&lt;&gt;Constants!$B$8,$BZ189,IF(ISNUMBER($CI189),RANK($CI189,$CI$9:$CI$508,1),COUNT($CI$9:$CI$508)+1)))</f>
        <v/>
      </c>
      <c r="CK189" s="97" t="str">
        <f aca="false">IF($BZ189&lt;&gt;Constants!$B$8,"",IF($BM189="-&gt;",$BW189,$BK189))</f>
        <v/>
      </c>
      <c r="CL189" s="93" t="str">
        <f aca="false">IF(ISBLANK($C189),"",IF($BZ189&lt;&gt;Constants!$B$8,$BZ189,IF(ISNUMBER($CK189),RANK($CK189,$CK$9:$CK$508,1),COUNT($CK$9:$CK$508)+1)))</f>
        <v/>
      </c>
      <c r="CM189" s="97" t="str">
        <f aca="false">IF($BZ189&lt;&gt;Constants!$B$8,"",IF(AND(NOT($AL189),NOT($AT189),$AJ189,$AK189,$AR189,$AS189),"",IF($BM189="-&gt;",$BX189,$BL189)))</f>
        <v/>
      </c>
      <c r="CN189" s="93" t="str">
        <f aca="false">IF(ISBLANK($C189),"",IF($BZ189&lt;&gt;Constants!$B$8,$BZ189,IF(ISNUMBER($CM189),RANK($CM189,$CM$9:$CM$508,1),COUNT($CM$9:$CM$508)+1)))</f>
        <v/>
      </c>
      <c r="CO189" s="93" t="str">
        <f aca="false">IF(ISBLANK($C189),"",IF($BZ189&lt;&gt;Constants!$B$8,$BZ189,COUNTIFS($CF$9:$CF$508,"&lt;"&amp;$CF189)+COUNTIFS($CF$9:$CF$508,$CF189,$CH$9:$CH$508,"&lt;"&amp;$CH189)+COUNTIFS($CF$9:$CF$508,$CF189,$CH$9:$CH$508,$CH189,$CJ$9:$CJ$508,"&lt;"&amp;$CJ189)+COUNTIFS($CF$9:$CF$508,$CF189,$CH$9:$CH$508,$CH189,$CJ$9:$CJ$508,$CJ189,$CL$9:$CL$508,"&lt;"&amp;$CL189)+COUNTIFS($CF$9:$CF$508,$CF189,$CH$9:$CH$508,$CH189,$CJ$9:$CJ$508,$CJ189,$CL$9:$CL$508,$CL189,$CN$9:$CN$508,"&lt;"&amp;$CN189)+1))</f>
        <v/>
      </c>
      <c r="CP189" s="93" t="str">
        <f aca="false">IF(ISBLANK($C189),"",IF($BZ189&lt;&gt;Constants!$B$8,$BZ189,$CF189-$CO189))</f>
        <v/>
      </c>
      <c r="CQ189" s="100"/>
      <c r="CR189" s="101"/>
      <c r="CS189" s="102" t="str">
        <f aca="false">IF(ISBLANK($C189),"",IF($BZ189=Constants!$B$12,$BY189,""))</f>
        <v/>
      </c>
      <c r="CT189" s="101" t="str">
        <f aca="false">IF(ISBLANK($C189),"",IF($BZ189&lt;&gt;Constants!$B$8,"",IF($BM189="-&gt;",2,1)))</f>
        <v/>
      </c>
      <c r="CU189" s="103" t="str">
        <f aca="false">IF(ISBLANK($C189),"",IF($BZ189&lt;&gt;Constants!$B$8,"",IF($BM189="-&gt;",$BO189,$BC189)))</f>
        <v/>
      </c>
      <c r="CV189" s="103" t="str">
        <f aca="false">IF(ISBLANK($C189),"",IF($BZ189&lt;&gt;Constants!$B$8,"",IF($BM189="-&gt;",$BP189,$BD189)))</f>
        <v/>
      </c>
      <c r="CW189" s="103" t="str">
        <f aca="false">IF(ISBLANK($C189),"",IF($BZ189&lt;&gt;Constants!$B$8,"",IF($BM189="-&gt;",$BQ189+$BR189,$BE189+$BF189)+$CD189))</f>
        <v/>
      </c>
      <c r="CX189" s="103" t="str">
        <f aca="false">IF(ISBLANK($C189),"",IF($BZ189&lt;&gt;Constants!$B$8,"",IF($BM189="-&gt;",$BS189,$BG189)+$CC189))</f>
        <v/>
      </c>
      <c r="CY189" s="104" t="str">
        <f aca="false">IF(ISBLANK($C189),"",IF($BZ189&lt;&gt;Constants!$B$8,$BZ189,$CE189))</f>
        <v/>
      </c>
      <c r="CZ189" s="105" t="str">
        <f aca="false">IF(ISBLANK($C189),"",$CA189)</f>
        <v/>
      </c>
      <c r="DA189" s="106" t="str">
        <f aca="false">IF(ISBLANK($C189),"",$CP189)</f>
        <v/>
      </c>
      <c r="DB189" s="106" t="str">
        <f aca="false">IF(ISBLANK($C189),"",$CO189)</f>
        <v/>
      </c>
      <c r="DC189" s="107" t="str">
        <f aca="false">IF(ISBLANK($C189),"",IFERROR(_xlfn.SWITCH($DB189,Constants!$B$11,COUNTA($C$9:$C$508)+2,Constants!$B$10,COUNTA($C$9:$C$508)+1,Constants!$B$9,COUNTA($C$9:$C$508)),$DB189))</f>
        <v/>
      </c>
      <c r="DD189" s="9"/>
      <c r="DE189" s="108" t="n">
        <f aca="false">IF(OR(ISNUMBER($DB189),$DB189=Constants!$B$11,$DB189=Constants!$B$9,$DB189=Constants!$B$10),1,0)</f>
        <v>0</v>
      </c>
      <c r="DF189" s="108" t="n">
        <v>181</v>
      </c>
      <c r="DG189" s="108" t="str">
        <f aca="false">IF(ISBLANK($C189),"",IF(ISNUMBER($DC189),$DC189+ROW($B189)/1000,""))</f>
        <v/>
      </c>
      <c r="DH189" s="108" t="str">
        <f aca="false">IF(ISNUMBER($DG189),RANK($DG189,$DG$9:$DG$508,1),"")</f>
        <v/>
      </c>
      <c r="DI189" s="108" t="str">
        <f aca="false">IF(ISBLANK($C189),"",$B189)</f>
        <v/>
      </c>
      <c r="DJ189" s="108" t="str">
        <f aca="false">IF(ISBLANK($C189),"",$C189)</f>
        <v/>
      </c>
      <c r="DK189" s="108" t="str">
        <f aca="false">IF(ISBLANK($C189),"",$D189)</f>
        <v/>
      </c>
      <c r="DL189" s="109" t="str">
        <f aca="false">$CZ189</f>
        <v/>
      </c>
      <c r="DM189" s="110" t="str">
        <f aca="false">$CY189</f>
        <v/>
      </c>
      <c r="DN189" s="108" t="str">
        <f aca="false">IF(ISBLANK($C189),"",$DB189)</f>
        <v/>
      </c>
      <c r="DO189" s="111" t="str">
        <f aca="false">IF($DF189&gt;$DE$8,"",VLOOKUP($DF189,$DH$9:$DN$508,7,FALSE()))</f>
        <v/>
      </c>
      <c r="DP189" s="112" t="str">
        <f aca="false">IF($DF189&gt;$DE$8,"",VLOOKUP($DF189,$DH$9:$DN$508,2,FALSE()))</f>
        <v/>
      </c>
      <c r="DQ189" s="112" t="str">
        <f aca="false">IF($DF189&gt;$DE$8,"",VLOOKUP($DF189,$DH$9:$DN$508,3,FALSE()))</f>
        <v/>
      </c>
      <c r="DR189" s="112" t="str">
        <f aca="false">IF($DF189&gt;$DE$8,"",VLOOKUP($DF189,$DH$9:$DN$508,4,FALSE()))</f>
        <v/>
      </c>
      <c r="DS189" s="112" t="str">
        <f aca="false">IF($DF189&gt;$DE$8,"",VLOOKUP($DF189,$DH$9:$DN$508,5,FALSE()))</f>
        <v/>
      </c>
      <c r="DT189" s="113" t="str">
        <f aca="false">IF($DF189&gt;$DE$8,"",VLOOKUP($DF189,$DH$9:$DN$508,6,FALSE()))</f>
        <v/>
      </c>
      <c r="DU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IF(ISBLANK($C190),"",IF(E190=Constants!$B$3,TRUE(),IF(E190=Constants!$B$4,FALSE(),TRUE())))</f>
        <v/>
      </c>
      <c r="AG190" s="93" t="str">
        <f aca="false">IF(ISBLANK($C190),"",IF(F190=Constants!$B$3,TRUE(),IF(F190=Constants!$B$4,FALSE(),TRUE())))</f>
        <v/>
      </c>
      <c r="AH190" s="93" t="str">
        <f aca="false">IF(ISBLANK($C190),"",IF(G190=Constants!$B$3,TRUE(),IF(G190=Constants!$B$4,FALSE(),TRUE())))</f>
        <v/>
      </c>
      <c r="AI190" s="93" t="str">
        <f aca="false">IF(ISBLANK($C190),"",IF(AND(ISNUMBER(H190),H190&gt;=0),H190,Constants!$B$29))</f>
        <v/>
      </c>
      <c r="AJ190" s="93" t="str">
        <f aca="false">IF(ISBLANK($C190),"",IF(I190=Constants!$B$3,TRUE(),IF(I190=Constants!$B$4,FALSE(),TRUE())))</f>
        <v/>
      </c>
      <c r="AK190" s="93" t="str">
        <f aca="false">IF(ISBLANK($C190),"",IF(J190=Constants!$B$3,TRUE(),IF(J190=Constants!$B$4,FALSE(),TRUE())))</f>
        <v/>
      </c>
      <c r="AL190" s="93" t="str">
        <f aca="false">IF(ISBLANK($C190),"",IF(K190=Constants!$B$5,TRUE(),IF(K190=Constants!$B$6,FALSE(),COUNTA(L190:P190)&gt;0)))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IF(ISBLANK($C190),"",IF(N190=Constants!$B$3,TRUE(),IF(N190=Constants!$B$4,FALSE(),TRUE())))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IF(ISBLANK($C190),"",IF(P190=Constants!$B$3,TRUE(),IF(P190=Constants!$B$4,FALSE(),FALSE())))</f>
        <v/>
      </c>
      <c r="AR190" s="93" t="str">
        <f aca="false">IF(ISBLANK($C190),"",IF(Q190=Constants!$B$3,TRUE(),IF(Q190=Constants!$B$4,FALSE(),TRUE())))</f>
        <v/>
      </c>
      <c r="AS190" s="93" t="str">
        <f aca="false">IF(ISBLANK($C190),"",IF(R190=Constants!$B$3,TRUE(),IF(R190=Constants!$B$4,FALSE(),TRUE())))</f>
        <v/>
      </c>
      <c r="AT190" s="93" t="str">
        <f aca="false">IF(ISBLANK($C190),"",IF(S190=Constants!$B$5,TRUE(),IF(S190=Constants!$B$6,FALSE(),COUNTA(T190:X190)&gt;0)))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IF(ISBLANK($C190),"",IF(V190=Constants!$B$3,TRUE(),IF(V190=Constants!$B$4,FALSE(),TRUE())))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IF(ISBLANK($C190),"",IF(X190=Constants!$B$3,TRUE(),IF(X190=Constants!$B$4,FALSE(),FALSE())))</f>
        <v/>
      </c>
      <c r="AZ190" s="93" t="str">
        <f aca="false">IF(ISBLANK($C190),"",MIN(Constants!$B$31,MAX(0,IF(ISNUMBER(Y190),Y190*60,0)+IF(ISNUMBER(Z190),Z190,0))))</f>
        <v/>
      </c>
      <c r="BA190" s="93" t="str">
        <f aca="false">IF(ISBLANK($C190),"",IF(AA190=Constants!$B$3,TRUE(),IF(AA190=Constants!$B$4,FALSE(),FALSE())))</f>
        <v/>
      </c>
      <c r="BB190" s="92" t="str">
        <f aca="false">IF(ISBLANK($C190),"",AND($AL190,OR($AM190="",$AN190="",AND($AO190,$AP190=""))))</f>
        <v/>
      </c>
      <c r="BC190" s="94" t="str">
        <f aca="false">IF($BZ190&lt;&gt;Constants!$B$8,"",IF($AL190,Constants!$B$21*$AN190+Constants!$B$22*IF($AO190,$AP190,Constants!$B$23),Constants!$B$24))</f>
        <v/>
      </c>
      <c r="BD190" s="97" t="str">
        <f aca="false">IF($BZ190&lt;&gt;Constants!$B$8,"",Constants!$B$25*ABS($AD$9-IF($AL190,$AM190,0)))</f>
        <v/>
      </c>
      <c r="BE190" s="97" t="str">
        <f aca="false">IF($BZ190&lt;&gt;Constants!$B$8,"",IF(AND($AL190,$AQ190,$AO190),Constants!$B$27,0))</f>
        <v/>
      </c>
      <c r="BF190" s="97" t="str">
        <f aca="false">IF($BZ190&lt;&gt;Constants!$B$8,"",IF($AL190,($AI190-Constants!$B$29)*Constants!$B$28,0))</f>
        <v/>
      </c>
      <c r="BG190" s="97" t="str">
        <f aca="false">IF($BZ190&lt;&gt;Constants!$B$8,"",IF($AK190,0,Constants!$B$15)+IF($AJ190,0,Constants!$B$16)+IF($AH190,0,Constants!$B$17))</f>
        <v/>
      </c>
      <c r="BH190" s="98" t="str">
        <f aca="false">IF($BZ190&lt;&gt;Constants!$B$8,"",Constants!$B$20+SUM($BC190:$BG190))</f>
        <v/>
      </c>
      <c r="BI190" s="97" t="str">
        <f aca="false">IF($BZ190&lt;&gt;Constants!$B$8,"",$BC190)</f>
        <v/>
      </c>
      <c r="BJ190" s="97" t="str">
        <f aca="false">IF($BZ190&lt;&gt;Constants!$B$8,"",$BD190)</f>
        <v/>
      </c>
      <c r="BK190" s="97" t="str">
        <f aca="false">IF($BZ190&lt;&gt;Constants!$B$8,"",IF($AL190,$AN190,""))</f>
        <v/>
      </c>
      <c r="BL190" s="99" t="str">
        <f aca="false">IF($BZ190&lt;&gt;Constants!$B$8,"",$AI190)</f>
        <v/>
      </c>
      <c r="BM190" s="93" t="str">
        <f aca="false">IF($BZ190&lt;&gt;Constants!$B$8,"",IF(OR($BT190&lt;$BH190,AND($BT190=$BH190,OR($BU190&lt;$BI190,AND($BU190=$BI190,OR($BV190&lt;$BJ190,AND($BV190=$BJ190,OR(AND(ISNUMBER($BW190),OR(NOT(ISNUMBER($BK190)),$BW190&lt;$BK190)),AND(OR(AND($BW190="",$BK190=""),AND(ISNUMBER($BW190),ISNUMBER($BK190),$BW190=$BK190)),$BX190&lt;$BL190)))))))),"-&gt;","&lt;-"))</f>
        <v/>
      </c>
      <c r="BN190" s="92" t="str">
        <f aca="false">IF(ISBLANK($C190),"",AND($AT190,OR($AU190="",$AV190="",AND($AW190,$AX190=""))))</f>
        <v/>
      </c>
      <c r="BO190" s="94" t="str">
        <f aca="false">IF($BZ190&lt;&gt;Constants!$B$8,"",IF($AT190,Constants!$B$21*$AV190+Constants!$B$22*IF($AW190,$AX190,Constants!$B$23),Constants!$B$24))</f>
        <v/>
      </c>
      <c r="BP190" s="97" t="str">
        <f aca="false">IF($BZ190&lt;&gt;Constants!$B$8,"",Constants!$B$25*ABS($AD$9-IF($AT190,$AU190,0)))</f>
        <v/>
      </c>
      <c r="BQ190" s="97" t="str">
        <f aca="false">IF($BZ190&lt;&gt;Constants!$B$8,"",IF(AND($AT190,$AY190,$AW190),Constants!$B$27,0))</f>
        <v/>
      </c>
      <c r="BR190" s="97" t="str">
        <f aca="false">IF($BZ190&lt;&gt;Constants!$B$8,"",IF($AT190,($AI190-Constants!$B$29)*Constants!$B$28,0))</f>
        <v/>
      </c>
      <c r="BS190" s="97" t="str">
        <f aca="false">IF($BZ190&lt;&gt;Constants!$B$8,"",IF($AS190,0,Constants!$B$15)+IF($AR190,0,Constants!$B$16)+IF($AH190,0,Constants!$B$17))</f>
        <v/>
      </c>
      <c r="BT190" s="98" t="str">
        <f aca="false">IF($BZ190&lt;&gt;Constants!$B$8,"",Constants!$B$20+SUM($BO190:$BS190))</f>
        <v/>
      </c>
      <c r="BU190" s="97" t="str">
        <f aca="false">IF($BZ190&lt;&gt;Constants!$B$8,"",$BO190)</f>
        <v/>
      </c>
      <c r="BV190" s="97" t="str">
        <f aca="false">IF($BZ190&lt;&gt;Constants!$B$8,"",$BP190)</f>
        <v/>
      </c>
      <c r="BW190" s="97" t="str">
        <f aca="false">IF($BZ190&lt;&gt;Constants!$B$8,"",IF($AT190,$AV190,""))</f>
        <v/>
      </c>
      <c r="BX190" s="99" t="str">
        <f aca="false">IF($BZ190&lt;&gt;Constants!$B$8,"",$AI190)</f>
        <v/>
      </c>
      <c r="BY190" s="93" t="str">
        <f aca="false">IF(ISBLANK($C190),"",IF(ISBLANK($D$7),$BY$5,IF(NOT(ISNUMBER($D$7)),$BY$6,"")))</f>
        <v/>
      </c>
      <c r="BZ190" s="93" t="str">
        <f aca="false">IF(ISBLANK($C190),"",IF($BA190,Constants!$B$11,IF(COUNTA($E190:$AA190)=0,Constants!$B$10,IF(NOT($AG190),Constants!$B$9,IF(OR($BY190&lt;&gt;"",$BB190,$BN190),Constants!$B$12,Constants!$B$8)))))</f>
        <v/>
      </c>
      <c r="CA190" s="93" t="str">
        <f aca="false">IF(ISBLANK($C190),"",IF($BZ190&lt;&gt;Constants!$B$8,$BZ190,Constants!$B$13))</f>
        <v/>
      </c>
      <c r="CB190" s="97" t="str">
        <f aca="false">IF($BZ190&lt;&gt;Constants!$B$8,"",IF($BM190="-&gt;",$BT190,$BH190))</f>
        <v/>
      </c>
      <c r="CC190" s="97" t="str">
        <f aca="false">IF($BZ190&lt;&gt;Constants!$B$8,"",IF($AF190,0,Constants!$B$18))</f>
        <v/>
      </c>
      <c r="CD190" s="97" t="str">
        <f aca="false">IF($BZ190&lt;&gt;Constants!$B$8,"",((Constants!$B$31-$AZ190)-Constants!$B$31)/Constants!$B$32)</f>
        <v/>
      </c>
      <c r="CE190" s="97" t="str">
        <f aca="false">IF(ISBLANK($C190),"",IF($BZ190&lt;&gt;Constants!$B$8,$BZ190,SUM($CB190:$CD190)))</f>
        <v/>
      </c>
      <c r="CF190" s="93" t="str">
        <f aca="false">IF(ISBLANK($C190),"",IF($BZ190&lt;&gt;Constants!$B$8,$BZ190,RANK($CE190,$CE$9:$CE$508,1)))</f>
        <v/>
      </c>
      <c r="CG190" s="97" t="str">
        <f aca="false">IF($BZ190&lt;&gt;Constants!$B$8,"",IF($BM190="-&gt;",$BU190,$BI190))</f>
        <v/>
      </c>
      <c r="CH190" s="93" t="str">
        <f aca="false">IF(ISBLANK($C190),"",IF($BZ190&lt;&gt;Constants!$B$8,$BZ190,IF(ISNUMBER($CG190),RANK($CG190,$CG$9:$CG$508,1),COUNT($CG$9:$CG$508)+1)))</f>
        <v/>
      </c>
      <c r="CI190" s="97" t="str">
        <f aca="false">IF($BZ190&lt;&gt;Constants!$B$8,"",IF($BM190="-&gt;",$BV190,$BJ190))</f>
        <v/>
      </c>
      <c r="CJ190" s="93" t="str">
        <f aca="false">IF(ISBLANK($C190),"",IF($BZ190&lt;&gt;Constants!$B$8,$BZ190,IF(ISNUMBER($CI190),RANK($CI190,$CI$9:$CI$508,1),COUNT($CI$9:$CI$508)+1)))</f>
        <v/>
      </c>
      <c r="CK190" s="97" t="str">
        <f aca="false">IF($BZ190&lt;&gt;Constants!$B$8,"",IF($BM190="-&gt;",$BW190,$BK190))</f>
        <v/>
      </c>
      <c r="CL190" s="93" t="str">
        <f aca="false">IF(ISBLANK($C190),"",IF($BZ190&lt;&gt;Constants!$B$8,$BZ190,IF(ISNUMBER($CK190),RANK($CK190,$CK$9:$CK$508,1),COUNT($CK$9:$CK$508)+1)))</f>
        <v/>
      </c>
      <c r="CM190" s="97" t="str">
        <f aca="false">IF($BZ190&lt;&gt;Constants!$B$8,"",IF(AND(NOT($AL190),NOT($AT190),$AJ190,$AK190,$AR190,$AS190),"",IF($BM190="-&gt;",$BX190,$BL190)))</f>
        <v/>
      </c>
      <c r="CN190" s="93" t="str">
        <f aca="false">IF(ISBLANK($C190),"",IF($BZ190&lt;&gt;Constants!$B$8,$BZ190,IF(ISNUMBER($CM190),RANK($CM190,$CM$9:$CM$508,1),COUNT($CM$9:$CM$508)+1)))</f>
        <v/>
      </c>
      <c r="CO190" s="93" t="str">
        <f aca="false">IF(ISBLANK($C190),"",IF($BZ190&lt;&gt;Constants!$B$8,$BZ190,COUNTIFS($CF$9:$CF$508,"&lt;"&amp;$CF190)+COUNTIFS($CF$9:$CF$508,$CF190,$CH$9:$CH$508,"&lt;"&amp;$CH190)+COUNTIFS($CF$9:$CF$508,$CF190,$CH$9:$CH$508,$CH190,$CJ$9:$CJ$508,"&lt;"&amp;$CJ190)+COUNTIFS($CF$9:$CF$508,$CF190,$CH$9:$CH$508,$CH190,$CJ$9:$CJ$508,$CJ190,$CL$9:$CL$508,"&lt;"&amp;$CL190)+COUNTIFS($CF$9:$CF$508,$CF190,$CH$9:$CH$508,$CH190,$CJ$9:$CJ$508,$CJ190,$CL$9:$CL$508,$CL190,$CN$9:$CN$508,"&lt;"&amp;$CN190)+1))</f>
        <v/>
      </c>
      <c r="CP190" s="93" t="str">
        <f aca="false">IF(ISBLANK($C190),"",IF($BZ190&lt;&gt;Constants!$B$8,$BZ190,$CF190-$CO190))</f>
        <v/>
      </c>
      <c r="CQ190" s="100"/>
      <c r="CR190" s="101"/>
      <c r="CS190" s="102" t="str">
        <f aca="false">IF(ISBLANK($C190),"",IF($BZ190=Constants!$B$12,$BY190,""))</f>
        <v/>
      </c>
      <c r="CT190" s="101" t="str">
        <f aca="false">IF(ISBLANK($C190),"",IF($BZ190&lt;&gt;Constants!$B$8,"",IF($BM190="-&gt;",2,1)))</f>
        <v/>
      </c>
      <c r="CU190" s="103" t="str">
        <f aca="false">IF(ISBLANK($C190),"",IF($BZ190&lt;&gt;Constants!$B$8,"",IF($BM190="-&gt;",$BO190,$BC190)))</f>
        <v/>
      </c>
      <c r="CV190" s="103" t="str">
        <f aca="false">IF(ISBLANK($C190),"",IF($BZ190&lt;&gt;Constants!$B$8,"",IF($BM190="-&gt;",$BP190,$BD190)))</f>
        <v/>
      </c>
      <c r="CW190" s="103" t="str">
        <f aca="false">IF(ISBLANK($C190),"",IF($BZ190&lt;&gt;Constants!$B$8,"",IF($BM190="-&gt;",$BQ190+$BR190,$BE190+$BF190)+$CD190))</f>
        <v/>
      </c>
      <c r="CX190" s="103" t="str">
        <f aca="false">IF(ISBLANK($C190),"",IF($BZ190&lt;&gt;Constants!$B$8,"",IF($BM190="-&gt;",$BS190,$BG190)+$CC190))</f>
        <v/>
      </c>
      <c r="CY190" s="104" t="str">
        <f aca="false">IF(ISBLANK($C190),"",IF($BZ190&lt;&gt;Constants!$B$8,$BZ190,$CE190))</f>
        <v/>
      </c>
      <c r="CZ190" s="105" t="str">
        <f aca="false">IF(ISBLANK($C190),"",$CA190)</f>
        <v/>
      </c>
      <c r="DA190" s="106" t="str">
        <f aca="false">IF(ISBLANK($C190),"",$CP190)</f>
        <v/>
      </c>
      <c r="DB190" s="106" t="str">
        <f aca="false">IF(ISBLANK($C190),"",$CO190)</f>
        <v/>
      </c>
      <c r="DC190" s="107" t="str">
        <f aca="false">IF(ISBLANK($C190),"",IFERROR(_xlfn.SWITCH($DB190,Constants!$B$11,COUNTA($C$9:$C$508)+2,Constants!$B$10,COUNTA($C$9:$C$508)+1,Constants!$B$9,COUNTA($C$9:$C$508)),$DB190))</f>
        <v/>
      </c>
      <c r="DD190" s="9"/>
      <c r="DE190" s="108" t="n">
        <f aca="false">IF(OR(ISNUMBER($DB190),$DB190=Constants!$B$11,$DB190=Constants!$B$9,$DB190=Constants!$B$10),1,0)</f>
        <v>0</v>
      </c>
      <c r="DF190" s="108" t="n">
        <v>182</v>
      </c>
      <c r="DG190" s="108" t="str">
        <f aca="false">IF(ISBLANK($C190),"",IF(ISNUMBER($DC190),$DC190+ROW($B190)/1000,""))</f>
        <v/>
      </c>
      <c r="DH190" s="108" t="str">
        <f aca="false">IF(ISNUMBER($DG190),RANK($DG190,$DG$9:$DG$508,1),"")</f>
        <v/>
      </c>
      <c r="DI190" s="108" t="str">
        <f aca="false">IF(ISBLANK($C190),"",$B190)</f>
        <v/>
      </c>
      <c r="DJ190" s="108" t="str">
        <f aca="false">IF(ISBLANK($C190),"",$C190)</f>
        <v/>
      </c>
      <c r="DK190" s="108" t="str">
        <f aca="false">IF(ISBLANK($C190),"",$D190)</f>
        <v/>
      </c>
      <c r="DL190" s="109" t="str">
        <f aca="false">$CZ190</f>
        <v/>
      </c>
      <c r="DM190" s="110" t="str">
        <f aca="false">$CY190</f>
        <v/>
      </c>
      <c r="DN190" s="108" t="str">
        <f aca="false">IF(ISBLANK($C190),"",$DB190)</f>
        <v/>
      </c>
      <c r="DO190" s="111" t="str">
        <f aca="false">IF($DF190&gt;$DE$8,"",VLOOKUP($DF190,$DH$9:$DN$508,7,FALSE()))</f>
        <v/>
      </c>
      <c r="DP190" s="112" t="str">
        <f aca="false">IF($DF190&gt;$DE$8,"",VLOOKUP($DF190,$DH$9:$DN$508,2,FALSE()))</f>
        <v/>
      </c>
      <c r="DQ190" s="112" t="str">
        <f aca="false">IF($DF190&gt;$DE$8,"",VLOOKUP($DF190,$DH$9:$DN$508,3,FALSE()))</f>
        <v/>
      </c>
      <c r="DR190" s="112" t="str">
        <f aca="false">IF($DF190&gt;$DE$8,"",VLOOKUP($DF190,$DH$9:$DN$508,4,FALSE()))</f>
        <v/>
      </c>
      <c r="DS190" s="112" t="str">
        <f aca="false">IF($DF190&gt;$DE$8,"",VLOOKUP($DF190,$DH$9:$DN$508,5,FALSE()))</f>
        <v/>
      </c>
      <c r="DT190" s="113" t="str">
        <f aca="false">IF($DF190&gt;$DE$8,"",VLOOKUP($DF190,$DH$9:$DN$508,6,FALSE()))</f>
        <v/>
      </c>
      <c r="DU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IF(ISBLANK($C191),"",IF(E191=Constants!$B$3,TRUE(),IF(E191=Constants!$B$4,FALSE(),TRUE())))</f>
        <v/>
      </c>
      <c r="AG191" s="93" t="str">
        <f aca="false">IF(ISBLANK($C191),"",IF(F191=Constants!$B$3,TRUE(),IF(F191=Constants!$B$4,FALSE(),TRUE())))</f>
        <v/>
      </c>
      <c r="AH191" s="93" t="str">
        <f aca="false">IF(ISBLANK($C191),"",IF(G191=Constants!$B$3,TRUE(),IF(G191=Constants!$B$4,FALSE(),TRUE())))</f>
        <v/>
      </c>
      <c r="AI191" s="93" t="str">
        <f aca="false">IF(ISBLANK($C191),"",IF(AND(ISNUMBER(H191),H191&gt;=0),H191,Constants!$B$29))</f>
        <v/>
      </c>
      <c r="AJ191" s="93" t="str">
        <f aca="false">IF(ISBLANK($C191),"",IF(I191=Constants!$B$3,TRUE(),IF(I191=Constants!$B$4,FALSE(),TRUE())))</f>
        <v/>
      </c>
      <c r="AK191" s="93" t="str">
        <f aca="false">IF(ISBLANK($C191),"",IF(J191=Constants!$B$3,TRUE(),IF(J191=Constants!$B$4,FALSE(),TRUE())))</f>
        <v/>
      </c>
      <c r="AL191" s="93" t="str">
        <f aca="false">IF(ISBLANK($C191),"",IF(K191=Constants!$B$5,TRUE(),IF(K191=Constants!$B$6,FALSE(),COUNTA(L191:P191)&gt;0)))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IF(ISBLANK($C191),"",IF(N191=Constants!$B$3,TRUE(),IF(N191=Constants!$B$4,FALSE(),TRUE())))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IF(ISBLANK($C191),"",IF(P191=Constants!$B$3,TRUE(),IF(P191=Constants!$B$4,FALSE(),FALSE())))</f>
        <v/>
      </c>
      <c r="AR191" s="93" t="str">
        <f aca="false">IF(ISBLANK($C191),"",IF(Q191=Constants!$B$3,TRUE(),IF(Q191=Constants!$B$4,FALSE(),TRUE())))</f>
        <v/>
      </c>
      <c r="AS191" s="93" t="str">
        <f aca="false">IF(ISBLANK($C191),"",IF(R191=Constants!$B$3,TRUE(),IF(R191=Constants!$B$4,FALSE(),TRUE())))</f>
        <v/>
      </c>
      <c r="AT191" s="93" t="str">
        <f aca="false">IF(ISBLANK($C191),"",IF(S191=Constants!$B$5,TRUE(),IF(S191=Constants!$B$6,FALSE(),COUNTA(T191:X191)&gt;0)))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IF(ISBLANK($C191),"",IF(V191=Constants!$B$3,TRUE(),IF(V191=Constants!$B$4,FALSE(),TRUE())))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IF(ISBLANK($C191),"",IF(X191=Constants!$B$3,TRUE(),IF(X191=Constants!$B$4,FALSE(),FALSE())))</f>
        <v/>
      </c>
      <c r="AZ191" s="93" t="str">
        <f aca="false">IF(ISBLANK($C191),"",MIN(Constants!$B$31,MAX(0,IF(ISNUMBER(Y191),Y191*60,0)+IF(ISNUMBER(Z191),Z191,0))))</f>
        <v/>
      </c>
      <c r="BA191" s="93" t="str">
        <f aca="false">IF(ISBLANK($C191),"",IF(AA191=Constants!$B$3,TRUE(),IF(AA191=Constants!$B$4,FALSE(),FALSE())))</f>
        <v/>
      </c>
      <c r="BB191" s="92" t="str">
        <f aca="false">IF(ISBLANK($C191),"",AND($AL191,OR($AM191="",$AN191="",AND($AO191,$AP191=""))))</f>
        <v/>
      </c>
      <c r="BC191" s="94" t="str">
        <f aca="false">IF($BZ191&lt;&gt;Constants!$B$8,"",IF($AL191,Constants!$B$21*$AN191+Constants!$B$22*IF($AO191,$AP191,Constants!$B$23),Constants!$B$24))</f>
        <v/>
      </c>
      <c r="BD191" s="97" t="str">
        <f aca="false">IF($BZ191&lt;&gt;Constants!$B$8,"",Constants!$B$25*ABS($AD$9-IF($AL191,$AM191,0)))</f>
        <v/>
      </c>
      <c r="BE191" s="97" t="str">
        <f aca="false">IF($BZ191&lt;&gt;Constants!$B$8,"",IF(AND($AL191,$AQ191,$AO191),Constants!$B$27,0))</f>
        <v/>
      </c>
      <c r="BF191" s="97" t="str">
        <f aca="false">IF($BZ191&lt;&gt;Constants!$B$8,"",IF($AL191,($AI191-Constants!$B$29)*Constants!$B$28,0))</f>
        <v/>
      </c>
      <c r="BG191" s="97" t="str">
        <f aca="false">IF($BZ191&lt;&gt;Constants!$B$8,"",IF($AK191,0,Constants!$B$15)+IF($AJ191,0,Constants!$B$16)+IF($AH191,0,Constants!$B$17))</f>
        <v/>
      </c>
      <c r="BH191" s="98" t="str">
        <f aca="false">IF($BZ191&lt;&gt;Constants!$B$8,"",Constants!$B$20+SUM($BC191:$BG191))</f>
        <v/>
      </c>
      <c r="BI191" s="97" t="str">
        <f aca="false">IF($BZ191&lt;&gt;Constants!$B$8,"",$BC191)</f>
        <v/>
      </c>
      <c r="BJ191" s="97" t="str">
        <f aca="false">IF($BZ191&lt;&gt;Constants!$B$8,"",$BD191)</f>
        <v/>
      </c>
      <c r="BK191" s="97" t="str">
        <f aca="false">IF($BZ191&lt;&gt;Constants!$B$8,"",IF($AL191,$AN191,""))</f>
        <v/>
      </c>
      <c r="BL191" s="99" t="str">
        <f aca="false">IF($BZ191&lt;&gt;Constants!$B$8,"",$AI191)</f>
        <v/>
      </c>
      <c r="BM191" s="93" t="str">
        <f aca="false">IF($BZ191&lt;&gt;Constants!$B$8,"",IF(OR($BT191&lt;$BH191,AND($BT191=$BH191,OR($BU191&lt;$BI191,AND($BU191=$BI191,OR($BV191&lt;$BJ191,AND($BV191=$BJ191,OR(AND(ISNUMBER($BW191),OR(NOT(ISNUMBER($BK191)),$BW191&lt;$BK191)),AND(OR(AND($BW191="",$BK191=""),AND(ISNUMBER($BW191),ISNUMBER($BK191),$BW191=$BK191)),$BX191&lt;$BL191)))))))),"-&gt;","&lt;-"))</f>
        <v/>
      </c>
      <c r="BN191" s="92" t="str">
        <f aca="false">IF(ISBLANK($C191),"",AND($AT191,OR($AU191="",$AV191="",AND($AW191,$AX191=""))))</f>
        <v/>
      </c>
      <c r="BO191" s="94" t="str">
        <f aca="false">IF($BZ191&lt;&gt;Constants!$B$8,"",IF($AT191,Constants!$B$21*$AV191+Constants!$B$22*IF($AW191,$AX191,Constants!$B$23),Constants!$B$24))</f>
        <v/>
      </c>
      <c r="BP191" s="97" t="str">
        <f aca="false">IF($BZ191&lt;&gt;Constants!$B$8,"",Constants!$B$25*ABS($AD$9-IF($AT191,$AU191,0)))</f>
        <v/>
      </c>
      <c r="BQ191" s="97" t="str">
        <f aca="false">IF($BZ191&lt;&gt;Constants!$B$8,"",IF(AND($AT191,$AY191,$AW191),Constants!$B$27,0))</f>
        <v/>
      </c>
      <c r="BR191" s="97" t="str">
        <f aca="false">IF($BZ191&lt;&gt;Constants!$B$8,"",IF($AT191,($AI191-Constants!$B$29)*Constants!$B$28,0))</f>
        <v/>
      </c>
      <c r="BS191" s="97" t="str">
        <f aca="false">IF($BZ191&lt;&gt;Constants!$B$8,"",IF($AS191,0,Constants!$B$15)+IF($AR191,0,Constants!$B$16)+IF($AH191,0,Constants!$B$17))</f>
        <v/>
      </c>
      <c r="BT191" s="98" t="str">
        <f aca="false">IF($BZ191&lt;&gt;Constants!$B$8,"",Constants!$B$20+SUM($BO191:$BS191))</f>
        <v/>
      </c>
      <c r="BU191" s="97" t="str">
        <f aca="false">IF($BZ191&lt;&gt;Constants!$B$8,"",$BO191)</f>
        <v/>
      </c>
      <c r="BV191" s="97" t="str">
        <f aca="false">IF($BZ191&lt;&gt;Constants!$B$8,"",$BP191)</f>
        <v/>
      </c>
      <c r="BW191" s="97" t="str">
        <f aca="false">IF($BZ191&lt;&gt;Constants!$B$8,"",IF($AT191,$AV191,""))</f>
        <v/>
      </c>
      <c r="BX191" s="99" t="str">
        <f aca="false">IF($BZ191&lt;&gt;Constants!$B$8,"",$AI191)</f>
        <v/>
      </c>
      <c r="BY191" s="93" t="str">
        <f aca="false">IF(ISBLANK($C191),"",IF(ISBLANK($D$7),$BY$5,IF(NOT(ISNUMBER($D$7)),$BY$6,"")))</f>
        <v/>
      </c>
      <c r="BZ191" s="93" t="str">
        <f aca="false">IF(ISBLANK($C191),"",IF($BA191,Constants!$B$11,IF(COUNTA($E191:$AA191)=0,Constants!$B$10,IF(NOT($AG191),Constants!$B$9,IF(OR($BY191&lt;&gt;"",$BB191,$BN191),Constants!$B$12,Constants!$B$8)))))</f>
        <v/>
      </c>
      <c r="CA191" s="93" t="str">
        <f aca="false">IF(ISBLANK($C191),"",IF($BZ191&lt;&gt;Constants!$B$8,$BZ191,Constants!$B$13))</f>
        <v/>
      </c>
      <c r="CB191" s="97" t="str">
        <f aca="false">IF($BZ191&lt;&gt;Constants!$B$8,"",IF($BM191="-&gt;",$BT191,$BH191))</f>
        <v/>
      </c>
      <c r="CC191" s="97" t="str">
        <f aca="false">IF($BZ191&lt;&gt;Constants!$B$8,"",IF($AF191,0,Constants!$B$18))</f>
        <v/>
      </c>
      <c r="CD191" s="97" t="str">
        <f aca="false">IF($BZ191&lt;&gt;Constants!$B$8,"",((Constants!$B$31-$AZ191)-Constants!$B$31)/Constants!$B$32)</f>
        <v/>
      </c>
      <c r="CE191" s="97" t="str">
        <f aca="false">IF(ISBLANK($C191),"",IF($BZ191&lt;&gt;Constants!$B$8,$BZ191,SUM($CB191:$CD191)))</f>
        <v/>
      </c>
      <c r="CF191" s="93" t="str">
        <f aca="false">IF(ISBLANK($C191),"",IF($BZ191&lt;&gt;Constants!$B$8,$BZ191,RANK($CE191,$CE$9:$CE$508,1)))</f>
        <v/>
      </c>
      <c r="CG191" s="97" t="str">
        <f aca="false">IF($BZ191&lt;&gt;Constants!$B$8,"",IF($BM191="-&gt;",$BU191,$BI191))</f>
        <v/>
      </c>
      <c r="CH191" s="93" t="str">
        <f aca="false">IF(ISBLANK($C191),"",IF($BZ191&lt;&gt;Constants!$B$8,$BZ191,IF(ISNUMBER($CG191),RANK($CG191,$CG$9:$CG$508,1),COUNT($CG$9:$CG$508)+1)))</f>
        <v/>
      </c>
      <c r="CI191" s="97" t="str">
        <f aca="false">IF($BZ191&lt;&gt;Constants!$B$8,"",IF($BM191="-&gt;",$BV191,$BJ191))</f>
        <v/>
      </c>
      <c r="CJ191" s="93" t="str">
        <f aca="false">IF(ISBLANK($C191),"",IF($BZ191&lt;&gt;Constants!$B$8,$BZ191,IF(ISNUMBER($CI191),RANK($CI191,$CI$9:$CI$508,1),COUNT($CI$9:$CI$508)+1)))</f>
        <v/>
      </c>
      <c r="CK191" s="97" t="str">
        <f aca="false">IF($BZ191&lt;&gt;Constants!$B$8,"",IF($BM191="-&gt;",$BW191,$BK191))</f>
        <v/>
      </c>
      <c r="CL191" s="93" t="str">
        <f aca="false">IF(ISBLANK($C191),"",IF($BZ191&lt;&gt;Constants!$B$8,$BZ191,IF(ISNUMBER($CK191),RANK($CK191,$CK$9:$CK$508,1),COUNT($CK$9:$CK$508)+1)))</f>
        <v/>
      </c>
      <c r="CM191" s="97" t="str">
        <f aca="false">IF($BZ191&lt;&gt;Constants!$B$8,"",IF(AND(NOT($AL191),NOT($AT191),$AJ191,$AK191,$AR191,$AS191),"",IF($BM191="-&gt;",$BX191,$BL191)))</f>
        <v/>
      </c>
      <c r="CN191" s="93" t="str">
        <f aca="false">IF(ISBLANK($C191),"",IF($BZ191&lt;&gt;Constants!$B$8,$BZ191,IF(ISNUMBER($CM191),RANK($CM191,$CM$9:$CM$508,1),COUNT($CM$9:$CM$508)+1)))</f>
        <v/>
      </c>
      <c r="CO191" s="93" t="str">
        <f aca="false">IF(ISBLANK($C191),"",IF($BZ191&lt;&gt;Constants!$B$8,$BZ191,COUNTIFS($CF$9:$CF$508,"&lt;"&amp;$CF191)+COUNTIFS($CF$9:$CF$508,$CF191,$CH$9:$CH$508,"&lt;"&amp;$CH191)+COUNTIFS($CF$9:$CF$508,$CF191,$CH$9:$CH$508,$CH191,$CJ$9:$CJ$508,"&lt;"&amp;$CJ191)+COUNTIFS($CF$9:$CF$508,$CF191,$CH$9:$CH$508,$CH191,$CJ$9:$CJ$508,$CJ191,$CL$9:$CL$508,"&lt;"&amp;$CL191)+COUNTIFS($CF$9:$CF$508,$CF191,$CH$9:$CH$508,$CH191,$CJ$9:$CJ$508,$CJ191,$CL$9:$CL$508,$CL191,$CN$9:$CN$508,"&lt;"&amp;$CN191)+1))</f>
        <v/>
      </c>
      <c r="CP191" s="93" t="str">
        <f aca="false">IF(ISBLANK($C191),"",IF($BZ191&lt;&gt;Constants!$B$8,$BZ191,$CF191-$CO191))</f>
        <v/>
      </c>
      <c r="CQ191" s="100"/>
      <c r="CR191" s="101"/>
      <c r="CS191" s="102" t="str">
        <f aca="false">IF(ISBLANK($C191),"",IF($BZ191=Constants!$B$12,$BY191,""))</f>
        <v/>
      </c>
      <c r="CT191" s="101" t="str">
        <f aca="false">IF(ISBLANK($C191),"",IF($BZ191&lt;&gt;Constants!$B$8,"",IF($BM191="-&gt;",2,1)))</f>
        <v/>
      </c>
      <c r="CU191" s="103" t="str">
        <f aca="false">IF(ISBLANK($C191),"",IF($BZ191&lt;&gt;Constants!$B$8,"",IF($BM191="-&gt;",$BO191,$BC191)))</f>
        <v/>
      </c>
      <c r="CV191" s="103" t="str">
        <f aca="false">IF(ISBLANK($C191),"",IF($BZ191&lt;&gt;Constants!$B$8,"",IF($BM191="-&gt;",$BP191,$BD191)))</f>
        <v/>
      </c>
      <c r="CW191" s="103" t="str">
        <f aca="false">IF(ISBLANK($C191),"",IF($BZ191&lt;&gt;Constants!$B$8,"",IF($BM191="-&gt;",$BQ191+$BR191,$BE191+$BF191)+$CD191))</f>
        <v/>
      </c>
      <c r="CX191" s="103" t="str">
        <f aca="false">IF(ISBLANK($C191),"",IF($BZ191&lt;&gt;Constants!$B$8,"",IF($BM191="-&gt;",$BS191,$BG191)+$CC191))</f>
        <v/>
      </c>
      <c r="CY191" s="104" t="str">
        <f aca="false">IF(ISBLANK($C191),"",IF($BZ191&lt;&gt;Constants!$B$8,$BZ191,$CE191))</f>
        <v/>
      </c>
      <c r="CZ191" s="105" t="str">
        <f aca="false">IF(ISBLANK($C191),"",$CA191)</f>
        <v/>
      </c>
      <c r="DA191" s="106" t="str">
        <f aca="false">IF(ISBLANK($C191),"",$CP191)</f>
        <v/>
      </c>
      <c r="DB191" s="106" t="str">
        <f aca="false">IF(ISBLANK($C191),"",$CO191)</f>
        <v/>
      </c>
      <c r="DC191" s="107" t="str">
        <f aca="false">IF(ISBLANK($C191),"",IFERROR(_xlfn.SWITCH($DB191,Constants!$B$11,COUNTA($C$9:$C$508)+2,Constants!$B$10,COUNTA($C$9:$C$508)+1,Constants!$B$9,COUNTA($C$9:$C$508)),$DB191))</f>
        <v/>
      </c>
      <c r="DD191" s="9"/>
      <c r="DE191" s="108" t="n">
        <f aca="false">IF(OR(ISNUMBER($DB191),$DB191=Constants!$B$11,$DB191=Constants!$B$9,$DB191=Constants!$B$10),1,0)</f>
        <v>0</v>
      </c>
      <c r="DF191" s="108" t="n">
        <v>183</v>
      </c>
      <c r="DG191" s="108" t="str">
        <f aca="false">IF(ISBLANK($C191),"",IF(ISNUMBER($DC191),$DC191+ROW($B191)/1000,""))</f>
        <v/>
      </c>
      <c r="DH191" s="108" t="str">
        <f aca="false">IF(ISNUMBER($DG191),RANK($DG191,$DG$9:$DG$508,1),"")</f>
        <v/>
      </c>
      <c r="DI191" s="108" t="str">
        <f aca="false">IF(ISBLANK($C191),"",$B191)</f>
        <v/>
      </c>
      <c r="DJ191" s="108" t="str">
        <f aca="false">IF(ISBLANK($C191),"",$C191)</f>
        <v/>
      </c>
      <c r="DK191" s="108" t="str">
        <f aca="false">IF(ISBLANK($C191),"",$D191)</f>
        <v/>
      </c>
      <c r="DL191" s="109" t="str">
        <f aca="false">$CZ191</f>
        <v/>
      </c>
      <c r="DM191" s="110" t="str">
        <f aca="false">$CY191</f>
        <v/>
      </c>
      <c r="DN191" s="108" t="str">
        <f aca="false">IF(ISBLANK($C191),"",$DB191)</f>
        <v/>
      </c>
      <c r="DO191" s="111" t="str">
        <f aca="false">IF($DF191&gt;$DE$8,"",VLOOKUP($DF191,$DH$9:$DN$508,7,FALSE()))</f>
        <v/>
      </c>
      <c r="DP191" s="112" t="str">
        <f aca="false">IF($DF191&gt;$DE$8,"",VLOOKUP($DF191,$DH$9:$DN$508,2,FALSE()))</f>
        <v/>
      </c>
      <c r="DQ191" s="112" t="str">
        <f aca="false">IF($DF191&gt;$DE$8,"",VLOOKUP($DF191,$DH$9:$DN$508,3,FALSE()))</f>
        <v/>
      </c>
      <c r="DR191" s="112" t="str">
        <f aca="false">IF($DF191&gt;$DE$8,"",VLOOKUP($DF191,$DH$9:$DN$508,4,FALSE()))</f>
        <v/>
      </c>
      <c r="DS191" s="112" t="str">
        <f aca="false">IF($DF191&gt;$DE$8,"",VLOOKUP($DF191,$DH$9:$DN$508,5,FALSE()))</f>
        <v/>
      </c>
      <c r="DT191" s="113" t="str">
        <f aca="false">IF($DF191&gt;$DE$8,"",VLOOKUP($DF191,$DH$9:$DN$508,6,FALSE()))</f>
        <v/>
      </c>
      <c r="DU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IF(ISBLANK($C192),"",IF(E192=Constants!$B$3,TRUE(),IF(E192=Constants!$B$4,FALSE(),TRUE())))</f>
        <v/>
      </c>
      <c r="AG192" s="135" t="str">
        <f aca="false">IF(ISBLANK($C192),"",IF(F192=Constants!$B$3,TRUE(),IF(F192=Constants!$B$4,FALSE(),TRUE())))</f>
        <v/>
      </c>
      <c r="AH192" s="135" t="str">
        <f aca="false">IF(ISBLANK($C192),"",IF(G192=Constants!$B$3,TRUE(),IF(G192=Constants!$B$4,FALSE(),TRUE())))</f>
        <v/>
      </c>
      <c r="AI192" s="135" t="str">
        <f aca="false">IF(ISBLANK($C192),"",IF(AND(ISNUMBER(H192),H192&gt;=0),H192,Constants!$B$29))</f>
        <v/>
      </c>
      <c r="AJ192" s="135" t="str">
        <f aca="false">IF(ISBLANK($C192),"",IF(I192=Constants!$B$3,TRUE(),IF(I192=Constants!$B$4,FALSE(),TRUE())))</f>
        <v/>
      </c>
      <c r="AK192" s="135" t="str">
        <f aca="false">IF(ISBLANK($C192),"",IF(J192=Constants!$B$3,TRUE(),IF(J192=Constants!$B$4,FALSE(),TRUE())))</f>
        <v/>
      </c>
      <c r="AL192" s="135" t="str">
        <f aca="false">IF(ISBLANK($C192),"",IF(K192=Constants!$B$5,TRUE(),IF(K192=Constants!$B$6,FALSE(),COUNTA(L192:P192)&gt;0)))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IF(ISBLANK($C192),"",IF(N192=Constants!$B$3,TRUE(),IF(N192=Constants!$B$4,FALSE(),TRUE())))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IF(ISBLANK($C192),"",IF(P192=Constants!$B$3,TRUE(),IF(P192=Constants!$B$4,FALSE(),FALSE())))</f>
        <v/>
      </c>
      <c r="AR192" s="135" t="str">
        <f aca="false">IF(ISBLANK($C192),"",IF(Q192=Constants!$B$3,TRUE(),IF(Q192=Constants!$B$4,FALSE(),TRUE())))</f>
        <v/>
      </c>
      <c r="AS192" s="135" t="str">
        <f aca="false">IF(ISBLANK($C192),"",IF(R192=Constants!$B$3,TRUE(),IF(R192=Constants!$B$4,FALSE(),TRUE())))</f>
        <v/>
      </c>
      <c r="AT192" s="135" t="str">
        <f aca="false">IF(ISBLANK($C192),"",IF(S192=Constants!$B$5,TRUE(),IF(S192=Constants!$B$6,FALSE(),COUNTA(T192:X192)&gt;0)))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IF(ISBLANK($C192),"",IF(V192=Constants!$B$3,TRUE(),IF(V192=Constants!$B$4,FALSE(),TRUE())))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IF(ISBLANK($C192),"",IF(X192=Constants!$B$3,TRUE(),IF(X192=Constants!$B$4,FALSE(),FALSE())))</f>
        <v/>
      </c>
      <c r="AZ192" s="135" t="str">
        <f aca="false">IF(ISBLANK($C192),"",MIN(Constants!$B$31,MAX(0,IF(ISNUMBER(Y192),Y192*60,0)+IF(ISNUMBER(Z192),Z192,0))))</f>
        <v/>
      </c>
      <c r="BA192" s="135" t="str">
        <f aca="false">IF(ISBLANK($C192),"",IF(AA192=Constants!$B$3,TRUE(),IF(AA192=Constants!$B$4,FALSE(),FALSE())))</f>
        <v/>
      </c>
      <c r="BB192" s="134" t="str">
        <f aca="false">IF(ISBLANK($C192),"",AND($AL192,OR($AM192="",$AN192="",AND($AO192,$AP192=""))))</f>
        <v/>
      </c>
      <c r="BC192" s="137" t="str">
        <f aca="false">IF($BZ192&lt;&gt;Constants!$B$8,"",IF($AL192,Constants!$B$21*$AN192+Constants!$B$22*IF($AO192,$AP192,Constants!$B$23),Constants!$B$24))</f>
        <v/>
      </c>
      <c r="BD192" s="138" t="str">
        <f aca="false">IF($BZ192&lt;&gt;Constants!$B$8,"",Constants!$B$25*ABS($AD$9-IF($AL192,$AM192,0)))</f>
        <v/>
      </c>
      <c r="BE192" s="138" t="str">
        <f aca="false">IF($BZ192&lt;&gt;Constants!$B$8,"",IF(AND($AL192,$AQ192,$AO192),Constants!$B$27,0))</f>
        <v/>
      </c>
      <c r="BF192" s="138" t="str">
        <f aca="false">IF($BZ192&lt;&gt;Constants!$B$8,"",IF($AL192,($AI192-Constants!$B$29)*Constants!$B$28,0))</f>
        <v/>
      </c>
      <c r="BG192" s="138" t="str">
        <f aca="false">IF($BZ192&lt;&gt;Constants!$B$8,"",IF($AK192,0,Constants!$B$15)+IF($AJ192,0,Constants!$B$16)+IF($AH192,0,Constants!$B$17))</f>
        <v/>
      </c>
      <c r="BH192" s="139" t="str">
        <f aca="false">IF($BZ192&lt;&gt;Constants!$B$8,"",Constants!$B$20+SUM($BC192:$BG192))</f>
        <v/>
      </c>
      <c r="BI192" s="138" t="str">
        <f aca="false">IF($BZ192&lt;&gt;Constants!$B$8,"",$BC192)</f>
        <v/>
      </c>
      <c r="BJ192" s="138" t="str">
        <f aca="false">IF($BZ192&lt;&gt;Constants!$B$8,"",$BD192)</f>
        <v/>
      </c>
      <c r="BK192" s="138" t="str">
        <f aca="false">IF($BZ192&lt;&gt;Constants!$B$8,"",IF($AL192,$AN192,""))</f>
        <v/>
      </c>
      <c r="BL192" s="140" t="str">
        <f aca="false">IF($BZ192&lt;&gt;Constants!$B$8,"",$AI192)</f>
        <v/>
      </c>
      <c r="BM192" s="135" t="str">
        <f aca="false">IF($BZ192&lt;&gt;Constants!$B$8,"",IF(OR($BT192&lt;$BH192,AND($BT192=$BH192,OR($BU192&lt;$BI192,AND($BU192=$BI192,OR($BV192&lt;$BJ192,AND($BV192=$BJ192,OR(AND(ISNUMBER($BW192),OR(NOT(ISNUMBER($BK192)),$BW192&lt;$BK192)),AND(OR(AND($BW192="",$BK192=""),AND(ISNUMBER($BW192),ISNUMBER($BK192),$BW192=$BK192)),$BX192&lt;$BL192)))))))),"-&gt;","&lt;-"))</f>
        <v/>
      </c>
      <c r="BN192" s="134" t="str">
        <f aca="false">IF(ISBLANK($C192),"",AND($AT192,OR($AU192="",$AV192="",AND($AW192,$AX192=""))))</f>
        <v/>
      </c>
      <c r="BO192" s="137" t="str">
        <f aca="false">IF($BZ192&lt;&gt;Constants!$B$8,"",IF($AT192,Constants!$B$21*$AV192+Constants!$B$22*IF($AW192,$AX192,Constants!$B$23),Constants!$B$24))</f>
        <v/>
      </c>
      <c r="BP192" s="138" t="str">
        <f aca="false">IF($BZ192&lt;&gt;Constants!$B$8,"",Constants!$B$25*ABS($AD$9-IF($AT192,$AU192,0)))</f>
        <v/>
      </c>
      <c r="BQ192" s="138" t="str">
        <f aca="false">IF($BZ192&lt;&gt;Constants!$B$8,"",IF(AND($AT192,$AY192,$AW192),Constants!$B$27,0))</f>
        <v/>
      </c>
      <c r="BR192" s="138" t="str">
        <f aca="false">IF($BZ192&lt;&gt;Constants!$B$8,"",IF($AT192,($AI192-Constants!$B$29)*Constants!$B$28,0))</f>
        <v/>
      </c>
      <c r="BS192" s="138" t="str">
        <f aca="false">IF($BZ192&lt;&gt;Constants!$B$8,"",IF($AS192,0,Constants!$B$15)+IF($AR192,0,Constants!$B$16)+IF($AH192,0,Constants!$B$17))</f>
        <v/>
      </c>
      <c r="BT192" s="139" t="str">
        <f aca="false">IF($BZ192&lt;&gt;Constants!$B$8,"",Constants!$B$20+SUM($BO192:$BS192))</f>
        <v/>
      </c>
      <c r="BU192" s="138" t="str">
        <f aca="false">IF($BZ192&lt;&gt;Constants!$B$8,"",$BO192)</f>
        <v/>
      </c>
      <c r="BV192" s="138" t="str">
        <f aca="false">IF($BZ192&lt;&gt;Constants!$B$8,"",$BP192)</f>
        <v/>
      </c>
      <c r="BW192" s="138" t="str">
        <f aca="false">IF($BZ192&lt;&gt;Constants!$B$8,"",IF($AT192,$AV192,""))</f>
        <v/>
      </c>
      <c r="BX192" s="140" t="str">
        <f aca="false">IF($BZ192&lt;&gt;Constants!$B$8,"",$AI192)</f>
        <v/>
      </c>
      <c r="BY192" s="135" t="str">
        <f aca="false">IF(ISBLANK($C192),"",IF(ISBLANK($D$7),$BY$5,IF(NOT(ISNUMBER($D$7)),$BY$6,"")))</f>
        <v/>
      </c>
      <c r="BZ192" s="135" t="str">
        <f aca="false">IF(ISBLANK($C192),"",IF($BA192,Constants!$B$11,IF(COUNTA($E192:$AA192)=0,Constants!$B$10,IF(NOT($AG192),Constants!$B$9,IF(OR($BY192&lt;&gt;"",$BB192,$BN192),Constants!$B$12,Constants!$B$8)))))</f>
        <v/>
      </c>
      <c r="CA192" s="135" t="str">
        <f aca="false">IF(ISBLANK($C192),"",IF($BZ192&lt;&gt;Constants!$B$8,$BZ192,Constants!$B$13))</f>
        <v/>
      </c>
      <c r="CB192" s="138" t="str">
        <f aca="false">IF($BZ192&lt;&gt;Constants!$B$8,"",IF($BM192="-&gt;",$BT192,$BH192))</f>
        <v/>
      </c>
      <c r="CC192" s="138" t="str">
        <f aca="false">IF($BZ192&lt;&gt;Constants!$B$8,"",IF($AF192,0,Constants!$B$18))</f>
        <v/>
      </c>
      <c r="CD192" s="138" t="str">
        <f aca="false">IF($BZ192&lt;&gt;Constants!$B$8,"",((Constants!$B$31-$AZ192)-Constants!$B$31)/Constants!$B$32)</f>
        <v/>
      </c>
      <c r="CE192" s="138" t="str">
        <f aca="false">IF(ISBLANK($C192),"",IF($BZ192&lt;&gt;Constants!$B$8,$BZ192,SUM($CB192:$CD192)))</f>
        <v/>
      </c>
      <c r="CF192" s="135" t="str">
        <f aca="false">IF(ISBLANK($C192),"",IF($BZ192&lt;&gt;Constants!$B$8,$BZ192,RANK($CE192,$CE$9:$CE$508,1)))</f>
        <v/>
      </c>
      <c r="CG192" s="138" t="str">
        <f aca="false">IF($BZ192&lt;&gt;Constants!$B$8,"",IF($BM192="-&gt;",$BU192,$BI192))</f>
        <v/>
      </c>
      <c r="CH192" s="135" t="str">
        <f aca="false">IF(ISBLANK($C192),"",IF($BZ192&lt;&gt;Constants!$B$8,$BZ192,IF(ISNUMBER($CG192),RANK($CG192,$CG$9:$CG$508,1),COUNT($CG$9:$CG$508)+1)))</f>
        <v/>
      </c>
      <c r="CI192" s="138" t="str">
        <f aca="false">IF($BZ192&lt;&gt;Constants!$B$8,"",IF($BM192="-&gt;",$BV192,$BJ192))</f>
        <v/>
      </c>
      <c r="CJ192" s="135" t="str">
        <f aca="false">IF(ISBLANK($C192),"",IF($BZ192&lt;&gt;Constants!$B$8,$BZ192,IF(ISNUMBER($CI192),RANK($CI192,$CI$9:$CI$508,1),COUNT($CI$9:$CI$508)+1)))</f>
        <v/>
      </c>
      <c r="CK192" s="138" t="str">
        <f aca="false">IF($BZ192&lt;&gt;Constants!$B$8,"",IF($BM192="-&gt;",$BW192,$BK192))</f>
        <v/>
      </c>
      <c r="CL192" s="135" t="str">
        <f aca="false">IF(ISBLANK($C192),"",IF($BZ192&lt;&gt;Constants!$B$8,$BZ192,IF(ISNUMBER($CK192),RANK($CK192,$CK$9:$CK$508,1),COUNT($CK$9:$CK$508)+1)))</f>
        <v/>
      </c>
      <c r="CM192" s="138" t="str">
        <f aca="false">IF($BZ192&lt;&gt;Constants!$B$8,"",IF(AND(NOT($AL192),NOT($AT192),$AJ192,$AK192,$AR192,$AS192),"",IF($BM192="-&gt;",$BX192,$BL192)))</f>
        <v/>
      </c>
      <c r="CN192" s="135" t="str">
        <f aca="false">IF(ISBLANK($C192),"",IF($BZ192&lt;&gt;Constants!$B$8,$BZ192,IF(ISNUMBER($CM192),RANK($CM192,$CM$9:$CM$508,1),COUNT($CM$9:$CM$508)+1)))</f>
        <v/>
      </c>
      <c r="CO192" s="135" t="str">
        <f aca="false">IF(ISBLANK($C192),"",IF($BZ192&lt;&gt;Constants!$B$8,$BZ192,COUNTIFS($CF$9:$CF$508,"&lt;"&amp;$CF192)+COUNTIFS($CF$9:$CF$508,$CF192,$CH$9:$CH$508,"&lt;"&amp;$CH192)+COUNTIFS($CF$9:$CF$508,$CF192,$CH$9:$CH$508,$CH192,$CJ$9:$CJ$508,"&lt;"&amp;$CJ192)+COUNTIFS($CF$9:$CF$508,$CF192,$CH$9:$CH$508,$CH192,$CJ$9:$CJ$508,$CJ192,$CL$9:$CL$508,"&lt;"&amp;$CL192)+COUNTIFS($CF$9:$CF$508,$CF192,$CH$9:$CH$508,$CH192,$CJ$9:$CJ$508,$CJ192,$CL$9:$CL$508,$CL192,$CN$9:$CN$508,"&lt;"&amp;$CN192)+1))</f>
        <v/>
      </c>
      <c r="CP192" s="135" t="str">
        <f aca="false">IF(ISBLANK($C192),"",IF($BZ192&lt;&gt;Constants!$B$8,$BZ192,$CF192-$CO192))</f>
        <v/>
      </c>
      <c r="CQ192" s="141"/>
      <c r="CR192" s="142"/>
      <c r="CS192" s="143" t="str">
        <f aca="false">IF(ISBLANK($C192),"",IF($BZ192=Constants!$B$12,$BY192,""))</f>
        <v/>
      </c>
      <c r="CT192" s="142" t="str">
        <f aca="false">IF(ISBLANK($C192),"",IF($BZ192&lt;&gt;Constants!$B$8,"",IF($BM192="-&gt;",2,1)))</f>
        <v/>
      </c>
      <c r="CU192" s="144" t="str">
        <f aca="false">IF(ISBLANK($C192),"",IF($BZ192&lt;&gt;Constants!$B$8,"",IF($BM192="-&gt;",$BO192,$BC192)))</f>
        <v/>
      </c>
      <c r="CV192" s="144" t="str">
        <f aca="false">IF(ISBLANK($C192),"",IF($BZ192&lt;&gt;Constants!$B$8,"",IF($BM192="-&gt;",$BP192,$BD192)))</f>
        <v/>
      </c>
      <c r="CW192" s="144" t="str">
        <f aca="false">IF(ISBLANK($C192),"",IF($BZ192&lt;&gt;Constants!$B$8,"",IF($BM192="-&gt;",$BQ192+$BR192,$BE192+$BF192)+$CD192))</f>
        <v/>
      </c>
      <c r="CX192" s="144" t="str">
        <f aca="false">IF(ISBLANK($C192),"",IF($BZ192&lt;&gt;Constants!$B$8,"",IF($BM192="-&gt;",$BS192,$BG192)+$CC192))</f>
        <v/>
      </c>
      <c r="CY192" s="145" t="str">
        <f aca="false">IF(ISBLANK($C192),"",IF($BZ192&lt;&gt;Constants!$B$8,$BZ192,$CE192))</f>
        <v/>
      </c>
      <c r="CZ192" s="146" t="str">
        <f aca="false">IF(ISBLANK($C192),"",$CA192)</f>
        <v/>
      </c>
      <c r="DA192" s="147" t="str">
        <f aca="false">IF(ISBLANK($C192),"",$CP192)</f>
        <v/>
      </c>
      <c r="DB192" s="147" t="str">
        <f aca="false">IF(ISBLANK($C192),"",$CO192)</f>
        <v/>
      </c>
      <c r="DC192" s="148" t="str">
        <f aca="false">IF(ISBLANK($C192),"",IFERROR(_xlfn.SWITCH($DB192,Constants!$B$11,COUNTA($C$9:$C$508)+2,Constants!$B$10,COUNTA($C$9:$C$508)+1,Constants!$B$9,COUNTA($C$9:$C$508)),$DB192))</f>
        <v/>
      </c>
      <c r="DD192" s="9"/>
      <c r="DE192" s="149" t="n">
        <f aca="false">IF(OR(ISNUMBER($DB192),$DB192=Constants!$B$11,$DB192=Constants!$B$9,$DB192=Constants!$B$10),1,0)</f>
        <v>0</v>
      </c>
      <c r="DF192" s="149" t="n">
        <v>184</v>
      </c>
      <c r="DG192" s="149" t="str">
        <f aca="false">IF(ISBLANK($C192),"",IF(ISNUMBER($DC192),$DC192+ROW($B192)/1000,""))</f>
        <v/>
      </c>
      <c r="DH192" s="149" t="str">
        <f aca="false">IF(ISNUMBER($DG192),RANK($DG192,$DG$9:$DG$508,1),"")</f>
        <v/>
      </c>
      <c r="DI192" s="149" t="str">
        <f aca="false">IF(ISBLANK($C192),"",$B192)</f>
        <v/>
      </c>
      <c r="DJ192" s="149" t="str">
        <f aca="false">IF(ISBLANK($C192),"",$C192)</f>
        <v/>
      </c>
      <c r="DK192" s="149" t="str">
        <f aca="false">IF(ISBLANK($C192),"",$D192)</f>
        <v/>
      </c>
      <c r="DL192" s="150" t="str">
        <f aca="false">$CZ192</f>
        <v/>
      </c>
      <c r="DM192" s="151" t="str">
        <f aca="false">$CY192</f>
        <v/>
      </c>
      <c r="DN192" s="149" t="str">
        <f aca="false">IF(ISBLANK($C192),"",$DB192)</f>
        <v/>
      </c>
      <c r="DO192" s="152" t="str">
        <f aca="false">IF($DF192&gt;$DE$8,"",VLOOKUP($DF192,$DH$9:$DN$508,7,FALSE()))</f>
        <v/>
      </c>
      <c r="DP192" s="153" t="str">
        <f aca="false">IF($DF192&gt;$DE$8,"",VLOOKUP($DF192,$DH$9:$DN$508,2,FALSE()))</f>
        <v/>
      </c>
      <c r="DQ192" s="153" t="str">
        <f aca="false">IF($DF192&gt;$DE$8,"",VLOOKUP($DF192,$DH$9:$DN$508,3,FALSE()))</f>
        <v/>
      </c>
      <c r="DR192" s="153" t="str">
        <f aca="false">IF($DF192&gt;$DE$8,"",VLOOKUP($DF192,$DH$9:$DN$508,4,FALSE()))</f>
        <v/>
      </c>
      <c r="DS192" s="153" t="str">
        <f aca="false">IF($DF192&gt;$DE$8,"",VLOOKUP($DF192,$DH$9:$DN$508,5,FALSE()))</f>
        <v/>
      </c>
      <c r="DT192" s="154" t="str">
        <f aca="false">IF($DF192&gt;$DE$8,"",VLOOKUP($DF192,$DH$9:$DN$508,6,FALSE()))</f>
        <v/>
      </c>
      <c r="DU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IF(ISBLANK($C193),"",IF(E193=Constants!$B$3,TRUE(),IF(E193=Constants!$B$4,FALSE(),TRUE())))</f>
        <v/>
      </c>
      <c r="AG193" s="135" t="str">
        <f aca="false">IF(ISBLANK($C193),"",IF(F193=Constants!$B$3,TRUE(),IF(F193=Constants!$B$4,FALSE(),TRUE())))</f>
        <v/>
      </c>
      <c r="AH193" s="135" t="str">
        <f aca="false">IF(ISBLANK($C193),"",IF(G193=Constants!$B$3,TRUE(),IF(G193=Constants!$B$4,FALSE(),TRUE())))</f>
        <v/>
      </c>
      <c r="AI193" s="135" t="str">
        <f aca="false">IF(ISBLANK($C193),"",IF(AND(ISNUMBER(H193),H193&gt;=0),H193,Constants!$B$29))</f>
        <v/>
      </c>
      <c r="AJ193" s="135" t="str">
        <f aca="false">IF(ISBLANK($C193),"",IF(I193=Constants!$B$3,TRUE(),IF(I193=Constants!$B$4,FALSE(),TRUE())))</f>
        <v/>
      </c>
      <c r="AK193" s="135" t="str">
        <f aca="false">IF(ISBLANK($C193),"",IF(J193=Constants!$B$3,TRUE(),IF(J193=Constants!$B$4,FALSE(),TRUE())))</f>
        <v/>
      </c>
      <c r="AL193" s="135" t="str">
        <f aca="false">IF(ISBLANK($C193),"",IF(K193=Constants!$B$5,TRUE(),IF(K193=Constants!$B$6,FALSE(),COUNTA(L193:P193)&gt;0)))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IF(ISBLANK($C193),"",IF(N193=Constants!$B$3,TRUE(),IF(N193=Constants!$B$4,FALSE(),TRUE())))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IF(ISBLANK($C193),"",IF(P193=Constants!$B$3,TRUE(),IF(P193=Constants!$B$4,FALSE(),FALSE())))</f>
        <v/>
      </c>
      <c r="AR193" s="135" t="str">
        <f aca="false">IF(ISBLANK($C193),"",IF(Q193=Constants!$B$3,TRUE(),IF(Q193=Constants!$B$4,FALSE(),TRUE())))</f>
        <v/>
      </c>
      <c r="AS193" s="135" t="str">
        <f aca="false">IF(ISBLANK($C193),"",IF(R193=Constants!$B$3,TRUE(),IF(R193=Constants!$B$4,FALSE(),TRUE())))</f>
        <v/>
      </c>
      <c r="AT193" s="135" t="str">
        <f aca="false">IF(ISBLANK($C193),"",IF(S193=Constants!$B$5,TRUE(),IF(S193=Constants!$B$6,FALSE(),COUNTA(T193:X193)&gt;0)))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IF(ISBLANK($C193),"",IF(V193=Constants!$B$3,TRUE(),IF(V193=Constants!$B$4,FALSE(),TRUE())))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IF(ISBLANK($C193),"",IF(X193=Constants!$B$3,TRUE(),IF(X193=Constants!$B$4,FALSE(),FALSE())))</f>
        <v/>
      </c>
      <c r="AZ193" s="135" t="str">
        <f aca="false">IF(ISBLANK($C193),"",MIN(Constants!$B$31,MAX(0,IF(ISNUMBER(Y193),Y193*60,0)+IF(ISNUMBER(Z193),Z193,0))))</f>
        <v/>
      </c>
      <c r="BA193" s="135" t="str">
        <f aca="false">IF(ISBLANK($C193),"",IF(AA193=Constants!$B$3,TRUE(),IF(AA193=Constants!$B$4,FALSE(),FALSE())))</f>
        <v/>
      </c>
      <c r="BB193" s="134" t="str">
        <f aca="false">IF(ISBLANK($C193),"",AND($AL193,OR($AM193="",$AN193="",AND($AO193,$AP193=""))))</f>
        <v/>
      </c>
      <c r="BC193" s="137" t="str">
        <f aca="false">IF($BZ193&lt;&gt;Constants!$B$8,"",IF($AL193,Constants!$B$21*$AN193+Constants!$B$22*IF($AO193,$AP193,Constants!$B$23),Constants!$B$24))</f>
        <v/>
      </c>
      <c r="BD193" s="138" t="str">
        <f aca="false">IF($BZ193&lt;&gt;Constants!$B$8,"",Constants!$B$25*ABS($AD$9-IF($AL193,$AM193,0)))</f>
        <v/>
      </c>
      <c r="BE193" s="138" t="str">
        <f aca="false">IF($BZ193&lt;&gt;Constants!$B$8,"",IF(AND($AL193,$AQ193,$AO193),Constants!$B$27,0))</f>
        <v/>
      </c>
      <c r="BF193" s="138" t="str">
        <f aca="false">IF($BZ193&lt;&gt;Constants!$B$8,"",IF($AL193,($AI193-Constants!$B$29)*Constants!$B$28,0))</f>
        <v/>
      </c>
      <c r="BG193" s="138" t="str">
        <f aca="false">IF($BZ193&lt;&gt;Constants!$B$8,"",IF($AK193,0,Constants!$B$15)+IF($AJ193,0,Constants!$B$16)+IF($AH193,0,Constants!$B$17))</f>
        <v/>
      </c>
      <c r="BH193" s="139" t="str">
        <f aca="false">IF($BZ193&lt;&gt;Constants!$B$8,"",Constants!$B$20+SUM($BC193:$BG193))</f>
        <v/>
      </c>
      <c r="BI193" s="138" t="str">
        <f aca="false">IF($BZ193&lt;&gt;Constants!$B$8,"",$BC193)</f>
        <v/>
      </c>
      <c r="BJ193" s="138" t="str">
        <f aca="false">IF($BZ193&lt;&gt;Constants!$B$8,"",$BD193)</f>
        <v/>
      </c>
      <c r="BK193" s="138" t="str">
        <f aca="false">IF($BZ193&lt;&gt;Constants!$B$8,"",IF($AL193,$AN193,""))</f>
        <v/>
      </c>
      <c r="BL193" s="140" t="str">
        <f aca="false">IF($BZ193&lt;&gt;Constants!$B$8,"",$AI193)</f>
        <v/>
      </c>
      <c r="BM193" s="135" t="str">
        <f aca="false">IF($BZ193&lt;&gt;Constants!$B$8,"",IF(OR($BT193&lt;$BH193,AND($BT193=$BH193,OR($BU193&lt;$BI193,AND($BU193=$BI193,OR($BV193&lt;$BJ193,AND($BV193=$BJ193,OR(AND(ISNUMBER($BW193),OR(NOT(ISNUMBER($BK193)),$BW193&lt;$BK193)),AND(OR(AND($BW193="",$BK193=""),AND(ISNUMBER($BW193),ISNUMBER($BK193),$BW193=$BK193)),$BX193&lt;$BL193)))))))),"-&gt;","&lt;-"))</f>
        <v/>
      </c>
      <c r="BN193" s="134" t="str">
        <f aca="false">IF(ISBLANK($C193),"",AND($AT193,OR($AU193="",$AV193="",AND($AW193,$AX193=""))))</f>
        <v/>
      </c>
      <c r="BO193" s="137" t="str">
        <f aca="false">IF($BZ193&lt;&gt;Constants!$B$8,"",IF($AT193,Constants!$B$21*$AV193+Constants!$B$22*IF($AW193,$AX193,Constants!$B$23),Constants!$B$24))</f>
        <v/>
      </c>
      <c r="BP193" s="138" t="str">
        <f aca="false">IF($BZ193&lt;&gt;Constants!$B$8,"",Constants!$B$25*ABS($AD$9-IF($AT193,$AU193,0)))</f>
        <v/>
      </c>
      <c r="BQ193" s="138" t="str">
        <f aca="false">IF($BZ193&lt;&gt;Constants!$B$8,"",IF(AND($AT193,$AY193,$AW193),Constants!$B$27,0))</f>
        <v/>
      </c>
      <c r="BR193" s="138" t="str">
        <f aca="false">IF($BZ193&lt;&gt;Constants!$B$8,"",IF($AT193,($AI193-Constants!$B$29)*Constants!$B$28,0))</f>
        <v/>
      </c>
      <c r="BS193" s="138" t="str">
        <f aca="false">IF($BZ193&lt;&gt;Constants!$B$8,"",IF($AS193,0,Constants!$B$15)+IF($AR193,0,Constants!$B$16)+IF($AH193,0,Constants!$B$17))</f>
        <v/>
      </c>
      <c r="BT193" s="139" t="str">
        <f aca="false">IF($BZ193&lt;&gt;Constants!$B$8,"",Constants!$B$20+SUM($BO193:$BS193))</f>
        <v/>
      </c>
      <c r="BU193" s="138" t="str">
        <f aca="false">IF($BZ193&lt;&gt;Constants!$B$8,"",$BO193)</f>
        <v/>
      </c>
      <c r="BV193" s="138" t="str">
        <f aca="false">IF($BZ193&lt;&gt;Constants!$B$8,"",$BP193)</f>
        <v/>
      </c>
      <c r="BW193" s="138" t="str">
        <f aca="false">IF($BZ193&lt;&gt;Constants!$B$8,"",IF($AT193,$AV193,""))</f>
        <v/>
      </c>
      <c r="BX193" s="140" t="str">
        <f aca="false">IF($BZ193&lt;&gt;Constants!$B$8,"",$AI193)</f>
        <v/>
      </c>
      <c r="BY193" s="135" t="str">
        <f aca="false">IF(ISBLANK($C193),"",IF(ISBLANK($D$7),$BY$5,IF(NOT(ISNUMBER($D$7)),$BY$6,"")))</f>
        <v/>
      </c>
      <c r="BZ193" s="135" t="str">
        <f aca="false">IF(ISBLANK($C193),"",IF($BA193,Constants!$B$11,IF(COUNTA($E193:$AA193)=0,Constants!$B$10,IF(NOT($AG193),Constants!$B$9,IF(OR($BY193&lt;&gt;"",$BB193,$BN193),Constants!$B$12,Constants!$B$8)))))</f>
        <v/>
      </c>
      <c r="CA193" s="135" t="str">
        <f aca="false">IF(ISBLANK($C193),"",IF($BZ193&lt;&gt;Constants!$B$8,$BZ193,Constants!$B$13))</f>
        <v/>
      </c>
      <c r="CB193" s="138" t="str">
        <f aca="false">IF($BZ193&lt;&gt;Constants!$B$8,"",IF($BM193="-&gt;",$BT193,$BH193))</f>
        <v/>
      </c>
      <c r="CC193" s="138" t="str">
        <f aca="false">IF($BZ193&lt;&gt;Constants!$B$8,"",IF($AF193,0,Constants!$B$18))</f>
        <v/>
      </c>
      <c r="CD193" s="138" t="str">
        <f aca="false">IF($BZ193&lt;&gt;Constants!$B$8,"",((Constants!$B$31-$AZ193)-Constants!$B$31)/Constants!$B$32)</f>
        <v/>
      </c>
      <c r="CE193" s="138" t="str">
        <f aca="false">IF(ISBLANK($C193),"",IF($BZ193&lt;&gt;Constants!$B$8,$BZ193,SUM($CB193:$CD193)))</f>
        <v/>
      </c>
      <c r="CF193" s="135" t="str">
        <f aca="false">IF(ISBLANK($C193),"",IF($BZ193&lt;&gt;Constants!$B$8,$BZ193,RANK($CE193,$CE$9:$CE$508,1)))</f>
        <v/>
      </c>
      <c r="CG193" s="138" t="str">
        <f aca="false">IF($BZ193&lt;&gt;Constants!$B$8,"",IF($BM193="-&gt;",$BU193,$BI193))</f>
        <v/>
      </c>
      <c r="CH193" s="135" t="str">
        <f aca="false">IF(ISBLANK($C193),"",IF($BZ193&lt;&gt;Constants!$B$8,$BZ193,IF(ISNUMBER($CG193),RANK($CG193,$CG$9:$CG$508,1),COUNT($CG$9:$CG$508)+1)))</f>
        <v/>
      </c>
      <c r="CI193" s="138" t="str">
        <f aca="false">IF($BZ193&lt;&gt;Constants!$B$8,"",IF($BM193="-&gt;",$BV193,$BJ193))</f>
        <v/>
      </c>
      <c r="CJ193" s="135" t="str">
        <f aca="false">IF(ISBLANK($C193),"",IF($BZ193&lt;&gt;Constants!$B$8,$BZ193,IF(ISNUMBER($CI193),RANK($CI193,$CI$9:$CI$508,1),COUNT($CI$9:$CI$508)+1)))</f>
        <v/>
      </c>
      <c r="CK193" s="138" t="str">
        <f aca="false">IF($BZ193&lt;&gt;Constants!$B$8,"",IF($BM193="-&gt;",$BW193,$BK193))</f>
        <v/>
      </c>
      <c r="CL193" s="135" t="str">
        <f aca="false">IF(ISBLANK($C193),"",IF($BZ193&lt;&gt;Constants!$B$8,$BZ193,IF(ISNUMBER($CK193),RANK($CK193,$CK$9:$CK$508,1),COUNT($CK$9:$CK$508)+1)))</f>
        <v/>
      </c>
      <c r="CM193" s="138" t="str">
        <f aca="false">IF($BZ193&lt;&gt;Constants!$B$8,"",IF(AND(NOT($AL193),NOT($AT193),$AJ193,$AK193,$AR193,$AS193),"",IF($BM193="-&gt;",$BX193,$BL193)))</f>
        <v/>
      </c>
      <c r="CN193" s="135" t="str">
        <f aca="false">IF(ISBLANK($C193),"",IF($BZ193&lt;&gt;Constants!$B$8,$BZ193,IF(ISNUMBER($CM193),RANK($CM193,$CM$9:$CM$508,1),COUNT($CM$9:$CM$508)+1)))</f>
        <v/>
      </c>
      <c r="CO193" s="135" t="str">
        <f aca="false">IF(ISBLANK($C193),"",IF($BZ193&lt;&gt;Constants!$B$8,$BZ193,COUNTIFS($CF$9:$CF$508,"&lt;"&amp;$CF193)+COUNTIFS($CF$9:$CF$508,$CF193,$CH$9:$CH$508,"&lt;"&amp;$CH193)+COUNTIFS($CF$9:$CF$508,$CF193,$CH$9:$CH$508,$CH193,$CJ$9:$CJ$508,"&lt;"&amp;$CJ193)+COUNTIFS($CF$9:$CF$508,$CF193,$CH$9:$CH$508,$CH193,$CJ$9:$CJ$508,$CJ193,$CL$9:$CL$508,"&lt;"&amp;$CL193)+COUNTIFS($CF$9:$CF$508,$CF193,$CH$9:$CH$508,$CH193,$CJ$9:$CJ$508,$CJ193,$CL$9:$CL$508,$CL193,$CN$9:$CN$508,"&lt;"&amp;$CN193)+1))</f>
        <v/>
      </c>
      <c r="CP193" s="135" t="str">
        <f aca="false">IF(ISBLANK($C193),"",IF($BZ193&lt;&gt;Constants!$B$8,$BZ193,$CF193-$CO193))</f>
        <v/>
      </c>
      <c r="CQ193" s="141"/>
      <c r="CR193" s="142"/>
      <c r="CS193" s="143" t="str">
        <f aca="false">IF(ISBLANK($C193),"",IF($BZ193=Constants!$B$12,$BY193,""))</f>
        <v/>
      </c>
      <c r="CT193" s="142" t="str">
        <f aca="false">IF(ISBLANK($C193),"",IF($BZ193&lt;&gt;Constants!$B$8,"",IF($BM193="-&gt;",2,1)))</f>
        <v/>
      </c>
      <c r="CU193" s="144" t="str">
        <f aca="false">IF(ISBLANK($C193),"",IF($BZ193&lt;&gt;Constants!$B$8,"",IF($BM193="-&gt;",$BO193,$BC193)))</f>
        <v/>
      </c>
      <c r="CV193" s="144" t="str">
        <f aca="false">IF(ISBLANK($C193),"",IF($BZ193&lt;&gt;Constants!$B$8,"",IF($BM193="-&gt;",$BP193,$BD193)))</f>
        <v/>
      </c>
      <c r="CW193" s="144" t="str">
        <f aca="false">IF(ISBLANK($C193),"",IF($BZ193&lt;&gt;Constants!$B$8,"",IF($BM193="-&gt;",$BQ193+$BR193,$BE193+$BF193)+$CD193))</f>
        <v/>
      </c>
      <c r="CX193" s="144" t="str">
        <f aca="false">IF(ISBLANK($C193),"",IF($BZ193&lt;&gt;Constants!$B$8,"",IF($BM193="-&gt;",$BS193,$BG193)+$CC193))</f>
        <v/>
      </c>
      <c r="CY193" s="145" t="str">
        <f aca="false">IF(ISBLANK($C193),"",IF($BZ193&lt;&gt;Constants!$B$8,$BZ193,$CE193))</f>
        <v/>
      </c>
      <c r="CZ193" s="146" t="str">
        <f aca="false">IF(ISBLANK($C193),"",$CA193)</f>
        <v/>
      </c>
      <c r="DA193" s="147" t="str">
        <f aca="false">IF(ISBLANK($C193),"",$CP193)</f>
        <v/>
      </c>
      <c r="DB193" s="147" t="str">
        <f aca="false">IF(ISBLANK($C193),"",$CO193)</f>
        <v/>
      </c>
      <c r="DC193" s="148" t="str">
        <f aca="false">IF(ISBLANK($C193),"",IFERROR(_xlfn.SWITCH($DB193,Constants!$B$11,COUNTA($C$9:$C$508)+2,Constants!$B$10,COUNTA($C$9:$C$508)+1,Constants!$B$9,COUNTA($C$9:$C$508)),$DB193))</f>
        <v/>
      </c>
      <c r="DD193" s="9"/>
      <c r="DE193" s="149" t="n">
        <f aca="false">IF(OR(ISNUMBER($DB193),$DB193=Constants!$B$11,$DB193=Constants!$B$9,$DB193=Constants!$B$10),1,0)</f>
        <v>0</v>
      </c>
      <c r="DF193" s="149" t="n">
        <v>185</v>
      </c>
      <c r="DG193" s="149" t="str">
        <f aca="false">IF(ISBLANK($C193),"",IF(ISNUMBER($DC193),$DC193+ROW($B193)/1000,""))</f>
        <v/>
      </c>
      <c r="DH193" s="149" t="str">
        <f aca="false">IF(ISNUMBER($DG193),RANK($DG193,$DG$9:$DG$508,1),"")</f>
        <v/>
      </c>
      <c r="DI193" s="149" t="str">
        <f aca="false">IF(ISBLANK($C193),"",$B193)</f>
        <v/>
      </c>
      <c r="DJ193" s="149" t="str">
        <f aca="false">IF(ISBLANK($C193),"",$C193)</f>
        <v/>
      </c>
      <c r="DK193" s="149" t="str">
        <f aca="false">IF(ISBLANK($C193),"",$D193)</f>
        <v/>
      </c>
      <c r="DL193" s="150" t="str">
        <f aca="false">$CZ193</f>
        <v/>
      </c>
      <c r="DM193" s="151" t="str">
        <f aca="false">$CY193</f>
        <v/>
      </c>
      <c r="DN193" s="149" t="str">
        <f aca="false">IF(ISBLANK($C193),"",$DB193)</f>
        <v/>
      </c>
      <c r="DO193" s="152" t="str">
        <f aca="false">IF($DF193&gt;$DE$8,"",VLOOKUP($DF193,$DH$9:$DN$508,7,FALSE()))</f>
        <v/>
      </c>
      <c r="DP193" s="153" t="str">
        <f aca="false">IF($DF193&gt;$DE$8,"",VLOOKUP($DF193,$DH$9:$DN$508,2,FALSE()))</f>
        <v/>
      </c>
      <c r="DQ193" s="153" t="str">
        <f aca="false">IF($DF193&gt;$DE$8,"",VLOOKUP($DF193,$DH$9:$DN$508,3,FALSE()))</f>
        <v/>
      </c>
      <c r="DR193" s="153" t="str">
        <f aca="false">IF($DF193&gt;$DE$8,"",VLOOKUP($DF193,$DH$9:$DN$508,4,FALSE()))</f>
        <v/>
      </c>
      <c r="DS193" s="153" t="str">
        <f aca="false">IF($DF193&gt;$DE$8,"",VLOOKUP($DF193,$DH$9:$DN$508,5,FALSE()))</f>
        <v/>
      </c>
      <c r="DT193" s="154" t="str">
        <f aca="false">IF($DF193&gt;$DE$8,"",VLOOKUP($DF193,$DH$9:$DN$508,6,FALSE()))</f>
        <v/>
      </c>
      <c r="DU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IF(ISBLANK($C194),"",IF(E194=Constants!$B$3,TRUE(),IF(E194=Constants!$B$4,FALSE(),TRUE())))</f>
        <v/>
      </c>
      <c r="AG194" s="135" t="str">
        <f aca="false">IF(ISBLANK($C194),"",IF(F194=Constants!$B$3,TRUE(),IF(F194=Constants!$B$4,FALSE(),TRUE())))</f>
        <v/>
      </c>
      <c r="AH194" s="135" t="str">
        <f aca="false">IF(ISBLANK($C194),"",IF(G194=Constants!$B$3,TRUE(),IF(G194=Constants!$B$4,FALSE(),TRUE())))</f>
        <v/>
      </c>
      <c r="AI194" s="135" t="str">
        <f aca="false">IF(ISBLANK($C194),"",IF(AND(ISNUMBER(H194),H194&gt;=0),H194,Constants!$B$29))</f>
        <v/>
      </c>
      <c r="AJ194" s="135" t="str">
        <f aca="false">IF(ISBLANK($C194),"",IF(I194=Constants!$B$3,TRUE(),IF(I194=Constants!$B$4,FALSE(),TRUE())))</f>
        <v/>
      </c>
      <c r="AK194" s="135" t="str">
        <f aca="false">IF(ISBLANK($C194),"",IF(J194=Constants!$B$3,TRUE(),IF(J194=Constants!$B$4,FALSE(),TRUE())))</f>
        <v/>
      </c>
      <c r="AL194" s="135" t="str">
        <f aca="false">IF(ISBLANK($C194),"",IF(K194=Constants!$B$5,TRUE(),IF(K194=Constants!$B$6,FALSE(),COUNTA(L194:P194)&gt;0)))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IF(ISBLANK($C194),"",IF(N194=Constants!$B$3,TRUE(),IF(N194=Constants!$B$4,FALSE(),TRUE())))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IF(ISBLANK($C194),"",IF(P194=Constants!$B$3,TRUE(),IF(P194=Constants!$B$4,FALSE(),FALSE())))</f>
        <v/>
      </c>
      <c r="AR194" s="135" t="str">
        <f aca="false">IF(ISBLANK($C194),"",IF(Q194=Constants!$B$3,TRUE(),IF(Q194=Constants!$B$4,FALSE(),TRUE())))</f>
        <v/>
      </c>
      <c r="AS194" s="135" t="str">
        <f aca="false">IF(ISBLANK($C194),"",IF(R194=Constants!$B$3,TRUE(),IF(R194=Constants!$B$4,FALSE(),TRUE())))</f>
        <v/>
      </c>
      <c r="AT194" s="135" t="str">
        <f aca="false">IF(ISBLANK($C194),"",IF(S194=Constants!$B$5,TRUE(),IF(S194=Constants!$B$6,FALSE(),COUNTA(T194:X194)&gt;0)))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IF(ISBLANK($C194),"",IF(V194=Constants!$B$3,TRUE(),IF(V194=Constants!$B$4,FALSE(),TRUE())))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IF(ISBLANK($C194),"",IF(X194=Constants!$B$3,TRUE(),IF(X194=Constants!$B$4,FALSE(),FALSE())))</f>
        <v/>
      </c>
      <c r="AZ194" s="135" t="str">
        <f aca="false">IF(ISBLANK($C194),"",MIN(Constants!$B$31,MAX(0,IF(ISNUMBER(Y194),Y194*60,0)+IF(ISNUMBER(Z194),Z194,0))))</f>
        <v/>
      </c>
      <c r="BA194" s="135" t="str">
        <f aca="false">IF(ISBLANK($C194),"",IF(AA194=Constants!$B$3,TRUE(),IF(AA194=Constants!$B$4,FALSE(),FALSE())))</f>
        <v/>
      </c>
      <c r="BB194" s="134" t="str">
        <f aca="false">IF(ISBLANK($C194),"",AND($AL194,OR($AM194="",$AN194="",AND($AO194,$AP194=""))))</f>
        <v/>
      </c>
      <c r="BC194" s="137" t="str">
        <f aca="false">IF($BZ194&lt;&gt;Constants!$B$8,"",IF($AL194,Constants!$B$21*$AN194+Constants!$B$22*IF($AO194,$AP194,Constants!$B$23),Constants!$B$24))</f>
        <v/>
      </c>
      <c r="BD194" s="138" t="str">
        <f aca="false">IF($BZ194&lt;&gt;Constants!$B$8,"",Constants!$B$25*ABS($AD$9-IF($AL194,$AM194,0)))</f>
        <v/>
      </c>
      <c r="BE194" s="138" t="str">
        <f aca="false">IF($BZ194&lt;&gt;Constants!$B$8,"",IF(AND($AL194,$AQ194,$AO194),Constants!$B$27,0))</f>
        <v/>
      </c>
      <c r="BF194" s="138" t="str">
        <f aca="false">IF($BZ194&lt;&gt;Constants!$B$8,"",IF($AL194,($AI194-Constants!$B$29)*Constants!$B$28,0))</f>
        <v/>
      </c>
      <c r="BG194" s="138" t="str">
        <f aca="false">IF($BZ194&lt;&gt;Constants!$B$8,"",IF($AK194,0,Constants!$B$15)+IF($AJ194,0,Constants!$B$16)+IF($AH194,0,Constants!$B$17))</f>
        <v/>
      </c>
      <c r="BH194" s="139" t="str">
        <f aca="false">IF($BZ194&lt;&gt;Constants!$B$8,"",Constants!$B$20+SUM($BC194:$BG194))</f>
        <v/>
      </c>
      <c r="BI194" s="138" t="str">
        <f aca="false">IF($BZ194&lt;&gt;Constants!$B$8,"",$BC194)</f>
        <v/>
      </c>
      <c r="BJ194" s="138" t="str">
        <f aca="false">IF($BZ194&lt;&gt;Constants!$B$8,"",$BD194)</f>
        <v/>
      </c>
      <c r="BK194" s="138" t="str">
        <f aca="false">IF($BZ194&lt;&gt;Constants!$B$8,"",IF($AL194,$AN194,""))</f>
        <v/>
      </c>
      <c r="BL194" s="140" t="str">
        <f aca="false">IF($BZ194&lt;&gt;Constants!$B$8,"",$AI194)</f>
        <v/>
      </c>
      <c r="BM194" s="135" t="str">
        <f aca="false">IF($BZ194&lt;&gt;Constants!$B$8,"",IF(OR($BT194&lt;$BH194,AND($BT194=$BH194,OR($BU194&lt;$BI194,AND($BU194=$BI194,OR($BV194&lt;$BJ194,AND($BV194=$BJ194,OR(AND(ISNUMBER($BW194),OR(NOT(ISNUMBER($BK194)),$BW194&lt;$BK194)),AND(OR(AND($BW194="",$BK194=""),AND(ISNUMBER($BW194),ISNUMBER($BK194),$BW194=$BK194)),$BX194&lt;$BL194)))))))),"-&gt;","&lt;-"))</f>
        <v/>
      </c>
      <c r="BN194" s="134" t="str">
        <f aca="false">IF(ISBLANK($C194),"",AND($AT194,OR($AU194="",$AV194="",AND($AW194,$AX194=""))))</f>
        <v/>
      </c>
      <c r="BO194" s="137" t="str">
        <f aca="false">IF($BZ194&lt;&gt;Constants!$B$8,"",IF($AT194,Constants!$B$21*$AV194+Constants!$B$22*IF($AW194,$AX194,Constants!$B$23),Constants!$B$24))</f>
        <v/>
      </c>
      <c r="BP194" s="138" t="str">
        <f aca="false">IF($BZ194&lt;&gt;Constants!$B$8,"",Constants!$B$25*ABS($AD$9-IF($AT194,$AU194,0)))</f>
        <v/>
      </c>
      <c r="BQ194" s="138" t="str">
        <f aca="false">IF($BZ194&lt;&gt;Constants!$B$8,"",IF(AND($AT194,$AY194,$AW194),Constants!$B$27,0))</f>
        <v/>
      </c>
      <c r="BR194" s="138" t="str">
        <f aca="false">IF($BZ194&lt;&gt;Constants!$B$8,"",IF($AT194,($AI194-Constants!$B$29)*Constants!$B$28,0))</f>
        <v/>
      </c>
      <c r="BS194" s="138" t="str">
        <f aca="false">IF($BZ194&lt;&gt;Constants!$B$8,"",IF($AS194,0,Constants!$B$15)+IF($AR194,0,Constants!$B$16)+IF($AH194,0,Constants!$B$17))</f>
        <v/>
      </c>
      <c r="BT194" s="139" t="str">
        <f aca="false">IF($BZ194&lt;&gt;Constants!$B$8,"",Constants!$B$20+SUM($BO194:$BS194))</f>
        <v/>
      </c>
      <c r="BU194" s="138" t="str">
        <f aca="false">IF($BZ194&lt;&gt;Constants!$B$8,"",$BO194)</f>
        <v/>
      </c>
      <c r="BV194" s="138" t="str">
        <f aca="false">IF($BZ194&lt;&gt;Constants!$B$8,"",$BP194)</f>
        <v/>
      </c>
      <c r="BW194" s="138" t="str">
        <f aca="false">IF($BZ194&lt;&gt;Constants!$B$8,"",IF($AT194,$AV194,""))</f>
        <v/>
      </c>
      <c r="BX194" s="140" t="str">
        <f aca="false">IF($BZ194&lt;&gt;Constants!$B$8,"",$AI194)</f>
        <v/>
      </c>
      <c r="BY194" s="135" t="str">
        <f aca="false">IF(ISBLANK($C194),"",IF(ISBLANK($D$7),$BY$5,IF(NOT(ISNUMBER($D$7)),$BY$6,"")))</f>
        <v/>
      </c>
      <c r="BZ194" s="135" t="str">
        <f aca="false">IF(ISBLANK($C194),"",IF($BA194,Constants!$B$11,IF(COUNTA($E194:$AA194)=0,Constants!$B$10,IF(NOT($AG194),Constants!$B$9,IF(OR($BY194&lt;&gt;"",$BB194,$BN194),Constants!$B$12,Constants!$B$8)))))</f>
        <v/>
      </c>
      <c r="CA194" s="135" t="str">
        <f aca="false">IF(ISBLANK($C194),"",IF($BZ194&lt;&gt;Constants!$B$8,$BZ194,Constants!$B$13))</f>
        <v/>
      </c>
      <c r="CB194" s="138" t="str">
        <f aca="false">IF($BZ194&lt;&gt;Constants!$B$8,"",IF($BM194="-&gt;",$BT194,$BH194))</f>
        <v/>
      </c>
      <c r="CC194" s="138" t="str">
        <f aca="false">IF($BZ194&lt;&gt;Constants!$B$8,"",IF($AF194,0,Constants!$B$18))</f>
        <v/>
      </c>
      <c r="CD194" s="138" t="str">
        <f aca="false">IF($BZ194&lt;&gt;Constants!$B$8,"",((Constants!$B$31-$AZ194)-Constants!$B$31)/Constants!$B$32)</f>
        <v/>
      </c>
      <c r="CE194" s="138" t="str">
        <f aca="false">IF(ISBLANK($C194),"",IF($BZ194&lt;&gt;Constants!$B$8,$BZ194,SUM($CB194:$CD194)))</f>
        <v/>
      </c>
      <c r="CF194" s="135" t="str">
        <f aca="false">IF(ISBLANK($C194),"",IF($BZ194&lt;&gt;Constants!$B$8,$BZ194,RANK($CE194,$CE$9:$CE$508,1)))</f>
        <v/>
      </c>
      <c r="CG194" s="138" t="str">
        <f aca="false">IF($BZ194&lt;&gt;Constants!$B$8,"",IF($BM194="-&gt;",$BU194,$BI194))</f>
        <v/>
      </c>
      <c r="CH194" s="135" t="str">
        <f aca="false">IF(ISBLANK($C194),"",IF($BZ194&lt;&gt;Constants!$B$8,$BZ194,IF(ISNUMBER($CG194),RANK($CG194,$CG$9:$CG$508,1),COUNT($CG$9:$CG$508)+1)))</f>
        <v/>
      </c>
      <c r="CI194" s="138" t="str">
        <f aca="false">IF($BZ194&lt;&gt;Constants!$B$8,"",IF($BM194="-&gt;",$BV194,$BJ194))</f>
        <v/>
      </c>
      <c r="CJ194" s="135" t="str">
        <f aca="false">IF(ISBLANK($C194),"",IF($BZ194&lt;&gt;Constants!$B$8,$BZ194,IF(ISNUMBER($CI194),RANK($CI194,$CI$9:$CI$508,1),COUNT($CI$9:$CI$508)+1)))</f>
        <v/>
      </c>
      <c r="CK194" s="138" t="str">
        <f aca="false">IF($BZ194&lt;&gt;Constants!$B$8,"",IF($BM194="-&gt;",$BW194,$BK194))</f>
        <v/>
      </c>
      <c r="CL194" s="135" t="str">
        <f aca="false">IF(ISBLANK($C194),"",IF($BZ194&lt;&gt;Constants!$B$8,$BZ194,IF(ISNUMBER($CK194),RANK($CK194,$CK$9:$CK$508,1),COUNT($CK$9:$CK$508)+1)))</f>
        <v/>
      </c>
      <c r="CM194" s="138" t="str">
        <f aca="false">IF($BZ194&lt;&gt;Constants!$B$8,"",IF(AND(NOT($AL194),NOT($AT194),$AJ194,$AK194,$AR194,$AS194),"",IF($BM194="-&gt;",$BX194,$BL194)))</f>
        <v/>
      </c>
      <c r="CN194" s="135" t="str">
        <f aca="false">IF(ISBLANK($C194),"",IF($BZ194&lt;&gt;Constants!$B$8,$BZ194,IF(ISNUMBER($CM194),RANK($CM194,$CM$9:$CM$508,1),COUNT($CM$9:$CM$508)+1)))</f>
        <v/>
      </c>
      <c r="CO194" s="135" t="str">
        <f aca="false">IF(ISBLANK($C194),"",IF($BZ194&lt;&gt;Constants!$B$8,$BZ194,COUNTIFS($CF$9:$CF$508,"&lt;"&amp;$CF194)+COUNTIFS($CF$9:$CF$508,$CF194,$CH$9:$CH$508,"&lt;"&amp;$CH194)+COUNTIFS($CF$9:$CF$508,$CF194,$CH$9:$CH$508,$CH194,$CJ$9:$CJ$508,"&lt;"&amp;$CJ194)+COUNTIFS($CF$9:$CF$508,$CF194,$CH$9:$CH$508,$CH194,$CJ$9:$CJ$508,$CJ194,$CL$9:$CL$508,"&lt;"&amp;$CL194)+COUNTIFS($CF$9:$CF$508,$CF194,$CH$9:$CH$508,$CH194,$CJ$9:$CJ$508,$CJ194,$CL$9:$CL$508,$CL194,$CN$9:$CN$508,"&lt;"&amp;$CN194)+1))</f>
        <v/>
      </c>
      <c r="CP194" s="135" t="str">
        <f aca="false">IF(ISBLANK($C194),"",IF($BZ194&lt;&gt;Constants!$B$8,$BZ194,$CF194-$CO194))</f>
        <v/>
      </c>
      <c r="CQ194" s="141"/>
      <c r="CR194" s="142"/>
      <c r="CS194" s="143" t="str">
        <f aca="false">IF(ISBLANK($C194),"",IF($BZ194=Constants!$B$12,$BY194,""))</f>
        <v/>
      </c>
      <c r="CT194" s="142" t="str">
        <f aca="false">IF(ISBLANK($C194),"",IF($BZ194&lt;&gt;Constants!$B$8,"",IF($BM194="-&gt;",2,1)))</f>
        <v/>
      </c>
      <c r="CU194" s="144" t="str">
        <f aca="false">IF(ISBLANK($C194),"",IF($BZ194&lt;&gt;Constants!$B$8,"",IF($BM194="-&gt;",$BO194,$BC194)))</f>
        <v/>
      </c>
      <c r="CV194" s="144" t="str">
        <f aca="false">IF(ISBLANK($C194),"",IF($BZ194&lt;&gt;Constants!$B$8,"",IF($BM194="-&gt;",$BP194,$BD194)))</f>
        <v/>
      </c>
      <c r="CW194" s="144" t="str">
        <f aca="false">IF(ISBLANK($C194),"",IF($BZ194&lt;&gt;Constants!$B$8,"",IF($BM194="-&gt;",$BQ194+$BR194,$BE194+$BF194)+$CD194))</f>
        <v/>
      </c>
      <c r="CX194" s="144" t="str">
        <f aca="false">IF(ISBLANK($C194),"",IF($BZ194&lt;&gt;Constants!$B$8,"",IF($BM194="-&gt;",$BS194,$BG194)+$CC194))</f>
        <v/>
      </c>
      <c r="CY194" s="145" t="str">
        <f aca="false">IF(ISBLANK($C194),"",IF($BZ194&lt;&gt;Constants!$B$8,$BZ194,$CE194))</f>
        <v/>
      </c>
      <c r="CZ194" s="146" t="str">
        <f aca="false">IF(ISBLANK($C194),"",$CA194)</f>
        <v/>
      </c>
      <c r="DA194" s="147" t="str">
        <f aca="false">IF(ISBLANK($C194),"",$CP194)</f>
        <v/>
      </c>
      <c r="DB194" s="147" t="str">
        <f aca="false">IF(ISBLANK($C194),"",$CO194)</f>
        <v/>
      </c>
      <c r="DC194" s="148" t="str">
        <f aca="false">IF(ISBLANK($C194),"",IFERROR(_xlfn.SWITCH($DB194,Constants!$B$11,COUNTA($C$9:$C$508)+2,Constants!$B$10,COUNTA($C$9:$C$508)+1,Constants!$B$9,COUNTA($C$9:$C$508)),$DB194))</f>
        <v/>
      </c>
      <c r="DD194" s="9"/>
      <c r="DE194" s="149" t="n">
        <f aca="false">IF(OR(ISNUMBER($DB194),$DB194=Constants!$B$11,$DB194=Constants!$B$9,$DB194=Constants!$B$10),1,0)</f>
        <v>0</v>
      </c>
      <c r="DF194" s="149" t="n">
        <v>186</v>
      </c>
      <c r="DG194" s="149" t="str">
        <f aca="false">IF(ISBLANK($C194),"",IF(ISNUMBER($DC194),$DC194+ROW($B194)/1000,""))</f>
        <v/>
      </c>
      <c r="DH194" s="149" t="str">
        <f aca="false">IF(ISNUMBER($DG194),RANK($DG194,$DG$9:$DG$508,1),"")</f>
        <v/>
      </c>
      <c r="DI194" s="149" t="str">
        <f aca="false">IF(ISBLANK($C194),"",$B194)</f>
        <v/>
      </c>
      <c r="DJ194" s="149" t="str">
        <f aca="false">IF(ISBLANK($C194),"",$C194)</f>
        <v/>
      </c>
      <c r="DK194" s="149" t="str">
        <f aca="false">IF(ISBLANK($C194),"",$D194)</f>
        <v/>
      </c>
      <c r="DL194" s="150" t="str">
        <f aca="false">$CZ194</f>
        <v/>
      </c>
      <c r="DM194" s="151" t="str">
        <f aca="false">$CY194</f>
        <v/>
      </c>
      <c r="DN194" s="149" t="str">
        <f aca="false">IF(ISBLANK($C194),"",$DB194)</f>
        <v/>
      </c>
      <c r="DO194" s="152" t="str">
        <f aca="false">IF($DF194&gt;$DE$8,"",VLOOKUP($DF194,$DH$9:$DN$508,7,FALSE()))</f>
        <v/>
      </c>
      <c r="DP194" s="153" t="str">
        <f aca="false">IF($DF194&gt;$DE$8,"",VLOOKUP($DF194,$DH$9:$DN$508,2,FALSE()))</f>
        <v/>
      </c>
      <c r="DQ194" s="153" t="str">
        <f aca="false">IF($DF194&gt;$DE$8,"",VLOOKUP($DF194,$DH$9:$DN$508,3,FALSE()))</f>
        <v/>
      </c>
      <c r="DR194" s="153" t="str">
        <f aca="false">IF($DF194&gt;$DE$8,"",VLOOKUP($DF194,$DH$9:$DN$508,4,FALSE()))</f>
        <v/>
      </c>
      <c r="DS194" s="153" t="str">
        <f aca="false">IF($DF194&gt;$DE$8,"",VLOOKUP($DF194,$DH$9:$DN$508,5,FALSE()))</f>
        <v/>
      </c>
      <c r="DT194" s="154" t="str">
        <f aca="false">IF($DF194&gt;$DE$8,"",VLOOKUP($DF194,$DH$9:$DN$508,6,FALSE()))</f>
        <v/>
      </c>
      <c r="DU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IF(ISBLANK($C195),"",IF(E195=Constants!$B$3,TRUE(),IF(E195=Constants!$B$4,FALSE(),TRUE())))</f>
        <v/>
      </c>
      <c r="AG195" s="93" t="str">
        <f aca="false">IF(ISBLANK($C195),"",IF(F195=Constants!$B$3,TRUE(),IF(F195=Constants!$B$4,FALSE(),TRUE())))</f>
        <v/>
      </c>
      <c r="AH195" s="93" t="str">
        <f aca="false">IF(ISBLANK($C195),"",IF(G195=Constants!$B$3,TRUE(),IF(G195=Constants!$B$4,FALSE(),TRUE())))</f>
        <v/>
      </c>
      <c r="AI195" s="93" t="str">
        <f aca="false">IF(ISBLANK($C195),"",IF(AND(ISNUMBER(H195),H195&gt;=0),H195,Constants!$B$29))</f>
        <v/>
      </c>
      <c r="AJ195" s="93" t="str">
        <f aca="false">IF(ISBLANK($C195),"",IF(I195=Constants!$B$3,TRUE(),IF(I195=Constants!$B$4,FALSE(),TRUE())))</f>
        <v/>
      </c>
      <c r="AK195" s="93" t="str">
        <f aca="false">IF(ISBLANK($C195),"",IF(J195=Constants!$B$3,TRUE(),IF(J195=Constants!$B$4,FALSE(),TRUE())))</f>
        <v/>
      </c>
      <c r="AL195" s="93" t="str">
        <f aca="false">IF(ISBLANK($C195),"",IF(K195=Constants!$B$5,TRUE(),IF(K195=Constants!$B$6,FALSE(),COUNTA(L195:P195)&gt;0)))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IF(ISBLANK($C195),"",IF(N195=Constants!$B$3,TRUE(),IF(N195=Constants!$B$4,FALSE(),TRUE())))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IF(ISBLANK($C195),"",IF(P195=Constants!$B$3,TRUE(),IF(P195=Constants!$B$4,FALSE(),FALSE())))</f>
        <v/>
      </c>
      <c r="AR195" s="93" t="str">
        <f aca="false">IF(ISBLANK($C195),"",IF(Q195=Constants!$B$3,TRUE(),IF(Q195=Constants!$B$4,FALSE(),TRUE())))</f>
        <v/>
      </c>
      <c r="AS195" s="93" t="str">
        <f aca="false">IF(ISBLANK($C195),"",IF(R195=Constants!$B$3,TRUE(),IF(R195=Constants!$B$4,FALSE(),TRUE())))</f>
        <v/>
      </c>
      <c r="AT195" s="93" t="str">
        <f aca="false">IF(ISBLANK($C195),"",IF(S195=Constants!$B$5,TRUE(),IF(S195=Constants!$B$6,FALSE(),COUNTA(T195:X195)&gt;0)))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IF(ISBLANK($C195),"",IF(V195=Constants!$B$3,TRUE(),IF(V195=Constants!$B$4,FALSE(),TRUE())))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IF(ISBLANK($C195),"",IF(X195=Constants!$B$3,TRUE(),IF(X195=Constants!$B$4,FALSE(),FALSE())))</f>
        <v/>
      </c>
      <c r="AZ195" s="93" t="str">
        <f aca="false">IF(ISBLANK($C195),"",MIN(Constants!$B$31,MAX(0,IF(ISNUMBER(Y195),Y195*60,0)+IF(ISNUMBER(Z195),Z195,0))))</f>
        <v/>
      </c>
      <c r="BA195" s="93" t="str">
        <f aca="false">IF(ISBLANK($C195),"",IF(AA195=Constants!$B$3,TRUE(),IF(AA195=Constants!$B$4,FALSE(),FALSE())))</f>
        <v/>
      </c>
      <c r="BB195" s="92" t="str">
        <f aca="false">IF(ISBLANK($C195),"",AND($AL195,OR($AM195="",$AN195="",AND($AO195,$AP195=""))))</f>
        <v/>
      </c>
      <c r="BC195" s="94" t="str">
        <f aca="false">IF($BZ195&lt;&gt;Constants!$B$8,"",IF($AL195,Constants!$B$21*$AN195+Constants!$B$22*IF($AO195,$AP195,Constants!$B$23),Constants!$B$24))</f>
        <v/>
      </c>
      <c r="BD195" s="97" t="str">
        <f aca="false">IF($BZ195&lt;&gt;Constants!$B$8,"",Constants!$B$25*ABS($AD$9-IF($AL195,$AM195,0)))</f>
        <v/>
      </c>
      <c r="BE195" s="97" t="str">
        <f aca="false">IF($BZ195&lt;&gt;Constants!$B$8,"",IF(AND($AL195,$AQ195,$AO195),Constants!$B$27,0))</f>
        <v/>
      </c>
      <c r="BF195" s="97" t="str">
        <f aca="false">IF($BZ195&lt;&gt;Constants!$B$8,"",IF($AL195,($AI195-Constants!$B$29)*Constants!$B$28,0))</f>
        <v/>
      </c>
      <c r="BG195" s="97" t="str">
        <f aca="false">IF($BZ195&lt;&gt;Constants!$B$8,"",IF($AK195,0,Constants!$B$15)+IF($AJ195,0,Constants!$B$16)+IF($AH195,0,Constants!$B$17))</f>
        <v/>
      </c>
      <c r="BH195" s="98" t="str">
        <f aca="false">IF($BZ195&lt;&gt;Constants!$B$8,"",Constants!$B$20+SUM($BC195:$BG195))</f>
        <v/>
      </c>
      <c r="BI195" s="97" t="str">
        <f aca="false">IF($BZ195&lt;&gt;Constants!$B$8,"",$BC195)</f>
        <v/>
      </c>
      <c r="BJ195" s="97" t="str">
        <f aca="false">IF($BZ195&lt;&gt;Constants!$B$8,"",$BD195)</f>
        <v/>
      </c>
      <c r="BK195" s="97" t="str">
        <f aca="false">IF($BZ195&lt;&gt;Constants!$B$8,"",IF($AL195,$AN195,""))</f>
        <v/>
      </c>
      <c r="BL195" s="99" t="str">
        <f aca="false">IF($BZ195&lt;&gt;Constants!$B$8,"",$AI195)</f>
        <v/>
      </c>
      <c r="BM195" s="93" t="str">
        <f aca="false">IF($BZ195&lt;&gt;Constants!$B$8,"",IF(OR($BT195&lt;$BH195,AND($BT195=$BH195,OR($BU195&lt;$BI195,AND($BU195=$BI195,OR($BV195&lt;$BJ195,AND($BV195=$BJ195,OR(AND(ISNUMBER($BW195),OR(NOT(ISNUMBER($BK195)),$BW195&lt;$BK195)),AND(OR(AND($BW195="",$BK195=""),AND(ISNUMBER($BW195),ISNUMBER($BK195),$BW195=$BK195)),$BX195&lt;$BL195)))))))),"-&gt;","&lt;-"))</f>
        <v/>
      </c>
      <c r="BN195" s="92" t="str">
        <f aca="false">IF(ISBLANK($C195),"",AND($AT195,OR($AU195="",$AV195="",AND($AW195,$AX195=""))))</f>
        <v/>
      </c>
      <c r="BO195" s="94" t="str">
        <f aca="false">IF($BZ195&lt;&gt;Constants!$B$8,"",IF($AT195,Constants!$B$21*$AV195+Constants!$B$22*IF($AW195,$AX195,Constants!$B$23),Constants!$B$24))</f>
        <v/>
      </c>
      <c r="BP195" s="97" t="str">
        <f aca="false">IF($BZ195&lt;&gt;Constants!$B$8,"",Constants!$B$25*ABS($AD$9-IF($AT195,$AU195,0)))</f>
        <v/>
      </c>
      <c r="BQ195" s="97" t="str">
        <f aca="false">IF($BZ195&lt;&gt;Constants!$B$8,"",IF(AND($AT195,$AY195,$AW195),Constants!$B$27,0))</f>
        <v/>
      </c>
      <c r="BR195" s="97" t="str">
        <f aca="false">IF($BZ195&lt;&gt;Constants!$B$8,"",IF($AT195,($AI195-Constants!$B$29)*Constants!$B$28,0))</f>
        <v/>
      </c>
      <c r="BS195" s="97" t="str">
        <f aca="false">IF($BZ195&lt;&gt;Constants!$B$8,"",IF($AS195,0,Constants!$B$15)+IF($AR195,0,Constants!$B$16)+IF($AH195,0,Constants!$B$17))</f>
        <v/>
      </c>
      <c r="BT195" s="98" t="str">
        <f aca="false">IF($BZ195&lt;&gt;Constants!$B$8,"",Constants!$B$20+SUM($BO195:$BS195))</f>
        <v/>
      </c>
      <c r="BU195" s="97" t="str">
        <f aca="false">IF($BZ195&lt;&gt;Constants!$B$8,"",$BO195)</f>
        <v/>
      </c>
      <c r="BV195" s="97" t="str">
        <f aca="false">IF($BZ195&lt;&gt;Constants!$B$8,"",$BP195)</f>
        <v/>
      </c>
      <c r="BW195" s="97" t="str">
        <f aca="false">IF($BZ195&lt;&gt;Constants!$B$8,"",IF($AT195,$AV195,""))</f>
        <v/>
      </c>
      <c r="BX195" s="99" t="str">
        <f aca="false">IF($BZ195&lt;&gt;Constants!$B$8,"",$AI195)</f>
        <v/>
      </c>
      <c r="BY195" s="93" t="str">
        <f aca="false">IF(ISBLANK($C195),"",IF(ISBLANK($D$7),$BY$5,IF(NOT(ISNUMBER($D$7)),$BY$6,"")))</f>
        <v/>
      </c>
      <c r="BZ195" s="93" t="str">
        <f aca="false">IF(ISBLANK($C195),"",IF($BA195,Constants!$B$11,IF(COUNTA($E195:$AA195)=0,Constants!$B$10,IF(NOT($AG195),Constants!$B$9,IF(OR($BY195&lt;&gt;"",$BB195,$BN195),Constants!$B$12,Constants!$B$8)))))</f>
        <v/>
      </c>
      <c r="CA195" s="93" t="str">
        <f aca="false">IF(ISBLANK($C195),"",IF($BZ195&lt;&gt;Constants!$B$8,$BZ195,Constants!$B$13))</f>
        <v/>
      </c>
      <c r="CB195" s="97" t="str">
        <f aca="false">IF($BZ195&lt;&gt;Constants!$B$8,"",IF($BM195="-&gt;",$BT195,$BH195))</f>
        <v/>
      </c>
      <c r="CC195" s="97" t="str">
        <f aca="false">IF($BZ195&lt;&gt;Constants!$B$8,"",IF($AF195,0,Constants!$B$18))</f>
        <v/>
      </c>
      <c r="CD195" s="97" t="str">
        <f aca="false">IF($BZ195&lt;&gt;Constants!$B$8,"",((Constants!$B$31-$AZ195)-Constants!$B$31)/Constants!$B$32)</f>
        <v/>
      </c>
      <c r="CE195" s="97" t="str">
        <f aca="false">IF(ISBLANK($C195),"",IF($BZ195&lt;&gt;Constants!$B$8,$BZ195,SUM($CB195:$CD195)))</f>
        <v/>
      </c>
      <c r="CF195" s="93" t="str">
        <f aca="false">IF(ISBLANK($C195),"",IF($BZ195&lt;&gt;Constants!$B$8,$BZ195,RANK($CE195,$CE$9:$CE$508,1)))</f>
        <v/>
      </c>
      <c r="CG195" s="97" t="str">
        <f aca="false">IF($BZ195&lt;&gt;Constants!$B$8,"",IF($BM195="-&gt;",$BU195,$BI195))</f>
        <v/>
      </c>
      <c r="CH195" s="93" t="str">
        <f aca="false">IF(ISBLANK($C195),"",IF($BZ195&lt;&gt;Constants!$B$8,$BZ195,IF(ISNUMBER($CG195),RANK($CG195,$CG$9:$CG$508,1),COUNT($CG$9:$CG$508)+1)))</f>
        <v/>
      </c>
      <c r="CI195" s="97" t="str">
        <f aca="false">IF($BZ195&lt;&gt;Constants!$B$8,"",IF($BM195="-&gt;",$BV195,$BJ195))</f>
        <v/>
      </c>
      <c r="CJ195" s="93" t="str">
        <f aca="false">IF(ISBLANK($C195),"",IF($BZ195&lt;&gt;Constants!$B$8,$BZ195,IF(ISNUMBER($CI195),RANK($CI195,$CI$9:$CI$508,1),COUNT($CI$9:$CI$508)+1)))</f>
        <v/>
      </c>
      <c r="CK195" s="97" t="str">
        <f aca="false">IF($BZ195&lt;&gt;Constants!$B$8,"",IF($BM195="-&gt;",$BW195,$BK195))</f>
        <v/>
      </c>
      <c r="CL195" s="93" t="str">
        <f aca="false">IF(ISBLANK($C195),"",IF($BZ195&lt;&gt;Constants!$B$8,$BZ195,IF(ISNUMBER($CK195),RANK($CK195,$CK$9:$CK$508,1),COUNT($CK$9:$CK$508)+1)))</f>
        <v/>
      </c>
      <c r="CM195" s="97" t="str">
        <f aca="false">IF($BZ195&lt;&gt;Constants!$B$8,"",IF(AND(NOT($AL195),NOT($AT195),$AJ195,$AK195,$AR195,$AS195),"",IF($BM195="-&gt;",$BX195,$BL195)))</f>
        <v/>
      </c>
      <c r="CN195" s="93" t="str">
        <f aca="false">IF(ISBLANK($C195),"",IF($BZ195&lt;&gt;Constants!$B$8,$BZ195,IF(ISNUMBER($CM195),RANK($CM195,$CM$9:$CM$508,1),COUNT($CM$9:$CM$508)+1)))</f>
        <v/>
      </c>
      <c r="CO195" s="93" t="str">
        <f aca="false">IF(ISBLANK($C195),"",IF($BZ195&lt;&gt;Constants!$B$8,$BZ195,COUNTIFS($CF$9:$CF$508,"&lt;"&amp;$CF195)+COUNTIFS($CF$9:$CF$508,$CF195,$CH$9:$CH$508,"&lt;"&amp;$CH195)+COUNTIFS($CF$9:$CF$508,$CF195,$CH$9:$CH$508,$CH195,$CJ$9:$CJ$508,"&lt;"&amp;$CJ195)+COUNTIFS($CF$9:$CF$508,$CF195,$CH$9:$CH$508,$CH195,$CJ$9:$CJ$508,$CJ195,$CL$9:$CL$508,"&lt;"&amp;$CL195)+COUNTIFS($CF$9:$CF$508,$CF195,$CH$9:$CH$508,$CH195,$CJ$9:$CJ$508,$CJ195,$CL$9:$CL$508,$CL195,$CN$9:$CN$508,"&lt;"&amp;$CN195)+1))</f>
        <v/>
      </c>
      <c r="CP195" s="93" t="str">
        <f aca="false">IF(ISBLANK($C195),"",IF($BZ195&lt;&gt;Constants!$B$8,$BZ195,$CF195-$CO195))</f>
        <v/>
      </c>
      <c r="CQ195" s="100"/>
      <c r="CR195" s="101"/>
      <c r="CS195" s="102" t="str">
        <f aca="false">IF(ISBLANK($C195),"",IF($BZ195=Constants!$B$12,$BY195,""))</f>
        <v/>
      </c>
      <c r="CT195" s="101" t="str">
        <f aca="false">IF(ISBLANK($C195),"",IF($BZ195&lt;&gt;Constants!$B$8,"",IF($BM195="-&gt;",2,1)))</f>
        <v/>
      </c>
      <c r="CU195" s="103" t="str">
        <f aca="false">IF(ISBLANK($C195),"",IF($BZ195&lt;&gt;Constants!$B$8,"",IF($BM195="-&gt;",$BO195,$BC195)))</f>
        <v/>
      </c>
      <c r="CV195" s="103" t="str">
        <f aca="false">IF(ISBLANK($C195),"",IF($BZ195&lt;&gt;Constants!$B$8,"",IF($BM195="-&gt;",$BP195,$BD195)))</f>
        <v/>
      </c>
      <c r="CW195" s="103" t="str">
        <f aca="false">IF(ISBLANK($C195),"",IF($BZ195&lt;&gt;Constants!$B$8,"",IF($BM195="-&gt;",$BQ195+$BR195,$BE195+$BF195)+$CD195))</f>
        <v/>
      </c>
      <c r="CX195" s="103" t="str">
        <f aca="false">IF(ISBLANK($C195),"",IF($BZ195&lt;&gt;Constants!$B$8,"",IF($BM195="-&gt;",$BS195,$BG195)+$CC195))</f>
        <v/>
      </c>
      <c r="CY195" s="104" t="str">
        <f aca="false">IF(ISBLANK($C195),"",IF($BZ195&lt;&gt;Constants!$B$8,$BZ195,$CE195))</f>
        <v/>
      </c>
      <c r="CZ195" s="105" t="str">
        <f aca="false">IF(ISBLANK($C195),"",$CA195)</f>
        <v/>
      </c>
      <c r="DA195" s="106" t="str">
        <f aca="false">IF(ISBLANK($C195),"",$CP195)</f>
        <v/>
      </c>
      <c r="DB195" s="106" t="str">
        <f aca="false">IF(ISBLANK($C195),"",$CO195)</f>
        <v/>
      </c>
      <c r="DC195" s="107" t="str">
        <f aca="false">IF(ISBLANK($C195),"",IFERROR(_xlfn.SWITCH($DB195,Constants!$B$11,COUNTA($C$9:$C$508)+2,Constants!$B$10,COUNTA($C$9:$C$508)+1,Constants!$B$9,COUNTA($C$9:$C$508)),$DB195))</f>
        <v/>
      </c>
      <c r="DD195" s="9"/>
      <c r="DE195" s="108" t="n">
        <f aca="false">IF(OR(ISNUMBER($DB195),$DB195=Constants!$B$11,$DB195=Constants!$B$9,$DB195=Constants!$B$10),1,0)</f>
        <v>0</v>
      </c>
      <c r="DF195" s="108" t="n">
        <v>187</v>
      </c>
      <c r="DG195" s="108" t="str">
        <f aca="false">IF(ISBLANK($C195),"",IF(ISNUMBER($DC195),$DC195+ROW($B195)/1000,""))</f>
        <v/>
      </c>
      <c r="DH195" s="108" t="str">
        <f aca="false">IF(ISNUMBER($DG195),RANK($DG195,$DG$9:$DG$508,1),"")</f>
        <v/>
      </c>
      <c r="DI195" s="108" t="str">
        <f aca="false">IF(ISBLANK($C195),"",$B195)</f>
        <v/>
      </c>
      <c r="DJ195" s="108" t="str">
        <f aca="false">IF(ISBLANK($C195),"",$C195)</f>
        <v/>
      </c>
      <c r="DK195" s="108" t="str">
        <f aca="false">IF(ISBLANK($C195),"",$D195)</f>
        <v/>
      </c>
      <c r="DL195" s="109" t="str">
        <f aca="false">$CZ195</f>
        <v/>
      </c>
      <c r="DM195" s="110" t="str">
        <f aca="false">$CY195</f>
        <v/>
      </c>
      <c r="DN195" s="108" t="str">
        <f aca="false">IF(ISBLANK($C195),"",$DB195)</f>
        <v/>
      </c>
      <c r="DO195" s="111" t="str">
        <f aca="false">IF($DF195&gt;$DE$8,"",VLOOKUP($DF195,$DH$9:$DN$508,7,FALSE()))</f>
        <v/>
      </c>
      <c r="DP195" s="112" t="str">
        <f aca="false">IF($DF195&gt;$DE$8,"",VLOOKUP($DF195,$DH$9:$DN$508,2,FALSE()))</f>
        <v/>
      </c>
      <c r="DQ195" s="112" t="str">
        <f aca="false">IF($DF195&gt;$DE$8,"",VLOOKUP($DF195,$DH$9:$DN$508,3,FALSE()))</f>
        <v/>
      </c>
      <c r="DR195" s="112" t="str">
        <f aca="false">IF($DF195&gt;$DE$8,"",VLOOKUP($DF195,$DH$9:$DN$508,4,FALSE()))</f>
        <v/>
      </c>
      <c r="DS195" s="112" t="str">
        <f aca="false">IF($DF195&gt;$DE$8,"",VLOOKUP($DF195,$DH$9:$DN$508,5,FALSE()))</f>
        <v/>
      </c>
      <c r="DT195" s="113" t="str">
        <f aca="false">IF($DF195&gt;$DE$8,"",VLOOKUP($DF195,$DH$9:$DN$508,6,FALSE()))</f>
        <v/>
      </c>
      <c r="DU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IF(ISBLANK($C196),"",IF(E196=Constants!$B$3,TRUE(),IF(E196=Constants!$B$4,FALSE(),TRUE())))</f>
        <v/>
      </c>
      <c r="AG196" s="93" t="str">
        <f aca="false">IF(ISBLANK($C196),"",IF(F196=Constants!$B$3,TRUE(),IF(F196=Constants!$B$4,FALSE(),TRUE())))</f>
        <v/>
      </c>
      <c r="AH196" s="93" t="str">
        <f aca="false">IF(ISBLANK($C196),"",IF(G196=Constants!$B$3,TRUE(),IF(G196=Constants!$B$4,FALSE(),TRUE())))</f>
        <v/>
      </c>
      <c r="AI196" s="93" t="str">
        <f aca="false">IF(ISBLANK($C196),"",IF(AND(ISNUMBER(H196),H196&gt;=0),H196,Constants!$B$29))</f>
        <v/>
      </c>
      <c r="AJ196" s="93" t="str">
        <f aca="false">IF(ISBLANK($C196),"",IF(I196=Constants!$B$3,TRUE(),IF(I196=Constants!$B$4,FALSE(),TRUE())))</f>
        <v/>
      </c>
      <c r="AK196" s="93" t="str">
        <f aca="false">IF(ISBLANK($C196),"",IF(J196=Constants!$B$3,TRUE(),IF(J196=Constants!$B$4,FALSE(),TRUE())))</f>
        <v/>
      </c>
      <c r="AL196" s="93" t="str">
        <f aca="false">IF(ISBLANK($C196),"",IF(K196=Constants!$B$5,TRUE(),IF(K196=Constants!$B$6,FALSE(),COUNTA(L196:P196)&gt;0)))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IF(ISBLANK($C196),"",IF(N196=Constants!$B$3,TRUE(),IF(N196=Constants!$B$4,FALSE(),TRUE())))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IF(ISBLANK($C196),"",IF(P196=Constants!$B$3,TRUE(),IF(P196=Constants!$B$4,FALSE(),FALSE())))</f>
        <v/>
      </c>
      <c r="AR196" s="93" t="str">
        <f aca="false">IF(ISBLANK($C196),"",IF(Q196=Constants!$B$3,TRUE(),IF(Q196=Constants!$B$4,FALSE(),TRUE())))</f>
        <v/>
      </c>
      <c r="AS196" s="93" t="str">
        <f aca="false">IF(ISBLANK($C196),"",IF(R196=Constants!$B$3,TRUE(),IF(R196=Constants!$B$4,FALSE(),TRUE())))</f>
        <v/>
      </c>
      <c r="AT196" s="93" t="str">
        <f aca="false">IF(ISBLANK($C196),"",IF(S196=Constants!$B$5,TRUE(),IF(S196=Constants!$B$6,FALSE(),COUNTA(T196:X196)&gt;0)))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IF(ISBLANK($C196),"",IF(V196=Constants!$B$3,TRUE(),IF(V196=Constants!$B$4,FALSE(),TRUE())))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IF(ISBLANK($C196),"",IF(X196=Constants!$B$3,TRUE(),IF(X196=Constants!$B$4,FALSE(),FALSE())))</f>
        <v/>
      </c>
      <c r="AZ196" s="93" t="str">
        <f aca="false">IF(ISBLANK($C196),"",MIN(Constants!$B$31,MAX(0,IF(ISNUMBER(Y196),Y196*60,0)+IF(ISNUMBER(Z196),Z196,0))))</f>
        <v/>
      </c>
      <c r="BA196" s="93" t="str">
        <f aca="false">IF(ISBLANK($C196),"",IF(AA196=Constants!$B$3,TRUE(),IF(AA196=Constants!$B$4,FALSE(),FALSE())))</f>
        <v/>
      </c>
      <c r="BB196" s="92" t="str">
        <f aca="false">IF(ISBLANK($C196),"",AND($AL196,OR($AM196="",$AN196="",AND($AO196,$AP196=""))))</f>
        <v/>
      </c>
      <c r="BC196" s="94" t="str">
        <f aca="false">IF($BZ196&lt;&gt;Constants!$B$8,"",IF($AL196,Constants!$B$21*$AN196+Constants!$B$22*IF($AO196,$AP196,Constants!$B$23),Constants!$B$24))</f>
        <v/>
      </c>
      <c r="BD196" s="97" t="str">
        <f aca="false">IF($BZ196&lt;&gt;Constants!$B$8,"",Constants!$B$25*ABS($AD$9-IF($AL196,$AM196,0)))</f>
        <v/>
      </c>
      <c r="BE196" s="97" t="str">
        <f aca="false">IF($BZ196&lt;&gt;Constants!$B$8,"",IF(AND($AL196,$AQ196,$AO196),Constants!$B$27,0))</f>
        <v/>
      </c>
      <c r="BF196" s="97" t="str">
        <f aca="false">IF($BZ196&lt;&gt;Constants!$B$8,"",IF($AL196,($AI196-Constants!$B$29)*Constants!$B$28,0))</f>
        <v/>
      </c>
      <c r="BG196" s="97" t="str">
        <f aca="false">IF($BZ196&lt;&gt;Constants!$B$8,"",IF($AK196,0,Constants!$B$15)+IF($AJ196,0,Constants!$B$16)+IF($AH196,0,Constants!$B$17))</f>
        <v/>
      </c>
      <c r="BH196" s="98" t="str">
        <f aca="false">IF($BZ196&lt;&gt;Constants!$B$8,"",Constants!$B$20+SUM($BC196:$BG196))</f>
        <v/>
      </c>
      <c r="BI196" s="97" t="str">
        <f aca="false">IF($BZ196&lt;&gt;Constants!$B$8,"",$BC196)</f>
        <v/>
      </c>
      <c r="BJ196" s="97" t="str">
        <f aca="false">IF($BZ196&lt;&gt;Constants!$B$8,"",$BD196)</f>
        <v/>
      </c>
      <c r="BK196" s="97" t="str">
        <f aca="false">IF($BZ196&lt;&gt;Constants!$B$8,"",IF($AL196,$AN196,""))</f>
        <v/>
      </c>
      <c r="BL196" s="99" t="str">
        <f aca="false">IF($BZ196&lt;&gt;Constants!$B$8,"",$AI196)</f>
        <v/>
      </c>
      <c r="BM196" s="93" t="str">
        <f aca="false">IF($BZ196&lt;&gt;Constants!$B$8,"",IF(OR($BT196&lt;$BH196,AND($BT196=$BH196,OR($BU196&lt;$BI196,AND($BU196=$BI196,OR($BV196&lt;$BJ196,AND($BV196=$BJ196,OR(AND(ISNUMBER($BW196),OR(NOT(ISNUMBER($BK196)),$BW196&lt;$BK196)),AND(OR(AND($BW196="",$BK196=""),AND(ISNUMBER($BW196),ISNUMBER($BK196),$BW196=$BK196)),$BX196&lt;$BL196)))))))),"-&gt;","&lt;-"))</f>
        <v/>
      </c>
      <c r="BN196" s="92" t="str">
        <f aca="false">IF(ISBLANK($C196),"",AND($AT196,OR($AU196="",$AV196="",AND($AW196,$AX196=""))))</f>
        <v/>
      </c>
      <c r="BO196" s="94" t="str">
        <f aca="false">IF($BZ196&lt;&gt;Constants!$B$8,"",IF($AT196,Constants!$B$21*$AV196+Constants!$B$22*IF($AW196,$AX196,Constants!$B$23),Constants!$B$24))</f>
        <v/>
      </c>
      <c r="BP196" s="97" t="str">
        <f aca="false">IF($BZ196&lt;&gt;Constants!$B$8,"",Constants!$B$25*ABS($AD$9-IF($AT196,$AU196,0)))</f>
        <v/>
      </c>
      <c r="BQ196" s="97" t="str">
        <f aca="false">IF($BZ196&lt;&gt;Constants!$B$8,"",IF(AND($AT196,$AY196,$AW196),Constants!$B$27,0))</f>
        <v/>
      </c>
      <c r="BR196" s="97" t="str">
        <f aca="false">IF($BZ196&lt;&gt;Constants!$B$8,"",IF($AT196,($AI196-Constants!$B$29)*Constants!$B$28,0))</f>
        <v/>
      </c>
      <c r="BS196" s="97" t="str">
        <f aca="false">IF($BZ196&lt;&gt;Constants!$B$8,"",IF($AS196,0,Constants!$B$15)+IF($AR196,0,Constants!$B$16)+IF($AH196,0,Constants!$B$17))</f>
        <v/>
      </c>
      <c r="BT196" s="98" t="str">
        <f aca="false">IF($BZ196&lt;&gt;Constants!$B$8,"",Constants!$B$20+SUM($BO196:$BS196))</f>
        <v/>
      </c>
      <c r="BU196" s="97" t="str">
        <f aca="false">IF($BZ196&lt;&gt;Constants!$B$8,"",$BO196)</f>
        <v/>
      </c>
      <c r="BV196" s="97" t="str">
        <f aca="false">IF($BZ196&lt;&gt;Constants!$B$8,"",$BP196)</f>
        <v/>
      </c>
      <c r="BW196" s="97" t="str">
        <f aca="false">IF($BZ196&lt;&gt;Constants!$B$8,"",IF($AT196,$AV196,""))</f>
        <v/>
      </c>
      <c r="BX196" s="99" t="str">
        <f aca="false">IF($BZ196&lt;&gt;Constants!$B$8,"",$AI196)</f>
        <v/>
      </c>
      <c r="BY196" s="93" t="str">
        <f aca="false">IF(ISBLANK($C196),"",IF(ISBLANK($D$7),$BY$5,IF(NOT(ISNUMBER($D$7)),$BY$6,"")))</f>
        <v/>
      </c>
      <c r="BZ196" s="93" t="str">
        <f aca="false">IF(ISBLANK($C196),"",IF($BA196,Constants!$B$11,IF(COUNTA($E196:$AA196)=0,Constants!$B$10,IF(NOT($AG196),Constants!$B$9,IF(OR($BY196&lt;&gt;"",$BB196,$BN196),Constants!$B$12,Constants!$B$8)))))</f>
        <v/>
      </c>
      <c r="CA196" s="93" t="str">
        <f aca="false">IF(ISBLANK($C196),"",IF($BZ196&lt;&gt;Constants!$B$8,$BZ196,Constants!$B$13))</f>
        <v/>
      </c>
      <c r="CB196" s="97" t="str">
        <f aca="false">IF($BZ196&lt;&gt;Constants!$B$8,"",IF($BM196="-&gt;",$BT196,$BH196))</f>
        <v/>
      </c>
      <c r="CC196" s="97" t="str">
        <f aca="false">IF($BZ196&lt;&gt;Constants!$B$8,"",IF($AF196,0,Constants!$B$18))</f>
        <v/>
      </c>
      <c r="CD196" s="97" t="str">
        <f aca="false">IF($BZ196&lt;&gt;Constants!$B$8,"",((Constants!$B$31-$AZ196)-Constants!$B$31)/Constants!$B$32)</f>
        <v/>
      </c>
      <c r="CE196" s="97" t="str">
        <f aca="false">IF(ISBLANK($C196),"",IF($BZ196&lt;&gt;Constants!$B$8,$BZ196,SUM($CB196:$CD196)))</f>
        <v/>
      </c>
      <c r="CF196" s="93" t="str">
        <f aca="false">IF(ISBLANK($C196),"",IF($BZ196&lt;&gt;Constants!$B$8,$BZ196,RANK($CE196,$CE$9:$CE$508,1)))</f>
        <v/>
      </c>
      <c r="CG196" s="97" t="str">
        <f aca="false">IF($BZ196&lt;&gt;Constants!$B$8,"",IF($BM196="-&gt;",$BU196,$BI196))</f>
        <v/>
      </c>
      <c r="CH196" s="93" t="str">
        <f aca="false">IF(ISBLANK($C196),"",IF($BZ196&lt;&gt;Constants!$B$8,$BZ196,IF(ISNUMBER($CG196),RANK($CG196,$CG$9:$CG$508,1),COUNT($CG$9:$CG$508)+1)))</f>
        <v/>
      </c>
      <c r="CI196" s="97" t="str">
        <f aca="false">IF($BZ196&lt;&gt;Constants!$B$8,"",IF($BM196="-&gt;",$BV196,$BJ196))</f>
        <v/>
      </c>
      <c r="CJ196" s="93" t="str">
        <f aca="false">IF(ISBLANK($C196),"",IF($BZ196&lt;&gt;Constants!$B$8,$BZ196,IF(ISNUMBER($CI196),RANK($CI196,$CI$9:$CI$508,1),COUNT($CI$9:$CI$508)+1)))</f>
        <v/>
      </c>
      <c r="CK196" s="97" t="str">
        <f aca="false">IF($BZ196&lt;&gt;Constants!$B$8,"",IF($BM196="-&gt;",$BW196,$BK196))</f>
        <v/>
      </c>
      <c r="CL196" s="93" t="str">
        <f aca="false">IF(ISBLANK($C196),"",IF($BZ196&lt;&gt;Constants!$B$8,$BZ196,IF(ISNUMBER($CK196),RANK($CK196,$CK$9:$CK$508,1),COUNT($CK$9:$CK$508)+1)))</f>
        <v/>
      </c>
      <c r="CM196" s="97" t="str">
        <f aca="false">IF($BZ196&lt;&gt;Constants!$B$8,"",IF(AND(NOT($AL196),NOT($AT196),$AJ196,$AK196,$AR196,$AS196),"",IF($BM196="-&gt;",$BX196,$BL196)))</f>
        <v/>
      </c>
      <c r="CN196" s="93" t="str">
        <f aca="false">IF(ISBLANK($C196),"",IF($BZ196&lt;&gt;Constants!$B$8,$BZ196,IF(ISNUMBER($CM196),RANK($CM196,$CM$9:$CM$508,1),COUNT($CM$9:$CM$508)+1)))</f>
        <v/>
      </c>
      <c r="CO196" s="93" t="str">
        <f aca="false">IF(ISBLANK($C196),"",IF($BZ196&lt;&gt;Constants!$B$8,$BZ196,COUNTIFS($CF$9:$CF$508,"&lt;"&amp;$CF196)+COUNTIFS($CF$9:$CF$508,$CF196,$CH$9:$CH$508,"&lt;"&amp;$CH196)+COUNTIFS($CF$9:$CF$508,$CF196,$CH$9:$CH$508,$CH196,$CJ$9:$CJ$508,"&lt;"&amp;$CJ196)+COUNTIFS($CF$9:$CF$508,$CF196,$CH$9:$CH$508,$CH196,$CJ$9:$CJ$508,$CJ196,$CL$9:$CL$508,"&lt;"&amp;$CL196)+COUNTIFS($CF$9:$CF$508,$CF196,$CH$9:$CH$508,$CH196,$CJ$9:$CJ$508,$CJ196,$CL$9:$CL$508,$CL196,$CN$9:$CN$508,"&lt;"&amp;$CN196)+1))</f>
        <v/>
      </c>
      <c r="CP196" s="93" t="str">
        <f aca="false">IF(ISBLANK($C196),"",IF($BZ196&lt;&gt;Constants!$B$8,$BZ196,$CF196-$CO196))</f>
        <v/>
      </c>
      <c r="CQ196" s="100"/>
      <c r="CR196" s="101"/>
      <c r="CS196" s="102" t="str">
        <f aca="false">IF(ISBLANK($C196),"",IF($BZ196=Constants!$B$12,$BY196,""))</f>
        <v/>
      </c>
      <c r="CT196" s="101" t="str">
        <f aca="false">IF(ISBLANK($C196),"",IF($BZ196&lt;&gt;Constants!$B$8,"",IF($BM196="-&gt;",2,1)))</f>
        <v/>
      </c>
      <c r="CU196" s="103" t="str">
        <f aca="false">IF(ISBLANK($C196),"",IF($BZ196&lt;&gt;Constants!$B$8,"",IF($BM196="-&gt;",$BO196,$BC196)))</f>
        <v/>
      </c>
      <c r="CV196" s="103" t="str">
        <f aca="false">IF(ISBLANK($C196),"",IF($BZ196&lt;&gt;Constants!$B$8,"",IF($BM196="-&gt;",$BP196,$BD196)))</f>
        <v/>
      </c>
      <c r="CW196" s="103" t="str">
        <f aca="false">IF(ISBLANK($C196),"",IF($BZ196&lt;&gt;Constants!$B$8,"",IF($BM196="-&gt;",$BQ196+$BR196,$BE196+$BF196)+$CD196))</f>
        <v/>
      </c>
      <c r="CX196" s="103" t="str">
        <f aca="false">IF(ISBLANK($C196),"",IF($BZ196&lt;&gt;Constants!$B$8,"",IF($BM196="-&gt;",$BS196,$BG196)+$CC196))</f>
        <v/>
      </c>
      <c r="CY196" s="104" t="str">
        <f aca="false">IF(ISBLANK($C196),"",IF($BZ196&lt;&gt;Constants!$B$8,$BZ196,$CE196))</f>
        <v/>
      </c>
      <c r="CZ196" s="105" t="str">
        <f aca="false">IF(ISBLANK($C196),"",$CA196)</f>
        <v/>
      </c>
      <c r="DA196" s="106" t="str">
        <f aca="false">IF(ISBLANK($C196),"",$CP196)</f>
        <v/>
      </c>
      <c r="DB196" s="106" t="str">
        <f aca="false">IF(ISBLANK($C196),"",$CO196)</f>
        <v/>
      </c>
      <c r="DC196" s="107" t="str">
        <f aca="false">IF(ISBLANK($C196),"",IFERROR(_xlfn.SWITCH($DB196,Constants!$B$11,COUNTA($C$9:$C$508)+2,Constants!$B$10,COUNTA($C$9:$C$508)+1,Constants!$B$9,COUNTA($C$9:$C$508)),$DB196))</f>
        <v/>
      </c>
      <c r="DD196" s="9"/>
      <c r="DE196" s="108" t="n">
        <f aca="false">IF(OR(ISNUMBER($DB196),$DB196=Constants!$B$11,$DB196=Constants!$B$9,$DB196=Constants!$B$10),1,0)</f>
        <v>0</v>
      </c>
      <c r="DF196" s="108" t="n">
        <v>188</v>
      </c>
      <c r="DG196" s="108" t="str">
        <f aca="false">IF(ISBLANK($C196),"",IF(ISNUMBER($DC196),$DC196+ROW($B196)/1000,""))</f>
        <v/>
      </c>
      <c r="DH196" s="108" t="str">
        <f aca="false">IF(ISNUMBER($DG196),RANK($DG196,$DG$9:$DG$508,1),"")</f>
        <v/>
      </c>
      <c r="DI196" s="108" t="str">
        <f aca="false">IF(ISBLANK($C196),"",$B196)</f>
        <v/>
      </c>
      <c r="DJ196" s="108" t="str">
        <f aca="false">IF(ISBLANK($C196),"",$C196)</f>
        <v/>
      </c>
      <c r="DK196" s="108" t="str">
        <f aca="false">IF(ISBLANK($C196),"",$D196)</f>
        <v/>
      </c>
      <c r="DL196" s="109" t="str">
        <f aca="false">$CZ196</f>
        <v/>
      </c>
      <c r="DM196" s="110" t="str">
        <f aca="false">$CY196</f>
        <v/>
      </c>
      <c r="DN196" s="108" t="str">
        <f aca="false">IF(ISBLANK($C196),"",$DB196)</f>
        <v/>
      </c>
      <c r="DO196" s="111" t="str">
        <f aca="false">IF($DF196&gt;$DE$8,"",VLOOKUP($DF196,$DH$9:$DN$508,7,FALSE()))</f>
        <v/>
      </c>
      <c r="DP196" s="112" t="str">
        <f aca="false">IF($DF196&gt;$DE$8,"",VLOOKUP($DF196,$DH$9:$DN$508,2,FALSE()))</f>
        <v/>
      </c>
      <c r="DQ196" s="112" t="str">
        <f aca="false">IF($DF196&gt;$DE$8,"",VLOOKUP($DF196,$DH$9:$DN$508,3,FALSE()))</f>
        <v/>
      </c>
      <c r="DR196" s="112" t="str">
        <f aca="false">IF($DF196&gt;$DE$8,"",VLOOKUP($DF196,$DH$9:$DN$508,4,FALSE()))</f>
        <v/>
      </c>
      <c r="DS196" s="112" t="str">
        <f aca="false">IF($DF196&gt;$DE$8,"",VLOOKUP($DF196,$DH$9:$DN$508,5,FALSE()))</f>
        <v/>
      </c>
      <c r="DT196" s="113" t="str">
        <f aca="false">IF($DF196&gt;$DE$8,"",VLOOKUP($DF196,$DH$9:$DN$508,6,FALSE()))</f>
        <v/>
      </c>
      <c r="DU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IF(ISBLANK($C197),"",IF(E197=Constants!$B$3,TRUE(),IF(E197=Constants!$B$4,FALSE(),TRUE())))</f>
        <v/>
      </c>
      <c r="AG197" s="93" t="str">
        <f aca="false">IF(ISBLANK($C197),"",IF(F197=Constants!$B$3,TRUE(),IF(F197=Constants!$B$4,FALSE(),TRUE())))</f>
        <v/>
      </c>
      <c r="AH197" s="93" t="str">
        <f aca="false">IF(ISBLANK($C197),"",IF(G197=Constants!$B$3,TRUE(),IF(G197=Constants!$B$4,FALSE(),TRUE())))</f>
        <v/>
      </c>
      <c r="AI197" s="93" t="str">
        <f aca="false">IF(ISBLANK($C197),"",IF(AND(ISNUMBER(H197),H197&gt;=0),H197,Constants!$B$29))</f>
        <v/>
      </c>
      <c r="AJ197" s="93" t="str">
        <f aca="false">IF(ISBLANK($C197),"",IF(I197=Constants!$B$3,TRUE(),IF(I197=Constants!$B$4,FALSE(),TRUE())))</f>
        <v/>
      </c>
      <c r="AK197" s="93" t="str">
        <f aca="false">IF(ISBLANK($C197),"",IF(J197=Constants!$B$3,TRUE(),IF(J197=Constants!$B$4,FALSE(),TRUE())))</f>
        <v/>
      </c>
      <c r="AL197" s="93" t="str">
        <f aca="false">IF(ISBLANK($C197),"",IF(K197=Constants!$B$5,TRUE(),IF(K197=Constants!$B$6,FALSE(),COUNTA(L197:P197)&gt;0)))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IF(ISBLANK($C197),"",IF(N197=Constants!$B$3,TRUE(),IF(N197=Constants!$B$4,FALSE(),TRUE())))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IF(ISBLANK($C197),"",IF(P197=Constants!$B$3,TRUE(),IF(P197=Constants!$B$4,FALSE(),FALSE())))</f>
        <v/>
      </c>
      <c r="AR197" s="93" t="str">
        <f aca="false">IF(ISBLANK($C197),"",IF(Q197=Constants!$B$3,TRUE(),IF(Q197=Constants!$B$4,FALSE(),TRUE())))</f>
        <v/>
      </c>
      <c r="AS197" s="93" t="str">
        <f aca="false">IF(ISBLANK($C197),"",IF(R197=Constants!$B$3,TRUE(),IF(R197=Constants!$B$4,FALSE(),TRUE())))</f>
        <v/>
      </c>
      <c r="AT197" s="93" t="str">
        <f aca="false">IF(ISBLANK($C197),"",IF(S197=Constants!$B$5,TRUE(),IF(S197=Constants!$B$6,FALSE(),COUNTA(T197:X197)&gt;0)))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IF(ISBLANK($C197),"",IF(V197=Constants!$B$3,TRUE(),IF(V197=Constants!$B$4,FALSE(),TRUE())))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IF(ISBLANK($C197),"",IF(X197=Constants!$B$3,TRUE(),IF(X197=Constants!$B$4,FALSE(),FALSE())))</f>
        <v/>
      </c>
      <c r="AZ197" s="93" t="str">
        <f aca="false">IF(ISBLANK($C197),"",MIN(Constants!$B$31,MAX(0,IF(ISNUMBER(Y197),Y197*60,0)+IF(ISNUMBER(Z197),Z197,0))))</f>
        <v/>
      </c>
      <c r="BA197" s="93" t="str">
        <f aca="false">IF(ISBLANK($C197),"",IF(AA197=Constants!$B$3,TRUE(),IF(AA197=Constants!$B$4,FALSE(),FALSE())))</f>
        <v/>
      </c>
      <c r="BB197" s="92" t="str">
        <f aca="false">IF(ISBLANK($C197),"",AND($AL197,OR($AM197="",$AN197="",AND($AO197,$AP197=""))))</f>
        <v/>
      </c>
      <c r="BC197" s="94" t="str">
        <f aca="false">IF($BZ197&lt;&gt;Constants!$B$8,"",IF($AL197,Constants!$B$21*$AN197+Constants!$B$22*IF($AO197,$AP197,Constants!$B$23),Constants!$B$24))</f>
        <v/>
      </c>
      <c r="BD197" s="97" t="str">
        <f aca="false">IF($BZ197&lt;&gt;Constants!$B$8,"",Constants!$B$25*ABS($AD$9-IF($AL197,$AM197,0)))</f>
        <v/>
      </c>
      <c r="BE197" s="97" t="str">
        <f aca="false">IF($BZ197&lt;&gt;Constants!$B$8,"",IF(AND($AL197,$AQ197,$AO197),Constants!$B$27,0))</f>
        <v/>
      </c>
      <c r="BF197" s="97" t="str">
        <f aca="false">IF($BZ197&lt;&gt;Constants!$B$8,"",IF($AL197,($AI197-Constants!$B$29)*Constants!$B$28,0))</f>
        <v/>
      </c>
      <c r="BG197" s="97" t="str">
        <f aca="false">IF($BZ197&lt;&gt;Constants!$B$8,"",IF($AK197,0,Constants!$B$15)+IF($AJ197,0,Constants!$B$16)+IF($AH197,0,Constants!$B$17))</f>
        <v/>
      </c>
      <c r="BH197" s="98" t="str">
        <f aca="false">IF($BZ197&lt;&gt;Constants!$B$8,"",Constants!$B$20+SUM($BC197:$BG197))</f>
        <v/>
      </c>
      <c r="BI197" s="97" t="str">
        <f aca="false">IF($BZ197&lt;&gt;Constants!$B$8,"",$BC197)</f>
        <v/>
      </c>
      <c r="BJ197" s="97" t="str">
        <f aca="false">IF($BZ197&lt;&gt;Constants!$B$8,"",$BD197)</f>
        <v/>
      </c>
      <c r="BK197" s="97" t="str">
        <f aca="false">IF($BZ197&lt;&gt;Constants!$B$8,"",IF($AL197,$AN197,""))</f>
        <v/>
      </c>
      <c r="BL197" s="99" t="str">
        <f aca="false">IF($BZ197&lt;&gt;Constants!$B$8,"",$AI197)</f>
        <v/>
      </c>
      <c r="BM197" s="93" t="str">
        <f aca="false">IF($BZ197&lt;&gt;Constants!$B$8,"",IF(OR($BT197&lt;$BH197,AND($BT197=$BH197,OR($BU197&lt;$BI197,AND($BU197=$BI197,OR($BV197&lt;$BJ197,AND($BV197=$BJ197,OR(AND(ISNUMBER($BW197),OR(NOT(ISNUMBER($BK197)),$BW197&lt;$BK197)),AND(OR(AND($BW197="",$BK197=""),AND(ISNUMBER($BW197),ISNUMBER($BK197),$BW197=$BK197)),$BX197&lt;$BL197)))))))),"-&gt;","&lt;-"))</f>
        <v/>
      </c>
      <c r="BN197" s="92" t="str">
        <f aca="false">IF(ISBLANK($C197),"",AND($AT197,OR($AU197="",$AV197="",AND($AW197,$AX197=""))))</f>
        <v/>
      </c>
      <c r="BO197" s="94" t="str">
        <f aca="false">IF($BZ197&lt;&gt;Constants!$B$8,"",IF($AT197,Constants!$B$21*$AV197+Constants!$B$22*IF($AW197,$AX197,Constants!$B$23),Constants!$B$24))</f>
        <v/>
      </c>
      <c r="BP197" s="97" t="str">
        <f aca="false">IF($BZ197&lt;&gt;Constants!$B$8,"",Constants!$B$25*ABS($AD$9-IF($AT197,$AU197,0)))</f>
        <v/>
      </c>
      <c r="BQ197" s="97" t="str">
        <f aca="false">IF($BZ197&lt;&gt;Constants!$B$8,"",IF(AND($AT197,$AY197,$AW197),Constants!$B$27,0))</f>
        <v/>
      </c>
      <c r="BR197" s="97" t="str">
        <f aca="false">IF($BZ197&lt;&gt;Constants!$B$8,"",IF($AT197,($AI197-Constants!$B$29)*Constants!$B$28,0))</f>
        <v/>
      </c>
      <c r="BS197" s="97" t="str">
        <f aca="false">IF($BZ197&lt;&gt;Constants!$B$8,"",IF($AS197,0,Constants!$B$15)+IF($AR197,0,Constants!$B$16)+IF($AH197,0,Constants!$B$17))</f>
        <v/>
      </c>
      <c r="BT197" s="98" t="str">
        <f aca="false">IF($BZ197&lt;&gt;Constants!$B$8,"",Constants!$B$20+SUM($BO197:$BS197))</f>
        <v/>
      </c>
      <c r="BU197" s="97" t="str">
        <f aca="false">IF($BZ197&lt;&gt;Constants!$B$8,"",$BO197)</f>
        <v/>
      </c>
      <c r="BV197" s="97" t="str">
        <f aca="false">IF($BZ197&lt;&gt;Constants!$B$8,"",$BP197)</f>
        <v/>
      </c>
      <c r="BW197" s="97" t="str">
        <f aca="false">IF($BZ197&lt;&gt;Constants!$B$8,"",IF($AT197,$AV197,""))</f>
        <v/>
      </c>
      <c r="BX197" s="99" t="str">
        <f aca="false">IF($BZ197&lt;&gt;Constants!$B$8,"",$AI197)</f>
        <v/>
      </c>
      <c r="BY197" s="93" t="str">
        <f aca="false">IF(ISBLANK($C197),"",IF(ISBLANK($D$7),$BY$5,IF(NOT(ISNUMBER($D$7)),$BY$6,"")))</f>
        <v/>
      </c>
      <c r="BZ197" s="93" t="str">
        <f aca="false">IF(ISBLANK($C197),"",IF($BA197,Constants!$B$11,IF(COUNTA($E197:$AA197)=0,Constants!$B$10,IF(NOT($AG197),Constants!$B$9,IF(OR($BY197&lt;&gt;"",$BB197,$BN197),Constants!$B$12,Constants!$B$8)))))</f>
        <v/>
      </c>
      <c r="CA197" s="93" t="str">
        <f aca="false">IF(ISBLANK($C197),"",IF($BZ197&lt;&gt;Constants!$B$8,$BZ197,Constants!$B$13))</f>
        <v/>
      </c>
      <c r="CB197" s="97" t="str">
        <f aca="false">IF($BZ197&lt;&gt;Constants!$B$8,"",IF($BM197="-&gt;",$BT197,$BH197))</f>
        <v/>
      </c>
      <c r="CC197" s="97" t="str">
        <f aca="false">IF($BZ197&lt;&gt;Constants!$B$8,"",IF($AF197,0,Constants!$B$18))</f>
        <v/>
      </c>
      <c r="CD197" s="97" t="str">
        <f aca="false">IF($BZ197&lt;&gt;Constants!$B$8,"",((Constants!$B$31-$AZ197)-Constants!$B$31)/Constants!$B$32)</f>
        <v/>
      </c>
      <c r="CE197" s="97" t="str">
        <f aca="false">IF(ISBLANK($C197),"",IF($BZ197&lt;&gt;Constants!$B$8,$BZ197,SUM($CB197:$CD197)))</f>
        <v/>
      </c>
      <c r="CF197" s="93" t="str">
        <f aca="false">IF(ISBLANK($C197),"",IF($BZ197&lt;&gt;Constants!$B$8,$BZ197,RANK($CE197,$CE$9:$CE$508,1)))</f>
        <v/>
      </c>
      <c r="CG197" s="97" t="str">
        <f aca="false">IF($BZ197&lt;&gt;Constants!$B$8,"",IF($BM197="-&gt;",$BU197,$BI197))</f>
        <v/>
      </c>
      <c r="CH197" s="93" t="str">
        <f aca="false">IF(ISBLANK($C197),"",IF($BZ197&lt;&gt;Constants!$B$8,$BZ197,IF(ISNUMBER($CG197),RANK($CG197,$CG$9:$CG$508,1),COUNT($CG$9:$CG$508)+1)))</f>
        <v/>
      </c>
      <c r="CI197" s="97" t="str">
        <f aca="false">IF($BZ197&lt;&gt;Constants!$B$8,"",IF($BM197="-&gt;",$BV197,$BJ197))</f>
        <v/>
      </c>
      <c r="CJ197" s="93" t="str">
        <f aca="false">IF(ISBLANK($C197),"",IF($BZ197&lt;&gt;Constants!$B$8,$BZ197,IF(ISNUMBER($CI197),RANK($CI197,$CI$9:$CI$508,1),COUNT($CI$9:$CI$508)+1)))</f>
        <v/>
      </c>
      <c r="CK197" s="97" t="str">
        <f aca="false">IF($BZ197&lt;&gt;Constants!$B$8,"",IF($BM197="-&gt;",$BW197,$BK197))</f>
        <v/>
      </c>
      <c r="CL197" s="93" t="str">
        <f aca="false">IF(ISBLANK($C197),"",IF($BZ197&lt;&gt;Constants!$B$8,$BZ197,IF(ISNUMBER($CK197),RANK($CK197,$CK$9:$CK$508,1),COUNT($CK$9:$CK$508)+1)))</f>
        <v/>
      </c>
      <c r="CM197" s="97" t="str">
        <f aca="false">IF($BZ197&lt;&gt;Constants!$B$8,"",IF(AND(NOT($AL197),NOT($AT197),$AJ197,$AK197,$AR197,$AS197),"",IF($BM197="-&gt;",$BX197,$BL197)))</f>
        <v/>
      </c>
      <c r="CN197" s="93" t="str">
        <f aca="false">IF(ISBLANK($C197),"",IF($BZ197&lt;&gt;Constants!$B$8,$BZ197,IF(ISNUMBER($CM197),RANK($CM197,$CM$9:$CM$508,1),COUNT($CM$9:$CM$508)+1)))</f>
        <v/>
      </c>
      <c r="CO197" s="93" t="str">
        <f aca="false">IF(ISBLANK($C197),"",IF($BZ197&lt;&gt;Constants!$B$8,$BZ197,COUNTIFS($CF$9:$CF$508,"&lt;"&amp;$CF197)+COUNTIFS($CF$9:$CF$508,$CF197,$CH$9:$CH$508,"&lt;"&amp;$CH197)+COUNTIFS($CF$9:$CF$508,$CF197,$CH$9:$CH$508,$CH197,$CJ$9:$CJ$508,"&lt;"&amp;$CJ197)+COUNTIFS($CF$9:$CF$508,$CF197,$CH$9:$CH$508,$CH197,$CJ$9:$CJ$508,$CJ197,$CL$9:$CL$508,"&lt;"&amp;$CL197)+COUNTIFS($CF$9:$CF$508,$CF197,$CH$9:$CH$508,$CH197,$CJ$9:$CJ$508,$CJ197,$CL$9:$CL$508,$CL197,$CN$9:$CN$508,"&lt;"&amp;$CN197)+1))</f>
        <v/>
      </c>
      <c r="CP197" s="93" t="str">
        <f aca="false">IF(ISBLANK($C197),"",IF($BZ197&lt;&gt;Constants!$B$8,$BZ197,$CF197-$CO197))</f>
        <v/>
      </c>
      <c r="CQ197" s="100"/>
      <c r="CR197" s="101"/>
      <c r="CS197" s="102" t="str">
        <f aca="false">IF(ISBLANK($C197),"",IF($BZ197=Constants!$B$12,$BY197,""))</f>
        <v/>
      </c>
      <c r="CT197" s="101" t="str">
        <f aca="false">IF(ISBLANK($C197),"",IF($BZ197&lt;&gt;Constants!$B$8,"",IF($BM197="-&gt;",2,1)))</f>
        <v/>
      </c>
      <c r="CU197" s="103" t="str">
        <f aca="false">IF(ISBLANK($C197),"",IF($BZ197&lt;&gt;Constants!$B$8,"",IF($BM197="-&gt;",$BO197,$BC197)))</f>
        <v/>
      </c>
      <c r="CV197" s="103" t="str">
        <f aca="false">IF(ISBLANK($C197),"",IF($BZ197&lt;&gt;Constants!$B$8,"",IF($BM197="-&gt;",$BP197,$BD197)))</f>
        <v/>
      </c>
      <c r="CW197" s="103" t="str">
        <f aca="false">IF(ISBLANK($C197),"",IF($BZ197&lt;&gt;Constants!$B$8,"",IF($BM197="-&gt;",$BQ197+$BR197,$BE197+$BF197)+$CD197))</f>
        <v/>
      </c>
      <c r="CX197" s="103" t="str">
        <f aca="false">IF(ISBLANK($C197),"",IF($BZ197&lt;&gt;Constants!$B$8,"",IF($BM197="-&gt;",$BS197,$BG197)+$CC197))</f>
        <v/>
      </c>
      <c r="CY197" s="104" t="str">
        <f aca="false">IF(ISBLANK($C197),"",IF($BZ197&lt;&gt;Constants!$B$8,$BZ197,$CE197))</f>
        <v/>
      </c>
      <c r="CZ197" s="105" t="str">
        <f aca="false">IF(ISBLANK($C197),"",$CA197)</f>
        <v/>
      </c>
      <c r="DA197" s="106" t="str">
        <f aca="false">IF(ISBLANK($C197),"",$CP197)</f>
        <v/>
      </c>
      <c r="DB197" s="106" t="str">
        <f aca="false">IF(ISBLANK($C197),"",$CO197)</f>
        <v/>
      </c>
      <c r="DC197" s="107" t="str">
        <f aca="false">IF(ISBLANK($C197),"",IFERROR(_xlfn.SWITCH($DB197,Constants!$B$11,COUNTA($C$9:$C$508)+2,Constants!$B$10,COUNTA($C$9:$C$508)+1,Constants!$B$9,COUNTA($C$9:$C$508)),$DB197))</f>
        <v/>
      </c>
      <c r="DD197" s="9"/>
      <c r="DE197" s="108" t="n">
        <f aca="false">IF(OR(ISNUMBER($DB197),$DB197=Constants!$B$11,$DB197=Constants!$B$9,$DB197=Constants!$B$10),1,0)</f>
        <v>0</v>
      </c>
      <c r="DF197" s="108" t="n">
        <v>189</v>
      </c>
      <c r="DG197" s="108" t="str">
        <f aca="false">IF(ISBLANK($C197),"",IF(ISNUMBER($DC197),$DC197+ROW($B197)/1000,""))</f>
        <v/>
      </c>
      <c r="DH197" s="108" t="str">
        <f aca="false">IF(ISNUMBER($DG197),RANK($DG197,$DG$9:$DG$508,1),"")</f>
        <v/>
      </c>
      <c r="DI197" s="108" t="str">
        <f aca="false">IF(ISBLANK($C197),"",$B197)</f>
        <v/>
      </c>
      <c r="DJ197" s="108" t="str">
        <f aca="false">IF(ISBLANK($C197),"",$C197)</f>
        <v/>
      </c>
      <c r="DK197" s="108" t="str">
        <f aca="false">IF(ISBLANK($C197),"",$D197)</f>
        <v/>
      </c>
      <c r="DL197" s="109" t="str">
        <f aca="false">$CZ197</f>
        <v/>
      </c>
      <c r="DM197" s="110" t="str">
        <f aca="false">$CY197</f>
        <v/>
      </c>
      <c r="DN197" s="108" t="str">
        <f aca="false">IF(ISBLANK($C197),"",$DB197)</f>
        <v/>
      </c>
      <c r="DO197" s="111" t="str">
        <f aca="false">IF($DF197&gt;$DE$8,"",VLOOKUP($DF197,$DH$9:$DN$508,7,FALSE()))</f>
        <v/>
      </c>
      <c r="DP197" s="112" t="str">
        <f aca="false">IF($DF197&gt;$DE$8,"",VLOOKUP($DF197,$DH$9:$DN$508,2,FALSE()))</f>
        <v/>
      </c>
      <c r="DQ197" s="112" t="str">
        <f aca="false">IF($DF197&gt;$DE$8,"",VLOOKUP($DF197,$DH$9:$DN$508,3,FALSE()))</f>
        <v/>
      </c>
      <c r="DR197" s="112" t="str">
        <f aca="false">IF($DF197&gt;$DE$8,"",VLOOKUP($DF197,$DH$9:$DN$508,4,FALSE()))</f>
        <v/>
      </c>
      <c r="DS197" s="112" t="str">
        <f aca="false">IF($DF197&gt;$DE$8,"",VLOOKUP($DF197,$DH$9:$DN$508,5,FALSE()))</f>
        <v/>
      </c>
      <c r="DT197" s="113" t="str">
        <f aca="false">IF($DF197&gt;$DE$8,"",VLOOKUP($DF197,$DH$9:$DN$508,6,FALSE()))</f>
        <v/>
      </c>
      <c r="DU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IF(ISBLANK($C198),"",IF(E198=Constants!$B$3,TRUE(),IF(E198=Constants!$B$4,FALSE(),TRUE())))</f>
        <v/>
      </c>
      <c r="AG198" s="135" t="str">
        <f aca="false">IF(ISBLANK($C198),"",IF(F198=Constants!$B$3,TRUE(),IF(F198=Constants!$B$4,FALSE(),TRUE())))</f>
        <v/>
      </c>
      <c r="AH198" s="135" t="str">
        <f aca="false">IF(ISBLANK($C198),"",IF(G198=Constants!$B$3,TRUE(),IF(G198=Constants!$B$4,FALSE(),TRUE())))</f>
        <v/>
      </c>
      <c r="AI198" s="135" t="str">
        <f aca="false">IF(ISBLANK($C198),"",IF(AND(ISNUMBER(H198),H198&gt;=0),H198,Constants!$B$29))</f>
        <v/>
      </c>
      <c r="AJ198" s="135" t="str">
        <f aca="false">IF(ISBLANK($C198),"",IF(I198=Constants!$B$3,TRUE(),IF(I198=Constants!$B$4,FALSE(),TRUE())))</f>
        <v/>
      </c>
      <c r="AK198" s="135" t="str">
        <f aca="false">IF(ISBLANK($C198),"",IF(J198=Constants!$B$3,TRUE(),IF(J198=Constants!$B$4,FALSE(),TRUE())))</f>
        <v/>
      </c>
      <c r="AL198" s="135" t="str">
        <f aca="false">IF(ISBLANK($C198),"",IF(K198=Constants!$B$5,TRUE(),IF(K198=Constants!$B$6,FALSE(),COUNTA(L198:P198)&gt;0)))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IF(ISBLANK($C198),"",IF(N198=Constants!$B$3,TRUE(),IF(N198=Constants!$B$4,FALSE(),TRUE())))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IF(ISBLANK($C198),"",IF(P198=Constants!$B$3,TRUE(),IF(P198=Constants!$B$4,FALSE(),FALSE())))</f>
        <v/>
      </c>
      <c r="AR198" s="135" t="str">
        <f aca="false">IF(ISBLANK($C198),"",IF(Q198=Constants!$B$3,TRUE(),IF(Q198=Constants!$B$4,FALSE(),TRUE())))</f>
        <v/>
      </c>
      <c r="AS198" s="135" t="str">
        <f aca="false">IF(ISBLANK($C198),"",IF(R198=Constants!$B$3,TRUE(),IF(R198=Constants!$B$4,FALSE(),TRUE())))</f>
        <v/>
      </c>
      <c r="AT198" s="135" t="str">
        <f aca="false">IF(ISBLANK($C198),"",IF(S198=Constants!$B$5,TRUE(),IF(S198=Constants!$B$6,FALSE(),COUNTA(T198:X198)&gt;0)))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IF(ISBLANK($C198),"",IF(V198=Constants!$B$3,TRUE(),IF(V198=Constants!$B$4,FALSE(),TRUE())))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IF(ISBLANK($C198),"",IF(X198=Constants!$B$3,TRUE(),IF(X198=Constants!$B$4,FALSE(),FALSE())))</f>
        <v/>
      </c>
      <c r="AZ198" s="135" t="str">
        <f aca="false">IF(ISBLANK($C198),"",MIN(Constants!$B$31,MAX(0,IF(ISNUMBER(Y198),Y198*60,0)+IF(ISNUMBER(Z198),Z198,0))))</f>
        <v/>
      </c>
      <c r="BA198" s="135" t="str">
        <f aca="false">IF(ISBLANK($C198),"",IF(AA198=Constants!$B$3,TRUE(),IF(AA198=Constants!$B$4,FALSE(),FALSE())))</f>
        <v/>
      </c>
      <c r="BB198" s="134" t="str">
        <f aca="false">IF(ISBLANK($C198),"",AND($AL198,OR($AM198="",$AN198="",AND($AO198,$AP198=""))))</f>
        <v/>
      </c>
      <c r="BC198" s="137" t="str">
        <f aca="false">IF($BZ198&lt;&gt;Constants!$B$8,"",IF($AL198,Constants!$B$21*$AN198+Constants!$B$22*IF($AO198,$AP198,Constants!$B$23),Constants!$B$24))</f>
        <v/>
      </c>
      <c r="BD198" s="138" t="str">
        <f aca="false">IF($BZ198&lt;&gt;Constants!$B$8,"",Constants!$B$25*ABS($AD$9-IF($AL198,$AM198,0)))</f>
        <v/>
      </c>
      <c r="BE198" s="138" t="str">
        <f aca="false">IF($BZ198&lt;&gt;Constants!$B$8,"",IF(AND($AL198,$AQ198,$AO198),Constants!$B$27,0))</f>
        <v/>
      </c>
      <c r="BF198" s="138" t="str">
        <f aca="false">IF($BZ198&lt;&gt;Constants!$B$8,"",IF($AL198,($AI198-Constants!$B$29)*Constants!$B$28,0))</f>
        <v/>
      </c>
      <c r="BG198" s="138" t="str">
        <f aca="false">IF($BZ198&lt;&gt;Constants!$B$8,"",IF($AK198,0,Constants!$B$15)+IF($AJ198,0,Constants!$B$16)+IF($AH198,0,Constants!$B$17))</f>
        <v/>
      </c>
      <c r="BH198" s="139" t="str">
        <f aca="false">IF($BZ198&lt;&gt;Constants!$B$8,"",Constants!$B$20+SUM($BC198:$BG198))</f>
        <v/>
      </c>
      <c r="BI198" s="138" t="str">
        <f aca="false">IF($BZ198&lt;&gt;Constants!$B$8,"",$BC198)</f>
        <v/>
      </c>
      <c r="BJ198" s="138" t="str">
        <f aca="false">IF($BZ198&lt;&gt;Constants!$B$8,"",$BD198)</f>
        <v/>
      </c>
      <c r="BK198" s="138" t="str">
        <f aca="false">IF($BZ198&lt;&gt;Constants!$B$8,"",IF($AL198,$AN198,""))</f>
        <v/>
      </c>
      <c r="BL198" s="140" t="str">
        <f aca="false">IF($BZ198&lt;&gt;Constants!$B$8,"",$AI198)</f>
        <v/>
      </c>
      <c r="BM198" s="135" t="str">
        <f aca="false">IF($BZ198&lt;&gt;Constants!$B$8,"",IF(OR($BT198&lt;$BH198,AND($BT198=$BH198,OR($BU198&lt;$BI198,AND($BU198=$BI198,OR($BV198&lt;$BJ198,AND($BV198=$BJ198,OR(AND(ISNUMBER($BW198),OR(NOT(ISNUMBER($BK198)),$BW198&lt;$BK198)),AND(OR(AND($BW198="",$BK198=""),AND(ISNUMBER($BW198),ISNUMBER($BK198),$BW198=$BK198)),$BX198&lt;$BL198)))))))),"-&gt;","&lt;-"))</f>
        <v/>
      </c>
      <c r="BN198" s="134" t="str">
        <f aca="false">IF(ISBLANK($C198),"",AND($AT198,OR($AU198="",$AV198="",AND($AW198,$AX198=""))))</f>
        <v/>
      </c>
      <c r="BO198" s="137" t="str">
        <f aca="false">IF($BZ198&lt;&gt;Constants!$B$8,"",IF($AT198,Constants!$B$21*$AV198+Constants!$B$22*IF($AW198,$AX198,Constants!$B$23),Constants!$B$24))</f>
        <v/>
      </c>
      <c r="BP198" s="138" t="str">
        <f aca="false">IF($BZ198&lt;&gt;Constants!$B$8,"",Constants!$B$25*ABS($AD$9-IF($AT198,$AU198,0)))</f>
        <v/>
      </c>
      <c r="BQ198" s="138" t="str">
        <f aca="false">IF($BZ198&lt;&gt;Constants!$B$8,"",IF(AND($AT198,$AY198,$AW198),Constants!$B$27,0))</f>
        <v/>
      </c>
      <c r="BR198" s="138" t="str">
        <f aca="false">IF($BZ198&lt;&gt;Constants!$B$8,"",IF($AT198,($AI198-Constants!$B$29)*Constants!$B$28,0))</f>
        <v/>
      </c>
      <c r="BS198" s="138" t="str">
        <f aca="false">IF($BZ198&lt;&gt;Constants!$B$8,"",IF($AS198,0,Constants!$B$15)+IF($AR198,0,Constants!$B$16)+IF($AH198,0,Constants!$B$17))</f>
        <v/>
      </c>
      <c r="BT198" s="139" t="str">
        <f aca="false">IF($BZ198&lt;&gt;Constants!$B$8,"",Constants!$B$20+SUM($BO198:$BS198))</f>
        <v/>
      </c>
      <c r="BU198" s="138" t="str">
        <f aca="false">IF($BZ198&lt;&gt;Constants!$B$8,"",$BO198)</f>
        <v/>
      </c>
      <c r="BV198" s="138" t="str">
        <f aca="false">IF($BZ198&lt;&gt;Constants!$B$8,"",$BP198)</f>
        <v/>
      </c>
      <c r="BW198" s="138" t="str">
        <f aca="false">IF($BZ198&lt;&gt;Constants!$B$8,"",IF($AT198,$AV198,""))</f>
        <v/>
      </c>
      <c r="BX198" s="140" t="str">
        <f aca="false">IF($BZ198&lt;&gt;Constants!$B$8,"",$AI198)</f>
        <v/>
      </c>
      <c r="BY198" s="135" t="str">
        <f aca="false">IF(ISBLANK($C198),"",IF(ISBLANK($D$7),$BY$5,IF(NOT(ISNUMBER($D$7)),$BY$6,"")))</f>
        <v/>
      </c>
      <c r="BZ198" s="135" t="str">
        <f aca="false">IF(ISBLANK($C198),"",IF($BA198,Constants!$B$11,IF(COUNTA($E198:$AA198)=0,Constants!$B$10,IF(NOT($AG198),Constants!$B$9,IF(OR($BY198&lt;&gt;"",$BB198,$BN198),Constants!$B$12,Constants!$B$8)))))</f>
        <v/>
      </c>
      <c r="CA198" s="135" t="str">
        <f aca="false">IF(ISBLANK($C198),"",IF($BZ198&lt;&gt;Constants!$B$8,$BZ198,Constants!$B$13))</f>
        <v/>
      </c>
      <c r="CB198" s="138" t="str">
        <f aca="false">IF($BZ198&lt;&gt;Constants!$B$8,"",IF($BM198="-&gt;",$BT198,$BH198))</f>
        <v/>
      </c>
      <c r="CC198" s="138" t="str">
        <f aca="false">IF($BZ198&lt;&gt;Constants!$B$8,"",IF($AF198,0,Constants!$B$18))</f>
        <v/>
      </c>
      <c r="CD198" s="138" t="str">
        <f aca="false">IF($BZ198&lt;&gt;Constants!$B$8,"",((Constants!$B$31-$AZ198)-Constants!$B$31)/Constants!$B$32)</f>
        <v/>
      </c>
      <c r="CE198" s="138" t="str">
        <f aca="false">IF(ISBLANK($C198),"",IF($BZ198&lt;&gt;Constants!$B$8,$BZ198,SUM($CB198:$CD198)))</f>
        <v/>
      </c>
      <c r="CF198" s="135" t="str">
        <f aca="false">IF(ISBLANK($C198),"",IF($BZ198&lt;&gt;Constants!$B$8,$BZ198,RANK($CE198,$CE$9:$CE$508,1)))</f>
        <v/>
      </c>
      <c r="CG198" s="138" t="str">
        <f aca="false">IF($BZ198&lt;&gt;Constants!$B$8,"",IF($BM198="-&gt;",$BU198,$BI198))</f>
        <v/>
      </c>
      <c r="CH198" s="135" t="str">
        <f aca="false">IF(ISBLANK($C198),"",IF($BZ198&lt;&gt;Constants!$B$8,$BZ198,IF(ISNUMBER($CG198),RANK($CG198,$CG$9:$CG$508,1),COUNT($CG$9:$CG$508)+1)))</f>
        <v/>
      </c>
      <c r="CI198" s="138" t="str">
        <f aca="false">IF($BZ198&lt;&gt;Constants!$B$8,"",IF($BM198="-&gt;",$BV198,$BJ198))</f>
        <v/>
      </c>
      <c r="CJ198" s="135" t="str">
        <f aca="false">IF(ISBLANK($C198),"",IF($BZ198&lt;&gt;Constants!$B$8,$BZ198,IF(ISNUMBER($CI198),RANK($CI198,$CI$9:$CI$508,1),COUNT($CI$9:$CI$508)+1)))</f>
        <v/>
      </c>
      <c r="CK198" s="138" t="str">
        <f aca="false">IF($BZ198&lt;&gt;Constants!$B$8,"",IF($BM198="-&gt;",$BW198,$BK198))</f>
        <v/>
      </c>
      <c r="CL198" s="135" t="str">
        <f aca="false">IF(ISBLANK($C198),"",IF($BZ198&lt;&gt;Constants!$B$8,$BZ198,IF(ISNUMBER($CK198),RANK($CK198,$CK$9:$CK$508,1),COUNT($CK$9:$CK$508)+1)))</f>
        <v/>
      </c>
      <c r="CM198" s="138" t="str">
        <f aca="false">IF($BZ198&lt;&gt;Constants!$B$8,"",IF(AND(NOT($AL198),NOT($AT198),$AJ198,$AK198,$AR198,$AS198),"",IF($BM198="-&gt;",$BX198,$BL198)))</f>
        <v/>
      </c>
      <c r="CN198" s="135" t="str">
        <f aca="false">IF(ISBLANK($C198),"",IF($BZ198&lt;&gt;Constants!$B$8,$BZ198,IF(ISNUMBER($CM198),RANK($CM198,$CM$9:$CM$508,1),COUNT($CM$9:$CM$508)+1)))</f>
        <v/>
      </c>
      <c r="CO198" s="135" t="str">
        <f aca="false">IF(ISBLANK($C198),"",IF($BZ198&lt;&gt;Constants!$B$8,$BZ198,COUNTIFS($CF$9:$CF$508,"&lt;"&amp;$CF198)+COUNTIFS($CF$9:$CF$508,$CF198,$CH$9:$CH$508,"&lt;"&amp;$CH198)+COUNTIFS($CF$9:$CF$508,$CF198,$CH$9:$CH$508,$CH198,$CJ$9:$CJ$508,"&lt;"&amp;$CJ198)+COUNTIFS($CF$9:$CF$508,$CF198,$CH$9:$CH$508,$CH198,$CJ$9:$CJ$508,$CJ198,$CL$9:$CL$508,"&lt;"&amp;$CL198)+COUNTIFS($CF$9:$CF$508,$CF198,$CH$9:$CH$508,$CH198,$CJ$9:$CJ$508,$CJ198,$CL$9:$CL$508,$CL198,$CN$9:$CN$508,"&lt;"&amp;$CN198)+1))</f>
        <v/>
      </c>
      <c r="CP198" s="135" t="str">
        <f aca="false">IF(ISBLANK($C198),"",IF($BZ198&lt;&gt;Constants!$B$8,$BZ198,$CF198-$CO198))</f>
        <v/>
      </c>
      <c r="CQ198" s="141"/>
      <c r="CR198" s="142"/>
      <c r="CS198" s="143" t="str">
        <f aca="false">IF(ISBLANK($C198),"",IF($BZ198=Constants!$B$12,$BY198,""))</f>
        <v/>
      </c>
      <c r="CT198" s="142" t="str">
        <f aca="false">IF(ISBLANK($C198),"",IF($BZ198&lt;&gt;Constants!$B$8,"",IF($BM198="-&gt;",2,1)))</f>
        <v/>
      </c>
      <c r="CU198" s="144" t="str">
        <f aca="false">IF(ISBLANK($C198),"",IF($BZ198&lt;&gt;Constants!$B$8,"",IF($BM198="-&gt;",$BO198,$BC198)))</f>
        <v/>
      </c>
      <c r="CV198" s="144" t="str">
        <f aca="false">IF(ISBLANK($C198),"",IF($BZ198&lt;&gt;Constants!$B$8,"",IF($BM198="-&gt;",$BP198,$BD198)))</f>
        <v/>
      </c>
      <c r="CW198" s="144" t="str">
        <f aca="false">IF(ISBLANK($C198),"",IF($BZ198&lt;&gt;Constants!$B$8,"",IF($BM198="-&gt;",$BQ198+$BR198,$BE198+$BF198)+$CD198))</f>
        <v/>
      </c>
      <c r="CX198" s="144" t="str">
        <f aca="false">IF(ISBLANK($C198),"",IF($BZ198&lt;&gt;Constants!$B$8,"",IF($BM198="-&gt;",$BS198,$BG198)+$CC198))</f>
        <v/>
      </c>
      <c r="CY198" s="145" t="str">
        <f aca="false">IF(ISBLANK($C198),"",IF($BZ198&lt;&gt;Constants!$B$8,$BZ198,$CE198))</f>
        <v/>
      </c>
      <c r="CZ198" s="146" t="str">
        <f aca="false">IF(ISBLANK($C198),"",$CA198)</f>
        <v/>
      </c>
      <c r="DA198" s="147" t="str">
        <f aca="false">IF(ISBLANK($C198),"",$CP198)</f>
        <v/>
      </c>
      <c r="DB198" s="147" t="str">
        <f aca="false">IF(ISBLANK($C198),"",$CO198)</f>
        <v/>
      </c>
      <c r="DC198" s="148" t="str">
        <f aca="false">IF(ISBLANK($C198),"",IFERROR(_xlfn.SWITCH($DB198,Constants!$B$11,COUNTA($C$9:$C$508)+2,Constants!$B$10,COUNTA($C$9:$C$508)+1,Constants!$B$9,COUNTA($C$9:$C$508)),$DB198))</f>
        <v/>
      </c>
      <c r="DD198" s="9"/>
      <c r="DE198" s="149" t="n">
        <f aca="false">IF(OR(ISNUMBER($DB198),$DB198=Constants!$B$11,$DB198=Constants!$B$9,$DB198=Constants!$B$10),1,0)</f>
        <v>0</v>
      </c>
      <c r="DF198" s="149" t="n">
        <v>190</v>
      </c>
      <c r="DG198" s="149" t="str">
        <f aca="false">IF(ISBLANK($C198),"",IF(ISNUMBER($DC198),$DC198+ROW($B198)/1000,""))</f>
        <v/>
      </c>
      <c r="DH198" s="149" t="str">
        <f aca="false">IF(ISNUMBER($DG198),RANK($DG198,$DG$9:$DG$508,1),"")</f>
        <v/>
      </c>
      <c r="DI198" s="149" t="str">
        <f aca="false">IF(ISBLANK($C198),"",$B198)</f>
        <v/>
      </c>
      <c r="DJ198" s="149" t="str">
        <f aca="false">IF(ISBLANK($C198),"",$C198)</f>
        <v/>
      </c>
      <c r="DK198" s="149" t="str">
        <f aca="false">IF(ISBLANK($C198),"",$D198)</f>
        <v/>
      </c>
      <c r="DL198" s="150" t="str">
        <f aca="false">$CZ198</f>
        <v/>
      </c>
      <c r="DM198" s="151" t="str">
        <f aca="false">$CY198</f>
        <v/>
      </c>
      <c r="DN198" s="149" t="str">
        <f aca="false">IF(ISBLANK($C198),"",$DB198)</f>
        <v/>
      </c>
      <c r="DO198" s="152" t="str">
        <f aca="false">IF($DF198&gt;$DE$8,"",VLOOKUP($DF198,$DH$9:$DN$508,7,FALSE()))</f>
        <v/>
      </c>
      <c r="DP198" s="153" t="str">
        <f aca="false">IF($DF198&gt;$DE$8,"",VLOOKUP($DF198,$DH$9:$DN$508,2,FALSE()))</f>
        <v/>
      </c>
      <c r="DQ198" s="153" t="str">
        <f aca="false">IF($DF198&gt;$DE$8,"",VLOOKUP($DF198,$DH$9:$DN$508,3,FALSE()))</f>
        <v/>
      </c>
      <c r="DR198" s="153" t="str">
        <f aca="false">IF($DF198&gt;$DE$8,"",VLOOKUP($DF198,$DH$9:$DN$508,4,FALSE()))</f>
        <v/>
      </c>
      <c r="DS198" s="153" t="str">
        <f aca="false">IF($DF198&gt;$DE$8,"",VLOOKUP($DF198,$DH$9:$DN$508,5,FALSE()))</f>
        <v/>
      </c>
      <c r="DT198" s="154" t="str">
        <f aca="false">IF($DF198&gt;$DE$8,"",VLOOKUP($DF198,$DH$9:$DN$508,6,FALSE()))</f>
        <v/>
      </c>
      <c r="DU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IF(ISBLANK($C199),"",IF(E199=Constants!$B$3,TRUE(),IF(E199=Constants!$B$4,FALSE(),TRUE())))</f>
        <v/>
      </c>
      <c r="AG199" s="135" t="str">
        <f aca="false">IF(ISBLANK($C199),"",IF(F199=Constants!$B$3,TRUE(),IF(F199=Constants!$B$4,FALSE(),TRUE())))</f>
        <v/>
      </c>
      <c r="AH199" s="135" t="str">
        <f aca="false">IF(ISBLANK($C199),"",IF(G199=Constants!$B$3,TRUE(),IF(G199=Constants!$B$4,FALSE(),TRUE())))</f>
        <v/>
      </c>
      <c r="AI199" s="135" t="str">
        <f aca="false">IF(ISBLANK($C199),"",IF(AND(ISNUMBER(H199),H199&gt;=0),H199,Constants!$B$29))</f>
        <v/>
      </c>
      <c r="AJ199" s="135" t="str">
        <f aca="false">IF(ISBLANK($C199),"",IF(I199=Constants!$B$3,TRUE(),IF(I199=Constants!$B$4,FALSE(),TRUE())))</f>
        <v/>
      </c>
      <c r="AK199" s="135" t="str">
        <f aca="false">IF(ISBLANK($C199),"",IF(J199=Constants!$B$3,TRUE(),IF(J199=Constants!$B$4,FALSE(),TRUE())))</f>
        <v/>
      </c>
      <c r="AL199" s="135" t="str">
        <f aca="false">IF(ISBLANK($C199),"",IF(K199=Constants!$B$5,TRUE(),IF(K199=Constants!$B$6,FALSE(),COUNTA(L199:P199)&gt;0)))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IF(ISBLANK($C199),"",IF(N199=Constants!$B$3,TRUE(),IF(N199=Constants!$B$4,FALSE(),TRUE())))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IF(ISBLANK($C199),"",IF(P199=Constants!$B$3,TRUE(),IF(P199=Constants!$B$4,FALSE(),FALSE())))</f>
        <v/>
      </c>
      <c r="AR199" s="135" t="str">
        <f aca="false">IF(ISBLANK($C199),"",IF(Q199=Constants!$B$3,TRUE(),IF(Q199=Constants!$B$4,FALSE(),TRUE())))</f>
        <v/>
      </c>
      <c r="AS199" s="135" t="str">
        <f aca="false">IF(ISBLANK($C199),"",IF(R199=Constants!$B$3,TRUE(),IF(R199=Constants!$B$4,FALSE(),TRUE())))</f>
        <v/>
      </c>
      <c r="AT199" s="135" t="str">
        <f aca="false">IF(ISBLANK($C199),"",IF(S199=Constants!$B$5,TRUE(),IF(S199=Constants!$B$6,FALSE(),COUNTA(T199:X199)&gt;0)))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IF(ISBLANK($C199),"",IF(V199=Constants!$B$3,TRUE(),IF(V199=Constants!$B$4,FALSE(),TRUE())))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IF(ISBLANK($C199),"",IF(X199=Constants!$B$3,TRUE(),IF(X199=Constants!$B$4,FALSE(),FALSE())))</f>
        <v/>
      </c>
      <c r="AZ199" s="135" t="str">
        <f aca="false">IF(ISBLANK($C199),"",MIN(Constants!$B$31,MAX(0,IF(ISNUMBER(Y199),Y199*60,0)+IF(ISNUMBER(Z199),Z199,0))))</f>
        <v/>
      </c>
      <c r="BA199" s="135" t="str">
        <f aca="false">IF(ISBLANK($C199),"",IF(AA199=Constants!$B$3,TRUE(),IF(AA199=Constants!$B$4,FALSE(),FALSE())))</f>
        <v/>
      </c>
      <c r="BB199" s="134" t="str">
        <f aca="false">IF(ISBLANK($C199),"",AND($AL199,OR($AM199="",$AN199="",AND($AO199,$AP199=""))))</f>
        <v/>
      </c>
      <c r="BC199" s="137" t="str">
        <f aca="false">IF($BZ199&lt;&gt;Constants!$B$8,"",IF($AL199,Constants!$B$21*$AN199+Constants!$B$22*IF($AO199,$AP199,Constants!$B$23),Constants!$B$24))</f>
        <v/>
      </c>
      <c r="BD199" s="138" t="str">
        <f aca="false">IF($BZ199&lt;&gt;Constants!$B$8,"",Constants!$B$25*ABS($AD$9-IF($AL199,$AM199,0)))</f>
        <v/>
      </c>
      <c r="BE199" s="138" t="str">
        <f aca="false">IF($BZ199&lt;&gt;Constants!$B$8,"",IF(AND($AL199,$AQ199,$AO199),Constants!$B$27,0))</f>
        <v/>
      </c>
      <c r="BF199" s="138" t="str">
        <f aca="false">IF($BZ199&lt;&gt;Constants!$B$8,"",IF($AL199,($AI199-Constants!$B$29)*Constants!$B$28,0))</f>
        <v/>
      </c>
      <c r="BG199" s="138" t="str">
        <f aca="false">IF($BZ199&lt;&gt;Constants!$B$8,"",IF($AK199,0,Constants!$B$15)+IF($AJ199,0,Constants!$B$16)+IF($AH199,0,Constants!$B$17))</f>
        <v/>
      </c>
      <c r="BH199" s="139" t="str">
        <f aca="false">IF($BZ199&lt;&gt;Constants!$B$8,"",Constants!$B$20+SUM($BC199:$BG199))</f>
        <v/>
      </c>
      <c r="BI199" s="138" t="str">
        <f aca="false">IF($BZ199&lt;&gt;Constants!$B$8,"",$BC199)</f>
        <v/>
      </c>
      <c r="BJ199" s="138" t="str">
        <f aca="false">IF($BZ199&lt;&gt;Constants!$B$8,"",$BD199)</f>
        <v/>
      </c>
      <c r="BK199" s="138" t="str">
        <f aca="false">IF($BZ199&lt;&gt;Constants!$B$8,"",IF($AL199,$AN199,""))</f>
        <v/>
      </c>
      <c r="BL199" s="140" t="str">
        <f aca="false">IF($BZ199&lt;&gt;Constants!$B$8,"",$AI199)</f>
        <v/>
      </c>
      <c r="BM199" s="135" t="str">
        <f aca="false">IF($BZ199&lt;&gt;Constants!$B$8,"",IF(OR($BT199&lt;$BH199,AND($BT199=$BH199,OR($BU199&lt;$BI199,AND($BU199=$BI199,OR($BV199&lt;$BJ199,AND($BV199=$BJ199,OR(AND(ISNUMBER($BW199),OR(NOT(ISNUMBER($BK199)),$BW199&lt;$BK199)),AND(OR(AND($BW199="",$BK199=""),AND(ISNUMBER($BW199),ISNUMBER($BK199),$BW199=$BK199)),$BX199&lt;$BL199)))))))),"-&gt;","&lt;-"))</f>
        <v/>
      </c>
      <c r="BN199" s="134" t="str">
        <f aca="false">IF(ISBLANK($C199),"",AND($AT199,OR($AU199="",$AV199="",AND($AW199,$AX199=""))))</f>
        <v/>
      </c>
      <c r="BO199" s="137" t="str">
        <f aca="false">IF($BZ199&lt;&gt;Constants!$B$8,"",IF($AT199,Constants!$B$21*$AV199+Constants!$B$22*IF($AW199,$AX199,Constants!$B$23),Constants!$B$24))</f>
        <v/>
      </c>
      <c r="BP199" s="138" t="str">
        <f aca="false">IF($BZ199&lt;&gt;Constants!$B$8,"",Constants!$B$25*ABS($AD$9-IF($AT199,$AU199,0)))</f>
        <v/>
      </c>
      <c r="BQ199" s="138" t="str">
        <f aca="false">IF($BZ199&lt;&gt;Constants!$B$8,"",IF(AND($AT199,$AY199,$AW199),Constants!$B$27,0))</f>
        <v/>
      </c>
      <c r="BR199" s="138" t="str">
        <f aca="false">IF($BZ199&lt;&gt;Constants!$B$8,"",IF($AT199,($AI199-Constants!$B$29)*Constants!$B$28,0))</f>
        <v/>
      </c>
      <c r="BS199" s="138" t="str">
        <f aca="false">IF($BZ199&lt;&gt;Constants!$B$8,"",IF($AS199,0,Constants!$B$15)+IF($AR199,0,Constants!$B$16)+IF($AH199,0,Constants!$B$17))</f>
        <v/>
      </c>
      <c r="BT199" s="139" t="str">
        <f aca="false">IF($BZ199&lt;&gt;Constants!$B$8,"",Constants!$B$20+SUM($BO199:$BS199))</f>
        <v/>
      </c>
      <c r="BU199" s="138" t="str">
        <f aca="false">IF($BZ199&lt;&gt;Constants!$B$8,"",$BO199)</f>
        <v/>
      </c>
      <c r="BV199" s="138" t="str">
        <f aca="false">IF($BZ199&lt;&gt;Constants!$B$8,"",$BP199)</f>
        <v/>
      </c>
      <c r="BW199" s="138" t="str">
        <f aca="false">IF($BZ199&lt;&gt;Constants!$B$8,"",IF($AT199,$AV199,""))</f>
        <v/>
      </c>
      <c r="BX199" s="140" t="str">
        <f aca="false">IF($BZ199&lt;&gt;Constants!$B$8,"",$AI199)</f>
        <v/>
      </c>
      <c r="BY199" s="135" t="str">
        <f aca="false">IF(ISBLANK($C199),"",IF(ISBLANK($D$7),$BY$5,IF(NOT(ISNUMBER($D$7)),$BY$6,"")))</f>
        <v/>
      </c>
      <c r="BZ199" s="135" t="str">
        <f aca="false">IF(ISBLANK($C199),"",IF($BA199,Constants!$B$11,IF(COUNTA($E199:$AA199)=0,Constants!$B$10,IF(NOT($AG199),Constants!$B$9,IF(OR($BY199&lt;&gt;"",$BB199,$BN199),Constants!$B$12,Constants!$B$8)))))</f>
        <v/>
      </c>
      <c r="CA199" s="135" t="str">
        <f aca="false">IF(ISBLANK($C199),"",IF($BZ199&lt;&gt;Constants!$B$8,$BZ199,Constants!$B$13))</f>
        <v/>
      </c>
      <c r="CB199" s="138" t="str">
        <f aca="false">IF($BZ199&lt;&gt;Constants!$B$8,"",IF($BM199="-&gt;",$BT199,$BH199))</f>
        <v/>
      </c>
      <c r="CC199" s="138" t="str">
        <f aca="false">IF($BZ199&lt;&gt;Constants!$B$8,"",IF($AF199,0,Constants!$B$18))</f>
        <v/>
      </c>
      <c r="CD199" s="138" t="str">
        <f aca="false">IF($BZ199&lt;&gt;Constants!$B$8,"",((Constants!$B$31-$AZ199)-Constants!$B$31)/Constants!$B$32)</f>
        <v/>
      </c>
      <c r="CE199" s="138" t="str">
        <f aca="false">IF(ISBLANK($C199),"",IF($BZ199&lt;&gt;Constants!$B$8,$BZ199,SUM($CB199:$CD199)))</f>
        <v/>
      </c>
      <c r="CF199" s="135" t="str">
        <f aca="false">IF(ISBLANK($C199),"",IF($BZ199&lt;&gt;Constants!$B$8,$BZ199,RANK($CE199,$CE$9:$CE$508,1)))</f>
        <v/>
      </c>
      <c r="CG199" s="138" t="str">
        <f aca="false">IF($BZ199&lt;&gt;Constants!$B$8,"",IF($BM199="-&gt;",$BU199,$BI199))</f>
        <v/>
      </c>
      <c r="CH199" s="135" t="str">
        <f aca="false">IF(ISBLANK($C199),"",IF($BZ199&lt;&gt;Constants!$B$8,$BZ199,IF(ISNUMBER($CG199),RANK($CG199,$CG$9:$CG$508,1),COUNT($CG$9:$CG$508)+1)))</f>
        <v/>
      </c>
      <c r="CI199" s="138" t="str">
        <f aca="false">IF($BZ199&lt;&gt;Constants!$B$8,"",IF($BM199="-&gt;",$BV199,$BJ199))</f>
        <v/>
      </c>
      <c r="CJ199" s="135" t="str">
        <f aca="false">IF(ISBLANK($C199),"",IF($BZ199&lt;&gt;Constants!$B$8,$BZ199,IF(ISNUMBER($CI199),RANK($CI199,$CI$9:$CI$508,1),COUNT($CI$9:$CI$508)+1)))</f>
        <v/>
      </c>
      <c r="CK199" s="138" t="str">
        <f aca="false">IF($BZ199&lt;&gt;Constants!$B$8,"",IF($BM199="-&gt;",$BW199,$BK199))</f>
        <v/>
      </c>
      <c r="CL199" s="135" t="str">
        <f aca="false">IF(ISBLANK($C199),"",IF($BZ199&lt;&gt;Constants!$B$8,$BZ199,IF(ISNUMBER($CK199),RANK($CK199,$CK$9:$CK$508,1),COUNT($CK$9:$CK$508)+1)))</f>
        <v/>
      </c>
      <c r="CM199" s="138" t="str">
        <f aca="false">IF($BZ199&lt;&gt;Constants!$B$8,"",IF(AND(NOT($AL199),NOT($AT199),$AJ199,$AK199,$AR199,$AS199),"",IF($BM199="-&gt;",$BX199,$BL199)))</f>
        <v/>
      </c>
      <c r="CN199" s="135" t="str">
        <f aca="false">IF(ISBLANK($C199),"",IF($BZ199&lt;&gt;Constants!$B$8,$BZ199,IF(ISNUMBER($CM199),RANK($CM199,$CM$9:$CM$508,1),COUNT($CM$9:$CM$508)+1)))</f>
        <v/>
      </c>
      <c r="CO199" s="135" t="str">
        <f aca="false">IF(ISBLANK($C199),"",IF($BZ199&lt;&gt;Constants!$B$8,$BZ199,COUNTIFS($CF$9:$CF$508,"&lt;"&amp;$CF199)+COUNTIFS($CF$9:$CF$508,$CF199,$CH$9:$CH$508,"&lt;"&amp;$CH199)+COUNTIFS($CF$9:$CF$508,$CF199,$CH$9:$CH$508,$CH199,$CJ$9:$CJ$508,"&lt;"&amp;$CJ199)+COUNTIFS($CF$9:$CF$508,$CF199,$CH$9:$CH$508,$CH199,$CJ$9:$CJ$508,$CJ199,$CL$9:$CL$508,"&lt;"&amp;$CL199)+COUNTIFS($CF$9:$CF$508,$CF199,$CH$9:$CH$508,$CH199,$CJ$9:$CJ$508,$CJ199,$CL$9:$CL$508,$CL199,$CN$9:$CN$508,"&lt;"&amp;$CN199)+1))</f>
        <v/>
      </c>
      <c r="CP199" s="135" t="str">
        <f aca="false">IF(ISBLANK($C199),"",IF($BZ199&lt;&gt;Constants!$B$8,$BZ199,$CF199-$CO199))</f>
        <v/>
      </c>
      <c r="CQ199" s="141"/>
      <c r="CR199" s="142"/>
      <c r="CS199" s="143" t="str">
        <f aca="false">IF(ISBLANK($C199),"",IF($BZ199=Constants!$B$12,$BY199,""))</f>
        <v/>
      </c>
      <c r="CT199" s="142" t="str">
        <f aca="false">IF(ISBLANK($C199),"",IF($BZ199&lt;&gt;Constants!$B$8,"",IF($BM199="-&gt;",2,1)))</f>
        <v/>
      </c>
      <c r="CU199" s="144" t="str">
        <f aca="false">IF(ISBLANK($C199),"",IF($BZ199&lt;&gt;Constants!$B$8,"",IF($BM199="-&gt;",$BO199,$BC199)))</f>
        <v/>
      </c>
      <c r="CV199" s="144" t="str">
        <f aca="false">IF(ISBLANK($C199),"",IF($BZ199&lt;&gt;Constants!$B$8,"",IF($BM199="-&gt;",$BP199,$BD199)))</f>
        <v/>
      </c>
      <c r="CW199" s="144" t="str">
        <f aca="false">IF(ISBLANK($C199),"",IF($BZ199&lt;&gt;Constants!$B$8,"",IF($BM199="-&gt;",$BQ199+$BR199,$BE199+$BF199)+$CD199))</f>
        <v/>
      </c>
      <c r="CX199" s="144" t="str">
        <f aca="false">IF(ISBLANK($C199),"",IF($BZ199&lt;&gt;Constants!$B$8,"",IF($BM199="-&gt;",$BS199,$BG199)+$CC199))</f>
        <v/>
      </c>
      <c r="CY199" s="145" t="str">
        <f aca="false">IF(ISBLANK($C199),"",IF($BZ199&lt;&gt;Constants!$B$8,$BZ199,$CE199))</f>
        <v/>
      </c>
      <c r="CZ199" s="146" t="str">
        <f aca="false">IF(ISBLANK($C199),"",$CA199)</f>
        <v/>
      </c>
      <c r="DA199" s="147" t="str">
        <f aca="false">IF(ISBLANK($C199),"",$CP199)</f>
        <v/>
      </c>
      <c r="DB199" s="147" t="str">
        <f aca="false">IF(ISBLANK($C199),"",$CO199)</f>
        <v/>
      </c>
      <c r="DC199" s="148" t="str">
        <f aca="false">IF(ISBLANK($C199),"",IFERROR(_xlfn.SWITCH($DB199,Constants!$B$11,COUNTA($C$9:$C$508)+2,Constants!$B$10,COUNTA($C$9:$C$508)+1,Constants!$B$9,COUNTA($C$9:$C$508)),$DB199))</f>
        <v/>
      </c>
      <c r="DD199" s="9"/>
      <c r="DE199" s="149" t="n">
        <f aca="false">IF(OR(ISNUMBER($DB199),$DB199=Constants!$B$11,$DB199=Constants!$B$9,$DB199=Constants!$B$10),1,0)</f>
        <v>0</v>
      </c>
      <c r="DF199" s="149" t="n">
        <v>191</v>
      </c>
      <c r="DG199" s="149" t="str">
        <f aca="false">IF(ISBLANK($C199),"",IF(ISNUMBER($DC199),$DC199+ROW($B199)/1000,""))</f>
        <v/>
      </c>
      <c r="DH199" s="149" t="str">
        <f aca="false">IF(ISNUMBER($DG199),RANK($DG199,$DG$9:$DG$508,1),"")</f>
        <v/>
      </c>
      <c r="DI199" s="149" t="str">
        <f aca="false">IF(ISBLANK($C199),"",$B199)</f>
        <v/>
      </c>
      <c r="DJ199" s="149" t="str">
        <f aca="false">IF(ISBLANK($C199),"",$C199)</f>
        <v/>
      </c>
      <c r="DK199" s="149" t="str">
        <f aca="false">IF(ISBLANK($C199),"",$D199)</f>
        <v/>
      </c>
      <c r="DL199" s="150" t="str">
        <f aca="false">$CZ199</f>
        <v/>
      </c>
      <c r="DM199" s="151" t="str">
        <f aca="false">$CY199</f>
        <v/>
      </c>
      <c r="DN199" s="149" t="str">
        <f aca="false">IF(ISBLANK($C199),"",$DB199)</f>
        <v/>
      </c>
      <c r="DO199" s="152" t="str">
        <f aca="false">IF($DF199&gt;$DE$8,"",VLOOKUP($DF199,$DH$9:$DN$508,7,FALSE()))</f>
        <v/>
      </c>
      <c r="DP199" s="153" t="str">
        <f aca="false">IF($DF199&gt;$DE$8,"",VLOOKUP($DF199,$DH$9:$DN$508,2,FALSE()))</f>
        <v/>
      </c>
      <c r="DQ199" s="153" t="str">
        <f aca="false">IF($DF199&gt;$DE$8,"",VLOOKUP($DF199,$DH$9:$DN$508,3,FALSE()))</f>
        <v/>
      </c>
      <c r="DR199" s="153" t="str">
        <f aca="false">IF($DF199&gt;$DE$8,"",VLOOKUP($DF199,$DH$9:$DN$508,4,FALSE()))</f>
        <v/>
      </c>
      <c r="DS199" s="153" t="str">
        <f aca="false">IF($DF199&gt;$DE$8,"",VLOOKUP($DF199,$DH$9:$DN$508,5,FALSE()))</f>
        <v/>
      </c>
      <c r="DT199" s="154" t="str">
        <f aca="false">IF($DF199&gt;$DE$8,"",VLOOKUP($DF199,$DH$9:$DN$508,6,FALSE()))</f>
        <v/>
      </c>
      <c r="DU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IF(ISBLANK($C200),"",IF(E200=Constants!$B$3,TRUE(),IF(E200=Constants!$B$4,FALSE(),TRUE())))</f>
        <v/>
      </c>
      <c r="AG200" s="135" t="str">
        <f aca="false">IF(ISBLANK($C200),"",IF(F200=Constants!$B$3,TRUE(),IF(F200=Constants!$B$4,FALSE(),TRUE())))</f>
        <v/>
      </c>
      <c r="AH200" s="135" t="str">
        <f aca="false">IF(ISBLANK($C200),"",IF(G200=Constants!$B$3,TRUE(),IF(G200=Constants!$B$4,FALSE(),TRUE())))</f>
        <v/>
      </c>
      <c r="AI200" s="135" t="str">
        <f aca="false">IF(ISBLANK($C200),"",IF(AND(ISNUMBER(H200),H200&gt;=0),H200,Constants!$B$29))</f>
        <v/>
      </c>
      <c r="AJ200" s="135" t="str">
        <f aca="false">IF(ISBLANK($C200),"",IF(I200=Constants!$B$3,TRUE(),IF(I200=Constants!$B$4,FALSE(),TRUE())))</f>
        <v/>
      </c>
      <c r="AK200" s="135" t="str">
        <f aca="false">IF(ISBLANK($C200),"",IF(J200=Constants!$B$3,TRUE(),IF(J200=Constants!$B$4,FALSE(),TRUE())))</f>
        <v/>
      </c>
      <c r="AL200" s="135" t="str">
        <f aca="false">IF(ISBLANK($C200),"",IF(K200=Constants!$B$5,TRUE(),IF(K200=Constants!$B$6,FALSE(),COUNTA(L200:P200)&gt;0)))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IF(ISBLANK($C200),"",IF(N200=Constants!$B$3,TRUE(),IF(N200=Constants!$B$4,FALSE(),TRUE())))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IF(ISBLANK($C200),"",IF(P200=Constants!$B$3,TRUE(),IF(P200=Constants!$B$4,FALSE(),FALSE())))</f>
        <v/>
      </c>
      <c r="AR200" s="135" t="str">
        <f aca="false">IF(ISBLANK($C200),"",IF(Q200=Constants!$B$3,TRUE(),IF(Q200=Constants!$B$4,FALSE(),TRUE())))</f>
        <v/>
      </c>
      <c r="AS200" s="135" t="str">
        <f aca="false">IF(ISBLANK($C200),"",IF(R200=Constants!$B$3,TRUE(),IF(R200=Constants!$B$4,FALSE(),TRUE())))</f>
        <v/>
      </c>
      <c r="AT200" s="135" t="str">
        <f aca="false">IF(ISBLANK($C200),"",IF(S200=Constants!$B$5,TRUE(),IF(S200=Constants!$B$6,FALSE(),COUNTA(T200:X200)&gt;0)))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IF(ISBLANK($C200),"",IF(V200=Constants!$B$3,TRUE(),IF(V200=Constants!$B$4,FALSE(),TRUE())))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IF(ISBLANK($C200),"",IF(X200=Constants!$B$3,TRUE(),IF(X200=Constants!$B$4,FALSE(),FALSE())))</f>
        <v/>
      </c>
      <c r="AZ200" s="135" t="str">
        <f aca="false">IF(ISBLANK($C200),"",MIN(Constants!$B$31,MAX(0,IF(ISNUMBER(Y200),Y200*60,0)+IF(ISNUMBER(Z200),Z200,0))))</f>
        <v/>
      </c>
      <c r="BA200" s="135" t="str">
        <f aca="false">IF(ISBLANK($C200),"",IF(AA200=Constants!$B$3,TRUE(),IF(AA200=Constants!$B$4,FALSE(),FALSE())))</f>
        <v/>
      </c>
      <c r="BB200" s="134" t="str">
        <f aca="false">IF(ISBLANK($C200),"",AND($AL200,OR($AM200="",$AN200="",AND($AO200,$AP200=""))))</f>
        <v/>
      </c>
      <c r="BC200" s="137" t="str">
        <f aca="false">IF($BZ200&lt;&gt;Constants!$B$8,"",IF($AL200,Constants!$B$21*$AN200+Constants!$B$22*IF($AO200,$AP200,Constants!$B$23),Constants!$B$24))</f>
        <v/>
      </c>
      <c r="BD200" s="138" t="str">
        <f aca="false">IF($BZ200&lt;&gt;Constants!$B$8,"",Constants!$B$25*ABS($AD$9-IF($AL200,$AM200,0)))</f>
        <v/>
      </c>
      <c r="BE200" s="138" t="str">
        <f aca="false">IF($BZ200&lt;&gt;Constants!$B$8,"",IF(AND($AL200,$AQ200,$AO200),Constants!$B$27,0))</f>
        <v/>
      </c>
      <c r="BF200" s="138" t="str">
        <f aca="false">IF($BZ200&lt;&gt;Constants!$B$8,"",IF($AL200,($AI200-Constants!$B$29)*Constants!$B$28,0))</f>
        <v/>
      </c>
      <c r="BG200" s="138" t="str">
        <f aca="false">IF($BZ200&lt;&gt;Constants!$B$8,"",IF($AK200,0,Constants!$B$15)+IF($AJ200,0,Constants!$B$16)+IF($AH200,0,Constants!$B$17))</f>
        <v/>
      </c>
      <c r="BH200" s="139" t="str">
        <f aca="false">IF($BZ200&lt;&gt;Constants!$B$8,"",Constants!$B$20+SUM($BC200:$BG200))</f>
        <v/>
      </c>
      <c r="BI200" s="138" t="str">
        <f aca="false">IF($BZ200&lt;&gt;Constants!$B$8,"",$BC200)</f>
        <v/>
      </c>
      <c r="BJ200" s="138" t="str">
        <f aca="false">IF($BZ200&lt;&gt;Constants!$B$8,"",$BD200)</f>
        <v/>
      </c>
      <c r="BK200" s="138" t="str">
        <f aca="false">IF($BZ200&lt;&gt;Constants!$B$8,"",IF($AL200,$AN200,""))</f>
        <v/>
      </c>
      <c r="BL200" s="140" t="str">
        <f aca="false">IF($BZ200&lt;&gt;Constants!$B$8,"",$AI200)</f>
        <v/>
      </c>
      <c r="BM200" s="135" t="str">
        <f aca="false">IF($BZ200&lt;&gt;Constants!$B$8,"",IF(OR($BT200&lt;$BH200,AND($BT200=$BH200,OR($BU200&lt;$BI200,AND($BU200=$BI200,OR($BV200&lt;$BJ200,AND($BV200=$BJ200,OR(AND(ISNUMBER($BW200),OR(NOT(ISNUMBER($BK200)),$BW200&lt;$BK200)),AND(OR(AND($BW200="",$BK200=""),AND(ISNUMBER($BW200),ISNUMBER($BK200),$BW200=$BK200)),$BX200&lt;$BL200)))))))),"-&gt;","&lt;-"))</f>
        <v/>
      </c>
      <c r="BN200" s="134" t="str">
        <f aca="false">IF(ISBLANK($C200),"",AND($AT200,OR($AU200="",$AV200="",AND($AW200,$AX200=""))))</f>
        <v/>
      </c>
      <c r="BO200" s="137" t="str">
        <f aca="false">IF($BZ200&lt;&gt;Constants!$B$8,"",IF($AT200,Constants!$B$21*$AV200+Constants!$B$22*IF($AW200,$AX200,Constants!$B$23),Constants!$B$24))</f>
        <v/>
      </c>
      <c r="BP200" s="138" t="str">
        <f aca="false">IF($BZ200&lt;&gt;Constants!$B$8,"",Constants!$B$25*ABS($AD$9-IF($AT200,$AU200,0)))</f>
        <v/>
      </c>
      <c r="BQ200" s="138" t="str">
        <f aca="false">IF($BZ200&lt;&gt;Constants!$B$8,"",IF(AND($AT200,$AY200,$AW200),Constants!$B$27,0))</f>
        <v/>
      </c>
      <c r="BR200" s="138" t="str">
        <f aca="false">IF($BZ200&lt;&gt;Constants!$B$8,"",IF($AT200,($AI200-Constants!$B$29)*Constants!$B$28,0))</f>
        <v/>
      </c>
      <c r="BS200" s="138" t="str">
        <f aca="false">IF($BZ200&lt;&gt;Constants!$B$8,"",IF($AS200,0,Constants!$B$15)+IF($AR200,0,Constants!$B$16)+IF($AH200,0,Constants!$B$17))</f>
        <v/>
      </c>
      <c r="BT200" s="139" t="str">
        <f aca="false">IF($BZ200&lt;&gt;Constants!$B$8,"",Constants!$B$20+SUM($BO200:$BS200))</f>
        <v/>
      </c>
      <c r="BU200" s="138" t="str">
        <f aca="false">IF($BZ200&lt;&gt;Constants!$B$8,"",$BO200)</f>
        <v/>
      </c>
      <c r="BV200" s="138" t="str">
        <f aca="false">IF($BZ200&lt;&gt;Constants!$B$8,"",$BP200)</f>
        <v/>
      </c>
      <c r="BW200" s="138" t="str">
        <f aca="false">IF($BZ200&lt;&gt;Constants!$B$8,"",IF($AT200,$AV200,""))</f>
        <v/>
      </c>
      <c r="BX200" s="140" t="str">
        <f aca="false">IF($BZ200&lt;&gt;Constants!$B$8,"",$AI200)</f>
        <v/>
      </c>
      <c r="BY200" s="135" t="str">
        <f aca="false">IF(ISBLANK($C200),"",IF(ISBLANK($D$7),$BY$5,IF(NOT(ISNUMBER($D$7)),$BY$6,"")))</f>
        <v/>
      </c>
      <c r="BZ200" s="135" t="str">
        <f aca="false">IF(ISBLANK($C200),"",IF($BA200,Constants!$B$11,IF(COUNTA($E200:$AA200)=0,Constants!$B$10,IF(NOT($AG200),Constants!$B$9,IF(OR($BY200&lt;&gt;"",$BB200,$BN200),Constants!$B$12,Constants!$B$8)))))</f>
        <v/>
      </c>
      <c r="CA200" s="135" t="str">
        <f aca="false">IF(ISBLANK($C200),"",IF($BZ200&lt;&gt;Constants!$B$8,$BZ200,Constants!$B$13))</f>
        <v/>
      </c>
      <c r="CB200" s="138" t="str">
        <f aca="false">IF($BZ200&lt;&gt;Constants!$B$8,"",IF($BM200="-&gt;",$BT200,$BH200))</f>
        <v/>
      </c>
      <c r="CC200" s="138" t="str">
        <f aca="false">IF($BZ200&lt;&gt;Constants!$B$8,"",IF($AF200,0,Constants!$B$18))</f>
        <v/>
      </c>
      <c r="CD200" s="138" t="str">
        <f aca="false">IF($BZ200&lt;&gt;Constants!$B$8,"",((Constants!$B$31-$AZ200)-Constants!$B$31)/Constants!$B$32)</f>
        <v/>
      </c>
      <c r="CE200" s="138" t="str">
        <f aca="false">IF(ISBLANK($C200),"",IF($BZ200&lt;&gt;Constants!$B$8,$BZ200,SUM($CB200:$CD200)))</f>
        <v/>
      </c>
      <c r="CF200" s="135" t="str">
        <f aca="false">IF(ISBLANK($C200),"",IF($BZ200&lt;&gt;Constants!$B$8,$BZ200,RANK($CE200,$CE$9:$CE$508,1)))</f>
        <v/>
      </c>
      <c r="CG200" s="138" t="str">
        <f aca="false">IF($BZ200&lt;&gt;Constants!$B$8,"",IF($BM200="-&gt;",$BU200,$BI200))</f>
        <v/>
      </c>
      <c r="CH200" s="135" t="str">
        <f aca="false">IF(ISBLANK($C200),"",IF($BZ200&lt;&gt;Constants!$B$8,$BZ200,IF(ISNUMBER($CG200),RANK($CG200,$CG$9:$CG$508,1),COUNT($CG$9:$CG$508)+1)))</f>
        <v/>
      </c>
      <c r="CI200" s="138" t="str">
        <f aca="false">IF($BZ200&lt;&gt;Constants!$B$8,"",IF($BM200="-&gt;",$BV200,$BJ200))</f>
        <v/>
      </c>
      <c r="CJ200" s="135" t="str">
        <f aca="false">IF(ISBLANK($C200),"",IF($BZ200&lt;&gt;Constants!$B$8,$BZ200,IF(ISNUMBER($CI200),RANK($CI200,$CI$9:$CI$508,1),COUNT($CI$9:$CI$508)+1)))</f>
        <v/>
      </c>
      <c r="CK200" s="138" t="str">
        <f aca="false">IF($BZ200&lt;&gt;Constants!$B$8,"",IF($BM200="-&gt;",$BW200,$BK200))</f>
        <v/>
      </c>
      <c r="CL200" s="135" t="str">
        <f aca="false">IF(ISBLANK($C200),"",IF($BZ200&lt;&gt;Constants!$B$8,$BZ200,IF(ISNUMBER($CK200),RANK($CK200,$CK$9:$CK$508,1),COUNT($CK$9:$CK$508)+1)))</f>
        <v/>
      </c>
      <c r="CM200" s="138" t="str">
        <f aca="false">IF($BZ200&lt;&gt;Constants!$B$8,"",IF(AND(NOT($AL200),NOT($AT200),$AJ200,$AK200,$AR200,$AS200),"",IF($BM200="-&gt;",$BX200,$BL200)))</f>
        <v/>
      </c>
      <c r="CN200" s="135" t="str">
        <f aca="false">IF(ISBLANK($C200),"",IF($BZ200&lt;&gt;Constants!$B$8,$BZ200,IF(ISNUMBER($CM200),RANK($CM200,$CM$9:$CM$508,1),COUNT($CM$9:$CM$508)+1)))</f>
        <v/>
      </c>
      <c r="CO200" s="135" t="str">
        <f aca="false">IF(ISBLANK($C200),"",IF($BZ200&lt;&gt;Constants!$B$8,$BZ200,COUNTIFS($CF$9:$CF$508,"&lt;"&amp;$CF200)+COUNTIFS($CF$9:$CF$508,$CF200,$CH$9:$CH$508,"&lt;"&amp;$CH200)+COUNTIFS($CF$9:$CF$508,$CF200,$CH$9:$CH$508,$CH200,$CJ$9:$CJ$508,"&lt;"&amp;$CJ200)+COUNTIFS($CF$9:$CF$508,$CF200,$CH$9:$CH$508,$CH200,$CJ$9:$CJ$508,$CJ200,$CL$9:$CL$508,"&lt;"&amp;$CL200)+COUNTIFS($CF$9:$CF$508,$CF200,$CH$9:$CH$508,$CH200,$CJ$9:$CJ$508,$CJ200,$CL$9:$CL$508,$CL200,$CN$9:$CN$508,"&lt;"&amp;$CN200)+1))</f>
        <v/>
      </c>
      <c r="CP200" s="135" t="str">
        <f aca="false">IF(ISBLANK($C200),"",IF($BZ200&lt;&gt;Constants!$B$8,$BZ200,$CF200-$CO200))</f>
        <v/>
      </c>
      <c r="CQ200" s="141"/>
      <c r="CR200" s="142"/>
      <c r="CS200" s="143" t="str">
        <f aca="false">IF(ISBLANK($C200),"",IF($BZ200=Constants!$B$12,$BY200,""))</f>
        <v/>
      </c>
      <c r="CT200" s="142" t="str">
        <f aca="false">IF(ISBLANK($C200),"",IF($BZ200&lt;&gt;Constants!$B$8,"",IF($BM200="-&gt;",2,1)))</f>
        <v/>
      </c>
      <c r="CU200" s="144" t="str">
        <f aca="false">IF(ISBLANK($C200),"",IF($BZ200&lt;&gt;Constants!$B$8,"",IF($BM200="-&gt;",$BO200,$BC200)))</f>
        <v/>
      </c>
      <c r="CV200" s="144" t="str">
        <f aca="false">IF(ISBLANK($C200),"",IF($BZ200&lt;&gt;Constants!$B$8,"",IF($BM200="-&gt;",$BP200,$BD200)))</f>
        <v/>
      </c>
      <c r="CW200" s="144" t="str">
        <f aca="false">IF(ISBLANK($C200),"",IF($BZ200&lt;&gt;Constants!$B$8,"",IF($BM200="-&gt;",$BQ200+$BR200,$BE200+$BF200)+$CD200))</f>
        <v/>
      </c>
      <c r="CX200" s="144" t="str">
        <f aca="false">IF(ISBLANK($C200),"",IF($BZ200&lt;&gt;Constants!$B$8,"",IF($BM200="-&gt;",$BS200,$BG200)+$CC200))</f>
        <v/>
      </c>
      <c r="CY200" s="145" t="str">
        <f aca="false">IF(ISBLANK($C200),"",IF($BZ200&lt;&gt;Constants!$B$8,$BZ200,$CE200))</f>
        <v/>
      </c>
      <c r="CZ200" s="146" t="str">
        <f aca="false">IF(ISBLANK($C200),"",$CA200)</f>
        <v/>
      </c>
      <c r="DA200" s="147" t="str">
        <f aca="false">IF(ISBLANK($C200),"",$CP200)</f>
        <v/>
      </c>
      <c r="DB200" s="147" t="str">
        <f aca="false">IF(ISBLANK($C200),"",$CO200)</f>
        <v/>
      </c>
      <c r="DC200" s="148" t="str">
        <f aca="false">IF(ISBLANK($C200),"",IFERROR(_xlfn.SWITCH($DB200,Constants!$B$11,COUNTA($C$9:$C$508)+2,Constants!$B$10,COUNTA($C$9:$C$508)+1,Constants!$B$9,COUNTA($C$9:$C$508)),$DB200))</f>
        <v/>
      </c>
      <c r="DD200" s="9"/>
      <c r="DE200" s="149" t="n">
        <f aca="false">IF(OR(ISNUMBER($DB200),$DB200=Constants!$B$11,$DB200=Constants!$B$9,$DB200=Constants!$B$10),1,0)</f>
        <v>0</v>
      </c>
      <c r="DF200" s="149" t="n">
        <v>192</v>
      </c>
      <c r="DG200" s="149" t="str">
        <f aca="false">IF(ISBLANK($C200),"",IF(ISNUMBER($DC200),$DC200+ROW($B200)/1000,""))</f>
        <v/>
      </c>
      <c r="DH200" s="149" t="str">
        <f aca="false">IF(ISNUMBER($DG200),RANK($DG200,$DG$9:$DG$508,1),"")</f>
        <v/>
      </c>
      <c r="DI200" s="149" t="str">
        <f aca="false">IF(ISBLANK($C200),"",$B200)</f>
        <v/>
      </c>
      <c r="DJ200" s="149" t="str">
        <f aca="false">IF(ISBLANK($C200),"",$C200)</f>
        <v/>
      </c>
      <c r="DK200" s="149" t="str">
        <f aca="false">IF(ISBLANK($C200),"",$D200)</f>
        <v/>
      </c>
      <c r="DL200" s="150" t="str">
        <f aca="false">$CZ200</f>
        <v/>
      </c>
      <c r="DM200" s="151" t="str">
        <f aca="false">$CY200</f>
        <v/>
      </c>
      <c r="DN200" s="149" t="str">
        <f aca="false">IF(ISBLANK($C200),"",$DB200)</f>
        <v/>
      </c>
      <c r="DO200" s="152" t="str">
        <f aca="false">IF($DF200&gt;$DE$8,"",VLOOKUP($DF200,$DH$9:$DN$508,7,FALSE()))</f>
        <v/>
      </c>
      <c r="DP200" s="153" t="str">
        <f aca="false">IF($DF200&gt;$DE$8,"",VLOOKUP($DF200,$DH$9:$DN$508,2,FALSE()))</f>
        <v/>
      </c>
      <c r="DQ200" s="153" t="str">
        <f aca="false">IF($DF200&gt;$DE$8,"",VLOOKUP($DF200,$DH$9:$DN$508,3,FALSE()))</f>
        <v/>
      </c>
      <c r="DR200" s="153" t="str">
        <f aca="false">IF($DF200&gt;$DE$8,"",VLOOKUP($DF200,$DH$9:$DN$508,4,FALSE()))</f>
        <v/>
      </c>
      <c r="DS200" s="153" t="str">
        <f aca="false">IF($DF200&gt;$DE$8,"",VLOOKUP($DF200,$DH$9:$DN$508,5,FALSE()))</f>
        <v/>
      </c>
      <c r="DT200" s="154" t="str">
        <f aca="false">IF($DF200&gt;$DE$8,"",VLOOKUP($DF200,$DH$9:$DN$508,6,FALSE()))</f>
        <v/>
      </c>
      <c r="DU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IF(ISBLANK($C201),"",IF(E201=Constants!$B$3,TRUE(),IF(E201=Constants!$B$4,FALSE(),TRUE())))</f>
        <v/>
      </c>
      <c r="AG201" s="93" t="str">
        <f aca="false">IF(ISBLANK($C201),"",IF(F201=Constants!$B$3,TRUE(),IF(F201=Constants!$B$4,FALSE(),TRUE())))</f>
        <v/>
      </c>
      <c r="AH201" s="93" t="str">
        <f aca="false">IF(ISBLANK($C201),"",IF(G201=Constants!$B$3,TRUE(),IF(G201=Constants!$B$4,FALSE(),TRUE())))</f>
        <v/>
      </c>
      <c r="AI201" s="93" t="str">
        <f aca="false">IF(ISBLANK($C201),"",IF(AND(ISNUMBER(H201),H201&gt;=0),H201,Constants!$B$29))</f>
        <v/>
      </c>
      <c r="AJ201" s="93" t="str">
        <f aca="false">IF(ISBLANK($C201),"",IF(I201=Constants!$B$3,TRUE(),IF(I201=Constants!$B$4,FALSE(),TRUE())))</f>
        <v/>
      </c>
      <c r="AK201" s="93" t="str">
        <f aca="false">IF(ISBLANK($C201),"",IF(J201=Constants!$B$3,TRUE(),IF(J201=Constants!$B$4,FALSE(),TRUE())))</f>
        <v/>
      </c>
      <c r="AL201" s="93" t="str">
        <f aca="false">IF(ISBLANK($C201),"",IF(K201=Constants!$B$5,TRUE(),IF(K201=Constants!$B$6,FALSE(),COUNTA(L201:P201)&gt;0)))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IF(ISBLANK($C201),"",IF(N201=Constants!$B$3,TRUE(),IF(N201=Constants!$B$4,FALSE(),TRUE())))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IF(ISBLANK($C201),"",IF(P201=Constants!$B$3,TRUE(),IF(P201=Constants!$B$4,FALSE(),FALSE())))</f>
        <v/>
      </c>
      <c r="AR201" s="93" t="str">
        <f aca="false">IF(ISBLANK($C201),"",IF(Q201=Constants!$B$3,TRUE(),IF(Q201=Constants!$B$4,FALSE(),TRUE())))</f>
        <v/>
      </c>
      <c r="AS201" s="93" t="str">
        <f aca="false">IF(ISBLANK($C201),"",IF(R201=Constants!$B$3,TRUE(),IF(R201=Constants!$B$4,FALSE(),TRUE())))</f>
        <v/>
      </c>
      <c r="AT201" s="93" t="str">
        <f aca="false">IF(ISBLANK($C201),"",IF(S201=Constants!$B$5,TRUE(),IF(S201=Constants!$B$6,FALSE(),COUNTA(T201:X201)&gt;0)))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IF(ISBLANK($C201),"",IF(V201=Constants!$B$3,TRUE(),IF(V201=Constants!$B$4,FALSE(),TRUE())))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IF(ISBLANK($C201),"",IF(X201=Constants!$B$3,TRUE(),IF(X201=Constants!$B$4,FALSE(),FALSE())))</f>
        <v/>
      </c>
      <c r="AZ201" s="93" t="str">
        <f aca="false">IF(ISBLANK($C201),"",MIN(Constants!$B$31,MAX(0,IF(ISNUMBER(Y201),Y201*60,0)+IF(ISNUMBER(Z201),Z201,0))))</f>
        <v/>
      </c>
      <c r="BA201" s="93" t="str">
        <f aca="false">IF(ISBLANK($C201),"",IF(AA201=Constants!$B$3,TRUE(),IF(AA201=Constants!$B$4,FALSE(),FALSE())))</f>
        <v/>
      </c>
      <c r="BB201" s="92" t="str">
        <f aca="false">IF(ISBLANK($C201),"",AND($AL201,OR($AM201="",$AN201="",AND($AO201,$AP201=""))))</f>
        <v/>
      </c>
      <c r="BC201" s="94" t="str">
        <f aca="false">IF($BZ201&lt;&gt;Constants!$B$8,"",IF($AL201,Constants!$B$21*$AN201+Constants!$B$22*IF($AO201,$AP201,Constants!$B$23),Constants!$B$24))</f>
        <v/>
      </c>
      <c r="BD201" s="97" t="str">
        <f aca="false">IF($BZ201&lt;&gt;Constants!$B$8,"",Constants!$B$25*ABS($AD$9-IF($AL201,$AM201,0)))</f>
        <v/>
      </c>
      <c r="BE201" s="97" t="str">
        <f aca="false">IF($BZ201&lt;&gt;Constants!$B$8,"",IF(AND($AL201,$AQ201,$AO201),Constants!$B$27,0))</f>
        <v/>
      </c>
      <c r="BF201" s="97" t="str">
        <f aca="false">IF($BZ201&lt;&gt;Constants!$B$8,"",IF($AL201,($AI201-Constants!$B$29)*Constants!$B$28,0))</f>
        <v/>
      </c>
      <c r="BG201" s="97" t="str">
        <f aca="false">IF($BZ201&lt;&gt;Constants!$B$8,"",IF($AK201,0,Constants!$B$15)+IF($AJ201,0,Constants!$B$16)+IF($AH201,0,Constants!$B$17))</f>
        <v/>
      </c>
      <c r="BH201" s="98" t="str">
        <f aca="false">IF($BZ201&lt;&gt;Constants!$B$8,"",Constants!$B$20+SUM($BC201:$BG201))</f>
        <v/>
      </c>
      <c r="BI201" s="97" t="str">
        <f aca="false">IF($BZ201&lt;&gt;Constants!$B$8,"",$BC201)</f>
        <v/>
      </c>
      <c r="BJ201" s="97" t="str">
        <f aca="false">IF($BZ201&lt;&gt;Constants!$B$8,"",$BD201)</f>
        <v/>
      </c>
      <c r="BK201" s="97" t="str">
        <f aca="false">IF($BZ201&lt;&gt;Constants!$B$8,"",IF($AL201,$AN201,""))</f>
        <v/>
      </c>
      <c r="BL201" s="99" t="str">
        <f aca="false">IF($BZ201&lt;&gt;Constants!$B$8,"",$AI201)</f>
        <v/>
      </c>
      <c r="BM201" s="93" t="str">
        <f aca="false">IF($BZ201&lt;&gt;Constants!$B$8,"",IF(OR($BT201&lt;$BH201,AND($BT201=$BH201,OR($BU201&lt;$BI201,AND($BU201=$BI201,OR($BV201&lt;$BJ201,AND($BV201=$BJ201,OR(AND(ISNUMBER($BW201),OR(NOT(ISNUMBER($BK201)),$BW201&lt;$BK201)),AND(OR(AND($BW201="",$BK201=""),AND(ISNUMBER($BW201),ISNUMBER($BK201),$BW201=$BK201)),$BX201&lt;$BL201)))))))),"-&gt;","&lt;-"))</f>
        <v/>
      </c>
      <c r="BN201" s="92" t="str">
        <f aca="false">IF(ISBLANK($C201),"",AND($AT201,OR($AU201="",$AV201="",AND($AW201,$AX201=""))))</f>
        <v/>
      </c>
      <c r="BO201" s="94" t="str">
        <f aca="false">IF($BZ201&lt;&gt;Constants!$B$8,"",IF($AT201,Constants!$B$21*$AV201+Constants!$B$22*IF($AW201,$AX201,Constants!$B$23),Constants!$B$24))</f>
        <v/>
      </c>
      <c r="BP201" s="97" t="str">
        <f aca="false">IF($BZ201&lt;&gt;Constants!$B$8,"",Constants!$B$25*ABS($AD$9-IF($AT201,$AU201,0)))</f>
        <v/>
      </c>
      <c r="BQ201" s="97" t="str">
        <f aca="false">IF($BZ201&lt;&gt;Constants!$B$8,"",IF(AND($AT201,$AY201,$AW201),Constants!$B$27,0))</f>
        <v/>
      </c>
      <c r="BR201" s="97" t="str">
        <f aca="false">IF($BZ201&lt;&gt;Constants!$B$8,"",IF($AT201,($AI201-Constants!$B$29)*Constants!$B$28,0))</f>
        <v/>
      </c>
      <c r="BS201" s="97" t="str">
        <f aca="false">IF($BZ201&lt;&gt;Constants!$B$8,"",IF($AS201,0,Constants!$B$15)+IF($AR201,0,Constants!$B$16)+IF($AH201,0,Constants!$B$17))</f>
        <v/>
      </c>
      <c r="BT201" s="98" t="str">
        <f aca="false">IF($BZ201&lt;&gt;Constants!$B$8,"",Constants!$B$20+SUM($BO201:$BS201))</f>
        <v/>
      </c>
      <c r="BU201" s="97" t="str">
        <f aca="false">IF($BZ201&lt;&gt;Constants!$B$8,"",$BO201)</f>
        <v/>
      </c>
      <c r="BV201" s="97" t="str">
        <f aca="false">IF($BZ201&lt;&gt;Constants!$B$8,"",$BP201)</f>
        <v/>
      </c>
      <c r="BW201" s="97" t="str">
        <f aca="false">IF($BZ201&lt;&gt;Constants!$B$8,"",IF($AT201,$AV201,""))</f>
        <v/>
      </c>
      <c r="BX201" s="99" t="str">
        <f aca="false">IF($BZ201&lt;&gt;Constants!$B$8,"",$AI201)</f>
        <v/>
      </c>
      <c r="BY201" s="93" t="str">
        <f aca="false">IF(ISBLANK($C201),"",IF(ISBLANK($D$7),$BY$5,IF(NOT(ISNUMBER($D$7)),$BY$6,"")))</f>
        <v/>
      </c>
      <c r="BZ201" s="93" t="str">
        <f aca="false">IF(ISBLANK($C201),"",IF($BA201,Constants!$B$11,IF(COUNTA($E201:$AA201)=0,Constants!$B$10,IF(NOT($AG201),Constants!$B$9,IF(OR($BY201&lt;&gt;"",$BB201,$BN201),Constants!$B$12,Constants!$B$8)))))</f>
        <v/>
      </c>
      <c r="CA201" s="93" t="str">
        <f aca="false">IF(ISBLANK($C201),"",IF($BZ201&lt;&gt;Constants!$B$8,$BZ201,Constants!$B$13))</f>
        <v/>
      </c>
      <c r="CB201" s="97" t="str">
        <f aca="false">IF($BZ201&lt;&gt;Constants!$B$8,"",IF($BM201="-&gt;",$BT201,$BH201))</f>
        <v/>
      </c>
      <c r="CC201" s="97" t="str">
        <f aca="false">IF($BZ201&lt;&gt;Constants!$B$8,"",IF($AF201,0,Constants!$B$18))</f>
        <v/>
      </c>
      <c r="CD201" s="97" t="str">
        <f aca="false">IF($BZ201&lt;&gt;Constants!$B$8,"",((Constants!$B$31-$AZ201)-Constants!$B$31)/Constants!$B$32)</f>
        <v/>
      </c>
      <c r="CE201" s="97" t="str">
        <f aca="false">IF(ISBLANK($C201),"",IF($BZ201&lt;&gt;Constants!$B$8,$BZ201,SUM($CB201:$CD201)))</f>
        <v/>
      </c>
      <c r="CF201" s="93" t="str">
        <f aca="false">IF(ISBLANK($C201),"",IF($BZ201&lt;&gt;Constants!$B$8,$BZ201,RANK($CE201,$CE$9:$CE$508,1)))</f>
        <v/>
      </c>
      <c r="CG201" s="97" t="str">
        <f aca="false">IF($BZ201&lt;&gt;Constants!$B$8,"",IF($BM201="-&gt;",$BU201,$BI201))</f>
        <v/>
      </c>
      <c r="CH201" s="93" t="str">
        <f aca="false">IF(ISBLANK($C201),"",IF($BZ201&lt;&gt;Constants!$B$8,$BZ201,IF(ISNUMBER($CG201),RANK($CG201,$CG$9:$CG$508,1),COUNT($CG$9:$CG$508)+1)))</f>
        <v/>
      </c>
      <c r="CI201" s="97" t="str">
        <f aca="false">IF($BZ201&lt;&gt;Constants!$B$8,"",IF($BM201="-&gt;",$BV201,$BJ201))</f>
        <v/>
      </c>
      <c r="CJ201" s="93" t="str">
        <f aca="false">IF(ISBLANK($C201),"",IF($BZ201&lt;&gt;Constants!$B$8,$BZ201,IF(ISNUMBER($CI201),RANK($CI201,$CI$9:$CI$508,1),COUNT($CI$9:$CI$508)+1)))</f>
        <v/>
      </c>
      <c r="CK201" s="97" t="str">
        <f aca="false">IF($BZ201&lt;&gt;Constants!$B$8,"",IF($BM201="-&gt;",$BW201,$BK201))</f>
        <v/>
      </c>
      <c r="CL201" s="93" t="str">
        <f aca="false">IF(ISBLANK($C201),"",IF($BZ201&lt;&gt;Constants!$B$8,$BZ201,IF(ISNUMBER($CK201),RANK($CK201,$CK$9:$CK$508,1),COUNT($CK$9:$CK$508)+1)))</f>
        <v/>
      </c>
      <c r="CM201" s="97" t="str">
        <f aca="false">IF($BZ201&lt;&gt;Constants!$B$8,"",IF(AND(NOT($AL201),NOT($AT201),$AJ201,$AK201,$AR201,$AS201),"",IF($BM201="-&gt;",$BX201,$BL201)))</f>
        <v/>
      </c>
      <c r="CN201" s="93" t="str">
        <f aca="false">IF(ISBLANK($C201),"",IF($BZ201&lt;&gt;Constants!$B$8,$BZ201,IF(ISNUMBER($CM201),RANK($CM201,$CM$9:$CM$508,1),COUNT($CM$9:$CM$508)+1)))</f>
        <v/>
      </c>
      <c r="CO201" s="93" t="str">
        <f aca="false">IF(ISBLANK($C201),"",IF($BZ201&lt;&gt;Constants!$B$8,$BZ201,COUNTIFS($CF$9:$CF$508,"&lt;"&amp;$CF201)+COUNTIFS($CF$9:$CF$508,$CF201,$CH$9:$CH$508,"&lt;"&amp;$CH201)+COUNTIFS($CF$9:$CF$508,$CF201,$CH$9:$CH$508,$CH201,$CJ$9:$CJ$508,"&lt;"&amp;$CJ201)+COUNTIFS($CF$9:$CF$508,$CF201,$CH$9:$CH$508,$CH201,$CJ$9:$CJ$508,$CJ201,$CL$9:$CL$508,"&lt;"&amp;$CL201)+COUNTIFS($CF$9:$CF$508,$CF201,$CH$9:$CH$508,$CH201,$CJ$9:$CJ$508,$CJ201,$CL$9:$CL$508,$CL201,$CN$9:$CN$508,"&lt;"&amp;$CN201)+1))</f>
        <v/>
      </c>
      <c r="CP201" s="93" t="str">
        <f aca="false">IF(ISBLANK($C201),"",IF($BZ201&lt;&gt;Constants!$B$8,$BZ201,$CF201-$CO201))</f>
        <v/>
      </c>
      <c r="CQ201" s="100"/>
      <c r="CR201" s="101"/>
      <c r="CS201" s="102" t="str">
        <f aca="false">IF(ISBLANK($C201),"",IF($BZ201=Constants!$B$12,$BY201,""))</f>
        <v/>
      </c>
      <c r="CT201" s="101" t="str">
        <f aca="false">IF(ISBLANK($C201),"",IF($BZ201&lt;&gt;Constants!$B$8,"",IF($BM201="-&gt;",2,1)))</f>
        <v/>
      </c>
      <c r="CU201" s="103" t="str">
        <f aca="false">IF(ISBLANK($C201),"",IF($BZ201&lt;&gt;Constants!$B$8,"",IF($BM201="-&gt;",$BO201,$BC201)))</f>
        <v/>
      </c>
      <c r="CV201" s="103" t="str">
        <f aca="false">IF(ISBLANK($C201),"",IF($BZ201&lt;&gt;Constants!$B$8,"",IF($BM201="-&gt;",$BP201,$BD201)))</f>
        <v/>
      </c>
      <c r="CW201" s="103" t="str">
        <f aca="false">IF(ISBLANK($C201),"",IF($BZ201&lt;&gt;Constants!$B$8,"",IF($BM201="-&gt;",$BQ201+$BR201,$BE201+$BF201)+$CD201))</f>
        <v/>
      </c>
      <c r="CX201" s="103" t="str">
        <f aca="false">IF(ISBLANK($C201),"",IF($BZ201&lt;&gt;Constants!$B$8,"",IF($BM201="-&gt;",$BS201,$BG201)+$CC201))</f>
        <v/>
      </c>
      <c r="CY201" s="104" t="str">
        <f aca="false">IF(ISBLANK($C201),"",IF($BZ201&lt;&gt;Constants!$B$8,$BZ201,$CE201))</f>
        <v/>
      </c>
      <c r="CZ201" s="105" t="str">
        <f aca="false">IF(ISBLANK($C201),"",$CA201)</f>
        <v/>
      </c>
      <c r="DA201" s="106" t="str">
        <f aca="false">IF(ISBLANK($C201),"",$CP201)</f>
        <v/>
      </c>
      <c r="DB201" s="106" t="str">
        <f aca="false">IF(ISBLANK($C201),"",$CO201)</f>
        <v/>
      </c>
      <c r="DC201" s="107" t="str">
        <f aca="false">IF(ISBLANK($C201),"",IFERROR(_xlfn.SWITCH($DB201,Constants!$B$11,COUNTA($C$9:$C$508)+2,Constants!$B$10,COUNTA($C$9:$C$508)+1,Constants!$B$9,COUNTA($C$9:$C$508)),$DB201))</f>
        <v/>
      </c>
      <c r="DD201" s="9"/>
      <c r="DE201" s="108" t="n">
        <f aca="false">IF(OR(ISNUMBER($DB201),$DB201=Constants!$B$11,$DB201=Constants!$B$9,$DB201=Constants!$B$10),1,0)</f>
        <v>0</v>
      </c>
      <c r="DF201" s="108" t="n">
        <v>193</v>
      </c>
      <c r="DG201" s="108" t="str">
        <f aca="false">IF(ISBLANK($C201),"",IF(ISNUMBER($DC201),$DC201+ROW($B201)/1000,""))</f>
        <v/>
      </c>
      <c r="DH201" s="108" t="str">
        <f aca="false">IF(ISNUMBER($DG201),RANK($DG201,$DG$9:$DG$508,1),"")</f>
        <v/>
      </c>
      <c r="DI201" s="108" t="str">
        <f aca="false">IF(ISBLANK($C201),"",$B201)</f>
        <v/>
      </c>
      <c r="DJ201" s="108" t="str">
        <f aca="false">IF(ISBLANK($C201),"",$C201)</f>
        <v/>
      </c>
      <c r="DK201" s="108" t="str">
        <f aca="false">IF(ISBLANK($C201),"",$D201)</f>
        <v/>
      </c>
      <c r="DL201" s="109" t="str">
        <f aca="false">$CZ201</f>
        <v/>
      </c>
      <c r="DM201" s="110" t="str">
        <f aca="false">$CY201</f>
        <v/>
      </c>
      <c r="DN201" s="108" t="str">
        <f aca="false">IF(ISBLANK($C201),"",$DB201)</f>
        <v/>
      </c>
      <c r="DO201" s="111" t="str">
        <f aca="false">IF($DF201&gt;$DE$8,"",VLOOKUP($DF201,$DH$9:$DN$508,7,FALSE()))</f>
        <v/>
      </c>
      <c r="DP201" s="112" t="str">
        <f aca="false">IF($DF201&gt;$DE$8,"",VLOOKUP($DF201,$DH$9:$DN$508,2,FALSE()))</f>
        <v/>
      </c>
      <c r="DQ201" s="112" t="str">
        <f aca="false">IF($DF201&gt;$DE$8,"",VLOOKUP($DF201,$DH$9:$DN$508,3,FALSE()))</f>
        <v/>
      </c>
      <c r="DR201" s="112" t="str">
        <f aca="false">IF($DF201&gt;$DE$8,"",VLOOKUP($DF201,$DH$9:$DN$508,4,FALSE()))</f>
        <v/>
      </c>
      <c r="DS201" s="112" t="str">
        <f aca="false">IF($DF201&gt;$DE$8,"",VLOOKUP($DF201,$DH$9:$DN$508,5,FALSE()))</f>
        <v/>
      </c>
      <c r="DT201" s="113" t="str">
        <f aca="false">IF($DF201&gt;$DE$8,"",VLOOKUP($DF201,$DH$9:$DN$508,6,FALSE()))</f>
        <v/>
      </c>
      <c r="DU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IF(ISBLANK($C202),"",IF(E202=Constants!$B$3,TRUE(),IF(E202=Constants!$B$4,FALSE(),TRUE())))</f>
        <v/>
      </c>
      <c r="AG202" s="93" t="str">
        <f aca="false">IF(ISBLANK($C202),"",IF(F202=Constants!$B$3,TRUE(),IF(F202=Constants!$B$4,FALSE(),TRUE())))</f>
        <v/>
      </c>
      <c r="AH202" s="93" t="str">
        <f aca="false">IF(ISBLANK($C202),"",IF(G202=Constants!$B$3,TRUE(),IF(G202=Constants!$B$4,FALSE(),TRUE())))</f>
        <v/>
      </c>
      <c r="AI202" s="93" t="str">
        <f aca="false">IF(ISBLANK($C202),"",IF(AND(ISNUMBER(H202),H202&gt;=0),H202,Constants!$B$29))</f>
        <v/>
      </c>
      <c r="AJ202" s="93" t="str">
        <f aca="false">IF(ISBLANK($C202),"",IF(I202=Constants!$B$3,TRUE(),IF(I202=Constants!$B$4,FALSE(),TRUE())))</f>
        <v/>
      </c>
      <c r="AK202" s="93" t="str">
        <f aca="false">IF(ISBLANK($C202),"",IF(J202=Constants!$B$3,TRUE(),IF(J202=Constants!$B$4,FALSE(),TRUE())))</f>
        <v/>
      </c>
      <c r="AL202" s="93" t="str">
        <f aca="false">IF(ISBLANK($C202),"",IF(K202=Constants!$B$5,TRUE(),IF(K202=Constants!$B$6,FALSE(),COUNTA(L202:P202)&gt;0)))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IF(ISBLANK($C202),"",IF(N202=Constants!$B$3,TRUE(),IF(N202=Constants!$B$4,FALSE(),TRUE())))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IF(ISBLANK($C202),"",IF(P202=Constants!$B$3,TRUE(),IF(P202=Constants!$B$4,FALSE(),FALSE())))</f>
        <v/>
      </c>
      <c r="AR202" s="93" t="str">
        <f aca="false">IF(ISBLANK($C202),"",IF(Q202=Constants!$B$3,TRUE(),IF(Q202=Constants!$B$4,FALSE(),TRUE())))</f>
        <v/>
      </c>
      <c r="AS202" s="93" t="str">
        <f aca="false">IF(ISBLANK($C202),"",IF(R202=Constants!$B$3,TRUE(),IF(R202=Constants!$B$4,FALSE(),TRUE())))</f>
        <v/>
      </c>
      <c r="AT202" s="93" t="str">
        <f aca="false">IF(ISBLANK($C202),"",IF(S202=Constants!$B$5,TRUE(),IF(S202=Constants!$B$6,FALSE(),COUNTA(T202:X202)&gt;0)))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IF(ISBLANK($C202),"",IF(V202=Constants!$B$3,TRUE(),IF(V202=Constants!$B$4,FALSE(),TRUE())))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IF(ISBLANK($C202),"",IF(X202=Constants!$B$3,TRUE(),IF(X202=Constants!$B$4,FALSE(),FALSE())))</f>
        <v/>
      </c>
      <c r="AZ202" s="93" t="str">
        <f aca="false">IF(ISBLANK($C202),"",MIN(Constants!$B$31,MAX(0,IF(ISNUMBER(Y202),Y202*60,0)+IF(ISNUMBER(Z202),Z202,0))))</f>
        <v/>
      </c>
      <c r="BA202" s="93" t="str">
        <f aca="false">IF(ISBLANK($C202),"",IF(AA202=Constants!$B$3,TRUE(),IF(AA202=Constants!$B$4,FALSE(),FALSE())))</f>
        <v/>
      </c>
      <c r="BB202" s="92" t="str">
        <f aca="false">IF(ISBLANK($C202),"",AND($AL202,OR($AM202="",$AN202="",AND($AO202,$AP202=""))))</f>
        <v/>
      </c>
      <c r="BC202" s="94" t="str">
        <f aca="false">IF($BZ202&lt;&gt;Constants!$B$8,"",IF($AL202,Constants!$B$21*$AN202+Constants!$B$22*IF($AO202,$AP202,Constants!$B$23),Constants!$B$24))</f>
        <v/>
      </c>
      <c r="BD202" s="97" t="str">
        <f aca="false">IF($BZ202&lt;&gt;Constants!$B$8,"",Constants!$B$25*ABS($AD$9-IF($AL202,$AM202,0)))</f>
        <v/>
      </c>
      <c r="BE202" s="97" t="str">
        <f aca="false">IF($BZ202&lt;&gt;Constants!$B$8,"",IF(AND($AL202,$AQ202,$AO202),Constants!$B$27,0))</f>
        <v/>
      </c>
      <c r="BF202" s="97" t="str">
        <f aca="false">IF($BZ202&lt;&gt;Constants!$B$8,"",IF($AL202,($AI202-Constants!$B$29)*Constants!$B$28,0))</f>
        <v/>
      </c>
      <c r="BG202" s="97" t="str">
        <f aca="false">IF($BZ202&lt;&gt;Constants!$B$8,"",IF($AK202,0,Constants!$B$15)+IF($AJ202,0,Constants!$B$16)+IF($AH202,0,Constants!$B$17))</f>
        <v/>
      </c>
      <c r="BH202" s="98" t="str">
        <f aca="false">IF($BZ202&lt;&gt;Constants!$B$8,"",Constants!$B$20+SUM($BC202:$BG202))</f>
        <v/>
      </c>
      <c r="BI202" s="97" t="str">
        <f aca="false">IF($BZ202&lt;&gt;Constants!$B$8,"",$BC202)</f>
        <v/>
      </c>
      <c r="BJ202" s="97" t="str">
        <f aca="false">IF($BZ202&lt;&gt;Constants!$B$8,"",$BD202)</f>
        <v/>
      </c>
      <c r="BK202" s="97" t="str">
        <f aca="false">IF($BZ202&lt;&gt;Constants!$B$8,"",IF($AL202,$AN202,""))</f>
        <v/>
      </c>
      <c r="BL202" s="99" t="str">
        <f aca="false">IF($BZ202&lt;&gt;Constants!$B$8,"",$AI202)</f>
        <v/>
      </c>
      <c r="BM202" s="93" t="str">
        <f aca="false">IF($BZ202&lt;&gt;Constants!$B$8,"",IF(OR($BT202&lt;$BH202,AND($BT202=$BH202,OR($BU202&lt;$BI202,AND($BU202=$BI202,OR($BV202&lt;$BJ202,AND($BV202=$BJ202,OR(AND(ISNUMBER($BW202),OR(NOT(ISNUMBER($BK202)),$BW202&lt;$BK202)),AND(OR(AND($BW202="",$BK202=""),AND(ISNUMBER($BW202),ISNUMBER($BK202),$BW202=$BK202)),$BX202&lt;$BL202)))))))),"-&gt;","&lt;-"))</f>
        <v/>
      </c>
      <c r="BN202" s="92" t="str">
        <f aca="false">IF(ISBLANK($C202),"",AND($AT202,OR($AU202="",$AV202="",AND($AW202,$AX202=""))))</f>
        <v/>
      </c>
      <c r="BO202" s="94" t="str">
        <f aca="false">IF($BZ202&lt;&gt;Constants!$B$8,"",IF($AT202,Constants!$B$21*$AV202+Constants!$B$22*IF($AW202,$AX202,Constants!$B$23),Constants!$B$24))</f>
        <v/>
      </c>
      <c r="BP202" s="97" t="str">
        <f aca="false">IF($BZ202&lt;&gt;Constants!$B$8,"",Constants!$B$25*ABS($AD$9-IF($AT202,$AU202,0)))</f>
        <v/>
      </c>
      <c r="BQ202" s="97" t="str">
        <f aca="false">IF($BZ202&lt;&gt;Constants!$B$8,"",IF(AND($AT202,$AY202,$AW202),Constants!$B$27,0))</f>
        <v/>
      </c>
      <c r="BR202" s="97" t="str">
        <f aca="false">IF($BZ202&lt;&gt;Constants!$B$8,"",IF($AT202,($AI202-Constants!$B$29)*Constants!$B$28,0))</f>
        <v/>
      </c>
      <c r="BS202" s="97" t="str">
        <f aca="false">IF($BZ202&lt;&gt;Constants!$B$8,"",IF($AS202,0,Constants!$B$15)+IF($AR202,0,Constants!$B$16)+IF($AH202,0,Constants!$B$17))</f>
        <v/>
      </c>
      <c r="BT202" s="98" t="str">
        <f aca="false">IF($BZ202&lt;&gt;Constants!$B$8,"",Constants!$B$20+SUM($BO202:$BS202))</f>
        <v/>
      </c>
      <c r="BU202" s="97" t="str">
        <f aca="false">IF($BZ202&lt;&gt;Constants!$B$8,"",$BO202)</f>
        <v/>
      </c>
      <c r="BV202" s="97" t="str">
        <f aca="false">IF($BZ202&lt;&gt;Constants!$B$8,"",$BP202)</f>
        <v/>
      </c>
      <c r="BW202" s="97" t="str">
        <f aca="false">IF($BZ202&lt;&gt;Constants!$B$8,"",IF($AT202,$AV202,""))</f>
        <v/>
      </c>
      <c r="BX202" s="99" t="str">
        <f aca="false">IF($BZ202&lt;&gt;Constants!$B$8,"",$AI202)</f>
        <v/>
      </c>
      <c r="BY202" s="93" t="str">
        <f aca="false">IF(ISBLANK($C202),"",IF(ISBLANK($D$7),$BY$5,IF(NOT(ISNUMBER($D$7)),$BY$6,"")))</f>
        <v/>
      </c>
      <c r="BZ202" s="93" t="str">
        <f aca="false">IF(ISBLANK($C202),"",IF($BA202,Constants!$B$11,IF(COUNTA($E202:$AA202)=0,Constants!$B$10,IF(NOT($AG202),Constants!$B$9,IF(OR($BY202&lt;&gt;"",$BB202,$BN202),Constants!$B$12,Constants!$B$8)))))</f>
        <v/>
      </c>
      <c r="CA202" s="93" t="str">
        <f aca="false">IF(ISBLANK($C202),"",IF($BZ202&lt;&gt;Constants!$B$8,$BZ202,Constants!$B$13))</f>
        <v/>
      </c>
      <c r="CB202" s="97" t="str">
        <f aca="false">IF($BZ202&lt;&gt;Constants!$B$8,"",IF($BM202="-&gt;",$BT202,$BH202))</f>
        <v/>
      </c>
      <c r="CC202" s="97" t="str">
        <f aca="false">IF($BZ202&lt;&gt;Constants!$B$8,"",IF($AF202,0,Constants!$B$18))</f>
        <v/>
      </c>
      <c r="CD202" s="97" t="str">
        <f aca="false">IF($BZ202&lt;&gt;Constants!$B$8,"",((Constants!$B$31-$AZ202)-Constants!$B$31)/Constants!$B$32)</f>
        <v/>
      </c>
      <c r="CE202" s="97" t="str">
        <f aca="false">IF(ISBLANK($C202),"",IF($BZ202&lt;&gt;Constants!$B$8,$BZ202,SUM($CB202:$CD202)))</f>
        <v/>
      </c>
      <c r="CF202" s="93" t="str">
        <f aca="false">IF(ISBLANK($C202),"",IF($BZ202&lt;&gt;Constants!$B$8,$BZ202,RANK($CE202,$CE$9:$CE$508,1)))</f>
        <v/>
      </c>
      <c r="CG202" s="97" t="str">
        <f aca="false">IF($BZ202&lt;&gt;Constants!$B$8,"",IF($BM202="-&gt;",$BU202,$BI202))</f>
        <v/>
      </c>
      <c r="CH202" s="93" t="str">
        <f aca="false">IF(ISBLANK($C202),"",IF($BZ202&lt;&gt;Constants!$B$8,$BZ202,IF(ISNUMBER($CG202),RANK($CG202,$CG$9:$CG$508,1),COUNT($CG$9:$CG$508)+1)))</f>
        <v/>
      </c>
      <c r="CI202" s="97" t="str">
        <f aca="false">IF($BZ202&lt;&gt;Constants!$B$8,"",IF($BM202="-&gt;",$BV202,$BJ202))</f>
        <v/>
      </c>
      <c r="CJ202" s="93" t="str">
        <f aca="false">IF(ISBLANK($C202),"",IF($BZ202&lt;&gt;Constants!$B$8,$BZ202,IF(ISNUMBER($CI202),RANK($CI202,$CI$9:$CI$508,1),COUNT($CI$9:$CI$508)+1)))</f>
        <v/>
      </c>
      <c r="CK202" s="97" t="str">
        <f aca="false">IF($BZ202&lt;&gt;Constants!$B$8,"",IF($BM202="-&gt;",$BW202,$BK202))</f>
        <v/>
      </c>
      <c r="CL202" s="93" t="str">
        <f aca="false">IF(ISBLANK($C202),"",IF($BZ202&lt;&gt;Constants!$B$8,$BZ202,IF(ISNUMBER($CK202),RANK($CK202,$CK$9:$CK$508,1),COUNT($CK$9:$CK$508)+1)))</f>
        <v/>
      </c>
      <c r="CM202" s="97" t="str">
        <f aca="false">IF($BZ202&lt;&gt;Constants!$B$8,"",IF(AND(NOT($AL202),NOT($AT202),$AJ202,$AK202,$AR202,$AS202),"",IF($BM202="-&gt;",$BX202,$BL202)))</f>
        <v/>
      </c>
      <c r="CN202" s="93" t="str">
        <f aca="false">IF(ISBLANK($C202),"",IF($BZ202&lt;&gt;Constants!$B$8,$BZ202,IF(ISNUMBER($CM202),RANK($CM202,$CM$9:$CM$508,1),COUNT($CM$9:$CM$508)+1)))</f>
        <v/>
      </c>
      <c r="CO202" s="93" t="str">
        <f aca="false">IF(ISBLANK($C202),"",IF($BZ202&lt;&gt;Constants!$B$8,$BZ202,COUNTIFS($CF$9:$CF$508,"&lt;"&amp;$CF202)+COUNTIFS($CF$9:$CF$508,$CF202,$CH$9:$CH$508,"&lt;"&amp;$CH202)+COUNTIFS($CF$9:$CF$508,$CF202,$CH$9:$CH$508,$CH202,$CJ$9:$CJ$508,"&lt;"&amp;$CJ202)+COUNTIFS($CF$9:$CF$508,$CF202,$CH$9:$CH$508,$CH202,$CJ$9:$CJ$508,$CJ202,$CL$9:$CL$508,"&lt;"&amp;$CL202)+COUNTIFS($CF$9:$CF$508,$CF202,$CH$9:$CH$508,$CH202,$CJ$9:$CJ$508,$CJ202,$CL$9:$CL$508,$CL202,$CN$9:$CN$508,"&lt;"&amp;$CN202)+1))</f>
        <v/>
      </c>
      <c r="CP202" s="93" t="str">
        <f aca="false">IF(ISBLANK($C202),"",IF($BZ202&lt;&gt;Constants!$B$8,$BZ202,$CF202-$CO202))</f>
        <v/>
      </c>
      <c r="CQ202" s="100"/>
      <c r="CR202" s="101"/>
      <c r="CS202" s="102" t="str">
        <f aca="false">IF(ISBLANK($C202),"",IF($BZ202=Constants!$B$12,$BY202,""))</f>
        <v/>
      </c>
      <c r="CT202" s="101" t="str">
        <f aca="false">IF(ISBLANK($C202),"",IF($BZ202&lt;&gt;Constants!$B$8,"",IF($BM202="-&gt;",2,1)))</f>
        <v/>
      </c>
      <c r="CU202" s="103" t="str">
        <f aca="false">IF(ISBLANK($C202),"",IF($BZ202&lt;&gt;Constants!$B$8,"",IF($BM202="-&gt;",$BO202,$BC202)))</f>
        <v/>
      </c>
      <c r="CV202" s="103" t="str">
        <f aca="false">IF(ISBLANK($C202),"",IF($BZ202&lt;&gt;Constants!$B$8,"",IF($BM202="-&gt;",$BP202,$BD202)))</f>
        <v/>
      </c>
      <c r="CW202" s="103" t="str">
        <f aca="false">IF(ISBLANK($C202),"",IF($BZ202&lt;&gt;Constants!$B$8,"",IF($BM202="-&gt;",$BQ202+$BR202,$BE202+$BF202)+$CD202))</f>
        <v/>
      </c>
      <c r="CX202" s="103" t="str">
        <f aca="false">IF(ISBLANK($C202),"",IF($BZ202&lt;&gt;Constants!$B$8,"",IF($BM202="-&gt;",$BS202,$BG202)+$CC202))</f>
        <v/>
      </c>
      <c r="CY202" s="104" t="str">
        <f aca="false">IF(ISBLANK($C202),"",IF($BZ202&lt;&gt;Constants!$B$8,$BZ202,$CE202))</f>
        <v/>
      </c>
      <c r="CZ202" s="105" t="str">
        <f aca="false">IF(ISBLANK($C202),"",$CA202)</f>
        <v/>
      </c>
      <c r="DA202" s="106" t="str">
        <f aca="false">IF(ISBLANK($C202),"",$CP202)</f>
        <v/>
      </c>
      <c r="DB202" s="106" t="str">
        <f aca="false">IF(ISBLANK($C202),"",$CO202)</f>
        <v/>
      </c>
      <c r="DC202" s="107" t="str">
        <f aca="false">IF(ISBLANK($C202),"",IFERROR(_xlfn.SWITCH($DB202,Constants!$B$11,COUNTA($C$9:$C$508)+2,Constants!$B$10,COUNTA($C$9:$C$508)+1,Constants!$B$9,COUNTA($C$9:$C$508)),$DB202))</f>
        <v/>
      </c>
      <c r="DD202" s="9"/>
      <c r="DE202" s="108" t="n">
        <f aca="false">IF(OR(ISNUMBER($DB202),$DB202=Constants!$B$11,$DB202=Constants!$B$9,$DB202=Constants!$B$10),1,0)</f>
        <v>0</v>
      </c>
      <c r="DF202" s="108" t="n">
        <v>194</v>
      </c>
      <c r="DG202" s="108" t="str">
        <f aca="false">IF(ISBLANK($C202),"",IF(ISNUMBER($DC202),$DC202+ROW($B202)/1000,""))</f>
        <v/>
      </c>
      <c r="DH202" s="108" t="str">
        <f aca="false">IF(ISNUMBER($DG202),RANK($DG202,$DG$9:$DG$508,1),"")</f>
        <v/>
      </c>
      <c r="DI202" s="108" t="str">
        <f aca="false">IF(ISBLANK($C202),"",$B202)</f>
        <v/>
      </c>
      <c r="DJ202" s="108" t="str">
        <f aca="false">IF(ISBLANK($C202),"",$C202)</f>
        <v/>
      </c>
      <c r="DK202" s="108" t="str">
        <f aca="false">IF(ISBLANK($C202),"",$D202)</f>
        <v/>
      </c>
      <c r="DL202" s="109" t="str">
        <f aca="false">$CZ202</f>
        <v/>
      </c>
      <c r="DM202" s="110" t="str">
        <f aca="false">$CY202</f>
        <v/>
      </c>
      <c r="DN202" s="108" t="str">
        <f aca="false">IF(ISBLANK($C202),"",$DB202)</f>
        <v/>
      </c>
      <c r="DO202" s="111" t="str">
        <f aca="false">IF($DF202&gt;$DE$8,"",VLOOKUP($DF202,$DH$9:$DN$508,7,FALSE()))</f>
        <v/>
      </c>
      <c r="DP202" s="112" t="str">
        <f aca="false">IF($DF202&gt;$DE$8,"",VLOOKUP($DF202,$DH$9:$DN$508,2,FALSE()))</f>
        <v/>
      </c>
      <c r="DQ202" s="112" t="str">
        <f aca="false">IF($DF202&gt;$DE$8,"",VLOOKUP($DF202,$DH$9:$DN$508,3,FALSE()))</f>
        <v/>
      </c>
      <c r="DR202" s="112" t="str">
        <f aca="false">IF($DF202&gt;$DE$8,"",VLOOKUP($DF202,$DH$9:$DN$508,4,FALSE()))</f>
        <v/>
      </c>
      <c r="DS202" s="112" t="str">
        <f aca="false">IF($DF202&gt;$DE$8,"",VLOOKUP($DF202,$DH$9:$DN$508,5,FALSE()))</f>
        <v/>
      </c>
      <c r="DT202" s="113" t="str">
        <f aca="false">IF($DF202&gt;$DE$8,"",VLOOKUP($DF202,$DH$9:$DN$508,6,FALSE()))</f>
        <v/>
      </c>
      <c r="DU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IF(ISBLANK($C203),"",IF(E203=Constants!$B$3,TRUE(),IF(E203=Constants!$B$4,FALSE(),TRUE())))</f>
        <v/>
      </c>
      <c r="AG203" s="93" t="str">
        <f aca="false">IF(ISBLANK($C203),"",IF(F203=Constants!$B$3,TRUE(),IF(F203=Constants!$B$4,FALSE(),TRUE())))</f>
        <v/>
      </c>
      <c r="AH203" s="93" t="str">
        <f aca="false">IF(ISBLANK($C203),"",IF(G203=Constants!$B$3,TRUE(),IF(G203=Constants!$B$4,FALSE(),TRUE())))</f>
        <v/>
      </c>
      <c r="AI203" s="93" t="str">
        <f aca="false">IF(ISBLANK($C203),"",IF(AND(ISNUMBER(H203),H203&gt;=0),H203,Constants!$B$29))</f>
        <v/>
      </c>
      <c r="AJ203" s="93" t="str">
        <f aca="false">IF(ISBLANK($C203),"",IF(I203=Constants!$B$3,TRUE(),IF(I203=Constants!$B$4,FALSE(),TRUE())))</f>
        <v/>
      </c>
      <c r="AK203" s="93" t="str">
        <f aca="false">IF(ISBLANK($C203),"",IF(J203=Constants!$B$3,TRUE(),IF(J203=Constants!$B$4,FALSE(),TRUE())))</f>
        <v/>
      </c>
      <c r="AL203" s="93" t="str">
        <f aca="false">IF(ISBLANK($C203),"",IF(K203=Constants!$B$5,TRUE(),IF(K203=Constants!$B$6,FALSE(),COUNTA(L203:P203)&gt;0)))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IF(ISBLANK($C203),"",IF(N203=Constants!$B$3,TRUE(),IF(N203=Constants!$B$4,FALSE(),TRUE())))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IF(ISBLANK($C203),"",IF(P203=Constants!$B$3,TRUE(),IF(P203=Constants!$B$4,FALSE(),FALSE())))</f>
        <v/>
      </c>
      <c r="AR203" s="93" t="str">
        <f aca="false">IF(ISBLANK($C203),"",IF(Q203=Constants!$B$3,TRUE(),IF(Q203=Constants!$B$4,FALSE(),TRUE())))</f>
        <v/>
      </c>
      <c r="AS203" s="93" t="str">
        <f aca="false">IF(ISBLANK($C203),"",IF(R203=Constants!$B$3,TRUE(),IF(R203=Constants!$B$4,FALSE(),TRUE())))</f>
        <v/>
      </c>
      <c r="AT203" s="93" t="str">
        <f aca="false">IF(ISBLANK($C203),"",IF(S203=Constants!$B$5,TRUE(),IF(S203=Constants!$B$6,FALSE(),COUNTA(T203:X203)&gt;0)))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IF(ISBLANK($C203),"",IF(V203=Constants!$B$3,TRUE(),IF(V203=Constants!$B$4,FALSE(),TRUE())))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IF(ISBLANK($C203),"",IF(X203=Constants!$B$3,TRUE(),IF(X203=Constants!$B$4,FALSE(),FALSE())))</f>
        <v/>
      </c>
      <c r="AZ203" s="93" t="str">
        <f aca="false">IF(ISBLANK($C203),"",MIN(Constants!$B$31,MAX(0,IF(ISNUMBER(Y203),Y203*60,0)+IF(ISNUMBER(Z203),Z203,0))))</f>
        <v/>
      </c>
      <c r="BA203" s="93" t="str">
        <f aca="false">IF(ISBLANK($C203),"",IF(AA203=Constants!$B$3,TRUE(),IF(AA203=Constants!$B$4,FALSE(),FALSE())))</f>
        <v/>
      </c>
      <c r="BB203" s="92" t="str">
        <f aca="false">IF(ISBLANK($C203),"",AND($AL203,OR($AM203="",$AN203="",AND($AO203,$AP203=""))))</f>
        <v/>
      </c>
      <c r="BC203" s="94" t="str">
        <f aca="false">IF($BZ203&lt;&gt;Constants!$B$8,"",IF($AL203,Constants!$B$21*$AN203+Constants!$B$22*IF($AO203,$AP203,Constants!$B$23),Constants!$B$24))</f>
        <v/>
      </c>
      <c r="BD203" s="97" t="str">
        <f aca="false">IF($BZ203&lt;&gt;Constants!$B$8,"",Constants!$B$25*ABS($AD$9-IF($AL203,$AM203,0)))</f>
        <v/>
      </c>
      <c r="BE203" s="97" t="str">
        <f aca="false">IF($BZ203&lt;&gt;Constants!$B$8,"",IF(AND($AL203,$AQ203,$AO203),Constants!$B$27,0))</f>
        <v/>
      </c>
      <c r="BF203" s="97" t="str">
        <f aca="false">IF($BZ203&lt;&gt;Constants!$B$8,"",IF($AL203,($AI203-Constants!$B$29)*Constants!$B$28,0))</f>
        <v/>
      </c>
      <c r="BG203" s="97" t="str">
        <f aca="false">IF($BZ203&lt;&gt;Constants!$B$8,"",IF($AK203,0,Constants!$B$15)+IF($AJ203,0,Constants!$B$16)+IF($AH203,0,Constants!$B$17))</f>
        <v/>
      </c>
      <c r="BH203" s="98" t="str">
        <f aca="false">IF($BZ203&lt;&gt;Constants!$B$8,"",Constants!$B$20+SUM($BC203:$BG203))</f>
        <v/>
      </c>
      <c r="BI203" s="97" t="str">
        <f aca="false">IF($BZ203&lt;&gt;Constants!$B$8,"",$BC203)</f>
        <v/>
      </c>
      <c r="BJ203" s="97" t="str">
        <f aca="false">IF($BZ203&lt;&gt;Constants!$B$8,"",$BD203)</f>
        <v/>
      </c>
      <c r="BK203" s="97" t="str">
        <f aca="false">IF($BZ203&lt;&gt;Constants!$B$8,"",IF($AL203,$AN203,""))</f>
        <v/>
      </c>
      <c r="BL203" s="99" t="str">
        <f aca="false">IF($BZ203&lt;&gt;Constants!$B$8,"",$AI203)</f>
        <v/>
      </c>
      <c r="BM203" s="93" t="str">
        <f aca="false">IF($BZ203&lt;&gt;Constants!$B$8,"",IF(OR($BT203&lt;$BH203,AND($BT203=$BH203,OR($BU203&lt;$BI203,AND($BU203=$BI203,OR($BV203&lt;$BJ203,AND($BV203=$BJ203,OR(AND(ISNUMBER($BW203),OR(NOT(ISNUMBER($BK203)),$BW203&lt;$BK203)),AND(OR(AND($BW203="",$BK203=""),AND(ISNUMBER($BW203),ISNUMBER($BK203),$BW203=$BK203)),$BX203&lt;$BL203)))))))),"-&gt;","&lt;-"))</f>
        <v/>
      </c>
      <c r="BN203" s="92" t="str">
        <f aca="false">IF(ISBLANK($C203),"",AND($AT203,OR($AU203="",$AV203="",AND($AW203,$AX203=""))))</f>
        <v/>
      </c>
      <c r="BO203" s="94" t="str">
        <f aca="false">IF($BZ203&lt;&gt;Constants!$B$8,"",IF($AT203,Constants!$B$21*$AV203+Constants!$B$22*IF($AW203,$AX203,Constants!$B$23),Constants!$B$24))</f>
        <v/>
      </c>
      <c r="BP203" s="97" t="str">
        <f aca="false">IF($BZ203&lt;&gt;Constants!$B$8,"",Constants!$B$25*ABS($AD$9-IF($AT203,$AU203,0)))</f>
        <v/>
      </c>
      <c r="BQ203" s="97" t="str">
        <f aca="false">IF($BZ203&lt;&gt;Constants!$B$8,"",IF(AND($AT203,$AY203,$AW203),Constants!$B$27,0))</f>
        <v/>
      </c>
      <c r="BR203" s="97" t="str">
        <f aca="false">IF($BZ203&lt;&gt;Constants!$B$8,"",IF($AT203,($AI203-Constants!$B$29)*Constants!$B$28,0))</f>
        <v/>
      </c>
      <c r="BS203" s="97" t="str">
        <f aca="false">IF($BZ203&lt;&gt;Constants!$B$8,"",IF($AS203,0,Constants!$B$15)+IF($AR203,0,Constants!$B$16)+IF($AH203,0,Constants!$B$17))</f>
        <v/>
      </c>
      <c r="BT203" s="98" t="str">
        <f aca="false">IF($BZ203&lt;&gt;Constants!$B$8,"",Constants!$B$20+SUM($BO203:$BS203))</f>
        <v/>
      </c>
      <c r="BU203" s="97" t="str">
        <f aca="false">IF($BZ203&lt;&gt;Constants!$B$8,"",$BO203)</f>
        <v/>
      </c>
      <c r="BV203" s="97" t="str">
        <f aca="false">IF($BZ203&lt;&gt;Constants!$B$8,"",$BP203)</f>
        <v/>
      </c>
      <c r="BW203" s="97" t="str">
        <f aca="false">IF($BZ203&lt;&gt;Constants!$B$8,"",IF($AT203,$AV203,""))</f>
        <v/>
      </c>
      <c r="BX203" s="99" t="str">
        <f aca="false">IF($BZ203&lt;&gt;Constants!$B$8,"",$AI203)</f>
        <v/>
      </c>
      <c r="BY203" s="93" t="str">
        <f aca="false">IF(ISBLANK($C203),"",IF(ISBLANK($D$7),$BY$5,IF(NOT(ISNUMBER($D$7)),$BY$6,"")))</f>
        <v/>
      </c>
      <c r="BZ203" s="93" t="str">
        <f aca="false">IF(ISBLANK($C203),"",IF($BA203,Constants!$B$11,IF(COUNTA($E203:$AA203)=0,Constants!$B$10,IF(NOT($AG203),Constants!$B$9,IF(OR($BY203&lt;&gt;"",$BB203,$BN203),Constants!$B$12,Constants!$B$8)))))</f>
        <v/>
      </c>
      <c r="CA203" s="93" t="str">
        <f aca="false">IF(ISBLANK($C203),"",IF($BZ203&lt;&gt;Constants!$B$8,$BZ203,Constants!$B$13))</f>
        <v/>
      </c>
      <c r="CB203" s="97" t="str">
        <f aca="false">IF($BZ203&lt;&gt;Constants!$B$8,"",IF($BM203="-&gt;",$BT203,$BH203))</f>
        <v/>
      </c>
      <c r="CC203" s="97" t="str">
        <f aca="false">IF($BZ203&lt;&gt;Constants!$B$8,"",IF($AF203,0,Constants!$B$18))</f>
        <v/>
      </c>
      <c r="CD203" s="97" t="str">
        <f aca="false">IF($BZ203&lt;&gt;Constants!$B$8,"",((Constants!$B$31-$AZ203)-Constants!$B$31)/Constants!$B$32)</f>
        <v/>
      </c>
      <c r="CE203" s="97" t="str">
        <f aca="false">IF(ISBLANK($C203),"",IF($BZ203&lt;&gt;Constants!$B$8,$BZ203,SUM($CB203:$CD203)))</f>
        <v/>
      </c>
      <c r="CF203" s="93" t="str">
        <f aca="false">IF(ISBLANK($C203),"",IF($BZ203&lt;&gt;Constants!$B$8,$BZ203,RANK($CE203,$CE$9:$CE$508,1)))</f>
        <v/>
      </c>
      <c r="CG203" s="97" t="str">
        <f aca="false">IF($BZ203&lt;&gt;Constants!$B$8,"",IF($BM203="-&gt;",$BU203,$BI203))</f>
        <v/>
      </c>
      <c r="CH203" s="93" t="str">
        <f aca="false">IF(ISBLANK($C203),"",IF($BZ203&lt;&gt;Constants!$B$8,$BZ203,IF(ISNUMBER($CG203),RANK($CG203,$CG$9:$CG$508,1),COUNT($CG$9:$CG$508)+1)))</f>
        <v/>
      </c>
      <c r="CI203" s="97" t="str">
        <f aca="false">IF($BZ203&lt;&gt;Constants!$B$8,"",IF($BM203="-&gt;",$BV203,$BJ203))</f>
        <v/>
      </c>
      <c r="CJ203" s="93" t="str">
        <f aca="false">IF(ISBLANK($C203),"",IF($BZ203&lt;&gt;Constants!$B$8,$BZ203,IF(ISNUMBER($CI203),RANK($CI203,$CI$9:$CI$508,1),COUNT($CI$9:$CI$508)+1)))</f>
        <v/>
      </c>
      <c r="CK203" s="97" t="str">
        <f aca="false">IF($BZ203&lt;&gt;Constants!$B$8,"",IF($BM203="-&gt;",$BW203,$BK203))</f>
        <v/>
      </c>
      <c r="CL203" s="93" t="str">
        <f aca="false">IF(ISBLANK($C203),"",IF($BZ203&lt;&gt;Constants!$B$8,$BZ203,IF(ISNUMBER($CK203),RANK($CK203,$CK$9:$CK$508,1),COUNT($CK$9:$CK$508)+1)))</f>
        <v/>
      </c>
      <c r="CM203" s="97" t="str">
        <f aca="false">IF($BZ203&lt;&gt;Constants!$B$8,"",IF(AND(NOT($AL203),NOT($AT203),$AJ203,$AK203,$AR203,$AS203),"",IF($BM203="-&gt;",$BX203,$BL203)))</f>
        <v/>
      </c>
      <c r="CN203" s="93" t="str">
        <f aca="false">IF(ISBLANK($C203),"",IF($BZ203&lt;&gt;Constants!$B$8,$BZ203,IF(ISNUMBER($CM203),RANK($CM203,$CM$9:$CM$508,1),COUNT($CM$9:$CM$508)+1)))</f>
        <v/>
      </c>
      <c r="CO203" s="93" t="str">
        <f aca="false">IF(ISBLANK($C203),"",IF($BZ203&lt;&gt;Constants!$B$8,$BZ203,COUNTIFS($CF$9:$CF$508,"&lt;"&amp;$CF203)+COUNTIFS($CF$9:$CF$508,$CF203,$CH$9:$CH$508,"&lt;"&amp;$CH203)+COUNTIFS($CF$9:$CF$508,$CF203,$CH$9:$CH$508,$CH203,$CJ$9:$CJ$508,"&lt;"&amp;$CJ203)+COUNTIFS($CF$9:$CF$508,$CF203,$CH$9:$CH$508,$CH203,$CJ$9:$CJ$508,$CJ203,$CL$9:$CL$508,"&lt;"&amp;$CL203)+COUNTIFS($CF$9:$CF$508,$CF203,$CH$9:$CH$508,$CH203,$CJ$9:$CJ$508,$CJ203,$CL$9:$CL$508,$CL203,$CN$9:$CN$508,"&lt;"&amp;$CN203)+1))</f>
        <v/>
      </c>
      <c r="CP203" s="93" t="str">
        <f aca="false">IF(ISBLANK($C203),"",IF($BZ203&lt;&gt;Constants!$B$8,$BZ203,$CF203-$CO203))</f>
        <v/>
      </c>
      <c r="CQ203" s="100"/>
      <c r="CR203" s="101"/>
      <c r="CS203" s="102" t="str">
        <f aca="false">IF(ISBLANK($C203),"",IF($BZ203=Constants!$B$12,$BY203,""))</f>
        <v/>
      </c>
      <c r="CT203" s="101" t="str">
        <f aca="false">IF(ISBLANK($C203),"",IF($BZ203&lt;&gt;Constants!$B$8,"",IF($BM203="-&gt;",2,1)))</f>
        <v/>
      </c>
      <c r="CU203" s="103" t="str">
        <f aca="false">IF(ISBLANK($C203),"",IF($BZ203&lt;&gt;Constants!$B$8,"",IF($BM203="-&gt;",$BO203,$BC203)))</f>
        <v/>
      </c>
      <c r="CV203" s="103" t="str">
        <f aca="false">IF(ISBLANK($C203),"",IF($BZ203&lt;&gt;Constants!$B$8,"",IF($BM203="-&gt;",$BP203,$BD203)))</f>
        <v/>
      </c>
      <c r="CW203" s="103" t="str">
        <f aca="false">IF(ISBLANK($C203),"",IF($BZ203&lt;&gt;Constants!$B$8,"",IF($BM203="-&gt;",$BQ203+$BR203,$BE203+$BF203)+$CD203))</f>
        <v/>
      </c>
      <c r="CX203" s="103" t="str">
        <f aca="false">IF(ISBLANK($C203),"",IF($BZ203&lt;&gt;Constants!$B$8,"",IF($BM203="-&gt;",$BS203,$BG203)+$CC203))</f>
        <v/>
      </c>
      <c r="CY203" s="104" t="str">
        <f aca="false">IF(ISBLANK($C203),"",IF($BZ203&lt;&gt;Constants!$B$8,$BZ203,$CE203))</f>
        <v/>
      </c>
      <c r="CZ203" s="105" t="str">
        <f aca="false">IF(ISBLANK($C203),"",$CA203)</f>
        <v/>
      </c>
      <c r="DA203" s="106" t="str">
        <f aca="false">IF(ISBLANK($C203),"",$CP203)</f>
        <v/>
      </c>
      <c r="DB203" s="106" t="str">
        <f aca="false">IF(ISBLANK($C203),"",$CO203)</f>
        <v/>
      </c>
      <c r="DC203" s="107" t="str">
        <f aca="false">IF(ISBLANK($C203),"",IFERROR(_xlfn.SWITCH($DB203,Constants!$B$11,COUNTA($C$9:$C$508)+2,Constants!$B$10,COUNTA($C$9:$C$508)+1,Constants!$B$9,COUNTA($C$9:$C$508)),$DB203))</f>
        <v/>
      </c>
      <c r="DD203" s="9"/>
      <c r="DE203" s="108" t="n">
        <f aca="false">IF(OR(ISNUMBER($DB203),$DB203=Constants!$B$11,$DB203=Constants!$B$9,$DB203=Constants!$B$10),1,0)</f>
        <v>0</v>
      </c>
      <c r="DF203" s="108" t="n">
        <v>195</v>
      </c>
      <c r="DG203" s="108" t="str">
        <f aca="false">IF(ISBLANK($C203),"",IF(ISNUMBER($DC203),$DC203+ROW($B203)/1000,""))</f>
        <v/>
      </c>
      <c r="DH203" s="108" t="str">
        <f aca="false">IF(ISNUMBER($DG203),RANK($DG203,$DG$9:$DG$508,1),"")</f>
        <v/>
      </c>
      <c r="DI203" s="108" t="str">
        <f aca="false">IF(ISBLANK($C203),"",$B203)</f>
        <v/>
      </c>
      <c r="DJ203" s="108" t="str">
        <f aca="false">IF(ISBLANK($C203),"",$C203)</f>
        <v/>
      </c>
      <c r="DK203" s="108" t="str">
        <f aca="false">IF(ISBLANK($C203),"",$D203)</f>
        <v/>
      </c>
      <c r="DL203" s="109" t="str">
        <f aca="false">$CZ203</f>
        <v/>
      </c>
      <c r="DM203" s="110" t="str">
        <f aca="false">$CY203</f>
        <v/>
      </c>
      <c r="DN203" s="108" t="str">
        <f aca="false">IF(ISBLANK($C203),"",$DB203)</f>
        <v/>
      </c>
      <c r="DO203" s="111" t="str">
        <f aca="false">IF($DF203&gt;$DE$8,"",VLOOKUP($DF203,$DH$9:$DN$508,7,FALSE()))</f>
        <v/>
      </c>
      <c r="DP203" s="112" t="str">
        <f aca="false">IF($DF203&gt;$DE$8,"",VLOOKUP($DF203,$DH$9:$DN$508,2,FALSE()))</f>
        <v/>
      </c>
      <c r="DQ203" s="112" t="str">
        <f aca="false">IF($DF203&gt;$DE$8,"",VLOOKUP($DF203,$DH$9:$DN$508,3,FALSE()))</f>
        <v/>
      </c>
      <c r="DR203" s="112" t="str">
        <f aca="false">IF($DF203&gt;$DE$8,"",VLOOKUP($DF203,$DH$9:$DN$508,4,FALSE()))</f>
        <v/>
      </c>
      <c r="DS203" s="112" t="str">
        <f aca="false">IF($DF203&gt;$DE$8,"",VLOOKUP($DF203,$DH$9:$DN$508,5,FALSE()))</f>
        <v/>
      </c>
      <c r="DT203" s="113" t="str">
        <f aca="false">IF($DF203&gt;$DE$8,"",VLOOKUP($DF203,$DH$9:$DN$508,6,FALSE()))</f>
        <v/>
      </c>
      <c r="DU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IF(ISBLANK($C204),"",IF(E204=Constants!$B$3,TRUE(),IF(E204=Constants!$B$4,FALSE(),TRUE())))</f>
        <v/>
      </c>
      <c r="AG204" s="135" t="str">
        <f aca="false">IF(ISBLANK($C204),"",IF(F204=Constants!$B$3,TRUE(),IF(F204=Constants!$B$4,FALSE(),TRUE())))</f>
        <v/>
      </c>
      <c r="AH204" s="135" t="str">
        <f aca="false">IF(ISBLANK($C204),"",IF(G204=Constants!$B$3,TRUE(),IF(G204=Constants!$B$4,FALSE(),TRUE())))</f>
        <v/>
      </c>
      <c r="AI204" s="135" t="str">
        <f aca="false">IF(ISBLANK($C204),"",IF(AND(ISNUMBER(H204),H204&gt;=0),H204,Constants!$B$29))</f>
        <v/>
      </c>
      <c r="AJ204" s="135" t="str">
        <f aca="false">IF(ISBLANK($C204),"",IF(I204=Constants!$B$3,TRUE(),IF(I204=Constants!$B$4,FALSE(),TRUE())))</f>
        <v/>
      </c>
      <c r="AK204" s="135" t="str">
        <f aca="false">IF(ISBLANK($C204),"",IF(J204=Constants!$B$3,TRUE(),IF(J204=Constants!$B$4,FALSE(),TRUE())))</f>
        <v/>
      </c>
      <c r="AL204" s="135" t="str">
        <f aca="false">IF(ISBLANK($C204),"",IF(K204=Constants!$B$5,TRUE(),IF(K204=Constants!$B$6,FALSE(),COUNTA(L204:P204)&gt;0)))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IF(ISBLANK($C204),"",IF(N204=Constants!$B$3,TRUE(),IF(N204=Constants!$B$4,FALSE(),TRUE())))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IF(ISBLANK($C204),"",IF(P204=Constants!$B$3,TRUE(),IF(P204=Constants!$B$4,FALSE(),FALSE())))</f>
        <v/>
      </c>
      <c r="AR204" s="135" t="str">
        <f aca="false">IF(ISBLANK($C204),"",IF(Q204=Constants!$B$3,TRUE(),IF(Q204=Constants!$B$4,FALSE(),TRUE())))</f>
        <v/>
      </c>
      <c r="AS204" s="135" t="str">
        <f aca="false">IF(ISBLANK($C204),"",IF(R204=Constants!$B$3,TRUE(),IF(R204=Constants!$B$4,FALSE(),TRUE())))</f>
        <v/>
      </c>
      <c r="AT204" s="135" t="str">
        <f aca="false">IF(ISBLANK($C204),"",IF(S204=Constants!$B$5,TRUE(),IF(S204=Constants!$B$6,FALSE(),COUNTA(T204:X204)&gt;0)))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IF(ISBLANK($C204),"",IF(V204=Constants!$B$3,TRUE(),IF(V204=Constants!$B$4,FALSE(),TRUE())))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IF(ISBLANK($C204),"",IF(X204=Constants!$B$3,TRUE(),IF(X204=Constants!$B$4,FALSE(),FALSE())))</f>
        <v/>
      </c>
      <c r="AZ204" s="135" t="str">
        <f aca="false">IF(ISBLANK($C204),"",MIN(Constants!$B$31,MAX(0,IF(ISNUMBER(Y204),Y204*60,0)+IF(ISNUMBER(Z204),Z204,0))))</f>
        <v/>
      </c>
      <c r="BA204" s="135" t="str">
        <f aca="false">IF(ISBLANK($C204),"",IF(AA204=Constants!$B$3,TRUE(),IF(AA204=Constants!$B$4,FALSE(),FALSE())))</f>
        <v/>
      </c>
      <c r="BB204" s="134" t="str">
        <f aca="false">IF(ISBLANK($C204),"",AND($AL204,OR($AM204="",$AN204="",AND($AO204,$AP204=""))))</f>
        <v/>
      </c>
      <c r="BC204" s="137" t="str">
        <f aca="false">IF($BZ204&lt;&gt;Constants!$B$8,"",IF($AL204,Constants!$B$21*$AN204+Constants!$B$22*IF($AO204,$AP204,Constants!$B$23),Constants!$B$24))</f>
        <v/>
      </c>
      <c r="BD204" s="138" t="str">
        <f aca="false">IF($BZ204&lt;&gt;Constants!$B$8,"",Constants!$B$25*ABS($AD$9-IF($AL204,$AM204,0)))</f>
        <v/>
      </c>
      <c r="BE204" s="138" t="str">
        <f aca="false">IF($BZ204&lt;&gt;Constants!$B$8,"",IF(AND($AL204,$AQ204,$AO204),Constants!$B$27,0))</f>
        <v/>
      </c>
      <c r="BF204" s="138" t="str">
        <f aca="false">IF($BZ204&lt;&gt;Constants!$B$8,"",IF($AL204,($AI204-Constants!$B$29)*Constants!$B$28,0))</f>
        <v/>
      </c>
      <c r="BG204" s="138" t="str">
        <f aca="false">IF($BZ204&lt;&gt;Constants!$B$8,"",IF($AK204,0,Constants!$B$15)+IF($AJ204,0,Constants!$B$16)+IF($AH204,0,Constants!$B$17))</f>
        <v/>
      </c>
      <c r="BH204" s="139" t="str">
        <f aca="false">IF($BZ204&lt;&gt;Constants!$B$8,"",Constants!$B$20+SUM($BC204:$BG204))</f>
        <v/>
      </c>
      <c r="BI204" s="138" t="str">
        <f aca="false">IF($BZ204&lt;&gt;Constants!$B$8,"",$BC204)</f>
        <v/>
      </c>
      <c r="BJ204" s="138" t="str">
        <f aca="false">IF($BZ204&lt;&gt;Constants!$B$8,"",$BD204)</f>
        <v/>
      </c>
      <c r="BK204" s="138" t="str">
        <f aca="false">IF($BZ204&lt;&gt;Constants!$B$8,"",IF($AL204,$AN204,""))</f>
        <v/>
      </c>
      <c r="BL204" s="140" t="str">
        <f aca="false">IF($BZ204&lt;&gt;Constants!$B$8,"",$AI204)</f>
        <v/>
      </c>
      <c r="BM204" s="135" t="str">
        <f aca="false">IF($BZ204&lt;&gt;Constants!$B$8,"",IF(OR($BT204&lt;$BH204,AND($BT204=$BH204,OR($BU204&lt;$BI204,AND($BU204=$BI204,OR($BV204&lt;$BJ204,AND($BV204=$BJ204,OR(AND(ISNUMBER($BW204),OR(NOT(ISNUMBER($BK204)),$BW204&lt;$BK204)),AND(OR(AND($BW204="",$BK204=""),AND(ISNUMBER($BW204),ISNUMBER($BK204),$BW204=$BK204)),$BX204&lt;$BL204)))))))),"-&gt;","&lt;-"))</f>
        <v/>
      </c>
      <c r="BN204" s="134" t="str">
        <f aca="false">IF(ISBLANK($C204),"",AND($AT204,OR($AU204="",$AV204="",AND($AW204,$AX204=""))))</f>
        <v/>
      </c>
      <c r="BO204" s="137" t="str">
        <f aca="false">IF($BZ204&lt;&gt;Constants!$B$8,"",IF($AT204,Constants!$B$21*$AV204+Constants!$B$22*IF($AW204,$AX204,Constants!$B$23),Constants!$B$24))</f>
        <v/>
      </c>
      <c r="BP204" s="138" t="str">
        <f aca="false">IF($BZ204&lt;&gt;Constants!$B$8,"",Constants!$B$25*ABS($AD$9-IF($AT204,$AU204,0)))</f>
        <v/>
      </c>
      <c r="BQ204" s="138" t="str">
        <f aca="false">IF($BZ204&lt;&gt;Constants!$B$8,"",IF(AND($AT204,$AY204,$AW204),Constants!$B$27,0))</f>
        <v/>
      </c>
      <c r="BR204" s="138" t="str">
        <f aca="false">IF($BZ204&lt;&gt;Constants!$B$8,"",IF($AT204,($AI204-Constants!$B$29)*Constants!$B$28,0))</f>
        <v/>
      </c>
      <c r="BS204" s="138" t="str">
        <f aca="false">IF($BZ204&lt;&gt;Constants!$B$8,"",IF($AS204,0,Constants!$B$15)+IF($AR204,0,Constants!$B$16)+IF($AH204,0,Constants!$B$17))</f>
        <v/>
      </c>
      <c r="BT204" s="139" t="str">
        <f aca="false">IF($BZ204&lt;&gt;Constants!$B$8,"",Constants!$B$20+SUM($BO204:$BS204))</f>
        <v/>
      </c>
      <c r="BU204" s="138" t="str">
        <f aca="false">IF($BZ204&lt;&gt;Constants!$B$8,"",$BO204)</f>
        <v/>
      </c>
      <c r="BV204" s="138" t="str">
        <f aca="false">IF($BZ204&lt;&gt;Constants!$B$8,"",$BP204)</f>
        <v/>
      </c>
      <c r="BW204" s="138" t="str">
        <f aca="false">IF($BZ204&lt;&gt;Constants!$B$8,"",IF($AT204,$AV204,""))</f>
        <v/>
      </c>
      <c r="BX204" s="140" t="str">
        <f aca="false">IF($BZ204&lt;&gt;Constants!$B$8,"",$AI204)</f>
        <v/>
      </c>
      <c r="BY204" s="135" t="str">
        <f aca="false">IF(ISBLANK($C204),"",IF(ISBLANK($D$7),$BY$5,IF(NOT(ISNUMBER($D$7)),$BY$6,"")))</f>
        <v/>
      </c>
      <c r="BZ204" s="135" t="str">
        <f aca="false">IF(ISBLANK($C204),"",IF($BA204,Constants!$B$11,IF(COUNTA($E204:$AA204)=0,Constants!$B$10,IF(NOT($AG204),Constants!$B$9,IF(OR($BY204&lt;&gt;"",$BB204,$BN204),Constants!$B$12,Constants!$B$8)))))</f>
        <v/>
      </c>
      <c r="CA204" s="135" t="str">
        <f aca="false">IF(ISBLANK($C204),"",IF($BZ204&lt;&gt;Constants!$B$8,$BZ204,Constants!$B$13))</f>
        <v/>
      </c>
      <c r="CB204" s="138" t="str">
        <f aca="false">IF($BZ204&lt;&gt;Constants!$B$8,"",IF($BM204="-&gt;",$BT204,$BH204))</f>
        <v/>
      </c>
      <c r="CC204" s="138" t="str">
        <f aca="false">IF($BZ204&lt;&gt;Constants!$B$8,"",IF($AF204,0,Constants!$B$18))</f>
        <v/>
      </c>
      <c r="CD204" s="138" t="str">
        <f aca="false">IF($BZ204&lt;&gt;Constants!$B$8,"",((Constants!$B$31-$AZ204)-Constants!$B$31)/Constants!$B$32)</f>
        <v/>
      </c>
      <c r="CE204" s="138" t="str">
        <f aca="false">IF(ISBLANK($C204),"",IF($BZ204&lt;&gt;Constants!$B$8,$BZ204,SUM($CB204:$CD204)))</f>
        <v/>
      </c>
      <c r="CF204" s="135" t="str">
        <f aca="false">IF(ISBLANK($C204),"",IF($BZ204&lt;&gt;Constants!$B$8,$BZ204,RANK($CE204,$CE$9:$CE$508,1)))</f>
        <v/>
      </c>
      <c r="CG204" s="138" t="str">
        <f aca="false">IF($BZ204&lt;&gt;Constants!$B$8,"",IF($BM204="-&gt;",$BU204,$BI204))</f>
        <v/>
      </c>
      <c r="CH204" s="135" t="str">
        <f aca="false">IF(ISBLANK($C204),"",IF($BZ204&lt;&gt;Constants!$B$8,$BZ204,IF(ISNUMBER($CG204),RANK($CG204,$CG$9:$CG$508,1),COUNT($CG$9:$CG$508)+1)))</f>
        <v/>
      </c>
      <c r="CI204" s="138" t="str">
        <f aca="false">IF($BZ204&lt;&gt;Constants!$B$8,"",IF($BM204="-&gt;",$BV204,$BJ204))</f>
        <v/>
      </c>
      <c r="CJ204" s="135" t="str">
        <f aca="false">IF(ISBLANK($C204),"",IF($BZ204&lt;&gt;Constants!$B$8,$BZ204,IF(ISNUMBER($CI204),RANK($CI204,$CI$9:$CI$508,1),COUNT($CI$9:$CI$508)+1)))</f>
        <v/>
      </c>
      <c r="CK204" s="138" t="str">
        <f aca="false">IF($BZ204&lt;&gt;Constants!$B$8,"",IF($BM204="-&gt;",$BW204,$BK204))</f>
        <v/>
      </c>
      <c r="CL204" s="135" t="str">
        <f aca="false">IF(ISBLANK($C204),"",IF($BZ204&lt;&gt;Constants!$B$8,$BZ204,IF(ISNUMBER($CK204),RANK($CK204,$CK$9:$CK$508,1),COUNT($CK$9:$CK$508)+1)))</f>
        <v/>
      </c>
      <c r="CM204" s="138" t="str">
        <f aca="false">IF($BZ204&lt;&gt;Constants!$B$8,"",IF(AND(NOT($AL204),NOT($AT204),$AJ204,$AK204,$AR204,$AS204),"",IF($BM204="-&gt;",$BX204,$BL204)))</f>
        <v/>
      </c>
      <c r="CN204" s="135" t="str">
        <f aca="false">IF(ISBLANK($C204),"",IF($BZ204&lt;&gt;Constants!$B$8,$BZ204,IF(ISNUMBER($CM204),RANK($CM204,$CM$9:$CM$508,1),COUNT($CM$9:$CM$508)+1)))</f>
        <v/>
      </c>
      <c r="CO204" s="135" t="str">
        <f aca="false">IF(ISBLANK($C204),"",IF($BZ204&lt;&gt;Constants!$B$8,$BZ204,COUNTIFS($CF$9:$CF$508,"&lt;"&amp;$CF204)+COUNTIFS($CF$9:$CF$508,$CF204,$CH$9:$CH$508,"&lt;"&amp;$CH204)+COUNTIFS($CF$9:$CF$508,$CF204,$CH$9:$CH$508,$CH204,$CJ$9:$CJ$508,"&lt;"&amp;$CJ204)+COUNTIFS($CF$9:$CF$508,$CF204,$CH$9:$CH$508,$CH204,$CJ$9:$CJ$508,$CJ204,$CL$9:$CL$508,"&lt;"&amp;$CL204)+COUNTIFS($CF$9:$CF$508,$CF204,$CH$9:$CH$508,$CH204,$CJ$9:$CJ$508,$CJ204,$CL$9:$CL$508,$CL204,$CN$9:$CN$508,"&lt;"&amp;$CN204)+1))</f>
        <v/>
      </c>
      <c r="CP204" s="135" t="str">
        <f aca="false">IF(ISBLANK($C204),"",IF($BZ204&lt;&gt;Constants!$B$8,$BZ204,$CF204-$CO204))</f>
        <v/>
      </c>
      <c r="CQ204" s="141"/>
      <c r="CR204" s="142"/>
      <c r="CS204" s="143" t="str">
        <f aca="false">IF(ISBLANK($C204),"",IF($BZ204=Constants!$B$12,$BY204,""))</f>
        <v/>
      </c>
      <c r="CT204" s="142" t="str">
        <f aca="false">IF(ISBLANK($C204),"",IF($BZ204&lt;&gt;Constants!$B$8,"",IF($BM204="-&gt;",2,1)))</f>
        <v/>
      </c>
      <c r="CU204" s="144" t="str">
        <f aca="false">IF(ISBLANK($C204),"",IF($BZ204&lt;&gt;Constants!$B$8,"",IF($BM204="-&gt;",$BO204,$BC204)))</f>
        <v/>
      </c>
      <c r="CV204" s="144" t="str">
        <f aca="false">IF(ISBLANK($C204),"",IF($BZ204&lt;&gt;Constants!$B$8,"",IF($BM204="-&gt;",$BP204,$BD204)))</f>
        <v/>
      </c>
      <c r="CW204" s="144" t="str">
        <f aca="false">IF(ISBLANK($C204),"",IF($BZ204&lt;&gt;Constants!$B$8,"",IF($BM204="-&gt;",$BQ204+$BR204,$BE204+$BF204)+$CD204))</f>
        <v/>
      </c>
      <c r="CX204" s="144" t="str">
        <f aca="false">IF(ISBLANK($C204),"",IF($BZ204&lt;&gt;Constants!$B$8,"",IF($BM204="-&gt;",$BS204,$BG204)+$CC204))</f>
        <v/>
      </c>
      <c r="CY204" s="145" t="str">
        <f aca="false">IF(ISBLANK($C204),"",IF($BZ204&lt;&gt;Constants!$B$8,$BZ204,$CE204))</f>
        <v/>
      </c>
      <c r="CZ204" s="146" t="str">
        <f aca="false">IF(ISBLANK($C204),"",$CA204)</f>
        <v/>
      </c>
      <c r="DA204" s="147" t="str">
        <f aca="false">IF(ISBLANK($C204),"",$CP204)</f>
        <v/>
      </c>
      <c r="DB204" s="147" t="str">
        <f aca="false">IF(ISBLANK($C204),"",$CO204)</f>
        <v/>
      </c>
      <c r="DC204" s="148" t="str">
        <f aca="false">IF(ISBLANK($C204),"",IFERROR(_xlfn.SWITCH($DB204,Constants!$B$11,COUNTA($C$9:$C$508)+2,Constants!$B$10,COUNTA($C$9:$C$508)+1,Constants!$B$9,COUNTA($C$9:$C$508)),$DB204))</f>
        <v/>
      </c>
      <c r="DD204" s="9"/>
      <c r="DE204" s="149" t="n">
        <f aca="false">IF(OR(ISNUMBER($DB204),$DB204=Constants!$B$11,$DB204=Constants!$B$9,$DB204=Constants!$B$10),1,0)</f>
        <v>0</v>
      </c>
      <c r="DF204" s="149" t="n">
        <v>196</v>
      </c>
      <c r="DG204" s="149" t="str">
        <f aca="false">IF(ISBLANK($C204),"",IF(ISNUMBER($DC204),$DC204+ROW($B204)/1000,""))</f>
        <v/>
      </c>
      <c r="DH204" s="149" t="str">
        <f aca="false">IF(ISNUMBER($DG204),RANK($DG204,$DG$9:$DG$508,1),"")</f>
        <v/>
      </c>
      <c r="DI204" s="149" t="str">
        <f aca="false">IF(ISBLANK($C204),"",$B204)</f>
        <v/>
      </c>
      <c r="DJ204" s="149" t="str">
        <f aca="false">IF(ISBLANK($C204),"",$C204)</f>
        <v/>
      </c>
      <c r="DK204" s="149" t="str">
        <f aca="false">IF(ISBLANK($C204),"",$D204)</f>
        <v/>
      </c>
      <c r="DL204" s="150" t="str">
        <f aca="false">$CZ204</f>
        <v/>
      </c>
      <c r="DM204" s="151" t="str">
        <f aca="false">$CY204</f>
        <v/>
      </c>
      <c r="DN204" s="149" t="str">
        <f aca="false">IF(ISBLANK($C204),"",$DB204)</f>
        <v/>
      </c>
      <c r="DO204" s="152" t="str">
        <f aca="false">IF($DF204&gt;$DE$8,"",VLOOKUP($DF204,$DH$9:$DN$508,7,FALSE()))</f>
        <v/>
      </c>
      <c r="DP204" s="153" t="str">
        <f aca="false">IF($DF204&gt;$DE$8,"",VLOOKUP($DF204,$DH$9:$DN$508,2,FALSE()))</f>
        <v/>
      </c>
      <c r="DQ204" s="153" t="str">
        <f aca="false">IF($DF204&gt;$DE$8,"",VLOOKUP($DF204,$DH$9:$DN$508,3,FALSE()))</f>
        <v/>
      </c>
      <c r="DR204" s="153" t="str">
        <f aca="false">IF($DF204&gt;$DE$8,"",VLOOKUP($DF204,$DH$9:$DN$508,4,FALSE()))</f>
        <v/>
      </c>
      <c r="DS204" s="153" t="str">
        <f aca="false">IF($DF204&gt;$DE$8,"",VLOOKUP($DF204,$DH$9:$DN$508,5,FALSE()))</f>
        <v/>
      </c>
      <c r="DT204" s="154" t="str">
        <f aca="false">IF($DF204&gt;$DE$8,"",VLOOKUP($DF204,$DH$9:$DN$508,6,FALSE()))</f>
        <v/>
      </c>
      <c r="DU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IF(ISBLANK($C205),"",IF(E205=Constants!$B$3,TRUE(),IF(E205=Constants!$B$4,FALSE(),TRUE())))</f>
        <v/>
      </c>
      <c r="AG205" s="135" t="str">
        <f aca="false">IF(ISBLANK($C205),"",IF(F205=Constants!$B$3,TRUE(),IF(F205=Constants!$B$4,FALSE(),TRUE())))</f>
        <v/>
      </c>
      <c r="AH205" s="135" t="str">
        <f aca="false">IF(ISBLANK($C205),"",IF(G205=Constants!$B$3,TRUE(),IF(G205=Constants!$B$4,FALSE(),TRUE())))</f>
        <v/>
      </c>
      <c r="AI205" s="135" t="str">
        <f aca="false">IF(ISBLANK($C205),"",IF(AND(ISNUMBER(H205),H205&gt;=0),H205,Constants!$B$29))</f>
        <v/>
      </c>
      <c r="AJ205" s="135" t="str">
        <f aca="false">IF(ISBLANK($C205),"",IF(I205=Constants!$B$3,TRUE(),IF(I205=Constants!$B$4,FALSE(),TRUE())))</f>
        <v/>
      </c>
      <c r="AK205" s="135" t="str">
        <f aca="false">IF(ISBLANK($C205),"",IF(J205=Constants!$B$3,TRUE(),IF(J205=Constants!$B$4,FALSE(),TRUE())))</f>
        <v/>
      </c>
      <c r="AL205" s="135" t="str">
        <f aca="false">IF(ISBLANK($C205),"",IF(K205=Constants!$B$5,TRUE(),IF(K205=Constants!$B$6,FALSE(),COUNTA(L205:P205)&gt;0)))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IF(ISBLANK($C205),"",IF(N205=Constants!$B$3,TRUE(),IF(N205=Constants!$B$4,FALSE(),TRUE())))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IF(ISBLANK($C205),"",IF(P205=Constants!$B$3,TRUE(),IF(P205=Constants!$B$4,FALSE(),FALSE())))</f>
        <v/>
      </c>
      <c r="AR205" s="135" t="str">
        <f aca="false">IF(ISBLANK($C205),"",IF(Q205=Constants!$B$3,TRUE(),IF(Q205=Constants!$B$4,FALSE(),TRUE())))</f>
        <v/>
      </c>
      <c r="AS205" s="135" t="str">
        <f aca="false">IF(ISBLANK($C205),"",IF(R205=Constants!$B$3,TRUE(),IF(R205=Constants!$B$4,FALSE(),TRUE())))</f>
        <v/>
      </c>
      <c r="AT205" s="135" t="str">
        <f aca="false">IF(ISBLANK($C205),"",IF(S205=Constants!$B$5,TRUE(),IF(S205=Constants!$B$6,FALSE(),COUNTA(T205:X205)&gt;0)))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IF(ISBLANK($C205),"",IF(V205=Constants!$B$3,TRUE(),IF(V205=Constants!$B$4,FALSE(),TRUE())))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IF(ISBLANK($C205),"",IF(X205=Constants!$B$3,TRUE(),IF(X205=Constants!$B$4,FALSE(),FALSE())))</f>
        <v/>
      </c>
      <c r="AZ205" s="135" t="str">
        <f aca="false">IF(ISBLANK($C205),"",MIN(Constants!$B$31,MAX(0,IF(ISNUMBER(Y205),Y205*60,0)+IF(ISNUMBER(Z205),Z205,0))))</f>
        <v/>
      </c>
      <c r="BA205" s="135" t="str">
        <f aca="false">IF(ISBLANK($C205),"",IF(AA205=Constants!$B$3,TRUE(),IF(AA205=Constants!$B$4,FALSE(),FALSE())))</f>
        <v/>
      </c>
      <c r="BB205" s="134" t="str">
        <f aca="false">IF(ISBLANK($C205),"",AND($AL205,OR($AM205="",$AN205="",AND($AO205,$AP205=""))))</f>
        <v/>
      </c>
      <c r="BC205" s="137" t="str">
        <f aca="false">IF($BZ205&lt;&gt;Constants!$B$8,"",IF($AL205,Constants!$B$21*$AN205+Constants!$B$22*IF($AO205,$AP205,Constants!$B$23),Constants!$B$24))</f>
        <v/>
      </c>
      <c r="BD205" s="138" t="str">
        <f aca="false">IF($BZ205&lt;&gt;Constants!$B$8,"",Constants!$B$25*ABS($AD$9-IF($AL205,$AM205,0)))</f>
        <v/>
      </c>
      <c r="BE205" s="138" t="str">
        <f aca="false">IF($BZ205&lt;&gt;Constants!$B$8,"",IF(AND($AL205,$AQ205,$AO205),Constants!$B$27,0))</f>
        <v/>
      </c>
      <c r="BF205" s="138" t="str">
        <f aca="false">IF($BZ205&lt;&gt;Constants!$B$8,"",IF($AL205,($AI205-Constants!$B$29)*Constants!$B$28,0))</f>
        <v/>
      </c>
      <c r="BG205" s="138" t="str">
        <f aca="false">IF($BZ205&lt;&gt;Constants!$B$8,"",IF($AK205,0,Constants!$B$15)+IF($AJ205,0,Constants!$B$16)+IF($AH205,0,Constants!$B$17))</f>
        <v/>
      </c>
      <c r="BH205" s="139" t="str">
        <f aca="false">IF($BZ205&lt;&gt;Constants!$B$8,"",Constants!$B$20+SUM($BC205:$BG205))</f>
        <v/>
      </c>
      <c r="BI205" s="138" t="str">
        <f aca="false">IF($BZ205&lt;&gt;Constants!$B$8,"",$BC205)</f>
        <v/>
      </c>
      <c r="BJ205" s="138" t="str">
        <f aca="false">IF($BZ205&lt;&gt;Constants!$B$8,"",$BD205)</f>
        <v/>
      </c>
      <c r="BK205" s="138" t="str">
        <f aca="false">IF($BZ205&lt;&gt;Constants!$B$8,"",IF($AL205,$AN205,""))</f>
        <v/>
      </c>
      <c r="BL205" s="140" t="str">
        <f aca="false">IF($BZ205&lt;&gt;Constants!$B$8,"",$AI205)</f>
        <v/>
      </c>
      <c r="BM205" s="135" t="str">
        <f aca="false">IF($BZ205&lt;&gt;Constants!$B$8,"",IF(OR($BT205&lt;$BH205,AND($BT205=$BH205,OR($BU205&lt;$BI205,AND($BU205=$BI205,OR($BV205&lt;$BJ205,AND($BV205=$BJ205,OR(AND(ISNUMBER($BW205),OR(NOT(ISNUMBER($BK205)),$BW205&lt;$BK205)),AND(OR(AND($BW205="",$BK205=""),AND(ISNUMBER($BW205),ISNUMBER($BK205),$BW205=$BK205)),$BX205&lt;$BL205)))))))),"-&gt;","&lt;-"))</f>
        <v/>
      </c>
      <c r="BN205" s="134" t="str">
        <f aca="false">IF(ISBLANK($C205),"",AND($AT205,OR($AU205="",$AV205="",AND($AW205,$AX205=""))))</f>
        <v/>
      </c>
      <c r="BO205" s="137" t="str">
        <f aca="false">IF($BZ205&lt;&gt;Constants!$B$8,"",IF($AT205,Constants!$B$21*$AV205+Constants!$B$22*IF($AW205,$AX205,Constants!$B$23),Constants!$B$24))</f>
        <v/>
      </c>
      <c r="BP205" s="138" t="str">
        <f aca="false">IF($BZ205&lt;&gt;Constants!$B$8,"",Constants!$B$25*ABS($AD$9-IF($AT205,$AU205,0)))</f>
        <v/>
      </c>
      <c r="BQ205" s="138" t="str">
        <f aca="false">IF($BZ205&lt;&gt;Constants!$B$8,"",IF(AND($AT205,$AY205,$AW205),Constants!$B$27,0))</f>
        <v/>
      </c>
      <c r="BR205" s="138" t="str">
        <f aca="false">IF($BZ205&lt;&gt;Constants!$B$8,"",IF($AT205,($AI205-Constants!$B$29)*Constants!$B$28,0))</f>
        <v/>
      </c>
      <c r="BS205" s="138" t="str">
        <f aca="false">IF($BZ205&lt;&gt;Constants!$B$8,"",IF($AS205,0,Constants!$B$15)+IF($AR205,0,Constants!$B$16)+IF($AH205,0,Constants!$B$17))</f>
        <v/>
      </c>
      <c r="BT205" s="139" t="str">
        <f aca="false">IF($BZ205&lt;&gt;Constants!$B$8,"",Constants!$B$20+SUM($BO205:$BS205))</f>
        <v/>
      </c>
      <c r="BU205" s="138" t="str">
        <f aca="false">IF($BZ205&lt;&gt;Constants!$B$8,"",$BO205)</f>
        <v/>
      </c>
      <c r="BV205" s="138" t="str">
        <f aca="false">IF($BZ205&lt;&gt;Constants!$B$8,"",$BP205)</f>
        <v/>
      </c>
      <c r="BW205" s="138" t="str">
        <f aca="false">IF($BZ205&lt;&gt;Constants!$B$8,"",IF($AT205,$AV205,""))</f>
        <v/>
      </c>
      <c r="BX205" s="140" t="str">
        <f aca="false">IF($BZ205&lt;&gt;Constants!$B$8,"",$AI205)</f>
        <v/>
      </c>
      <c r="BY205" s="135" t="str">
        <f aca="false">IF(ISBLANK($C205),"",IF(ISBLANK($D$7),$BY$5,IF(NOT(ISNUMBER($D$7)),$BY$6,"")))</f>
        <v/>
      </c>
      <c r="BZ205" s="135" t="str">
        <f aca="false">IF(ISBLANK($C205),"",IF($BA205,Constants!$B$11,IF(COUNTA($E205:$AA205)=0,Constants!$B$10,IF(NOT($AG205),Constants!$B$9,IF(OR($BY205&lt;&gt;"",$BB205,$BN205),Constants!$B$12,Constants!$B$8)))))</f>
        <v/>
      </c>
      <c r="CA205" s="135" t="str">
        <f aca="false">IF(ISBLANK($C205),"",IF($BZ205&lt;&gt;Constants!$B$8,$BZ205,Constants!$B$13))</f>
        <v/>
      </c>
      <c r="CB205" s="138" t="str">
        <f aca="false">IF($BZ205&lt;&gt;Constants!$B$8,"",IF($BM205="-&gt;",$BT205,$BH205))</f>
        <v/>
      </c>
      <c r="CC205" s="138" t="str">
        <f aca="false">IF($BZ205&lt;&gt;Constants!$B$8,"",IF($AF205,0,Constants!$B$18))</f>
        <v/>
      </c>
      <c r="CD205" s="138" t="str">
        <f aca="false">IF($BZ205&lt;&gt;Constants!$B$8,"",((Constants!$B$31-$AZ205)-Constants!$B$31)/Constants!$B$32)</f>
        <v/>
      </c>
      <c r="CE205" s="138" t="str">
        <f aca="false">IF(ISBLANK($C205),"",IF($BZ205&lt;&gt;Constants!$B$8,$BZ205,SUM($CB205:$CD205)))</f>
        <v/>
      </c>
      <c r="CF205" s="135" t="str">
        <f aca="false">IF(ISBLANK($C205),"",IF($BZ205&lt;&gt;Constants!$B$8,$BZ205,RANK($CE205,$CE$9:$CE$508,1)))</f>
        <v/>
      </c>
      <c r="CG205" s="138" t="str">
        <f aca="false">IF($BZ205&lt;&gt;Constants!$B$8,"",IF($BM205="-&gt;",$BU205,$BI205))</f>
        <v/>
      </c>
      <c r="CH205" s="135" t="str">
        <f aca="false">IF(ISBLANK($C205),"",IF($BZ205&lt;&gt;Constants!$B$8,$BZ205,IF(ISNUMBER($CG205),RANK($CG205,$CG$9:$CG$508,1),COUNT($CG$9:$CG$508)+1)))</f>
        <v/>
      </c>
      <c r="CI205" s="138" t="str">
        <f aca="false">IF($BZ205&lt;&gt;Constants!$B$8,"",IF($BM205="-&gt;",$BV205,$BJ205))</f>
        <v/>
      </c>
      <c r="CJ205" s="135" t="str">
        <f aca="false">IF(ISBLANK($C205),"",IF($BZ205&lt;&gt;Constants!$B$8,$BZ205,IF(ISNUMBER($CI205),RANK($CI205,$CI$9:$CI$508,1),COUNT($CI$9:$CI$508)+1)))</f>
        <v/>
      </c>
      <c r="CK205" s="138" t="str">
        <f aca="false">IF($BZ205&lt;&gt;Constants!$B$8,"",IF($BM205="-&gt;",$BW205,$BK205))</f>
        <v/>
      </c>
      <c r="CL205" s="135" t="str">
        <f aca="false">IF(ISBLANK($C205),"",IF($BZ205&lt;&gt;Constants!$B$8,$BZ205,IF(ISNUMBER($CK205),RANK($CK205,$CK$9:$CK$508,1),COUNT($CK$9:$CK$508)+1)))</f>
        <v/>
      </c>
      <c r="CM205" s="138" t="str">
        <f aca="false">IF($BZ205&lt;&gt;Constants!$B$8,"",IF(AND(NOT($AL205),NOT($AT205),$AJ205,$AK205,$AR205,$AS205),"",IF($BM205="-&gt;",$BX205,$BL205)))</f>
        <v/>
      </c>
      <c r="CN205" s="135" t="str">
        <f aca="false">IF(ISBLANK($C205),"",IF($BZ205&lt;&gt;Constants!$B$8,$BZ205,IF(ISNUMBER($CM205),RANK($CM205,$CM$9:$CM$508,1),COUNT($CM$9:$CM$508)+1)))</f>
        <v/>
      </c>
      <c r="CO205" s="135" t="str">
        <f aca="false">IF(ISBLANK($C205),"",IF($BZ205&lt;&gt;Constants!$B$8,$BZ205,COUNTIFS($CF$9:$CF$508,"&lt;"&amp;$CF205)+COUNTIFS($CF$9:$CF$508,$CF205,$CH$9:$CH$508,"&lt;"&amp;$CH205)+COUNTIFS($CF$9:$CF$508,$CF205,$CH$9:$CH$508,$CH205,$CJ$9:$CJ$508,"&lt;"&amp;$CJ205)+COUNTIFS($CF$9:$CF$508,$CF205,$CH$9:$CH$508,$CH205,$CJ$9:$CJ$508,$CJ205,$CL$9:$CL$508,"&lt;"&amp;$CL205)+COUNTIFS($CF$9:$CF$508,$CF205,$CH$9:$CH$508,$CH205,$CJ$9:$CJ$508,$CJ205,$CL$9:$CL$508,$CL205,$CN$9:$CN$508,"&lt;"&amp;$CN205)+1))</f>
        <v/>
      </c>
      <c r="CP205" s="135" t="str">
        <f aca="false">IF(ISBLANK($C205),"",IF($BZ205&lt;&gt;Constants!$B$8,$BZ205,$CF205-$CO205))</f>
        <v/>
      </c>
      <c r="CQ205" s="141"/>
      <c r="CR205" s="142"/>
      <c r="CS205" s="143" t="str">
        <f aca="false">IF(ISBLANK($C205),"",IF($BZ205=Constants!$B$12,$BY205,""))</f>
        <v/>
      </c>
      <c r="CT205" s="142" t="str">
        <f aca="false">IF(ISBLANK($C205),"",IF($BZ205&lt;&gt;Constants!$B$8,"",IF($BM205="-&gt;",2,1)))</f>
        <v/>
      </c>
      <c r="CU205" s="144" t="str">
        <f aca="false">IF(ISBLANK($C205),"",IF($BZ205&lt;&gt;Constants!$B$8,"",IF($BM205="-&gt;",$BO205,$BC205)))</f>
        <v/>
      </c>
      <c r="CV205" s="144" t="str">
        <f aca="false">IF(ISBLANK($C205),"",IF($BZ205&lt;&gt;Constants!$B$8,"",IF($BM205="-&gt;",$BP205,$BD205)))</f>
        <v/>
      </c>
      <c r="CW205" s="144" t="str">
        <f aca="false">IF(ISBLANK($C205),"",IF($BZ205&lt;&gt;Constants!$B$8,"",IF($BM205="-&gt;",$BQ205+$BR205,$BE205+$BF205)+$CD205))</f>
        <v/>
      </c>
      <c r="CX205" s="144" t="str">
        <f aca="false">IF(ISBLANK($C205),"",IF($BZ205&lt;&gt;Constants!$B$8,"",IF($BM205="-&gt;",$BS205,$BG205)+$CC205))</f>
        <v/>
      </c>
      <c r="CY205" s="145" t="str">
        <f aca="false">IF(ISBLANK($C205),"",IF($BZ205&lt;&gt;Constants!$B$8,$BZ205,$CE205))</f>
        <v/>
      </c>
      <c r="CZ205" s="146" t="str">
        <f aca="false">IF(ISBLANK($C205),"",$CA205)</f>
        <v/>
      </c>
      <c r="DA205" s="147" t="str">
        <f aca="false">IF(ISBLANK($C205),"",$CP205)</f>
        <v/>
      </c>
      <c r="DB205" s="147" t="str">
        <f aca="false">IF(ISBLANK($C205),"",$CO205)</f>
        <v/>
      </c>
      <c r="DC205" s="148" t="str">
        <f aca="false">IF(ISBLANK($C205),"",IFERROR(_xlfn.SWITCH($DB205,Constants!$B$11,COUNTA($C$9:$C$508)+2,Constants!$B$10,COUNTA($C$9:$C$508)+1,Constants!$B$9,COUNTA($C$9:$C$508)),$DB205))</f>
        <v/>
      </c>
      <c r="DD205" s="9"/>
      <c r="DE205" s="149" t="n">
        <f aca="false">IF(OR(ISNUMBER($DB205),$DB205=Constants!$B$11,$DB205=Constants!$B$9,$DB205=Constants!$B$10),1,0)</f>
        <v>0</v>
      </c>
      <c r="DF205" s="149" t="n">
        <v>197</v>
      </c>
      <c r="DG205" s="149" t="str">
        <f aca="false">IF(ISBLANK($C205),"",IF(ISNUMBER($DC205),$DC205+ROW($B205)/1000,""))</f>
        <v/>
      </c>
      <c r="DH205" s="149" t="str">
        <f aca="false">IF(ISNUMBER($DG205),RANK($DG205,$DG$9:$DG$508,1),"")</f>
        <v/>
      </c>
      <c r="DI205" s="149" t="str">
        <f aca="false">IF(ISBLANK($C205),"",$B205)</f>
        <v/>
      </c>
      <c r="DJ205" s="149" t="str">
        <f aca="false">IF(ISBLANK($C205),"",$C205)</f>
        <v/>
      </c>
      <c r="DK205" s="149" t="str">
        <f aca="false">IF(ISBLANK($C205),"",$D205)</f>
        <v/>
      </c>
      <c r="DL205" s="150" t="str">
        <f aca="false">$CZ205</f>
        <v/>
      </c>
      <c r="DM205" s="151" t="str">
        <f aca="false">$CY205</f>
        <v/>
      </c>
      <c r="DN205" s="149" t="str">
        <f aca="false">IF(ISBLANK($C205),"",$DB205)</f>
        <v/>
      </c>
      <c r="DO205" s="152" t="str">
        <f aca="false">IF($DF205&gt;$DE$8,"",VLOOKUP($DF205,$DH$9:$DN$508,7,FALSE()))</f>
        <v/>
      </c>
      <c r="DP205" s="153" t="str">
        <f aca="false">IF($DF205&gt;$DE$8,"",VLOOKUP($DF205,$DH$9:$DN$508,2,FALSE()))</f>
        <v/>
      </c>
      <c r="DQ205" s="153" t="str">
        <f aca="false">IF($DF205&gt;$DE$8,"",VLOOKUP($DF205,$DH$9:$DN$508,3,FALSE()))</f>
        <v/>
      </c>
      <c r="DR205" s="153" t="str">
        <f aca="false">IF($DF205&gt;$DE$8,"",VLOOKUP($DF205,$DH$9:$DN$508,4,FALSE()))</f>
        <v/>
      </c>
      <c r="DS205" s="153" t="str">
        <f aca="false">IF($DF205&gt;$DE$8,"",VLOOKUP($DF205,$DH$9:$DN$508,5,FALSE()))</f>
        <v/>
      </c>
      <c r="DT205" s="154" t="str">
        <f aca="false">IF($DF205&gt;$DE$8,"",VLOOKUP($DF205,$DH$9:$DN$508,6,FALSE()))</f>
        <v/>
      </c>
      <c r="DU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IF(ISBLANK($C206),"",IF(E206=Constants!$B$3,TRUE(),IF(E206=Constants!$B$4,FALSE(),TRUE())))</f>
        <v/>
      </c>
      <c r="AG206" s="135" t="str">
        <f aca="false">IF(ISBLANK($C206),"",IF(F206=Constants!$B$3,TRUE(),IF(F206=Constants!$B$4,FALSE(),TRUE())))</f>
        <v/>
      </c>
      <c r="AH206" s="135" t="str">
        <f aca="false">IF(ISBLANK($C206),"",IF(G206=Constants!$B$3,TRUE(),IF(G206=Constants!$B$4,FALSE(),TRUE())))</f>
        <v/>
      </c>
      <c r="AI206" s="135" t="str">
        <f aca="false">IF(ISBLANK($C206),"",IF(AND(ISNUMBER(H206),H206&gt;=0),H206,Constants!$B$29))</f>
        <v/>
      </c>
      <c r="AJ206" s="135" t="str">
        <f aca="false">IF(ISBLANK($C206),"",IF(I206=Constants!$B$3,TRUE(),IF(I206=Constants!$B$4,FALSE(),TRUE())))</f>
        <v/>
      </c>
      <c r="AK206" s="135" t="str">
        <f aca="false">IF(ISBLANK($C206),"",IF(J206=Constants!$B$3,TRUE(),IF(J206=Constants!$B$4,FALSE(),TRUE())))</f>
        <v/>
      </c>
      <c r="AL206" s="135" t="str">
        <f aca="false">IF(ISBLANK($C206),"",IF(K206=Constants!$B$5,TRUE(),IF(K206=Constants!$B$6,FALSE(),COUNTA(L206:P206)&gt;0)))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IF(ISBLANK($C206),"",IF(N206=Constants!$B$3,TRUE(),IF(N206=Constants!$B$4,FALSE(),TRUE())))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IF(ISBLANK($C206),"",IF(P206=Constants!$B$3,TRUE(),IF(P206=Constants!$B$4,FALSE(),FALSE())))</f>
        <v/>
      </c>
      <c r="AR206" s="135" t="str">
        <f aca="false">IF(ISBLANK($C206),"",IF(Q206=Constants!$B$3,TRUE(),IF(Q206=Constants!$B$4,FALSE(),TRUE())))</f>
        <v/>
      </c>
      <c r="AS206" s="135" t="str">
        <f aca="false">IF(ISBLANK($C206),"",IF(R206=Constants!$B$3,TRUE(),IF(R206=Constants!$B$4,FALSE(),TRUE())))</f>
        <v/>
      </c>
      <c r="AT206" s="135" t="str">
        <f aca="false">IF(ISBLANK($C206),"",IF(S206=Constants!$B$5,TRUE(),IF(S206=Constants!$B$6,FALSE(),COUNTA(T206:X206)&gt;0)))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IF(ISBLANK($C206),"",IF(V206=Constants!$B$3,TRUE(),IF(V206=Constants!$B$4,FALSE(),TRUE())))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IF(ISBLANK($C206),"",IF(X206=Constants!$B$3,TRUE(),IF(X206=Constants!$B$4,FALSE(),FALSE())))</f>
        <v/>
      </c>
      <c r="AZ206" s="135" t="str">
        <f aca="false">IF(ISBLANK($C206),"",MIN(Constants!$B$31,MAX(0,IF(ISNUMBER(Y206),Y206*60,0)+IF(ISNUMBER(Z206),Z206,0))))</f>
        <v/>
      </c>
      <c r="BA206" s="135" t="str">
        <f aca="false">IF(ISBLANK($C206),"",IF(AA206=Constants!$B$3,TRUE(),IF(AA206=Constants!$B$4,FALSE(),FALSE())))</f>
        <v/>
      </c>
      <c r="BB206" s="134" t="str">
        <f aca="false">IF(ISBLANK($C206),"",AND($AL206,OR($AM206="",$AN206="",AND($AO206,$AP206=""))))</f>
        <v/>
      </c>
      <c r="BC206" s="137" t="str">
        <f aca="false">IF($BZ206&lt;&gt;Constants!$B$8,"",IF($AL206,Constants!$B$21*$AN206+Constants!$B$22*IF($AO206,$AP206,Constants!$B$23),Constants!$B$24))</f>
        <v/>
      </c>
      <c r="BD206" s="138" t="str">
        <f aca="false">IF($BZ206&lt;&gt;Constants!$B$8,"",Constants!$B$25*ABS($AD$9-IF($AL206,$AM206,0)))</f>
        <v/>
      </c>
      <c r="BE206" s="138" t="str">
        <f aca="false">IF($BZ206&lt;&gt;Constants!$B$8,"",IF(AND($AL206,$AQ206,$AO206),Constants!$B$27,0))</f>
        <v/>
      </c>
      <c r="BF206" s="138" t="str">
        <f aca="false">IF($BZ206&lt;&gt;Constants!$B$8,"",IF($AL206,($AI206-Constants!$B$29)*Constants!$B$28,0))</f>
        <v/>
      </c>
      <c r="BG206" s="138" t="str">
        <f aca="false">IF($BZ206&lt;&gt;Constants!$B$8,"",IF($AK206,0,Constants!$B$15)+IF($AJ206,0,Constants!$B$16)+IF($AH206,0,Constants!$B$17))</f>
        <v/>
      </c>
      <c r="BH206" s="139" t="str">
        <f aca="false">IF($BZ206&lt;&gt;Constants!$B$8,"",Constants!$B$20+SUM($BC206:$BG206))</f>
        <v/>
      </c>
      <c r="BI206" s="138" t="str">
        <f aca="false">IF($BZ206&lt;&gt;Constants!$B$8,"",$BC206)</f>
        <v/>
      </c>
      <c r="BJ206" s="138" t="str">
        <f aca="false">IF($BZ206&lt;&gt;Constants!$B$8,"",$BD206)</f>
        <v/>
      </c>
      <c r="BK206" s="138" t="str">
        <f aca="false">IF($BZ206&lt;&gt;Constants!$B$8,"",IF($AL206,$AN206,""))</f>
        <v/>
      </c>
      <c r="BL206" s="140" t="str">
        <f aca="false">IF($BZ206&lt;&gt;Constants!$B$8,"",$AI206)</f>
        <v/>
      </c>
      <c r="BM206" s="135" t="str">
        <f aca="false">IF($BZ206&lt;&gt;Constants!$B$8,"",IF(OR($BT206&lt;$BH206,AND($BT206=$BH206,OR($BU206&lt;$BI206,AND($BU206=$BI206,OR($BV206&lt;$BJ206,AND($BV206=$BJ206,OR(AND(ISNUMBER($BW206),OR(NOT(ISNUMBER($BK206)),$BW206&lt;$BK206)),AND(OR(AND($BW206="",$BK206=""),AND(ISNUMBER($BW206),ISNUMBER($BK206),$BW206=$BK206)),$BX206&lt;$BL206)))))))),"-&gt;","&lt;-"))</f>
        <v/>
      </c>
      <c r="BN206" s="134" t="str">
        <f aca="false">IF(ISBLANK($C206),"",AND($AT206,OR($AU206="",$AV206="",AND($AW206,$AX206=""))))</f>
        <v/>
      </c>
      <c r="BO206" s="137" t="str">
        <f aca="false">IF($BZ206&lt;&gt;Constants!$B$8,"",IF($AT206,Constants!$B$21*$AV206+Constants!$B$22*IF($AW206,$AX206,Constants!$B$23),Constants!$B$24))</f>
        <v/>
      </c>
      <c r="BP206" s="138" t="str">
        <f aca="false">IF($BZ206&lt;&gt;Constants!$B$8,"",Constants!$B$25*ABS($AD$9-IF($AT206,$AU206,0)))</f>
        <v/>
      </c>
      <c r="BQ206" s="138" t="str">
        <f aca="false">IF($BZ206&lt;&gt;Constants!$B$8,"",IF(AND($AT206,$AY206,$AW206),Constants!$B$27,0))</f>
        <v/>
      </c>
      <c r="BR206" s="138" t="str">
        <f aca="false">IF($BZ206&lt;&gt;Constants!$B$8,"",IF($AT206,($AI206-Constants!$B$29)*Constants!$B$28,0))</f>
        <v/>
      </c>
      <c r="BS206" s="138" t="str">
        <f aca="false">IF($BZ206&lt;&gt;Constants!$B$8,"",IF($AS206,0,Constants!$B$15)+IF($AR206,0,Constants!$B$16)+IF($AH206,0,Constants!$B$17))</f>
        <v/>
      </c>
      <c r="BT206" s="139" t="str">
        <f aca="false">IF($BZ206&lt;&gt;Constants!$B$8,"",Constants!$B$20+SUM($BO206:$BS206))</f>
        <v/>
      </c>
      <c r="BU206" s="138" t="str">
        <f aca="false">IF($BZ206&lt;&gt;Constants!$B$8,"",$BO206)</f>
        <v/>
      </c>
      <c r="BV206" s="138" t="str">
        <f aca="false">IF($BZ206&lt;&gt;Constants!$B$8,"",$BP206)</f>
        <v/>
      </c>
      <c r="BW206" s="138" t="str">
        <f aca="false">IF($BZ206&lt;&gt;Constants!$B$8,"",IF($AT206,$AV206,""))</f>
        <v/>
      </c>
      <c r="BX206" s="140" t="str">
        <f aca="false">IF($BZ206&lt;&gt;Constants!$B$8,"",$AI206)</f>
        <v/>
      </c>
      <c r="BY206" s="135" t="str">
        <f aca="false">IF(ISBLANK($C206),"",IF(ISBLANK($D$7),$BY$5,IF(NOT(ISNUMBER($D$7)),$BY$6,"")))</f>
        <v/>
      </c>
      <c r="BZ206" s="135" t="str">
        <f aca="false">IF(ISBLANK($C206),"",IF($BA206,Constants!$B$11,IF(COUNTA($E206:$AA206)=0,Constants!$B$10,IF(NOT($AG206),Constants!$B$9,IF(OR($BY206&lt;&gt;"",$BB206,$BN206),Constants!$B$12,Constants!$B$8)))))</f>
        <v/>
      </c>
      <c r="CA206" s="135" t="str">
        <f aca="false">IF(ISBLANK($C206),"",IF($BZ206&lt;&gt;Constants!$B$8,$BZ206,Constants!$B$13))</f>
        <v/>
      </c>
      <c r="CB206" s="138" t="str">
        <f aca="false">IF($BZ206&lt;&gt;Constants!$B$8,"",IF($BM206="-&gt;",$BT206,$BH206))</f>
        <v/>
      </c>
      <c r="CC206" s="138" t="str">
        <f aca="false">IF($BZ206&lt;&gt;Constants!$B$8,"",IF($AF206,0,Constants!$B$18))</f>
        <v/>
      </c>
      <c r="CD206" s="138" t="str">
        <f aca="false">IF($BZ206&lt;&gt;Constants!$B$8,"",((Constants!$B$31-$AZ206)-Constants!$B$31)/Constants!$B$32)</f>
        <v/>
      </c>
      <c r="CE206" s="138" t="str">
        <f aca="false">IF(ISBLANK($C206),"",IF($BZ206&lt;&gt;Constants!$B$8,$BZ206,SUM($CB206:$CD206)))</f>
        <v/>
      </c>
      <c r="CF206" s="135" t="str">
        <f aca="false">IF(ISBLANK($C206),"",IF($BZ206&lt;&gt;Constants!$B$8,$BZ206,RANK($CE206,$CE$9:$CE$508,1)))</f>
        <v/>
      </c>
      <c r="CG206" s="138" t="str">
        <f aca="false">IF($BZ206&lt;&gt;Constants!$B$8,"",IF($BM206="-&gt;",$BU206,$BI206))</f>
        <v/>
      </c>
      <c r="CH206" s="135" t="str">
        <f aca="false">IF(ISBLANK($C206),"",IF($BZ206&lt;&gt;Constants!$B$8,$BZ206,IF(ISNUMBER($CG206),RANK($CG206,$CG$9:$CG$508,1),COUNT($CG$9:$CG$508)+1)))</f>
        <v/>
      </c>
      <c r="CI206" s="138" t="str">
        <f aca="false">IF($BZ206&lt;&gt;Constants!$B$8,"",IF($BM206="-&gt;",$BV206,$BJ206))</f>
        <v/>
      </c>
      <c r="CJ206" s="135" t="str">
        <f aca="false">IF(ISBLANK($C206),"",IF($BZ206&lt;&gt;Constants!$B$8,$BZ206,IF(ISNUMBER($CI206),RANK($CI206,$CI$9:$CI$508,1),COUNT($CI$9:$CI$508)+1)))</f>
        <v/>
      </c>
      <c r="CK206" s="138" t="str">
        <f aca="false">IF($BZ206&lt;&gt;Constants!$B$8,"",IF($BM206="-&gt;",$BW206,$BK206))</f>
        <v/>
      </c>
      <c r="CL206" s="135" t="str">
        <f aca="false">IF(ISBLANK($C206),"",IF($BZ206&lt;&gt;Constants!$B$8,$BZ206,IF(ISNUMBER($CK206),RANK($CK206,$CK$9:$CK$508,1),COUNT($CK$9:$CK$508)+1)))</f>
        <v/>
      </c>
      <c r="CM206" s="138" t="str">
        <f aca="false">IF($BZ206&lt;&gt;Constants!$B$8,"",IF(AND(NOT($AL206),NOT($AT206),$AJ206,$AK206,$AR206,$AS206),"",IF($BM206="-&gt;",$BX206,$BL206)))</f>
        <v/>
      </c>
      <c r="CN206" s="135" t="str">
        <f aca="false">IF(ISBLANK($C206),"",IF($BZ206&lt;&gt;Constants!$B$8,$BZ206,IF(ISNUMBER($CM206),RANK($CM206,$CM$9:$CM$508,1),COUNT($CM$9:$CM$508)+1)))</f>
        <v/>
      </c>
      <c r="CO206" s="135" t="str">
        <f aca="false">IF(ISBLANK($C206),"",IF($BZ206&lt;&gt;Constants!$B$8,$BZ206,COUNTIFS($CF$9:$CF$508,"&lt;"&amp;$CF206)+COUNTIFS($CF$9:$CF$508,$CF206,$CH$9:$CH$508,"&lt;"&amp;$CH206)+COUNTIFS($CF$9:$CF$508,$CF206,$CH$9:$CH$508,$CH206,$CJ$9:$CJ$508,"&lt;"&amp;$CJ206)+COUNTIFS($CF$9:$CF$508,$CF206,$CH$9:$CH$508,$CH206,$CJ$9:$CJ$508,$CJ206,$CL$9:$CL$508,"&lt;"&amp;$CL206)+COUNTIFS($CF$9:$CF$508,$CF206,$CH$9:$CH$508,$CH206,$CJ$9:$CJ$508,$CJ206,$CL$9:$CL$508,$CL206,$CN$9:$CN$508,"&lt;"&amp;$CN206)+1))</f>
        <v/>
      </c>
      <c r="CP206" s="135" t="str">
        <f aca="false">IF(ISBLANK($C206),"",IF($BZ206&lt;&gt;Constants!$B$8,$BZ206,$CF206-$CO206))</f>
        <v/>
      </c>
      <c r="CQ206" s="141"/>
      <c r="CR206" s="142"/>
      <c r="CS206" s="143" t="str">
        <f aca="false">IF(ISBLANK($C206),"",IF($BZ206=Constants!$B$12,$BY206,""))</f>
        <v/>
      </c>
      <c r="CT206" s="142" t="str">
        <f aca="false">IF(ISBLANK($C206),"",IF($BZ206&lt;&gt;Constants!$B$8,"",IF($BM206="-&gt;",2,1)))</f>
        <v/>
      </c>
      <c r="CU206" s="144" t="str">
        <f aca="false">IF(ISBLANK($C206),"",IF($BZ206&lt;&gt;Constants!$B$8,"",IF($BM206="-&gt;",$BO206,$BC206)))</f>
        <v/>
      </c>
      <c r="CV206" s="144" t="str">
        <f aca="false">IF(ISBLANK($C206),"",IF($BZ206&lt;&gt;Constants!$B$8,"",IF($BM206="-&gt;",$BP206,$BD206)))</f>
        <v/>
      </c>
      <c r="CW206" s="144" t="str">
        <f aca="false">IF(ISBLANK($C206),"",IF($BZ206&lt;&gt;Constants!$B$8,"",IF($BM206="-&gt;",$BQ206+$BR206,$BE206+$BF206)+$CD206))</f>
        <v/>
      </c>
      <c r="CX206" s="144" t="str">
        <f aca="false">IF(ISBLANK($C206),"",IF($BZ206&lt;&gt;Constants!$B$8,"",IF($BM206="-&gt;",$BS206,$BG206)+$CC206))</f>
        <v/>
      </c>
      <c r="CY206" s="145" t="str">
        <f aca="false">IF(ISBLANK($C206),"",IF($BZ206&lt;&gt;Constants!$B$8,$BZ206,$CE206))</f>
        <v/>
      </c>
      <c r="CZ206" s="146" t="str">
        <f aca="false">IF(ISBLANK($C206),"",$CA206)</f>
        <v/>
      </c>
      <c r="DA206" s="147" t="str">
        <f aca="false">IF(ISBLANK($C206),"",$CP206)</f>
        <v/>
      </c>
      <c r="DB206" s="147" t="str">
        <f aca="false">IF(ISBLANK($C206),"",$CO206)</f>
        <v/>
      </c>
      <c r="DC206" s="148" t="str">
        <f aca="false">IF(ISBLANK($C206),"",IFERROR(_xlfn.SWITCH($DB206,Constants!$B$11,COUNTA($C$9:$C$508)+2,Constants!$B$10,COUNTA($C$9:$C$508)+1,Constants!$B$9,COUNTA($C$9:$C$508)),$DB206))</f>
        <v/>
      </c>
      <c r="DD206" s="9"/>
      <c r="DE206" s="149" t="n">
        <f aca="false">IF(OR(ISNUMBER($DB206),$DB206=Constants!$B$11,$DB206=Constants!$B$9,$DB206=Constants!$B$10),1,0)</f>
        <v>0</v>
      </c>
      <c r="DF206" s="149" t="n">
        <v>198</v>
      </c>
      <c r="DG206" s="149" t="str">
        <f aca="false">IF(ISBLANK($C206),"",IF(ISNUMBER($DC206),$DC206+ROW($B206)/1000,""))</f>
        <v/>
      </c>
      <c r="DH206" s="149" t="str">
        <f aca="false">IF(ISNUMBER($DG206),RANK($DG206,$DG$9:$DG$508,1),"")</f>
        <v/>
      </c>
      <c r="DI206" s="149" t="str">
        <f aca="false">IF(ISBLANK($C206),"",$B206)</f>
        <v/>
      </c>
      <c r="DJ206" s="149" t="str">
        <f aca="false">IF(ISBLANK($C206),"",$C206)</f>
        <v/>
      </c>
      <c r="DK206" s="149" t="str">
        <f aca="false">IF(ISBLANK($C206),"",$D206)</f>
        <v/>
      </c>
      <c r="DL206" s="150" t="str">
        <f aca="false">$CZ206</f>
        <v/>
      </c>
      <c r="DM206" s="151" t="str">
        <f aca="false">$CY206</f>
        <v/>
      </c>
      <c r="DN206" s="149" t="str">
        <f aca="false">IF(ISBLANK($C206),"",$DB206)</f>
        <v/>
      </c>
      <c r="DO206" s="152" t="str">
        <f aca="false">IF($DF206&gt;$DE$8,"",VLOOKUP($DF206,$DH$9:$DN$508,7,FALSE()))</f>
        <v/>
      </c>
      <c r="DP206" s="153" t="str">
        <f aca="false">IF($DF206&gt;$DE$8,"",VLOOKUP($DF206,$DH$9:$DN$508,2,FALSE()))</f>
        <v/>
      </c>
      <c r="DQ206" s="153" t="str">
        <f aca="false">IF($DF206&gt;$DE$8,"",VLOOKUP($DF206,$DH$9:$DN$508,3,FALSE()))</f>
        <v/>
      </c>
      <c r="DR206" s="153" t="str">
        <f aca="false">IF($DF206&gt;$DE$8,"",VLOOKUP($DF206,$DH$9:$DN$508,4,FALSE()))</f>
        <v/>
      </c>
      <c r="DS206" s="153" t="str">
        <f aca="false">IF($DF206&gt;$DE$8,"",VLOOKUP($DF206,$DH$9:$DN$508,5,FALSE()))</f>
        <v/>
      </c>
      <c r="DT206" s="154" t="str">
        <f aca="false">IF($DF206&gt;$DE$8,"",VLOOKUP($DF206,$DH$9:$DN$508,6,FALSE()))</f>
        <v/>
      </c>
      <c r="DU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IF(ISBLANK($C207),"",IF(E207=Constants!$B$3,TRUE(),IF(E207=Constants!$B$4,FALSE(),TRUE())))</f>
        <v/>
      </c>
      <c r="AG207" s="93" t="str">
        <f aca="false">IF(ISBLANK($C207),"",IF(F207=Constants!$B$3,TRUE(),IF(F207=Constants!$B$4,FALSE(),TRUE())))</f>
        <v/>
      </c>
      <c r="AH207" s="93" t="str">
        <f aca="false">IF(ISBLANK($C207),"",IF(G207=Constants!$B$3,TRUE(),IF(G207=Constants!$B$4,FALSE(),TRUE())))</f>
        <v/>
      </c>
      <c r="AI207" s="93" t="str">
        <f aca="false">IF(ISBLANK($C207),"",IF(AND(ISNUMBER(H207),H207&gt;=0),H207,Constants!$B$29))</f>
        <v/>
      </c>
      <c r="AJ207" s="93" t="str">
        <f aca="false">IF(ISBLANK($C207),"",IF(I207=Constants!$B$3,TRUE(),IF(I207=Constants!$B$4,FALSE(),TRUE())))</f>
        <v/>
      </c>
      <c r="AK207" s="93" t="str">
        <f aca="false">IF(ISBLANK($C207),"",IF(J207=Constants!$B$3,TRUE(),IF(J207=Constants!$B$4,FALSE(),TRUE())))</f>
        <v/>
      </c>
      <c r="AL207" s="93" t="str">
        <f aca="false">IF(ISBLANK($C207),"",IF(K207=Constants!$B$5,TRUE(),IF(K207=Constants!$B$6,FALSE(),COUNTA(L207:P207)&gt;0)))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IF(ISBLANK($C207),"",IF(N207=Constants!$B$3,TRUE(),IF(N207=Constants!$B$4,FALSE(),TRUE())))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IF(ISBLANK($C207),"",IF(P207=Constants!$B$3,TRUE(),IF(P207=Constants!$B$4,FALSE(),FALSE())))</f>
        <v/>
      </c>
      <c r="AR207" s="93" t="str">
        <f aca="false">IF(ISBLANK($C207),"",IF(Q207=Constants!$B$3,TRUE(),IF(Q207=Constants!$B$4,FALSE(),TRUE())))</f>
        <v/>
      </c>
      <c r="AS207" s="93" t="str">
        <f aca="false">IF(ISBLANK($C207),"",IF(R207=Constants!$B$3,TRUE(),IF(R207=Constants!$B$4,FALSE(),TRUE())))</f>
        <v/>
      </c>
      <c r="AT207" s="93" t="str">
        <f aca="false">IF(ISBLANK($C207),"",IF(S207=Constants!$B$5,TRUE(),IF(S207=Constants!$B$6,FALSE(),COUNTA(T207:X207)&gt;0)))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IF(ISBLANK($C207),"",IF(V207=Constants!$B$3,TRUE(),IF(V207=Constants!$B$4,FALSE(),TRUE())))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IF(ISBLANK($C207),"",IF(X207=Constants!$B$3,TRUE(),IF(X207=Constants!$B$4,FALSE(),FALSE())))</f>
        <v/>
      </c>
      <c r="AZ207" s="93" t="str">
        <f aca="false">IF(ISBLANK($C207),"",MIN(Constants!$B$31,MAX(0,IF(ISNUMBER(Y207),Y207*60,0)+IF(ISNUMBER(Z207),Z207,0))))</f>
        <v/>
      </c>
      <c r="BA207" s="93" t="str">
        <f aca="false">IF(ISBLANK($C207),"",IF(AA207=Constants!$B$3,TRUE(),IF(AA207=Constants!$B$4,FALSE(),FALSE())))</f>
        <v/>
      </c>
      <c r="BB207" s="92" t="str">
        <f aca="false">IF(ISBLANK($C207),"",AND($AL207,OR($AM207="",$AN207="",AND($AO207,$AP207=""))))</f>
        <v/>
      </c>
      <c r="BC207" s="94" t="str">
        <f aca="false">IF($BZ207&lt;&gt;Constants!$B$8,"",IF($AL207,Constants!$B$21*$AN207+Constants!$B$22*IF($AO207,$AP207,Constants!$B$23),Constants!$B$24))</f>
        <v/>
      </c>
      <c r="BD207" s="97" t="str">
        <f aca="false">IF($BZ207&lt;&gt;Constants!$B$8,"",Constants!$B$25*ABS($AD$9-IF($AL207,$AM207,0)))</f>
        <v/>
      </c>
      <c r="BE207" s="97" t="str">
        <f aca="false">IF($BZ207&lt;&gt;Constants!$B$8,"",IF(AND($AL207,$AQ207,$AO207),Constants!$B$27,0))</f>
        <v/>
      </c>
      <c r="BF207" s="97" t="str">
        <f aca="false">IF($BZ207&lt;&gt;Constants!$B$8,"",IF($AL207,($AI207-Constants!$B$29)*Constants!$B$28,0))</f>
        <v/>
      </c>
      <c r="BG207" s="97" t="str">
        <f aca="false">IF($BZ207&lt;&gt;Constants!$B$8,"",IF($AK207,0,Constants!$B$15)+IF($AJ207,0,Constants!$B$16)+IF($AH207,0,Constants!$B$17))</f>
        <v/>
      </c>
      <c r="BH207" s="98" t="str">
        <f aca="false">IF($BZ207&lt;&gt;Constants!$B$8,"",Constants!$B$20+SUM($BC207:$BG207))</f>
        <v/>
      </c>
      <c r="BI207" s="97" t="str">
        <f aca="false">IF($BZ207&lt;&gt;Constants!$B$8,"",$BC207)</f>
        <v/>
      </c>
      <c r="BJ207" s="97" t="str">
        <f aca="false">IF($BZ207&lt;&gt;Constants!$B$8,"",$BD207)</f>
        <v/>
      </c>
      <c r="BK207" s="97" t="str">
        <f aca="false">IF($BZ207&lt;&gt;Constants!$B$8,"",IF($AL207,$AN207,""))</f>
        <v/>
      </c>
      <c r="BL207" s="99" t="str">
        <f aca="false">IF($BZ207&lt;&gt;Constants!$B$8,"",$AI207)</f>
        <v/>
      </c>
      <c r="BM207" s="93" t="str">
        <f aca="false">IF($BZ207&lt;&gt;Constants!$B$8,"",IF(OR($BT207&lt;$BH207,AND($BT207=$BH207,OR($BU207&lt;$BI207,AND($BU207=$BI207,OR($BV207&lt;$BJ207,AND($BV207=$BJ207,OR(AND(ISNUMBER($BW207),OR(NOT(ISNUMBER($BK207)),$BW207&lt;$BK207)),AND(OR(AND($BW207="",$BK207=""),AND(ISNUMBER($BW207),ISNUMBER($BK207),$BW207=$BK207)),$BX207&lt;$BL207)))))))),"-&gt;","&lt;-"))</f>
        <v/>
      </c>
      <c r="BN207" s="92" t="str">
        <f aca="false">IF(ISBLANK($C207),"",AND($AT207,OR($AU207="",$AV207="",AND($AW207,$AX207=""))))</f>
        <v/>
      </c>
      <c r="BO207" s="94" t="str">
        <f aca="false">IF($BZ207&lt;&gt;Constants!$B$8,"",IF($AT207,Constants!$B$21*$AV207+Constants!$B$22*IF($AW207,$AX207,Constants!$B$23),Constants!$B$24))</f>
        <v/>
      </c>
      <c r="BP207" s="97" t="str">
        <f aca="false">IF($BZ207&lt;&gt;Constants!$B$8,"",Constants!$B$25*ABS($AD$9-IF($AT207,$AU207,0)))</f>
        <v/>
      </c>
      <c r="BQ207" s="97" t="str">
        <f aca="false">IF($BZ207&lt;&gt;Constants!$B$8,"",IF(AND($AT207,$AY207,$AW207),Constants!$B$27,0))</f>
        <v/>
      </c>
      <c r="BR207" s="97" t="str">
        <f aca="false">IF($BZ207&lt;&gt;Constants!$B$8,"",IF($AT207,($AI207-Constants!$B$29)*Constants!$B$28,0))</f>
        <v/>
      </c>
      <c r="BS207" s="97" t="str">
        <f aca="false">IF($BZ207&lt;&gt;Constants!$B$8,"",IF($AS207,0,Constants!$B$15)+IF($AR207,0,Constants!$B$16)+IF($AH207,0,Constants!$B$17))</f>
        <v/>
      </c>
      <c r="BT207" s="98" t="str">
        <f aca="false">IF($BZ207&lt;&gt;Constants!$B$8,"",Constants!$B$20+SUM($BO207:$BS207))</f>
        <v/>
      </c>
      <c r="BU207" s="97" t="str">
        <f aca="false">IF($BZ207&lt;&gt;Constants!$B$8,"",$BO207)</f>
        <v/>
      </c>
      <c r="BV207" s="97" t="str">
        <f aca="false">IF($BZ207&lt;&gt;Constants!$B$8,"",$BP207)</f>
        <v/>
      </c>
      <c r="BW207" s="97" t="str">
        <f aca="false">IF($BZ207&lt;&gt;Constants!$B$8,"",IF($AT207,$AV207,""))</f>
        <v/>
      </c>
      <c r="BX207" s="99" t="str">
        <f aca="false">IF($BZ207&lt;&gt;Constants!$B$8,"",$AI207)</f>
        <v/>
      </c>
      <c r="BY207" s="93" t="str">
        <f aca="false">IF(ISBLANK($C207),"",IF(ISBLANK($D$7),$BY$5,IF(NOT(ISNUMBER($D$7)),$BY$6,"")))</f>
        <v/>
      </c>
      <c r="BZ207" s="93" t="str">
        <f aca="false">IF(ISBLANK($C207),"",IF($BA207,Constants!$B$11,IF(COUNTA($E207:$AA207)=0,Constants!$B$10,IF(NOT($AG207),Constants!$B$9,IF(OR($BY207&lt;&gt;"",$BB207,$BN207),Constants!$B$12,Constants!$B$8)))))</f>
        <v/>
      </c>
      <c r="CA207" s="93" t="str">
        <f aca="false">IF(ISBLANK($C207),"",IF($BZ207&lt;&gt;Constants!$B$8,$BZ207,Constants!$B$13))</f>
        <v/>
      </c>
      <c r="CB207" s="97" t="str">
        <f aca="false">IF($BZ207&lt;&gt;Constants!$B$8,"",IF($BM207="-&gt;",$BT207,$BH207))</f>
        <v/>
      </c>
      <c r="CC207" s="97" t="str">
        <f aca="false">IF($BZ207&lt;&gt;Constants!$B$8,"",IF($AF207,0,Constants!$B$18))</f>
        <v/>
      </c>
      <c r="CD207" s="97" t="str">
        <f aca="false">IF($BZ207&lt;&gt;Constants!$B$8,"",((Constants!$B$31-$AZ207)-Constants!$B$31)/Constants!$B$32)</f>
        <v/>
      </c>
      <c r="CE207" s="97" t="str">
        <f aca="false">IF(ISBLANK($C207),"",IF($BZ207&lt;&gt;Constants!$B$8,$BZ207,SUM($CB207:$CD207)))</f>
        <v/>
      </c>
      <c r="CF207" s="93" t="str">
        <f aca="false">IF(ISBLANK($C207),"",IF($BZ207&lt;&gt;Constants!$B$8,$BZ207,RANK($CE207,$CE$9:$CE$508,1)))</f>
        <v/>
      </c>
      <c r="CG207" s="97" t="str">
        <f aca="false">IF($BZ207&lt;&gt;Constants!$B$8,"",IF($BM207="-&gt;",$BU207,$BI207))</f>
        <v/>
      </c>
      <c r="CH207" s="93" t="str">
        <f aca="false">IF(ISBLANK($C207),"",IF($BZ207&lt;&gt;Constants!$B$8,$BZ207,IF(ISNUMBER($CG207),RANK($CG207,$CG$9:$CG$508,1),COUNT($CG$9:$CG$508)+1)))</f>
        <v/>
      </c>
      <c r="CI207" s="97" t="str">
        <f aca="false">IF($BZ207&lt;&gt;Constants!$B$8,"",IF($BM207="-&gt;",$BV207,$BJ207))</f>
        <v/>
      </c>
      <c r="CJ207" s="93" t="str">
        <f aca="false">IF(ISBLANK($C207),"",IF($BZ207&lt;&gt;Constants!$B$8,$BZ207,IF(ISNUMBER($CI207),RANK($CI207,$CI$9:$CI$508,1),COUNT($CI$9:$CI$508)+1)))</f>
        <v/>
      </c>
      <c r="CK207" s="97" t="str">
        <f aca="false">IF($BZ207&lt;&gt;Constants!$B$8,"",IF($BM207="-&gt;",$BW207,$BK207))</f>
        <v/>
      </c>
      <c r="CL207" s="93" t="str">
        <f aca="false">IF(ISBLANK($C207),"",IF($BZ207&lt;&gt;Constants!$B$8,$BZ207,IF(ISNUMBER($CK207),RANK($CK207,$CK$9:$CK$508,1),COUNT($CK$9:$CK$508)+1)))</f>
        <v/>
      </c>
      <c r="CM207" s="97" t="str">
        <f aca="false">IF($BZ207&lt;&gt;Constants!$B$8,"",IF(AND(NOT($AL207),NOT($AT207),$AJ207,$AK207,$AR207,$AS207),"",IF($BM207="-&gt;",$BX207,$BL207)))</f>
        <v/>
      </c>
      <c r="CN207" s="93" t="str">
        <f aca="false">IF(ISBLANK($C207),"",IF($BZ207&lt;&gt;Constants!$B$8,$BZ207,IF(ISNUMBER($CM207),RANK($CM207,$CM$9:$CM$508,1),COUNT($CM$9:$CM$508)+1)))</f>
        <v/>
      </c>
      <c r="CO207" s="93" t="str">
        <f aca="false">IF(ISBLANK($C207),"",IF($BZ207&lt;&gt;Constants!$B$8,$BZ207,COUNTIFS($CF$9:$CF$508,"&lt;"&amp;$CF207)+COUNTIFS($CF$9:$CF$508,$CF207,$CH$9:$CH$508,"&lt;"&amp;$CH207)+COUNTIFS($CF$9:$CF$508,$CF207,$CH$9:$CH$508,$CH207,$CJ$9:$CJ$508,"&lt;"&amp;$CJ207)+COUNTIFS($CF$9:$CF$508,$CF207,$CH$9:$CH$508,$CH207,$CJ$9:$CJ$508,$CJ207,$CL$9:$CL$508,"&lt;"&amp;$CL207)+COUNTIFS($CF$9:$CF$508,$CF207,$CH$9:$CH$508,$CH207,$CJ$9:$CJ$508,$CJ207,$CL$9:$CL$508,$CL207,$CN$9:$CN$508,"&lt;"&amp;$CN207)+1))</f>
        <v/>
      </c>
      <c r="CP207" s="93" t="str">
        <f aca="false">IF(ISBLANK($C207),"",IF($BZ207&lt;&gt;Constants!$B$8,$BZ207,$CF207-$CO207))</f>
        <v/>
      </c>
      <c r="CQ207" s="100"/>
      <c r="CR207" s="101"/>
      <c r="CS207" s="102" t="str">
        <f aca="false">IF(ISBLANK($C207),"",IF($BZ207=Constants!$B$12,$BY207,""))</f>
        <v/>
      </c>
      <c r="CT207" s="101" t="str">
        <f aca="false">IF(ISBLANK($C207),"",IF($BZ207&lt;&gt;Constants!$B$8,"",IF($BM207="-&gt;",2,1)))</f>
        <v/>
      </c>
      <c r="CU207" s="103" t="str">
        <f aca="false">IF(ISBLANK($C207),"",IF($BZ207&lt;&gt;Constants!$B$8,"",IF($BM207="-&gt;",$BO207,$BC207)))</f>
        <v/>
      </c>
      <c r="CV207" s="103" t="str">
        <f aca="false">IF(ISBLANK($C207),"",IF($BZ207&lt;&gt;Constants!$B$8,"",IF($BM207="-&gt;",$BP207,$BD207)))</f>
        <v/>
      </c>
      <c r="CW207" s="103" t="str">
        <f aca="false">IF(ISBLANK($C207),"",IF($BZ207&lt;&gt;Constants!$B$8,"",IF($BM207="-&gt;",$BQ207+$BR207,$BE207+$BF207)+$CD207))</f>
        <v/>
      </c>
      <c r="CX207" s="103" t="str">
        <f aca="false">IF(ISBLANK($C207),"",IF($BZ207&lt;&gt;Constants!$B$8,"",IF($BM207="-&gt;",$BS207,$BG207)+$CC207))</f>
        <v/>
      </c>
      <c r="CY207" s="104" t="str">
        <f aca="false">IF(ISBLANK($C207),"",IF($BZ207&lt;&gt;Constants!$B$8,$BZ207,$CE207))</f>
        <v/>
      </c>
      <c r="CZ207" s="105" t="str">
        <f aca="false">IF(ISBLANK($C207),"",$CA207)</f>
        <v/>
      </c>
      <c r="DA207" s="106" t="str">
        <f aca="false">IF(ISBLANK($C207),"",$CP207)</f>
        <v/>
      </c>
      <c r="DB207" s="106" t="str">
        <f aca="false">IF(ISBLANK($C207),"",$CO207)</f>
        <v/>
      </c>
      <c r="DC207" s="107" t="str">
        <f aca="false">IF(ISBLANK($C207),"",IFERROR(_xlfn.SWITCH($DB207,Constants!$B$11,COUNTA($C$9:$C$508)+2,Constants!$B$10,COUNTA($C$9:$C$508)+1,Constants!$B$9,COUNTA($C$9:$C$508)),$DB207))</f>
        <v/>
      </c>
      <c r="DD207" s="9"/>
      <c r="DE207" s="108" t="n">
        <f aca="false">IF(OR(ISNUMBER($DB207),$DB207=Constants!$B$11,$DB207=Constants!$B$9,$DB207=Constants!$B$10),1,0)</f>
        <v>0</v>
      </c>
      <c r="DF207" s="108" t="n">
        <v>199</v>
      </c>
      <c r="DG207" s="108" t="str">
        <f aca="false">IF(ISBLANK($C207),"",IF(ISNUMBER($DC207),$DC207+ROW($B207)/1000,""))</f>
        <v/>
      </c>
      <c r="DH207" s="108" t="str">
        <f aca="false">IF(ISNUMBER($DG207),RANK($DG207,$DG$9:$DG$508,1),"")</f>
        <v/>
      </c>
      <c r="DI207" s="108" t="str">
        <f aca="false">IF(ISBLANK($C207),"",$B207)</f>
        <v/>
      </c>
      <c r="DJ207" s="108" t="str">
        <f aca="false">IF(ISBLANK($C207),"",$C207)</f>
        <v/>
      </c>
      <c r="DK207" s="108" t="str">
        <f aca="false">IF(ISBLANK($C207),"",$D207)</f>
        <v/>
      </c>
      <c r="DL207" s="109" t="str">
        <f aca="false">$CZ207</f>
        <v/>
      </c>
      <c r="DM207" s="110" t="str">
        <f aca="false">$CY207</f>
        <v/>
      </c>
      <c r="DN207" s="108" t="str">
        <f aca="false">IF(ISBLANK($C207),"",$DB207)</f>
        <v/>
      </c>
      <c r="DO207" s="111" t="str">
        <f aca="false">IF($DF207&gt;$DE$8,"",VLOOKUP($DF207,$DH$9:$DN$508,7,FALSE()))</f>
        <v/>
      </c>
      <c r="DP207" s="112" t="str">
        <f aca="false">IF($DF207&gt;$DE$8,"",VLOOKUP($DF207,$DH$9:$DN$508,2,FALSE()))</f>
        <v/>
      </c>
      <c r="DQ207" s="112" t="str">
        <f aca="false">IF($DF207&gt;$DE$8,"",VLOOKUP($DF207,$DH$9:$DN$508,3,FALSE()))</f>
        <v/>
      </c>
      <c r="DR207" s="112" t="str">
        <f aca="false">IF($DF207&gt;$DE$8,"",VLOOKUP($DF207,$DH$9:$DN$508,4,FALSE()))</f>
        <v/>
      </c>
      <c r="DS207" s="112" t="str">
        <f aca="false">IF($DF207&gt;$DE$8,"",VLOOKUP($DF207,$DH$9:$DN$508,5,FALSE()))</f>
        <v/>
      </c>
      <c r="DT207" s="113" t="str">
        <f aca="false">IF($DF207&gt;$DE$8,"",VLOOKUP($DF207,$DH$9:$DN$508,6,FALSE()))</f>
        <v/>
      </c>
      <c r="DU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IF(ISBLANK($C208),"",IF(E208=Constants!$B$3,TRUE(),IF(E208=Constants!$B$4,FALSE(),TRUE())))</f>
        <v/>
      </c>
      <c r="AG208" s="93" t="str">
        <f aca="false">IF(ISBLANK($C208),"",IF(F208=Constants!$B$3,TRUE(),IF(F208=Constants!$B$4,FALSE(),TRUE())))</f>
        <v/>
      </c>
      <c r="AH208" s="93" t="str">
        <f aca="false">IF(ISBLANK($C208),"",IF(G208=Constants!$B$3,TRUE(),IF(G208=Constants!$B$4,FALSE(),TRUE())))</f>
        <v/>
      </c>
      <c r="AI208" s="93" t="str">
        <f aca="false">IF(ISBLANK($C208),"",IF(AND(ISNUMBER(H208),H208&gt;=0),H208,Constants!$B$29))</f>
        <v/>
      </c>
      <c r="AJ208" s="93" t="str">
        <f aca="false">IF(ISBLANK($C208),"",IF(I208=Constants!$B$3,TRUE(),IF(I208=Constants!$B$4,FALSE(),TRUE())))</f>
        <v/>
      </c>
      <c r="AK208" s="93" t="str">
        <f aca="false">IF(ISBLANK($C208),"",IF(J208=Constants!$B$3,TRUE(),IF(J208=Constants!$B$4,FALSE(),TRUE())))</f>
        <v/>
      </c>
      <c r="AL208" s="93" t="str">
        <f aca="false">IF(ISBLANK($C208),"",IF(K208=Constants!$B$5,TRUE(),IF(K208=Constants!$B$6,FALSE(),COUNTA(L208:P208)&gt;0)))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IF(ISBLANK($C208),"",IF(N208=Constants!$B$3,TRUE(),IF(N208=Constants!$B$4,FALSE(),TRUE())))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IF(ISBLANK($C208),"",IF(P208=Constants!$B$3,TRUE(),IF(P208=Constants!$B$4,FALSE(),FALSE())))</f>
        <v/>
      </c>
      <c r="AR208" s="93" t="str">
        <f aca="false">IF(ISBLANK($C208),"",IF(Q208=Constants!$B$3,TRUE(),IF(Q208=Constants!$B$4,FALSE(),TRUE())))</f>
        <v/>
      </c>
      <c r="AS208" s="93" t="str">
        <f aca="false">IF(ISBLANK($C208),"",IF(R208=Constants!$B$3,TRUE(),IF(R208=Constants!$B$4,FALSE(),TRUE())))</f>
        <v/>
      </c>
      <c r="AT208" s="93" t="str">
        <f aca="false">IF(ISBLANK($C208),"",IF(S208=Constants!$B$5,TRUE(),IF(S208=Constants!$B$6,FALSE(),COUNTA(T208:X208)&gt;0)))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IF(ISBLANK($C208),"",IF(V208=Constants!$B$3,TRUE(),IF(V208=Constants!$B$4,FALSE(),TRUE())))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IF(ISBLANK($C208),"",IF(X208=Constants!$B$3,TRUE(),IF(X208=Constants!$B$4,FALSE(),FALSE())))</f>
        <v/>
      </c>
      <c r="AZ208" s="93" t="str">
        <f aca="false">IF(ISBLANK($C208),"",MIN(Constants!$B$31,MAX(0,IF(ISNUMBER(Y208),Y208*60,0)+IF(ISNUMBER(Z208),Z208,0))))</f>
        <v/>
      </c>
      <c r="BA208" s="93" t="str">
        <f aca="false">IF(ISBLANK($C208),"",IF(AA208=Constants!$B$3,TRUE(),IF(AA208=Constants!$B$4,FALSE(),FALSE())))</f>
        <v/>
      </c>
      <c r="BB208" s="92" t="str">
        <f aca="false">IF(ISBLANK($C208),"",AND($AL208,OR($AM208="",$AN208="",AND($AO208,$AP208=""))))</f>
        <v/>
      </c>
      <c r="BC208" s="94" t="str">
        <f aca="false">IF($BZ208&lt;&gt;Constants!$B$8,"",IF($AL208,Constants!$B$21*$AN208+Constants!$B$22*IF($AO208,$AP208,Constants!$B$23),Constants!$B$24))</f>
        <v/>
      </c>
      <c r="BD208" s="97" t="str">
        <f aca="false">IF($BZ208&lt;&gt;Constants!$B$8,"",Constants!$B$25*ABS($AD$9-IF($AL208,$AM208,0)))</f>
        <v/>
      </c>
      <c r="BE208" s="97" t="str">
        <f aca="false">IF($BZ208&lt;&gt;Constants!$B$8,"",IF(AND($AL208,$AQ208,$AO208),Constants!$B$27,0))</f>
        <v/>
      </c>
      <c r="BF208" s="97" t="str">
        <f aca="false">IF($BZ208&lt;&gt;Constants!$B$8,"",IF($AL208,($AI208-Constants!$B$29)*Constants!$B$28,0))</f>
        <v/>
      </c>
      <c r="BG208" s="97" t="str">
        <f aca="false">IF($BZ208&lt;&gt;Constants!$B$8,"",IF($AK208,0,Constants!$B$15)+IF($AJ208,0,Constants!$B$16)+IF($AH208,0,Constants!$B$17))</f>
        <v/>
      </c>
      <c r="BH208" s="98" t="str">
        <f aca="false">IF($BZ208&lt;&gt;Constants!$B$8,"",Constants!$B$20+SUM($BC208:$BG208))</f>
        <v/>
      </c>
      <c r="BI208" s="97" t="str">
        <f aca="false">IF($BZ208&lt;&gt;Constants!$B$8,"",$BC208)</f>
        <v/>
      </c>
      <c r="BJ208" s="97" t="str">
        <f aca="false">IF($BZ208&lt;&gt;Constants!$B$8,"",$BD208)</f>
        <v/>
      </c>
      <c r="BK208" s="97" t="str">
        <f aca="false">IF($BZ208&lt;&gt;Constants!$B$8,"",IF($AL208,$AN208,""))</f>
        <v/>
      </c>
      <c r="BL208" s="99" t="str">
        <f aca="false">IF($BZ208&lt;&gt;Constants!$B$8,"",$AI208)</f>
        <v/>
      </c>
      <c r="BM208" s="93" t="str">
        <f aca="false">IF($BZ208&lt;&gt;Constants!$B$8,"",IF(OR($BT208&lt;$BH208,AND($BT208=$BH208,OR($BU208&lt;$BI208,AND($BU208=$BI208,OR($BV208&lt;$BJ208,AND($BV208=$BJ208,OR(AND(ISNUMBER($BW208),OR(NOT(ISNUMBER($BK208)),$BW208&lt;$BK208)),AND(OR(AND($BW208="",$BK208=""),AND(ISNUMBER($BW208),ISNUMBER($BK208),$BW208=$BK208)),$BX208&lt;$BL208)))))))),"-&gt;","&lt;-"))</f>
        <v/>
      </c>
      <c r="BN208" s="92" t="str">
        <f aca="false">IF(ISBLANK($C208),"",AND($AT208,OR($AU208="",$AV208="",AND($AW208,$AX208=""))))</f>
        <v/>
      </c>
      <c r="BO208" s="94" t="str">
        <f aca="false">IF($BZ208&lt;&gt;Constants!$B$8,"",IF($AT208,Constants!$B$21*$AV208+Constants!$B$22*IF($AW208,$AX208,Constants!$B$23),Constants!$B$24))</f>
        <v/>
      </c>
      <c r="BP208" s="97" t="str">
        <f aca="false">IF($BZ208&lt;&gt;Constants!$B$8,"",Constants!$B$25*ABS($AD$9-IF($AT208,$AU208,0)))</f>
        <v/>
      </c>
      <c r="BQ208" s="97" t="str">
        <f aca="false">IF($BZ208&lt;&gt;Constants!$B$8,"",IF(AND($AT208,$AY208,$AW208),Constants!$B$27,0))</f>
        <v/>
      </c>
      <c r="BR208" s="97" t="str">
        <f aca="false">IF($BZ208&lt;&gt;Constants!$B$8,"",IF($AT208,($AI208-Constants!$B$29)*Constants!$B$28,0))</f>
        <v/>
      </c>
      <c r="BS208" s="97" t="str">
        <f aca="false">IF($BZ208&lt;&gt;Constants!$B$8,"",IF($AS208,0,Constants!$B$15)+IF($AR208,0,Constants!$B$16)+IF($AH208,0,Constants!$B$17))</f>
        <v/>
      </c>
      <c r="BT208" s="98" t="str">
        <f aca="false">IF($BZ208&lt;&gt;Constants!$B$8,"",Constants!$B$20+SUM($BO208:$BS208))</f>
        <v/>
      </c>
      <c r="BU208" s="97" t="str">
        <f aca="false">IF($BZ208&lt;&gt;Constants!$B$8,"",$BO208)</f>
        <v/>
      </c>
      <c r="BV208" s="97" t="str">
        <f aca="false">IF($BZ208&lt;&gt;Constants!$B$8,"",$BP208)</f>
        <v/>
      </c>
      <c r="BW208" s="97" t="str">
        <f aca="false">IF($BZ208&lt;&gt;Constants!$B$8,"",IF($AT208,$AV208,""))</f>
        <v/>
      </c>
      <c r="BX208" s="99" t="str">
        <f aca="false">IF($BZ208&lt;&gt;Constants!$B$8,"",$AI208)</f>
        <v/>
      </c>
      <c r="BY208" s="93" t="str">
        <f aca="false">IF(ISBLANK($C208),"",IF(ISBLANK($D$7),$BY$5,IF(NOT(ISNUMBER($D$7)),$BY$6,"")))</f>
        <v/>
      </c>
      <c r="BZ208" s="93" t="str">
        <f aca="false">IF(ISBLANK($C208),"",IF($BA208,Constants!$B$11,IF(COUNTA($E208:$AA208)=0,Constants!$B$10,IF(NOT($AG208),Constants!$B$9,IF(OR($BY208&lt;&gt;"",$BB208,$BN208),Constants!$B$12,Constants!$B$8)))))</f>
        <v/>
      </c>
      <c r="CA208" s="93" t="str">
        <f aca="false">IF(ISBLANK($C208),"",IF($BZ208&lt;&gt;Constants!$B$8,$BZ208,Constants!$B$13))</f>
        <v/>
      </c>
      <c r="CB208" s="97" t="str">
        <f aca="false">IF($BZ208&lt;&gt;Constants!$B$8,"",IF($BM208="-&gt;",$BT208,$BH208))</f>
        <v/>
      </c>
      <c r="CC208" s="97" t="str">
        <f aca="false">IF($BZ208&lt;&gt;Constants!$B$8,"",IF($AF208,0,Constants!$B$18))</f>
        <v/>
      </c>
      <c r="CD208" s="97" t="str">
        <f aca="false">IF($BZ208&lt;&gt;Constants!$B$8,"",((Constants!$B$31-$AZ208)-Constants!$B$31)/Constants!$B$32)</f>
        <v/>
      </c>
      <c r="CE208" s="97" t="str">
        <f aca="false">IF(ISBLANK($C208),"",IF($BZ208&lt;&gt;Constants!$B$8,$BZ208,SUM($CB208:$CD208)))</f>
        <v/>
      </c>
      <c r="CF208" s="93" t="str">
        <f aca="false">IF(ISBLANK($C208),"",IF($BZ208&lt;&gt;Constants!$B$8,$BZ208,RANK($CE208,$CE$9:$CE$508,1)))</f>
        <v/>
      </c>
      <c r="CG208" s="97" t="str">
        <f aca="false">IF($BZ208&lt;&gt;Constants!$B$8,"",IF($BM208="-&gt;",$BU208,$BI208))</f>
        <v/>
      </c>
      <c r="CH208" s="93" t="str">
        <f aca="false">IF(ISBLANK($C208),"",IF($BZ208&lt;&gt;Constants!$B$8,$BZ208,IF(ISNUMBER($CG208),RANK($CG208,$CG$9:$CG$508,1),COUNT($CG$9:$CG$508)+1)))</f>
        <v/>
      </c>
      <c r="CI208" s="97" t="str">
        <f aca="false">IF($BZ208&lt;&gt;Constants!$B$8,"",IF($BM208="-&gt;",$BV208,$BJ208))</f>
        <v/>
      </c>
      <c r="CJ208" s="93" t="str">
        <f aca="false">IF(ISBLANK($C208),"",IF($BZ208&lt;&gt;Constants!$B$8,$BZ208,IF(ISNUMBER($CI208),RANK($CI208,$CI$9:$CI$508,1),COUNT($CI$9:$CI$508)+1)))</f>
        <v/>
      </c>
      <c r="CK208" s="97" t="str">
        <f aca="false">IF($BZ208&lt;&gt;Constants!$B$8,"",IF($BM208="-&gt;",$BW208,$BK208))</f>
        <v/>
      </c>
      <c r="CL208" s="93" t="str">
        <f aca="false">IF(ISBLANK($C208),"",IF($BZ208&lt;&gt;Constants!$B$8,$BZ208,IF(ISNUMBER($CK208),RANK($CK208,$CK$9:$CK$508,1),COUNT($CK$9:$CK$508)+1)))</f>
        <v/>
      </c>
      <c r="CM208" s="97" t="str">
        <f aca="false">IF($BZ208&lt;&gt;Constants!$B$8,"",IF(AND(NOT($AL208),NOT($AT208),$AJ208,$AK208,$AR208,$AS208),"",IF($BM208="-&gt;",$BX208,$BL208)))</f>
        <v/>
      </c>
      <c r="CN208" s="93" t="str">
        <f aca="false">IF(ISBLANK($C208),"",IF($BZ208&lt;&gt;Constants!$B$8,$BZ208,IF(ISNUMBER($CM208),RANK($CM208,$CM$9:$CM$508,1),COUNT($CM$9:$CM$508)+1)))</f>
        <v/>
      </c>
      <c r="CO208" s="93" t="str">
        <f aca="false">IF(ISBLANK($C208),"",IF($BZ208&lt;&gt;Constants!$B$8,$BZ208,COUNTIFS($CF$9:$CF$508,"&lt;"&amp;$CF208)+COUNTIFS($CF$9:$CF$508,$CF208,$CH$9:$CH$508,"&lt;"&amp;$CH208)+COUNTIFS($CF$9:$CF$508,$CF208,$CH$9:$CH$508,$CH208,$CJ$9:$CJ$508,"&lt;"&amp;$CJ208)+COUNTIFS($CF$9:$CF$508,$CF208,$CH$9:$CH$508,$CH208,$CJ$9:$CJ$508,$CJ208,$CL$9:$CL$508,"&lt;"&amp;$CL208)+COUNTIFS($CF$9:$CF$508,$CF208,$CH$9:$CH$508,$CH208,$CJ$9:$CJ$508,$CJ208,$CL$9:$CL$508,$CL208,$CN$9:$CN$508,"&lt;"&amp;$CN208)+1))</f>
        <v/>
      </c>
      <c r="CP208" s="93" t="str">
        <f aca="false">IF(ISBLANK($C208),"",IF($BZ208&lt;&gt;Constants!$B$8,$BZ208,$CF208-$CO208))</f>
        <v/>
      </c>
      <c r="CQ208" s="100"/>
      <c r="CR208" s="101"/>
      <c r="CS208" s="102" t="str">
        <f aca="false">IF(ISBLANK($C208),"",IF($BZ208=Constants!$B$12,$BY208,""))</f>
        <v/>
      </c>
      <c r="CT208" s="101" t="str">
        <f aca="false">IF(ISBLANK($C208),"",IF($BZ208&lt;&gt;Constants!$B$8,"",IF($BM208="-&gt;",2,1)))</f>
        <v/>
      </c>
      <c r="CU208" s="103" t="str">
        <f aca="false">IF(ISBLANK($C208),"",IF($BZ208&lt;&gt;Constants!$B$8,"",IF($BM208="-&gt;",$BO208,$BC208)))</f>
        <v/>
      </c>
      <c r="CV208" s="103" t="str">
        <f aca="false">IF(ISBLANK($C208),"",IF($BZ208&lt;&gt;Constants!$B$8,"",IF($BM208="-&gt;",$BP208,$BD208)))</f>
        <v/>
      </c>
      <c r="CW208" s="103" t="str">
        <f aca="false">IF(ISBLANK($C208),"",IF($BZ208&lt;&gt;Constants!$B$8,"",IF($BM208="-&gt;",$BQ208+$BR208,$BE208+$BF208)+$CD208))</f>
        <v/>
      </c>
      <c r="CX208" s="103" t="str">
        <f aca="false">IF(ISBLANK($C208),"",IF($BZ208&lt;&gt;Constants!$B$8,"",IF($BM208="-&gt;",$BS208,$BG208)+$CC208))</f>
        <v/>
      </c>
      <c r="CY208" s="104" t="str">
        <f aca="false">IF(ISBLANK($C208),"",IF($BZ208&lt;&gt;Constants!$B$8,$BZ208,$CE208))</f>
        <v/>
      </c>
      <c r="CZ208" s="105" t="str">
        <f aca="false">IF(ISBLANK($C208),"",$CA208)</f>
        <v/>
      </c>
      <c r="DA208" s="106" t="str">
        <f aca="false">IF(ISBLANK($C208),"",$CP208)</f>
        <v/>
      </c>
      <c r="DB208" s="106" t="str">
        <f aca="false">IF(ISBLANK($C208),"",$CO208)</f>
        <v/>
      </c>
      <c r="DC208" s="107" t="str">
        <f aca="false">IF(ISBLANK($C208),"",IFERROR(_xlfn.SWITCH($DB208,Constants!$B$11,COUNTA($C$9:$C$508)+2,Constants!$B$10,COUNTA($C$9:$C$508)+1,Constants!$B$9,COUNTA($C$9:$C$508)),$DB208))</f>
        <v/>
      </c>
      <c r="DD208" s="9"/>
      <c r="DE208" s="108" t="n">
        <f aca="false">IF(OR(ISNUMBER($DB208),$DB208=Constants!$B$11,$DB208=Constants!$B$9,$DB208=Constants!$B$10),1,0)</f>
        <v>0</v>
      </c>
      <c r="DF208" s="108" t="n">
        <v>200</v>
      </c>
      <c r="DG208" s="108" t="str">
        <f aca="false">IF(ISBLANK($C208),"",IF(ISNUMBER($DC208),$DC208+ROW($B208)/1000,""))</f>
        <v/>
      </c>
      <c r="DH208" s="108" t="str">
        <f aca="false">IF(ISNUMBER($DG208),RANK($DG208,$DG$9:$DG$508,1),"")</f>
        <v/>
      </c>
      <c r="DI208" s="108" t="str">
        <f aca="false">IF(ISBLANK($C208),"",$B208)</f>
        <v/>
      </c>
      <c r="DJ208" s="108" t="str">
        <f aca="false">IF(ISBLANK($C208),"",$C208)</f>
        <v/>
      </c>
      <c r="DK208" s="108" t="str">
        <f aca="false">IF(ISBLANK($C208),"",$D208)</f>
        <v/>
      </c>
      <c r="DL208" s="109" t="str">
        <f aca="false">$CZ208</f>
        <v/>
      </c>
      <c r="DM208" s="110" t="str">
        <f aca="false">$CY208</f>
        <v/>
      </c>
      <c r="DN208" s="108" t="str">
        <f aca="false">IF(ISBLANK($C208),"",$DB208)</f>
        <v/>
      </c>
      <c r="DO208" s="111" t="str">
        <f aca="false">IF($DF208&gt;$DE$8,"",VLOOKUP($DF208,$DH$9:$DN$508,7,FALSE()))</f>
        <v/>
      </c>
      <c r="DP208" s="112" t="str">
        <f aca="false">IF($DF208&gt;$DE$8,"",VLOOKUP($DF208,$DH$9:$DN$508,2,FALSE()))</f>
        <v/>
      </c>
      <c r="DQ208" s="112" t="str">
        <f aca="false">IF($DF208&gt;$DE$8,"",VLOOKUP($DF208,$DH$9:$DN$508,3,FALSE()))</f>
        <v/>
      </c>
      <c r="DR208" s="112" t="str">
        <f aca="false">IF($DF208&gt;$DE$8,"",VLOOKUP($DF208,$DH$9:$DN$508,4,FALSE()))</f>
        <v/>
      </c>
      <c r="DS208" s="112" t="str">
        <f aca="false">IF($DF208&gt;$DE$8,"",VLOOKUP($DF208,$DH$9:$DN$508,5,FALSE()))</f>
        <v/>
      </c>
      <c r="DT208" s="113" t="str">
        <f aca="false">IF($DF208&gt;$DE$8,"",VLOOKUP($DF208,$DH$9:$DN$508,6,FALSE()))</f>
        <v/>
      </c>
      <c r="DU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IF(ISBLANK($C209),"",IF(E209=Constants!$B$3,TRUE(),IF(E209=Constants!$B$4,FALSE(),TRUE())))</f>
        <v/>
      </c>
      <c r="AG209" s="93" t="str">
        <f aca="false">IF(ISBLANK($C209),"",IF(F209=Constants!$B$3,TRUE(),IF(F209=Constants!$B$4,FALSE(),TRUE())))</f>
        <v/>
      </c>
      <c r="AH209" s="93" t="str">
        <f aca="false">IF(ISBLANK($C209),"",IF(G209=Constants!$B$3,TRUE(),IF(G209=Constants!$B$4,FALSE(),TRUE())))</f>
        <v/>
      </c>
      <c r="AI209" s="93" t="str">
        <f aca="false">IF(ISBLANK($C209),"",IF(AND(ISNUMBER(H209),H209&gt;=0),H209,Constants!$B$29))</f>
        <v/>
      </c>
      <c r="AJ209" s="93" t="str">
        <f aca="false">IF(ISBLANK($C209),"",IF(I209=Constants!$B$3,TRUE(),IF(I209=Constants!$B$4,FALSE(),TRUE())))</f>
        <v/>
      </c>
      <c r="AK209" s="93" t="str">
        <f aca="false">IF(ISBLANK($C209),"",IF(J209=Constants!$B$3,TRUE(),IF(J209=Constants!$B$4,FALSE(),TRUE())))</f>
        <v/>
      </c>
      <c r="AL209" s="93" t="str">
        <f aca="false">IF(ISBLANK($C209),"",IF(K209=Constants!$B$5,TRUE(),IF(K209=Constants!$B$6,FALSE(),COUNTA(L209:P209)&gt;0)))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IF(ISBLANK($C209),"",IF(N209=Constants!$B$3,TRUE(),IF(N209=Constants!$B$4,FALSE(),TRUE())))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IF(ISBLANK($C209),"",IF(P209=Constants!$B$3,TRUE(),IF(P209=Constants!$B$4,FALSE(),FALSE())))</f>
        <v/>
      </c>
      <c r="AR209" s="93" t="str">
        <f aca="false">IF(ISBLANK($C209),"",IF(Q209=Constants!$B$3,TRUE(),IF(Q209=Constants!$B$4,FALSE(),TRUE())))</f>
        <v/>
      </c>
      <c r="AS209" s="93" t="str">
        <f aca="false">IF(ISBLANK($C209),"",IF(R209=Constants!$B$3,TRUE(),IF(R209=Constants!$B$4,FALSE(),TRUE())))</f>
        <v/>
      </c>
      <c r="AT209" s="93" t="str">
        <f aca="false">IF(ISBLANK($C209),"",IF(S209=Constants!$B$5,TRUE(),IF(S209=Constants!$B$6,FALSE(),COUNTA(T209:X209)&gt;0)))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IF(ISBLANK($C209),"",IF(V209=Constants!$B$3,TRUE(),IF(V209=Constants!$B$4,FALSE(),TRUE())))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IF(ISBLANK($C209),"",IF(X209=Constants!$B$3,TRUE(),IF(X209=Constants!$B$4,FALSE(),FALSE())))</f>
        <v/>
      </c>
      <c r="AZ209" s="93" t="str">
        <f aca="false">IF(ISBLANK($C209),"",MIN(Constants!$B$31,MAX(0,IF(ISNUMBER(Y209),Y209*60,0)+IF(ISNUMBER(Z209),Z209,0))))</f>
        <v/>
      </c>
      <c r="BA209" s="93" t="str">
        <f aca="false">IF(ISBLANK($C209),"",IF(AA209=Constants!$B$3,TRUE(),IF(AA209=Constants!$B$4,FALSE(),FALSE())))</f>
        <v/>
      </c>
      <c r="BB209" s="92" t="str">
        <f aca="false">IF(ISBLANK($C209),"",AND($AL209,OR($AM209="",$AN209="",AND($AO209,$AP209=""))))</f>
        <v/>
      </c>
      <c r="BC209" s="94" t="str">
        <f aca="false">IF($BZ209&lt;&gt;Constants!$B$8,"",IF($AL209,Constants!$B$21*$AN209+Constants!$B$22*IF($AO209,$AP209,Constants!$B$23),Constants!$B$24))</f>
        <v/>
      </c>
      <c r="BD209" s="97" t="str">
        <f aca="false">IF($BZ209&lt;&gt;Constants!$B$8,"",Constants!$B$25*ABS($AD$9-IF($AL209,$AM209,0)))</f>
        <v/>
      </c>
      <c r="BE209" s="97" t="str">
        <f aca="false">IF($BZ209&lt;&gt;Constants!$B$8,"",IF(AND($AL209,$AQ209,$AO209),Constants!$B$27,0))</f>
        <v/>
      </c>
      <c r="BF209" s="97" t="str">
        <f aca="false">IF($BZ209&lt;&gt;Constants!$B$8,"",IF($AL209,($AI209-Constants!$B$29)*Constants!$B$28,0))</f>
        <v/>
      </c>
      <c r="BG209" s="97" t="str">
        <f aca="false">IF($BZ209&lt;&gt;Constants!$B$8,"",IF($AK209,0,Constants!$B$15)+IF($AJ209,0,Constants!$B$16)+IF($AH209,0,Constants!$B$17))</f>
        <v/>
      </c>
      <c r="BH209" s="98" t="str">
        <f aca="false">IF($BZ209&lt;&gt;Constants!$B$8,"",Constants!$B$20+SUM($BC209:$BG209))</f>
        <v/>
      </c>
      <c r="BI209" s="97" t="str">
        <f aca="false">IF($BZ209&lt;&gt;Constants!$B$8,"",$BC209)</f>
        <v/>
      </c>
      <c r="BJ209" s="97" t="str">
        <f aca="false">IF($BZ209&lt;&gt;Constants!$B$8,"",$BD209)</f>
        <v/>
      </c>
      <c r="BK209" s="97" t="str">
        <f aca="false">IF($BZ209&lt;&gt;Constants!$B$8,"",IF($AL209,$AN209,""))</f>
        <v/>
      </c>
      <c r="BL209" s="99" t="str">
        <f aca="false">IF($BZ209&lt;&gt;Constants!$B$8,"",$AI209)</f>
        <v/>
      </c>
      <c r="BM209" s="93" t="str">
        <f aca="false">IF($BZ209&lt;&gt;Constants!$B$8,"",IF(OR($BT209&lt;$BH209,AND($BT209=$BH209,OR($BU209&lt;$BI209,AND($BU209=$BI209,OR($BV209&lt;$BJ209,AND($BV209=$BJ209,OR(AND(ISNUMBER($BW209),OR(NOT(ISNUMBER($BK209)),$BW209&lt;$BK209)),AND(OR(AND($BW209="",$BK209=""),AND(ISNUMBER($BW209),ISNUMBER($BK209),$BW209=$BK209)),$BX209&lt;$BL209)))))))),"-&gt;","&lt;-"))</f>
        <v/>
      </c>
      <c r="BN209" s="92" t="str">
        <f aca="false">IF(ISBLANK($C209),"",AND($AT209,OR($AU209="",$AV209="",AND($AW209,$AX209=""))))</f>
        <v/>
      </c>
      <c r="BO209" s="94" t="str">
        <f aca="false">IF($BZ209&lt;&gt;Constants!$B$8,"",IF($AT209,Constants!$B$21*$AV209+Constants!$B$22*IF($AW209,$AX209,Constants!$B$23),Constants!$B$24))</f>
        <v/>
      </c>
      <c r="BP209" s="97" t="str">
        <f aca="false">IF($BZ209&lt;&gt;Constants!$B$8,"",Constants!$B$25*ABS($AD$9-IF($AT209,$AU209,0)))</f>
        <v/>
      </c>
      <c r="BQ209" s="97" t="str">
        <f aca="false">IF($BZ209&lt;&gt;Constants!$B$8,"",IF(AND($AT209,$AY209,$AW209),Constants!$B$27,0))</f>
        <v/>
      </c>
      <c r="BR209" s="97" t="str">
        <f aca="false">IF($BZ209&lt;&gt;Constants!$B$8,"",IF($AT209,($AI209-Constants!$B$29)*Constants!$B$28,0))</f>
        <v/>
      </c>
      <c r="BS209" s="97" t="str">
        <f aca="false">IF($BZ209&lt;&gt;Constants!$B$8,"",IF($AS209,0,Constants!$B$15)+IF($AR209,0,Constants!$B$16)+IF($AH209,0,Constants!$B$17))</f>
        <v/>
      </c>
      <c r="BT209" s="98" t="str">
        <f aca="false">IF($BZ209&lt;&gt;Constants!$B$8,"",Constants!$B$20+SUM($BO209:$BS209))</f>
        <v/>
      </c>
      <c r="BU209" s="97" t="str">
        <f aca="false">IF($BZ209&lt;&gt;Constants!$B$8,"",$BO209)</f>
        <v/>
      </c>
      <c r="BV209" s="97" t="str">
        <f aca="false">IF($BZ209&lt;&gt;Constants!$B$8,"",$BP209)</f>
        <v/>
      </c>
      <c r="BW209" s="97" t="str">
        <f aca="false">IF($BZ209&lt;&gt;Constants!$B$8,"",IF($AT209,$AV209,""))</f>
        <v/>
      </c>
      <c r="BX209" s="99" t="str">
        <f aca="false">IF($BZ209&lt;&gt;Constants!$B$8,"",$AI209)</f>
        <v/>
      </c>
      <c r="BY209" s="93" t="str">
        <f aca="false">IF(ISBLANK($C209),"",IF(ISBLANK($D$7),$BY$5,IF(NOT(ISNUMBER($D$7)),$BY$6,"")))</f>
        <v/>
      </c>
      <c r="BZ209" s="93" t="str">
        <f aca="false">IF(ISBLANK($C209),"",IF($BA209,Constants!$B$11,IF(COUNTA($E209:$AA209)=0,Constants!$B$10,IF(NOT($AG209),Constants!$B$9,IF(OR($BY209&lt;&gt;"",$BB209,$BN209),Constants!$B$12,Constants!$B$8)))))</f>
        <v/>
      </c>
      <c r="CA209" s="93" t="str">
        <f aca="false">IF(ISBLANK($C209),"",IF($BZ209&lt;&gt;Constants!$B$8,$BZ209,Constants!$B$13))</f>
        <v/>
      </c>
      <c r="CB209" s="97" t="str">
        <f aca="false">IF($BZ209&lt;&gt;Constants!$B$8,"",IF($BM209="-&gt;",$BT209,$BH209))</f>
        <v/>
      </c>
      <c r="CC209" s="97" t="str">
        <f aca="false">IF($BZ209&lt;&gt;Constants!$B$8,"",IF($AF209,0,Constants!$B$18))</f>
        <v/>
      </c>
      <c r="CD209" s="97" t="str">
        <f aca="false">IF($BZ209&lt;&gt;Constants!$B$8,"",((Constants!$B$31-$AZ209)-Constants!$B$31)/Constants!$B$32)</f>
        <v/>
      </c>
      <c r="CE209" s="97" t="str">
        <f aca="false">IF(ISBLANK($C209),"",IF($BZ209&lt;&gt;Constants!$B$8,$BZ209,SUM($CB209:$CD209)))</f>
        <v/>
      </c>
      <c r="CF209" s="93" t="str">
        <f aca="false">IF(ISBLANK($C209),"",IF($BZ209&lt;&gt;Constants!$B$8,$BZ209,RANK($CE209,$CE$9:$CE$508,1)))</f>
        <v/>
      </c>
      <c r="CG209" s="97" t="str">
        <f aca="false">IF($BZ209&lt;&gt;Constants!$B$8,"",IF($BM209="-&gt;",$BU209,$BI209))</f>
        <v/>
      </c>
      <c r="CH209" s="93" t="str">
        <f aca="false">IF(ISBLANK($C209),"",IF($BZ209&lt;&gt;Constants!$B$8,$BZ209,IF(ISNUMBER($CG209),RANK($CG209,$CG$9:$CG$508,1),COUNT($CG$9:$CG$508)+1)))</f>
        <v/>
      </c>
      <c r="CI209" s="97" t="str">
        <f aca="false">IF($BZ209&lt;&gt;Constants!$B$8,"",IF($BM209="-&gt;",$BV209,$BJ209))</f>
        <v/>
      </c>
      <c r="CJ209" s="93" t="str">
        <f aca="false">IF(ISBLANK($C209),"",IF($BZ209&lt;&gt;Constants!$B$8,$BZ209,IF(ISNUMBER($CI209),RANK($CI209,$CI$9:$CI$508,1),COUNT($CI$9:$CI$508)+1)))</f>
        <v/>
      </c>
      <c r="CK209" s="97" t="str">
        <f aca="false">IF($BZ209&lt;&gt;Constants!$B$8,"",IF($BM209="-&gt;",$BW209,$BK209))</f>
        <v/>
      </c>
      <c r="CL209" s="93" t="str">
        <f aca="false">IF(ISBLANK($C209),"",IF($BZ209&lt;&gt;Constants!$B$8,$BZ209,IF(ISNUMBER($CK209),RANK($CK209,$CK$9:$CK$508,1),COUNT($CK$9:$CK$508)+1)))</f>
        <v/>
      </c>
      <c r="CM209" s="97" t="str">
        <f aca="false">IF($BZ209&lt;&gt;Constants!$B$8,"",IF(AND(NOT($AL209),NOT($AT209),$AJ209,$AK209,$AR209,$AS209),"",IF($BM209="-&gt;",$BX209,$BL209)))</f>
        <v/>
      </c>
      <c r="CN209" s="93" t="str">
        <f aca="false">IF(ISBLANK($C209),"",IF($BZ209&lt;&gt;Constants!$B$8,$BZ209,IF(ISNUMBER($CM209),RANK($CM209,$CM$9:$CM$508,1),COUNT($CM$9:$CM$508)+1)))</f>
        <v/>
      </c>
      <c r="CO209" s="93" t="str">
        <f aca="false">IF(ISBLANK($C209),"",IF($BZ209&lt;&gt;Constants!$B$8,$BZ209,COUNTIFS($CF$9:$CF$508,"&lt;"&amp;$CF209)+COUNTIFS($CF$9:$CF$508,$CF209,$CH$9:$CH$508,"&lt;"&amp;$CH209)+COUNTIFS($CF$9:$CF$508,$CF209,$CH$9:$CH$508,$CH209,$CJ$9:$CJ$508,"&lt;"&amp;$CJ209)+COUNTIFS($CF$9:$CF$508,$CF209,$CH$9:$CH$508,$CH209,$CJ$9:$CJ$508,$CJ209,$CL$9:$CL$508,"&lt;"&amp;$CL209)+COUNTIFS($CF$9:$CF$508,$CF209,$CH$9:$CH$508,$CH209,$CJ$9:$CJ$508,$CJ209,$CL$9:$CL$508,$CL209,$CN$9:$CN$508,"&lt;"&amp;$CN209)+1))</f>
        <v/>
      </c>
      <c r="CP209" s="93" t="str">
        <f aca="false">IF(ISBLANK($C209),"",IF($BZ209&lt;&gt;Constants!$B$8,$BZ209,$CF209-$CO209))</f>
        <v/>
      </c>
      <c r="CQ209" s="100"/>
      <c r="CR209" s="101"/>
      <c r="CS209" s="102" t="str">
        <f aca="false">IF(ISBLANK($C209),"",IF($BZ209=Constants!$B$12,$BY209,""))</f>
        <v/>
      </c>
      <c r="CT209" s="101" t="str">
        <f aca="false">IF(ISBLANK($C209),"",IF($BZ209&lt;&gt;Constants!$B$8,"",IF($BM209="-&gt;",2,1)))</f>
        <v/>
      </c>
      <c r="CU209" s="103" t="str">
        <f aca="false">IF(ISBLANK($C209),"",IF($BZ209&lt;&gt;Constants!$B$8,"",IF($BM209="-&gt;",$BO209,$BC209)))</f>
        <v/>
      </c>
      <c r="CV209" s="103" t="str">
        <f aca="false">IF(ISBLANK($C209),"",IF($BZ209&lt;&gt;Constants!$B$8,"",IF($BM209="-&gt;",$BP209,$BD209)))</f>
        <v/>
      </c>
      <c r="CW209" s="103" t="str">
        <f aca="false">IF(ISBLANK($C209),"",IF($BZ209&lt;&gt;Constants!$B$8,"",IF($BM209="-&gt;",$BQ209+$BR209,$BE209+$BF209)+$CD209))</f>
        <v/>
      </c>
      <c r="CX209" s="103" t="str">
        <f aca="false">IF(ISBLANK($C209),"",IF($BZ209&lt;&gt;Constants!$B$8,"",IF($BM209="-&gt;",$BS209,$BG209)+$CC209))</f>
        <v/>
      </c>
      <c r="CY209" s="104" t="str">
        <f aca="false">IF(ISBLANK($C209),"",IF($BZ209&lt;&gt;Constants!$B$8,$BZ209,$CE209))</f>
        <v/>
      </c>
      <c r="CZ209" s="105" t="str">
        <f aca="false">IF(ISBLANK($C209),"",$CA209)</f>
        <v/>
      </c>
      <c r="DA209" s="106" t="str">
        <f aca="false">IF(ISBLANK($C209),"",$CP209)</f>
        <v/>
      </c>
      <c r="DB209" s="106" t="str">
        <f aca="false">IF(ISBLANK($C209),"",$CO209)</f>
        <v/>
      </c>
      <c r="DC209" s="107" t="str">
        <f aca="false">IF(ISBLANK($C209),"",IFERROR(_xlfn.SWITCH($DB209,Constants!$B$11,COUNTA($C$9:$C$508)+2,Constants!$B$10,COUNTA($C$9:$C$508)+1,Constants!$B$9,COUNTA($C$9:$C$508)),$DB209))</f>
        <v/>
      </c>
      <c r="DD209" s="9"/>
      <c r="DE209" s="108" t="n">
        <f aca="false">IF(OR(ISNUMBER($DB209),$DB209=Constants!$B$11,$DB209=Constants!$B$9,$DB209=Constants!$B$10),1,0)</f>
        <v>0</v>
      </c>
      <c r="DF209" s="108" t="n">
        <v>201</v>
      </c>
      <c r="DG209" s="108" t="str">
        <f aca="false">IF(ISBLANK($C209),"",IF(ISNUMBER($DC209),$DC209+ROW($B209)/1000,""))</f>
        <v/>
      </c>
      <c r="DH209" s="108" t="str">
        <f aca="false">IF(ISNUMBER($DG209),RANK($DG209,$DG$9:$DG$508,1),"")</f>
        <v/>
      </c>
      <c r="DI209" s="108" t="str">
        <f aca="false">IF(ISBLANK($C209),"",$B209)</f>
        <v/>
      </c>
      <c r="DJ209" s="108" t="str">
        <f aca="false">IF(ISBLANK($C209),"",$C209)</f>
        <v/>
      </c>
      <c r="DK209" s="108" t="str">
        <f aca="false">IF(ISBLANK($C209),"",$D209)</f>
        <v/>
      </c>
      <c r="DL209" s="109" t="str">
        <f aca="false">$CZ209</f>
        <v/>
      </c>
      <c r="DM209" s="110" t="str">
        <f aca="false">$CY209</f>
        <v/>
      </c>
      <c r="DN209" s="108" t="str">
        <f aca="false">IF(ISBLANK($C209),"",$DB209)</f>
        <v/>
      </c>
      <c r="DO209" s="111" t="str">
        <f aca="false">IF($DF209&gt;$DE$8,"",VLOOKUP($DF209,$DH$9:$DN$508,7,FALSE()))</f>
        <v/>
      </c>
      <c r="DP209" s="112" t="str">
        <f aca="false">IF($DF209&gt;$DE$8,"",VLOOKUP($DF209,$DH$9:$DN$508,2,FALSE()))</f>
        <v/>
      </c>
      <c r="DQ209" s="112" t="str">
        <f aca="false">IF($DF209&gt;$DE$8,"",VLOOKUP($DF209,$DH$9:$DN$508,3,FALSE()))</f>
        <v/>
      </c>
      <c r="DR209" s="112" t="str">
        <f aca="false">IF($DF209&gt;$DE$8,"",VLOOKUP($DF209,$DH$9:$DN$508,4,FALSE()))</f>
        <v/>
      </c>
      <c r="DS209" s="112" t="str">
        <f aca="false">IF($DF209&gt;$DE$8,"",VLOOKUP($DF209,$DH$9:$DN$508,5,FALSE()))</f>
        <v/>
      </c>
      <c r="DT209" s="113" t="str">
        <f aca="false">IF($DF209&gt;$DE$8,"",VLOOKUP($DF209,$DH$9:$DN$508,6,FALSE()))</f>
        <v/>
      </c>
      <c r="DU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IF(ISBLANK($C210),"",IF(E210=Constants!$B$3,TRUE(),IF(E210=Constants!$B$4,FALSE(),TRUE())))</f>
        <v/>
      </c>
      <c r="AG210" s="135" t="str">
        <f aca="false">IF(ISBLANK($C210),"",IF(F210=Constants!$B$3,TRUE(),IF(F210=Constants!$B$4,FALSE(),TRUE())))</f>
        <v/>
      </c>
      <c r="AH210" s="135" t="str">
        <f aca="false">IF(ISBLANK($C210),"",IF(G210=Constants!$B$3,TRUE(),IF(G210=Constants!$B$4,FALSE(),TRUE())))</f>
        <v/>
      </c>
      <c r="AI210" s="135" t="str">
        <f aca="false">IF(ISBLANK($C210),"",IF(AND(ISNUMBER(H210),H210&gt;=0),H210,Constants!$B$29))</f>
        <v/>
      </c>
      <c r="AJ210" s="135" t="str">
        <f aca="false">IF(ISBLANK($C210),"",IF(I210=Constants!$B$3,TRUE(),IF(I210=Constants!$B$4,FALSE(),TRUE())))</f>
        <v/>
      </c>
      <c r="AK210" s="135" t="str">
        <f aca="false">IF(ISBLANK($C210),"",IF(J210=Constants!$B$3,TRUE(),IF(J210=Constants!$B$4,FALSE(),TRUE())))</f>
        <v/>
      </c>
      <c r="AL210" s="135" t="str">
        <f aca="false">IF(ISBLANK($C210),"",IF(K210=Constants!$B$5,TRUE(),IF(K210=Constants!$B$6,FALSE(),COUNTA(L210:P210)&gt;0)))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IF(ISBLANK($C210),"",IF(N210=Constants!$B$3,TRUE(),IF(N210=Constants!$B$4,FALSE(),TRUE())))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IF(ISBLANK($C210),"",IF(P210=Constants!$B$3,TRUE(),IF(P210=Constants!$B$4,FALSE(),FALSE())))</f>
        <v/>
      </c>
      <c r="AR210" s="135" t="str">
        <f aca="false">IF(ISBLANK($C210),"",IF(Q210=Constants!$B$3,TRUE(),IF(Q210=Constants!$B$4,FALSE(),TRUE())))</f>
        <v/>
      </c>
      <c r="AS210" s="135" t="str">
        <f aca="false">IF(ISBLANK($C210),"",IF(R210=Constants!$B$3,TRUE(),IF(R210=Constants!$B$4,FALSE(),TRUE())))</f>
        <v/>
      </c>
      <c r="AT210" s="135" t="str">
        <f aca="false">IF(ISBLANK($C210),"",IF(S210=Constants!$B$5,TRUE(),IF(S210=Constants!$B$6,FALSE(),COUNTA(T210:X210)&gt;0)))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IF(ISBLANK($C210),"",IF(V210=Constants!$B$3,TRUE(),IF(V210=Constants!$B$4,FALSE(),TRUE())))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IF(ISBLANK($C210),"",IF(X210=Constants!$B$3,TRUE(),IF(X210=Constants!$B$4,FALSE(),FALSE())))</f>
        <v/>
      </c>
      <c r="AZ210" s="135" t="str">
        <f aca="false">IF(ISBLANK($C210),"",MIN(Constants!$B$31,MAX(0,IF(ISNUMBER(Y210),Y210*60,0)+IF(ISNUMBER(Z210),Z210,0))))</f>
        <v/>
      </c>
      <c r="BA210" s="135" t="str">
        <f aca="false">IF(ISBLANK($C210),"",IF(AA210=Constants!$B$3,TRUE(),IF(AA210=Constants!$B$4,FALSE(),FALSE())))</f>
        <v/>
      </c>
      <c r="BB210" s="134" t="str">
        <f aca="false">IF(ISBLANK($C210),"",AND($AL210,OR($AM210="",$AN210="",AND($AO210,$AP210=""))))</f>
        <v/>
      </c>
      <c r="BC210" s="137" t="str">
        <f aca="false">IF($BZ210&lt;&gt;Constants!$B$8,"",IF($AL210,Constants!$B$21*$AN210+Constants!$B$22*IF($AO210,$AP210,Constants!$B$23),Constants!$B$24))</f>
        <v/>
      </c>
      <c r="BD210" s="138" t="str">
        <f aca="false">IF($BZ210&lt;&gt;Constants!$B$8,"",Constants!$B$25*ABS($AD$9-IF($AL210,$AM210,0)))</f>
        <v/>
      </c>
      <c r="BE210" s="138" t="str">
        <f aca="false">IF($BZ210&lt;&gt;Constants!$B$8,"",IF(AND($AL210,$AQ210,$AO210),Constants!$B$27,0))</f>
        <v/>
      </c>
      <c r="BF210" s="138" t="str">
        <f aca="false">IF($BZ210&lt;&gt;Constants!$B$8,"",IF($AL210,($AI210-Constants!$B$29)*Constants!$B$28,0))</f>
        <v/>
      </c>
      <c r="BG210" s="138" t="str">
        <f aca="false">IF($BZ210&lt;&gt;Constants!$B$8,"",IF($AK210,0,Constants!$B$15)+IF($AJ210,0,Constants!$B$16)+IF($AH210,0,Constants!$B$17))</f>
        <v/>
      </c>
      <c r="BH210" s="139" t="str">
        <f aca="false">IF($BZ210&lt;&gt;Constants!$B$8,"",Constants!$B$20+SUM($BC210:$BG210))</f>
        <v/>
      </c>
      <c r="BI210" s="138" t="str">
        <f aca="false">IF($BZ210&lt;&gt;Constants!$B$8,"",$BC210)</f>
        <v/>
      </c>
      <c r="BJ210" s="138" t="str">
        <f aca="false">IF($BZ210&lt;&gt;Constants!$B$8,"",$BD210)</f>
        <v/>
      </c>
      <c r="BK210" s="138" t="str">
        <f aca="false">IF($BZ210&lt;&gt;Constants!$B$8,"",IF($AL210,$AN210,""))</f>
        <v/>
      </c>
      <c r="BL210" s="140" t="str">
        <f aca="false">IF($BZ210&lt;&gt;Constants!$B$8,"",$AI210)</f>
        <v/>
      </c>
      <c r="BM210" s="135" t="str">
        <f aca="false">IF($BZ210&lt;&gt;Constants!$B$8,"",IF(OR($BT210&lt;$BH210,AND($BT210=$BH210,OR($BU210&lt;$BI210,AND($BU210=$BI210,OR($BV210&lt;$BJ210,AND($BV210=$BJ210,OR(AND(ISNUMBER($BW210),OR(NOT(ISNUMBER($BK210)),$BW210&lt;$BK210)),AND(OR(AND($BW210="",$BK210=""),AND(ISNUMBER($BW210),ISNUMBER($BK210),$BW210=$BK210)),$BX210&lt;$BL210)))))))),"-&gt;","&lt;-"))</f>
        <v/>
      </c>
      <c r="BN210" s="134" t="str">
        <f aca="false">IF(ISBLANK($C210),"",AND($AT210,OR($AU210="",$AV210="",AND($AW210,$AX210=""))))</f>
        <v/>
      </c>
      <c r="BO210" s="137" t="str">
        <f aca="false">IF($BZ210&lt;&gt;Constants!$B$8,"",IF($AT210,Constants!$B$21*$AV210+Constants!$B$22*IF($AW210,$AX210,Constants!$B$23),Constants!$B$24))</f>
        <v/>
      </c>
      <c r="BP210" s="138" t="str">
        <f aca="false">IF($BZ210&lt;&gt;Constants!$B$8,"",Constants!$B$25*ABS($AD$9-IF($AT210,$AU210,0)))</f>
        <v/>
      </c>
      <c r="BQ210" s="138" t="str">
        <f aca="false">IF($BZ210&lt;&gt;Constants!$B$8,"",IF(AND($AT210,$AY210,$AW210),Constants!$B$27,0))</f>
        <v/>
      </c>
      <c r="BR210" s="138" t="str">
        <f aca="false">IF($BZ210&lt;&gt;Constants!$B$8,"",IF($AT210,($AI210-Constants!$B$29)*Constants!$B$28,0))</f>
        <v/>
      </c>
      <c r="BS210" s="138" t="str">
        <f aca="false">IF($BZ210&lt;&gt;Constants!$B$8,"",IF($AS210,0,Constants!$B$15)+IF($AR210,0,Constants!$B$16)+IF($AH210,0,Constants!$B$17))</f>
        <v/>
      </c>
      <c r="BT210" s="139" t="str">
        <f aca="false">IF($BZ210&lt;&gt;Constants!$B$8,"",Constants!$B$20+SUM($BO210:$BS210))</f>
        <v/>
      </c>
      <c r="BU210" s="138" t="str">
        <f aca="false">IF($BZ210&lt;&gt;Constants!$B$8,"",$BO210)</f>
        <v/>
      </c>
      <c r="BV210" s="138" t="str">
        <f aca="false">IF($BZ210&lt;&gt;Constants!$B$8,"",$BP210)</f>
        <v/>
      </c>
      <c r="BW210" s="138" t="str">
        <f aca="false">IF($BZ210&lt;&gt;Constants!$B$8,"",IF($AT210,$AV210,""))</f>
        <v/>
      </c>
      <c r="BX210" s="140" t="str">
        <f aca="false">IF($BZ210&lt;&gt;Constants!$B$8,"",$AI210)</f>
        <v/>
      </c>
      <c r="BY210" s="135" t="str">
        <f aca="false">IF(ISBLANK($C210),"",IF(ISBLANK($D$7),$BY$5,IF(NOT(ISNUMBER($D$7)),$BY$6,"")))</f>
        <v/>
      </c>
      <c r="BZ210" s="135" t="str">
        <f aca="false">IF(ISBLANK($C210),"",IF($BA210,Constants!$B$11,IF(COUNTA($E210:$AA210)=0,Constants!$B$10,IF(NOT($AG210),Constants!$B$9,IF(OR($BY210&lt;&gt;"",$BB210,$BN210),Constants!$B$12,Constants!$B$8)))))</f>
        <v/>
      </c>
      <c r="CA210" s="135" t="str">
        <f aca="false">IF(ISBLANK($C210),"",IF($BZ210&lt;&gt;Constants!$B$8,$BZ210,Constants!$B$13))</f>
        <v/>
      </c>
      <c r="CB210" s="138" t="str">
        <f aca="false">IF($BZ210&lt;&gt;Constants!$B$8,"",IF($BM210="-&gt;",$BT210,$BH210))</f>
        <v/>
      </c>
      <c r="CC210" s="138" t="str">
        <f aca="false">IF($BZ210&lt;&gt;Constants!$B$8,"",IF($AF210,0,Constants!$B$18))</f>
        <v/>
      </c>
      <c r="CD210" s="138" t="str">
        <f aca="false">IF($BZ210&lt;&gt;Constants!$B$8,"",((Constants!$B$31-$AZ210)-Constants!$B$31)/Constants!$B$32)</f>
        <v/>
      </c>
      <c r="CE210" s="138" t="str">
        <f aca="false">IF(ISBLANK($C210),"",IF($BZ210&lt;&gt;Constants!$B$8,$BZ210,SUM($CB210:$CD210)))</f>
        <v/>
      </c>
      <c r="CF210" s="135" t="str">
        <f aca="false">IF(ISBLANK($C210),"",IF($BZ210&lt;&gt;Constants!$B$8,$BZ210,RANK($CE210,$CE$9:$CE$508,1)))</f>
        <v/>
      </c>
      <c r="CG210" s="138" t="str">
        <f aca="false">IF($BZ210&lt;&gt;Constants!$B$8,"",IF($BM210="-&gt;",$BU210,$BI210))</f>
        <v/>
      </c>
      <c r="CH210" s="135" t="str">
        <f aca="false">IF(ISBLANK($C210),"",IF($BZ210&lt;&gt;Constants!$B$8,$BZ210,IF(ISNUMBER($CG210),RANK($CG210,$CG$9:$CG$508,1),COUNT($CG$9:$CG$508)+1)))</f>
        <v/>
      </c>
      <c r="CI210" s="138" t="str">
        <f aca="false">IF($BZ210&lt;&gt;Constants!$B$8,"",IF($BM210="-&gt;",$BV210,$BJ210))</f>
        <v/>
      </c>
      <c r="CJ210" s="135" t="str">
        <f aca="false">IF(ISBLANK($C210),"",IF($BZ210&lt;&gt;Constants!$B$8,$BZ210,IF(ISNUMBER($CI210),RANK($CI210,$CI$9:$CI$508,1),COUNT($CI$9:$CI$508)+1)))</f>
        <v/>
      </c>
      <c r="CK210" s="138" t="str">
        <f aca="false">IF($BZ210&lt;&gt;Constants!$B$8,"",IF($BM210="-&gt;",$BW210,$BK210))</f>
        <v/>
      </c>
      <c r="CL210" s="135" t="str">
        <f aca="false">IF(ISBLANK($C210),"",IF($BZ210&lt;&gt;Constants!$B$8,$BZ210,IF(ISNUMBER($CK210),RANK($CK210,$CK$9:$CK$508,1),COUNT($CK$9:$CK$508)+1)))</f>
        <v/>
      </c>
      <c r="CM210" s="138" t="str">
        <f aca="false">IF($BZ210&lt;&gt;Constants!$B$8,"",IF(AND(NOT($AL210),NOT($AT210),$AJ210,$AK210,$AR210,$AS210),"",IF($BM210="-&gt;",$BX210,$BL210)))</f>
        <v/>
      </c>
      <c r="CN210" s="135" t="str">
        <f aca="false">IF(ISBLANK($C210),"",IF($BZ210&lt;&gt;Constants!$B$8,$BZ210,IF(ISNUMBER($CM210),RANK($CM210,$CM$9:$CM$508,1),COUNT($CM$9:$CM$508)+1)))</f>
        <v/>
      </c>
      <c r="CO210" s="135" t="str">
        <f aca="false">IF(ISBLANK($C210),"",IF($BZ210&lt;&gt;Constants!$B$8,$BZ210,COUNTIFS($CF$9:$CF$508,"&lt;"&amp;$CF210)+COUNTIFS($CF$9:$CF$508,$CF210,$CH$9:$CH$508,"&lt;"&amp;$CH210)+COUNTIFS($CF$9:$CF$508,$CF210,$CH$9:$CH$508,$CH210,$CJ$9:$CJ$508,"&lt;"&amp;$CJ210)+COUNTIFS($CF$9:$CF$508,$CF210,$CH$9:$CH$508,$CH210,$CJ$9:$CJ$508,$CJ210,$CL$9:$CL$508,"&lt;"&amp;$CL210)+COUNTIFS($CF$9:$CF$508,$CF210,$CH$9:$CH$508,$CH210,$CJ$9:$CJ$508,$CJ210,$CL$9:$CL$508,$CL210,$CN$9:$CN$508,"&lt;"&amp;$CN210)+1))</f>
        <v/>
      </c>
      <c r="CP210" s="135" t="str">
        <f aca="false">IF(ISBLANK($C210),"",IF($BZ210&lt;&gt;Constants!$B$8,$BZ210,$CF210-$CO210))</f>
        <v/>
      </c>
      <c r="CQ210" s="141"/>
      <c r="CR210" s="142"/>
      <c r="CS210" s="143" t="str">
        <f aca="false">IF(ISBLANK($C210),"",IF($BZ210=Constants!$B$12,$BY210,""))</f>
        <v/>
      </c>
      <c r="CT210" s="142" t="str">
        <f aca="false">IF(ISBLANK($C210),"",IF($BZ210&lt;&gt;Constants!$B$8,"",IF($BM210="-&gt;",2,1)))</f>
        <v/>
      </c>
      <c r="CU210" s="144" t="str">
        <f aca="false">IF(ISBLANK($C210),"",IF($BZ210&lt;&gt;Constants!$B$8,"",IF($BM210="-&gt;",$BO210,$BC210)))</f>
        <v/>
      </c>
      <c r="CV210" s="144" t="str">
        <f aca="false">IF(ISBLANK($C210),"",IF($BZ210&lt;&gt;Constants!$B$8,"",IF($BM210="-&gt;",$BP210,$BD210)))</f>
        <v/>
      </c>
      <c r="CW210" s="144" t="str">
        <f aca="false">IF(ISBLANK($C210),"",IF($BZ210&lt;&gt;Constants!$B$8,"",IF($BM210="-&gt;",$BQ210+$BR210,$BE210+$BF210)+$CD210))</f>
        <v/>
      </c>
      <c r="CX210" s="144" t="str">
        <f aca="false">IF(ISBLANK($C210),"",IF($BZ210&lt;&gt;Constants!$B$8,"",IF($BM210="-&gt;",$BS210,$BG210)+$CC210))</f>
        <v/>
      </c>
      <c r="CY210" s="145" t="str">
        <f aca="false">IF(ISBLANK($C210),"",IF($BZ210&lt;&gt;Constants!$B$8,$BZ210,$CE210))</f>
        <v/>
      </c>
      <c r="CZ210" s="146" t="str">
        <f aca="false">IF(ISBLANK($C210),"",$CA210)</f>
        <v/>
      </c>
      <c r="DA210" s="147" t="str">
        <f aca="false">IF(ISBLANK($C210),"",$CP210)</f>
        <v/>
      </c>
      <c r="DB210" s="147" t="str">
        <f aca="false">IF(ISBLANK($C210),"",$CO210)</f>
        <v/>
      </c>
      <c r="DC210" s="148" t="str">
        <f aca="false">IF(ISBLANK($C210),"",IFERROR(_xlfn.SWITCH($DB210,Constants!$B$11,COUNTA($C$9:$C$508)+2,Constants!$B$10,COUNTA($C$9:$C$508)+1,Constants!$B$9,COUNTA($C$9:$C$508)),$DB210))</f>
        <v/>
      </c>
      <c r="DD210" s="9"/>
      <c r="DE210" s="149" t="n">
        <f aca="false">IF(OR(ISNUMBER($DB210),$DB210=Constants!$B$11,$DB210=Constants!$B$9,$DB210=Constants!$B$10),1,0)</f>
        <v>0</v>
      </c>
      <c r="DF210" s="149" t="n">
        <v>202</v>
      </c>
      <c r="DG210" s="149" t="str">
        <f aca="false">IF(ISBLANK($C210),"",IF(ISNUMBER($DC210),$DC210+ROW($B210)/1000,""))</f>
        <v/>
      </c>
      <c r="DH210" s="149" t="str">
        <f aca="false">IF(ISNUMBER($DG210),RANK($DG210,$DG$9:$DG$508,1),"")</f>
        <v/>
      </c>
      <c r="DI210" s="149" t="str">
        <f aca="false">IF(ISBLANK($C210),"",$B210)</f>
        <v/>
      </c>
      <c r="DJ210" s="149" t="str">
        <f aca="false">IF(ISBLANK($C210),"",$C210)</f>
        <v/>
      </c>
      <c r="DK210" s="149" t="str">
        <f aca="false">IF(ISBLANK($C210),"",$D210)</f>
        <v/>
      </c>
      <c r="DL210" s="150" t="str">
        <f aca="false">$CZ210</f>
        <v/>
      </c>
      <c r="DM210" s="151" t="str">
        <f aca="false">$CY210</f>
        <v/>
      </c>
      <c r="DN210" s="149" t="str">
        <f aca="false">IF(ISBLANK($C210),"",$DB210)</f>
        <v/>
      </c>
      <c r="DO210" s="152" t="str">
        <f aca="false">IF($DF210&gt;$DE$8,"",VLOOKUP($DF210,$DH$9:$DN$508,7,FALSE()))</f>
        <v/>
      </c>
      <c r="DP210" s="153" t="str">
        <f aca="false">IF($DF210&gt;$DE$8,"",VLOOKUP($DF210,$DH$9:$DN$508,2,FALSE()))</f>
        <v/>
      </c>
      <c r="DQ210" s="153" t="str">
        <f aca="false">IF($DF210&gt;$DE$8,"",VLOOKUP($DF210,$DH$9:$DN$508,3,FALSE()))</f>
        <v/>
      </c>
      <c r="DR210" s="153" t="str">
        <f aca="false">IF($DF210&gt;$DE$8,"",VLOOKUP($DF210,$DH$9:$DN$508,4,FALSE()))</f>
        <v/>
      </c>
      <c r="DS210" s="153" t="str">
        <f aca="false">IF($DF210&gt;$DE$8,"",VLOOKUP($DF210,$DH$9:$DN$508,5,FALSE()))</f>
        <v/>
      </c>
      <c r="DT210" s="154" t="str">
        <f aca="false">IF($DF210&gt;$DE$8,"",VLOOKUP($DF210,$DH$9:$DN$508,6,FALSE()))</f>
        <v/>
      </c>
      <c r="DU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IF(ISBLANK($C211),"",IF(E211=Constants!$B$3,TRUE(),IF(E211=Constants!$B$4,FALSE(),TRUE())))</f>
        <v/>
      </c>
      <c r="AG211" s="135" t="str">
        <f aca="false">IF(ISBLANK($C211),"",IF(F211=Constants!$B$3,TRUE(),IF(F211=Constants!$B$4,FALSE(),TRUE())))</f>
        <v/>
      </c>
      <c r="AH211" s="135" t="str">
        <f aca="false">IF(ISBLANK($C211),"",IF(G211=Constants!$B$3,TRUE(),IF(G211=Constants!$B$4,FALSE(),TRUE())))</f>
        <v/>
      </c>
      <c r="AI211" s="135" t="str">
        <f aca="false">IF(ISBLANK($C211),"",IF(AND(ISNUMBER(H211),H211&gt;=0),H211,Constants!$B$29))</f>
        <v/>
      </c>
      <c r="AJ211" s="135" t="str">
        <f aca="false">IF(ISBLANK($C211),"",IF(I211=Constants!$B$3,TRUE(),IF(I211=Constants!$B$4,FALSE(),TRUE())))</f>
        <v/>
      </c>
      <c r="AK211" s="135" t="str">
        <f aca="false">IF(ISBLANK($C211),"",IF(J211=Constants!$B$3,TRUE(),IF(J211=Constants!$B$4,FALSE(),TRUE())))</f>
        <v/>
      </c>
      <c r="AL211" s="135" t="str">
        <f aca="false">IF(ISBLANK($C211),"",IF(K211=Constants!$B$5,TRUE(),IF(K211=Constants!$B$6,FALSE(),COUNTA(L211:P211)&gt;0)))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IF(ISBLANK($C211),"",IF(N211=Constants!$B$3,TRUE(),IF(N211=Constants!$B$4,FALSE(),TRUE())))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IF(ISBLANK($C211),"",IF(P211=Constants!$B$3,TRUE(),IF(P211=Constants!$B$4,FALSE(),FALSE())))</f>
        <v/>
      </c>
      <c r="AR211" s="135" t="str">
        <f aca="false">IF(ISBLANK($C211),"",IF(Q211=Constants!$B$3,TRUE(),IF(Q211=Constants!$B$4,FALSE(),TRUE())))</f>
        <v/>
      </c>
      <c r="AS211" s="135" t="str">
        <f aca="false">IF(ISBLANK($C211),"",IF(R211=Constants!$B$3,TRUE(),IF(R211=Constants!$B$4,FALSE(),TRUE())))</f>
        <v/>
      </c>
      <c r="AT211" s="135" t="str">
        <f aca="false">IF(ISBLANK($C211),"",IF(S211=Constants!$B$5,TRUE(),IF(S211=Constants!$B$6,FALSE(),COUNTA(T211:X211)&gt;0)))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IF(ISBLANK($C211),"",IF(V211=Constants!$B$3,TRUE(),IF(V211=Constants!$B$4,FALSE(),TRUE())))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IF(ISBLANK($C211),"",IF(X211=Constants!$B$3,TRUE(),IF(X211=Constants!$B$4,FALSE(),FALSE())))</f>
        <v/>
      </c>
      <c r="AZ211" s="135" t="str">
        <f aca="false">IF(ISBLANK($C211),"",MIN(Constants!$B$31,MAX(0,IF(ISNUMBER(Y211),Y211*60,0)+IF(ISNUMBER(Z211),Z211,0))))</f>
        <v/>
      </c>
      <c r="BA211" s="135" t="str">
        <f aca="false">IF(ISBLANK($C211),"",IF(AA211=Constants!$B$3,TRUE(),IF(AA211=Constants!$B$4,FALSE(),FALSE())))</f>
        <v/>
      </c>
      <c r="BB211" s="134" t="str">
        <f aca="false">IF(ISBLANK($C211),"",AND($AL211,OR($AM211="",$AN211="",AND($AO211,$AP211=""))))</f>
        <v/>
      </c>
      <c r="BC211" s="137" t="str">
        <f aca="false">IF($BZ211&lt;&gt;Constants!$B$8,"",IF($AL211,Constants!$B$21*$AN211+Constants!$B$22*IF($AO211,$AP211,Constants!$B$23),Constants!$B$24))</f>
        <v/>
      </c>
      <c r="BD211" s="138" t="str">
        <f aca="false">IF($BZ211&lt;&gt;Constants!$B$8,"",Constants!$B$25*ABS($AD$9-IF($AL211,$AM211,0)))</f>
        <v/>
      </c>
      <c r="BE211" s="138" t="str">
        <f aca="false">IF($BZ211&lt;&gt;Constants!$B$8,"",IF(AND($AL211,$AQ211,$AO211),Constants!$B$27,0))</f>
        <v/>
      </c>
      <c r="BF211" s="138" t="str">
        <f aca="false">IF($BZ211&lt;&gt;Constants!$B$8,"",IF($AL211,($AI211-Constants!$B$29)*Constants!$B$28,0))</f>
        <v/>
      </c>
      <c r="BG211" s="138" t="str">
        <f aca="false">IF($BZ211&lt;&gt;Constants!$B$8,"",IF($AK211,0,Constants!$B$15)+IF($AJ211,0,Constants!$B$16)+IF($AH211,0,Constants!$B$17))</f>
        <v/>
      </c>
      <c r="BH211" s="139" t="str">
        <f aca="false">IF($BZ211&lt;&gt;Constants!$B$8,"",Constants!$B$20+SUM($BC211:$BG211))</f>
        <v/>
      </c>
      <c r="BI211" s="138" t="str">
        <f aca="false">IF($BZ211&lt;&gt;Constants!$B$8,"",$BC211)</f>
        <v/>
      </c>
      <c r="BJ211" s="138" t="str">
        <f aca="false">IF($BZ211&lt;&gt;Constants!$B$8,"",$BD211)</f>
        <v/>
      </c>
      <c r="BK211" s="138" t="str">
        <f aca="false">IF($BZ211&lt;&gt;Constants!$B$8,"",IF($AL211,$AN211,""))</f>
        <v/>
      </c>
      <c r="BL211" s="140" t="str">
        <f aca="false">IF($BZ211&lt;&gt;Constants!$B$8,"",$AI211)</f>
        <v/>
      </c>
      <c r="BM211" s="135" t="str">
        <f aca="false">IF($BZ211&lt;&gt;Constants!$B$8,"",IF(OR($BT211&lt;$BH211,AND($BT211=$BH211,OR($BU211&lt;$BI211,AND($BU211=$BI211,OR($BV211&lt;$BJ211,AND($BV211=$BJ211,OR(AND(ISNUMBER($BW211),OR(NOT(ISNUMBER($BK211)),$BW211&lt;$BK211)),AND(OR(AND($BW211="",$BK211=""),AND(ISNUMBER($BW211),ISNUMBER($BK211),$BW211=$BK211)),$BX211&lt;$BL211)))))))),"-&gt;","&lt;-"))</f>
        <v/>
      </c>
      <c r="BN211" s="134" t="str">
        <f aca="false">IF(ISBLANK($C211),"",AND($AT211,OR($AU211="",$AV211="",AND($AW211,$AX211=""))))</f>
        <v/>
      </c>
      <c r="BO211" s="137" t="str">
        <f aca="false">IF($BZ211&lt;&gt;Constants!$B$8,"",IF($AT211,Constants!$B$21*$AV211+Constants!$B$22*IF($AW211,$AX211,Constants!$B$23),Constants!$B$24))</f>
        <v/>
      </c>
      <c r="BP211" s="138" t="str">
        <f aca="false">IF($BZ211&lt;&gt;Constants!$B$8,"",Constants!$B$25*ABS($AD$9-IF($AT211,$AU211,0)))</f>
        <v/>
      </c>
      <c r="BQ211" s="138" t="str">
        <f aca="false">IF($BZ211&lt;&gt;Constants!$B$8,"",IF(AND($AT211,$AY211,$AW211),Constants!$B$27,0))</f>
        <v/>
      </c>
      <c r="BR211" s="138" t="str">
        <f aca="false">IF($BZ211&lt;&gt;Constants!$B$8,"",IF($AT211,($AI211-Constants!$B$29)*Constants!$B$28,0))</f>
        <v/>
      </c>
      <c r="BS211" s="138" t="str">
        <f aca="false">IF($BZ211&lt;&gt;Constants!$B$8,"",IF($AS211,0,Constants!$B$15)+IF($AR211,0,Constants!$B$16)+IF($AH211,0,Constants!$B$17))</f>
        <v/>
      </c>
      <c r="BT211" s="139" t="str">
        <f aca="false">IF($BZ211&lt;&gt;Constants!$B$8,"",Constants!$B$20+SUM($BO211:$BS211))</f>
        <v/>
      </c>
      <c r="BU211" s="138" t="str">
        <f aca="false">IF($BZ211&lt;&gt;Constants!$B$8,"",$BO211)</f>
        <v/>
      </c>
      <c r="BV211" s="138" t="str">
        <f aca="false">IF($BZ211&lt;&gt;Constants!$B$8,"",$BP211)</f>
        <v/>
      </c>
      <c r="BW211" s="138" t="str">
        <f aca="false">IF($BZ211&lt;&gt;Constants!$B$8,"",IF($AT211,$AV211,""))</f>
        <v/>
      </c>
      <c r="BX211" s="140" t="str">
        <f aca="false">IF($BZ211&lt;&gt;Constants!$B$8,"",$AI211)</f>
        <v/>
      </c>
      <c r="BY211" s="135" t="str">
        <f aca="false">IF(ISBLANK($C211),"",IF(ISBLANK($D$7),$BY$5,IF(NOT(ISNUMBER($D$7)),$BY$6,"")))</f>
        <v/>
      </c>
      <c r="BZ211" s="135" t="str">
        <f aca="false">IF(ISBLANK($C211),"",IF($BA211,Constants!$B$11,IF(COUNTA($E211:$AA211)=0,Constants!$B$10,IF(NOT($AG211),Constants!$B$9,IF(OR($BY211&lt;&gt;"",$BB211,$BN211),Constants!$B$12,Constants!$B$8)))))</f>
        <v/>
      </c>
      <c r="CA211" s="135" t="str">
        <f aca="false">IF(ISBLANK($C211),"",IF($BZ211&lt;&gt;Constants!$B$8,$BZ211,Constants!$B$13))</f>
        <v/>
      </c>
      <c r="CB211" s="138" t="str">
        <f aca="false">IF($BZ211&lt;&gt;Constants!$B$8,"",IF($BM211="-&gt;",$BT211,$BH211))</f>
        <v/>
      </c>
      <c r="CC211" s="138" t="str">
        <f aca="false">IF($BZ211&lt;&gt;Constants!$B$8,"",IF($AF211,0,Constants!$B$18))</f>
        <v/>
      </c>
      <c r="CD211" s="138" t="str">
        <f aca="false">IF($BZ211&lt;&gt;Constants!$B$8,"",((Constants!$B$31-$AZ211)-Constants!$B$31)/Constants!$B$32)</f>
        <v/>
      </c>
      <c r="CE211" s="138" t="str">
        <f aca="false">IF(ISBLANK($C211),"",IF($BZ211&lt;&gt;Constants!$B$8,$BZ211,SUM($CB211:$CD211)))</f>
        <v/>
      </c>
      <c r="CF211" s="135" t="str">
        <f aca="false">IF(ISBLANK($C211),"",IF($BZ211&lt;&gt;Constants!$B$8,$BZ211,RANK($CE211,$CE$9:$CE$508,1)))</f>
        <v/>
      </c>
      <c r="CG211" s="138" t="str">
        <f aca="false">IF($BZ211&lt;&gt;Constants!$B$8,"",IF($BM211="-&gt;",$BU211,$BI211))</f>
        <v/>
      </c>
      <c r="CH211" s="135" t="str">
        <f aca="false">IF(ISBLANK($C211),"",IF($BZ211&lt;&gt;Constants!$B$8,$BZ211,IF(ISNUMBER($CG211),RANK($CG211,$CG$9:$CG$508,1),COUNT($CG$9:$CG$508)+1)))</f>
        <v/>
      </c>
      <c r="CI211" s="138" t="str">
        <f aca="false">IF($BZ211&lt;&gt;Constants!$B$8,"",IF($BM211="-&gt;",$BV211,$BJ211))</f>
        <v/>
      </c>
      <c r="CJ211" s="135" t="str">
        <f aca="false">IF(ISBLANK($C211),"",IF($BZ211&lt;&gt;Constants!$B$8,$BZ211,IF(ISNUMBER($CI211),RANK($CI211,$CI$9:$CI$508,1),COUNT($CI$9:$CI$508)+1)))</f>
        <v/>
      </c>
      <c r="CK211" s="138" t="str">
        <f aca="false">IF($BZ211&lt;&gt;Constants!$B$8,"",IF($BM211="-&gt;",$BW211,$BK211))</f>
        <v/>
      </c>
      <c r="CL211" s="135" t="str">
        <f aca="false">IF(ISBLANK($C211),"",IF($BZ211&lt;&gt;Constants!$B$8,$BZ211,IF(ISNUMBER($CK211),RANK($CK211,$CK$9:$CK$508,1),COUNT($CK$9:$CK$508)+1)))</f>
        <v/>
      </c>
      <c r="CM211" s="138" t="str">
        <f aca="false">IF($BZ211&lt;&gt;Constants!$B$8,"",IF(AND(NOT($AL211),NOT($AT211),$AJ211,$AK211,$AR211,$AS211),"",IF($BM211="-&gt;",$BX211,$BL211)))</f>
        <v/>
      </c>
      <c r="CN211" s="135" t="str">
        <f aca="false">IF(ISBLANK($C211),"",IF($BZ211&lt;&gt;Constants!$B$8,$BZ211,IF(ISNUMBER($CM211),RANK($CM211,$CM$9:$CM$508,1),COUNT($CM$9:$CM$508)+1)))</f>
        <v/>
      </c>
      <c r="CO211" s="135" t="str">
        <f aca="false">IF(ISBLANK($C211),"",IF($BZ211&lt;&gt;Constants!$B$8,$BZ211,COUNTIFS($CF$9:$CF$508,"&lt;"&amp;$CF211)+COUNTIFS($CF$9:$CF$508,$CF211,$CH$9:$CH$508,"&lt;"&amp;$CH211)+COUNTIFS($CF$9:$CF$508,$CF211,$CH$9:$CH$508,$CH211,$CJ$9:$CJ$508,"&lt;"&amp;$CJ211)+COUNTIFS($CF$9:$CF$508,$CF211,$CH$9:$CH$508,$CH211,$CJ$9:$CJ$508,$CJ211,$CL$9:$CL$508,"&lt;"&amp;$CL211)+COUNTIFS($CF$9:$CF$508,$CF211,$CH$9:$CH$508,$CH211,$CJ$9:$CJ$508,$CJ211,$CL$9:$CL$508,$CL211,$CN$9:$CN$508,"&lt;"&amp;$CN211)+1))</f>
        <v/>
      </c>
      <c r="CP211" s="135" t="str">
        <f aca="false">IF(ISBLANK($C211),"",IF($BZ211&lt;&gt;Constants!$B$8,$BZ211,$CF211-$CO211))</f>
        <v/>
      </c>
      <c r="CQ211" s="141"/>
      <c r="CR211" s="142"/>
      <c r="CS211" s="143" t="str">
        <f aca="false">IF(ISBLANK($C211),"",IF($BZ211=Constants!$B$12,$BY211,""))</f>
        <v/>
      </c>
      <c r="CT211" s="142" t="str">
        <f aca="false">IF(ISBLANK($C211),"",IF($BZ211&lt;&gt;Constants!$B$8,"",IF($BM211="-&gt;",2,1)))</f>
        <v/>
      </c>
      <c r="CU211" s="144" t="str">
        <f aca="false">IF(ISBLANK($C211),"",IF($BZ211&lt;&gt;Constants!$B$8,"",IF($BM211="-&gt;",$BO211,$BC211)))</f>
        <v/>
      </c>
      <c r="CV211" s="144" t="str">
        <f aca="false">IF(ISBLANK($C211),"",IF($BZ211&lt;&gt;Constants!$B$8,"",IF($BM211="-&gt;",$BP211,$BD211)))</f>
        <v/>
      </c>
      <c r="CW211" s="144" t="str">
        <f aca="false">IF(ISBLANK($C211),"",IF($BZ211&lt;&gt;Constants!$B$8,"",IF($BM211="-&gt;",$BQ211+$BR211,$BE211+$BF211)+$CD211))</f>
        <v/>
      </c>
      <c r="CX211" s="144" t="str">
        <f aca="false">IF(ISBLANK($C211),"",IF($BZ211&lt;&gt;Constants!$B$8,"",IF($BM211="-&gt;",$BS211,$BG211)+$CC211))</f>
        <v/>
      </c>
      <c r="CY211" s="145" t="str">
        <f aca="false">IF(ISBLANK($C211),"",IF($BZ211&lt;&gt;Constants!$B$8,$BZ211,$CE211))</f>
        <v/>
      </c>
      <c r="CZ211" s="146" t="str">
        <f aca="false">IF(ISBLANK($C211),"",$CA211)</f>
        <v/>
      </c>
      <c r="DA211" s="147" t="str">
        <f aca="false">IF(ISBLANK($C211),"",$CP211)</f>
        <v/>
      </c>
      <c r="DB211" s="147" t="str">
        <f aca="false">IF(ISBLANK($C211),"",$CO211)</f>
        <v/>
      </c>
      <c r="DC211" s="148" t="str">
        <f aca="false">IF(ISBLANK($C211),"",IFERROR(_xlfn.SWITCH($DB211,Constants!$B$11,COUNTA($C$9:$C$508)+2,Constants!$B$10,COUNTA($C$9:$C$508)+1,Constants!$B$9,COUNTA($C$9:$C$508)),$DB211))</f>
        <v/>
      </c>
      <c r="DD211" s="9"/>
      <c r="DE211" s="149" t="n">
        <f aca="false">IF(OR(ISNUMBER($DB211),$DB211=Constants!$B$11,$DB211=Constants!$B$9,$DB211=Constants!$B$10),1,0)</f>
        <v>0</v>
      </c>
      <c r="DF211" s="149" t="n">
        <v>203</v>
      </c>
      <c r="DG211" s="149" t="str">
        <f aca="false">IF(ISBLANK($C211),"",IF(ISNUMBER($DC211),$DC211+ROW($B211)/1000,""))</f>
        <v/>
      </c>
      <c r="DH211" s="149" t="str">
        <f aca="false">IF(ISNUMBER($DG211),RANK($DG211,$DG$9:$DG$508,1),"")</f>
        <v/>
      </c>
      <c r="DI211" s="149" t="str">
        <f aca="false">IF(ISBLANK($C211),"",$B211)</f>
        <v/>
      </c>
      <c r="DJ211" s="149" t="str">
        <f aca="false">IF(ISBLANK($C211),"",$C211)</f>
        <v/>
      </c>
      <c r="DK211" s="149" t="str">
        <f aca="false">IF(ISBLANK($C211),"",$D211)</f>
        <v/>
      </c>
      <c r="DL211" s="150" t="str">
        <f aca="false">$CZ211</f>
        <v/>
      </c>
      <c r="DM211" s="151" t="str">
        <f aca="false">$CY211</f>
        <v/>
      </c>
      <c r="DN211" s="149" t="str">
        <f aca="false">IF(ISBLANK($C211),"",$DB211)</f>
        <v/>
      </c>
      <c r="DO211" s="152" t="str">
        <f aca="false">IF($DF211&gt;$DE$8,"",VLOOKUP($DF211,$DH$9:$DN$508,7,FALSE()))</f>
        <v/>
      </c>
      <c r="DP211" s="153" t="str">
        <f aca="false">IF($DF211&gt;$DE$8,"",VLOOKUP($DF211,$DH$9:$DN$508,2,FALSE()))</f>
        <v/>
      </c>
      <c r="DQ211" s="153" t="str">
        <f aca="false">IF($DF211&gt;$DE$8,"",VLOOKUP($DF211,$DH$9:$DN$508,3,FALSE()))</f>
        <v/>
      </c>
      <c r="DR211" s="153" t="str">
        <f aca="false">IF($DF211&gt;$DE$8,"",VLOOKUP($DF211,$DH$9:$DN$508,4,FALSE()))</f>
        <v/>
      </c>
      <c r="DS211" s="153" t="str">
        <f aca="false">IF($DF211&gt;$DE$8,"",VLOOKUP($DF211,$DH$9:$DN$508,5,FALSE()))</f>
        <v/>
      </c>
      <c r="DT211" s="154" t="str">
        <f aca="false">IF($DF211&gt;$DE$8,"",VLOOKUP($DF211,$DH$9:$DN$508,6,FALSE()))</f>
        <v/>
      </c>
      <c r="DU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IF(ISBLANK($C212),"",IF(E212=Constants!$B$3,TRUE(),IF(E212=Constants!$B$4,FALSE(),TRUE())))</f>
        <v/>
      </c>
      <c r="AG212" s="135" t="str">
        <f aca="false">IF(ISBLANK($C212),"",IF(F212=Constants!$B$3,TRUE(),IF(F212=Constants!$B$4,FALSE(),TRUE())))</f>
        <v/>
      </c>
      <c r="AH212" s="135" t="str">
        <f aca="false">IF(ISBLANK($C212),"",IF(G212=Constants!$B$3,TRUE(),IF(G212=Constants!$B$4,FALSE(),TRUE())))</f>
        <v/>
      </c>
      <c r="AI212" s="135" t="str">
        <f aca="false">IF(ISBLANK($C212),"",IF(AND(ISNUMBER(H212),H212&gt;=0),H212,Constants!$B$29))</f>
        <v/>
      </c>
      <c r="AJ212" s="135" t="str">
        <f aca="false">IF(ISBLANK($C212),"",IF(I212=Constants!$B$3,TRUE(),IF(I212=Constants!$B$4,FALSE(),TRUE())))</f>
        <v/>
      </c>
      <c r="AK212" s="135" t="str">
        <f aca="false">IF(ISBLANK($C212),"",IF(J212=Constants!$B$3,TRUE(),IF(J212=Constants!$B$4,FALSE(),TRUE())))</f>
        <v/>
      </c>
      <c r="AL212" s="135" t="str">
        <f aca="false">IF(ISBLANK($C212),"",IF(K212=Constants!$B$5,TRUE(),IF(K212=Constants!$B$6,FALSE(),COUNTA(L212:P212)&gt;0)))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IF(ISBLANK($C212),"",IF(N212=Constants!$B$3,TRUE(),IF(N212=Constants!$B$4,FALSE(),TRUE())))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IF(ISBLANK($C212),"",IF(P212=Constants!$B$3,TRUE(),IF(P212=Constants!$B$4,FALSE(),FALSE())))</f>
        <v/>
      </c>
      <c r="AR212" s="135" t="str">
        <f aca="false">IF(ISBLANK($C212),"",IF(Q212=Constants!$B$3,TRUE(),IF(Q212=Constants!$B$4,FALSE(),TRUE())))</f>
        <v/>
      </c>
      <c r="AS212" s="135" t="str">
        <f aca="false">IF(ISBLANK($C212),"",IF(R212=Constants!$B$3,TRUE(),IF(R212=Constants!$B$4,FALSE(),TRUE())))</f>
        <v/>
      </c>
      <c r="AT212" s="135" t="str">
        <f aca="false">IF(ISBLANK($C212),"",IF(S212=Constants!$B$5,TRUE(),IF(S212=Constants!$B$6,FALSE(),COUNTA(T212:X212)&gt;0)))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IF(ISBLANK($C212),"",IF(V212=Constants!$B$3,TRUE(),IF(V212=Constants!$B$4,FALSE(),TRUE())))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IF(ISBLANK($C212),"",IF(X212=Constants!$B$3,TRUE(),IF(X212=Constants!$B$4,FALSE(),FALSE())))</f>
        <v/>
      </c>
      <c r="AZ212" s="135" t="str">
        <f aca="false">IF(ISBLANK($C212),"",MIN(Constants!$B$31,MAX(0,IF(ISNUMBER(Y212),Y212*60,0)+IF(ISNUMBER(Z212),Z212,0))))</f>
        <v/>
      </c>
      <c r="BA212" s="135" t="str">
        <f aca="false">IF(ISBLANK($C212),"",IF(AA212=Constants!$B$3,TRUE(),IF(AA212=Constants!$B$4,FALSE(),FALSE())))</f>
        <v/>
      </c>
      <c r="BB212" s="134" t="str">
        <f aca="false">IF(ISBLANK($C212),"",AND($AL212,OR($AM212="",$AN212="",AND($AO212,$AP212=""))))</f>
        <v/>
      </c>
      <c r="BC212" s="137" t="str">
        <f aca="false">IF($BZ212&lt;&gt;Constants!$B$8,"",IF($AL212,Constants!$B$21*$AN212+Constants!$B$22*IF($AO212,$AP212,Constants!$B$23),Constants!$B$24))</f>
        <v/>
      </c>
      <c r="BD212" s="138" t="str">
        <f aca="false">IF($BZ212&lt;&gt;Constants!$B$8,"",Constants!$B$25*ABS($AD$9-IF($AL212,$AM212,0)))</f>
        <v/>
      </c>
      <c r="BE212" s="138" t="str">
        <f aca="false">IF($BZ212&lt;&gt;Constants!$B$8,"",IF(AND($AL212,$AQ212,$AO212),Constants!$B$27,0))</f>
        <v/>
      </c>
      <c r="BF212" s="138" t="str">
        <f aca="false">IF($BZ212&lt;&gt;Constants!$B$8,"",IF($AL212,($AI212-Constants!$B$29)*Constants!$B$28,0))</f>
        <v/>
      </c>
      <c r="BG212" s="138" t="str">
        <f aca="false">IF($BZ212&lt;&gt;Constants!$B$8,"",IF($AK212,0,Constants!$B$15)+IF($AJ212,0,Constants!$B$16)+IF($AH212,0,Constants!$B$17))</f>
        <v/>
      </c>
      <c r="BH212" s="139" t="str">
        <f aca="false">IF($BZ212&lt;&gt;Constants!$B$8,"",Constants!$B$20+SUM($BC212:$BG212))</f>
        <v/>
      </c>
      <c r="BI212" s="138" t="str">
        <f aca="false">IF($BZ212&lt;&gt;Constants!$B$8,"",$BC212)</f>
        <v/>
      </c>
      <c r="BJ212" s="138" t="str">
        <f aca="false">IF($BZ212&lt;&gt;Constants!$B$8,"",$BD212)</f>
        <v/>
      </c>
      <c r="BK212" s="138" t="str">
        <f aca="false">IF($BZ212&lt;&gt;Constants!$B$8,"",IF($AL212,$AN212,""))</f>
        <v/>
      </c>
      <c r="BL212" s="140" t="str">
        <f aca="false">IF($BZ212&lt;&gt;Constants!$B$8,"",$AI212)</f>
        <v/>
      </c>
      <c r="BM212" s="135" t="str">
        <f aca="false">IF($BZ212&lt;&gt;Constants!$B$8,"",IF(OR($BT212&lt;$BH212,AND($BT212=$BH212,OR($BU212&lt;$BI212,AND($BU212=$BI212,OR($BV212&lt;$BJ212,AND($BV212=$BJ212,OR(AND(ISNUMBER($BW212),OR(NOT(ISNUMBER($BK212)),$BW212&lt;$BK212)),AND(OR(AND($BW212="",$BK212=""),AND(ISNUMBER($BW212),ISNUMBER($BK212),$BW212=$BK212)),$BX212&lt;$BL212)))))))),"-&gt;","&lt;-"))</f>
        <v/>
      </c>
      <c r="BN212" s="134" t="str">
        <f aca="false">IF(ISBLANK($C212),"",AND($AT212,OR($AU212="",$AV212="",AND($AW212,$AX212=""))))</f>
        <v/>
      </c>
      <c r="BO212" s="137" t="str">
        <f aca="false">IF($BZ212&lt;&gt;Constants!$B$8,"",IF($AT212,Constants!$B$21*$AV212+Constants!$B$22*IF($AW212,$AX212,Constants!$B$23),Constants!$B$24))</f>
        <v/>
      </c>
      <c r="BP212" s="138" t="str">
        <f aca="false">IF($BZ212&lt;&gt;Constants!$B$8,"",Constants!$B$25*ABS($AD$9-IF($AT212,$AU212,0)))</f>
        <v/>
      </c>
      <c r="BQ212" s="138" t="str">
        <f aca="false">IF($BZ212&lt;&gt;Constants!$B$8,"",IF(AND($AT212,$AY212,$AW212),Constants!$B$27,0))</f>
        <v/>
      </c>
      <c r="BR212" s="138" t="str">
        <f aca="false">IF($BZ212&lt;&gt;Constants!$B$8,"",IF($AT212,($AI212-Constants!$B$29)*Constants!$B$28,0))</f>
        <v/>
      </c>
      <c r="BS212" s="138" t="str">
        <f aca="false">IF($BZ212&lt;&gt;Constants!$B$8,"",IF($AS212,0,Constants!$B$15)+IF($AR212,0,Constants!$B$16)+IF($AH212,0,Constants!$B$17))</f>
        <v/>
      </c>
      <c r="BT212" s="139" t="str">
        <f aca="false">IF($BZ212&lt;&gt;Constants!$B$8,"",Constants!$B$20+SUM($BO212:$BS212))</f>
        <v/>
      </c>
      <c r="BU212" s="138" t="str">
        <f aca="false">IF($BZ212&lt;&gt;Constants!$B$8,"",$BO212)</f>
        <v/>
      </c>
      <c r="BV212" s="138" t="str">
        <f aca="false">IF($BZ212&lt;&gt;Constants!$B$8,"",$BP212)</f>
        <v/>
      </c>
      <c r="BW212" s="138" t="str">
        <f aca="false">IF($BZ212&lt;&gt;Constants!$B$8,"",IF($AT212,$AV212,""))</f>
        <v/>
      </c>
      <c r="BX212" s="140" t="str">
        <f aca="false">IF($BZ212&lt;&gt;Constants!$B$8,"",$AI212)</f>
        <v/>
      </c>
      <c r="BY212" s="135" t="str">
        <f aca="false">IF(ISBLANK($C212),"",IF(ISBLANK($D$7),$BY$5,IF(NOT(ISNUMBER($D$7)),$BY$6,"")))</f>
        <v/>
      </c>
      <c r="BZ212" s="135" t="str">
        <f aca="false">IF(ISBLANK($C212),"",IF($BA212,Constants!$B$11,IF(COUNTA($E212:$AA212)=0,Constants!$B$10,IF(NOT($AG212),Constants!$B$9,IF(OR($BY212&lt;&gt;"",$BB212,$BN212),Constants!$B$12,Constants!$B$8)))))</f>
        <v/>
      </c>
      <c r="CA212" s="135" t="str">
        <f aca="false">IF(ISBLANK($C212),"",IF($BZ212&lt;&gt;Constants!$B$8,$BZ212,Constants!$B$13))</f>
        <v/>
      </c>
      <c r="CB212" s="138" t="str">
        <f aca="false">IF($BZ212&lt;&gt;Constants!$B$8,"",IF($BM212="-&gt;",$BT212,$BH212))</f>
        <v/>
      </c>
      <c r="CC212" s="138" t="str">
        <f aca="false">IF($BZ212&lt;&gt;Constants!$B$8,"",IF($AF212,0,Constants!$B$18))</f>
        <v/>
      </c>
      <c r="CD212" s="138" t="str">
        <f aca="false">IF($BZ212&lt;&gt;Constants!$B$8,"",((Constants!$B$31-$AZ212)-Constants!$B$31)/Constants!$B$32)</f>
        <v/>
      </c>
      <c r="CE212" s="138" t="str">
        <f aca="false">IF(ISBLANK($C212),"",IF($BZ212&lt;&gt;Constants!$B$8,$BZ212,SUM($CB212:$CD212)))</f>
        <v/>
      </c>
      <c r="CF212" s="135" t="str">
        <f aca="false">IF(ISBLANK($C212),"",IF($BZ212&lt;&gt;Constants!$B$8,$BZ212,RANK($CE212,$CE$9:$CE$508,1)))</f>
        <v/>
      </c>
      <c r="CG212" s="138" t="str">
        <f aca="false">IF($BZ212&lt;&gt;Constants!$B$8,"",IF($BM212="-&gt;",$BU212,$BI212))</f>
        <v/>
      </c>
      <c r="CH212" s="135" t="str">
        <f aca="false">IF(ISBLANK($C212),"",IF($BZ212&lt;&gt;Constants!$B$8,$BZ212,IF(ISNUMBER($CG212),RANK($CG212,$CG$9:$CG$508,1),COUNT($CG$9:$CG$508)+1)))</f>
        <v/>
      </c>
      <c r="CI212" s="138" t="str">
        <f aca="false">IF($BZ212&lt;&gt;Constants!$B$8,"",IF($BM212="-&gt;",$BV212,$BJ212))</f>
        <v/>
      </c>
      <c r="CJ212" s="135" t="str">
        <f aca="false">IF(ISBLANK($C212),"",IF($BZ212&lt;&gt;Constants!$B$8,$BZ212,IF(ISNUMBER($CI212),RANK($CI212,$CI$9:$CI$508,1),COUNT($CI$9:$CI$508)+1)))</f>
        <v/>
      </c>
      <c r="CK212" s="138" t="str">
        <f aca="false">IF($BZ212&lt;&gt;Constants!$B$8,"",IF($BM212="-&gt;",$BW212,$BK212))</f>
        <v/>
      </c>
      <c r="CL212" s="135" t="str">
        <f aca="false">IF(ISBLANK($C212),"",IF($BZ212&lt;&gt;Constants!$B$8,$BZ212,IF(ISNUMBER($CK212),RANK($CK212,$CK$9:$CK$508,1),COUNT($CK$9:$CK$508)+1)))</f>
        <v/>
      </c>
      <c r="CM212" s="138" t="str">
        <f aca="false">IF($BZ212&lt;&gt;Constants!$B$8,"",IF(AND(NOT($AL212),NOT($AT212),$AJ212,$AK212,$AR212,$AS212),"",IF($BM212="-&gt;",$BX212,$BL212)))</f>
        <v/>
      </c>
      <c r="CN212" s="135" t="str">
        <f aca="false">IF(ISBLANK($C212),"",IF($BZ212&lt;&gt;Constants!$B$8,$BZ212,IF(ISNUMBER($CM212),RANK($CM212,$CM$9:$CM$508,1),COUNT($CM$9:$CM$508)+1)))</f>
        <v/>
      </c>
      <c r="CO212" s="135" t="str">
        <f aca="false">IF(ISBLANK($C212),"",IF($BZ212&lt;&gt;Constants!$B$8,$BZ212,COUNTIFS($CF$9:$CF$508,"&lt;"&amp;$CF212)+COUNTIFS($CF$9:$CF$508,$CF212,$CH$9:$CH$508,"&lt;"&amp;$CH212)+COUNTIFS($CF$9:$CF$508,$CF212,$CH$9:$CH$508,$CH212,$CJ$9:$CJ$508,"&lt;"&amp;$CJ212)+COUNTIFS($CF$9:$CF$508,$CF212,$CH$9:$CH$508,$CH212,$CJ$9:$CJ$508,$CJ212,$CL$9:$CL$508,"&lt;"&amp;$CL212)+COUNTIFS($CF$9:$CF$508,$CF212,$CH$9:$CH$508,$CH212,$CJ$9:$CJ$508,$CJ212,$CL$9:$CL$508,$CL212,$CN$9:$CN$508,"&lt;"&amp;$CN212)+1))</f>
        <v/>
      </c>
      <c r="CP212" s="135" t="str">
        <f aca="false">IF(ISBLANK($C212),"",IF($BZ212&lt;&gt;Constants!$B$8,$BZ212,$CF212-$CO212))</f>
        <v/>
      </c>
      <c r="CQ212" s="141"/>
      <c r="CR212" s="142"/>
      <c r="CS212" s="143" t="str">
        <f aca="false">IF(ISBLANK($C212),"",IF($BZ212=Constants!$B$12,$BY212,""))</f>
        <v/>
      </c>
      <c r="CT212" s="142" t="str">
        <f aca="false">IF(ISBLANK($C212),"",IF($BZ212&lt;&gt;Constants!$B$8,"",IF($BM212="-&gt;",2,1)))</f>
        <v/>
      </c>
      <c r="CU212" s="144" t="str">
        <f aca="false">IF(ISBLANK($C212),"",IF($BZ212&lt;&gt;Constants!$B$8,"",IF($BM212="-&gt;",$BO212,$BC212)))</f>
        <v/>
      </c>
      <c r="CV212" s="144" t="str">
        <f aca="false">IF(ISBLANK($C212),"",IF($BZ212&lt;&gt;Constants!$B$8,"",IF($BM212="-&gt;",$BP212,$BD212)))</f>
        <v/>
      </c>
      <c r="CW212" s="144" t="str">
        <f aca="false">IF(ISBLANK($C212),"",IF($BZ212&lt;&gt;Constants!$B$8,"",IF($BM212="-&gt;",$BQ212+$BR212,$BE212+$BF212)+$CD212))</f>
        <v/>
      </c>
      <c r="CX212" s="144" t="str">
        <f aca="false">IF(ISBLANK($C212),"",IF($BZ212&lt;&gt;Constants!$B$8,"",IF($BM212="-&gt;",$BS212,$BG212)+$CC212))</f>
        <v/>
      </c>
      <c r="CY212" s="145" t="str">
        <f aca="false">IF(ISBLANK($C212),"",IF($BZ212&lt;&gt;Constants!$B$8,$BZ212,$CE212))</f>
        <v/>
      </c>
      <c r="CZ212" s="146" t="str">
        <f aca="false">IF(ISBLANK($C212),"",$CA212)</f>
        <v/>
      </c>
      <c r="DA212" s="147" t="str">
        <f aca="false">IF(ISBLANK($C212),"",$CP212)</f>
        <v/>
      </c>
      <c r="DB212" s="147" t="str">
        <f aca="false">IF(ISBLANK($C212),"",$CO212)</f>
        <v/>
      </c>
      <c r="DC212" s="148" t="str">
        <f aca="false">IF(ISBLANK($C212),"",IFERROR(_xlfn.SWITCH($DB212,Constants!$B$11,COUNTA($C$9:$C$508)+2,Constants!$B$10,COUNTA($C$9:$C$508)+1,Constants!$B$9,COUNTA($C$9:$C$508)),$DB212))</f>
        <v/>
      </c>
      <c r="DD212" s="9"/>
      <c r="DE212" s="149" t="n">
        <f aca="false">IF(OR(ISNUMBER($DB212),$DB212=Constants!$B$11,$DB212=Constants!$B$9,$DB212=Constants!$B$10),1,0)</f>
        <v>0</v>
      </c>
      <c r="DF212" s="149" t="n">
        <v>204</v>
      </c>
      <c r="DG212" s="149" t="str">
        <f aca="false">IF(ISBLANK($C212),"",IF(ISNUMBER($DC212),$DC212+ROW($B212)/1000,""))</f>
        <v/>
      </c>
      <c r="DH212" s="149" t="str">
        <f aca="false">IF(ISNUMBER($DG212),RANK($DG212,$DG$9:$DG$508,1),"")</f>
        <v/>
      </c>
      <c r="DI212" s="149" t="str">
        <f aca="false">IF(ISBLANK($C212),"",$B212)</f>
        <v/>
      </c>
      <c r="DJ212" s="149" t="str">
        <f aca="false">IF(ISBLANK($C212),"",$C212)</f>
        <v/>
      </c>
      <c r="DK212" s="149" t="str">
        <f aca="false">IF(ISBLANK($C212),"",$D212)</f>
        <v/>
      </c>
      <c r="DL212" s="150" t="str">
        <f aca="false">$CZ212</f>
        <v/>
      </c>
      <c r="DM212" s="151" t="str">
        <f aca="false">$CY212</f>
        <v/>
      </c>
      <c r="DN212" s="149" t="str">
        <f aca="false">IF(ISBLANK($C212),"",$DB212)</f>
        <v/>
      </c>
      <c r="DO212" s="152" t="str">
        <f aca="false">IF($DF212&gt;$DE$8,"",VLOOKUP($DF212,$DH$9:$DN$508,7,FALSE()))</f>
        <v/>
      </c>
      <c r="DP212" s="153" t="str">
        <f aca="false">IF($DF212&gt;$DE$8,"",VLOOKUP($DF212,$DH$9:$DN$508,2,FALSE()))</f>
        <v/>
      </c>
      <c r="DQ212" s="153" t="str">
        <f aca="false">IF($DF212&gt;$DE$8,"",VLOOKUP($DF212,$DH$9:$DN$508,3,FALSE()))</f>
        <v/>
      </c>
      <c r="DR212" s="153" t="str">
        <f aca="false">IF($DF212&gt;$DE$8,"",VLOOKUP($DF212,$DH$9:$DN$508,4,FALSE()))</f>
        <v/>
      </c>
      <c r="DS212" s="153" t="str">
        <f aca="false">IF($DF212&gt;$DE$8,"",VLOOKUP($DF212,$DH$9:$DN$508,5,FALSE()))</f>
        <v/>
      </c>
      <c r="DT212" s="154" t="str">
        <f aca="false">IF($DF212&gt;$DE$8,"",VLOOKUP($DF212,$DH$9:$DN$508,6,FALSE()))</f>
        <v/>
      </c>
      <c r="DU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IF(ISBLANK($C213),"",IF(E213=Constants!$B$3,TRUE(),IF(E213=Constants!$B$4,FALSE(),TRUE())))</f>
        <v/>
      </c>
      <c r="AG213" s="93" t="str">
        <f aca="false">IF(ISBLANK($C213),"",IF(F213=Constants!$B$3,TRUE(),IF(F213=Constants!$B$4,FALSE(),TRUE())))</f>
        <v/>
      </c>
      <c r="AH213" s="93" t="str">
        <f aca="false">IF(ISBLANK($C213),"",IF(G213=Constants!$B$3,TRUE(),IF(G213=Constants!$B$4,FALSE(),TRUE())))</f>
        <v/>
      </c>
      <c r="AI213" s="93" t="str">
        <f aca="false">IF(ISBLANK($C213),"",IF(AND(ISNUMBER(H213),H213&gt;=0),H213,Constants!$B$29))</f>
        <v/>
      </c>
      <c r="AJ213" s="93" t="str">
        <f aca="false">IF(ISBLANK($C213),"",IF(I213=Constants!$B$3,TRUE(),IF(I213=Constants!$B$4,FALSE(),TRUE())))</f>
        <v/>
      </c>
      <c r="AK213" s="93" t="str">
        <f aca="false">IF(ISBLANK($C213),"",IF(J213=Constants!$B$3,TRUE(),IF(J213=Constants!$B$4,FALSE(),TRUE())))</f>
        <v/>
      </c>
      <c r="AL213" s="93" t="str">
        <f aca="false">IF(ISBLANK($C213),"",IF(K213=Constants!$B$5,TRUE(),IF(K213=Constants!$B$6,FALSE(),COUNTA(L213:P213)&gt;0)))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IF(ISBLANK($C213),"",IF(N213=Constants!$B$3,TRUE(),IF(N213=Constants!$B$4,FALSE(),TRUE())))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IF(ISBLANK($C213),"",IF(P213=Constants!$B$3,TRUE(),IF(P213=Constants!$B$4,FALSE(),FALSE())))</f>
        <v/>
      </c>
      <c r="AR213" s="93" t="str">
        <f aca="false">IF(ISBLANK($C213),"",IF(Q213=Constants!$B$3,TRUE(),IF(Q213=Constants!$B$4,FALSE(),TRUE())))</f>
        <v/>
      </c>
      <c r="AS213" s="93" t="str">
        <f aca="false">IF(ISBLANK($C213),"",IF(R213=Constants!$B$3,TRUE(),IF(R213=Constants!$B$4,FALSE(),TRUE())))</f>
        <v/>
      </c>
      <c r="AT213" s="93" t="str">
        <f aca="false">IF(ISBLANK($C213),"",IF(S213=Constants!$B$5,TRUE(),IF(S213=Constants!$B$6,FALSE(),COUNTA(T213:X213)&gt;0)))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IF(ISBLANK($C213),"",IF(V213=Constants!$B$3,TRUE(),IF(V213=Constants!$B$4,FALSE(),TRUE())))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IF(ISBLANK($C213),"",IF(X213=Constants!$B$3,TRUE(),IF(X213=Constants!$B$4,FALSE(),FALSE())))</f>
        <v/>
      </c>
      <c r="AZ213" s="93" t="str">
        <f aca="false">IF(ISBLANK($C213),"",MIN(Constants!$B$31,MAX(0,IF(ISNUMBER(Y213),Y213*60,0)+IF(ISNUMBER(Z213),Z213,0))))</f>
        <v/>
      </c>
      <c r="BA213" s="93" t="str">
        <f aca="false">IF(ISBLANK($C213),"",IF(AA213=Constants!$B$3,TRUE(),IF(AA213=Constants!$B$4,FALSE(),FALSE())))</f>
        <v/>
      </c>
      <c r="BB213" s="92" t="str">
        <f aca="false">IF(ISBLANK($C213),"",AND($AL213,OR($AM213="",$AN213="",AND($AO213,$AP213=""))))</f>
        <v/>
      </c>
      <c r="BC213" s="94" t="str">
        <f aca="false">IF($BZ213&lt;&gt;Constants!$B$8,"",IF($AL213,Constants!$B$21*$AN213+Constants!$B$22*IF($AO213,$AP213,Constants!$B$23),Constants!$B$24))</f>
        <v/>
      </c>
      <c r="BD213" s="97" t="str">
        <f aca="false">IF($BZ213&lt;&gt;Constants!$B$8,"",Constants!$B$25*ABS($AD$9-IF($AL213,$AM213,0)))</f>
        <v/>
      </c>
      <c r="BE213" s="97" t="str">
        <f aca="false">IF($BZ213&lt;&gt;Constants!$B$8,"",IF(AND($AL213,$AQ213,$AO213),Constants!$B$27,0))</f>
        <v/>
      </c>
      <c r="BF213" s="97" t="str">
        <f aca="false">IF($BZ213&lt;&gt;Constants!$B$8,"",IF($AL213,($AI213-Constants!$B$29)*Constants!$B$28,0))</f>
        <v/>
      </c>
      <c r="BG213" s="97" t="str">
        <f aca="false">IF($BZ213&lt;&gt;Constants!$B$8,"",IF($AK213,0,Constants!$B$15)+IF($AJ213,0,Constants!$B$16)+IF($AH213,0,Constants!$B$17))</f>
        <v/>
      </c>
      <c r="BH213" s="98" t="str">
        <f aca="false">IF($BZ213&lt;&gt;Constants!$B$8,"",Constants!$B$20+SUM($BC213:$BG213))</f>
        <v/>
      </c>
      <c r="BI213" s="97" t="str">
        <f aca="false">IF($BZ213&lt;&gt;Constants!$B$8,"",$BC213)</f>
        <v/>
      </c>
      <c r="BJ213" s="97" t="str">
        <f aca="false">IF($BZ213&lt;&gt;Constants!$B$8,"",$BD213)</f>
        <v/>
      </c>
      <c r="BK213" s="97" t="str">
        <f aca="false">IF($BZ213&lt;&gt;Constants!$B$8,"",IF($AL213,$AN213,""))</f>
        <v/>
      </c>
      <c r="BL213" s="99" t="str">
        <f aca="false">IF($BZ213&lt;&gt;Constants!$B$8,"",$AI213)</f>
        <v/>
      </c>
      <c r="BM213" s="93" t="str">
        <f aca="false">IF($BZ213&lt;&gt;Constants!$B$8,"",IF(OR($BT213&lt;$BH213,AND($BT213=$BH213,OR($BU213&lt;$BI213,AND($BU213=$BI213,OR($BV213&lt;$BJ213,AND($BV213=$BJ213,OR(AND(ISNUMBER($BW213),OR(NOT(ISNUMBER($BK213)),$BW213&lt;$BK213)),AND(OR(AND($BW213="",$BK213=""),AND(ISNUMBER($BW213),ISNUMBER($BK213),$BW213=$BK213)),$BX213&lt;$BL213)))))))),"-&gt;","&lt;-"))</f>
        <v/>
      </c>
      <c r="BN213" s="92" t="str">
        <f aca="false">IF(ISBLANK($C213),"",AND($AT213,OR($AU213="",$AV213="",AND($AW213,$AX213=""))))</f>
        <v/>
      </c>
      <c r="BO213" s="94" t="str">
        <f aca="false">IF($BZ213&lt;&gt;Constants!$B$8,"",IF($AT213,Constants!$B$21*$AV213+Constants!$B$22*IF($AW213,$AX213,Constants!$B$23),Constants!$B$24))</f>
        <v/>
      </c>
      <c r="BP213" s="97" t="str">
        <f aca="false">IF($BZ213&lt;&gt;Constants!$B$8,"",Constants!$B$25*ABS($AD$9-IF($AT213,$AU213,0)))</f>
        <v/>
      </c>
      <c r="BQ213" s="97" t="str">
        <f aca="false">IF($BZ213&lt;&gt;Constants!$B$8,"",IF(AND($AT213,$AY213,$AW213),Constants!$B$27,0))</f>
        <v/>
      </c>
      <c r="BR213" s="97" t="str">
        <f aca="false">IF($BZ213&lt;&gt;Constants!$B$8,"",IF($AT213,($AI213-Constants!$B$29)*Constants!$B$28,0))</f>
        <v/>
      </c>
      <c r="BS213" s="97" t="str">
        <f aca="false">IF($BZ213&lt;&gt;Constants!$B$8,"",IF($AS213,0,Constants!$B$15)+IF($AR213,0,Constants!$B$16)+IF($AH213,0,Constants!$B$17))</f>
        <v/>
      </c>
      <c r="BT213" s="98" t="str">
        <f aca="false">IF($BZ213&lt;&gt;Constants!$B$8,"",Constants!$B$20+SUM($BO213:$BS213))</f>
        <v/>
      </c>
      <c r="BU213" s="97" t="str">
        <f aca="false">IF($BZ213&lt;&gt;Constants!$B$8,"",$BO213)</f>
        <v/>
      </c>
      <c r="BV213" s="97" t="str">
        <f aca="false">IF($BZ213&lt;&gt;Constants!$B$8,"",$BP213)</f>
        <v/>
      </c>
      <c r="BW213" s="97" t="str">
        <f aca="false">IF($BZ213&lt;&gt;Constants!$B$8,"",IF($AT213,$AV213,""))</f>
        <v/>
      </c>
      <c r="BX213" s="99" t="str">
        <f aca="false">IF($BZ213&lt;&gt;Constants!$B$8,"",$AI213)</f>
        <v/>
      </c>
      <c r="BY213" s="93" t="str">
        <f aca="false">IF(ISBLANK($C213),"",IF(ISBLANK($D$7),$BY$5,IF(NOT(ISNUMBER($D$7)),$BY$6,"")))</f>
        <v/>
      </c>
      <c r="BZ213" s="93" t="str">
        <f aca="false">IF(ISBLANK($C213),"",IF($BA213,Constants!$B$11,IF(COUNTA($E213:$AA213)=0,Constants!$B$10,IF(NOT($AG213),Constants!$B$9,IF(OR($BY213&lt;&gt;"",$BB213,$BN213),Constants!$B$12,Constants!$B$8)))))</f>
        <v/>
      </c>
      <c r="CA213" s="93" t="str">
        <f aca="false">IF(ISBLANK($C213),"",IF($BZ213&lt;&gt;Constants!$B$8,$BZ213,Constants!$B$13))</f>
        <v/>
      </c>
      <c r="CB213" s="97" t="str">
        <f aca="false">IF($BZ213&lt;&gt;Constants!$B$8,"",IF($BM213="-&gt;",$BT213,$BH213))</f>
        <v/>
      </c>
      <c r="CC213" s="97" t="str">
        <f aca="false">IF($BZ213&lt;&gt;Constants!$B$8,"",IF($AF213,0,Constants!$B$18))</f>
        <v/>
      </c>
      <c r="CD213" s="97" t="str">
        <f aca="false">IF($BZ213&lt;&gt;Constants!$B$8,"",((Constants!$B$31-$AZ213)-Constants!$B$31)/Constants!$B$32)</f>
        <v/>
      </c>
      <c r="CE213" s="97" t="str">
        <f aca="false">IF(ISBLANK($C213),"",IF($BZ213&lt;&gt;Constants!$B$8,$BZ213,SUM($CB213:$CD213)))</f>
        <v/>
      </c>
      <c r="CF213" s="93" t="str">
        <f aca="false">IF(ISBLANK($C213),"",IF($BZ213&lt;&gt;Constants!$B$8,$BZ213,RANK($CE213,$CE$9:$CE$508,1)))</f>
        <v/>
      </c>
      <c r="CG213" s="97" t="str">
        <f aca="false">IF($BZ213&lt;&gt;Constants!$B$8,"",IF($BM213="-&gt;",$BU213,$BI213))</f>
        <v/>
      </c>
      <c r="CH213" s="93" t="str">
        <f aca="false">IF(ISBLANK($C213),"",IF($BZ213&lt;&gt;Constants!$B$8,$BZ213,IF(ISNUMBER($CG213),RANK($CG213,$CG$9:$CG$508,1),COUNT($CG$9:$CG$508)+1)))</f>
        <v/>
      </c>
      <c r="CI213" s="97" t="str">
        <f aca="false">IF($BZ213&lt;&gt;Constants!$B$8,"",IF($BM213="-&gt;",$BV213,$BJ213))</f>
        <v/>
      </c>
      <c r="CJ213" s="93" t="str">
        <f aca="false">IF(ISBLANK($C213),"",IF($BZ213&lt;&gt;Constants!$B$8,$BZ213,IF(ISNUMBER($CI213),RANK($CI213,$CI$9:$CI$508,1),COUNT($CI$9:$CI$508)+1)))</f>
        <v/>
      </c>
      <c r="CK213" s="97" t="str">
        <f aca="false">IF($BZ213&lt;&gt;Constants!$B$8,"",IF($BM213="-&gt;",$BW213,$BK213))</f>
        <v/>
      </c>
      <c r="CL213" s="93" t="str">
        <f aca="false">IF(ISBLANK($C213),"",IF($BZ213&lt;&gt;Constants!$B$8,$BZ213,IF(ISNUMBER($CK213),RANK($CK213,$CK$9:$CK$508,1),COUNT($CK$9:$CK$508)+1)))</f>
        <v/>
      </c>
      <c r="CM213" s="97" t="str">
        <f aca="false">IF($BZ213&lt;&gt;Constants!$B$8,"",IF(AND(NOT($AL213),NOT($AT213),$AJ213,$AK213,$AR213,$AS213),"",IF($BM213="-&gt;",$BX213,$BL213)))</f>
        <v/>
      </c>
      <c r="CN213" s="93" t="str">
        <f aca="false">IF(ISBLANK($C213),"",IF($BZ213&lt;&gt;Constants!$B$8,$BZ213,IF(ISNUMBER($CM213),RANK($CM213,$CM$9:$CM$508,1),COUNT($CM$9:$CM$508)+1)))</f>
        <v/>
      </c>
      <c r="CO213" s="93" t="str">
        <f aca="false">IF(ISBLANK($C213),"",IF($BZ213&lt;&gt;Constants!$B$8,$BZ213,COUNTIFS($CF$9:$CF$508,"&lt;"&amp;$CF213)+COUNTIFS($CF$9:$CF$508,$CF213,$CH$9:$CH$508,"&lt;"&amp;$CH213)+COUNTIFS($CF$9:$CF$508,$CF213,$CH$9:$CH$508,$CH213,$CJ$9:$CJ$508,"&lt;"&amp;$CJ213)+COUNTIFS($CF$9:$CF$508,$CF213,$CH$9:$CH$508,$CH213,$CJ$9:$CJ$508,$CJ213,$CL$9:$CL$508,"&lt;"&amp;$CL213)+COUNTIFS($CF$9:$CF$508,$CF213,$CH$9:$CH$508,$CH213,$CJ$9:$CJ$508,$CJ213,$CL$9:$CL$508,$CL213,$CN$9:$CN$508,"&lt;"&amp;$CN213)+1))</f>
        <v/>
      </c>
      <c r="CP213" s="93" t="str">
        <f aca="false">IF(ISBLANK($C213),"",IF($BZ213&lt;&gt;Constants!$B$8,$BZ213,$CF213-$CO213))</f>
        <v/>
      </c>
      <c r="CQ213" s="100"/>
      <c r="CR213" s="101"/>
      <c r="CS213" s="102" t="str">
        <f aca="false">IF(ISBLANK($C213),"",IF($BZ213=Constants!$B$12,$BY213,""))</f>
        <v/>
      </c>
      <c r="CT213" s="101" t="str">
        <f aca="false">IF(ISBLANK($C213),"",IF($BZ213&lt;&gt;Constants!$B$8,"",IF($BM213="-&gt;",2,1)))</f>
        <v/>
      </c>
      <c r="CU213" s="103" t="str">
        <f aca="false">IF(ISBLANK($C213),"",IF($BZ213&lt;&gt;Constants!$B$8,"",IF($BM213="-&gt;",$BO213,$BC213)))</f>
        <v/>
      </c>
      <c r="CV213" s="103" t="str">
        <f aca="false">IF(ISBLANK($C213),"",IF($BZ213&lt;&gt;Constants!$B$8,"",IF($BM213="-&gt;",$BP213,$BD213)))</f>
        <v/>
      </c>
      <c r="CW213" s="103" t="str">
        <f aca="false">IF(ISBLANK($C213),"",IF($BZ213&lt;&gt;Constants!$B$8,"",IF($BM213="-&gt;",$BQ213+$BR213,$BE213+$BF213)+$CD213))</f>
        <v/>
      </c>
      <c r="CX213" s="103" t="str">
        <f aca="false">IF(ISBLANK($C213),"",IF($BZ213&lt;&gt;Constants!$B$8,"",IF($BM213="-&gt;",$BS213,$BG213)+$CC213))</f>
        <v/>
      </c>
      <c r="CY213" s="104" t="str">
        <f aca="false">IF(ISBLANK($C213),"",IF($BZ213&lt;&gt;Constants!$B$8,$BZ213,$CE213))</f>
        <v/>
      </c>
      <c r="CZ213" s="105" t="str">
        <f aca="false">IF(ISBLANK($C213),"",$CA213)</f>
        <v/>
      </c>
      <c r="DA213" s="106" t="str">
        <f aca="false">IF(ISBLANK($C213),"",$CP213)</f>
        <v/>
      </c>
      <c r="DB213" s="106" t="str">
        <f aca="false">IF(ISBLANK($C213),"",$CO213)</f>
        <v/>
      </c>
      <c r="DC213" s="107" t="str">
        <f aca="false">IF(ISBLANK($C213),"",IFERROR(_xlfn.SWITCH($DB213,Constants!$B$11,COUNTA($C$9:$C$508)+2,Constants!$B$10,COUNTA($C$9:$C$508)+1,Constants!$B$9,COUNTA($C$9:$C$508)),$DB213))</f>
        <v/>
      </c>
      <c r="DD213" s="9"/>
      <c r="DE213" s="108" t="n">
        <f aca="false">IF(OR(ISNUMBER($DB213),$DB213=Constants!$B$11,$DB213=Constants!$B$9,$DB213=Constants!$B$10),1,0)</f>
        <v>0</v>
      </c>
      <c r="DF213" s="108" t="n">
        <v>205</v>
      </c>
      <c r="DG213" s="108" t="str">
        <f aca="false">IF(ISBLANK($C213),"",IF(ISNUMBER($DC213),$DC213+ROW($B213)/1000,""))</f>
        <v/>
      </c>
      <c r="DH213" s="108" t="str">
        <f aca="false">IF(ISNUMBER($DG213),RANK($DG213,$DG$9:$DG$508,1),"")</f>
        <v/>
      </c>
      <c r="DI213" s="108" t="str">
        <f aca="false">IF(ISBLANK($C213),"",$B213)</f>
        <v/>
      </c>
      <c r="DJ213" s="108" t="str">
        <f aca="false">IF(ISBLANK($C213),"",$C213)</f>
        <v/>
      </c>
      <c r="DK213" s="108" t="str">
        <f aca="false">IF(ISBLANK($C213),"",$D213)</f>
        <v/>
      </c>
      <c r="DL213" s="109" t="str">
        <f aca="false">$CZ213</f>
        <v/>
      </c>
      <c r="DM213" s="110" t="str">
        <f aca="false">$CY213</f>
        <v/>
      </c>
      <c r="DN213" s="108" t="str">
        <f aca="false">IF(ISBLANK($C213),"",$DB213)</f>
        <v/>
      </c>
      <c r="DO213" s="111" t="str">
        <f aca="false">IF($DF213&gt;$DE$8,"",VLOOKUP($DF213,$DH$9:$DN$508,7,FALSE()))</f>
        <v/>
      </c>
      <c r="DP213" s="112" t="str">
        <f aca="false">IF($DF213&gt;$DE$8,"",VLOOKUP($DF213,$DH$9:$DN$508,2,FALSE()))</f>
        <v/>
      </c>
      <c r="DQ213" s="112" t="str">
        <f aca="false">IF($DF213&gt;$DE$8,"",VLOOKUP($DF213,$DH$9:$DN$508,3,FALSE()))</f>
        <v/>
      </c>
      <c r="DR213" s="112" t="str">
        <f aca="false">IF($DF213&gt;$DE$8,"",VLOOKUP($DF213,$DH$9:$DN$508,4,FALSE()))</f>
        <v/>
      </c>
      <c r="DS213" s="112" t="str">
        <f aca="false">IF($DF213&gt;$DE$8,"",VLOOKUP($DF213,$DH$9:$DN$508,5,FALSE()))</f>
        <v/>
      </c>
      <c r="DT213" s="113" t="str">
        <f aca="false">IF($DF213&gt;$DE$8,"",VLOOKUP($DF213,$DH$9:$DN$508,6,FALSE()))</f>
        <v/>
      </c>
      <c r="DU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IF(ISBLANK($C214),"",IF(E214=Constants!$B$3,TRUE(),IF(E214=Constants!$B$4,FALSE(),TRUE())))</f>
        <v/>
      </c>
      <c r="AG214" s="93" t="str">
        <f aca="false">IF(ISBLANK($C214),"",IF(F214=Constants!$B$3,TRUE(),IF(F214=Constants!$B$4,FALSE(),TRUE())))</f>
        <v/>
      </c>
      <c r="AH214" s="93" t="str">
        <f aca="false">IF(ISBLANK($C214),"",IF(G214=Constants!$B$3,TRUE(),IF(G214=Constants!$B$4,FALSE(),TRUE())))</f>
        <v/>
      </c>
      <c r="AI214" s="93" t="str">
        <f aca="false">IF(ISBLANK($C214),"",IF(AND(ISNUMBER(H214),H214&gt;=0),H214,Constants!$B$29))</f>
        <v/>
      </c>
      <c r="AJ214" s="93" t="str">
        <f aca="false">IF(ISBLANK($C214),"",IF(I214=Constants!$B$3,TRUE(),IF(I214=Constants!$B$4,FALSE(),TRUE())))</f>
        <v/>
      </c>
      <c r="AK214" s="93" t="str">
        <f aca="false">IF(ISBLANK($C214),"",IF(J214=Constants!$B$3,TRUE(),IF(J214=Constants!$B$4,FALSE(),TRUE())))</f>
        <v/>
      </c>
      <c r="AL214" s="93" t="str">
        <f aca="false">IF(ISBLANK($C214),"",IF(K214=Constants!$B$5,TRUE(),IF(K214=Constants!$B$6,FALSE(),COUNTA(L214:P214)&gt;0)))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IF(ISBLANK($C214),"",IF(N214=Constants!$B$3,TRUE(),IF(N214=Constants!$B$4,FALSE(),TRUE())))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IF(ISBLANK($C214),"",IF(P214=Constants!$B$3,TRUE(),IF(P214=Constants!$B$4,FALSE(),FALSE())))</f>
        <v/>
      </c>
      <c r="AR214" s="93" t="str">
        <f aca="false">IF(ISBLANK($C214),"",IF(Q214=Constants!$B$3,TRUE(),IF(Q214=Constants!$B$4,FALSE(),TRUE())))</f>
        <v/>
      </c>
      <c r="AS214" s="93" t="str">
        <f aca="false">IF(ISBLANK($C214),"",IF(R214=Constants!$B$3,TRUE(),IF(R214=Constants!$B$4,FALSE(),TRUE())))</f>
        <v/>
      </c>
      <c r="AT214" s="93" t="str">
        <f aca="false">IF(ISBLANK($C214),"",IF(S214=Constants!$B$5,TRUE(),IF(S214=Constants!$B$6,FALSE(),COUNTA(T214:X214)&gt;0)))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IF(ISBLANK($C214),"",IF(V214=Constants!$B$3,TRUE(),IF(V214=Constants!$B$4,FALSE(),TRUE())))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IF(ISBLANK($C214),"",IF(X214=Constants!$B$3,TRUE(),IF(X214=Constants!$B$4,FALSE(),FALSE())))</f>
        <v/>
      </c>
      <c r="AZ214" s="93" t="str">
        <f aca="false">IF(ISBLANK($C214),"",MIN(Constants!$B$31,MAX(0,IF(ISNUMBER(Y214),Y214*60,0)+IF(ISNUMBER(Z214),Z214,0))))</f>
        <v/>
      </c>
      <c r="BA214" s="93" t="str">
        <f aca="false">IF(ISBLANK($C214),"",IF(AA214=Constants!$B$3,TRUE(),IF(AA214=Constants!$B$4,FALSE(),FALSE())))</f>
        <v/>
      </c>
      <c r="BB214" s="92" t="str">
        <f aca="false">IF(ISBLANK($C214),"",AND($AL214,OR($AM214="",$AN214="",AND($AO214,$AP214=""))))</f>
        <v/>
      </c>
      <c r="BC214" s="94" t="str">
        <f aca="false">IF($BZ214&lt;&gt;Constants!$B$8,"",IF($AL214,Constants!$B$21*$AN214+Constants!$B$22*IF($AO214,$AP214,Constants!$B$23),Constants!$B$24))</f>
        <v/>
      </c>
      <c r="BD214" s="97" t="str">
        <f aca="false">IF($BZ214&lt;&gt;Constants!$B$8,"",Constants!$B$25*ABS($AD$9-IF($AL214,$AM214,0)))</f>
        <v/>
      </c>
      <c r="BE214" s="97" t="str">
        <f aca="false">IF($BZ214&lt;&gt;Constants!$B$8,"",IF(AND($AL214,$AQ214,$AO214),Constants!$B$27,0))</f>
        <v/>
      </c>
      <c r="BF214" s="97" t="str">
        <f aca="false">IF($BZ214&lt;&gt;Constants!$B$8,"",IF($AL214,($AI214-Constants!$B$29)*Constants!$B$28,0))</f>
        <v/>
      </c>
      <c r="BG214" s="97" t="str">
        <f aca="false">IF($BZ214&lt;&gt;Constants!$B$8,"",IF($AK214,0,Constants!$B$15)+IF($AJ214,0,Constants!$B$16)+IF($AH214,0,Constants!$B$17))</f>
        <v/>
      </c>
      <c r="BH214" s="98" t="str">
        <f aca="false">IF($BZ214&lt;&gt;Constants!$B$8,"",Constants!$B$20+SUM($BC214:$BG214))</f>
        <v/>
      </c>
      <c r="BI214" s="97" t="str">
        <f aca="false">IF($BZ214&lt;&gt;Constants!$B$8,"",$BC214)</f>
        <v/>
      </c>
      <c r="BJ214" s="97" t="str">
        <f aca="false">IF($BZ214&lt;&gt;Constants!$B$8,"",$BD214)</f>
        <v/>
      </c>
      <c r="BK214" s="97" t="str">
        <f aca="false">IF($BZ214&lt;&gt;Constants!$B$8,"",IF($AL214,$AN214,""))</f>
        <v/>
      </c>
      <c r="BL214" s="99" t="str">
        <f aca="false">IF($BZ214&lt;&gt;Constants!$B$8,"",$AI214)</f>
        <v/>
      </c>
      <c r="BM214" s="93" t="str">
        <f aca="false">IF($BZ214&lt;&gt;Constants!$B$8,"",IF(OR($BT214&lt;$BH214,AND($BT214=$BH214,OR($BU214&lt;$BI214,AND($BU214=$BI214,OR($BV214&lt;$BJ214,AND($BV214=$BJ214,OR(AND(ISNUMBER($BW214),OR(NOT(ISNUMBER($BK214)),$BW214&lt;$BK214)),AND(OR(AND($BW214="",$BK214=""),AND(ISNUMBER($BW214),ISNUMBER($BK214),$BW214=$BK214)),$BX214&lt;$BL214)))))))),"-&gt;","&lt;-"))</f>
        <v/>
      </c>
      <c r="BN214" s="92" t="str">
        <f aca="false">IF(ISBLANK($C214),"",AND($AT214,OR($AU214="",$AV214="",AND($AW214,$AX214=""))))</f>
        <v/>
      </c>
      <c r="BO214" s="94" t="str">
        <f aca="false">IF($BZ214&lt;&gt;Constants!$B$8,"",IF($AT214,Constants!$B$21*$AV214+Constants!$B$22*IF($AW214,$AX214,Constants!$B$23),Constants!$B$24))</f>
        <v/>
      </c>
      <c r="BP214" s="97" t="str">
        <f aca="false">IF($BZ214&lt;&gt;Constants!$B$8,"",Constants!$B$25*ABS($AD$9-IF($AT214,$AU214,0)))</f>
        <v/>
      </c>
      <c r="BQ214" s="97" t="str">
        <f aca="false">IF($BZ214&lt;&gt;Constants!$B$8,"",IF(AND($AT214,$AY214,$AW214),Constants!$B$27,0))</f>
        <v/>
      </c>
      <c r="BR214" s="97" t="str">
        <f aca="false">IF($BZ214&lt;&gt;Constants!$B$8,"",IF($AT214,($AI214-Constants!$B$29)*Constants!$B$28,0))</f>
        <v/>
      </c>
      <c r="BS214" s="97" t="str">
        <f aca="false">IF($BZ214&lt;&gt;Constants!$B$8,"",IF($AS214,0,Constants!$B$15)+IF($AR214,0,Constants!$B$16)+IF($AH214,0,Constants!$B$17))</f>
        <v/>
      </c>
      <c r="BT214" s="98" t="str">
        <f aca="false">IF($BZ214&lt;&gt;Constants!$B$8,"",Constants!$B$20+SUM($BO214:$BS214))</f>
        <v/>
      </c>
      <c r="BU214" s="97" t="str">
        <f aca="false">IF($BZ214&lt;&gt;Constants!$B$8,"",$BO214)</f>
        <v/>
      </c>
      <c r="BV214" s="97" t="str">
        <f aca="false">IF($BZ214&lt;&gt;Constants!$B$8,"",$BP214)</f>
        <v/>
      </c>
      <c r="BW214" s="97" t="str">
        <f aca="false">IF($BZ214&lt;&gt;Constants!$B$8,"",IF($AT214,$AV214,""))</f>
        <v/>
      </c>
      <c r="BX214" s="99" t="str">
        <f aca="false">IF($BZ214&lt;&gt;Constants!$B$8,"",$AI214)</f>
        <v/>
      </c>
      <c r="BY214" s="93" t="str">
        <f aca="false">IF(ISBLANK($C214),"",IF(ISBLANK($D$7),$BY$5,IF(NOT(ISNUMBER($D$7)),$BY$6,"")))</f>
        <v/>
      </c>
      <c r="BZ214" s="93" t="str">
        <f aca="false">IF(ISBLANK($C214),"",IF($BA214,Constants!$B$11,IF(COUNTA($E214:$AA214)=0,Constants!$B$10,IF(NOT($AG214),Constants!$B$9,IF(OR($BY214&lt;&gt;"",$BB214,$BN214),Constants!$B$12,Constants!$B$8)))))</f>
        <v/>
      </c>
      <c r="CA214" s="93" t="str">
        <f aca="false">IF(ISBLANK($C214),"",IF($BZ214&lt;&gt;Constants!$B$8,$BZ214,Constants!$B$13))</f>
        <v/>
      </c>
      <c r="CB214" s="97" t="str">
        <f aca="false">IF($BZ214&lt;&gt;Constants!$B$8,"",IF($BM214="-&gt;",$BT214,$BH214))</f>
        <v/>
      </c>
      <c r="CC214" s="97" t="str">
        <f aca="false">IF($BZ214&lt;&gt;Constants!$B$8,"",IF($AF214,0,Constants!$B$18))</f>
        <v/>
      </c>
      <c r="CD214" s="97" t="str">
        <f aca="false">IF($BZ214&lt;&gt;Constants!$B$8,"",((Constants!$B$31-$AZ214)-Constants!$B$31)/Constants!$B$32)</f>
        <v/>
      </c>
      <c r="CE214" s="97" t="str">
        <f aca="false">IF(ISBLANK($C214),"",IF($BZ214&lt;&gt;Constants!$B$8,$BZ214,SUM($CB214:$CD214)))</f>
        <v/>
      </c>
      <c r="CF214" s="93" t="str">
        <f aca="false">IF(ISBLANK($C214),"",IF($BZ214&lt;&gt;Constants!$B$8,$BZ214,RANK($CE214,$CE$9:$CE$508,1)))</f>
        <v/>
      </c>
      <c r="CG214" s="97" t="str">
        <f aca="false">IF($BZ214&lt;&gt;Constants!$B$8,"",IF($BM214="-&gt;",$BU214,$BI214))</f>
        <v/>
      </c>
      <c r="CH214" s="93" t="str">
        <f aca="false">IF(ISBLANK($C214),"",IF($BZ214&lt;&gt;Constants!$B$8,$BZ214,IF(ISNUMBER($CG214),RANK($CG214,$CG$9:$CG$508,1),COUNT($CG$9:$CG$508)+1)))</f>
        <v/>
      </c>
      <c r="CI214" s="97" t="str">
        <f aca="false">IF($BZ214&lt;&gt;Constants!$B$8,"",IF($BM214="-&gt;",$BV214,$BJ214))</f>
        <v/>
      </c>
      <c r="CJ214" s="93" t="str">
        <f aca="false">IF(ISBLANK($C214),"",IF($BZ214&lt;&gt;Constants!$B$8,$BZ214,IF(ISNUMBER($CI214),RANK($CI214,$CI$9:$CI$508,1),COUNT($CI$9:$CI$508)+1)))</f>
        <v/>
      </c>
      <c r="CK214" s="97" t="str">
        <f aca="false">IF($BZ214&lt;&gt;Constants!$B$8,"",IF($BM214="-&gt;",$BW214,$BK214))</f>
        <v/>
      </c>
      <c r="CL214" s="93" t="str">
        <f aca="false">IF(ISBLANK($C214),"",IF($BZ214&lt;&gt;Constants!$B$8,$BZ214,IF(ISNUMBER($CK214),RANK($CK214,$CK$9:$CK$508,1),COUNT($CK$9:$CK$508)+1)))</f>
        <v/>
      </c>
      <c r="CM214" s="97" t="str">
        <f aca="false">IF($BZ214&lt;&gt;Constants!$B$8,"",IF(AND(NOT($AL214),NOT($AT214),$AJ214,$AK214,$AR214,$AS214),"",IF($BM214="-&gt;",$BX214,$BL214)))</f>
        <v/>
      </c>
      <c r="CN214" s="93" t="str">
        <f aca="false">IF(ISBLANK($C214),"",IF($BZ214&lt;&gt;Constants!$B$8,$BZ214,IF(ISNUMBER($CM214),RANK($CM214,$CM$9:$CM$508,1),COUNT($CM$9:$CM$508)+1)))</f>
        <v/>
      </c>
      <c r="CO214" s="93" t="str">
        <f aca="false">IF(ISBLANK($C214),"",IF($BZ214&lt;&gt;Constants!$B$8,$BZ214,COUNTIFS($CF$9:$CF$508,"&lt;"&amp;$CF214)+COUNTIFS($CF$9:$CF$508,$CF214,$CH$9:$CH$508,"&lt;"&amp;$CH214)+COUNTIFS($CF$9:$CF$508,$CF214,$CH$9:$CH$508,$CH214,$CJ$9:$CJ$508,"&lt;"&amp;$CJ214)+COUNTIFS($CF$9:$CF$508,$CF214,$CH$9:$CH$508,$CH214,$CJ$9:$CJ$508,$CJ214,$CL$9:$CL$508,"&lt;"&amp;$CL214)+COUNTIFS($CF$9:$CF$508,$CF214,$CH$9:$CH$508,$CH214,$CJ$9:$CJ$508,$CJ214,$CL$9:$CL$508,$CL214,$CN$9:$CN$508,"&lt;"&amp;$CN214)+1))</f>
        <v/>
      </c>
      <c r="CP214" s="93" t="str">
        <f aca="false">IF(ISBLANK($C214),"",IF($BZ214&lt;&gt;Constants!$B$8,$BZ214,$CF214-$CO214))</f>
        <v/>
      </c>
      <c r="CQ214" s="100"/>
      <c r="CR214" s="101"/>
      <c r="CS214" s="102" t="str">
        <f aca="false">IF(ISBLANK($C214),"",IF($BZ214=Constants!$B$12,$BY214,""))</f>
        <v/>
      </c>
      <c r="CT214" s="101" t="str">
        <f aca="false">IF(ISBLANK($C214),"",IF($BZ214&lt;&gt;Constants!$B$8,"",IF($BM214="-&gt;",2,1)))</f>
        <v/>
      </c>
      <c r="CU214" s="103" t="str">
        <f aca="false">IF(ISBLANK($C214),"",IF($BZ214&lt;&gt;Constants!$B$8,"",IF($BM214="-&gt;",$BO214,$BC214)))</f>
        <v/>
      </c>
      <c r="CV214" s="103" t="str">
        <f aca="false">IF(ISBLANK($C214),"",IF($BZ214&lt;&gt;Constants!$B$8,"",IF($BM214="-&gt;",$BP214,$BD214)))</f>
        <v/>
      </c>
      <c r="CW214" s="103" t="str">
        <f aca="false">IF(ISBLANK($C214),"",IF($BZ214&lt;&gt;Constants!$B$8,"",IF($BM214="-&gt;",$BQ214+$BR214,$BE214+$BF214)+$CD214))</f>
        <v/>
      </c>
      <c r="CX214" s="103" t="str">
        <f aca="false">IF(ISBLANK($C214),"",IF($BZ214&lt;&gt;Constants!$B$8,"",IF($BM214="-&gt;",$BS214,$BG214)+$CC214))</f>
        <v/>
      </c>
      <c r="CY214" s="104" t="str">
        <f aca="false">IF(ISBLANK($C214),"",IF($BZ214&lt;&gt;Constants!$B$8,$BZ214,$CE214))</f>
        <v/>
      </c>
      <c r="CZ214" s="105" t="str">
        <f aca="false">IF(ISBLANK($C214),"",$CA214)</f>
        <v/>
      </c>
      <c r="DA214" s="106" t="str">
        <f aca="false">IF(ISBLANK($C214),"",$CP214)</f>
        <v/>
      </c>
      <c r="DB214" s="106" t="str">
        <f aca="false">IF(ISBLANK($C214),"",$CO214)</f>
        <v/>
      </c>
      <c r="DC214" s="107" t="str">
        <f aca="false">IF(ISBLANK($C214),"",IFERROR(_xlfn.SWITCH($DB214,Constants!$B$11,COUNTA($C$9:$C$508)+2,Constants!$B$10,COUNTA($C$9:$C$508)+1,Constants!$B$9,COUNTA($C$9:$C$508)),$DB214))</f>
        <v/>
      </c>
      <c r="DD214" s="9"/>
      <c r="DE214" s="108" t="n">
        <f aca="false">IF(OR(ISNUMBER($DB214),$DB214=Constants!$B$11,$DB214=Constants!$B$9,$DB214=Constants!$B$10),1,0)</f>
        <v>0</v>
      </c>
      <c r="DF214" s="108" t="n">
        <v>206</v>
      </c>
      <c r="DG214" s="108" t="str">
        <f aca="false">IF(ISBLANK($C214),"",IF(ISNUMBER($DC214),$DC214+ROW($B214)/1000,""))</f>
        <v/>
      </c>
      <c r="DH214" s="108" t="str">
        <f aca="false">IF(ISNUMBER($DG214),RANK($DG214,$DG$9:$DG$508,1),"")</f>
        <v/>
      </c>
      <c r="DI214" s="108" t="str">
        <f aca="false">IF(ISBLANK($C214),"",$B214)</f>
        <v/>
      </c>
      <c r="DJ214" s="108" t="str">
        <f aca="false">IF(ISBLANK($C214),"",$C214)</f>
        <v/>
      </c>
      <c r="DK214" s="108" t="str">
        <f aca="false">IF(ISBLANK($C214),"",$D214)</f>
        <v/>
      </c>
      <c r="DL214" s="109" t="str">
        <f aca="false">$CZ214</f>
        <v/>
      </c>
      <c r="DM214" s="110" t="str">
        <f aca="false">$CY214</f>
        <v/>
      </c>
      <c r="DN214" s="108" t="str">
        <f aca="false">IF(ISBLANK($C214),"",$DB214)</f>
        <v/>
      </c>
      <c r="DO214" s="111" t="str">
        <f aca="false">IF($DF214&gt;$DE$8,"",VLOOKUP($DF214,$DH$9:$DN$508,7,FALSE()))</f>
        <v/>
      </c>
      <c r="DP214" s="112" t="str">
        <f aca="false">IF($DF214&gt;$DE$8,"",VLOOKUP($DF214,$DH$9:$DN$508,2,FALSE()))</f>
        <v/>
      </c>
      <c r="DQ214" s="112" t="str">
        <f aca="false">IF($DF214&gt;$DE$8,"",VLOOKUP($DF214,$DH$9:$DN$508,3,FALSE()))</f>
        <v/>
      </c>
      <c r="DR214" s="112" t="str">
        <f aca="false">IF($DF214&gt;$DE$8,"",VLOOKUP($DF214,$DH$9:$DN$508,4,FALSE()))</f>
        <v/>
      </c>
      <c r="DS214" s="112" t="str">
        <f aca="false">IF($DF214&gt;$DE$8,"",VLOOKUP($DF214,$DH$9:$DN$508,5,FALSE()))</f>
        <v/>
      </c>
      <c r="DT214" s="113" t="str">
        <f aca="false">IF($DF214&gt;$DE$8,"",VLOOKUP($DF214,$DH$9:$DN$508,6,FALSE()))</f>
        <v/>
      </c>
      <c r="DU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IF(ISBLANK($C215),"",IF(E215=Constants!$B$3,TRUE(),IF(E215=Constants!$B$4,FALSE(),TRUE())))</f>
        <v/>
      </c>
      <c r="AG215" s="93" t="str">
        <f aca="false">IF(ISBLANK($C215),"",IF(F215=Constants!$B$3,TRUE(),IF(F215=Constants!$B$4,FALSE(),TRUE())))</f>
        <v/>
      </c>
      <c r="AH215" s="93" t="str">
        <f aca="false">IF(ISBLANK($C215),"",IF(G215=Constants!$B$3,TRUE(),IF(G215=Constants!$B$4,FALSE(),TRUE())))</f>
        <v/>
      </c>
      <c r="AI215" s="93" t="str">
        <f aca="false">IF(ISBLANK($C215),"",IF(AND(ISNUMBER(H215),H215&gt;=0),H215,Constants!$B$29))</f>
        <v/>
      </c>
      <c r="AJ215" s="93" t="str">
        <f aca="false">IF(ISBLANK($C215),"",IF(I215=Constants!$B$3,TRUE(),IF(I215=Constants!$B$4,FALSE(),TRUE())))</f>
        <v/>
      </c>
      <c r="AK215" s="93" t="str">
        <f aca="false">IF(ISBLANK($C215),"",IF(J215=Constants!$B$3,TRUE(),IF(J215=Constants!$B$4,FALSE(),TRUE())))</f>
        <v/>
      </c>
      <c r="AL215" s="93" t="str">
        <f aca="false">IF(ISBLANK($C215),"",IF(K215=Constants!$B$5,TRUE(),IF(K215=Constants!$B$6,FALSE(),COUNTA(L215:P215)&gt;0)))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IF(ISBLANK($C215),"",IF(N215=Constants!$B$3,TRUE(),IF(N215=Constants!$B$4,FALSE(),TRUE())))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IF(ISBLANK($C215),"",IF(P215=Constants!$B$3,TRUE(),IF(P215=Constants!$B$4,FALSE(),FALSE())))</f>
        <v/>
      </c>
      <c r="AR215" s="93" t="str">
        <f aca="false">IF(ISBLANK($C215),"",IF(Q215=Constants!$B$3,TRUE(),IF(Q215=Constants!$B$4,FALSE(),TRUE())))</f>
        <v/>
      </c>
      <c r="AS215" s="93" t="str">
        <f aca="false">IF(ISBLANK($C215),"",IF(R215=Constants!$B$3,TRUE(),IF(R215=Constants!$B$4,FALSE(),TRUE())))</f>
        <v/>
      </c>
      <c r="AT215" s="93" t="str">
        <f aca="false">IF(ISBLANK($C215),"",IF(S215=Constants!$B$5,TRUE(),IF(S215=Constants!$B$6,FALSE(),COUNTA(T215:X215)&gt;0)))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IF(ISBLANK($C215),"",IF(V215=Constants!$B$3,TRUE(),IF(V215=Constants!$B$4,FALSE(),TRUE())))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IF(ISBLANK($C215),"",IF(X215=Constants!$B$3,TRUE(),IF(X215=Constants!$B$4,FALSE(),FALSE())))</f>
        <v/>
      </c>
      <c r="AZ215" s="93" t="str">
        <f aca="false">IF(ISBLANK($C215),"",MIN(Constants!$B$31,MAX(0,IF(ISNUMBER(Y215),Y215*60,0)+IF(ISNUMBER(Z215),Z215,0))))</f>
        <v/>
      </c>
      <c r="BA215" s="93" t="str">
        <f aca="false">IF(ISBLANK($C215),"",IF(AA215=Constants!$B$3,TRUE(),IF(AA215=Constants!$B$4,FALSE(),FALSE())))</f>
        <v/>
      </c>
      <c r="BB215" s="92" t="str">
        <f aca="false">IF(ISBLANK($C215),"",AND($AL215,OR($AM215="",$AN215="",AND($AO215,$AP215=""))))</f>
        <v/>
      </c>
      <c r="BC215" s="94" t="str">
        <f aca="false">IF($BZ215&lt;&gt;Constants!$B$8,"",IF($AL215,Constants!$B$21*$AN215+Constants!$B$22*IF($AO215,$AP215,Constants!$B$23),Constants!$B$24))</f>
        <v/>
      </c>
      <c r="BD215" s="97" t="str">
        <f aca="false">IF($BZ215&lt;&gt;Constants!$B$8,"",Constants!$B$25*ABS($AD$9-IF($AL215,$AM215,0)))</f>
        <v/>
      </c>
      <c r="BE215" s="97" t="str">
        <f aca="false">IF($BZ215&lt;&gt;Constants!$B$8,"",IF(AND($AL215,$AQ215,$AO215),Constants!$B$27,0))</f>
        <v/>
      </c>
      <c r="BF215" s="97" t="str">
        <f aca="false">IF($BZ215&lt;&gt;Constants!$B$8,"",IF($AL215,($AI215-Constants!$B$29)*Constants!$B$28,0))</f>
        <v/>
      </c>
      <c r="BG215" s="97" t="str">
        <f aca="false">IF($BZ215&lt;&gt;Constants!$B$8,"",IF($AK215,0,Constants!$B$15)+IF($AJ215,0,Constants!$B$16)+IF($AH215,0,Constants!$B$17))</f>
        <v/>
      </c>
      <c r="BH215" s="98" t="str">
        <f aca="false">IF($BZ215&lt;&gt;Constants!$B$8,"",Constants!$B$20+SUM($BC215:$BG215))</f>
        <v/>
      </c>
      <c r="BI215" s="97" t="str">
        <f aca="false">IF($BZ215&lt;&gt;Constants!$B$8,"",$BC215)</f>
        <v/>
      </c>
      <c r="BJ215" s="97" t="str">
        <f aca="false">IF($BZ215&lt;&gt;Constants!$B$8,"",$BD215)</f>
        <v/>
      </c>
      <c r="BK215" s="97" t="str">
        <f aca="false">IF($BZ215&lt;&gt;Constants!$B$8,"",IF($AL215,$AN215,""))</f>
        <v/>
      </c>
      <c r="BL215" s="99" t="str">
        <f aca="false">IF($BZ215&lt;&gt;Constants!$B$8,"",$AI215)</f>
        <v/>
      </c>
      <c r="BM215" s="93" t="str">
        <f aca="false">IF($BZ215&lt;&gt;Constants!$B$8,"",IF(OR($BT215&lt;$BH215,AND($BT215=$BH215,OR($BU215&lt;$BI215,AND($BU215=$BI215,OR($BV215&lt;$BJ215,AND($BV215=$BJ215,OR(AND(ISNUMBER($BW215),OR(NOT(ISNUMBER($BK215)),$BW215&lt;$BK215)),AND(OR(AND($BW215="",$BK215=""),AND(ISNUMBER($BW215),ISNUMBER($BK215),$BW215=$BK215)),$BX215&lt;$BL215)))))))),"-&gt;","&lt;-"))</f>
        <v/>
      </c>
      <c r="BN215" s="92" t="str">
        <f aca="false">IF(ISBLANK($C215),"",AND($AT215,OR($AU215="",$AV215="",AND($AW215,$AX215=""))))</f>
        <v/>
      </c>
      <c r="BO215" s="94" t="str">
        <f aca="false">IF($BZ215&lt;&gt;Constants!$B$8,"",IF($AT215,Constants!$B$21*$AV215+Constants!$B$22*IF($AW215,$AX215,Constants!$B$23),Constants!$B$24))</f>
        <v/>
      </c>
      <c r="BP215" s="97" t="str">
        <f aca="false">IF($BZ215&lt;&gt;Constants!$B$8,"",Constants!$B$25*ABS($AD$9-IF($AT215,$AU215,0)))</f>
        <v/>
      </c>
      <c r="BQ215" s="97" t="str">
        <f aca="false">IF($BZ215&lt;&gt;Constants!$B$8,"",IF(AND($AT215,$AY215,$AW215),Constants!$B$27,0))</f>
        <v/>
      </c>
      <c r="BR215" s="97" t="str">
        <f aca="false">IF($BZ215&lt;&gt;Constants!$B$8,"",IF($AT215,($AI215-Constants!$B$29)*Constants!$B$28,0))</f>
        <v/>
      </c>
      <c r="BS215" s="97" t="str">
        <f aca="false">IF($BZ215&lt;&gt;Constants!$B$8,"",IF($AS215,0,Constants!$B$15)+IF($AR215,0,Constants!$B$16)+IF($AH215,0,Constants!$B$17))</f>
        <v/>
      </c>
      <c r="BT215" s="98" t="str">
        <f aca="false">IF($BZ215&lt;&gt;Constants!$B$8,"",Constants!$B$20+SUM($BO215:$BS215))</f>
        <v/>
      </c>
      <c r="BU215" s="97" t="str">
        <f aca="false">IF($BZ215&lt;&gt;Constants!$B$8,"",$BO215)</f>
        <v/>
      </c>
      <c r="BV215" s="97" t="str">
        <f aca="false">IF($BZ215&lt;&gt;Constants!$B$8,"",$BP215)</f>
        <v/>
      </c>
      <c r="BW215" s="97" t="str">
        <f aca="false">IF($BZ215&lt;&gt;Constants!$B$8,"",IF($AT215,$AV215,""))</f>
        <v/>
      </c>
      <c r="BX215" s="99" t="str">
        <f aca="false">IF($BZ215&lt;&gt;Constants!$B$8,"",$AI215)</f>
        <v/>
      </c>
      <c r="BY215" s="93" t="str">
        <f aca="false">IF(ISBLANK($C215),"",IF(ISBLANK($D$7),$BY$5,IF(NOT(ISNUMBER($D$7)),$BY$6,"")))</f>
        <v/>
      </c>
      <c r="BZ215" s="93" t="str">
        <f aca="false">IF(ISBLANK($C215),"",IF($BA215,Constants!$B$11,IF(COUNTA($E215:$AA215)=0,Constants!$B$10,IF(NOT($AG215),Constants!$B$9,IF(OR($BY215&lt;&gt;"",$BB215,$BN215),Constants!$B$12,Constants!$B$8)))))</f>
        <v/>
      </c>
      <c r="CA215" s="93" t="str">
        <f aca="false">IF(ISBLANK($C215),"",IF($BZ215&lt;&gt;Constants!$B$8,$BZ215,Constants!$B$13))</f>
        <v/>
      </c>
      <c r="CB215" s="97" t="str">
        <f aca="false">IF($BZ215&lt;&gt;Constants!$B$8,"",IF($BM215="-&gt;",$BT215,$BH215))</f>
        <v/>
      </c>
      <c r="CC215" s="97" t="str">
        <f aca="false">IF($BZ215&lt;&gt;Constants!$B$8,"",IF($AF215,0,Constants!$B$18))</f>
        <v/>
      </c>
      <c r="CD215" s="97" t="str">
        <f aca="false">IF($BZ215&lt;&gt;Constants!$B$8,"",((Constants!$B$31-$AZ215)-Constants!$B$31)/Constants!$B$32)</f>
        <v/>
      </c>
      <c r="CE215" s="97" t="str">
        <f aca="false">IF(ISBLANK($C215),"",IF($BZ215&lt;&gt;Constants!$B$8,$BZ215,SUM($CB215:$CD215)))</f>
        <v/>
      </c>
      <c r="CF215" s="93" t="str">
        <f aca="false">IF(ISBLANK($C215),"",IF($BZ215&lt;&gt;Constants!$B$8,$BZ215,RANK($CE215,$CE$9:$CE$508,1)))</f>
        <v/>
      </c>
      <c r="CG215" s="97" t="str">
        <f aca="false">IF($BZ215&lt;&gt;Constants!$B$8,"",IF($BM215="-&gt;",$BU215,$BI215))</f>
        <v/>
      </c>
      <c r="CH215" s="93" t="str">
        <f aca="false">IF(ISBLANK($C215),"",IF($BZ215&lt;&gt;Constants!$B$8,$BZ215,IF(ISNUMBER($CG215),RANK($CG215,$CG$9:$CG$508,1),COUNT($CG$9:$CG$508)+1)))</f>
        <v/>
      </c>
      <c r="CI215" s="97" t="str">
        <f aca="false">IF($BZ215&lt;&gt;Constants!$B$8,"",IF($BM215="-&gt;",$BV215,$BJ215))</f>
        <v/>
      </c>
      <c r="CJ215" s="93" t="str">
        <f aca="false">IF(ISBLANK($C215),"",IF($BZ215&lt;&gt;Constants!$B$8,$BZ215,IF(ISNUMBER($CI215),RANK($CI215,$CI$9:$CI$508,1),COUNT($CI$9:$CI$508)+1)))</f>
        <v/>
      </c>
      <c r="CK215" s="97" t="str">
        <f aca="false">IF($BZ215&lt;&gt;Constants!$B$8,"",IF($BM215="-&gt;",$BW215,$BK215))</f>
        <v/>
      </c>
      <c r="CL215" s="93" t="str">
        <f aca="false">IF(ISBLANK($C215),"",IF($BZ215&lt;&gt;Constants!$B$8,$BZ215,IF(ISNUMBER($CK215),RANK($CK215,$CK$9:$CK$508,1),COUNT($CK$9:$CK$508)+1)))</f>
        <v/>
      </c>
      <c r="CM215" s="97" t="str">
        <f aca="false">IF($BZ215&lt;&gt;Constants!$B$8,"",IF(AND(NOT($AL215),NOT($AT215),$AJ215,$AK215,$AR215,$AS215),"",IF($BM215="-&gt;",$BX215,$BL215)))</f>
        <v/>
      </c>
      <c r="CN215" s="93" t="str">
        <f aca="false">IF(ISBLANK($C215),"",IF($BZ215&lt;&gt;Constants!$B$8,$BZ215,IF(ISNUMBER($CM215),RANK($CM215,$CM$9:$CM$508,1),COUNT($CM$9:$CM$508)+1)))</f>
        <v/>
      </c>
      <c r="CO215" s="93" t="str">
        <f aca="false">IF(ISBLANK($C215),"",IF($BZ215&lt;&gt;Constants!$B$8,$BZ215,COUNTIFS($CF$9:$CF$508,"&lt;"&amp;$CF215)+COUNTIFS($CF$9:$CF$508,$CF215,$CH$9:$CH$508,"&lt;"&amp;$CH215)+COUNTIFS($CF$9:$CF$508,$CF215,$CH$9:$CH$508,$CH215,$CJ$9:$CJ$508,"&lt;"&amp;$CJ215)+COUNTIFS($CF$9:$CF$508,$CF215,$CH$9:$CH$508,$CH215,$CJ$9:$CJ$508,$CJ215,$CL$9:$CL$508,"&lt;"&amp;$CL215)+COUNTIFS($CF$9:$CF$508,$CF215,$CH$9:$CH$508,$CH215,$CJ$9:$CJ$508,$CJ215,$CL$9:$CL$508,$CL215,$CN$9:$CN$508,"&lt;"&amp;$CN215)+1))</f>
        <v/>
      </c>
      <c r="CP215" s="93" t="str">
        <f aca="false">IF(ISBLANK($C215),"",IF($BZ215&lt;&gt;Constants!$B$8,$BZ215,$CF215-$CO215))</f>
        <v/>
      </c>
      <c r="CQ215" s="100"/>
      <c r="CR215" s="101"/>
      <c r="CS215" s="102" t="str">
        <f aca="false">IF(ISBLANK($C215),"",IF($BZ215=Constants!$B$12,$BY215,""))</f>
        <v/>
      </c>
      <c r="CT215" s="101" t="str">
        <f aca="false">IF(ISBLANK($C215),"",IF($BZ215&lt;&gt;Constants!$B$8,"",IF($BM215="-&gt;",2,1)))</f>
        <v/>
      </c>
      <c r="CU215" s="103" t="str">
        <f aca="false">IF(ISBLANK($C215),"",IF($BZ215&lt;&gt;Constants!$B$8,"",IF($BM215="-&gt;",$BO215,$BC215)))</f>
        <v/>
      </c>
      <c r="CV215" s="103" t="str">
        <f aca="false">IF(ISBLANK($C215),"",IF($BZ215&lt;&gt;Constants!$B$8,"",IF($BM215="-&gt;",$BP215,$BD215)))</f>
        <v/>
      </c>
      <c r="CW215" s="103" t="str">
        <f aca="false">IF(ISBLANK($C215),"",IF($BZ215&lt;&gt;Constants!$B$8,"",IF($BM215="-&gt;",$BQ215+$BR215,$BE215+$BF215)+$CD215))</f>
        <v/>
      </c>
      <c r="CX215" s="103" t="str">
        <f aca="false">IF(ISBLANK($C215),"",IF($BZ215&lt;&gt;Constants!$B$8,"",IF($BM215="-&gt;",$BS215,$BG215)+$CC215))</f>
        <v/>
      </c>
      <c r="CY215" s="104" t="str">
        <f aca="false">IF(ISBLANK($C215),"",IF($BZ215&lt;&gt;Constants!$B$8,$BZ215,$CE215))</f>
        <v/>
      </c>
      <c r="CZ215" s="105" t="str">
        <f aca="false">IF(ISBLANK($C215),"",$CA215)</f>
        <v/>
      </c>
      <c r="DA215" s="106" t="str">
        <f aca="false">IF(ISBLANK($C215),"",$CP215)</f>
        <v/>
      </c>
      <c r="DB215" s="106" t="str">
        <f aca="false">IF(ISBLANK($C215),"",$CO215)</f>
        <v/>
      </c>
      <c r="DC215" s="107" t="str">
        <f aca="false">IF(ISBLANK($C215),"",IFERROR(_xlfn.SWITCH($DB215,Constants!$B$11,COUNTA($C$9:$C$508)+2,Constants!$B$10,COUNTA($C$9:$C$508)+1,Constants!$B$9,COUNTA($C$9:$C$508)),$DB215))</f>
        <v/>
      </c>
      <c r="DD215" s="9"/>
      <c r="DE215" s="108" t="n">
        <f aca="false">IF(OR(ISNUMBER($DB215),$DB215=Constants!$B$11,$DB215=Constants!$B$9,$DB215=Constants!$B$10),1,0)</f>
        <v>0</v>
      </c>
      <c r="DF215" s="108" t="n">
        <v>207</v>
      </c>
      <c r="DG215" s="108" t="str">
        <f aca="false">IF(ISBLANK($C215),"",IF(ISNUMBER($DC215),$DC215+ROW($B215)/1000,""))</f>
        <v/>
      </c>
      <c r="DH215" s="108" t="str">
        <f aca="false">IF(ISNUMBER($DG215),RANK($DG215,$DG$9:$DG$508,1),"")</f>
        <v/>
      </c>
      <c r="DI215" s="108" t="str">
        <f aca="false">IF(ISBLANK($C215),"",$B215)</f>
        <v/>
      </c>
      <c r="DJ215" s="108" t="str">
        <f aca="false">IF(ISBLANK($C215),"",$C215)</f>
        <v/>
      </c>
      <c r="DK215" s="108" t="str">
        <f aca="false">IF(ISBLANK($C215),"",$D215)</f>
        <v/>
      </c>
      <c r="DL215" s="109" t="str">
        <f aca="false">$CZ215</f>
        <v/>
      </c>
      <c r="DM215" s="110" t="str">
        <f aca="false">$CY215</f>
        <v/>
      </c>
      <c r="DN215" s="108" t="str">
        <f aca="false">IF(ISBLANK($C215),"",$DB215)</f>
        <v/>
      </c>
      <c r="DO215" s="111" t="str">
        <f aca="false">IF($DF215&gt;$DE$8,"",VLOOKUP($DF215,$DH$9:$DN$508,7,FALSE()))</f>
        <v/>
      </c>
      <c r="DP215" s="112" t="str">
        <f aca="false">IF($DF215&gt;$DE$8,"",VLOOKUP($DF215,$DH$9:$DN$508,2,FALSE()))</f>
        <v/>
      </c>
      <c r="DQ215" s="112" t="str">
        <f aca="false">IF($DF215&gt;$DE$8,"",VLOOKUP($DF215,$DH$9:$DN$508,3,FALSE()))</f>
        <v/>
      </c>
      <c r="DR215" s="112" t="str">
        <f aca="false">IF($DF215&gt;$DE$8,"",VLOOKUP($DF215,$DH$9:$DN$508,4,FALSE()))</f>
        <v/>
      </c>
      <c r="DS215" s="112" t="str">
        <f aca="false">IF($DF215&gt;$DE$8,"",VLOOKUP($DF215,$DH$9:$DN$508,5,FALSE()))</f>
        <v/>
      </c>
      <c r="DT215" s="113" t="str">
        <f aca="false">IF($DF215&gt;$DE$8,"",VLOOKUP($DF215,$DH$9:$DN$508,6,FALSE()))</f>
        <v/>
      </c>
      <c r="DU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IF(ISBLANK($C216),"",IF(E216=Constants!$B$3,TRUE(),IF(E216=Constants!$B$4,FALSE(),TRUE())))</f>
        <v/>
      </c>
      <c r="AG216" s="135" t="str">
        <f aca="false">IF(ISBLANK($C216),"",IF(F216=Constants!$B$3,TRUE(),IF(F216=Constants!$B$4,FALSE(),TRUE())))</f>
        <v/>
      </c>
      <c r="AH216" s="135" t="str">
        <f aca="false">IF(ISBLANK($C216),"",IF(G216=Constants!$B$3,TRUE(),IF(G216=Constants!$B$4,FALSE(),TRUE())))</f>
        <v/>
      </c>
      <c r="AI216" s="135" t="str">
        <f aca="false">IF(ISBLANK($C216),"",IF(AND(ISNUMBER(H216),H216&gt;=0),H216,Constants!$B$29))</f>
        <v/>
      </c>
      <c r="AJ216" s="135" t="str">
        <f aca="false">IF(ISBLANK($C216),"",IF(I216=Constants!$B$3,TRUE(),IF(I216=Constants!$B$4,FALSE(),TRUE())))</f>
        <v/>
      </c>
      <c r="AK216" s="135" t="str">
        <f aca="false">IF(ISBLANK($C216),"",IF(J216=Constants!$B$3,TRUE(),IF(J216=Constants!$B$4,FALSE(),TRUE())))</f>
        <v/>
      </c>
      <c r="AL216" s="135" t="str">
        <f aca="false">IF(ISBLANK($C216),"",IF(K216=Constants!$B$5,TRUE(),IF(K216=Constants!$B$6,FALSE(),COUNTA(L216:P216)&gt;0)))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IF(ISBLANK($C216),"",IF(N216=Constants!$B$3,TRUE(),IF(N216=Constants!$B$4,FALSE(),TRUE())))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IF(ISBLANK($C216),"",IF(P216=Constants!$B$3,TRUE(),IF(P216=Constants!$B$4,FALSE(),FALSE())))</f>
        <v/>
      </c>
      <c r="AR216" s="135" t="str">
        <f aca="false">IF(ISBLANK($C216),"",IF(Q216=Constants!$B$3,TRUE(),IF(Q216=Constants!$B$4,FALSE(),TRUE())))</f>
        <v/>
      </c>
      <c r="AS216" s="135" t="str">
        <f aca="false">IF(ISBLANK($C216),"",IF(R216=Constants!$B$3,TRUE(),IF(R216=Constants!$B$4,FALSE(),TRUE())))</f>
        <v/>
      </c>
      <c r="AT216" s="135" t="str">
        <f aca="false">IF(ISBLANK($C216),"",IF(S216=Constants!$B$5,TRUE(),IF(S216=Constants!$B$6,FALSE(),COUNTA(T216:X216)&gt;0)))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IF(ISBLANK($C216),"",IF(V216=Constants!$B$3,TRUE(),IF(V216=Constants!$B$4,FALSE(),TRUE())))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IF(ISBLANK($C216),"",IF(X216=Constants!$B$3,TRUE(),IF(X216=Constants!$B$4,FALSE(),FALSE())))</f>
        <v/>
      </c>
      <c r="AZ216" s="135" t="str">
        <f aca="false">IF(ISBLANK($C216),"",MIN(Constants!$B$31,MAX(0,IF(ISNUMBER(Y216),Y216*60,0)+IF(ISNUMBER(Z216),Z216,0))))</f>
        <v/>
      </c>
      <c r="BA216" s="135" t="str">
        <f aca="false">IF(ISBLANK($C216),"",IF(AA216=Constants!$B$3,TRUE(),IF(AA216=Constants!$B$4,FALSE(),FALSE())))</f>
        <v/>
      </c>
      <c r="BB216" s="134" t="str">
        <f aca="false">IF(ISBLANK($C216),"",AND($AL216,OR($AM216="",$AN216="",AND($AO216,$AP216=""))))</f>
        <v/>
      </c>
      <c r="BC216" s="137" t="str">
        <f aca="false">IF($BZ216&lt;&gt;Constants!$B$8,"",IF($AL216,Constants!$B$21*$AN216+Constants!$B$22*IF($AO216,$AP216,Constants!$B$23),Constants!$B$24))</f>
        <v/>
      </c>
      <c r="BD216" s="138" t="str">
        <f aca="false">IF($BZ216&lt;&gt;Constants!$B$8,"",Constants!$B$25*ABS($AD$9-IF($AL216,$AM216,0)))</f>
        <v/>
      </c>
      <c r="BE216" s="138" t="str">
        <f aca="false">IF($BZ216&lt;&gt;Constants!$B$8,"",IF(AND($AL216,$AQ216,$AO216),Constants!$B$27,0))</f>
        <v/>
      </c>
      <c r="BF216" s="138" t="str">
        <f aca="false">IF($BZ216&lt;&gt;Constants!$B$8,"",IF($AL216,($AI216-Constants!$B$29)*Constants!$B$28,0))</f>
        <v/>
      </c>
      <c r="BG216" s="138" t="str">
        <f aca="false">IF($BZ216&lt;&gt;Constants!$B$8,"",IF($AK216,0,Constants!$B$15)+IF($AJ216,0,Constants!$B$16)+IF($AH216,0,Constants!$B$17))</f>
        <v/>
      </c>
      <c r="BH216" s="139" t="str">
        <f aca="false">IF($BZ216&lt;&gt;Constants!$B$8,"",Constants!$B$20+SUM($BC216:$BG216))</f>
        <v/>
      </c>
      <c r="BI216" s="138" t="str">
        <f aca="false">IF($BZ216&lt;&gt;Constants!$B$8,"",$BC216)</f>
        <v/>
      </c>
      <c r="BJ216" s="138" t="str">
        <f aca="false">IF($BZ216&lt;&gt;Constants!$B$8,"",$BD216)</f>
        <v/>
      </c>
      <c r="BK216" s="138" t="str">
        <f aca="false">IF($BZ216&lt;&gt;Constants!$B$8,"",IF($AL216,$AN216,""))</f>
        <v/>
      </c>
      <c r="BL216" s="140" t="str">
        <f aca="false">IF($BZ216&lt;&gt;Constants!$B$8,"",$AI216)</f>
        <v/>
      </c>
      <c r="BM216" s="135" t="str">
        <f aca="false">IF($BZ216&lt;&gt;Constants!$B$8,"",IF(OR($BT216&lt;$BH216,AND($BT216=$BH216,OR($BU216&lt;$BI216,AND($BU216=$BI216,OR($BV216&lt;$BJ216,AND($BV216=$BJ216,OR(AND(ISNUMBER($BW216),OR(NOT(ISNUMBER($BK216)),$BW216&lt;$BK216)),AND(OR(AND($BW216="",$BK216=""),AND(ISNUMBER($BW216),ISNUMBER($BK216),$BW216=$BK216)),$BX216&lt;$BL216)))))))),"-&gt;","&lt;-"))</f>
        <v/>
      </c>
      <c r="BN216" s="134" t="str">
        <f aca="false">IF(ISBLANK($C216),"",AND($AT216,OR($AU216="",$AV216="",AND($AW216,$AX216=""))))</f>
        <v/>
      </c>
      <c r="BO216" s="137" t="str">
        <f aca="false">IF($BZ216&lt;&gt;Constants!$B$8,"",IF($AT216,Constants!$B$21*$AV216+Constants!$B$22*IF($AW216,$AX216,Constants!$B$23),Constants!$B$24))</f>
        <v/>
      </c>
      <c r="BP216" s="138" t="str">
        <f aca="false">IF($BZ216&lt;&gt;Constants!$B$8,"",Constants!$B$25*ABS($AD$9-IF($AT216,$AU216,0)))</f>
        <v/>
      </c>
      <c r="BQ216" s="138" t="str">
        <f aca="false">IF($BZ216&lt;&gt;Constants!$B$8,"",IF(AND($AT216,$AY216,$AW216),Constants!$B$27,0))</f>
        <v/>
      </c>
      <c r="BR216" s="138" t="str">
        <f aca="false">IF($BZ216&lt;&gt;Constants!$B$8,"",IF($AT216,($AI216-Constants!$B$29)*Constants!$B$28,0))</f>
        <v/>
      </c>
      <c r="BS216" s="138" t="str">
        <f aca="false">IF($BZ216&lt;&gt;Constants!$B$8,"",IF($AS216,0,Constants!$B$15)+IF($AR216,0,Constants!$B$16)+IF($AH216,0,Constants!$B$17))</f>
        <v/>
      </c>
      <c r="BT216" s="139" t="str">
        <f aca="false">IF($BZ216&lt;&gt;Constants!$B$8,"",Constants!$B$20+SUM($BO216:$BS216))</f>
        <v/>
      </c>
      <c r="BU216" s="138" t="str">
        <f aca="false">IF($BZ216&lt;&gt;Constants!$B$8,"",$BO216)</f>
        <v/>
      </c>
      <c r="BV216" s="138" t="str">
        <f aca="false">IF($BZ216&lt;&gt;Constants!$B$8,"",$BP216)</f>
        <v/>
      </c>
      <c r="BW216" s="138" t="str">
        <f aca="false">IF($BZ216&lt;&gt;Constants!$B$8,"",IF($AT216,$AV216,""))</f>
        <v/>
      </c>
      <c r="BX216" s="140" t="str">
        <f aca="false">IF($BZ216&lt;&gt;Constants!$B$8,"",$AI216)</f>
        <v/>
      </c>
      <c r="BY216" s="135" t="str">
        <f aca="false">IF(ISBLANK($C216),"",IF(ISBLANK($D$7),$BY$5,IF(NOT(ISNUMBER($D$7)),$BY$6,"")))</f>
        <v/>
      </c>
      <c r="BZ216" s="135" t="str">
        <f aca="false">IF(ISBLANK($C216),"",IF($BA216,Constants!$B$11,IF(COUNTA($E216:$AA216)=0,Constants!$B$10,IF(NOT($AG216),Constants!$B$9,IF(OR($BY216&lt;&gt;"",$BB216,$BN216),Constants!$B$12,Constants!$B$8)))))</f>
        <v/>
      </c>
      <c r="CA216" s="135" t="str">
        <f aca="false">IF(ISBLANK($C216),"",IF($BZ216&lt;&gt;Constants!$B$8,$BZ216,Constants!$B$13))</f>
        <v/>
      </c>
      <c r="CB216" s="138" t="str">
        <f aca="false">IF($BZ216&lt;&gt;Constants!$B$8,"",IF($BM216="-&gt;",$BT216,$BH216))</f>
        <v/>
      </c>
      <c r="CC216" s="138" t="str">
        <f aca="false">IF($BZ216&lt;&gt;Constants!$B$8,"",IF($AF216,0,Constants!$B$18))</f>
        <v/>
      </c>
      <c r="CD216" s="138" t="str">
        <f aca="false">IF($BZ216&lt;&gt;Constants!$B$8,"",((Constants!$B$31-$AZ216)-Constants!$B$31)/Constants!$B$32)</f>
        <v/>
      </c>
      <c r="CE216" s="138" t="str">
        <f aca="false">IF(ISBLANK($C216),"",IF($BZ216&lt;&gt;Constants!$B$8,$BZ216,SUM($CB216:$CD216)))</f>
        <v/>
      </c>
      <c r="CF216" s="135" t="str">
        <f aca="false">IF(ISBLANK($C216),"",IF($BZ216&lt;&gt;Constants!$B$8,$BZ216,RANK($CE216,$CE$9:$CE$508,1)))</f>
        <v/>
      </c>
      <c r="CG216" s="138" t="str">
        <f aca="false">IF($BZ216&lt;&gt;Constants!$B$8,"",IF($BM216="-&gt;",$BU216,$BI216))</f>
        <v/>
      </c>
      <c r="CH216" s="135" t="str">
        <f aca="false">IF(ISBLANK($C216),"",IF($BZ216&lt;&gt;Constants!$B$8,$BZ216,IF(ISNUMBER($CG216),RANK($CG216,$CG$9:$CG$508,1),COUNT($CG$9:$CG$508)+1)))</f>
        <v/>
      </c>
      <c r="CI216" s="138" t="str">
        <f aca="false">IF($BZ216&lt;&gt;Constants!$B$8,"",IF($BM216="-&gt;",$BV216,$BJ216))</f>
        <v/>
      </c>
      <c r="CJ216" s="135" t="str">
        <f aca="false">IF(ISBLANK($C216),"",IF($BZ216&lt;&gt;Constants!$B$8,$BZ216,IF(ISNUMBER($CI216),RANK($CI216,$CI$9:$CI$508,1),COUNT($CI$9:$CI$508)+1)))</f>
        <v/>
      </c>
      <c r="CK216" s="138" t="str">
        <f aca="false">IF($BZ216&lt;&gt;Constants!$B$8,"",IF($BM216="-&gt;",$BW216,$BK216))</f>
        <v/>
      </c>
      <c r="CL216" s="135" t="str">
        <f aca="false">IF(ISBLANK($C216),"",IF($BZ216&lt;&gt;Constants!$B$8,$BZ216,IF(ISNUMBER($CK216),RANK($CK216,$CK$9:$CK$508,1),COUNT($CK$9:$CK$508)+1)))</f>
        <v/>
      </c>
      <c r="CM216" s="138" t="str">
        <f aca="false">IF($BZ216&lt;&gt;Constants!$B$8,"",IF(AND(NOT($AL216),NOT($AT216),$AJ216,$AK216,$AR216,$AS216),"",IF($BM216="-&gt;",$BX216,$BL216)))</f>
        <v/>
      </c>
      <c r="CN216" s="135" t="str">
        <f aca="false">IF(ISBLANK($C216),"",IF($BZ216&lt;&gt;Constants!$B$8,$BZ216,IF(ISNUMBER($CM216),RANK($CM216,$CM$9:$CM$508,1),COUNT($CM$9:$CM$508)+1)))</f>
        <v/>
      </c>
      <c r="CO216" s="135" t="str">
        <f aca="false">IF(ISBLANK($C216),"",IF($BZ216&lt;&gt;Constants!$B$8,$BZ216,COUNTIFS($CF$9:$CF$508,"&lt;"&amp;$CF216)+COUNTIFS($CF$9:$CF$508,$CF216,$CH$9:$CH$508,"&lt;"&amp;$CH216)+COUNTIFS($CF$9:$CF$508,$CF216,$CH$9:$CH$508,$CH216,$CJ$9:$CJ$508,"&lt;"&amp;$CJ216)+COUNTIFS($CF$9:$CF$508,$CF216,$CH$9:$CH$508,$CH216,$CJ$9:$CJ$508,$CJ216,$CL$9:$CL$508,"&lt;"&amp;$CL216)+COUNTIFS($CF$9:$CF$508,$CF216,$CH$9:$CH$508,$CH216,$CJ$9:$CJ$508,$CJ216,$CL$9:$CL$508,$CL216,$CN$9:$CN$508,"&lt;"&amp;$CN216)+1))</f>
        <v/>
      </c>
      <c r="CP216" s="135" t="str">
        <f aca="false">IF(ISBLANK($C216),"",IF($BZ216&lt;&gt;Constants!$B$8,$BZ216,$CF216-$CO216))</f>
        <v/>
      </c>
      <c r="CQ216" s="141"/>
      <c r="CR216" s="142"/>
      <c r="CS216" s="143" t="str">
        <f aca="false">IF(ISBLANK($C216),"",IF($BZ216=Constants!$B$12,$BY216,""))</f>
        <v/>
      </c>
      <c r="CT216" s="142" t="str">
        <f aca="false">IF(ISBLANK($C216),"",IF($BZ216&lt;&gt;Constants!$B$8,"",IF($BM216="-&gt;",2,1)))</f>
        <v/>
      </c>
      <c r="CU216" s="144" t="str">
        <f aca="false">IF(ISBLANK($C216),"",IF($BZ216&lt;&gt;Constants!$B$8,"",IF($BM216="-&gt;",$BO216,$BC216)))</f>
        <v/>
      </c>
      <c r="CV216" s="144" t="str">
        <f aca="false">IF(ISBLANK($C216),"",IF($BZ216&lt;&gt;Constants!$B$8,"",IF($BM216="-&gt;",$BP216,$BD216)))</f>
        <v/>
      </c>
      <c r="CW216" s="144" t="str">
        <f aca="false">IF(ISBLANK($C216),"",IF($BZ216&lt;&gt;Constants!$B$8,"",IF($BM216="-&gt;",$BQ216+$BR216,$BE216+$BF216)+$CD216))</f>
        <v/>
      </c>
      <c r="CX216" s="144" t="str">
        <f aca="false">IF(ISBLANK($C216),"",IF($BZ216&lt;&gt;Constants!$B$8,"",IF($BM216="-&gt;",$BS216,$BG216)+$CC216))</f>
        <v/>
      </c>
      <c r="CY216" s="145" t="str">
        <f aca="false">IF(ISBLANK($C216),"",IF($BZ216&lt;&gt;Constants!$B$8,$BZ216,$CE216))</f>
        <v/>
      </c>
      <c r="CZ216" s="146" t="str">
        <f aca="false">IF(ISBLANK($C216),"",$CA216)</f>
        <v/>
      </c>
      <c r="DA216" s="147" t="str">
        <f aca="false">IF(ISBLANK($C216),"",$CP216)</f>
        <v/>
      </c>
      <c r="DB216" s="147" t="str">
        <f aca="false">IF(ISBLANK($C216),"",$CO216)</f>
        <v/>
      </c>
      <c r="DC216" s="148" t="str">
        <f aca="false">IF(ISBLANK($C216),"",IFERROR(_xlfn.SWITCH($DB216,Constants!$B$11,COUNTA($C$9:$C$508)+2,Constants!$B$10,COUNTA($C$9:$C$508)+1,Constants!$B$9,COUNTA($C$9:$C$508)),$DB216))</f>
        <v/>
      </c>
      <c r="DD216" s="9"/>
      <c r="DE216" s="149" t="n">
        <f aca="false">IF(OR(ISNUMBER($DB216),$DB216=Constants!$B$11,$DB216=Constants!$B$9,$DB216=Constants!$B$10),1,0)</f>
        <v>0</v>
      </c>
      <c r="DF216" s="149" t="n">
        <v>208</v>
      </c>
      <c r="DG216" s="149" t="str">
        <f aca="false">IF(ISBLANK($C216),"",IF(ISNUMBER($DC216),$DC216+ROW($B216)/1000,""))</f>
        <v/>
      </c>
      <c r="DH216" s="149" t="str">
        <f aca="false">IF(ISNUMBER($DG216),RANK($DG216,$DG$9:$DG$508,1),"")</f>
        <v/>
      </c>
      <c r="DI216" s="149" t="str">
        <f aca="false">IF(ISBLANK($C216),"",$B216)</f>
        <v/>
      </c>
      <c r="DJ216" s="149" t="str">
        <f aca="false">IF(ISBLANK($C216),"",$C216)</f>
        <v/>
      </c>
      <c r="DK216" s="149" t="str">
        <f aca="false">IF(ISBLANK($C216),"",$D216)</f>
        <v/>
      </c>
      <c r="DL216" s="150" t="str">
        <f aca="false">$CZ216</f>
        <v/>
      </c>
      <c r="DM216" s="151" t="str">
        <f aca="false">$CY216</f>
        <v/>
      </c>
      <c r="DN216" s="149" t="str">
        <f aca="false">IF(ISBLANK($C216),"",$DB216)</f>
        <v/>
      </c>
      <c r="DO216" s="152" t="str">
        <f aca="false">IF($DF216&gt;$DE$8,"",VLOOKUP($DF216,$DH$9:$DN$508,7,FALSE()))</f>
        <v/>
      </c>
      <c r="DP216" s="153" t="str">
        <f aca="false">IF($DF216&gt;$DE$8,"",VLOOKUP($DF216,$DH$9:$DN$508,2,FALSE()))</f>
        <v/>
      </c>
      <c r="DQ216" s="153" t="str">
        <f aca="false">IF($DF216&gt;$DE$8,"",VLOOKUP($DF216,$DH$9:$DN$508,3,FALSE()))</f>
        <v/>
      </c>
      <c r="DR216" s="153" t="str">
        <f aca="false">IF($DF216&gt;$DE$8,"",VLOOKUP($DF216,$DH$9:$DN$508,4,FALSE()))</f>
        <v/>
      </c>
      <c r="DS216" s="153" t="str">
        <f aca="false">IF($DF216&gt;$DE$8,"",VLOOKUP($DF216,$DH$9:$DN$508,5,FALSE()))</f>
        <v/>
      </c>
      <c r="DT216" s="154" t="str">
        <f aca="false">IF($DF216&gt;$DE$8,"",VLOOKUP($DF216,$DH$9:$DN$508,6,FALSE()))</f>
        <v/>
      </c>
      <c r="DU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IF(ISBLANK($C217),"",IF(E217=Constants!$B$3,TRUE(),IF(E217=Constants!$B$4,FALSE(),TRUE())))</f>
        <v/>
      </c>
      <c r="AG217" s="135" t="str">
        <f aca="false">IF(ISBLANK($C217),"",IF(F217=Constants!$B$3,TRUE(),IF(F217=Constants!$B$4,FALSE(),TRUE())))</f>
        <v/>
      </c>
      <c r="AH217" s="135" t="str">
        <f aca="false">IF(ISBLANK($C217),"",IF(G217=Constants!$B$3,TRUE(),IF(G217=Constants!$B$4,FALSE(),TRUE())))</f>
        <v/>
      </c>
      <c r="AI217" s="135" t="str">
        <f aca="false">IF(ISBLANK($C217),"",IF(AND(ISNUMBER(H217),H217&gt;=0),H217,Constants!$B$29))</f>
        <v/>
      </c>
      <c r="AJ217" s="135" t="str">
        <f aca="false">IF(ISBLANK($C217),"",IF(I217=Constants!$B$3,TRUE(),IF(I217=Constants!$B$4,FALSE(),TRUE())))</f>
        <v/>
      </c>
      <c r="AK217" s="135" t="str">
        <f aca="false">IF(ISBLANK($C217),"",IF(J217=Constants!$B$3,TRUE(),IF(J217=Constants!$B$4,FALSE(),TRUE())))</f>
        <v/>
      </c>
      <c r="AL217" s="135" t="str">
        <f aca="false">IF(ISBLANK($C217),"",IF(K217=Constants!$B$5,TRUE(),IF(K217=Constants!$B$6,FALSE(),COUNTA(L217:P217)&gt;0)))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IF(ISBLANK($C217),"",IF(N217=Constants!$B$3,TRUE(),IF(N217=Constants!$B$4,FALSE(),TRUE())))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IF(ISBLANK($C217),"",IF(P217=Constants!$B$3,TRUE(),IF(P217=Constants!$B$4,FALSE(),FALSE())))</f>
        <v/>
      </c>
      <c r="AR217" s="135" t="str">
        <f aca="false">IF(ISBLANK($C217),"",IF(Q217=Constants!$B$3,TRUE(),IF(Q217=Constants!$B$4,FALSE(),TRUE())))</f>
        <v/>
      </c>
      <c r="AS217" s="135" t="str">
        <f aca="false">IF(ISBLANK($C217),"",IF(R217=Constants!$B$3,TRUE(),IF(R217=Constants!$B$4,FALSE(),TRUE())))</f>
        <v/>
      </c>
      <c r="AT217" s="135" t="str">
        <f aca="false">IF(ISBLANK($C217),"",IF(S217=Constants!$B$5,TRUE(),IF(S217=Constants!$B$6,FALSE(),COUNTA(T217:X217)&gt;0)))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IF(ISBLANK($C217),"",IF(V217=Constants!$B$3,TRUE(),IF(V217=Constants!$B$4,FALSE(),TRUE())))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IF(ISBLANK($C217),"",IF(X217=Constants!$B$3,TRUE(),IF(X217=Constants!$B$4,FALSE(),FALSE())))</f>
        <v/>
      </c>
      <c r="AZ217" s="135" t="str">
        <f aca="false">IF(ISBLANK($C217),"",MIN(Constants!$B$31,MAX(0,IF(ISNUMBER(Y217),Y217*60,0)+IF(ISNUMBER(Z217),Z217,0))))</f>
        <v/>
      </c>
      <c r="BA217" s="135" t="str">
        <f aca="false">IF(ISBLANK($C217),"",IF(AA217=Constants!$B$3,TRUE(),IF(AA217=Constants!$B$4,FALSE(),FALSE())))</f>
        <v/>
      </c>
      <c r="BB217" s="134" t="str">
        <f aca="false">IF(ISBLANK($C217),"",AND($AL217,OR($AM217="",$AN217="",AND($AO217,$AP217=""))))</f>
        <v/>
      </c>
      <c r="BC217" s="137" t="str">
        <f aca="false">IF($BZ217&lt;&gt;Constants!$B$8,"",IF($AL217,Constants!$B$21*$AN217+Constants!$B$22*IF($AO217,$AP217,Constants!$B$23),Constants!$B$24))</f>
        <v/>
      </c>
      <c r="BD217" s="138" t="str">
        <f aca="false">IF($BZ217&lt;&gt;Constants!$B$8,"",Constants!$B$25*ABS($AD$9-IF($AL217,$AM217,0)))</f>
        <v/>
      </c>
      <c r="BE217" s="138" t="str">
        <f aca="false">IF($BZ217&lt;&gt;Constants!$B$8,"",IF(AND($AL217,$AQ217,$AO217),Constants!$B$27,0))</f>
        <v/>
      </c>
      <c r="BF217" s="138" t="str">
        <f aca="false">IF($BZ217&lt;&gt;Constants!$B$8,"",IF($AL217,($AI217-Constants!$B$29)*Constants!$B$28,0))</f>
        <v/>
      </c>
      <c r="BG217" s="138" t="str">
        <f aca="false">IF($BZ217&lt;&gt;Constants!$B$8,"",IF($AK217,0,Constants!$B$15)+IF($AJ217,0,Constants!$B$16)+IF($AH217,0,Constants!$B$17))</f>
        <v/>
      </c>
      <c r="BH217" s="139" t="str">
        <f aca="false">IF($BZ217&lt;&gt;Constants!$B$8,"",Constants!$B$20+SUM($BC217:$BG217))</f>
        <v/>
      </c>
      <c r="BI217" s="138" t="str">
        <f aca="false">IF($BZ217&lt;&gt;Constants!$B$8,"",$BC217)</f>
        <v/>
      </c>
      <c r="BJ217" s="138" t="str">
        <f aca="false">IF($BZ217&lt;&gt;Constants!$B$8,"",$BD217)</f>
        <v/>
      </c>
      <c r="BK217" s="138" t="str">
        <f aca="false">IF($BZ217&lt;&gt;Constants!$B$8,"",IF($AL217,$AN217,""))</f>
        <v/>
      </c>
      <c r="BL217" s="140" t="str">
        <f aca="false">IF($BZ217&lt;&gt;Constants!$B$8,"",$AI217)</f>
        <v/>
      </c>
      <c r="BM217" s="135" t="str">
        <f aca="false">IF($BZ217&lt;&gt;Constants!$B$8,"",IF(OR($BT217&lt;$BH217,AND($BT217=$BH217,OR($BU217&lt;$BI217,AND($BU217=$BI217,OR($BV217&lt;$BJ217,AND($BV217=$BJ217,OR(AND(ISNUMBER($BW217),OR(NOT(ISNUMBER($BK217)),$BW217&lt;$BK217)),AND(OR(AND($BW217="",$BK217=""),AND(ISNUMBER($BW217),ISNUMBER($BK217),$BW217=$BK217)),$BX217&lt;$BL217)))))))),"-&gt;","&lt;-"))</f>
        <v/>
      </c>
      <c r="BN217" s="134" t="str">
        <f aca="false">IF(ISBLANK($C217),"",AND($AT217,OR($AU217="",$AV217="",AND($AW217,$AX217=""))))</f>
        <v/>
      </c>
      <c r="BO217" s="137" t="str">
        <f aca="false">IF($BZ217&lt;&gt;Constants!$B$8,"",IF($AT217,Constants!$B$21*$AV217+Constants!$B$22*IF($AW217,$AX217,Constants!$B$23),Constants!$B$24))</f>
        <v/>
      </c>
      <c r="BP217" s="138" t="str">
        <f aca="false">IF($BZ217&lt;&gt;Constants!$B$8,"",Constants!$B$25*ABS($AD$9-IF($AT217,$AU217,0)))</f>
        <v/>
      </c>
      <c r="BQ217" s="138" t="str">
        <f aca="false">IF($BZ217&lt;&gt;Constants!$B$8,"",IF(AND($AT217,$AY217,$AW217),Constants!$B$27,0))</f>
        <v/>
      </c>
      <c r="BR217" s="138" t="str">
        <f aca="false">IF($BZ217&lt;&gt;Constants!$B$8,"",IF($AT217,($AI217-Constants!$B$29)*Constants!$B$28,0))</f>
        <v/>
      </c>
      <c r="BS217" s="138" t="str">
        <f aca="false">IF($BZ217&lt;&gt;Constants!$B$8,"",IF($AS217,0,Constants!$B$15)+IF($AR217,0,Constants!$B$16)+IF($AH217,0,Constants!$B$17))</f>
        <v/>
      </c>
      <c r="BT217" s="139" t="str">
        <f aca="false">IF($BZ217&lt;&gt;Constants!$B$8,"",Constants!$B$20+SUM($BO217:$BS217))</f>
        <v/>
      </c>
      <c r="BU217" s="138" t="str">
        <f aca="false">IF($BZ217&lt;&gt;Constants!$B$8,"",$BO217)</f>
        <v/>
      </c>
      <c r="BV217" s="138" t="str">
        <f aca="false">IF($BZ217&lt;&gt;Constants!$B$8,"",$BP217)</f>
        <v/>
      </c>
      <c r="BW217" s="138" t="str">
        <f aca="false">IF($BZ217&lt;&gt;Constants!$B$8,"",IF($AT217,$AV217,""))</f>
        <v/>
      </c>
      <c r="BX217" s="140" t="str">
        <f aca="false">IF($BZ217&lt;&gt;Constants!$B$8,"",$AI217)</f>
        <v/>
      </c>
      <c r="BY217" s="135" t="str">
        <f aca="false">IF(ISBLANK($C217),"",IF(ISBLANK($D$7),$BY$5,IF(NOT(ISNUMBER($D$7)),$BY$6,"")))</f>
        <v/>
      </c>
      <c r="BZ217" s="135" t="str">
        <f aca="false">IF(ISBLANK($C217),"",IF($BA217,Constants!$B$11,IF(COUNTA($E217:$AA217)=0,Constants!$B$10,IF(NOT($AG217),Constants!$B$9,IF(OR($BY217&lt;&gt;"",$BB217,$BN217),Constants!$B$12,Constants!$B$8)))))</f>
        <v/>
      </c>
      <c r="CA217" s="135" t="str">
        <f aca="false">IF(ISBLANK($C217),"",IF($BZ217&lt;&gt;Constants!$B$8,$BZ217,Constants!$B$13))</f>
        <v/>
      </c>
      <c r="CB217" s="138" t="str">
        <f aca="false">IF($BZ217&lt;&gt;Constants!$B$8,"",IF($BM217="-&gt;",$BT217,$BH217))</f>
        <v/>
      </c>
      <c r="CC217" s="138" t="str">
        <f aca="false">IF($BZ217&lt;&gt;Constants!$B$8,"",IF($AF217,0,Constants!$B$18))</f>
        <v/>
      </c>
      <c r="CD217" s="138" t="str">
        <f aca="false">IF($BZ217&lt;&gt;Constants!$B$8,"",((Constants!$B$31-$AZ217)-Constants!$B$31)/Constants!$B$32)</f>
        <v/>
      </c>
      <c r="CE217" s="138" t="str">
        <f aca="false">IF(ISBLANK($C217),"",IF($BZ217&lt;&gt;Constants!$B$8,$BZ217,SUM($CB217:$CD217)))</f>
        <v/>
      </c>
      <c r="CF217" s="135" t="str">
        <f aca="false">IF(ISBLANK($C217),"",IF($BZ217&lt;&gt;Constants!$B$8,$BZ217,RANK($CE217,$CE$9:$CE$508,1)))</f>
        <v/>
      </c>
      <c r="CG217" s="138" t="str">
        <f aca="false">IF($BZ217&lt;&gt;Constants!$B$8,"",IF($BM217="-&gt;",$BU217,$BI217))</f>
        <v/>
      </c>
      <c r="CH217" s="135" t="str">
        <f aca="false">IF(ISBLANK($C217),"",IF($BZ217&lt;&gt;Constants!$B$8,$BZ217,IF(ISNUMBER($CG217),RANK($CG217,$CG$9:$CG$508,1),COUNT($CG$9:$CG$508)+1)))</f>
        <v/>
      </c>
      <c r="CI217" s="138" t="str">
        <f aca="false">IF($BZ217&lt;&gt;Constants!$B$8,"",IF($BM217="-&gt;",$BV217,$BJ217))</f>
        <v/>
      </c>
      <c r="CJ217" s="135" t="str">
        <f aca="false">IF(ISBLANK($C217),"",IF($BZ217&lt;&gt;Constants!$B$8,$BZ217,IF(ISNUMBER($CI217),RANK($CI217,$CI$9:$CI$508,1),COUNT($CI$9:$CI$508)+1)))</f>
        <v/>
      </c>
      <c r="CK217" s="138" t="str">
        <f aca="false">IF($BZ217&lt;&gt;Constants!$B$8,"",IF($BM217="-&gt;",$BW217,$BK217))</f>
        <v/>
      </c>
      <c r="CL217" s="135" t="str">
        <f aca="false">IF(ISBLANK($C217),"",IF($BZ217&lt;&gt;Constants!$B$8,$BZ217,IF(ISNUMBER($CK217),RANK($CK217,$CK$9:$CK$508,1),COUNT($CK$9:$CK$508)+1)))</f>
        <v/>
      </c>
      <c r="CM217" s="138" t="str">
        <f aca="false">IF($BZ217&lt;&gt;Constants!$B$8,"",IF(AND(NOT($AL217),NOT($AT217),$AJ217,$AK217,$AR217,$AS217),"",IF($BM217="-&gt;",$BX217,$BL217)))</f>
        <v/>
      </c>
      <c r="CN217" s="135" t="str">
        <f aca="false">IF(ISBLANK($C217),"",IF($BZ217&lt;&gt;Constants!$B$8,$BZ217,IF(ISNUMBER($CM217),RANK($CM217,$CM$9:$CM$508,1),COUNT($CM$9:$CM$508)+1)))</f>
        <v/>
      </c>
      <c r="CO217" s="135" t="str">
        <f aca="false">IF(ISBLANK($C217),"",IF($BZ217&lt;&gt;Constants!$B$8,$BZ217,COUNTIFS($CF$9:$CF$508,"&lt;"&amp;$CF217)+COUNTIFS($CF$9:$CF$508,$CF217,$CH$9:$CH$508,"&lt;"&amp;$CH217)+COUNTIFS($CF$9:$CF$508,$CF217,$CH$9:$CH$508,$CH217,$CJ$9:$CJ$508,"&lt;"&amp;$CJ217)+COUNTIFS($CF$9:$CF$508,$CF217,$CH$9:$CH$508,$CH217,$CJ$9:$CJ$508,$CJ217,$CL$9:$CL$508,"&lt;"&amp;$CL217)+COUNTIFS($CF$9:$CF$508,$CF217,$CH$9:$CH$508,$CH217,$CJ$9:$CJ$508,$CJ217,$CL$9:$CL$508,$CL217,$CN$9:$CN$508,"&lt;"&amp;$CN217)+1))</f>
        <v/>
      </c>
      <c r="CP217" s="135" t="str">
        <f aca="false">IF(ISBLANK($C217),"",IF($BZ217&lt;&gt;Constants!$B$8,$BZ217,$CF217-$CO217))</f>
        <v/>
      </c>
      <c r="CQ217" s="141"/>
      <c r="CR217" s="142"/>
      <c r="CS217" s="143" t="str">
        <f aca="false">IF(ISBLANK($C217),"",IF($BZ217=Constants!$B$12,$BY217,""))</f>
        <v/>
      </c>
      <c r="CT217" s="142" t="str">
        <f aca="false">IF(ISBLANK($C217),"",IF($BZ217&lt;&gt;Constants!$B$8,"",IF($BM217="-&gt;",2,1)))</f>
        <v/>
      </c>
      <c r="CU217" s="144" t="str">
        <f aca="false">IF(ISBLANK($C217),"",IF($BZ217&lt;&gt;Constants!$B$8,"",IF($BM217="-&gt;",$BO217,$BC217)))</f>
        <v/>
      </c>
      <c r="CV217" s="144" t="str">
        <f aca="false">IF(ISBLANK($C217),"",IF($BZ217&lt;&gt;Constants!$B$8,"",IF($BM217="-&gt;",$BP217,$BD217)))</f>
        <v/>
      </c>
      <c r="CW217" s="144" t="str">
        <f aca="false">IF(ISBLANK($C217),"",IF($BZ217&lt;&gt;Constants!$B$8,"",IF($BM217="-&gt;",$BQ217+$BR217,$BE217+$BF217)+$CD217))</f>
        <v/>
      </c>
      <c r="CX217" s="144" t="str">
        <f aca="false">IF(ISBLANK($C217),"",IF($BZ217&lt;&gt;Constants!$B$8,"",IF($BM217="-&gt;",$BS217,$BG217)+$CC217))</f>
        <v/>
      </c>
      <c r="CY217" s="145" t="str">
        <f aca="false">IF(ISBLANK($C217),"",IF($BZ217&lt;&gt;Constants!$B$8,$BZ217,$CE217))</f>
        <v/>
      </c>
      <c r="CZ217" s="146" t="str">
        <f aca="false">IF(ISBLANK($C217),"",$CA217)</f>
        <v/>
      </c>
      <c r="DA217" s="147" t="str">
        <f aca="false">IF(ISBLANK($C217),"",$CP217)</f>
        <v/>
      </c>
      <c r="DB217" s="147" t="str">
        <f aca="false">IF(ISBLANK($C217),"",$CO217)</f>
        <v/>
      </c>
      <c r="DC217" s="148" t="str">
        <f aca="false">IF(ISBLANK($C217),"",IFERROR(_xlfn.SWITCH($DB217,Constants!$B$11,COUNTA($C$9:$C$508)+2,Constants!$B$10,COUNTA($C$9:$C$508)+1,Constants!$B$9,COUNTA($C$9:$C$508)),$DB217))</f>
        <v/>
      </c>
      <c r="DD217" s="9"/>
      <c r="DE217" s="149" t="n">
        <f aca="false">IF(OR(ISNUMBER($DB217),$DB217=Constants!$B$11,$DB217=Constants!$B$9,$DB217=Constants!$B$10),1,0)</f>
        <v>0</v>
      </c>
      <c r="DF217" s="149" t="n">
        <v>209</v>
      </c>
      <c r="DG217" s="149" t="str">
        <f aca="false">IF(ISBLANK($C217),"",IF(ISNUMBER($DC217),$DC217+ROW($B217)/1000,""))</f>
        <v/>
      </c>
      <c r="DH217" s="149" t="str">
        <f aca="false">IF(ISNUMBER($DG217),RANK($DG217,$DG$9:$DG$508,1),"")</f>
        <v/>
      </c>
      <c r="DI217" s="149" t="str">
        <f aca="false">IF(ISBLANK($C217),"",$B217)</f>
        <v/>
      </c>
      <c r="DJ217" s="149" t="str">
        <f aca="false">IF(ISBLANK($C217),"",$C217)</f>
        <v/>
      </c>
      <c r="DK217" s="149" t="str">
        <f aca="false">IF(ISBLANK($C217),"",$D217)</f>
        <v/>
      </c>
      <c r="DL217" s="150" t="str">
        <f aca="false">$CZ217</f>
        <v/>
      </c>
      <c r="DM217" s="151" t="str">
        <f aca="false">$CY217</f>
        <v/>
      </c>
      <c r="DN217" s="149" t="str">
        <f aca="false">IF(ISBLANK($C217),"",$DB217)</f>
        <v/>
      </c>
      <c r="DO217" s="152" t="str">
        <f aca="false">IF($DF217&gt;$DE$8,"",VLOOKUP($DF217,$DH$9:$DN$508,7,FALSE()))</f>
        <v/>
      </c>
      <c r="DP217" s="153" t="str">
        <f aca="false">IF($DF217&gt;$DE$8,"",VLOOKUP($DF217,$DH$9:$DN$508,2,FALSE()))</f>
        <v/>
      </c>
      <c r="DQ217" s="153" t="str">
        <f aca="false">IF($DF217&gt;$DE$8,"",VLOOKUP($DF217,$DH$9:$DN$508,3,FALSE()))</f>
        <v/>
      </c>
      <c r="DR217" s="153" t="str">
        <f aca="false">IF($DF217&gt;$DE$8,"",VLOOKUP($DF217,$DH$9:$DN$508,4,FALSE()))</f>
        <v/>
      </c>
      <c r="DS217" s="153" t="str">
        <f aca="false">IF($DF217&gt;$DE$8,"",VLOOKUP($DF217,$DH$9:$DN$508,5,FALSE()))</f>
        <v/>
      </c>
      <c r="DT217" s="154" t="str">
        <f aca="false">IF($DF217&gt;$DE$8,"",VLOOKUP($DF217,$DH$9:$DN$508,6,FALSE()))</f>
        <v/>
      </c>
      <c r="DU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IF(ISBLANK($C218),"",IF(E218=Constants!$B$3,TRUE(),IF(E218=Constants!$B$4,FALSE(),TRUE())))</f>
        <v/>
      </c>
      <c r="AG218" s="135" t="str">
        <f aca="false">IF(ISBLANK($C218),"",IF(F218=Constants!$B$3,TRUE(),IF(F218=Constants!$B$4,FALSE(),TRUE())))</f>
        <v/>
      </c>
      <c r="AH218" s="135" t="str">
        <f aca="false">IF(ISBLANK($C218),"",IF(G218=Constants!$B$3,TRUE(),IF(G218=Constants!$B$4,FALSE(),TRUE())))</f>
        <v/>
      </c>
      <c r="AI218" s="135" t="str">
        <f aca="false">IF(ISBLANK($C218),"",IF(AND(ISNUMBER(H218),H218&gt;=0),H218,Constants!$B$29))</f>
        <v/>
      </c>
      <c r="AJ218" s="135" t="str">
        <f aca="false">IF(ISBLANK($C218),"",IF(I218=Constants!$B$3,TRUE(),IF(I218=Constants!$B$4,FALSE(),TRUE())))</f>
        <v/>
      </c>
      <c r="AK218" s="135" t="str">
        <f aca="false">IF(ISBLANK($C218),"",IF(J218=Constants!$B$3,TRUE(),IF(J218=Constants!$B$4,FALSE(),TRUE())))</f>
        <v/>
      </c>
      <c r="AL218" s="135" t="str">
        <f aca="false">IF(ISBLANK($C218),"",IF(K218=Constants!$B$5,TRUE(),IF(K218=Constants!$B$6,FALSE(),COUNTA(L218:P218)&gt;0)))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IF(ISBLANK($C218),"",IF(N218=Constants!$B$3,TRUE(),IF(N218=Constants!$B$4,FALSE(),TRUE())))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IF(ISBLANK($C218),"",IF(P218=Constants!$B$3,TRUE(),IF(P218=Constants!$B$4,FALSE(),FALSE())))</f>
        <v/>
      </c>
      <c r="AR218" s="135" t="str">
        <f aca="false">IF(ISBLANK($C218),"",IF(Q218=Constants!$B$3,TRUE(),IF(Q218=Constants!$B$4,FALSE(),TRUE())))</f>
        <v/>
      </c>
      <c r="AS218" s="135" t="str">
        <f aca="false">IF(ISBLANK($C218),"",IF(R218=Constants!$B$3,TRUE(),IF(R218=Constants!$B$4,FALSE(),TRUE())))</f>
        <v/>
      </c>
      <c r="AT218" s="135" t="str">
        <f aca="false">IF(ISBLANK($C218),"",IF(S218=Constants!$B$5,TRUE(),IF(S218=Constants!$B$6,FALSE(),COUNTA(T218:X218)&gt;0)))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IF(ISBLANK($C218),"",IF(V218=Constants!$B$3,TRUE(),IF(V218=Constants!$B$4,FALSE(),TRUE())))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IF(ISBLANK($C218),"",IF(X218=Constants!$B$3,TRUE(),IF(X218=Constants!$B$4,FALSE(),FALSE())))</f>
        <v/>
      </c>
      <c r="AZ218" s="135" t="str">
        <f aca="false">IF(ISBLANK($C218),"",MIN(Constants!$B$31,MAX(0,IF(ISNUMBER(Y218),Y218*60,0)+IF(ISNUMBER(Z218),Z218,0))))</f>
        <v/>
      </c>
      <c r="BA218" s="135" t="str">
        <f aca="false">IF(ISBLANK($C218),"",IF(AA218=Constants!$B$3,TRUE(),IF(AA218=Constants!$B$4,FALSE(),FALSE())))</f>
        <v/>
      </c>
      <c r="BB218" s="134" t="str">
        <f aca="false">IF(ISBLANK($C218),"",AND($AL218,OR($AM218="",$AN218="",AND($AO218,$AP218=""))))</f>
        <v/>
      </c>
      <c r="BC218" s="137" t="str">
        <f aca="false">IF($BZ218&lt;&gt;Constants!$B$8,"",IF($AL218,Constants!$B$21*$AN218+Constants!$B$22*IF($AO218,$AP218,Constants!$B$23),Constants!$B$24))</f>
        <v/>
      </c>
      <c r="BD218" s="138" t="str">
        <f aca="false">IF($BZ218&lt;&gt;Constants!$B$8,"",Constants!$B$25*ABS($AD$9-IF($AL218,$AM218,0)))</f>
        <v/>
      </c>
      <c r="BE218" s="138" t="str">
        <f aca="false">IF($BZ218&lt;&gt;Constants!$B$8,"",IF(AND($AL218,$AQ218,$AO218),Constants!$B$27,0))</f>
        <v/>
      </c>
      <c r="BF218" s="138" t="str">
        <f aca="false">IF($BZ218&lt;&gt;Constants!$B$8,"",IF($AL218,($AI218-Constants!$B$29)*Constants!$B$28,0))</f>
        <v/>
      </c>
      <c r="BG218" s="138" t="str">
        <f aca="false">IF($BZ218&lt;&gt;Constants!$B$8,"",IF($AK218,0,Constants!$B$15)+IF($AJ218,0,Constants!$B$16)+IF($AH218,0,Constants!$B$17))</f>
        <v/>
      </c>
      <c r="BH218" s="139" t="str">
        <f aca="false">IF($BZ218&lt;&gt;Constants!$B$8,"",Constants!$B$20+SUM($BC218:$BG218))</f>
        <v/>
      </c>
      <c r="BI218" s="138" t="str">
        <f aca="false">IF($BZ218&lt;&gt;Constants!$B$8,"",$BC218)</f>
        <v/>
      </c>
      <c r="BJ218" s="138" t="str">
        <f aca="false">IF($BZ218&lt;&gt;Constants!$B$8,"",$BD218)</f>
        <v/>
      </c>
      <c r="BK218" s="138" t="str">
        <f aca="false">IF($BZ218&lt;&gt;Constants!$B$8,"",IF($AL218,$AN218,""))</f>
        <v/>
      </c>
      <c r="BL218" s="140" t="str">
        <f aca="false">IF($BZ218&lt;&gt;Constants!$B$8,"",$AI218)</f>
        <v/>
      </c>
      <c r="BM218" s="135" t="str">
        <f aca="false">IF($BZ218&lt;&gt;Constants!$B$8,"",IF(OR($BT218&lt;$BH218,AND($BT218=$BH218,OR($BU218&lt;$BI218,AND($BU218=$BI218,OR($BV218&lt;$BJ218,AND($BV218=$BJ218,OR(AND(ISNUMBER($BW218),OR(NOT(ISNUMBER($BK218)),$BW218&lt;$BK218)),AND(OR(AND($BW218="",$BK218=""),AND(ISNUMBER($BW218),ISNUMBER($BK218),$BW218=$BK218)),$BX218&lt;$BL218)))))))),"-&gt;","&lt;-"))</f>
        <v/>
      </c>
      <c r="BN218" s="134" t="str">
        <f aca="false">IF(ISBLANK($C218),"",AND($AT218,OR($AU218="",$AV218="",AND($AW218,$AX218=""))))</f>
        <v/>
      </c>
      <c r="BO218" s="137" t="str">
        <f aca="false">IF($BZ218&lt;&gt;Constants!$B$8,"",IF($AT218,Constants!$B$21*$AV218+Constants!$B$22*IF($AW218,$AX218,Constants!$B$23),Constants!$B$24))</f>
        <v/>
      </c>
      <c r="BP218" s="138" t="str">
        <f aca="false">IF($BZ218&lt;&gt;Constants!$B$8,"",Constants!$B$25*ABS($AD$9-IF($AT218,$AU218,0)))</f>
        <v/>
      </c>
      <c r="BQ218" s="138" t="str">
        <f aca="false">IF($BZ218&lt;&gt;Constants!$B$8,"",IF(AND($AT218,$AY218,$AW218),Constants!$B$27,0))</f>
        <v/>
      </c>
      <c r="BR218" s="138" t="str">
        <f aca="false">IF($BZ218&lt;&gt;Constants!$B$8,"",IF($AT218,($AI218-Constants!$B$29)*Constants!$B$28,0))</f>
        <v/>
      </c>
      <c r="BS218" s="138" t="str">
        <f aca="false">IF($BZ218&lt;&gt;Constants!$B$8,"",IF($AS218,0,Constants!$B$15)+IF($AR218,0,Constants!$B$16)+IF($AH218,0,Constants!$B$17))</f>
        <v/>
      </c>
      <c r="BT218" s="139" t="str">
        <f aca="false">IF($BZ218&lt;&gt;Constants!$B$8,"",Constants!$B$20+SUM($BO218:$BS218))</f>
        <v/>
      </c>
      <c r="BU218" s="138" t="str">
        <f aca="false">IF($BZ218&lt;&gt;Constants!$B$8,"",$BO218)</f>
        <v/>
      </c>
      <c r="BV218" s="138" t="str">
        <f aca="false">IF($BZ218&lt;&gt;Constants!$B$8,"",$BP218)</f>
        <v/>
      </c>
      <c r="BW218" s="138" t="str">
        <f aca="false">IF($BZ218&lt;&gt;Constants!$B$8,"",IF($AT218,$AV218,""))</f>
        <v/>
      </c>
      <c r="BX218" s="140" t="str">
        <f aca="false">IF($BZ218&lt;&gt;Constants!$B$8,"",$AI218)</f>
        <v/>
      </c>
      <c r="BY218" s="135" t="str">
        <f aca="false">IF(ISBLANK($C218),"",IF(ISBLANK($D$7),$BY$5,IF(NOT(ISNUMBER($D$7)),$BY$6,"")))</f>
        <v/>
      </c>
      <c r="BZ218" s="135" t="str">
        <f aca="false">IF(ISBLANK($C218),"",IF($BA218,Constants!$B$11,IF(COUNTA($E218:$AA218)=0,Constants!$B$10,IF(NOT($AG218),Constants!$B$9,IF(OR($BY218&lt;&gt;"",$BB218,$BN218),Constants!$B$12,Constants!$B$8)))))</f>
        <v/>
      </c>
      <c r="CA218" s="135" t="str">
        <f aca="false">IF(ISBLANK($C218),"",IF($BZ218&lt;&gt;Constants!$B$8,$BZ218,Constants!$B$13))</f>
        <v/>
      </c>
      <c r="CB218" s="138" t="str">
        <f aca="false">IF($BZ218&lt;&gt;Constants!$B$8,"",IF($BM218="-&gt;",$BT218,$BH218))</f>
        <v/>
      </c>
      <c r="CC218" s="138" t="str">
        <f aca="false">IF($BZ218&lt;&gt;Constants!$B$8,"",IF($AF218,0,Constants!$B$18))</f>
        <v/>
      </c>
      <c r="CD218" s="138" t="str">
        <f aca="false">IF($BZ218&lt;&gt;Constants!$B$8,"",((Constants!$B$31-$AZ218)-Constants!$B$31)/Constants!$B$32)</f>
        <v/>
      </c>
      <c r="CE218" s="138" t="str">
        <f aca="false">IF(ISBLANK($C218),"",IF($BZ218&lt;&gt;Constants!$B$8,$BZ218,SUM($CB218:$CD218)))</f>
        <v/>
      </c>
      <c r="CF218" s="135" t="str">
        <f aca="false">IF(ISBLANK($C218),"",IF($BZ218&lt;&gt;Constants!$B$8,$BZ218,RANK($CE218,$CE$9:$CE$508,1)))</f>
        <v/>
      </c>
      <c r="CG218" s="138" t="str">
        <f aca="false">IF($BZ218&lt;&gt;Constants!$B$8,"",IF($BM218="-&gt;",$BU218,$BI218))</f>
        <v/>
      </c>
      <c r="CH218" s="135" t="str">
        <f aca="false">IF(ISBLANK($C218),"",IF($BZ218&lt;&gt;Constants!$B$8,$BZ218,IF(ISNUMBER($CG218),RANK($CG218,$CG$9:$CG$508,1),COUNT($CG$9:$CG$508)+1)))</f>
        <v/>
      </c>
      <c r="CI218" s="138" t="str">
        <f aca="false">IF($BZ218&lt;&gt;Constants!$B$8,"",IF($BM218="-&gt;",$BV218,$BJ218))</f>
        <v/>
      </c>
      <c r="CJ218" s="135" t="str">
        <f aca="false">IF(ISBLANK($C218),"",IF($BZ218&lt;&gt;Constants!$B$8,$BZ218,IF(ISNUMBER($CI218),RANK($CI218,$CI$9:$CI$508,1),COUNT($CI$9:$CI$508)+1)))</f>
        <v/>
      </c>
      <c r="CK218" s="138" t="str">
        <f aca="false">IF($BZ218&lt;&gt;Constants!$B$8,"",IF($BM218="-&gt;",$BW218,$BK218))</f>
        <v/>
      </c>
      <c r="CL218" s="135" t="str">
        <f aca="false">IF(ISBLANK($C218),"",IF($BZ218&lt;&gt;Constants!$B$8,$BZ218,IF(ISNUMBER($CK218),RANK($CK218,$CK$9:$CK$508,1),COUNT($CK$9:$CK$508)+1)))</f>
        <v/>
      </c>
      <c r="CM218" s="138" t="str">
        <f aca="false">IF($BZ218&lt;&gt;Constants!$B$8,"",IF(AND(NOT($AL218),NOT($AT218),$AJ218,$AK218,$AR218,$AS218),"",IF($BM218="-&gt;",$BX218,$BL218)))</f>
        <v/>
      </c>
      <c r="CN218" s="135" t="str">
        <f aca="false">IF(ISBLANK($C218),"",IF($BZ218&lt;&gt;Constants!$B$8,$BZ218,IF(ISNUMBER($CM218),RANK($CM218,$CM$9:$CM$508,1),COUNT($CM$9:$CM$508)+1)))</f>
        <v/>
      </c>
      <c r="CO218" s="135" t="str">
        <f aca="false">IF(ISBLANK($C218),"",IF($BZ218&lt;&gt;Constants!$B$8,$BZ218,COUNTIFS($CF$9:$CF$508,"&lt;"&amp;$CF218)+COUNTIFS($CF$9:$CF$508,$CF218,$CH$9:$CH$508,"&lt;"&amp;$CH218)+COUNTIFS($CF$9:$CF$508,$CF218,$CH$9:$CH$508,$CH218,$CJ$9:$CJ$508,"&lt;"&amp;$CJ218)+COUNTIFS($CF$9:$CF$508,$CF218,$CH$9:$CH$508,$CH218,$CJ$9:$CJ$508,$CJ218,$CL$9:$CL$508,"&lt;"&amp;$CL218)+COUNTIFS($CF$9:$CF$508,$CF218,$CH$9:$CH$508,$CH218,$CJ$9:$CJ$508,$CJ218,$CL$9:$CL$508,$CL218,$CN$9:$CN$508,"&lt;"&amp;$CN218)+1))</f>
        <v/>
      </c>
      <c r="CP218" s="135" t="str">
        <f aca="false">IF(ISBLANK($C218),"",IF($BZ218&lt;&gt;Constants!$B$8,$BZ218,$CF218-$CO218))</f>
        <v/>
      </c>
      <c r="CQ218" s="141"/>
      <c r="CR218" s="142"/>
      <c r="CS218" s="143" t="str">
        <f aca="false">IF(ISBLANK($C218),"",IF($BZ218=Constants!$B$12,$BY218,""))</f>
        <v/>
      </c>
      <c r="CT218" s="142" t="str">
        <f aca="false">IF(ISBLANK($C218),"",IF($BZ218&lt;&gt;Constants!$B$8,"",IF($BM218="-&gt;",2,1)))</f>
        <v/>
      </c>
      <c r="CU218" s="144" t="str">
        <f aca="false">IF(ISBLANK($C218),"",IF($BZ218&lt;&gt;Constants!$B$8,"",IF($BM218="-&gt;",$BO218,$BC218)))</f>
        <v/>
      </c>
      <c r="CV218" s="144" t="str">
        <f aca="false">IF(ISBLANK($C218),"",IF($BZ218&lt;&gt;Constants!$B$8,"",IF($BM218="-&gt;",$BP218,$BD218)))</f>
        <v/>
      </c>
      <c r="CW218" s="144" t="str">
        <f aca="false">IF(ISBLANK($C218),"",IF($BZ218&lt;&gt;Constants!$B$8,"",IF($BM218="-&gt;",$BQ218+$BR218,$BE218+$BF218)+$CD218))</f>
        <v/>
      </c>
      <c r="CX218" s="144" t="str">
        <f aca="false">IF(ISBLANK($C218),"",IF($BZ218&lt;&gt;Constants!$B$8,"",IF($BM218="-&gt;",$BS218,$BG218)+$CC218))</f>
        <v/>
      </c>
      <c r="CY218" s="145" t="str">
        <f aca="false">IF(ISBLANK($C218),"",IF($BZ218&lt;&gt;Constants!$B$8,$BZ218,$CE218))</f>
        <v/>
      </c>
      <c r="CZ218" s="146" t="str">
        <f aca="false">IF(ISBLANK($C218),"",$CA218)</f>
        <v/>
      </c>
      <c r="DA218" s="147" t="str">
        <f aca="false">IF(ISBLANK($C218),"",$CP218)</f>
        <v/>
      </c>
      <c r="DB218" s="147" t="str">
        <f aca="false">IF(ISBLANK($C218),"",$CO218)</f>
        <v/>
      </c>
      <c r="DC218" s="148" t="str">
        <f aca="false">IF(ISBLANK($C218),"",IFERROR(_xlfn.SWITCH($DB218,Constants!$B$11,COUNTA($C$9:$C$508)+2,Constants!$B$10,COUNTA($C$9:$C$508)+1,Constants!$B$9,COUNTA($C$9:$C$508)),$DB218))</f>
        <v/>
      </c>
      <c r="DD218" s="9"/>
      <c r="DE218" s="149" t="n">
        <f aca="false">IF(OR(ISNUMBER($DB218),$DB218=Constants!$B$11,$DB218=Constants!$B$9,$DB218=Constants!$B$10),1,0)</f>
        <v>0</v>
      </c>
      <c r="DF218" s="149" t="n">
        <v>210</v>
      </c>
      <c r="DG218" s="149" t="str">
        <f aca="false">IF(ISBLANK($C218),"",IF(ISNUMBER($DC218),$DC218+ROW($B218)/1000,""))</f>
        <v/>
      </c>
      <c r="DH218" s="149" t="str">
        <f aca="false">IF(ISNUMBER($DG218),RANK($DG218,$DG$9:$DG$508,1),"")</f>
        <v/>
      </c>
      <c r="DI218" s="149" t="str">
        <f aca="false">IF(ISBLANK($C218),"",$B218)</f>
        <v/>
      </c>
      <c r="DJ218" s="149" t="str">
        <f aca="false">IF(ISBLANK($C218),"",$C218)</f>
        <v/>
      </c>
      <c r="DK218" s="149" t="str">
        <f aca="false">IF(ISBLANK($C218),"",$D218)</f>
        <v/>
      </c>
      <c r="DL218" s="150" t="str">
        <f aca="false">$CZ218</f>
        <v/>
      </c>
      <c r="DM218" s="151" t="str">
        <f aca="false">$CY218</f>
        <v/>
      </c>
      <c r="DN218" s="149" t="str">
        <f aca="false">IF(ISBLANK($C218),"",$DB218)</f>
        <v/>
      </c>
      <c r="DO218" s="152" t="str">
        <f aca="false">IF($DF218&gt;$DE$8,"",VLOOKUP($DF218,$DH$9:$DN$508,7,FALSE()))</f>
        <v/>
      </c>
      <c r="DP218" s="153" t="str">
        <f aca="false">IF($DF218&gt;$DE$8,"",VLOOKUP($DF218,$DH$9:$DN$508,2,FALSE()))</f>
        <v/>
      </c>
      <c r="DQ218" s="153" t="str">
        <f aca="false">IF($DF218&gt;$DE$8,"",VLOOKUP($DF218,$DH$9:$DN$508,3,FALSE()))</f>
        <v/>
      </c>
      <c r="DR218" s="153" t="str">
        <f aca="false">IF($DF218&gt;$DE$8,"",VLOOKUP($DF218,$DH$9:$DN$508,4,FALSE()))</f>
        <v/>
      </c>
      <c r="DS218" s="153" t="str">
        <f aca="false">IF($DF218&gt;$DE$8,"",VLOOKUP($DF218,$DH$9:$DN$508,5,FALSE()))</f>
        <v/>
      </c>
      <c r="DT218" s="154" t="str">
        <f aca="false">IF($DF218&gt;$DE$8,"",VLOOKUP($DF218,$DH$9:$DN$508,6,FALSE()))</f>
        <v/>
      </c>
      <c r="DU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IF(ISBLANK($C219),"",IF(E219=Constants!$B$3,TRUE(),IF(E219=Constants!$B$4,FALSE(),TRUE())))</f>
        <v/>
      </c>
      <c r="AG219" s="93" t="str">
        <f aca="false">IF(ISBLANK($C219),"",IF(F219=Constants!$B$3,TRUE(),IF(F219=Constants!$B$4,FALSE(),TRUE())))</f>
        <v/>
      </c>
      <c r="AH219" s="93" t="str">
        <f aca="false">IF(ISBLANK($C219),"",IF(G219=Constants!$B$3,TRUE(),IF(G219=Constants!$B$4,FALSE(),TRUE())))</f>
        <v/>
      </c>
      <c r="AI219" s="93" t="str">
        <f aca="false">IF(ISBLANK($C219),"",IF(AND(ISNUMBER(H219),H219&gt;=0),H219,Constants!$B$29))</f>
        <v/>
      </c>
      <c r="AJ219" s="93" t="str">
        <f aca="false">IF(ISBLANK($C219),"",IF(I219=Constants!$B$3,TRUE(),IF(I219=Constants!$B$4,FALSE(),TRUE())))</f>
        <v/>
      </c>
      <c r="AK219" s="93" t="str">
        <f aca="false">IF(ISBLANK($C219),"",IF(J219=Constants!$B$3,TRUE(),IF(J219=Constants!$B$4,FALSE(),TRUE())))</f>
        <v/>
      </c>
      <c r="AL219" s="93" t="str">
        <f aca="false">IF(ISBLANK($C219),"",IF(K219=Constants!$B$5,TRUE(),IF(K219=Constants!$B$6,FALSE(),COUNTA(L219:P219)&gt;0)))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IF(ISBLANK($C219),"",IF(N219=Constants!$B$3,TRUE(),IF(N219=Constants!$B$4,FALSE(),TRUE())))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IF(ISBLANK($C219),"",IF(P219=Constants!$B$3,TRUE(),IF(P219=Constants!$B$4,FALSE(),FALSE())))</f>
        <v/>
      </c>
      <c r="AR219" s="93" t="str">
        <f aca="false">IF(ISBLANK($C219),"",IF(Q219=Constants!$B$3,TRUE(),IF(Q219=Constants!$B$4,FALSE(),TRUE())))</f>
        <v/>
      </c>
      <c r="AS219" s="93" t="str">
        <f aca="false">IF(ISBLANK($C219),"",IF(R219=Constants!$B$3,TRUE(),IF(R219=Constants!$B$4,FALSE(),TRUE())))</f>
        <v/>
      </c>
      <c r="AT219" s="93" t="str">
        <f aca="false">IF(ISBLANK($C219),"",IF(S219=Constants!$B$5,TRUE(),IF(S219=Constants!$B$6,FALSE(),COUNTA(T219:X219)&gt;0)))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IF(ISBLANK($C219),"",IF(V219=Constants!$B$3,TRUE(),IF(V219=Constants!$B$4,FALSE(),TRUE())))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IF(ISBLANK($C219),"",IF(X219=Constants!$B$3,TRUE(),IF(X219=Constants!$B$4,FALSE(),FALSE())))</f>
        <v/>
      </c>
      <c r="AZ219" s="93" t="str">
        <f aca="false">IF(ISBLANK($C219),"",MIN(Constants!$B$31,MAX(0,IF(ISNUMBER(Y219),Y219*60,0)+IF(ISNUMBER(Z219),Z219,0))))</f>
        <v/>
      </c>
      <c r="BA219" s="93" t="str">
        <f aca="false">IF(ISBLANK($C219),"",IF(AA219=Constants!$B$3,TRUE(),IF(AA219=Constants!$B$4,FALSE(),FALSE())))</f>
        <v/>
      </c>
      <c r="BB219" s="92" t="str">
        <f aca="false">IF(ISBLANK($C219),"",AND($AL219,OR($AM219="",$AN219="",AND($AO219,$AP219=""))))</f>
        <v/>
      </c>
      <c r="BC219" s="94" t="str">
        <f aca="false">IF($BZ219&lt;&gt;Constants!$B$8,"",IF($AL219,Constants!$B$21*$AN219+Constants!$B$22*IF($AO219,$AP219,Constants!$B$23),Constants!$B$24))</f>
        <v/>
      </c>
      <c r="BD219" s="97" t="str">
        <f aca="false">IF($BZ219&lt;&gt;Constants!$B$8,"",Constants!$B$25*ABS($AD$9-IF($AL219,$AM219,0)))</f>
        <v/>
      </c>
      <c r="BE219" s="97" t="str">
        <f aca="false">IF($BZ219&lt;&gt;Constants!$B$8,"",IF(AND($AL219,$AQ219,$AO219),Constants!$B$27,0))</f>
        <v/>
      </c>
      <c r="BF219" s="97" t="str">
        <f aca="false">IF($BZ219&lt;&gt;Constants!$B$8,"",IF($AL219,($AI219-Constants!$B$29)*Constants!$B$28,0))</f>
        <v/>
      </c>
      <c r="BG219" s="97" t="str">
        <f aca="false">IF($BZ219&lt;&gt;Constants!$B$8,"",IF($AK219,0,Constants!$B$15)+IF($AJ219,0,Constants!$B$16)+IF($AH219,0,Constants!$B$17))</f>
        <v/>
      </c>
      <c r="BH219" s="98" t="str">
        <f aca="false">IF($BZ219&lt;&gt;Constants!$B$8,"",Constants!$B$20+SUM($BC219:$BG219))</f>
        <v/>
      </c>
      <c r="BI219" s="97" t="str">
        <f aca="false">IF($BZ219&lt;&gt;Constants!$B$8,"",$BC219)</f>
        <v/>
      </c>
      <c r="BJ219" s="97" t="str">
        <f aca="false">IF($BZ219&lt;&gt;Constants!$B$8,"",$BD219)</f>
        <v/>
      </c>
      <c r="BK219" s="97" t="str">
        <f aca="false">IF($BZ219&lt;&gt;Constants!$B$8,"",IF($AL219,$AN219,""))</f>
        <v/>
      </c>
      <c r="BL219" s="99" t="str">
        <f aca="false">IF($BZ219&lt;&gt;Constants!$B$8,"",$AI219)</f>
        <v/>
      </c>
      <c r="BM219" s="93" t="str">
        <f aca="false">IF($BZ219&lt;&gt;Constants!$B$8,"",IF(OR($BT219&lt;$BH219,AND($BT219=$BH219,OR($BU219&lt;$BI219,AND($BU219=$BI219,OR($BV219&lt;$BJ219,AND($BV219=$BJ219,OR(AND(ISNUMBER($BW219),OR(NOT(ISNUMBER($BK219)),$BW219&lt;$BK219)),AND(OR(AND($BW219="",$BK219=""),AND(ISNUMBER($BW219),ISNUMBER($BK219),$BW219=$BK219)),$BX219&lt;$BL219)))))))),"-&gt;","&lt;-"))</f>
        <v/>
      </c>
      <c r="BN219" s="92" t="str">
        <f aca="false">IF(ISBLANK($C219),"",AND($AT219,OR($AU219="",$AV219="",AND($AW219,$AX219=""))))</f>
        <v/>
      </c>
      <c r="BO219" s="94" t="str">
        <f aca="false">IF($BZ219&lt;&gt;Constants!$B$8,"",IF($AT219,Constants!$B$21*$AV219+Constants!$B$22*IF($AW219,$AX219,Constants!$B$23),Constants!$B$24))</f>
        <v/>
      </c>
      <c r="BP219" s="97" t="str">
        <f aca="false">IF($BZ219&lt;&gt;Constants!$B$8,"",Constants!$B$25*ABS($AD$9-IF($AT219,$AU219,0)))</f>
        <v/>
      </c>
      <c r="BQ219" s="97" t="str">
        <f aca="false">IF($BZ219&lt;&gt;Constants!$B$8,"",IF(AND($AT219,$AY219,$AW219),Constants!$B$27,0))</f>
        <v/>
      </c>
      <c r="BR219" s="97" t="str">
        <f aca="false">IF($BZ219&lt;&gt;Constants!$B$8,"",IF($AT219,($AI219-Constants!$B$29)*Constants!$B$28,0))</f>
        <v/>
      </c>
      <c r="BS219" s="97" t="str">
        <f aca="false">IF($BZ219&lt;&gt;Constants!$B$8,"",IF($AS219,0,Constants!$B$15)+IF($AR219,0,Constants!$B$16)+IF($AH219,0,Constants!$B$17))</f>
        <v/>
      </c>
      <c r="BT219" s="98" t="str">
        <f aca="false">IF($BZ219&lt;&gt;Constants!$B$8,"",Constants!$B$20+SUM($BO219:$BS219))</f>
        <v/>
      </c>
      <c r="BU219" s="97" t="str">
        <f aca="false">IF($BZ219&lt;&gt;Constants!$B$8,"",$BO219)</f>
        <v/>
      </c>
      <c r="BV219" s="97" t="str">
        <f aca="false">IF($BZ219&lt;&gt;Constants!$B$8,"",$BP219)</f>
        <v/>
      </c>
      <c r="BW219" s="97" t="str">
        <f aca="false">IF($BZ219&lt;&gt;Constants!$B$8,"",IF($AT219,$AV219,""))</f>
        <v/>
      </c>
      <c r="BX219" s="99" t="str">
        <f aca="false">IF($BZ219&lt;&gt;Constants!$B$8,"",$AI219)</f>
        <v/>
      </c>
      <c r="BY219" s="93" t="str">
        <f aca="false">IF(ISBLANK($C219),"",IF(ISBLANK($D$7),$BY$5,IF(NOT(ISNUMBER($D$7)),$BY$6,"")))</f>
        <v/>
      </c>
      <c r="BZ219" s="93" t="str">
        <f aca="false">IF(ISBLANK($C219),"",IF($BA219,Constants!$B$11,IF(COUNTA($E219:$AA219)=0,Constants!$B$10,IF(NOT($AG219),Constants!$B$9,IF(OR($BY219&lt;&gt;"",$BB219,$BN219),Constants!$B$12,Constants!$B$8)))))</f>
        <v/>
      </c>
      <c r="CA219" s="93" t="str">
        <f aca="false">IF(ISBLANK($C219),"",IF($BZ219&lt;&gt;Constants!$B$8,$BZ219,Constants!$B$13))</f>
        <v/>
      </c>
      <c r="CB219" s="97" t="str">
        <f aca="false">IF($BZ219&lt;&gt;Constants!$B$8,"",IF($BM219="-&gt;",$BT219,$BH219))</f>
        <v/>
      </c>
      <c r="CC219" s="97" t="str">
        <f aca="false">IF($BZ219&lt;&gt;Constants!$B$8,"",IF($AF219,0,Constants!$B$18))</f>
        <v/>
      </c>
      <c r="CD219" s="97" t="str">
        <f aca="false">IF($BZ219&lt;&gt;Constants!$B$8,"",((Constants!$B$31-$AZ219)-Constants!$B$31)/Constants!$B$32)</f>
        <v/>
      </c>
      <c r="CE219" s="97" t="str">
        <f aca="false">IF(ISBLANK($C219),"",IF($BZ219&lt;&gt;Constants!$B$8,$BZ219,SUM($CB219:$CD219)))</f>
        <v/>
      </c>
      <c r="CF219" s="93" t="str">
        <f aca="false">IF(ISBLANK($C219),"",IF($BZ219&lt;&gt;Constants!$B$8,$BZ219,RANK($CE219,$CE$9:$CE$508,1)))</f>
        <v/>
      </c>
      <c r="CG219" s="97" t="str">
        <f aca="false">IF($BZ219&lt;&gt;Constants!$B$8,"",IF($BM219="-&gt;",$BU219,$BI219))</f>
        <v/>
      </c>
      <c r="CH219" s="93" t="str">
        <f aca="false">IF(ISBLANK($C219),"",IF($BZ219&lt;&gt;Constants!$B$8,$BZ219,IF(ISNUMBER($CG219),RANK($CG219,$CG$9:$CG$508,1),COUNT($CG$9:$CG$508)+1)))</f>
        <v/>
      </c>
      <c r="CI219" s="97" t="str">
        <f aca="false">IF($BZ219&lt;&gt;Constants!$B$8,"",IF($BM219="-&gt;",$BV219,$BJ219))</f>
        <v/>
      </c>
      <c r="CJ219" s="93" t="str">
        <f aca="false">IF(ISBLANK($C219),"",IF($BZ219&lt;&gt;Constants!$B$8,$BZ219,IF(ISNUMBER($CI219),RANK($CI219,$CI$9:$CI$508,1),COUNT($CI$9:$CI$508)+1)))</f>
        <v/>
      </c>
      <c r="CK219" s="97" t="str">
        <f aca="false">IF($BZ219&lt;&gt;Constants!$B$8,"",IF($BM219="-&gt;",$BW219,$BK219))</f>
        <v/>
      </c>
      <c r="CL219" s="93" t="str">
        <f aca="false">IF(ISBLANK($C219),"",IF($BZ219&lt;&gt;Constants!$B$8,$BZ219,IF(ISNUMBER($CK219),RANK($CK219,$CK$9:$CK$508,1),COUNT($CK$9:$CK$508)+1)))</f>
        <v/>
      </c>
      <c r="CM219" s="97" t="str">
        <f aca="false">IF($BZ219&lt;&gt;Constants!$B$8,"",IF(AND(NOT($AL219),NOT($AT219),$AJ219,$AK219,$AR219,$AS219),"",IF($BM219="-&gt;",$BX219,$BL219)))</f>
        <v/>
      </c>
      <c r="CN219" s="93" t="str">
        <f aca="false">IF(ISBLANK($C219),"",IF($BZ219&lt;&gt;Constants!$B$8,$BZ219,IF(ISNUMBER($CM219),RANK($CM219,$CM$9:$CM$508,1),COUNT($CM$9:$CM$508)+1)))</f>
        <v/>
      </c>
      <c r="CO219" s="93" t="str">
        <f aca="false">IF(ISBLANK($C219),"",IF($BZ219&lt;&gt;Constants!$B$8,$BZ219,COUNTIFS($CF$9:$CF$508,"&lt;"&amp;$CF219)+COUNTIFS($CF$9:$CF$508,$CF219,$CH$9:$CH$508,"&lt;"&amp;$CH219)+COUNTIFS($CF$9:$CF$508,$CF219,$CH$9:$CH$508,$CH219,$CJ$9:$CJ$508,"&lt;"&amp;$CJ219)+COUNTIFS($CF$9:$CF$508,$CF219,$CH$9:$CH$508,$CH219,$CJ$9:$CJ$508,$CJ219,$CL$9:$CL$508,"&lt;"&amp;$CL219)+COUNTIFS($CF$9:$CF$508,$CF219,$CH$9:$CH$508,$CH219,$CJ$9:$CJ$508,$CJ219,$CL$9:$CL$508,$CL219,$CN$9:$CN$508,"&lt;"&amp;$CN219)+1))</f>
        <v/>
      </c>
      <c r="CP219" s="93" t="str">
        <f aca="false">IF(ISBLANK($C219),"",IF($BZ219&lt;&gt;Constants!$B$8,$BZ219,$CF219-$CO219))</f>
        <v/>
      </c>
      <c r="CQ219" s="100"/>
      <c r="CR219" s="101"/>
      <c r="CS219" s="102" t="str">
        <f aca="false">IF(ISBLANK($C219),"",IF($BZ219=Constants!$B$12,$BY219,""))</f>
        <v/>
      </c>
      <c r="CT219" s="101" t="str">
        <f aca="false">IF(ISBLANK($C219),"",IF($BZ219&lt;&gt;Constants!$B$8,"",IF($BM219="-&gt;",2,1)))</f>
        <v/>
      </c>
      <c r="CU219" s="103" t="str">
        <f aca="false">IF(ISBLANK($C219),"",IF($BZ219&lt;&gt;Constants!$B$8,"",IF($BM219="-&gt;",$BO219,$BC219)))</f>
        <v/>
      </c>
      <c r="CV219" s="103" t="str">
        <f aca="false">IF(ISBLANK($C219),"",IF($BZ219&lt;&gt;Constants!$B$8,"",IF($BM219="-&gt;",$BP219,$BD219)))</f>
        <v/>
      </c>
      <c r="CW219" s="103" t="str">
        <f aca="false">IF(ISBLANK($C219),"",IF($BZ219&lt;&gt;Constants!$B$8,"",IF($BM219="-&gt;",$BQ219+$BR219,$BE219+$BF219)+$CD219))</f>
        <v/>
      </c>
      <c r="CX219" s="103" t="str">
        <f aca="false">IF(ISBLANK($C219),"",IF($BZ219&lt;&gt;Constants!$B$8,"",IF($BM219="-&gt;",$BS219,$BG219)+$CC219))</f>
        <v/>
      </c>
      <c r="CY219" s="104" t="str">
        <f aca="false">IF(ISBLANK($C219),"",IF($BZ219&lt;&gt;Constants!$B$8,$BZ219,$CE219))</f>
        <v/>
      </c>
      <c r="CZ219" s="105" t="str">
        <f aca="false">IF(ISBLANK($C219),"",$CA219)</f>
        <v/>
      </c>
      <c r="DA219" s="106" t="str">
        <f aca="false">IF(ISBLANK($C219),"",$CP219)</f>
        <v/>
      </c>
      <c r="DB219" s="106" t="str">
        <f aca="false">IF(ISBLANK($C219),"",$CO219)</f>
        <v/>
      </c>
      <c r="DC219" s="107" t="str">
        <f aca="false">IF(ISBLANK($C219),"",IFERROR(_xlfn.SWITCH($DB219,Constants!$B$11,COUNTA($C$9:$C$508)+2,Constants!$B$10,COUNTA($C$9:$C$508)+1,Constants!$B$9,COUNTA($C$9:$C$508)),$DB219))</f>
        <v/>
      </c>
      <c r="DD219" s="9"/>
      <c r="DE219" s="108" t="n">
        <f aca="false">IF(OR(ISNUMBER($DB219),$DB219=Constants!$B$11,$DB219=Constants!$B$9,$DB219=Constants!$B$10),1,0)</f>
        <v>0</v>
      </c>
      <c r="DF219" s="108" t="n">
        <v>211</v>
      </c>
      <c r="DG219" s="108" t="str">
        <f aca="false">IF(ISBLANK($C219),"",IF(ISNUMBER($DC219),$DC219+ROW($B219)/1000,""))</f>
        <v/>
      </c>
      <c r="DH219" s="108" t="str">
        <f aca="false">IF(ISNUMBER($DG219),RANK($DG219,$DG$9:$DG$508,1),"")</f>
        <v/>
      </c>
      <c r="DI219" s="108" t="str">
        <f aca="false">IF(ISBLANK($C219),"",$B219)</f>
        <v/>
      </c>
      <c r="DJ219" s="108" t="str">
        <f aca="false">IF(ISBLANK($C219),"",$C219)</f>
        <v/>
      </c>
      <c r="DK219" s="108" t="str">
        <f aca="false">IF(ISBLANK($C219),"",$D219)</f>
        <v/>
      </c>
      <c r="DL219" s="109" t="str">
        <f aca="false">$CZ219</f>
        <v/>
      </c>
      <c r="DM219" s="110" t="str">
        <f aca="false">$CY219</f>
        <v/>
      </c>
      <c r="DN219" s="108" t="str">
        <f aca="false">IF(ISBLANK($C219),"",$DB219)</f>
        <v/>
      </c>
      <c r="DO219" s="111" t="str">
        <f aca="false">IF($DF219&gt;$DE$8,"",VLOOKUP($DF219,$DH$9:$DN$508,7,FALSE()))</f>
        <v/>
      </c>
      <c r="DP219" s="112" t="str">
        <f aca="false">IF($DF219&gt;$DE$8,"",VLOOKUP($DF219,$DH$9:$DN$508,2,FALSE()))</f>
        <v/>
      </c>
      <c r="DQ219" s="112" t="str">
        <f aca="false">IF($DF219&gt;$DE$8,"",VLOOKUP($DF219,$DH$9:$DN$508,3,FALSE()))</f>
        <v/>
      </c>
      <c r="DR219" s="112" t="str">
        <f aca="false">IF($DF219&gt;$DE$8,"",VLOOKUP($DF219,$DH$9:$DN$508,4,FALSE()))</f>
        <v/>
      </c>
      <c r="DS219" s="112" t="str">
        <f aca="false">IF($DF219&gt;$DE$8,"",VLOOKUP($DF219,$DH$9:$DN$508,5,FALSE()))</f>
        <v/>
      </c>
      <c r="DT219" s="113" t="str">
        <f aca="false">IF($DF219&gt;$DE$8,"",VLOOKUP($DF219,$DH$9:$DN$508,6,FALSE()))</f>
        <v/>
      </c>
      <c r="DU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IF(ISBLANK($C220),"",IF(E220=Constants!$B$3,TRUE(),IF(E220=Constants!$B$4,FALSE(),TRUE())))</f>
        <v/>
      </c>
      <c r="AG220" s="93" t="str">
        <f aca="false">IF(ISBLANK($C220),"",IF(F220=Constants!$B$3,TRUE(),IF(F220=Constants!$B$4,FALSE(),TRUE())))</f>
        <v/>
      </c>
      <c r="AH220" s="93" t="str">
        <f aca="false">IF(ISBLANK($C220),"",IF(G220=Constants!$B$3,TRUE(),IF(G220=Constants!$B$4,FALSE(),TRUE())))</f>
        <v/>
      </c>
      <c r="AI220" s="93" t="str">
        <f aca="false">IF(ISBLANK($C220),"",IF(AND(ISNUMBER(H220),H220&gt;=0),H220,Constants!$B$29))</f>
        <v/>
      </c>
      <c r="AJ220" s="93" t="str">
        <f aca="false">IF(ISBLANK($C220),"",IF(I220=Constants!$B$3,TRUE(),IF(I220=Constants!$B$4,FALSE(),TRUE())))</f>
        <v/>
      </c>
      <c r="AK220" s="93" t="str">
        <f aca="false">IF(ISBLANK($C220),"",IF(J220=Constants!$B$3,TRUE(),IF(J220=Constants!$B$4,FALSE(),TRUE())))</f>
        <v/>
      </c>
      <c r="AL220" s="93" t="str">
        <f aca="false">IF(ISBLANK($C220),"",IF(K220=Constants!$B$5,TRUE(),IF(K220=Constants!$B$6,FALSE(),COUNTA(L220:P220)&gt;0)))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IF(ISBLANK($C220),"",IF(N220=Constants!$B$3,TRUE(),IF(N220=Constants!$B$4,FALSE(),TRUE())))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IF(ISBLANK($C220),"",IF(P220=Constants!$B$3,TRUE(),IF(P220=Constants!$B$4,FALSE(),FALSE())))</f>
        <v/>
      </c>
      <c r="AR220" s="93" t="str">
        <f aca="false">IF(ISBLANK($C220),"",IF(Q220=Constants!$B$3,TRUE(),IF(Q220=Constants!$B$4,FALSE(),TRUE())))</f>
        <v/>
      </c>
      <c r="AS220" s="93" t="str">
        <f aca="false">IF(ISBLANK($C220),"",IF(R220=Constants!$B$3,TRUE(),IF(R220=Constants!$B$4,FALSE(),TRUE())))</f>
        <v/>
      </c>
      <c r="AT220" s="93" t="str">
        <f aca="false">IF(ISBLANK($C220),"",IF(S220=Constants!$B$5,TRUE(),IF(S220=Constants!$B$6,FALSE(),COUNTA(T220:X220)&gt;0)))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IF(ISBLANK($C220),"",IF(V220=Constants!$B$3,TRUE(),IF(V220=Constants!$B$4,FALSE(),TRUE())))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IF(ISBLANK($C220),"",IF(X220=Constants!$B$3,TRUE(),IF(X220=Constants!$B$4,FALSE(),FALSE())))</f>
        <v/>
      </c>
      <c r="AZ220" s="93" t="str">
        <f aca="false">IF(ISBLANK($C220),"",MIN(Constants!$B$31,MAX(0,IF(ISNUMBER(Y220),Y220*60,0)+IF(ISNUMBER(Z220),Z220,0))))</f>
        <v/>
      </c>
      <c r="BA220" s="93" t="str">
        <f aca="false">IF(ISBLANK($C220),"",IF(AA220=Constants!$B$3,TRUE(),IF(AA220=Constants!$B$4,FALSE(),FALSE())))</f>
        <v/>
      </c>
      <c r="BB220" s="92" t="str">
        <f aca="false">IF(ISBLANK($C220),"",AND($AL220,OR($AM220="",$AN220="",AND($AO220,$AP220=""))))</f>
        <v/>
      </c>
      <c r="BC220" s="94" t="str">
        <f aca="false">IF($BZ220&lt;&gt;Constants!$B$8,"",IF($AL220,Constants!$B$21*$AN220+Constants!$B$22*IF($AO220,$AP220,Constants!$B$23),Constants!$B$24))</f>
        <v/>
      </c>
      <c r="BD220" s="97" t="str">
        <f aca="false">IF($BZ220&lt;&gt;Constants!$B$8,"",Constants!$B$25*ABS($AD$9-IF($AL220,$AM220,0)))</f>
        <v/>
      </c>
      <c r="BE220" s="97" t="str">
        <f aca="false">IF($BZ220&lt;&gt;Constants!$B$8,"",IF(AND($AL220,$AQ220,$AO220),Constants!$B$27,0))</f>
        <v/>
      </c>
      <c r="BF220" s="97" t="str">
        <f aca="false">IF($BZ220&lt;&gt;Constants!$B$8,"",IF($AL220,($AI220-Constants!$B$29)*Constants!$B$28,0))</f>
        <v/>
      </c>
      <c r="BG220" s="97" t="str">
        <f aca="false">IF($BZ220&lt;&gt;Constants!$B$8,"",IF($AK220,0,Constants!$B$15)+IF($AJ220,0,Constants!$B$16)+IF($AH220,0,Constants!$B$17))</f>
        <v/>
      </c>
      <c r="BH220" s="98" t="str">
        <f aca="false">IF($BZ220&lt;&gt;Constants!$B$8,"",Constants!$B$20+SUM($BC220:$BG220))</f>
        <v/>
      </c>
      <c r="BI220" s="97" t="str">
        <f aca="false">IF($BZ220&lt;&gt;Constants!$B$8,"",$BC220)</f>
        <v/>
      </c>
      <c r="BJ220" s="97" t="str">
        <f aca="false">IF($BZ220&lt;&gt;Constants!$B$8,"",$BD220)</f>
        <v/>
      </c>
      <c r="BK220" s="97" t="str">
        <f aca="false">IF($BZ220&lt;&gt;Constants!$B$8,"",IF($AL220,$AN220,""))</f>
        <v/>
      </c>
      <c r="BL220" s="99" t="str">
        <f aca="false">IF($BZ220&lt;&gt;Constants!$B$8,"",$AI220)</f>
        <v/>
      </c>
      <c r="BM220" s="93" t="str">
        <f aca="false">IF($BZ220&lt;&gt;Constants!$B$8,"",IF(OR($BT220&lt;$BH220,AND($BT220=$BH220,OR($BU220&lt;$BI220,AND($BU220=$BI220,OR($BV220&lt;$BJ220,AND($BV220=$BJ220,OR(AND(ISNUMBER($BW220),OR(NOT(ISNUMBER($BK220)),$BW220&lt;$BK220)),AND(OR(AND($BW220="",$BK220=""),AND(ISNUMBER($BW220),ISNUMBER($BK220),$BW220=$BK220)),$BX220&lt;$BL220)))))))),"-&gt;","&lt;-"))</f>
        <v/>
      </c>
      <c r="BN220" s="92" t="str">
        <f aca="false">IF(ISBLANK($C220),"",AND($AT220,OR($AU220="",$AV220="",AND($AW220,$AX220=""))))</f>
        <v/>
      </c>
      <c r="BO220" s="94" t="str">
        <f aca="false">IF($BZ220&lt;&gt;Constants!$B$8,"",IF($AT220,Constants!$B$21*$AV220+Constants!$B$22*IF($AW220,$AX220,Constants!$B$23),Constants!$B$24))</f>
        <v/>
      </c>
      <c r="BP220" s="97" t="str">
        <f aca="false">IF($BZ220&lt;&gt;Constants!$B$8,"",Constants!$B$25*ABS($AD$9-IF($AT220,$AU220,0)))</f>
        <v/>
      </c>
      <c r="BQ220" s="97" t="str">
        <f aca="false">IF($BZ220&lt;&gt;Constants!$B$8,"",IF(AND($AT220,$AY220,$AW220),Constants!$B$27,0))</f>
        <v/>
      </c>
      <c r="BR220" s="97" t="str">
        <f aca="false">IF($BZ220&lt;&gt;Constants!$B$8,"",IF($AT220,($AI220-Constants!$B$29)*Constants!$B$28,0))</f>
        <v/>
      </c>
      <c r="BS220" s="97" t="str">
        <f aca="false">IF($BZ220&lt;&gt;Constants!$B$8,"",IF($AS220,0,Constants!$B$15)+IF($AR220,0,Constants!$B$16)+IF($AH220,0,Constants!$B$17))</f>
        <v/>
      </c>
      <c r="BT220" s="98" t="str">
        <f aca="false">IF($BZ220&lt;&gt;Constants!$B$8,"",Constants!$B$20+SUM($BO220:$BS220))</f>
        <v/>
      </c>
      <c r="BU220" s="97" t="str">
        <f aca="false">IF($BZ220&lt;&gt;Constants!$B$8,"",$BO220)</f>
        <v/>
      </c>
      <c r="BV220" s="97" t="str">
        <f aca="false">IF($BZ220&lt;&gt;Constants!$B$8,"",$BP220)</f>
        <v/>
      </c>
      <c r="BW220" s="97" t="str">
        <f aca="false">IF($BZ220&lt;&gt;Constants!$B$8,"",IF($AT220,$AV220,""))</f>
        <v/>
      </c>
      <c r="BX220" s="99" t="str">
        <f aca="false">IF($BZ220&lt;&gt;Constants!$B$8,"",$AI220)</f>
        <v/>
      </c>
      <c r="BY220" s="93" t="str">
        <f aca="false">IF(ISBLANK($C220),"",IF(ISBLANK($D$7),$BY$5,IF(NOT(ISNUMBER($D$7)),$BY$6,"")))</f>
        <v/>
      </c>
      <c r="BZ220" s="93" t="str">
        <f aca="false">IF(ISBLANK($C220),"",IF($BA220,Constants!$B$11,IF(COUNTA($E220:$AA220)=0,Constants!$B$10,IF(NOT($AG220),Constants!$B$9,IF(OR($BY220&lt;&gt;"",$BB220,$BN220),Constants!$B$12,Constants!$B$8)))))</f>
        <v/>
      </c>
      <c r="CA220" s="93" t="str">
        <f aca="false">IF(ISBLANK($C220),"",IF($BZ220&lt;&gt;Constants!$B$8,$BZ220,Constants!$B$13))</f>
        <v/>
      </c>
      <c r="CB220" s="97" t="str">
        <f aca="false">IF($BZ220&lt;&gt;Constants!$B$8,"",IF($BM220="-&gt;",$BT220,$BH220))</f>
        <v/>
      </c>
      <c r="CC220" s="97" t="str">
        <f aca="false">IF($BZ220&lt;&gt;Constants!$B$8,"",IF($AF220,0,Constants!$B$18))</f>
        <v/>
      </c>
      <c r="CD220" s="97" t="str">
        <f aca="false">IF($BZ220&lt;&gt;Constants!$B$8,"",((Constants!$B$31-$AZ220)-Constants!$B$31)/Constants!$B$32)</f>
        <v/>
      </c>
      <c r="CE220" s="97" t="str">
        <f aca="false">IF(ISBLANK($C220),"",IF($BZ220&lt;&gt;Constants!$B$8,$BZ220,SUM($CB220:$CD220)))</f>
        <v/>
      </c>
      <c r="CF220" s="93" t="str">
        <f aca="false">IF(ISBLANK($C220),"",IF($BZ220&lt;&gt;Constants!$B$8,$BZ220,RANK($CE220,$CE$9:$CE$508,1)))</f>
        <v/>
      </c>
      <c r="CG220" s="97" t="str">
        <f aca="false">IF($BZ220&lt;&gt;Constants!$B$8,"",IF($BM220="-&gt;",$BU220,$BI220))</f>
        <v/>
      </c>
      <c r="CH220" s="93" t="str">
        <f aca="false">IF(ISBLANK($C220),"",IF($BZ220&lt;&gt;Constants!$B$8,$BZ220,IF(ISNUMBER($CG220),RANK($CG220,$CG$9:$CG$508,1),COUNT($CG$9:$CG$508)+1)))</f>
        <v/>
      </c>
      <c r="CI220" s="97" t="str">
        <f aca="false">IF($BZ220&lt;&gt;Constants!$B$8,"",IF($BM220="-&gt;",$BV220,$BJ220))</f>
        <v/>
      </c>
      <c r="CJ220" s="93" t="str">
        <f aca="false">IF(ISBLANK($C220),"",IF($BZ220&lt;&gt;Constants!$B$8,$BZ220,IF(ISNUMBER($CI220),RANK($CI220,$CI$9:$CI$508,1),COUNT($CI$9:$CI$508)+1)))</f>
        <v/>
      </c>
      <c r="CK220" s="97" t="str">
        <f aca="false">IF($BZ220&lt;&gt;Constants!$B$8,"",IF($BM220="-&gt;",$BW220,$BK220))</f>
        <v/>
      </c>
      <c r="CL220" s="93" t="str">
        <f aca="false">IF(ISBLANK($C220),"",IF($BZ220&lt;&gt;Constants!$B$8,$BZ220,IF(ISNUMBER($CK220),RANK($CK220,$CK$9:$CK$508,1),COUNT($CK$9:$CK$508)+1)))</f>
        <v/>
      </c>
      <c r="CM220" s="97" t="str">
        <f aca="false">IF($BZ220&lt;&gt;Constants!$B$8,"",IF(AND(NOT($AL220),NOT($AT220),$AJ220,$AK220,$AR220,$AS220),"",IF($BM220="-&gt;",$BX220,$BL220)))</f>
        <v/>
      </c>
      <c r="CN220" s="93" t="str">
        <f aca="false">IF(ISBLANK($C220),"",IF($BZ220&lt;&gt;Constants!$B$8,$BZ220,IF(ISNUMBER($CM220),RANK($CM220,$CM$9:$CM$508,1),COUNT($CM$9:$CM$508)+1)))</f>
        <v/>
      </c>
      <c r="CO220" s="93" t="str">
        <f aca="false">IF(ISBLANK($C220),"",IF($BZ220&lt;&gt;Constants!$B$8,$BZ220,COUNTIFS($CF$9:$CF$508,"&lt;"&amp;$CF220)+COUNTIFS($CF$9:$CF$508,$CF220,$CH$9:$CH$508,"&lt;"&amp;$CH220)+COUNTIFS($CF$9:$CF$508,$CF220,$CH$9:$CH$508,$CH220,$CJ$9:$CJ$508,"&lt;"&amp;$CJ220)+COUNTIFS($CF$9:$CF$508,$CF220,$CH$9:$CH$508,$CH220,$CJ$9:$CJ$508,$CJ220,$CL$9:$CL$508,"&lt;"&amp;$CL220)+COUNTIFS($CF$9:$CF$508,$CF220,$CH$9:$CH$508,$CH220,$CJ$9:$CJ$508,$CJ220,$CL$9:$CL$508,$CL220,$CN$9:$CN$508,"&lt;"&amp;$CN220)+1))</f>
        <v/>
      </c>
      <c r="CP220" s="93" t="str">
        <f aca="false">IF(ISBLANK($C220),"",IF($BZ220&lt;&gt;Constants!$B$8,$BZ220,$CF220-$CO220))</f>
        <v/>
      </c>
      <c r="CQ220" s="100"/>
      <c r="CR220" s="101"/>
      <c r="CS220" s="102" t="str">
        <f aca="false">IF(ISBLANK($C220),"",IF($BZ220=Constants!$B$12,$BY220,""))</f>
        <v/>
      </c>
      <c r="CT220" s="101" t="str">
        <f aca="false">IF(ISBLANK($C220),"",IF($BZ220&lt;&gt;Constants!$B$8,"",IF($BM220="-&gt;",2,1)))</f>
        <v/>
      </c>
      <c r="CU220" s="103" t="str">
        <f aca="false">IF(ISBLANK($C220),"",IF($BZ220&lt;&gt;Constants!$B$8,"",IF($BM220="-&gt;",$BO220,$BC220)))</f>
        <v/>
      </c>
      <c r="CV220" s="103" t="str">
        <f aca="false">IF(ISBLANK($C220),"",IF($BZ220&lt;&gt;Constants!$B$8,"",IF($BM220="-&gt;",$BP220,$BD220)))</f>
        <v/>
      </c>
      <c r="CW220" s="103" t="str">
        <f aca="false">IF(ISBLANK($C220),"",IF($BZ220&lt;&gt;Constants!$B$8,"",IF($BM220="-&gt;",$BQ220+$BR220,$BE220+$BF220)+$CD220))</f>
        <v/>
      </c>
      <c r="CX220" s="103" t="str">
        <f aca="false">IF(ISBLANK($C220),"",IF($BZ220&lt;&gt;Constants!$B$8,"",IF($BM220="-&gt;",$BS220,$BG220)+$CC220))</f>
        <v/>
      </c>
      <c r="CY220" s="104" t="str">
        <f aca="false">IF(ISBLANK($C220),"",IF($BZ220&lt;&gt;Constants!$B$8,$BZ220,$CE220))</f>
        <v/>
      </c>
      <c r="CZ220" s="105" t="str">
        <f aca="false">IF(ISBLANK($C220),"",$CA220)</f>
        <v/>
      </c>
      <c r="DA220" s="106" t="str">
        <f aca="false">IF(ISBLANK($C220),"",$CP220)</f>
        <v/>
      </c>
      <c r="DB220" s="106" t="str">
        <f aca="false">IF(ISBLANK($C220),"",$CO220)</f>
        <v/>
      </c>
      <c r="DC220" s="107" t="str">
        <f aca="false">IF(ISBLANK($C220),"",IFERROR(_xlfn.SWITCH($DB220,Constants!$B$11,COUNTA($C$9:$C$508)+2,Constants!$B$10,COUNTA($C$9:$C$508)+1,Constants!$B$9,COUNTA($C$9:$C$508)),$DB220))</f>
        <v/>
      </c>
      <c r="DD220" s="9"/>
      <c r="DE220" s="108" t="n">
        <f aca="false">IF(OR(ISNUMBER($DB220),$DB220=Constants!$B$11,$DB220=Constants!$B$9,$DB220=Constants!$B$10),1,0)</f>
        <v>0</v>
      </c>
      <c r="DF220" s="108" t="n">
        <v>212</v>
      </c>
      <c r="DG220" s="108" t="str">
        <f aca="false">IF(ISBLANK($C220),"",IF(ISNUMBER($DC220),$DC220+ROW($B220)/1000,""))</f>
        <v/>
      </c>
      <c r="DH220" s="108" t="str">
        <f aca="false">IF(ISNUMBER($DG220),RANK($DG220,$DG$9:$DG$508,1),"")</f>
        <v/>
      </c>
      <c r="DI220" s="108" t="str">
        <f aca="false">IF(ISBLANK($C220),"",$B220)</f>
        <v/>
      </c>
      <c r="DJ220" s="108" t="str">
        <f aca="false">IF(ISBLANK($C220),"",$C220)</f>
        <v/>
      </c>
      <c r="DK220" s="108" t="str">
        <f aca="false">IF(ISBLANK($C220),"",$D220)</f>
        <v/>
      </c>
      <c r="DL220" s="109" t="str">
        <f aca="false">$CZ220</f>
        <v/>
      </c>
      <c r="DM220" s="110" t="str">
        <f aca="false">$CY220</f>
        <v/>
      </c>
      <c r="DN220" s="108" t="str">
        <f aca="false">IF(ISBLANK($C220),"",$DB220)</f>
        <v/>
      </c>
      <c r="DO220" s="111" t="str">
        <f aca="false">IF($DF220&gt;$DE$8,"",VLOOKUP($DF220,$DH$9:$DN$508,7,FALSE()))</f>
        <v/>
      </c>
      <c r="DP220" s="112" t="str">
        <f aca="false">IF($DF220&gt;$DE$8,"",VLOOKUP($DF220,$DH$9:$DN$508,2,FALSE()))</f>
        <v/>
      </c>
      <c r="DQ220" s="112" t="str">
        <f aca="false">IF($DF220&gt;$DE$8,"",VLOOKUP($DF220,$DH$9:$DN$508,3,FALSE()))</f>
        <v/>
      </c>
      <c r="DR220" s="112" t="str">
        <f aca="false">IF($DF220&gt;$DE$8,"",VLOOKUP($DF220,$DH$9:$DN$508,4,FALSE()))</f>
        <v/>
      </c>
      <c r="DS220" s="112" t="str">
        <f aca="false">IF($DF220&gt;$DE$8,"",VLOOKUP($DF220,$DH$9:$DN$508,5,FALSE()))</f>
        <v/>
      </c>
      <c r="DT220" s="113" t="str">
        <f aca="false">IF($DF220&gt;$DE$8,"",VLOOKUP($DF220,$DH$9:$DN$508,6,FALSE()))</f>
        <v/>
      </c>
      <c r="DU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IF(ISBLANK($C221),"",IF(E221=Constants!$B$3,TRUE(),IF(E221=Constants!$B$4,FALSE(),TRUE())))</f>
        <v/>
      </c>
      <c r="AG221" s="93" t="str">
        <f aca="false">IF(ISBLANK($C221),"",IF(F221=Constants!$B$3,TRUE(),IF(F221=Constants!$B$4,FALSE(),TRUE())))</f>
        <v/>
      </c>
      <c r="AH221" s="93" t="str">
        <f aca="false">IF(ISBLANK($C221),"",IF(G221=Constants!$B$3,TRUE(),IF(G221=Constants!$B$4,FALSE(),TRUE())))</f>
        <v/>
      </c>
      <c r="AI221" s="93" t="str">
        <f aca="false">IF(ISBLANK($C221),"",IF(AND(ISNUMBER(H221),H221&gt;=0),H221,Constants!$B$29))</f>
        <v/>
      </c>
      <c r="AJ221" s="93" t="str">
        <f aca="false">IF(ISBLANK($C221),"",IF(I221=Constants!$B$3,TRUE(),IF(I221=Constants!$B$4,FALSE(),TRUE())))</f>
        <v/>
      </c>
      <c r="AK221" s="93" t="str">
        <f aca="false">IF(ISBLANK($C221),"",IF(J221=Constants!$B$3,TRUE(),IF(J221=Constants!$B$4,FALSE(),TRUE())))</f>
        <v/>
      </c>
      <c r="AL221" s="93" t="str">
        <f aca="false">IF(ISBLANK($C221),"",IF(K221=Constants!$B$5,TRUE(),IF(K221=Constants!$B$6,FALSE(),COUNTA(L221:P221)&gt;0)))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IF(ISBLANK($C221),"",IF(N221=Constants!$B$3,TRUE(),IF(N221=Constants!$B$4,FALSE(),TRUE())))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IF(ISBLANK($C221),"",IF(P221=Constants!$B$3,TRUE(),IF(P221=Constants!$B$4,FALSE(),FALSE())))</f>
        <v/>
      </c>
      <c r="AR221" s="93" t="str">
        <f aca="false">IF(ISBLANK($C221),"",IF(Q221=Constants!$B$3,TRUE(),IF(Q221=Constants!$B$4,FALSE(),TRUE())))</f>
        <v/>
      </c>
      <c r="AS221" s="93" t="str">
        <f aca="false">IF(ISBLANK($C221),"",IF(R221=Constants!$B$3,TRUE(),IF(R221=Constants!$B$4,FALSE(),TRUE())))</f>
        <v/>
      </c>
      <c r="AT221" s="93" t="str">
        <f aca="false">IF(ISBLANK($C221),"",IF(S221=Constants!$B$5,TRUE(),IF(S221=Constants!$B$6,FALSE(),COUNTA(T221:X221)&gt;0)))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IF(ISBLANK($C221),"",IF(V221=Constants!$B$3,TRUE(),IF(V221=Constants!$B$4,FALSE(),TRUE())))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IF(ISBLANK($C221),"",IF(X221=Constants!$B$3,TRUE(),IF(X221=Constants!$B$4,FALSE(),FALSE())))</f>
        <v/>
      </c>
      <c r="AZ221" s="93" t="str">
        <f aca="false">IF(ISBLANK($C221),"",MIN(Constants!$B$31,MAX(0,IF(ISNUMBER(Y221),Y221*60,0)+IF(ISNUMBER(Z221),Z221,0))))</f>
        <v/>
      </c>
      <c r="BA221" s="93" t="str">
        <f aca="false">IF(ISBLANK($C221),"",IF(AA221=Constants!$B$3,TRUE(),IF(AA221=Constants!$B$4,FALSE(),FALSE())))</f>
        <v/>
      </c>
      <c r="BB221" s="92" t="str">
        <f aca="false">IF(ISBLANK($C221),"",AND($AL221,OR($AM221="",$AN221="",AND($AO221,$AP221=""))))</f>
        <v/>
      </c>
      <c r="BC221" s="94" t="str">
        <f aca="false">IF($BZ221&lt;&gt;Constants!$B$8,"",IF($AL221,Constants!$B$21*$AN221+Constants!$B$22*IF($AO221,$AP221,Constants!$B$23),Constants!$B$24))</f>
        <v/>
      </c>
      <c r="BD221" s="97" t="str">
        <f aca="false">IF($BZ221&lt;&gt;Constants!$B$8,"",Constants!$B$25*ABS($AD$9-IF($AL221,$AM221,0)))</f>
        <v/>
      </c>
      <c r="BE221" s="97" t="str">
        <f aca="false">IF($BZ221&lt;&gt;Constants!$B$8,"",IF(AND($AL221,$AQ221,$AO221),Constants!$B$27,0))</f>
        <v/>
      </c>
      <c r="BF221" s="97" t="str">
        <f aca="false">IF($BZ221&lt;&gt;Constants!$B$8,"",IF($AL221,($AI221-Constants!$B$29)*Constants!$B$28,0))</f>
        <v/>
      </c>
      <c r="BG221" s="97" t="str">
        <f aca="false">IF($BZ221&lt;&gt;Constants!$B$8,"",IF($AK221,0,Constants!$B$15)+IF($AJ221,0,Constants!$B$16)+IF($AH221,0,Constants!$B$17))</f>
        <v/>
      </c>
      <c r="BH221" s="98" t="str">
        <f aca="false">IF($BZ221&lt;&gt;Constants!$B$8,"",Constants!$B$20+SUM($BC221:$BG221))</f>
        <v/>
      </c>
      <c r="BI221" s="97" t="str">
        <f aca="false">IF($BZ221&lt;&gt;Constants!$B$8,"",$BC221)</f>
        <v/>
      </c>
      <c r="BJ221" s="97" t="str">
        <f aca="false">IF($BZ221&lt;&gt;Constants!$B$8,"",$BD221)</f>
        <v/>
      </c>
      <c r="BK221" s="97" t="str">
        <f aca="false">IF($BZ221&lt;&gt;Constants!$B$8,"",IF($AL221,$AN221,""))</f>
        <v/>
      </c>
      <c r="BL221" s="99" t="str">
        <f aca="false">IF($BZ221&lt;&gt;Constants!$B$8,"",$AI221)</f>
        <v/>
      </c>
      <c r="BM221" s="93" t="str">
        <f aca="false">IF($BZ221&lt;&gt;Constants!$B$8,"",IF(OR($BT221&lt;$BH221,AND($BT221=$BH221,OR($BU221&lt;$BI221,AND($BU221=$BI221,OR($BV221&lt;$BJ221,AND($BV221=$BJ221,OR(AND(ISNUMBER($BW221),OR(NOT(ISNUMBER($BK221)),$BW221&lt;$BK221)),AND(OR(AND($BW221="",$BK221=""),AND(ISNUMBER($BW221),ISNUMBER($BK221),$BW221=$BK221)),$BX221&lt;$BL221)))))))),"-&gt;","&lt;-"))</f>
        <v/>
      </c>
      <c r="BN221" s="92" t="str">
        <f aca="false">IF(ISBLANK($C221),"",AND($AT221,OR($AU221="",$AV221="",AND($AW221,$AX221=""))))</f>
        <v/>
      </c>
      <c r="BO221" s="94" t="str">
        <f aca="false">IF($BZ221&lt;&gt;Constants!$B$8,"",IF($AT221,Constants!$B$21*$AV221+Constants!$B$22*IF($AW221,$AX221,Constants!$B$23),Constants!$B$24))</f>
        <v/>
      </c>
      <c r="BP221" s="97" t="str">
        <f aca="false">IF($BZ221&lt;&gt;Constants!$B$8,"",Constants!$B$25*ABS($AD$9-IF($AT221,$AU221,0)))</f>
        <v/>
      </c>
      <c r="BQ221" s="97" t="str">
        <f aca="false">IF($BZ221&lt;&gt;Constants!$B$8,"",IF(AND($AT221,$AY221,$AW221),Constants!$B$27,0))</f>
        <v/>
      </c>
      <c r="BR221" s="97" t="str">
        <f aca="false">IF($BZ221&lt;&gt;Constants!$B$8,"",IF($AT221,($AI221-Constants!$B$29)*Constants!$B$28,0))</f>
        <v/>
      </c>
      <c r="BS221" s="97" t="str">
        <f aca="false">IF($BZ221&lt;&gt;Constants!$B$8,"",IF($AS221,0,Constants!$B$15)+IF($AR221,0,Constants!$B$16)+IF($AH221,0,Constants!$B$17))</f>
        <v/>
      </c>
      <c r="BT221" s="98" t="str">
        <f aca="false">IF($BZ221&lt;&gt;Constants!$B$8,"",Constants!$B$20+SUM($BO221:$BS221))</f>
        <v/>
      </c>
      <c r="BU221" s="97" t="str">
        <f aca="false">IF($BZ221&lt;&gt;Constants!$B$8,"",$BO221)</f>
        <v/>
      </c>
      <c r="BV221" s="97" t="str">
        <f aca="false">IF($BZ221&lt;&gt;Constants!$B$8,"",$BP221)</f>
        <v/>
      </c>
      <c r="BW221" s="97" t="str">
        <f aca="false">IF($BZ221&lt;&gt;Constants!$B$8,"",IF($AT221,$AV221,""))</f>
        <v/>
      </c>
      <c r="BX221" s="99" t="str">
        <f aca="false">IF($BZ221&lt;&gt;Constants!$B$8,"",$AI221)</f>
        <v/>
      </c>
      <c r="BY221" s="93" t="str">
        <f aca="false">IF(ISBLANK($C221),"",IF(ISBLANK($D$7),$BY$5,IF(NOT(ISNUMBER($D$7)),$BY$6,"")))</f>
        <v/>
      </c>
      <c r="BZ221" s="93" t="str">
        <f aca="false">IF(ISBLANK($C221),"",IF($BA221,Constants!$B$11,IF(COUNTA($E221:$AA221)=0,Constants!$B$10,IF(NOT($AG221),Constants!$B$9,IF(OR($BY221&lt;&gt;"",$BB221,$BN221),Constants!$B$12,Constants!$B$8)))))</f>
        <v/>
      </c>
      <c r="CA221" s="93" t="str">
        <f aca="false">IF(ISBLANK($C221),"",IF($BZ221&lt;&gt;Constants!$B$8,$BZ221,Constants!$B$13))</f>
        <v/>
      </c>
      <c r="CB221" s="97" t="str">
        <f aca="false">IF($BZ221&lt;&gt;Constants!$B$8,"",IF($BM221="-&gt;",$BT221,$BH221))</f>
        <v/>
      </c>
      <c r="CC221" s="97" t="str">
        <f aca="false">IF($BZ221&lt;&gt;Constants!$B$8,"",IF($AF221,0,Constants!$B$18))</f>
        <v/>
      </c>
      <c r="CD221" s="97" t="str">
        <f aca="false">IF($BZ221&lt;&gt;Constants!$B$8,"",((Constants!$B$31-$AZ221)-Constants!$B$31)/Constants!$B$32)</f>
        <v/>
      </c>
      <c r="CE221" s="97" t="str">
        <f aca="false">IF(ISBLANK($C221),"",IF($BZ221&lt;&gt;Constants!$B$8,$BZ221,SUM($CB221:$CD221)))</f>
        <v/>
      </c>
      <c r="CF221" s="93" t="str">
        <f aca="false">IF(ISBLANK($C221),"",IF($BZ221&lt;&gt;Constants!$B$8,$BZ221,RANK($CE221,$CE$9:$CE$508,1)))</f>
        <v/>
      </c>
      <c r="CG221" s="97" t="str">
        <f aca="false">IF($BZ221&lt;&gt;Constants!$B$8,"",IF($BM221="-&gt;",$BU221,$BI221))</f>
        <v/>
      </c>
      <c r="CH221" s="93" t="str">
        <f aca="false">IF(ISBLANK($C221),"",IF($BZ221&lt;&gt;Constants!$B$8,$BZ221,IF(ISNUMBER($CG221),RANK($CG221,$CG$9:$CG$508,1),COUNT($CG$9:$CG$508)+1)))</f>
        <v/>
      </c>
      <c r="CI221" s="97" t="str">
        <f aca="false">IF($BZ221&lt;&gt;Constants!$B$8,"",IF($BM221="-&gt;",$BV221,$BJ221))</f>
        <v/>
      </c>
      <c r="CJ221" s="93" t="str">
        <f aca="false">IF(ISBLANK($C221),"",IF($BZ221&lt;&gt;Constants!$B$8,$BZ221,IF(ISNUMBER($CI221),RANK($CI221,$CI$9:$CI$508,1),COUNT($CI$9:$CI$508)+1)))</f>
        <v/>
      </c>
      <c r="CK221" s="97" t="str">
        <f aca="false">IF($BZ221&lt;&gt;Constants!$B$8,"",IF($BM221="-&gt;",$BW221,$BK221))</f>
        <v/>
      </c>
      <c r="CL221" s="93" t="str">
        <f aca="false">IF(ISBLANK($C221),"",IF($BZ221&lt;&gt;Constants!$B$8,$BZ221,IF(ISNUMBER($CK221),RANK($CK221,$CK$9:$CK$508,1),COUNT($CK$9:$CK$508)+1)))</f>
        <v/>
      </c>
      <c r="CM221" s="97" t="str">
        <f aca="false">IF($BZ221&lt;&gt;Constants!$B$8,"",IF(AND(NOT($AL221),NOT($AT221),$AJ221,$AK221,$AR221,$AS221),"",IF($BM221="-&gt;",$BX221,$BL221)))</f>
        <v/>
      </c>
      <c r="CN221" s="93" t="str">
        <f aca="false">IF(ISBLANK($C221),"",IF($BZ221&lt;&gt;Constants!$B$8,$BZ221,IF(ISNUMBER($CM221),RANK($CM221,$CM$9:$CM$508,1),COUNT($CM$9:$CM$508)+1)))</f>
        <v/>
      </c>
      <c r="CO221" s="93" t="str">
        <f aca="false">IF(ISBLANK($C221),"",IF($BZ221&lt;&gt;Constants!$B$8,$BZ221,COUNTIFS($CF$9:$CF$508,"&lt;"&amp;$CF221)+COUNTIFS($CF$9:$CF$508,$CF221,$CH$9:$CH$508,"&lt;"&amp;$CH221)+COUNTIFS($CF$9:$CF$508,$CF221,$CH$9:$CH$508,$CH221,$CJ$9:$CJ$508,"&lt;"&amp;$CJ221)+COUNTIFS($CF$9:$CF$508,$CF221,$CH$9:$CH$508,$CH221,$CJ$9:$CJ$508,$CJ221,$CL$9:$CL$508,"&lt;"&amp;$CL221)+COUNTIFS($CF$9:$CF$508,$CF221,$CH$9:$CH$508,$CH221,$CJ$9:$CJ$508,$CJ221,$CL$9:$CL$508,$CL221,$CN$9:$CN$508,"&lt;"&amp;$CN221)+1))</f>
        <v/>
      </c>
      <c r="CP221" s="93" t="str">
        <f aca="false">IF(ISBLANK($C221),"",IF($BZ221&lt;&gt;Constants!$B$8,$BZ221,$CF221-$CO221))</f>
        <v/>
      </c>
      <c r="CQ221" s="100"/>
      <c r="CR221" s="101"/>
      <c r="CS221" s="102" t="str">
        <f aca="false">IF(ISBLANK($C221),"",IF($BZ221=Constants!$B$12,$BY221,""))</f>
        <v/>
      </c>
      <c r="CT221" s="101" t="str">
        <f aca="false">IF(ISBLANK($C221),"",IF($BZ221&lt;&gt;Constants!$B$8,"",IF($BM221="-&gt;",2,1)))</f>
        <v/>
      </c>
      <c r="CU221" s="103" t="str">
        <f aca="false">IF(ISBLANK($C221),"",IF($BZ221&lt;&gt;Constants!$B$8,"",IF($BM221="-&gt;",$BO221,$BC221)))</f>
        <v/>
      </c>
      <c r="CV221" s="103" t="str">
        <f aca="false">IF(ISBLANK($C221),"",IF($BZ221&lt;&gt;Constants!$B$8,"",IF($BM221="-&gt;",$BP221,$BD221)))</f>
        <v/>
      </c>
      <c r="CW221" s="103" t="str">
        <f aca="false">IF(ISBLANK($C221),"",IF($BZ221&lt;&gt;Constants!$B$8,"",IF($BM221="-&gt;",$BQ221+$BR221,$BE221+$BF221)+$CD221))</f>
        <v/>
      </c>
      <c r="CX221" s="103" t="str">
        <f aca="false">IF(ISBLANK($C221),"",IF($BZ221&lt;&gt;Constants!$B$8,"",IF($BM221="-&gt;",$BS221,$BG221)+$CC221))</f>
        <v/>
      </c>
      <c r="CY221" s="104" t="str">
        <f aca="false">IF(ISBLANK($C221),"",IF($BZ221&lt;&gt;Constants!$B$8,$BZ221,$CE221))</f>
        <v/>
      </c>
      <c r="CZ221" s="105" t="str">
        <f aca="false">IF(ISBLANK($C221),"",$CA221)</f>
        <v/>
      </c>
      <c r="DA221" s="106" t="str">
        <f aca="false">IF(ISBLANK($C221),"",$CP221)</f>
        <v/>
      </c>
      <c r="DB221" s="106" t="str">
        <f aca="false">IF(ISBLANK($C221),"",$CO221)</f>
        <v/>
      </c>
      <c r="DC221" s="107" t="str">
        <f aca="false">IF(ISBLANK($C221),"",IFERROR(_xlfn.SWITCH($DB221,Constants!$B$11,COUNTA($C$9:$C$508)+2,Constants!$B$10,COUNTA($C$9:$C$508)+1,Constants!$B$9,COUNTA($C$9:$C$508)),$DB221))</f>
        <v/>
      </c>
      <c r="DD221" s="9"/>
      <c r="DE221" s="108" t="n">
        <f aca="false">IF(OR(ISNUMBER($DB221),$DB221=Constants!$B$11,$DB221=Constants!$B$9,$DB221=Constants!$B$10),1,0)</f>
        <v>0</v>
      </c>
      <c r="DF221" s="108" t="n">
        <v>213</v>
      </c>
      <c r="DG221" s="108" t="str">
        <f aca="false">IF(ISBLANK($C221),"",IF(ISNUMBER($DC221),$DC221+ROW($B221)/1000,""))</f>
        <v/>
      </c>
      <c r="DH221" s="108" t="str">
        <f aca="false">IF(ISNUMBER($DG221),RANK($DG221,$DG$9:$DG$508,1),"")</f>
        <v/>
      </c>
      <c r="DI221" s="108" t="str">
        <f aca="false">IF(ISBLANK($C221),"",$B221)</f>
        <v/>
      </c>
      <c r="DJ221" s="108" t="str">
        <f aca="false">IF(ISBLANK($C221),"",$C221)</f>
        <v/>
      </c>
      <c r="DK221" s="108" t="str">
        <f aca="false">IF(ISBLANK($C221),"",$D221)</f>
        <v/>
      </c>
      <c r="DL221" s="109" t="str">
        <f aca="false">$CZ221</f>
        <v/>
      </c>
      <c r="DM221" s="110" t="str">
        <f aca="false">$CY221</f>
        <v/>
      </c>
      <c r="DN221" s="108" t="str">
        <f aca="false">IF(ISBLANK($C221),"",$DB221)</f>
        <v/>
      </c>
      <c r="DO221" s="111" t="str">
        <f aca="false">IF($DF221&gt;$DE$8,"",VLOOKUP($DF221,$DH$9:$DN$508,7,FALSE()))</f>
        <v/>
      </c>
      <c r="DP221" s="112" t="str">
        <f aca="false">IF($DF221&gt;$DE$8,"",VLOOKUP($DF221,$DH$9:$DN$508,2,FALSE()))</f>
        <v/>
      </c>
      <c r="DQ221" s="112" t="str">
        <f aca="false">IF($DF221&gt;$DE$8,"",VLOOKUP($DF221,$DH$9:$DN$508,3,FALSE()))</f>
        <v/>
      </c>
      <c r="DR221" s="112" t="str">
        <f aca="false">IF($DF221&gt;$DE$8,"",VLOOKUP($DF221,$DH$9:$DN$508,4,FALSE()))</f>
        <v/>
      </c>
      <c r="DS221" s="112" t="str">
        <f aca="false">IF($DF221&gt;$DE$8,"",VLOOKUP($DF221,$DH$9:$DN$508,5,FALSE()))</f>
        <v/>
      </c>
      <c r="DT221" s="113" t="str">
        <f aca="false">IF($DF221&gt;$DE$8,"",VLOOKUP($DF221,$DH$9:$DN$508,6,FALSE()))</f>
        <v/>
      </c>
      <c r="DU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IF(ISBLANK($C222),"",IF(E222=Constants!$B$3,TRUE(),IF(E222=Constants!$B$4,FALSE(),TRUE())))</f>
        <v/>
      </c>
      <c r="AG222" s="135" t="str">
        <f aca="false">IF(ISBLANK($C222),"",IF(F222=Constants!$B$3,TRUE(),IF(F222=Constants!$B$4,FALSE(),TRUE())))</f>
        <v/>
      </c>
      <c r="AH222" s="135" t="str">
        <f aca="false">IF(ISBLANK($C222),"",IF(G222=Constants!$B$3,TRUE(),IF(G222=Constants!$B$4,FALSE(),TRUE())))</f>
        <v/>
      </c>
      <c r="AI222" s="135" t="str">
        <f aca="false">IF(ISBLANK($C222),"",IF(AND(ISNUMBER(H222),H222&gt;=0),H222,Constants!$B$29))</f>
        <v/>
      </c>
      <c r="AJ222" s="135" t="str">
        <f aca="false">IF(ISBLANK($C222),"",IF(I222=Constants!$B$3,TRUE(),IF(I222=Constants!$B$4,FALSE(),TRUE())))</f>
        <v/>
      </c>
      <c r="AK222" s="135" t="str">
        <f aca="false">IF(ISBLANK($C222),"",IF(J222=Constants!$B$3,TRUE(),IF(J222=Constants!$B$4,FALSE(),TRUE())))</f>
        <v/>
      </c>
      <c r="AL222" s="135" t="str">
        <f aca="false">IF(ISBLANK($C222),"",IF(K222=Constants!$B$5,TRUE(),IF(K222=Constants!$B$6,FALSE(),COUNTA(L222:P222)&gt;0)))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IF(ISBLANK($C222),"",IF(N222=Constants!$B$3,TRUE(),IF(N222=Constants!$B$4,FALSE(),TRUE())))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IF(ISBLANK($C222),"",IF(P222=Constants!$B$3,TRUE(),IF(P222=Constants!$B$4,FALSE(),FALSE())))</f>
        <v/>
      </c>
      <c r="AR222" s="135" t="str">
        <f aca="false">IF(ISBLANK($C222),"",IF(Q222=Constants!$B$3,TRUE(),IF(Q222=Constants!$B$4,FALSE(),TRUE())))</f>
        <v/>
      </c>
      <c r="AS222" s="135" t="str">
        <f aca="false">IF(ISBLANK($C222),"",IF(R222=Constants!$B$3,TRUE(),IF(R222=Constants!$B$4,FALSE(),TRUE())))</f>
        <v/>
      </c>
      <c r="AT222" s="135" t="str">
        <f aca="false">IF(ISBLANK($C222),"",IF(S222=Constants!$B$5,TRUE(),IF(S222=Constants!$B$6,FALSE(),COUNTA(T222:X222)&gt;0)))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IF(ISBLANK($C222),"",IF(V222=Constants!$B$3,TRUE(),IF(V222=Constants!$B$4,FALSE(),TRUE())))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IF(ISBLANK($C222),"",IF(X222=Constants!$B$3,TRUE(),IF(X222=Constants!$B$4,FALSE(),FALSE())))</f>
        <v/>
      </c>
      <c r="AZ222" s="135" t="str">
        <f aca="false">IF(ISBLANK($C222),"",MIN(Constants!$B$31,MAX(0,IF(ISNUMBER(Y222),Y222*60,0)+IF(ISNUMBER(Z222),Z222,0))))</f>
        <v/>
      </c>
      <c r="BA222" s="135" t="str">
        <f aca="false">IF(ISBLANK($C222),"",IF(AA222=Constants!$B$3,TRUE(),IF(AA222=Constants!$B$4,FALSE(),FALSE())))</f>
        <v/>
      </c>
      <c r="BB222" s="134" t="str">
        <f aca="false">IF(ISBLANK($C222),"",AND($AL222,OR($AM222="",$AN222="",AND($AO222,$AP222=""))))</f>
        <v/>
      </c>
      <c r="BC222" s="137" t="str">
        <f aca="false">IF($BZ222&lt;&gt;Constants!$B$8,"",IF($AL222,Constants!$B$21*$AN222+Constants!$B$22*IF($AO222,$AP222,Constants!$B$23),Constants!$B$24))</f>
        <v/>
      </c>
      <c r="BD222" s="138" t="str">
        <f aca="false">IF($BZ222&lt;&gt;Constants!$B$8,"",Constants!$B$25*ABS($AD$9-IF($AL222,$AM222,0)))</f>
        <v/>
      </c>
      <c r="BE222" s="138" t="str">
        <f aca="false">IF($BZ222&lt;&gt;Constants!$B$8,"",IF(AND($AL222,$AQ222,$AO222),Constants!$B$27,0))</f>
        <v/>
      </c>
      <c r="BF222" s="138" t="str">
        <f aca="false">IF($BZ222&lt;&gt;Constants!$B$8,"",IF($AL222,($AI222-Constants!$B$29)*Constants!$B$28,0))</f>
        <v/>
      </c>
      <c r="BG222" s="138" t="str">
        <f aca="false">IF($BZ222&lt;&gt;Constants!$B$8,"",IF($AK222,0,Constants!$B$15)+IF($AJ222,0,Constants!$B$16)+IF($AH222,0,Constants!$B$17))</f>
        <v/>
      </c>
      <c r="BH222" s="139" t="str">
        <f aca="false">IF($BZ222&lt;&gt;Constants!$B$8,"",Constants!$B$20+SUM($BC222:$BG222))</f>
        <v/>
      </c>
      <c r="BI222" s="138" t="str">
        <f aca="false">IF($BZ222&lt;&gt;Constants!$B$8,"",$BC222)</f>
        <v/>
      </c>
      <c r="BJ222" s="138" t="str">
        <f aca="false">IF($BZ222&lt;&gt;Constants!$B$8,"",$BD222)</f>
        <v/>
      </c>
      <c r="BK222" s="138" t="str">
        <f aca="false">IF($BZ222&lt;&gt;Constants!$B$8,"",IF($AL222,$AN222,""))</f>
        <v/>
      </c>
      <c r="BL222" s="140" t="str">
        <f aca="false">IF($BZ222&lt;&gt;Constants!$B$8,"",$AI222)</f>
        <v/>
      </c>
      <c r="BM222" s="135" t="str">
        <f aca="false">IF($BZ222&lt;&gt;Constants!$B$8,"",IF(OR($BT222&lt;$BH222,AND($BT222=$BH222,OR($BU222&lt;$BI222,AND($BU222=$BI222,OR($BV222&lt;$BJ222,AND($BV222=$BJ222,OR(AND(ISNUMBER($BW222),OR(NOT(ISNUMBER($BK222)),$BW222&lt;$BK222)),AND(OR(AND($BW222="",$BK222=""),AND(ISNUMBER($BW222),ISNUMBER($BK222),$BW222=$BK222)),$BX222&lt;$BL222)))))))),"-&gt;","&lt;-"))</f>
        <v/>
      </c>
      <c r="BN222" s="134" t="str">
        <f aca="false">IF(ISBLANK($C222),"",AND($AT222,OR($AU222="",$AV222="",AND($AW222,$AX222=""))))</f>
        <v/>
      </c>
      <c r="BO222" s="137" t="str">
        <f aca="false">IF($BZ222&lt;&gt;Constants!$B$8,"",IF($AT222,Constants!$B$21*$AV222+Constants!$B$22*IF($AW222,$AX222,Constants!$B$23),Constants!$B$24))</f>
        <v/>
      </c>
      <c r="BP222" s="138" t="str">
        <f aca="false">IF($BZ222&lt;&gt;Constants!$B$8,"",Constants!$B$25*ABS($AD$9-IF($AT222,$AU222,0)))</f>
        <v/>
      </c>
      <c r="BQ222" s="138" t="str">
        <f aca="false">IF($BZ222&lt;&gt;Constants!$B$8,"",IF(AND($AT222,$AY222,$AW222),Constants!$B$27,0))</f>
        <v/>
      </c>
      <c r="BR222" s="138" t="str">
        <f aca="false">IF($BZ222&lt;&gt;Constants!$B$8,"",IF($AT222,($AI222-Constants!$B$29)*Constants!$B$28,0))</f>
        <v/>
      </c>
      <c r="BS222" s="138" t="str">
        <f aca="false">IF($BZ222&lt;&gt;Constants!$B$8,"",IF($AS222,0,Constants!$B$15)+IF($AR222,0,Constants!$B$16)+IF($AH222,0,Constants!$B$17))</f>
        <v/>
      </c>
      <c r="BT222" s="139" t="str">
        <f aca="false">IF($BZ222&lt;&gt;Constants!$B$8,"",Constants!$B$20+SUM($BO222:$BS222))</f>
        <v/>
      </c>
      <c r="BU222" s="138" t="str">
        <f aca="false">IF($BZ222&lt;&gt;Constants!$B$8,"",$BO222)</f>
        <v/>
      </c>
      <c r="BV222" s="138" t="str">
        <f aca="false">IF($BZ222&lt;&gt;Constants!$B$8,"",$BP222)</f>
        <v/>
      </c>
      <c r="BW222" s="138" t="str">
        <f aca="false">IF($BZ222&lt;&gt;Constants!$B$8,"",IF($AT222,$AV222,""))</f>
        <v/>
      </c>
      <c r="BX222" s="140" t="str">
        <f aca="false">IF($BZ222&lt;&gt;Constants!$B$8,"",$AI222)</f>
        <v/>
      </c>
      <c r="BY222" s="135" t="str">
        <f aca="false">IF(ISBLANK($C222),"",IF(ISBLANK($D$7),$BY$5,IF(NOT(ISNUMBER($D$7)),$BY$6,"")))</f>
        <v/>
      </c>
      <c r="BZ222" s="135" t="str">
        <f aca="false">IF(ISBLANK($C222),"",IF($BA222,Constants!$B$11,IF(COUNTA($E222:$AA222)=0,Constants!$B$10,IF(NOT($AG222),Constants!$B$9,IF(OR($BY222&lt;&gt;"",$BB222,$BN222),Constants!$B$12,Constants!$B$8)))))</f>
        <v/>
      </c>
      <c r="CA222" s="135" t="str">
        <f aca="false">IF(ISBLANK($C222),"",IF($BZ222&lt;&gt;Constants!$B$8,$BZ222,Constants!$B$13))</f>
        <v/>
      </c>
      <c r="CB222" s="138" t="str">
        <f aca="false">IF($BZ222&lt;&gt;Constants!$B$8,"",IF($BM222="-&gt;",$BT222,$BH222))</f>
        <v/>
      </c>
      <c r="CC222" s="138" t="str">
        <f aca="false">IF($BZ222&lt;&gt;Constants!$B$8,"",IF($AF222,0,Constants!$B$18))</f>
        <v/>
      </c>
      <c r="CD222" s="138" t="str">
        <f aca="false">IF($BZ222&lt;&gt;Constants!$B$8,"",((Constants!$B$31-$AZ222)-Constants!$B$31)/Constants!$B$32)</f>
        <v/>
      </c>
      <c r="CE222" s="138" t="str">
        <f aca="false">IF(ISBLANK($C222),"",IF($BZ222&lt;&gt;Constants!$B$8,$BZ222,SUM($CB222:$CD222)))</f>
        <v/>
      </c>
      <c r="CF222" s="135" t="str">
        <f aca="false">IF(ISBLANK($C222),"",IF($BZ222&lt;&gt;Constants!$B$8,$BZ222,RANK($CE222,$CE$9:$CE$508,1)))</f>
        <v/>
      </c>
      <c r="CG222" s="138" t="str">
        <f aca="false">IF($BZ222&lt;&gt;Constants!$B$8,"",IF($BM222="-&gt;",$BU222,$BI222))</f>
        <v/>
      </c>
      <c r="CH222" s="135" t="str">
        <f aca="false">IF(ISBLANK($C222),"",IF($BZ222&lt;&gt;Constants!$B$8,$BZ222,IF(ISNUMBER($CG222),RANK($CG222,$CG$9:$CG$508,1),COUNT($CG$9:$CG$508)+1)))</f>
        <v/>
      </c>
      <c r="CI222" s="138" t="str">
        <f aca="false">IF($BZ222&lt;&gt;Constants!$B$8,"",IF($BM222="-&gt;",$BV222,$BJ222))</f>
        <v/>
      </c>
      <c r="CJ222" s="135" t="str">
        <f aca="false">IF(ISBLANK($C222),"",IF($BZ222&lt;&gt;Constants!$B$8,$BZ222,IF(ISNUMBER($CI222),RANK($CI222,$CI$9:$CI$508,1),COUNT($CI$9:$CI$508)+1)))</f>
        <v/>
      </c>
      <c r="CK222" s="138" t="str">
        <f aca="false">IF($BZ222&lt;&gt;Constants!$B$8,"",IF($BM222="-&gt;",$BW222,$BK222))</f>
        <v/>
      </c>
      <c r="CL222" s="135" t="str">
        <f aca="false">IF(ISBLANK($C222),"",IF($BZ222&lt;&gt;Constants!$B$8,$BZ222,IF(ISNUMBER($CK222),RANK($CK222,$CK$9:$CK$508,1),COUNT($CK$9:$CK$508)+1)))</f>
        <v/>
      </c>
      <c r="CM222" s="138" t="str">
        <f aca="false">IF($BZ222&lt;&gt;Constants!$B$8,"",IF(AND(NOT($AL222),NOT($AT222),$AJ222,$AK222,$AR222,$AS222),"",IF($BM222="-&gt;",$BX222,$BL222)))</f>
        <v/>
      </c>
      <c r="CN222" s="135" t="str">
        <f aca="false">IF(ISBLANK($C222),"",IF($BZ222&lt;&gt;Constants!$B$8,$BZ222,IF(ISNUMBER($CM222),RANK($CM222,$CM$9:$CM$508,1),COUNT($CM$9:$CM$508)+1)))</f>
        <v/>
      </c>
      <c r="CO222" s="135" t="str">
        <f aca="false">IF(ISBLANK($C222),"",IF($BZ222&lt;&gt;Constants!$B$8,$BZ222,COUNTIFS($CF$9:$CF$508,"&lt;"&amp;$CF222)+COUNTIFS($CF$9:$CF$508,$CF222,$CH$9:$CH$508,"&lt;"&amp;$CH222)+COUNTIFS($CF$9:$CF$508,$CF222,$CH$9:$CH$508,$CH222,$CJ$9:$CJ$508,"&lt;"&amp;$CJ222)+COUNTIFS($CF$9:$CF$508,$CF222,$CH$9:$CH$508,$CH222,$CJ$9:$CJ$508,$CJ222,$CL$9:$CL$508,"&lt;"&amp;$CL222)+COUNTIFS($CF$9:$CF$508,$CF222,$CH$9:$CH$508,$CH222,$CJ$9:$CJ$508,$CJ222,$CL$9:$CL$508,$CL222,$CN$9:$CN$508,"&lt;"&amp;$CN222)+1))</f>
        <v/>
      </c>
      <c r="CP222" s="135" t="str">
        <f aca="false">IF(ISBLANK($C222),"",IF($BZ222&lt;&gt;Constants!$B$8,$BZ222,$CF222-$CO222))</f>
        <v/>
      </c>
      <c r="CQ222" s="141"/>
      <c r="CR222" s="142"/>
      <c r="CS222" s="143" t="str">
        <f aca="false">IF(ISBLANK($C222),"",IF($BZ222=Constants!$B$12,$BY222,""))</f>
        <v/>
      </c>
      <c r="CT222" s="142" t="str">
        <f aca="false">IF(ISBLANK($C222),"",IF($BZ222&lt;&gt;Constants!$B$8,"",IF($BM222="-&gt;",2,1)))</f>
        <v/>
      </c>
      <c r="CU222" s="144" t="str">
        <f aca="false">IF(ISBLANK($C222),"",IF($BZ222&lt;&gt;Constants!$B$8,"",IF($BM222="-&gt;",$BO222,$BC222)))</f>
        <v/>
      </c>
      <c r="CV222" s="144" t="str">
        <f aca="false">IF(ISBLANK($C222),"",IF($BZ222&lt;&gt;Constants!$B$8,"",IF($BM222="-&gt;",$BP222,$BD222)))</f>
        <v/>
      </c>
      <c r="CW222" s="144" t="str">
        <f aca="false">IF(ISBLANK($C222),"",IF($BZ222&lt;&gt;Constants!$B$8,"",IF($BM222="-&gt;",$BQ222+$BR222,$BE222+$BF222)+$CD222))</f>
        <v/>
      </c>
      <c r="CX222" s="144" t="str">
        <f aca="false">IF(ISBLANK($C222),"",IF($BZ222&lt;&gt;Constants!$B$8,"",IF($BM222="-&gt;",$BS222,$BG222)+$CC222))</f>
        <v/>
      </c>
      <c r="CY222" s="145" t="str">
        <f aca="false">IF(ISBLANK($C222),"",IF($BZ222&lt;&gt;Constants!$B$8,$BZ222,$CE222))</f>
        <v/>
      </c>
      <c r="CZ222" s="146" t="str">
        <f aca="false">IF(ISBLANK($C222),"",$CA222)</f>
        <v/>
      </c>
      <c r="DA222" s="147" t="str">
        <f aca="false">IF(ISBLANK($C222),"",$CP222)</f>
        <v/>
      </c>
      <c r="DB222" s="147" t="str">
        <f aca="false">IF(ISBLANK($C222),"",$CO222)</f>
        <v/>
      </c>
      <c r="DC222" s="148" t="str">
        <f aca="false">IF(ISBLANK($C222),"",IFERROR(_xlfn.SWITCH($DB222,Constants!$B$11,COUNTA($C$9:$C$508)+2,Constants!$B$10,COUNTA($C$9:$C$508)+1,Constants!$B$9,COUNTA($C$9:$C$508)),$DB222))</f>
        <v/>
      </c>
      <c r="DD222" s="9"/>
      <c r="DE222" s="149" t="n">
        <f aca="false">IF(OR(ISNUMBER($DB222),$DB222=Constants!$B$11,$DB222=Constants!$B$9,$DB222=Constants!$B$10),1,0)</f>
        <v>0</v>
      </c>
      <c r="DF222" s="149" t="n">
        <v>214</v>
      </c>
      <c r="DG222" s="149" t="str">
        <f aca="false">IF(ISBLANK($C222),"",IF(ISNUMBER($DC222),$DC222+ROW($B222)/1000,""))</f>
        <v/>
      </c>
      <c r="DH222" s="149" t="str">
        <f aca="false">IF(ISNUMBER($DG222),RANK($DG222,$DG$9:$DG$508,1),"")</f>
        <v/>
      </c>
      <c r="DI222" s="149" t="str">
        <f aca="false">IF(ISBLANK($C222),"",$B222)</f>
        <v/>
      </c>
      <c r="DJ222" s="149" t="str">
        <f aca="false">IF(ISBLANK($C222),"",$C222)</f>
        <v/>
      </c>
      <c r="DK222" s="149" t="str">
        <f aca="false">IF(ISBLANK($C222),"",$D222)</f>
        <v/>
      </c>
      <c r="DL222" s="150" t="str">
        <f aca="false">$CZ222</f>
        <v/>
      </c>
      <c r="DM222" s="151" t="str">
        <f aca="false">$CY222</f>
        <v/>
      </c>
      <c r="DN222" s="149" t="str">
        <f aca="false">IF(ISBLANK($C222),"",$DB222)</f>
        <v/>
      </c>
      <c r="DO222" s="152" t="str">
        <f aca="false">IF($DF222&gt;$DE$8,"",VLOOKUP($DF222,$DH$9:$DN$508,7,FALSE()))</f>
        <v/>
      </c>
      <c r="DP222" s="153" t="str">
        <f aca="false">IF($DF222&gt;$DE$8,"",VLOOKUP($DF222,$DH$9:$DN$508,2,FALSE()))</f>
        <v/>
      </c>
      <c r="DQ222" s="153" t="str">
        <f aca="false">IF($DF222&gt;$DE$8,"",VLOOKUP($DF222,$DH$9:$DN$508,3,FALSE()))</f>
        <v/>
      </c>
      <c r="DR222" s="153" t="str">
        <f aca="false">IF($DF222&gt;$DE$8,"",VLOOKUP($DF222,$DH$9:$DN$508,4,FALSE()))</f>
        <v/>
      </c>
      <c r="DS222" s="153" t="str">
        <f aca="false">IF($DF222&gt;$DE$8,"",VLOOKUP($DF222,$DH$9:$DN$508,5,FALSE()))</f>
        <v/>
      </c>
      <c r="DT222" s="154" t="str">
        <f aca="false">IF($DF222&gt;$DE$8,"",VLOOKUP($DF222,$DH$9:$DN$508,6,FALSE()))</f>
        <v/>
      </c>
      <c r="DU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IF(ISBLANK($C223),"",IF(E223=Constants!$B$3,TRUE(),IF(E223=Constants!$B$4,FALSE(),TRUE())))</f>
        <v/>
      </c>
      <c r="AG223" s="135" t="str">
        <f aca="false">IF(ISBLANK($C223),"",IF(F223=Constants!$B$3,TRUE(),IF(F223=Constants!$B$4,FALSE(),TRUE())))</f>
        <v/>
      </c>
      <c r="AH223" s="135" t="str">
        <f aca="false">IF(ISBLANK($C223),"",IF(G223=Constants!$B$3,TRUE(),IF(G223=Constants!$B$4,FALSE(),TRUE())))</f>
        <v/>
      </c>
      <c r="AI223" s="135" t="str">
        <f aca="false">IF(ISBLANK($C223),"",IF(AND(ISNUMBER(H223),H223&gt;=0),H223,Constants!$B$29))</f>
        <v/>
      </c>
      <c r="AJ223" s="135" t="str">
        <f aca="false">IF(ISBLANK($C223),"",IF(I223=Constants!$B$3,TRUE(),IF(I223=Constants!$B$4,FALSE(),TRUE())))</f>
        <v/>
      </c>
      <c r="AK223" s="135" t="str">
        <f aca="false">IF(ISBLANK($C223),"",IF(J223=Constants!$B$3,TRUE(),IF(J223=Constants!$B$4,FALSE(),TRUE())))</f>
        <v/>
      </c>
      <c r="AL223" s="135" t="str">
        <f aca="false">IF(ISBLANK($C223),"",IF(K223=Constants!$B$5,TRUE(),IF(K223=Constants!$B$6,FALSE(),COUNTA(L223:P223)&gt;0)))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IF(ISBLANK($C223),"",IF(N223=Constants!$B$3,TRUE(),IF(N223=Constants!$B$4,FALSE(),TRUE())))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IF(ISBLANK($C223),"",IF(P223=Constants!$B$3,TRUE(),IF(P223=Constants!$B$4,FALSE(),FALSE())))</f>
        <v/>
      </c>
      <c r="AR223" s="135" t="str">
        <f aca="false">IF(ISBLANK($C223),"",IF(Q223=Constants!$B$3,TRUE(),IF(Q223=Constants!$B$4,FALSE(),TRUE())))</f>
        <v/>
      </c>
      <c r="AS223" s="135" t="str">
        <f aca="false">IF(ISBLANK($C223),"",IF(R223=Constants!$B$3,TRUE(),IF(R223=Constants!$B$4,FALSE(),TRUE())))</f>
        <v/>
      </c>
      <c r="AT223" s="135" t="str">
        <f aca="false">IF(ISBLANK($C223),"",IF(S223=Constants!$B$5,TRUE(),IF(S223=Constants!$B$6,FALSE(),COUNTA(T223:X223)&gt;0)))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IF(ISBLANK($C223),"",IF(V223=Constants!$B$3,TRUE(),IF(V223=Constants!$B$4,FALSE(),TRUE())))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IF(ISBLANK($C223),"",IF(X223=Constants!$B$3,TRUE(),IF(X223=Constants!$B$4,FALSE(),FALSE())))</f>
        <v/>
      </c>
      <c r="AZ223" s="135" t="str">
        <f aca="false">IF(ISBLANK($C223),"",MIN(Constants!$B$31,MAX(0,IF(ISNUMBER(Y223),Y223*60,0)+IF(ISNUMBER(Z223),Z223,0))))</f>
        <v/>
      </c>
      <c r="BA223" s="135" t="str">
        <f aca="false">IF(ISBLANK($C223),"",IF(AA223=Constants!$B$3,TRUE(),IF(AA223=Constants!$B$4,FALSE(),FALSE())))</f>
        <v/>
      </c>
      <c r="BB223" s="134" t="str">
        <f aca="false">IF(ISBLANK($C223),"",AND($AL223,OR($AM223="",$AN223="",AND($AO223,$AP223=""))))</f>
        <v/>
      </c>
      <c r="BC223" s="137" t="str">
        <f aca="false">IF($BZ223&lt;&gt;Constants!$B$8,"",IF($AL223,Constants!$B$21*$AN223+Constants!$B$22*IF($AO223,$AP223,Constants!$B$23),Constants!$B$24))</f>
        <v/>
      </c>
      <c r="BD223" s="138" t="str">
        <f aca="false">IF($BZ223&lt;&gt;Constants!$B$8,"",Constants!$B$25*ABS($AD$9-IF($AL223,$AM223,0)))</f>
        <v/>
      </c>
      <c r="BE223" s="138" t="str">
        <f aca="false">IF($BZ223&lt;&gt;Constants!$B$8,"",IF(AND($AL223,$AQ223,$AO223),Constants!$B$27,0))</f>
        <v/>
      </c>
      <c r="BF223" s="138" t="str">
        <f aca="false">IF($BZ223&lt;&gt;Constants!$B$8,"",IF($AL223,($AI223-Constants!$B$29)*Constants!$B$28,0))</f>
        <v/>
      </c>
      <c r="BG223" s="138" t="str">
        <f aca="false">IF($BZ223&lt;&gt;Constants!$B$8,"",IF($AK223,0,Constants!$B$15)+IF($AJ223,0,Constants!$B$16)+IF($AH223,0,Constants!$B$17))</f>
        <v/>
      </c>
      <c r="BH223" s="139" t="str">
        <f aca="false">IF($BZ223&lt;&gt;Constants!$B$8,"",Constants!$B$20+SUM($BC223:$BG223))</f>
        <v/>
      </c>
      <c r="BI223" s="138" t="str">
        <f aca="false">IF($BZ223&lt;&gt;Constants!$B$8,"",$BC223)</f>
        <v/>
      </c>
      <c r="BJ223" s="138" t="str">
        <f aca="false">IF($BZ223&lt;&gt;Constants!$B$8,"",$BD223)</f>
        <v/>
      </c>
      <c r="BK223" s="138" t="str">
        <f aca="false">IF($BZ223&lt;&gt;Constants!$B$8,"",IF($AL223,$AN223,""))</f>
        <v/>
      </c>
      <c r="BL223" s="140" t="str">
        <f aca="false">IF($BZ223&lt;&gt;Constants!$B$8,"",$AI223)</f>
        <v/>
      </c>
      <c r="BM223" s="135" t="str">
        <f aca="false">IF($BZ223&lt;&gt;Constants!$B$8,"",IF(OR($BT223&lt;$BH223,AND($BT223=$BH223,OR($BU223&lt;$BI223,AND($BU223=$BI223,OR($BV223&lt;$BJ223,AND($BV223=$BJ223,OR(AND(ISNUMBER($BW223),OR(NOT(ISNUMBER($BK223)),$BW223&lt;$BK223)),AND(OR(AND($BW223="",$BK223=""),AND(ISNUMBER($BW223),ISNUMBER($BK223),$BW223=$BK223)),$BX223&lt;$BL223)))))))),"-&gt;","&lt;-"))</f>
        <v/>
      </c>
      <c r="BN223" s="134" t="str">
        <f aca="false">IF(ISBLANK($C223),"",AND($AT223,OR($AU223="",$AV223="",AND($AW223,$AX223=""))))</f>
        <v/>
      </c>
      <c r="BO223" s="137" t="str">
        <f aca="false">IF($BZ223&lt;&gt;Constants!$B$8,"",IF($AT223,Constants!$B$21*$AV223+Constants!$B$22*IF($AW223,$AX223,Constants!$B$23),Constants!$B$24))</f>
        <v/>
      </c>
      <c r="BP223" s="138" t="str">
        <f aca="false">IF($BZ223&lt;&gt;Constants!$B$8,"",Constants!$B$25*ABS($AD$9-IF($AT223,$AU223,0)))</f>
        <v/>
      </c>
      <c r="BQ223" s="138" t="str">
        <f aca="false">IF($BZ223&lt;&gt;Constants!$B$8,"",IF(AND($AT223,$AY223,$AW223),Constants!$B$27,0))</f>
        <v/>
      </c>
      <c r="BR223" s="138" t="str">
        <f aca="false">IF($BZ223&lt;&gt;Constants!$B$8,"",IF($AT223,($AI223-Constants!$B$29)*Constants!$B$28,0))</f>
        <v/>
      </c>
      <c r="BS223" s="138" t="str">
        <f aca="false">IF($BZ223&lt;&gt;Constants!$B$8,"",IF($AS223,0,Constants!$B$15)+IF($AR223,0,Constants!$B$16)+IF($AH223,0,Constants!$B$17))</f>
        <v/>
      </c>
      <c r="BT223" s="139" t="str">
        <f aca="false">IF($BZ223&lt;&gt;Constants!$B$8,"",Constants!$B$20+SUM($BO223:$BS223))</f>
        <v/>
      </c>
      <c r="BU223" s="138" t="str">
        <f aca="false">IF($BZ223&lt;&gt;Constants!$B$8,"",$BO223)</f>
        <v/>
      </c>
      <c r="BV223" s="138" t="str">
        <f aca="false">IF($BZ223&lt;&gt;Constants!$B$8,"",$BP223)</f>
        <v/>
      </c>
      <c r="BW223" s="138" t="str">
        <f aca="false">IF($BZ223&lt;&gt;Constants!$B$8,"",IF($AT223,$AV223,""))</f>
        <v/>
      </c>
      <c r="BX223" s="140" t="str">
        <f aca="false">IF($BZ223&lt;&gt;Constants!$B$8,"",$AI223)</f>
        <v/>
      </c>
      <c r="BY223" s="135" t="str">
        <f aca="false">IF(ISBLANK($C223),"",IF(ISBLANK($D$7),$BY$5,IF(NOT(ISNUMBER($D$7)),$BY$6,"")))</f>
        <v/>
      </c>
      <c r="BZ223" s="135" t="str">
        <f aca="false">IF(ISBLANK($C223),"",IF($BA223,Constants!$B$11,IF(COUNTA($E223:$AA223)=0,Constants!$B$10,IF(NOT($AG223),Constants!$B$9,IF(OR($BY223&lt;&gt;"",$BB223,$BN223),Constants!$B$12,Constants!$B$8)))))</f>
        <v/>
      </c>
      <c r="CA223" s="135" t="str">
        <f aca="false">IF(ISBLANK($C223),"",IF($BZ223&lt;&gt;Constants!$B$8,$BZ223,Constants!$B$13))</f>
        <v/>
      </c>
      <c r="CB223" s="138" t="str">
        <f aca="false">IF($BZ223&lt;&gt;Constants!$B$8,"",IF($BM223="-&gt;",$BT223,$BH223))</f>
        <v/>
      </c>
      <c r="CC223" s="138" t="str">
        <f aca="false">IF($BZ223&lt;&gt;Constants!$B$8,"",IF($AF223,0,Constants!$B$18))</f>
        <v/>
      </c>
      <c r="CD223" s="138" t="str">
        <f aca="false">IF($BZ223&lt;&gt;Constants!$B$8,"",((Constants!$B$31-$AZ223)-Constants!$B$31)/Constants!$B$32)</f>
        <v/>
      </c>
      <c r="CE223" s="138" t="str">
        <f aca="false">IF(ISBLANK($C223),"",IF($BZ223&lt;&gt;Constants!$B$8,$BZ223,SUM($CB223:$CD223)))</f>
        <v/>
      </c>
      <c r="CF223" s="135" t="str">
        <f aca="false">IF(ISBLANK($C223),"",IF($BZ223&lt;&gt;Constants!$B$8,$BZ223,RANK($CE223,$CE$9:$CE$508,1)))</f>
        <v/>
      </c>
      <c r="CG223" s="138" t="str">
        <f aca="false">IF($BZ223&lt;&gt;Constants!$B$8,"",IF($BM223="-&gt;",$BU223,$BI223))</f>
        <v/>
      </c>
      <c r="CH223" s="135" t="str">
        <f aca="false">IF(ISBLANK($C223),"",IF($BZ223&lt;&gt;Constants!$B$8,$BZ223,IF(ISNUMBER($CG223),RANK($CG223,$CG$9:$CG$508,1),COUNT($CG$9:$CG$508)+1)))</f>
        <v/>
      </c>
      <c r="CI223" s="138" t="str">
        <f aca="false">IF($BZ223&lt;&gt;Constants!$B$8,"",IF($BM223="-&gt;",$BV223,$BJ223))</f>
        <v/>
      </c>
      <c r="CJ223" s="135" t="str">
        <f aca="false">IF(ISBLANK($C223),"",IF($BZ223&lt;&gt;Constants!$B$8,$BZ223,IF(ISNUMBER($CI223),RANK($CI223,$CI$9:$CI$508,1),COUNT($CI$9:$CI$508)+1)))</f>
        <v/>
      </c>
      <c r="CK223" s="138" t="str">
        <f aca="false">IF($BZ223&lt;&gt;Constants!$B$8,"",IF($BM223="-&gt;",$BW223,$BK223))</f>
        <v/>
      </c>
      <c r="CL223" s="135" t="str">
        <f aca="false">IF(ISBLANK($C223),"",IF($BZ223&lt;&gt;Constants!$B$8,$BZ223,IF(ISNUMBER($CK223),RANK($CK223,$CK$9:$CK$508,1),COUNT($CK$9:$CK$508)+1)))</f>
        <v/>
      </c>
      <c r="CM223" s="138" t="str">
        <f aca="false">IF($BZ223&lt;&gt;Constants!$B$8,"",IF(AND(NOT($AL223),NOT($AT223),$AJ223,$AK223,$AR223,$AS223),"",IF($BM223="-&gt;",$BX223,$BL223)))</f>
        <v/>
      </c>
      <c r="CN223" s="135" t="str">
        <f aca="false">IF(ISBLANK($C223),"",IF($BZ223&lt;&gt;Constants!$B$8,$BZ223,IF(ISNUMBER($CM223),RANK($CM223,$CM$9:$CM$508,1),COUNT($CM$9:$CM$508)+1)))</f>
        <v/>
      </c>
      <c r="CO223" s="135" t="str">
        <f aca="false">IF(ISBLANK($C223),"",IF($BZ223&lt;&gt;Constants!$B$8,$BZ223,COUNTIFS($CF$9:$CF$508,"&lt;"&amp;$CF223)+COUNTIFS($CF$9:$CF$508,$CF223,$CH$9:$CH$508,"&lt;"&amp;$CH223)+COUNTIFS($CF$9:$CF$508,$CF223,$CH$9:$CH$508,$CH223,$CJ$9:$CJ$508,"&lt;"&amp;$CJ223)+COUNTIFS($CF$9:$CF$508,$CF223,$CH$9:$CH$508,$CH223,$CJ$9:$CJ$508,$CJ223,$CL$9:$CL$508,"&lt;"&amp;$CL223)+COUNTIFS($CF$9:$CF$508,$CF223,$CH$9:$CH$508,$CH223,$CJ$9:$CJ$508,$CJ223,$CL$9:$CL$508,$CL223,$CN$9:$CN$508,"&lt;"&amp;$CN223)+1))</f>
        <v/>
      </c>
      <c r="CP223" s="135" t="str">
        <f aca="false">IF(ISBLANK($C223),"",IF($BZ223&lt;&gt;Constants!$B$8,$BZ223,$CF223-$CO223))</f>
        <v/>
      </c>
      <c r="CQ223" s="141"/>
      <c r="CR223" s="142"/>
      <c r="CS223" s="143" t="str">
        <f aca="false">IF(ISBLANK($C223),"",IF($BZ223=Constants!$B$12,$BY223,""))</f>
        <v/>
      </c>
      <c r="CT223" s="142" t="str">
        <f aca="false">IF(ISBLANK($C223),"",IF($BZ223&lt;&gt;Constants!$B$8,"",IF($BM223="-&gt;",2,1)))</f>
        <v/>
      </c>
      <c r="CU223" s="144" t="str">
        <f aca="false">IF(ISBLANK($C223),"",IF($BZ223&lt;&gt;Constants!$B$8,"",IF($BM223="-&gt;",$BO223,$BC223)))</f>
        <v/>
      </c>
      <c r="CV223" s="144" t="str">
        <f aca="false">IF(ISBLANK($C223),"",IF($BZ223&lt;&gt;Constants!$B$8,"",IF($BM223="-&gt;",$BP223,$BD223)))</f>
        <v/>
      </c>
      <c r="CW223" s="144" t="str">
        <f aca="false">IF(ISBLANK($C223),"",IF($BZ223&lt;&gt;Constants!$B$8,"",IF($BM223="-&gt;",$BQ223+$BR223,$BE223+$BF223)+$CD223))</f>
        <v/>
      </c>
      <c r="CX223" s="144" t="str">
        <f aca="false">IF(ISBLANK($C223),"",IF($BZ223&lt;&gt;Constants!$B$8,"",IF($BM223="-&gt;",$BS223,$BG223)+$CC223))</f>
        <v/>
      </c>
      <c r="CY223" s="145" t="str">
        <f aca="false">IF(ISBLANK($C223),"",IF($BZ223&lt;&gt;Constants!$B$8,$BZ223,$CE223))</f>
        <v/>
      </c>
      <c r="CZ223" s="146" t="str">
        <f aca="false">IF(ISBLANK($C223),"",$CA223)</f>
        <v/>
      </c>
      <c r="DA223" s="147" t="str">
        <f aca="false">IF(ISBLANK($C223),"",$CP223)</f>
        <v/>
      </c>
      <c r="DB223" s="147" t="str">
        <f aca="false">IF(ISBLANK($C223),"",$CO223)</f>
        <v/>
      </c>
      <c r="DC223" s="148" t="str">
        <f aca="false">IF(ISBLANK($C223),"",IFERROR(_xlfn.SWITCH($DB223,Constants!$B$11,COUNTA($C$9:$C$508)+2,Constants!$B$10,COUNTA($C$9:$C$508)+1,Constants!$B$9,COUNTA($C$9:$C$508)),$DB223))</f>
        <v/>
      </c>
      <c r="DD223" s="9"/>
      <c r="DE223" s="149" t="n">
        <f aca="false">IF(OR(ISNUMBER($DB223),$DB223=Constants!$B$11,$DB223=Constants!$B$9,$DB223=Constants!$B$10),1,0)</f>
        <v>0</v>
      </c>
      <c r="DF223" s="149" t="n">
        <v>215</v>
      </c>
      <c r="DG223" s="149" t="str">
        <f aca="false">IF(ISBLANK($C223),"",IF(ISNUMBER($DC223),$DC223+ROW($B223)/1000,""))</f>
        <v/>
      </c>
      <c r="DH223" s="149" t="str">
        <f aca="false">IF(ISNUMBER($DG223),RANK($DG223,$DG$9:$DG$508,1),"")</f>
        <v/>
      </c>
      <c r="DI223" s="149" t="str">
        <f aca="false">IF(ISBLANK($C223),"",$B223)</f>
        <v/>
      </c>
      <c r="DJ223" s="149" t="str">
        <f aca="false">IF(ISBLANK($C223),"",$C223)</f>
        <v/>
      </c>
      <c r="DK223" s="149" t="str">
        <f aca="false">IF(ISBLANK($C223),"",$D223)</f>
        <v/>
      </c>
      <c r="DL223" s="150" t="str">
        <f aca="false">$CZ223</f>
        <v/>
      </c>
      <c r="DM223" s="151" t="str">
        <f aca="false">$CY223</f>
        <v/>
      </c>
      <c r="DN223" s="149" t="str">
        <f aca="false">IF(ISBLANK($C223),"",$DB223)</f>
        <v/>
      </c>
      <c r="DO223" s="152" t="str">
        <f aca="false">IF($DF223&gt;$DE$8,"",VLOOKUP($DF223,$DH$9:$DN$508,7,FALSE()))</f>
        <v/>
      </c>
      <c r="DP223" s="153" t="str">
        <f aca="false">IF($DF223&gt;$DE$8,"",VLOOKUP($DF223,$DH$9:$DN$508,2,FALSE()))</f>
        <v/>
      </c>
      <c r="DQ223" s="153" t="str">
        <f aca="false">IF($DF223&gt;$DE$8,"",VLOOKUP($DF223,$DH$9:$DN$508,3,FALSE()))</f>
        <v/>
      </c>
      <c r="DR223" s="153" t="str">
        <f aca="false">IF($DF223&gt;$DE$8,"",VLOOKUP($DF223,$DH$9:$DN$508,4,FALSE()))</f>
        <v/>
      </c>
      <c r="DS223" s="153" t="str">
        <f aca="false">IF($DF223&gt;$DE$8,"",VLOOKUP($DF223,$DH$9:$DN$508,5,FALSE()))</f>
        <v/>
      </c>
      <c r="DT223" s="154" t="str">
        <f aca="false">IF($DF223&gt;$DE$8,"",VLOOKUP($DF223,$DH$9:$DN$508,6,FALSE()))</f>
        <v/>
      </c>
      <c r="DU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IF(ISBLANK($C224),"",IF(E224=Constants!$B$3,TRUE(),IF(E224=Constants!$B$4,FALSE(),TRUE())))</f>
        <v/>
      </c>
      <c r="AG224" s="135" t="str">
        <f aca="false">IF(ISBLANK($C224),"",IF(F224=Constants!$B$3,TRUE(),IF(F224=Constants!$B$4,FALSE(),TRUE())))</f>
        <v/>
      </c>
      <c r="AH224" s="135" t="str">
        <f aca="false">IF(ISBLANK($C224),"",IF(G224=Constants!$B$3,TRUE(),IF(G224=Constants!$B$4,FALSE(),TRUE())))</f>
        <v/>
      </c>
      <c r="AI224" s="135" t="str">
        <f aca="false">IF(ISBLANK($C224),"",IF(AND(ISNUMBER(H224),H224&gt;=0),H224,Constants!$B$29))</f>
        <v/>
      </c>
      <c r="AJ224" s="135" t="str">
        <f aca="false">IF(ISBLANK($C224),"",IF(I224=Constants!$B$3,TRUE(),IF(I224=Constants!$B$4,FALSE(),TRUE())))</f>
        <v/>
      </c>
      <c r="AK224" s="135" t="str">
        <f aca="false">IF(ISBLANK($C224),"",IF(J224=Constants!$B$3,TRUE(),IF(J224=Constants!$B$4,FALSE(),TRUE())))</f>
        <v/>
      </c>
      <c r="AL224" s="135" t="str">
        <f aca="false">IF(ISBLANK($C224),"",IF(K224=Constants!$B$5,TRUE(),IF(K224=Constants!$B$6,FALSE(),COUNTA(L224:P224)&gt;0)))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IF(ISBLANK($C224),"",IF(N224=Constants!$B$3,TRUE(),IF(N224=Constants!$B$4,FALSE(),TRUE())))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IF(ISBLANK($C224),"",IF(P224=Constants!$B$3,TRUE(),IF(P224=Constants!$B$4,FALSE(),FALSE())))</f>
        <v/>
      </c>
      <c r="AR224" s="135" t="str">
        <f aca="false">IF(ISBLANK($C224),"",IF(Q224=Constants!$B$3,TRUE(),IF(Q224=Constants!$B$4,FALSE(),TRUE())))</f>
        <v/>
      </c>
      <c r="AS224" s="135" t="str">
        <f aca="false">IF(ISBLANK($C224),"",IF(R224=Constants!$B$3,TRUE(),IF(R224=Constants!$B$4,FALSE(),TRUE())))</f>
        <v/>
      </c>
      <c r="AT224" s="135" t="str">
        <f aca="false">IF(ISBLANK($C224),"",IF(S224=Constants!$B$5,TRUE(),IF(S224=Constants!$B$6,FALSE(),COUNTA(T224:X224)&gt;0)))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IF(ISBLANK($C224),"",IF(V224=Constants!$B$3,TRUE(),IF(V224=Constants!$B$4,FALSE(),TRUE())))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IF(ISBLANK($C224),"",IF(X224=Constants!$B$3,TRUE(),IF(X224=Constants!$B$4,FALSE(),FALSE())))</f>
        <v/>
      </c>
      <c r="AZ224" s="135" t="str">
        <f aca="false">IF(ISBLANK($C224),"",MIN(Constants!$B$31,MAX(0,IF(ISNUMBER(Y224),Y224*60,0)+IF(ISNUMBER(Z224),Z224,0))))</f>
        <v/>
      </c>
      <c r="BA224" s="135" t="str">
        <f aca="false">IF(ISBLANK($C224),"",IF(AA224=Constants!$B$3,TRUE(),IF(AA224=Constants!$B$4,FALSE(),FALSE())))</f>
        <v/>
      </c>
      <c r="BB224" s="134" t="str">
        <f aca="false">IF(ISBLANK($C224),"",AND($AL224,OR($AM224="",$AN224="",AND($AO224,$AP224=""))))</f>
        <v/>
      </c>
      <c r="BC224" s="137" t="str">
        <f aca="false">IF($BZ224&lt;&gt;Constants!$B$8,"",IF($AL224,Constants!$B$21*$AN224+Constants!$B$22*IF($AO224,$AP224,Constants!$B$23),Constants!$B$24))</f>
        <v/>
      </c>
      <c r="BD224" s="138" t="str">
        <f aca="false">IF($BZ224&lt;&gt;Constants!$B$8,"",Constants!$B$25*ABS($AD$9-IF($AL224,$AM224,0)))</f>
        <v/>
      </c>
      <c r="BE224" s="138" t="str">
        <f aca="false">IF($BZ224&lt;&gt;Constants!$B$8,"",IF(AND($AL224,$AQ224,$AO224),Constants!$B$27,0))</f>
        <v/>
      </c>
      <c r="BF224" s="138" t="str">
        <f aca="false">IF($BZ224&lt;&gt;Constants!$B$8,"",IF($AL224,($AI224-Constants!$B$29)*Constants!$B$28,0))</f>
        <v/>
      </c>
      <c r="BG224" s="138" t="str">
        <f aca="false">IF($BZ224&lt;&gt;Constants!$B$8,"",IF($AK224,0,Constants!$B$15)+IF($AJ224,0,Constants!$B$16)+IF($AH224,0,Constants!$B$17))</f>
        <v/>
      </c>
      <c r="BH224" s="139" t="str">
        <f aca="false">IF($BZ224&lt;&gt;Constants!$B$8,"",Constants!$B$20+SUM($BC224:$BG224))</f>
        <v/>
      </c>
      <c r="BI224" s="138" t="str">
        <f aca="false">IF($BZ224&lt;&gt;Constants!$B$8,"",$BC224)</f>
        <v/>
      </c>
      <c r="BJ224" s="138" t="str">
        <f aca="false">IF($BZ224&lt;&gt;Constants!$B$8,"",$BD224)</f>
        <v/>
      </c>
      <c r="BK224" s="138" t="str">
        <f aca="false">IF($BZ224&lt;&gt;Constants!$B$8,"",IF($AL224,$AN224,""))</f>
        <v/>
      </c>
      <c r="BL224" s="140" t="str">
        <f aca="false">IF($BZ224&lt;&gt;Constants!$B$8,"",$AI224)</f>
        <v/>
      </c>
      <c r="BM224" s="135" t="str">
        <f aca="false">IF($BZ224&lt;&gt;Constants!$B$8,"",IF(OR($BT224&lt;$BH224,AND($BT224=$BH224,OR($BU224&lt;$BI224,AND($BU224=$BI224,OR($BV224&lt;$BJ224,AND($BV224=$BJ224,OR(AND(ISNUMBER($BW224),OR(NOT(ISNUMBER($BK224)),$BW224&lt;$BK224)),AND(OR(AND($BW224="",$BK224=""),AND(ISNUMBER($BW224),ISNUMBER($BK224),$BW224=$BK224)),$BX224&lt;$BL224)))))))),"-&gt;","&lt;-"))</f>
        <v/>
      </c>
      <c r="BN224" s="134" t="str">
        <f aca="false">IF(ISBLANK($C224),"",AND($AT224,OR($AU224="",$AV224="",AND($AW224,$AX224=""))))</f>
        <v/>
      </c>
      <c r="BO224" s="137" t="str">
        <f aca="false">IF($BZ224&lt;&gt;Constants!$B$8,"",IF($AT224,Constants!$B$21*$AV224+Constants!$B$22*IF($AW224,$AX224,Constants!$B$23),Constants!$B$24))</f>
        <v/>
      </c>
      <c r="BP224" s="138" t="str">
        <f aca="false">IF($BZ224&lt;&gt;Constants!$B$8,"",Constants!$B$25*ABS($AD$9-IF($AT224,$AU224,0)))</f>
        <v/>
      </c>
      <c r="BQ224" s="138" t="str">
        <f aca="false">IF($BZ224&lt;&gt;Constants!$B$8,"",IF(AND($AT224,$AY224,$AW224),Constants!$B$27,0))</f>
        <v/>
      </c>
      <c r="BR224" s="138" t="str">
        <f aca="false">IF($BZ224&lt;&gt;Constants!$B$8,"",IF($AT224,($AI224-Constants!$B$29)*Constants!$B$28,0))</f>
        <v/>
      </c>
      <c r="BS224" s="138" t="str">
        <f aca="false">IF($BZ224&lt;&gt;Constants!$B$8,"",IF($AS224,0,Constants!$B$15)+IF($AR224,0,Constants!$B$16)+IF($AH224,0,Constants!$B$17))</f>
        <v/>
      </c>
      <c r="BT224" s="139" t="str">
        <f aca="false">IF($BZ224&lt;&gt;Constants!$B$8,"",Constants!$B$20+SUM($BO224:$BS224))</f>
        <v/>
      </c>
      <c r="BU224" s="138" t="str">
        <f aca="false">IF($BZ224&lt;&gt;Constants!$B$8,"",$BO224)</f>
        <v/>
      </c>
      <c r="BV224" s="138" t="str">
        <f aca="false">IF($BZ224&lt;&gt;Constants!$B$8,"",$BP224)</f>
        <v/>
      </c>
      <c r="BW224" s="138" t="str">
        <f aca="false">IF($BZ224&lt;&gt;Constants!$B$8,"",IF($AT224,$AV224,""))</f>
        <v/>
      </c>
      <c r="BX224" s="140" t="str">
        <f aca="false">IF($BZ224&lt;&gt;Constants!$B$8,"",$AI224)</f>
        <v/>
      </c>
      <c r="BY224" s="135" t="str">
        <f aca="false">IF(ISBLANK($C224),"",IF(ISBLANK($D$7),$BY$5,IF(NOT(ISNUMBER($D$7)),$BY$6,"")))</f>
        <v/>
      </c>
      <c r="BZ224" s="135" t="str">
        <f aca="false">IF(ISBLANK($C224),"",IF($BA224,Constants!$B$11,IF(COUNTA($E224:$AA224)=0,Constants!$B$10,IF(NOT($AG224),Constants!$B$9,IF(OR($BY224&lt;&gt;"",$BB224,$BN224),Constants!$B$12,Constants!$B$8)))))</f>
        <v/>
      </c>
      <c r="CA224" s="135" t="str">
        <f aca="false">IF(ISBLANK($C224),"",IF($BZ224&lt;&gt;Constants!$B$8,$BZ224,Constants!$B$13))</f>
        <v/>
      </c>
      <c r="CB224" s="138" t="str">
        <f aca="false">IF($BZ224&lt;&gt;Constants!$B$8,"",IF($BM224="-&gt;",$BT224,$BH224))</f>
        <v/>
      </c>
      <c r="CC224" s="138" t="str">
        <f aca="false">IF($BZ224&lt;&gt;Constants!$B$8,"",IF($AF224,0,Constants!$B$18))</f>
        <v/>
      </c>
      <c r="CD224" s="138" t="str">
        <f aca="false">IF($BZ224&lt;&gt;Constants!$B$8,"",((Constants!$B$31-$AZ224)-Constants!$B$31)/Constants!$B$32)</f>
        <v/>
      </c>
      <c r="CE224" s="138" t="str">
        <f aca="false">IF(ISBLANK($C224),"",IF($BZ224&lt;&gt;Constants!$B$8,$BZ224,SUM($CB224:$CD224)))</f>
        <v/>
      </c>
      <c r="CF224" s="135" t="str">
        <f aca="false">IF(ISBLANK($C224),"",IF($BZ224&lt;&gt;Constants!$B$8,$BZ224,RANK($CE224,$CE$9:$CE$508,1)))</f>
        <v/>
      </c>
      <c r="CG224" s="138" t="str">
        <f aca="false">IF($BZ224&lt;&gt;Constants!$B$8,"",IF($BM224="-&gt;",$BU224,$BI224))</f>
        <v/>
      </c>
      <c r="CH224" s="135" t="str">
        <f aca="false">IF(ISBLANK($C224),"",IF($BZ224&lt;&gt;Constants!$B$8,$BZ224,IF(ISNUMBER($CG224),RANK($CG224,$CG$9:$CG$508,1),COUNT($CG$9:$CG$508)+1)))</f>
        <v/>
      </c>
      <c r="CI224" s="138" t="str">
        <f aca="false">IF($BZ224&lt;&gt;Constants!$B$8,"",IF($BM224="-&gt;",$BV224,$BJ224))</f>
        <v/>
      </c>
      <c r="CJ224" s="135" t="str">
        <f aca="false">IF(ISBLANK($C224),"",IF($BZ224&lt;&gt;Constants!$B$8,$BZ224,IF(ISNUMBER($CI224),RANK($CI224,$CI$9:$CI$508,1),COUNT($CI$9:$CI$508)+1)))</f>
        <v/>
      </c>
      <c r="CK224" s="138" t="str">
        <f aca="false">IF($BZ224&lt;&gt;Constants!$B$8,"",IF($BM224="-&gt;",$BW224,$BK224))</f>
        <v/>
      </c>
      <c r="CL224" s="135" t="str">
        <f aca="false">IF(ISBLANK($C224),"",IF($BZ224&lt;&gt;Constants!$B$8,$BZ224,IF(ISNUMBER($CK224),RANK($CK224,$CK$9:$CK$508,1),COUNT($CK$9:$CK$508)+1)))</f>
        <v/>
      </c>
      <c r="CM224" s="138" t="str">
        <f aca="false">IF($BZ224&lt;&gt;Constants!$B$8,"",IF(AND(NOT($AL224),NOT($AT224),$AJ224,$AK224,$AR224,$AS224),"",IF($BM224="-&gt;",$BX224,$BL224)))</f>
        <v/>
      </c>
      <c r="CN224" s="135" t="str">
        <f aca="false">IF(ISBLANK($C224),"",IF($BZ224&lt;&gt;Constants!$B$8,$BZ224,IF(ISNUMBER($CM224),RANK($CM224,$CM$9:$CM$508,1),COUNT($CM$9:$CM$508)+1)))</f>
        <v/>
      </c>
      <c r="CO224" s="135" t="str">
        <f aca="false">IF(ISBLANK($C224),"",IF($BZ224&lt;&gt;Constants!$B$8,$BZ224,COUNTIFS($CF$9:$CF$508,"&lt;"&amp;$CF224)+COUNTIFS($CF$9:$CF$508,$CF224,$CH$9:$CH$508,"&lt;"&amp;$CH224)+COUNTIFS($CF$9:$CF$508,$CF224,$CH$9:$CH$508,$CH224,$CJ$9:$CJ$508,"&lt;"&amp;$CJ224)+COUNTIFS($CF$9:$CF$508,$CF224,$CH$9:$CH$508,$CH224,$CJ$9:$CJ$508,$CJ224,$CL$9:$CL$508,"&lt;"&amp;$CL224)+COUNTIFS($CF$9:$CF$508,$CF224,$CH$9:$CH$508,$CH224,$CJ$9:$CJ$508,$CJ224,$CL$9:$CL$508,$CL224,$CN$9:$CN$508,"&lt;"&amp;$CN224)+1))</f>
        <v/>
      </c>
      <c r="CP224" s="135" t="str">
        <f aca="false">IF(ISBLANK($C224),"",IF($BZ224&lt;&gt;Constants!$B$8,$BZ224,$CF224-$CO224))</f>
        <v/>
      </c>
      <c r="CQ224" s="141"/>
      <c r="CR224" s="142"/>
      <c r="CS224" s="143" t="str">
        <f aca="false">IF(ISBLANK($C224),"",IF($BZ224=Constants!$B$12,$BY224,""))</f>
        <v/>
      </c>
      <c r="CT224" s="142" t="str">
        <f aca="false">IF(ISBLANK($C224),"",IF($BZ224&lt;&gt;Constants!$B$8,"",IF($BM224="-&gt;",2,1)))</f>
        <v/>
      </c>
      <c r="CU224" s="144" t="str">
        <f aca="false">IF(ISBLANK($C224),"",IF($BZ224&lt;&gt;Constants!$B$8,"",IF($BM224="-&gt;",$BO224,$BC224)))</f>
        <v/>
      </c>
      <c r="CV224" s="144" t="str">
        <f aca="false">IF(ISBLANK($C224),"",IF($BZ224&lt;&gt;Constants!$B$8,"",IF($BM224="-&gt;",$BP224,$BD224)))</f>
        <v/>
      </c>
      <c r="CW224" s="144" t="str">
        <f aca="false">IF(ISBLANK($C224),"",IF($BZ224&lt;&gt;Constants!$B$8,"",IF($BM224="-&gt;",$BQ224+$BR224,$BE224+$BF224)+$CD224))</f>
        <v/>
      </c>
      <c r="CX224" s="144" t="str">
        <f aca="false">IF(ISBLANK($C224),"",IF($BZ224&lt;&gt;Constants!$B$8,"",IF($BM224="-&gt;",$BS224,$BG224)+$CC224))</f>
        <v/>
      </c>
      <c r="CY224" s="145" t="str">
        <f aca="false">IF(ISBLANK($C224),"",IF($BZ224&lt;&gt;Constants!$B$8,$BZ224,$CE224))</f>
        <v/>
      </c>
      <c r="CZ224" s="146" t="str">
        <f aca="false">IF(ISBLANK($C224),"",$CA224)</f>
        <v/>
      </c>
      <c r="DA224" s="147" t="str">
        <f aca="false">IF(ISBLANK($C224),"",$CP224)</f>
        <v/>
      </c>
      <c r="DB224" s="147" t="str">
        <f aca="false">IF(ISBLANK($C224),"",$CO224)</f>
        <v/>
      </c>
      <c r="DC224" s="148" t="str">
        <f aca="false">IF(ISBLANK($C224),"",IFERROR(_xlfn.SWITCH($DB224,Constants!$B$11,COUNTA($C$9:$C$508)+2,Constants!$B$10,COUNTA($C$9:$C$508)+1,Constants!$B$9,COUNTA($C$9:$C$508)),$DB224))</f>
        <v/>
      </c>
      <c r="DD224" s="9"/>
      <c r="DE224" s="149" t="n">
        <f aca="false">IF(OR(ISNUMBER($DB224),$DB224=Constants!$B$11,$DB224=Constants!$B$9,$DB224=Constants!$B$10),1,0)</f>
        <v>0</v>
      </c>
      <c r="DF224" s="149" t="n">
        <v>216</v>
      </c>
      <c r="DG224" s="149" t="str">
        <f aca="false">IF(ISBLANK($C224),"",IF(ISNUMBER($DC224),$DC224+ROW($B224)/1000,""))</f>
        <v/>
      </c>
      <c r="DH224" s="149" t="str">
        <f aca="false">IF(ISNUMBER($DG224),RANK($DG224,$DG$9:$DG$508,1),"")</f>
        <v/>
      </c>
      <c r="DI224" s="149" t="str">
        <f aca="false">IF(ISBLANK($C224),"",$B224)</f>
        <v/>
      </c>
      <c r="DJ224" s="149" t="str">
        <f aca="false">IF(ISBLANK($C224),"",$C224)</f>
        <v/>
      </c>
      <c r="DK224" s="149" t="str">
        <f aca="false">IF(ISBLANK($C224),"",$D224)</f>
        <v/>
      </c>
      <c r="DL224" s="150" t="str">
        <f aca="false">$CZ224</f>
        <v/>
      </c>
      <c r="DM224" s="151" t="str">
        <f aca="false">$CY224</f>
        <v/>
      </c>
      <c r="DN224" s="149" t="str">
        <f aca="false">IF(ISBLANK($C224),"",$DB224)</f>
        <v/>
      </c>
      <c r="DO224" s="152" t="str">
        <f aca="false">IF($DF224&gt;$DE$8,"",VLOOKUP($DF224,$DH$9:$DN$508,7,FALSE()))</f>
        <v/>
      </c>
      <c r="DP224" s="153" t="str">
        <f aca="false">IF($DF224&gt;$DE$8,"",VLOOKUP($DF224,$DH$9:$DN$508,2,FALSE()))</f>
        <v/>
      </c>
      <c r="DQ224" s="153" t="str">
        <f aca="false">IF($DF224&gt;$DE$8,"",VLOOKUP($DF224,$DH$9:$DN$508,3,FALSE()))</f>
        <v/>
      </c>
      <c r="DR224" s="153" t="str">
        <f aca="false">IF($DF224&gt;$DE$8,"",VLOOKUP($DF224,$DH$9:$DN$508,4,FALSE()))</f>
        <v/>
      </c>
      <c r="DS224" s="153" t="str">
        <f aca="false">IF($DF224&gt;$DE$8,"",VLOOKUP($DF224,$DH$9:$DN$508,5,FALSE()))</f>
        <v/>
      </c>
      <c r="DT224" s="154" t="str">
        <f aca="false">IF($DF224&gt;$DE$8,"",VLOOKUP($DF224,$DH$9:$DN$508,6,FALSE()))</f>
        <v/>
      </c>
      <c r="DU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IF(ISBLANK($C225),"",IF(E225=Constants!$B$3,TRUE(),IF(E225=Constants!$B$4,FALSE(),TRUE())))</f>
        <v/>
      </c>
      <c r="AG225" s="93" t="str">
        <f aca="false">IF(ISBLANK($C225),"",IF(F225=Constants!$B$3,TRUE(),IF(F225=Constants!$B$4,FALSE(),TRUE())))</f>
        <v/>
      </c>
      <c r="AH225" s="93" t="str">
        <f aca="false">IF(ISBLANK($C225),"",IF(G225=Constants!$B$3,TRUE(),IF(G225=Constants!$B$4,FALSE(),TRUE())))</f>
        <v/>
      </c>
      <c r="AI225" s="93" t="str">
        <f aca="false">IF(ISBLANK($C225),"",IF(AND(ISNUMBER(H225),H225&gt;=0),H225,Constants!$B$29))</f>
        <v/>
      </c>
      <c r="AJ225" s="93" t="str">
        <f aca="false">IF(ISBLANK($C225),"",IF(I225=Constants!$B$3,TRUE(),IF(I225=Constants!$B$4,FALSE(),TRUE())))</f>
        <v/>
      </c>
      <c r="AK225" s="93" t="str">
        <f aca="false">IF(ISBLANK($C225),"",IF(J225=Constants!$B$3,TRUE(),IF(J225=Constants!$B$4,FALSE(),TRUE())))</f>
        <v/>
      </c>
      <c r="AL225" s="93" t="str">
        <f aca="false">IF(ISBLANK($C225),"",IF(K225=Constants!$B$5,TRUE(),IF(K225=Constants!$B$6,FALSE(),COUNTA(L225:P225)&gt;0)))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IF(ISBLANK($C225),"",IF(N225=Constants!$B$3,TRUE(),IF(N225=Constants!$B$4,FALSE(),TRUE())))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IF(ISBLANK($C225),"",IF(P225=Constants!$B$3,TRUE(),IF(P225=Constants!$B$4,FALSE(),FALSE())))</f>
        <v/>
      </c>
      <c r="AR225" s="93" t="str">
        <f aca="false">IF(ISBLANK($C225),"",IF(Q225=Constants!$B$3,TRUE(),IF(Q225=Constants!$B$4,FALSE(),TRUE())))</f>
        <v/>
      </c>
      <c r="AS225" s="93" t="str">
        <f aca="false">IF(ISBLANK($C225),"",IF(R225=Constants!$B$3,TRUE(),IF(R225=Constants!$B$4,FALSE(),TRUE())))</f>
        <v/>
      </c>
      <c r="AT225" s="93" t="str">
        <f aca="false">IF(ISBLANK($C225),"",IF(S225=Constants!$B$5,TRUE(),IF(S225=Constants!$B$6,FALSE(),COUNTA(T225:X225)&gt;0)))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IF(ISBLANK($C225),"",IF(V225=Constants!$B$3,TRUE(),IF(V225=Constants!$B$4,FALSE(),TRUE())))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IF(ISBLANK($C225),"",IF(X225=Constants!$B$3,TRUE(),IF(X225=Constants!$B$4,FALSE(),FALSE())))</f>
        <v/>
      </c>
      <c r="AZ225" s="93" t="str">
        <f aca="false">IF(ISBLANK($C225),"",MIN(Constants!$B$31,MAX(0,IF(ISNUMBER(Y225),Y225*60,0)+IF(ISNUMBER(Z225),Z225,0))))</f>
        <v/>
      </c>
      <c r="BA225" s="93" t="str">
        <f aca="false">IF(ISBLANK($C225),"",IF(AA225=Constants!$B$3,TRUE(),IF(AA225=Constants!$B$4,FALSE(),FALSE())))</f>
        <v/>
      </c>
      <c r="BB225" s="92" t="str">
        <f aca="false">IF(ISBLANK($C225),"",AND($AL225,OR($AM225="",$AN225="",AND($AO225,$AP225=""))))</f>
        <v/>
      </c>
      <c r="BC225" s="94" t="str">
        <f aca="false">IF($BZ225&lt;&gt;Constants!$B$8,"",IF($AL225,Constants!$B$21*$AN225+Constants!$B$22*IF($AO225,$AP225,Constants!$B$23),Constants!$B$24))</f>
        <v/>
      </c>
      <c r="BD225" s="97" t="str">
        <f aca="false">IF($BZ225&lt;&gt;Constants!$B$8,"",Constants!$B$25*ABS($AD$9-IF($AL225,$AM225,0)))</f>
        <v/>
      </c>
      <c r="BE225" s="97" t="str">
        <f aca="false">IF($BZ225&lt;&gt;Constants!$B$8,"",IF(AND($AL225,$AQ225,$AO225),Constants!$B$27,0))</f>
        <v/>
      </c>
      <c r="BF225" s="97" t="str">
        <f aca="false">IF($BZ225&lt;&gt;Constants!$B$8,"",IF($AL225,($AI225-Constants!$B$29)*Constants!$B$28,0))</f>
        <v/>
      </c>
      <c r="BG225" s="97" t="str">
        <f aca="false">IF($BZ225&lt;&gt;Constants!$B$8,"",IF($AK225,0,Constants!$B$15)+IF($AJ225,0,Constants!$B$16)+IF($AH225,0,Constants!$B$17))</f>
        <v/>
      </c>
      <c r="BH225" s="98" t="str">
        <f aca="false">IF($BZ225&lt;&gt;Constants!$B$8,"",Constants!$B$20+SUM($BC225:$BG225))</f>
        <v/>
      </c>
      <c r="BI225" s="97" t="str">
        <f aca="false">IF($BZ225&lt;&gt;Constants!$B$8,"",$BC225)</f>
        <v/>
      </c>
      <c r="BJ225" s="97" t="str">
        <f aca="false">IF($BZ225&lt;&gt;Constants!$B$8,"",$BD225)</f>
        <v/>
      </c>
      <c r="BK225" s="97" t="str">
        <f aca="false">IF($BZ225&lt;&gt;Constants!$B$8,"",IF($AL225,$AN225,""))</f>
        <v/>
      </c>
      <c r="BL225" s="99" t="str">
        <f aca="false">IF($BZ225&lt;&gt;Constants!$B$8,"",$AI225)</f>
        <v/>
      </c>
      <c r="BM225" s="93" t="str">
        <f aca="false">IF($BZ225&lt;&gt;Constants!$B$8,"",IF(OR($BT225&lt;$BH225,AND($BT225=$BH225,OR($BU225&lt;$BI225,AND($BU225=$BI225,OR($BV225&lt;$BJ225,AND($BV225=$BJ225,OR(AND(ISNUMBER($BW225),OR(NOT(ISNUMBER($BK225)),$BW225&lt;$BK225)),AND(OR(AND($BW225="",$BK225=""),AND(ISNUMBER($BW225),ISNUMBER($BK225),$BW225=$BK225)),$BX225&lt;$BL225)))))))),"-&gt;","&lt;-"))</f>
        <v/>
      </c>
      <c r="BN225" s="92" t="str">
        <f aca="false">IF(ISBLANK($C225),"",AND($AT225,OR($AU225="",$AV225="",AND($AW225,$AX225=""))))</f>
        <v/>
      </c>
      <c r="BO225" s="94" t="str">
        <f aca="false">IF($BZ225&lt;&gt;Constants!$B$8,"",IF($AT225,Constants!$B$21*$AV225+Constants!$B$22*IF($AW225,$AX225,Constants!$B$23),Constants!$B$24))</f>
        <v/>
      </c>
      <c r="BP225" s="97" t="str">
        <f aca="false">IF($BZ225&lt;&gt;Constants!$B$8,"",Constants!$B$25*ABS($AD$9-IF($AT225,$AU225,0)))</f>
        <v/>
      </c>
      <c r="BQ225" s="97" t="str">
        <f aca="false">IF($BZ225&lt;&gt;Constants!$B$8,"",IF(AND($AT225,$AY225,$AW225),Constants!$B$27,0))</f>
        <v/>
      </c>
      <c r="BR225" s="97" t="str">
        <f aca="false">IF($BZ225&lt;&gt;Constants!$B$8,"",IF($AT225,($AI225-Constants!$B$29)*Constants!$B$28,0))</f>
        <v/>
      </c>
      <c r="BS225" s="97" t="str">
        <f aca="false">IF($BZ225&lt;&gt;Constants!$B$8,"",IF($AS225,0,Constants!$B$15)+IF($AR225,0,Constants!$B$16)+IF($AH225,0,Constants!$B$17))</f>
        <v/>
      </c>
      <c r="BT225" s="98" t="str">
        <f aca="false">IF($BZ225&lt;&gt;Constants!$B$8,"",Constants!$B$20+SUM($BO225:$BS225))</f>
        <v/>
      </c>
      <c r="BU225" s="97" t="str">
        <f aca="false">IF($BZ225&lt;&gt;Constants!$B$8,"",$BO225)</f>
        <v/>
      </c>
      <c r="BV225" s="97" t="str">
        <f aca="false">IF($BZ225&lt;&gt;Constants!$B$8,"",$BP225)</f>
        <v/>
      </c>
      <c r="BW225" s="97" t="str">
        <f aca="false">IF($BZ225&lt;&gt;Constants!$B$8,"",IF($AT225,$AV225,""))</f>
        <v/>
      </c>
      <c r="BX225" s="99" t="str">
        <f aca="false">IF($BZ225&lt;&gt;Constants!$B$8,"",$AI225)</f>
        <v/>
      </c>
      <c r="BY225" s="93" t="str">
        <f aca="false">IF(ISBLANK($C225),"",IF(ISBLANK($D$7),$BY$5,IF(NOT(ISNUMBER($D$7)),$BY$6,"")))</f>
        <v/>
      </c>
      <c r="BZ225" s="93" t="str">
        <f aca="false">IF(ISBLANK($C225),"",IF($BA225,Constants!$B$11,IF(COUNTA($E225:$AA225)=0,Constants!$B$10,IF(NOT($AG225),Constants!$B$9,IF(OR($BY225&lt;&gt;"",$BB225,$BN225),Constants!$B$12,Constants!$B$8)))))</f>
        <v/>
      </c>
      <c r="CA225" s="93" t="str">
        <f aca="false">IF(ISBLANK($C225),"",IF($BZ225&lt;&gt;Constants!$B$8,$BZ225,Constants!$B$13))</f>
        <v/>
      </c>
      <c r="CB225" s="97" t="str">
        <f aca="false">IF($BZ225&lt;&gt;Constants!$B$8,"",IF($BM225="-&gt;",$BT225,$BH225))</f>
        <v/>
      </c>
      <c r="CC225" s="97" t="str">
        <f aca="false">IF($BZ225&lt;&gt;Constants!$B$8,"",IF($AF225,0,Constants!$B$18))</f>
        <v/>
      </c>
      <c r="CD225" s="97" t="str">
        <f aca="false">IF($BZ225&lt;&gt;Constants!$B$8,"",((Constants!$B$31-$AZ225)-Constants!$B$31)/Constants!$B$32)</f>
        <v/>
      </c>
      <c r="CE225" s="97" t="str">
        <f aca="false">IF(ISBLANK($C225),"",IF($BZ225&lt;&gt;Constants!$B$8,$BZ225,SUM($CB225:$CD225)))</f>
        <v/>
      </c>
      <c r="CF225" s="93" t="str">
        <f aca="false">IF(ISBLANK($C225),"",IF($BZ225&lt;&gt;Constants!$B$8,$BZ225,RANK($CE225,$CE$9:$CE$508,1)))</f>
        <v/>
      </c>
      <c r="CG225" s="97" t="str">
        <f aca="false">IF($BZ225&lt;&gt;Constants!$B$8,"",IF($BM225="-&gt;",$BU225,$BI225))</f>
        <v/>
      </c>
      <c r="CH225" s="93" t="str">
        <f aca="false">IF(ISBLANK($C225),"",IF($BZ225&lt;&gt;Constants!$B$8,$BZ225,IF(ISNUMBER($CG225),RANK($CG225,$CG$9:$CG$508,1),COUNT($CG$9:$CG$508)+1)))</f>
        <v/>
      </c>
      <c r="CI225" s="97" t="str">
        <f aca="false">IF($BZ225&lt;&gt;Constants!$B$8,"",IF($BM225="-&gt;",$BV225,$BJ225))</f>
        <v/>
      </c>
      <c r="CJ225" s="93" t="str">
        <f aca="false">IF(ISBLANK($C225),"",IF($BZ225&lt;&gt;Constants!$B$8,$BZ225,IF(ISNUMBER($CI225),RANK($CI225,$CI$9:$CI$508,1),COUNT($CI$9:$CI$508)+1)))</f>
        <v/>
      </c>
      <c r="CK225" s="97" t="str">
        <f aca="false">IF($BZ225&lt;&gt;Constants!$B$8,"",IF($BM225="-&gt;",$BW225,$BK225))</f>
        <v/>
      </c>
      <c r="CL225" s="93" t="str">
        <f aca="false">IF(ISBLANK($C225),"",IF($BZ225&lt;&gt;Constants!$B$8,$BZ225,IF(ISNUMBER($CK225),RANK($CK225,$CK$9:$CK$508,1),COUNT($CK$9:$CK$508)+1)))</f>
        <v/>
      </c>
      <c r="CM225" s="97" t="str">
        <f aca="false">IF($BZ225&lt;&gt;Constants!$B$8,"",IF(AND(NOT($AL225),NOT($AT225),$AJ225,$AK225,$AR225,$AS225),"",IF($BM225="-&gt;",$BX225,$BL225)))</f>
        <v/>
      </c>
      <c r="CN225" s="93" t="str">
        <f aca="false">IF(ISBLANK($C225),"",IF($BZ225&lt;&gt;Constants!$B$8,$BZ225,IF(ISNUMBER($CM225),RANK($CM225,$CM$9:$CM$508,1),COUNT($CM$9:$CM$508)+1)))</f>
        <v/>
      </c>
      <c r="CO225" s="93" t="str">
        <f aca="false">IF(ISBLANK($C225),"",IF($BZ225&lt;&gt;Constants!$B$8,$BZ225,COUNTIFS($CF$9:$CF$508,"&lt;"&amp;$CF225)+COUNTIFS($CF$9:$CF$508,$CF225,$CH$9:$CH$508,"&lt;"&amp;$CH225)+COUNTIFS($CF$9:$CF$508,$CF225,$CH$9:$CH$508,$CH225,$CJ$9:$CJ$508,"&lt;"&amp;$CJ225)+COUNTIFS($CF$9:$CF$508,$CF225,$CH$9:$CH$508,$CH225,$CJ$9:$CJ$508,$CJ225,$CL$9:$CL$508,"&lt;"&amp;$CL225)+COUNTIFS($CF$9:$CF$508,$CF225,$CH$9:$CH$508,$CH225,$CJ$9:$CJ$508,$CJ225,$CL$9:$CL$508,$CL225,$CN$9:$CN$508,"&lt;"&amp;$CN225)+1))</f>
        <v/>
      </c>
      <c r="CP225" s="93" t="str">
        <f aca="false">IF(ISBLANK($C225),"",IF($BZ225&lt;&gt;Constants!$B$8,$BZ225,$CF225-$CO225))</f>
        <v/>
      </c>
      <c r="CQ225" s="100"/>
      <c r="CR225" s="101"/>
      <c r="CS225" s="102" t="str">
        <f aca="false">IF(ISBLANK($C225),"",IF($BZ225=Constants!$B$12,$BY225,""))</f>
        <v/>
      </c>
      <c r="CT225" s="101" t="str">
        <f aca="false">IF(ISBLANK($C225),"",IF($BZ225&lt;&gt;Constants!$B$8,"",IF($BM225="-&gt;",2,1)))</f>
        <v/>
      </c>
      <c r="CU225" s="103" t="str">
        <f aca="false">IF(ISBLANK($C225),"",IF($BZ225&lt;&gt;Constants!$B$8,"",IF($BM225="-&gt;",$BO225,$BC225)))</f>
        <v/>
      </c>
      <c r="CV225" s="103" t="str">
        <f aca="false">IF(ISBLANK($C225),"",IF($BZ225&lt;&gt;Constants!$B$8,"",IF($BM225="-&gt;",$BP225,$BD225)))</f>
        <v/>
      </c>
      <c r="CW225" s="103" t="str">
        <f aca="false">IF(ISBLANK($C225),"",IF($BZ225&lt;&gt;Constants!$B$8,"",IF($BM225="-&gt;",$BQ225+$BR225,$BE225+$BF225)+$CD225))</f>
        <v/>
      </c>
      <c r="CX225" s="103" t="str">
        <f aca="false">IF(ISBLANK($C225),"",IF($BZ225&lt;&gt;Constants!$B$8,"",IF($BM225="-&gt;",$BS225,$BG225)+$CC225))</f>
        <v/>
      </c>
      <c r="CY225" s="104" t="str">
        <f aca="false">IF(ISBLANK($C225),"",IF($BZ225&lt;&gt;Constants!$B$8,$BZ225,$CE225))</f>
        <v/>
      </c>
      <c r="CZ225" s="105" t="str">
        <f aca="false">IF(ISBLANK($C225),"",$CA225)</f>
        <v/>
      </c>
      <c r="DA225" s="106" t="str">
        <f aca="false">IF(ISBLANK($C225),"",$CP225)</f>
        <v/>
      </c>
      <c r="DB225" s="106" t="str">
        <f aca="false">IF(ISBLANK($C225),"",$CO225)</f>
        <v/>
      </c>
      <c r="DC225" s="107" t="str">
        <f aca="false">IF(ISBLANK($C225),"",IFERROR(_xlfn.SWITCH($DB225,Constants!$B$11,COUNTA($C$9:$C$508)+2,Constants!$B$10,COUNTA($C$9:$C$508)+1,Constants!$B$9,COUNTA($C$9:$C$508)),$DB225))</f>
        <v/>
      </c>
      <c r="DD225" s="9"/>
      <c r="DE225" s="108" t="n">
        <f aca="false">IF(OR(ISNUMBER($DB225),$DB225=Constants!$B$11,$DB225=Constants!$B$9,$DB225=Constants!$B$10),1,0)</f>
        <v>0</v>
      </c>
      <c r="DF225" s="108" t="n">
        <v>217</v>
      </c>
      <c r="DG225" s="108" t="str">
        <f aca="false">IF(ISBLANK($C225),"",IF(ISNUMBER($DC225),$DC225+ROW($B225)/1000,""))</f>
        <v/>
      </c>
      <c r="DH225" s="108" t="str">
        <f aca="false">IF(ISNUMBER($DG225),RANK($DG225,$DG$9:$DG$508,1),"")</f>
        <v/>
      </c>
      <c r="DI225" s="108" t="str">
        <f aca="false">IF(ISBLANK($C225),"",$B225)</f>
        <v/>
      </c>
      <c r="DJ225" s="108" t="str">
        <f aca="false">IF(ISBLANK($C225),"",$C225)</f>
        <v/>
      </c>
      <c r="DK225" s="108" t="str">
        <f aca="false">IF(ISBLANK($C225),"",$D225)</f>
        <v/>
      </c>
      <c r="DL225" s="109" t="str">
        <f aca="false">$CZ225</f>
        <v/>
      </c>
      <c r="DM225" s="110" t="str">
        <f aca="false">$CY225</f>
        <v/>
      </c>
      <c r="DN225" s="108" t="str">
        <f aca="false">IF(ISBLANK($C225),"",$DB225)</f>
        <v/>
      </c>
      <c r="DO225" s="111" t="str">
        <f aca="false">IF($DF225&gt;$DE$8,"",VLOOKUP($DF225,$DH$9:$DN$508,7,FALSE()))</f>
        <v/>
      </c>
      <c r="DP225" s="112" t="str">
        <f aca="false">IF($DF225&gt;$DE$8,"",VLOOKUP($DF225,$DH$9:$DN$508,2,FALSE()))</f>
        <v/>
      </c>
      <c r="DQ225" s="112" t="str">
        <f aca="false">IF($DF225&gt;$DE$8,"",VLOOKUP($DF225,$DH$9:$DN$508,3,FALSE()))</f>
        <v/>
      </c>
      <c r="DR225" s="112" t="str">
        <f aca="false">IF($DF225&gt;$DE$8,"",VLOOKUP($DF225,$DH$9:$DN$508,4,FALSE()))</f>
        <v/>
      </c>
      <c r="DS225" s="112" t="str">
        <f aca="false">IF($DF225&gt;$DE$8,"",VLOOKUP($DF225,$DH$9:$DN$508,5,FALSE()))</f>
        <v/>
      </c>
      <c r="DT225" s="113" t="str">
        <f aca="false">IF($DF225&gt;$DE$8,"",VLOOKUP($DF225,$DH$9:$DN$508,6,FALSE()))</f>
        <v/>
      </c>
      <c r="DU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IF(ISBLANK($C226),"",IF(E226=Constants!$B$3,TRUE(),IF(E226=Constants!$B$4,FALSE(),TRUE())))</f>
        <v/>
      </c>
      <c r="AG226" s="93" t="str">
        <f aca="false">IF(ISBLANK($C226),"",IF(F226=Constants!$B$3,TRUE(),IF(F226=Constants!$B$4,FALSE(),TRUE())))</f>
        <v/>
      </c>
      <c r="AH226" s="93" t="str">
        <f aca="false">IF(ISBLANK($C226),"",IF(G226=Constants!$B$3,TRUE(),IF(G226=Constants!$B$4,FALSE(),TRUE())))</f>
        <v/>
      </c>
      <c r="AI226" s="93" t="str">
        <f aca="false">IF(ISBLANK($C226),"",IF(AND(ISNUMBER(H226),H226&gt;=0),H226,Constants!$B$29))</f>
        <v/>
      </c>
      <c r="AJ226" s="93" t="str">
        <f aca="false">IF(ISBLANK($C226),"",IF(I226=Constants!$B$3,TRUE(),IF(I226=Constants!$B$4,FALSE(),TRUE())))</f>
        <v/>
      </c>
      <c r="AK226" s="93" t="str">
        <f aca="false">IF(ISBLANK($C226),"",IF(J226=Constants!$B$3,TRUE(),IF(J226=Constants!$B$4,FALSE(),TRUE())))</f>
        <v/>
      </c>
      <c r="AL226" s="93" t="str">
        <f aca="false">IF(ISBLANK($C226),"",IF(K226=Constants!$B$5,TRUE(),IF(K226=Constants!$B$6,FALSE(),COUNTA(L226:P226)&gt;0)))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IF(ISBLANK($C226),"",IF(N226=Constants!$B$3,TRUE(),IF(N226=Constants!$B$4,FALSE(),TRUE())))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IF(ISBLANK($C226),"",IF(P226=Constants!$B$3,TRUE(),IF(P226=Constants!$B$4,FALSE(),FALSE())))</f>
        <v/>
      </c>
      <c r="AR226" s="93" t="str">
        <f aca="false">IF(ISBLANK($C226),"",IF(Q226=Constants!$B$3,TRUE(),IF(Q226=Constants!$B$4,FALSE(),TRUE())))</f>
        <v/>
      </c>
      <c r="AS226" s="93" t="str">
        <f aca="false">IF(ISBLANK($C226),"",IF(R226=Constants!$B$3,TRUE(),IF(R226=Constants!$B$4,FALSE(),TRUE())))</f>
        <v/>
      </c>
      <c r="AT226" s="93" t="str">
        <f aca="false">IF(ISBLANK($C226),"",IF(S226=Constants!$B$5,TRUE(),IF(S226=Constants!$B$6,FALSE(),COUNTA(T226:X226)&gt;0)))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IF(ISBLANK($C226),"",IF(V226=Constants!$B$3,TRUE(),IF(V226=Constants!$B$4,FALSE(),TRUE())))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IF(ISBLANK($C226),"",IF(X226=Constants!$B$3,TRUE(),IF(X226=Constants!$B$4,FALSE(),FALSE())))</f>
        <v/>
      </c>
      <c r="AZ226" s="93" t="str">
        <f aca="false">IF(ISBLANK($C226),"",MIN(Constants!$B$31,MAX(0,IF(ISNUMBER(Y226),Y226*60,0)+IF(ISNUMBER(Z226),Z226,0))))</f>
        <v/>
      </c>
      <c r="BA226" s="93" t="str">
        <f aca="false">IF(ISBLANK($C226),"",IF(AA226=Constants!$B$3,TRUE(),IF(AA226=Constants!$B$4,FALSE(),FALSE())))</f>
        <v/>
      </c>
      <c r="BB226" s="92" t="str">
        <f aca="false">IF(ISBLANK($C226),"",AND($AL226,OR($AM226="",$AN226="",AND($AO226,$AP226=""))))</f>
        <v/>
      </c>
      <c r="BC226" s="94" t="str">
        <f aca="false">IF($BZ226&lt;&gt;Constants!$B$8,"",IF($AL226,Constants!$B$21*$AN226+Constants!$B$22*IF($AO226,$AP226,Constants!$B$23),Constants!$B$24))</f>
        <v/>
      </c>
      <c r="BD226" s="97" t="str">
        <f aca="false">IF($BZ226&lt;&gt;Constants!$B$8,"",Constants!$B$25*ABS($AD$9-IF($AL226,$AM226,0)))</f>
        <v/>
      </c>
      <c r="BE226" s="97" t="str">
        <f aca="false">IF($BZ226&lt;&gt;Constants!$B$8,"",IF(AND($AL226,$AQ226,$AO226),Constants!$B$27,0))</f>
        <v/>
      </c>
      <c r="BF226" s="97" t="str">
        <f aca="false">IF($BZ226&lt;&gt;Constants!$B$8,"",IF($AL226,($AI226-Constants!$B$29)*Constants!$B$28,0))</f>
        <v/>
      </c>
      <c r="BG226" s="97" t="str">
        <f aca="false">IF($BZ226&lt;&gt;Constants!$B$8,"",IF($AK226,0,Constants!$B$15)+IF($AJ226,0,Constants!$B$16)+IF($AH226,0,Constants!$B$17))</f>
        <v/>
      </c>
      <c r="BH226" s="98" t="str">
        <f aca="false">IF($BZ226&lt;&gt;Constants!$B$8,"",Constants!$B$20+SUM($BC226:$BG226))</f>
        <v/>
      </c>
      <c r="BI226" s="97" t="str">
        <f aca="false">IF($BZ226&lt;&gt;Constants!$B$8,"",$BC226)</f>
        <v/>
      </c>
      <c r="BJ226" s="97" t="str">
        <f aca="false">IF($BZ226&lt;&gt;Constants!$B$8,"",$BD226)</f>
        <v/>
      </c>
      <c r="BK226" s="97" t="str">
        <f aca="false">IF($BZ226&lt;&gt;Constants!$B$8,"",IF($AL226,$AN226,""))</f>
        <v/>
      </c>
      <c r="BL226" s="99" t="str">
        <f aca="false">IF($BZ226&lt;&gt;Constants!$B$8,"",$AI226)</f>
        <v/>
      </c>
      <c r="BM226" s="93" t="str">
        <f aca="false">IF($BZ226&lt;&gt;Constants!$B$8,"",IF(OR($BT226&lt;$BH226,AND($BT226=$BH226,OR($BU226&lt;$BI226,AND($BU226=$BI226,OR($BV226&lt;$BJ226,AND($BV226=$BJ226,OR(AND(ISNUMBER($BW226),OR(NOT(ISNUMBER($BK226)),$BW226&lt;$BK226)),AND(OR(AND($BW226="",$BK226=""),AND(ISNUMBER($BW226),ISNUMBER($BK226),$BW226=$BK226)),$BX226&lt;$BL226)))))))),"-&gt;","&lt;-"))</f>
        <v/>
      </c>
      <c r="BN226" s="92" t="str">
        <f aca="false">IF(ISBLANK($C226),"",AND($AT226,OR($AU226="",$AV226="",AND($AW226,$AX226=""))))</f>
        <v/>
      </c>
      <c r="BO226" s="94" t="str">
        <f aca="false">IF($BZ226&lt;&gt;Constants!$B$8,"",IF($AT226,Constants!$B$21*$AV226+Constants!$B$22*IF($AW226,$AX226,Constants!$B$23),Constants!$B$24))</f>
        <v/>
      </c>
      <c r="BP226" s="97" t="str">
        <f aca="false">IF($BZ226&lt;&gt;Constants!$B$8,"",Constants!$B$25*ABS($AD$9-IF($AT226,$AU226,0)))</f>
        <v/>
      </c>
      <c r="BQ226" s="97" t="str">
        <f aca="false">IF($BZ226&lt;&gt;Constants!$B$8,"",IF(AND($AT226,$AY226,$AW226),Constants!$B$27,0))</f>
        <v/>
      </c>
      <c r="BR226" s="97" t="str">
        <f aca="false">IF($BZ226&lt;&gt;Constants!$B$8,"",IF($AT226,($AI226-Constants!$B$29)*Constants!$B$28,0))</f>
        <v/>
      </c>
      <c r="BS226" s="97" t="str">
        <f aca="false">IF($BZ226&lt;&gt;Constants!$B$8,"",IF($AS226,0,Constants!$B$15)+IF($AR226,0,Constants!$B$16)+IF($AH226,0,Constants!$B$17))</f>
        <v/>
      </c>
      <c r="BT226" s="98" t="str">
        <f aca="false">IF($BZ226&lt;&gt;Constants!$B$8,"",Constants!$B$20+SUM($BO226:$BS226))</f>
        <v/>
      </c>
      <c r="BU226" s="97" t="str">
        <f aca="false">IF($BZ226&lt;&gt;Constants!$B$8,"",$BO226)</f>
        <v/>
      </c>
      <c r="BV226" s="97" t="str">
        <f aca="false">IF($BZ226&lt;&gt;Constants!$B$8,"",$BP226)</f>
        <v/>
      </c>
      <c r="BW226" s="97" t="str">
        <f aca="false">IF($BZ226&lt;&gt;Constants!$B$8,"",IF($AT226,$AV226,""))</f>
        <v/>
      </c>
      <c r="BX226" s="99" t="str">
        <f aca="false">IF($BZ226&lt;&gt;Constants!$B$8,"",$AI226)</f>
        <v/>
      </c>
      <c r="BY226" s="93" t="str">
        <f aca="false">IF(ISBLANK($C226),"",IF(ISBLANK($D$7),$BY$5,IF(NOT(ISNUMBER($D$7)),$BY$6,"")))</f>
        <v/>
      </c>
      <c r="BZ226" s="93" t="str">
        <f aca="false">IF(ISBLANK($C226),"",IF($BA226,Constants!$B$11,IF(COUNTA($E226:$AA226)=0,Constants!$B$10,IF(NOT($AG226),Constants!$B$9,IF(OR($BY226&lt;&gt;"",$BB226,$BN226),Constants!$B$12,Constants!$B$8)))))</f>
        <v/>
      </c>
      <c r="CA226" s="93" t="str">
        <f aca="false">IF(ISBLANK($C226),"",IF($BZ226&lt;&gt;Constants!$B$8,$BZ226,Constants!$B$13))</f>
        <v/>
      </c>
      <c r="CB226" s="97" t="str">
        <f aca="false">IF($BZ226&lt;&gt;Constants!$B$8,"",IF($BM226="-&gt;",$BT226,$BH226))</f>
        <v/>
      </c>
      <c r="CC226" s="97" t="str">
        <f aca="false">IF($BZ226&lt;&gt;Constants!$B$8,"",IF($AF226,0,Constants!$B$18))</f>
        <v/>
      </c>
      <c r="CD226" s="97" t="str">
        <f aca="false">IF($BZ226&lt;&gt;Constants!$B$8,"",((Constants!$B$31-$AZ226)-Constants!$B$31)/Constants!$B$32)</f>
        <v/>
      </c>
      <c r="CE226" s="97" t="str">
        <f aca="false">IF(ISBLANK($C226),"",IF($BZ226&lt;&gt;Constants!$B$8,$BZ226,SUM($CB226:$CD226)))</f>
        <v/>
      </c>
      <c r="CF226" s="93" t="str">
        <f aca="false">IF(ISBLANK($C226),"",IF($BZ226&lt;&gt;Constants!$B$8,$BZ226,RANK($CE226,$CE$9:$CE$508,1)))</f>
        <v/>
      </c>
      <c r="CG226" s="97" t="str">
        <f aca="false">IF($BZ226&lt;&gt;Constants!$B$8,"",IF($BM226="-&gt;",$BU226,$BI226))</f>
        <v/>
      </c>
      <c r="CH226" s="93" t="str">
        <f aca="false">IF(ISBLANK($C226),"",IF($BZ226&lt;&gt;Constants!$B$8,$BZ226,IF(ISNUMBER($CG226),RANK($CG226,$CG$9:$CG$508,1),COUNT($CG$9:$CG$508)+1)))</f>
        <v/>
      </c>
      <c r="CI226" s="97" t="str">
        <f aca="false">IF($BZ226&lt;&gt;Constants!$B$8,"",IF($BM226="-&gt;",$BV226,$BJ226))</f>
        <v/>
      </c>
      <c r="CJ226" s="93" t="str">
        <f aca="false">IF(ISBLANK($C226),"",IF($BZ226&lt;&gt;Constants!$B$8,$BZ226,IF(ISNUMBER($CI226),RANK($CI226,$CI$9:$CI$508,1),COUNT($CI$9:$CI$508)+1)))</f>
        <v/>
      </c>
      <c r="CK226" s="97" t="str">
        <f aca="false">IF($BZ226&lt;&gt;Constants!$B$8,"",IF($BM226="-&gt;",$BW226,$BK226))</f>
        <v/>
      </c>
      <c r="CL226" s="93" t="str">
        <f aca="false">IF(ISBLANK($C226),"",IF($BZ226&lt;&gt;Constants!$B$8,$BZ226,IF(ISNUMBER($CK226),RANK($CK226,$CK$9:$CK$508,1),COUNT($CK$9:$CK$508)+1)))</f>
        <v/>
      </c>
      <c r="CM226" s="97" t="str">
        <f aca="false">IF($BZ226&lt;&gt;Constants!$B$8,"",IF(AND(NOT($AL226),NOT($AT226),$AJ226,$AK226,$AR226,$AS226),"",IF($BM226="-&gt;",$BX226,$BL226)))</f>
        <v/>
      </c>
      <c r="CN226" s="93" t="str">
        <f aca="false">IF(ISBLANK($C226),"",IF($BZ226&lt;&gt;Constants!$B$8,$BZ226,IF(ISNUMBER($CM226),RANK($CM226,$CM$9:$CM$508,1),COUNT($CM$9:$CM$508)+1)))</f>
        <v/>
      </c>
      <c r="CO226" s="93" t="str">
        <f aca="false">IF(ISBLANK($C226),"",IF($BZ226&lt;&gt;Constants!$B$8,$BZ226,COUNTIFS($CF$9:$CF$508,"&lt;"&amp;$CF226)+COUNTIFS($CF$9:$CF$508,$CF226,$CH$9:$CH$508,"&lt;"&amp;$CH226)+COUNTIFS($CF$9:$CF$508,$CF226,$CH$9:$CH$508,$CH226,$CJ$9:$CJ$508,"&lt;"&amp;$CJ226)+COUNTIFS($CF$9:$CF$508,$CF226,$CH$9:$CH$508,$CH226,$CJ$9:$CJ$508,$CJ226,$CL$9:$CL$508,"&lt;"&amp;$CL226)+COUNTIFS($CF$9:$CF$508,$CF226,$CH$9:$CH$508,$CH226,$CJ$9:$CJ$508,$CJ226,$CL$9:$CL$508,$CL226,$CN$9:$CN$508,"&lt;"&amp;$CN226)+1))</f>
        <v/>
      </c>
      <c r="CP226" s="93" t="str">
        <f aca="false">IF(ISBLANK($C226),"",IF($BZ226&lt;&gt;Constants!$B$8,$BZ226,$CF226-$CO226))</f>
        <v/>
      </c>
      <c r="CQ226" s="100"/>
      <c r="CR226" s="101"/>
      <c r="CS226" s="102" t="str">
        <f aca="false">IF(ISBLANK($C226),"",IF($BZ226=Constants!$B$12,$BY226,""))</f>
        <v/>
      </c>
      <c r="CT226" s="101" t="str">
        <f aca="false">IF(ISBLANK($C226),"",IF($BZ226&lt;&gt;Constants!$B$8,"",IF($BM226="-&gt;",2,1)))</f>
        <v/>
      </c>
      <c r="CU226" s="103" t="str">
        <f aca="false">IF(ISBLANK($C226),"",IF($BZ226&lt;&gt;Constants!$B$8,"",IF($BM226="-&gt;",$BO226,$BC226)))</f>
        <v/>
      </c>
      <c r="CV226" s="103" t="str">
        <f aca="false">IF(ISBLANK($C226),"",IF($BZ226&lt;&gt;Constants!$B$8,"",IF($BM226="-&gt;",$BP226,$BD226)))</f>
        <v/>
      </c>
      <c r="CW226" s="103" t="str">
        <f aca="false">IF(ISBLANK($C226),"",IF($BZ226&lt;&gt;Constants!$B$8,"",IF($BM226="-&gt;",$BQ226+$BR226,$BE226+$BF226)+$CD226))</f>
        <v/>
      </c>
      <c r="CX226" s="103" t="str">
        <f aca="false">IF(ISBLANK($C226),"",IF($BZ226&lt;&gt;Constants!$B$8,"",IF($BM226="-&gt;",$BS226,$BG226)+$CC226))</f>
        <v/>
      </c>
      <c r="CY226" s="104" t="str">
        <f aca="false">IF(ISBLANK($C226),"",IF($BZ226&lt;&gt;Constants!$B$8,$BZ226,$CE226))</f>
        <v/>
      </c>
      <c r="CZ226" s="105" t="str">
        <f aca="false">IF(ISBLANK($C226),"",$CA226)</f>
        <v/>
      </c>
      <c r="DA226" s="106" t="str">
        <f aca="false">IF(ISBLANK($C226),"",$CP226)</f>
        <v/>
      </c>
      <c r="DB226" s="106" t="str">
        <f aca="false">IF(ISBLANK($C226),"",$CO226)</f>
        <v/>
      </c>
      <c r="DC226" s="107" t="str">
        <f aca="false">IF(ISBLANK($C226),"",IFERROR(_xlfn.SWITCH($DB226,Constants!$B$11,COUNTA($C$9:$C$508)+2,Constants!$B$10,COUNTA($C$9:$C$508)+1,Constants!$B$9,COUNTA($C$9:$C$508)),$DB226))</f>
        <v/>
      </c>
      <c r="DD226" s="9"/>
      <c r="DE226" s="108" t="n">
        <f aca="false">IF(OR(ISNUMBER($DB226),$DB226=Constants!$B$11,$DB226=Constants!$B$9,$DB226=Constants!$B$10),1,0)</f>
        <v>0</v>
      </c>
      <c r="DF226" s="108" t="n">
        <v>218</v>
      </c>
      <c r="DG226" s="108" t="str">
        <f aca="false">IF(ISBLANK($C226),"",IF(ISNUMBER($DC226),$DC226+ROW($B226)/1000,""))</f>
        <v/>
      </c>
      <c r="DH226" s="108" t="str">
        <f aca="false">IF(ISNUMBER($DG226),RANK($DG226,$DG$9:$DG$508,1),"")</f>
        <v/>
      </c>
      <c r="DI226" s="108" t="str">
        <f aca="false">IF(ISBLANK($C226),"",$B226)</f>
        <v/>
      </c>
      <c r="DJ226" s="108" t="str">
        <f aca="false">IF(ISBLANK($C226),"",$C226)</f>
        <v/>
      </c>
      <c r="DK226" s="108" t="str">
        <f aca="false">IF(ISBLANK($C226),"",$D226)</f>
        <v/>
      </c>
      <c r="DL226" s="109" t="str">
        <f aca="false">$CZ226</f>
        <v/>
      </c>
      <c r="DM226" s="110" t="str">
        <f aca="false">$CY226</f>
        <v/>
      </c>
      <c r="DN226" s="108" t="str">
        <f aca="false">IF(ISBLANK($C226),"",$DB226)</f>
        <v/>
      </c>
      <c r="DO226" s="111" t="str">
        <f aca="false">IF($DF226&gt;$DE$8,"",VLOOKUP($DF226,$DH$9:$DN$508,7,FALSE()))</f>
        <v/>
      </c>
      <c r="DP226" s="112" t="str">
        <f aca="false">IF($DF226&gt;$DE$8,"",VLOOKUP($DF226,$DH$9:$DN$508,2,FALSE()))</f>
        <v/>
      </c>
      <c r="DQ226" s="112" t="str">
        <f aca="false">IF($DF226&gt;$DE$8,"",VLOOKUP($DF226,$DH$9:$DN$508,3,FALSE()))</f>
        <v/>
      </c>
      <c r="DR226" s="112" t="str">
        <f aca="false">IF($DF226&gt;$DE$8,"",VLOOKUP($DF226,$DH$9:$DN$508,4,FALSE()))</f>
        <v/>
      </c>
      <c r="DS226" s="112" t="str">
        <f aca="false">IF($DF226&gt;$DE$8,"",VLOOKUP($DF226,$DH$9:$DN$508,5,FALSE()))</f>
        <v/>
      </c>
      <c r="DT226" s="113" t="str">
        <f aca="false">IF($DF226&gt;$DE$8,"",VLOOKUP($DF226,$DH$9:$DN$508,6,FALSE()))</f>
        <v/>
      </c>
      <c r="DU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IF(ISBLANK($C227),"",IF(E227=Constants!$B$3,TRUE(),IF(E227=Constants!$B$4,FALSE(),TRUE())))</f>
        <v/>
      </c>
      <c r="AG227" s="93" t="str">
        <f aca="false">IF(ISBLANK($C227),"",IF(F227=Constants!$B$3,TRUE(),IF(F227=Constants!$B$4,FALSE(),TRUE())))</f>
        <v/>
      </c>
      <c r="AH227" s="93" t="str">
        <f aca="false">IF(ISBLANK($C227),"",IF(G227=Constants!$B$3,TRUE(),IF(G227=Constants!$B$4,FALSE(),TRUE())))</f>
        <v/>
      </c>
      <c r="AI227" s="93" t="str">
        <f aca="false">IF(ISBLANK($C227),"",IF(AND(ISNUMBER(H227),H227&gt;=0),H227,Constants!$B$29))</f>
        <v/>
      </c>
      <c r="AJ227" s="93" t="str">
        <f aca="false">IF(ISBLANK($C227),"",IF(I227=Constants!$B$3,TRUE(),IF(I227=Constants!$B$4,FALSE(),TRUE())))</f>
        <v/>
      </c>
      <c r="AK227" s="93" t="str">
        <f aca="false">IF(ISBLANK($C227),"",IF(J227=Constants!$B$3,TRUE(),IF(J227=Constants!$B$4,FALSE(),TRUE())))</f>
        <v/>
      </c>
      <c r="AL227" s="93" t="str">
        <f aca="false">IF(ISBLANK($C227),"",IF(K227=Constants!$B$5,TRUE(),IF(K227=Constants!$B$6,FALSE(),COUNTA(L227:P227)&gt;0)))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IF(ISBLANK($C227),"",IF(N227=Constants!$B$3,TRUE(),IF(N227=Constants!$B$4,FALSE(),TRUE())))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IF(ISBLANK($C227),"",IF(P227=Constants!$B$3,TRUE(),IF(P227=Constants!$B$4,FALSE(),FALSE())))</f>
        <v/>
      </c>
      <c r="AR227" s="93" t="str">
        <f aca="false">IF(ISBLANK($C227),"",IF(Q227=Constants!$B$3,TRUE(),IF(Q227=Constants!$B$4,FALSE(),TRUE())))</f>
        <v/>
      </c>
      <c r="AS227" s="93" t="str">
        <f aca="false">IF(ISBLANK($C227),"",IF(R227=Constants!$B$3,TRUE(),IF(R227=Constants!$B$4,FALSE(),TRUE())))</f>
        <v/>
      </c>
      <c r="AT227" s="93" t="str">
        <f aca="false">IF(ISBLANK($C227),"",IF(S227=Constants!$B$5,TRUE(),IF(S227=Constants!$B$6,FALSE(),COUNTA(T227:X227)&gt;0)))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IF(ISBLANK($C227),"",IF(V227=Constants!$B$3,TRUE(),IF(V227=Constants!$B$4,FALSE(),TRUE())))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IF(ISBLANK($C227),"",IF(X227=Constants!$B$3,TRUE(),IF(X227=Constants!$B$4,FALSE(),FALSE())))</f>
        <v/>
      </c>
      <c r="AZ227" s="93" t="str">
        <f aca="false">IF(ISBLANK($C227),"",MIN(Constants!$B$31,MAX(0,IF(ISNUMBER(Y227),Y227*60,0)+IF(ISNUMBER(Z227),Z227,0))))</f>
        <v/>
      </c>
      <c r="BA227" s="93" t="str">
        <f aca="false">IF(ISBLANK($C227),"",IF(AA227=Constants!$B$3,TRUE(),IF(AA227=Constants!$B$4,FALSE(),FALSE())))</f>
        <v/>
      </c>
      <c r="BB227" s="92" t="str">
        <f aca="false">IF(ISBLANK($C227),"",AND($AL227,OR($AM227="",$AN227="",AND($AO227,$AP227=""))))</f>
        <v/>
      </c>
      <c r="BC227" s="94" t="str">
        <f aca="false">IF($BZ227&lt;&gt;Constants!$B$8,"",IF($AL227,Constants!$B$21*$AN227+Constants!$B$22*IF($AO227,$AP227,Constants!$B$23),Constants!$B$24))</f>
        <v/>
      </c>
      <c r="BD227" s="97" t="str">
        <f aca="false">IF($BZ227&lt;&gt;Constants!$B$8,"",Constants!$B$25*ABS($AD$9-IF($AL227,$AM227,0)))</f>
        <v/>
      </c>
      <c r="BE227" s="97" t="str">
        <f aca="false">IF($BZ227&lt;&gt;Constants!$B$8,"",IF(AND($AL227,$AQ227,$AO227),Constants!$B$27,0))</f>
        <v/>
      </c>
      <c r="BF227" s="97" t="str">
        <f aca="false">IF($BZ227&lt;&gt;Constants!$B$8,"",IF($AL227,($AI227-Constants!$B$29)*Constants!$B$28,0))</f>
        <v/>
      </c>
      <c r="BG227" s="97" t="str">
        <f aca="false">IF($BZ227&lt;&gt;Constants!$B$8,"",IF($AK227,0,Constants!$B$15)+IF($AJ227,0,Constants!$B$16)+IF($AH227,0,Constants!$B$17))</f>
        <v/>
      </c>
      <c r="BH227" s="98" t="str">
        <f aca="false">IF($BZ227&lt;&gt;Constants!$B$8,"",Constants!$B$20+SUM($BC227:$BG227))</f>
        <v/>
      </c>
      <c r="BI227" s="97" t="str">
        <f aca="false">IF($BZ227&lt;&gt;Constants!$B$8,"",$BC227)</f>
        <v/>
      </c>
      <c r="BJ227" s="97" t="str">
        <f aca="false">IF($BZ227&lt;&gt;Constants!$B$8,"",$BD227)</f>
        <v/>
      </c>
      <c r="BK227" s="97" t="str">
        <f aca="false">IF($BZ227&lt;&gt;Constants!$B$8,"",IF($AL227,$AN227,""))</f>
        <v/>
      </c>
      <c r="BL227" s="99" t="str">
        <f aca="false">IF($BZ227&lt;&gt;Constants!$B$8,"",$AI227)</f>
        <v/>
      </c>
      <c r="BM227" s="93" t="str">
        <f aca="false">IF($BZ227&lt;&gt;Constants!$B$8,"",IF(OR($BT227&lt;$BH227,AND($BT227=$BH227,OR($BU227&lt;$BI227,AND($BU227=$BI227,OR($BV227&lt;$BJ227,AND($BV227=$BJ227,OR(AND(ISNUMBER($BW227),OR(NOT(ISNUMBER($BK227)),$BW227&lt;$BK227)),AND(OR(AND($BW227="",$BK227=""),AND(ISNUMBER($BW227),ISNUMBER($BK227),$BW227=$BK227)),$BX227&lt;$BL227)))))))),"-&gt;","&lt;-"))</f>
        <v/>
      </c>
      <c r="BN227" s="92" t="str">
        <f aca="false">IF(ISBLANK($C227),"",AND($AT227,OR($AU227="",$AV227="",AND($AW227,$AX227=""))))</f>
        <v/>
      </c>
      <c r="BO227" s="94" t="str">
        <f aca="false">IF($BZ227&lt;&gt;Constants!$B$8,"",IF($AT227,Constants!$B$21*$AV227+Constants!$B$22*IF($AW227,$AX227,Constants!$B$23),Constants!$B$24))</f>
        <v/>
      </c>
      <c r="BP227" s="97" t="str">
        <f aca="false">IF($BZ227&lt;&gt;Constants!$B$8,"",Constants!$B$25*ABS($AD$9-IF($AT227,$AU227,0)))</f>
        <v/>
      </c>
      <c r="BQ227" s="97" t="str">
        <f aca="false">IF($BZ227&lt;&gt;Constants!$B$8,"",IF(AND($AT227,$AY227,$AW227),Constants!$B$27,0))</f>
        <v/>
      </c>
      <c r="BR227" s="97" t="str">
        <f aca="false">IF($BZ227&lt;&gt;Constants!$B$8,"",IF($AT227,($AI227-Constants!$B$29)*Constants!$B$28,0))</f>
        <v/>
      </c>
      <c r="BS227" s="97" t="str">
        <f aca="false">IF($BZ227&lt;&gt;Constants!$B$8,"",IF($AS227,0,Constants!$B$15)+IF($AR227,0,Constants!$B$16)+IF($AH227,0,Constants!$B$17))</f>
        <v/>
      </c>
      <c r="BT227" s="98" t="str">
        <f aca="false">IF($BZ227&lt;&gt;Constants!$B$8,"",Constants!$B$20+SUM($BO227:$BS227))</f>
        <v/>
      </c>
      <c r="BU227" s="97" t="str">
        <f aca="false">IF($BZ227&lt;&gt;Constants!$B$8,"",$BO227)</f>
        <v/>
      </c>
      <c r="BV227" s="97" t="str">
        <f aca="false">IF($BZ227&lt;&gt;Constants!$B$8,"",$BP227)</f>
        <v/>
      </c>
      <c r="BW227" s="97" t="str">
        <f aca="false">IF($BZ227&lt;&gt;Constants!$B$8,"",IF($AT227,$AV227,""))</f>
        <v/>
      </c>
      <c r="BX227" s="99" t="str">
        <f aca="false">IF($BZ227&lt;&gt;Constants!$B$8,"",$AI227)</f>
        <v/>
      </c>
      <c r="BY227" s="93" t="str">
        <f aca="false">IF(ISBLANK($C227),"",IF(ISBLANK($D$7),$BY$5,IF(NOT(ISNUMBER($D$7)),$BY$6,"")))</f>
        <v/>
      </c>
      <c r="BZ227" s="93" t="str">
        <f aca="false">IF(ISBLANK($C227),"",IF($BA227,Constants!$B$11,IF(COUNTA($E227:$AA227)=0,Constants!$B$10,IF(NOT($AG227),Constants!$B$9,IF(OR($BY227&lt;&gt;"",$BB227,$BN227),Constants!$B$12,Constants!$B$8)))))</f>
        <v/>
      </c>
      <c r="CA227" s="93" t="str">
        <f aca="false">IF(ISBLANK($C227),"",IF($BZ227&lt;&gt;Constants!$B$8,$BZ227,Constants!$B$13))</f>
        <v/>
      </c>
      <c r="CB227" s="97" t="str">
        <f aca="false">IF($BZ227&lt;&gt;Constants!$B$8,"",IF($BM227="-&gt;",$BT227,$BH227))</f>
        <v/>
      </c>
      <c r="CC227" s="97" t="str">
        <f aca="false">IF($BZ227&lt;&gt;Constants!$B$8,"",IF($AF227,0,Constants!$B$18))</f>
        <v/>
      </c>
      <c r="CD227" s="97" t="str">
        <f aca="false">IF($BZ227&lt;&gt;Constants!$B$8,"",((Constants!$B$31-$AZ227)-Constants!$B$31)/Constants!$B$32)</f>
        <v/>
      </c>
      <c r="CE227" s="97" t="str">
        <f aca="false">IF(ISBLANK($C227),"",IF($BZ227&lt;&gt;Constants!$B$8,$BZ227,SUM($CB227:$CD227)))</f>
        <v/>
      </c>
      <c r="CF227" s="93" t="str">
        <f aca="false">IF(ISBLANK($C227),"",IF($BZ227&lt;&gt;Constants!$B$8,$BZ227,RANK($CE227,$CE$9:$CE$508,1)))</f>
        <v/>
      </c>
      <c r="CG227" s="97" t="str">
        <f aca="false">IF($BZ227&lt;&gt;Constants!$B$8,"",IF($BM227="-&gt;",$BU227,$BI227))</f>
        <v/>
      </c>
      <c r="CH227" s="93" t="str">
        <f aca="false">IF(ISBLANK($C227),"",IF($BZ227&lt;&gt;Constants!$B$8,$BZ227,IF(ISNUMBER($CG227),RANK($CG227,$CG$9:$CG$508,1),COUNT($CG$9:$CG$508)+1)))</f>
        <v/>
      </c>
      <c r="CI227" s="97" t="str">
        <f aca="false">IF($BZ227&lt;&gt;Constants!$B$8,"",IF($BM227="-&gt;",$BV227,$BJ227))</f>
        <v/>
      </c>
      <c r="CJ227" s="93" t="str">
        <f aca="false">IF(ISBLANK($C227),"",IF($BZ227&lt;&gt;Constants!$B$8,$BZ227,IF(ISNUMBER($CI227),RANK($CI227,$CI$9:$CI$508,1),COUNT($CI$9:$CI$508)+1)))</f>
        <v/>
      </c>
      <c r="CK227" s="97" t="str">
        <f aca="false">IF($BZ227&lt;&gt;Constants!$B$8,"",IF($BM227="-&gt;",$BW227,$BK227))</f>
        <v/>
      </c>
      <c r="CL227" s="93" t="str">
        <f aca="false">IF(ISBLANK($C227),"",IF($BZ227&lt;&gt;Constants!$B$8,$BZ227,IF(ISNUMBER($CK227),RANK($CK227,$CK$9:$CK$508,1),COUNT($CK$9:$CK$508)+1)))</f>
        <v/>
      </c>
      <c r="CM227" s="97" t="str">
        <f aca="false">IF($BZ227&lt;&gt;Constants!$B$8,"",IF(AND(NOT($AL227),NOT($AT227),$AJ227,$AK227,$AR227,$AS227),"",IF($BM227="-&gt;",$BX227,$BL227)))</f>
        <v/>
      </c>
      <c r="CN227" s="93" t="str">
        <f aca="false">IF(ISBLANK($C227),"",IF($BZ227&lt;&gt;Constants!$B$8,$BZ227,IF(ISNUMBER($CM227),RANK($CM227,$CM$9:$CM$508,1),COUNT($CM$9:$CM$508)+1)))</f>
        <v/>
      </c>
      <c r="CO227" s="93" t="str">
        <f aca="false">IF(ISBLANK($C227),"",IF($BZ227&lt;&gt;Constants!$B$8,$BZ227,COUNTIFS($CF$9:$CF$508,"&lt;"&amp;$CF227)+COUNTIFS($CF$9:$CF$508,$CF227,$CH$9:$CH$508,"&lt;"&amp;$CH227)+COUNTIFS($CF$9:$CF$508,$CF227,$CH$9:$CH$508,$CH227,$CJ$9:$CJ$508,"&lt;"&amp;$CJ227)+COUNTIFS($CF$9:$CF$508,$CF227,$CH$9:$CH$508,$CH227,$CJ$9:$CJ$508,$CJ227,$CL$9:$CL$508,"&lt;"&amp;$CL227)+COUNTIFS($CF$9:$CF$508,$CF227,$CH$9:$CH$508,$CH227,$CJ$9:$CJ$508,$CJ227,$CL$9:$CL$508,$CL227,$CN$9:$CN$508,"&lt;"&amp;$CN227)+1))</f>
        <v/>
      </c>
      <c r="CP227" s="93" t="str">
        <f aca="false">IF(ISBLANK($C227),"",IF($BZ227&lt;&gt;Constants!$B$8,$BZ227,$CF227-$CO227))</f>
        <v/>
      </c>
      <c r="CQ227" s="100"/>
      <c r="CR227" s="101"/>
      <c r="CS227" s="102" t="str">
        <f aca="false">IF(ISBLANK($C227),"",IF($BZ227=Constants!$B$12,$BY227,""))</f>
        <v/>
      </c>
      <c r="CT227" s="101" t="str">
        <f aca="false">IF(ISBLANK($C227),"",IF($BZ227&lt;&gt;Constants!$B$8,"",IF($BM227="-&gt;",2,1)))</f>
        <v/>
      </c>
      <c r="CU227" s="103" t="str">
        <f aca="false">IF(ISBLANK($C227),"",IF($BZ227&lt;&gt;Constants!$B$8,"",IF($BM227="-&gt;",$BO227,$BC227)))</f>
        <v/>
      </c>
      <c r="CV227" s="103" t="str">
        <f aca="false">IF(ISBLANK($C227),"",IF($BZ227&lt;&gt;Constants!$B$8,"",IF($BM227="-&gt;",$BP227,$BD227)))</f>
        <v/>
      </c>
      <c r="CW227" s="103" t="str">
        <f aca="false">IF(ISBLANK($C227),"",IF($BZ227&lt;&gt;Constants!$B$8,"",IF($BM227="-&gt;",$BQ227+$BR227,$BE227+$BF227)+$CD227))</f>
        <v/>
      </c>
      <c r="CX227" s="103" t="str">
        <f aca="false">IF(ISBLANK($C227),"",IF($BZ227&lt;&gt;Constants!$B$8,"",IF($BM227="-&gt;",$BS227,$BG227)+$CC227))</f>
        <v/>
      </c>
      <c r="CY227" s="104" t="str">
        <f aca="false">IF(ISBLANK($C227),"",IF($BZ227&lt;&gt;Constants!$B$8,$BZ227,$CE227))</f>
        <v/>
      </c>
      <c r="CZ227" s="105" t="str">
        <f aca="false">IF(ISBLANK($C227),"",$CA227)</f>
        <v/>
      </c>
      <c r="DA227" s="106" t="str">
        <f aca="false">IF(ISBLANK($C227),"",$CP227)</f>
        <v/>
      </c>
      <c r="DB227" s="106" t="str">
        <f aca="false">IF(ISBLANK($C227),"",$CO227)</f>
        <v/>
      </c>
      <c r="DC227" s="107" t="str">
        <f aca="false">IF(ISBLANK($C227),"",IFERROR(_xlfn.SWITCH($DB227,Constants!$B$11,COUNTA($C$9:$C$508)+2,Constants!$B$10,COUNTA($C$9:$C$508)+1,Constants!$B$9,COUNTA($C$9:$C$508)),$DB227))</f>
        <v/>
      </c>
      <c r="DD227" s="9"/>
      <c r="DE227" s="108" t="n">
        <f aca="false">IF(OR(ISNUMBER($DB227),$DB227=Constants!$B$11,$DB227=Constants!$B$9,$DB227=Constants!$B$10),1,0)</f>
        <v>0</v>
      </c>
      <c r="DF227" s="108" t="n">
        <v>219</v>
      </c>
      <c r="DG227" s="108" t="str">
        <f aca="false">IF(ISBLANK($C227),"",IF(ISNUMBER($DC227),$DC227+ROW($B227)/1000,""))</f>
        <v/>
      </c>
      <c r="DH227" s="108" t="str">
        <f aca="false">IF(ISNUMBER($DG227),RANK($DG227,$DG$9:$DG$508,1),"")</f>
        <v/>
      </c>
      <c r="DI227" s="108" t="str">
        <f aca="false">IF(ISBLANK($C227),"",$B227)</f>
        <v/>
      </c>
      <c r="DJ227" s="108" t="str">
        <f aca="false">IF(ISBLANK($C227),"",$C227)</f>
        <v/>
      </c>
      <c r="DK227" s="108" t="str">
        <f aca="false">IF(ISBLANK($C227),"",$D227)</f>
        <v/>
      </c>
      <c r="DL227" s="109" t="str">
        <f aca="false">$CZ227</f>
        <v/>
      </c>
      <c r="DM227" s="110" t="str">
        <f aca="false">$CY227</f>
        <v/>
      </c>
      <c r="DN227" s="108" t="str">
        <f aca="false">IF(ISBLANK($C227),"",$DB227)</f>
        <v/>
      </c>
      <c r="DO227" s="111" t="str">
        <f aca="false">IF($DF227&gt;$DE$8,"",VLOOKUP($DF227,$DH$9:$DN$508,7,FALSE()))</f>
        <v/>
      </c>
      <c r="DP227" s="112" t="str">
        <f aca="false">IF($DF227&gt;$DE$8,"",VLOOKUP($DF227,$DH$9:$DN$508,2,FALSE()))</f>
        <v/>
      </c>
      <c r="DQ227" s="112" t="str">
        <f aca="false">IF($DF227&gt;$DE$8,"",VLOOKUP($DF227,$DH$9:$DN$508,3,FALSE()))</f>
        <v/>
      </c>
      <c r="DR227" s="112" t="str">
        <f aca="false">IF($DF227&gt;$DE$8,"",VLOOKUP($DF227,$DH$9:$DN$508,4,FALSE()))</f>
        <v/>
      </c>
      <c r="DS227" s="112" t="str">
        <f aca="false">IF($DF227&gt;$DE$8,"",VLOOKUP($DF227,$DH$9:$DN$508,5,FALSE()))</f>
        <v/>
      </c>
      <c r="DT227" s="113" t="str">
        <f aca="false">IF($DF227&gt;$DE$8,"",VLOOKUP($DF227,$DH$9:$DN$508,6,FALSE()))</f>
        <v/>
      </c>
      <c r="DU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IF(ISBLANK($C228),"",IF(E228=Constants!$B$3,TRUE(),IF(E228=Constants!$B$4,FALSE(),TRUE())))</f>
        <v/>
      </c>
      <c r="AG228" s="135" t="str">
        <f aca="false">IF(ISBLANK($C228),"",IF(F228=Constants!$B$3,TRUE(),IF(F228=Constants!$B$4,FALSE(),TRUE())))</f>
        <v/>
      </c>
      <c r="AH228" s="135" t="str">
        <f aca="false">IF(ISBLANK($C228),"",IF(G228=Constants!$B$3,TRUE(),IF(G228=Constants!$B$4,FALSE(),TRUE())))</f>
        <v/>
      </c>
      <c r="AI228" s="135" t="str">
        <f aca="false">IF(ISBLANK($C228),"",IF(AND(ISNUMBER(H228),H228&gt;=0),H228,Constants!$B$29))</f>
        <v/>
      </c>
      <c r="AJ228" s="135" t="str">
        <f aca="false">IF(ISBLANK($C228),"",IF(I228=Constants!$B$3,TRUE(),IF(I228=Constants!$B$4,FALSE(),TRUE())))</f>
        <v/>
      </c>
      <c r="AK228" s="135" t="str">
        <f aca="false">IF(ISBLANK($C228),"",IF(J228=Constants!$B$3,TRUE(),IF(J228=Constants!$B$4,FALSE(),TRUE())))</f>
        <v/>
      </c>
      <c r="AL228" s="135" t="str">
        <f aca="false">IF(ISBLANK($C228),"",IF(K228=Constants!$B$5,TRUE(),IF(K228=Constants!$B$6,FALSE(),COUNTA(L228:P228)&gt;0)))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IF(ISBLANK($C228),"",IF(N228=Constants!$B$3,TRUE(),IF(N228=Constants!$B$4,FALSE(),TRUE())))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IF(ISBLANK($C228),"",IF(P228=Constants!$B$3,TRUE(),IF(P228=Constants!$B$4,FALSE(),FALSE())))</f>
        <v/>
      </c>
      <c r="AR228" s="135" t="str">
        <f aca="false">IF(ISBLANK($C228),"",IF(Q228=Constants!$B$3,TRUE(),IF(Q228=Constants!$B$4,FALSE(),TRUE())))</f>
        <v/>
      </c>
      <c r="AS228" s="135" t="str">
        <f aca="false">IF(ISBLANK($C228),"",IF(R228=Constants!$B$3,TRUE(),IF(R228=Constants!$B$4,FALSE(),TRUE())))</f>
        <v/>
      </c>
      <c r="AT228" s="135" t="str">
        <f aca="false">IF(ISBLANK($C228),"",IF(S228=Constants!$B$5,TRUE(),IF(S228=Constants!$B$6,FALSE(),COUNTA(T228:X228)&gt;0)))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IF(ISBLANK($C228),"",IF(V228=Constants!$B$3,TRUE(),IF(V228=Constants!$B$4,FALSE(),TRUE())))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IF(ISBLANK($C228),"",IF(X228=Constants!$B$3,TRUE(),IF(X228=Constants!$B$4,FALSE(),FALSE())))</f>
        <v/>
      </c>
      <c r="AZ228" s="135" t="str">
        <f aca="false">IF(ISBLANK($C228),"",MIN(Constants!$B$31,MAX(0,IF(ISNUMBER(Y228),Y228*60,0)+IF(ISNUMBER(Z228),Z228,0))))</f>
        <v/>
      </c>
      <c r="BA228" s="135" t="str">
        <f aca="false">IF(ISBLANK($C228),"",IF(AA228=Constants!$B$3,TRUE(),IF(AA228=Constants!$B$4,FALSE(),FALSE())))</f>
        <v/>
      </c>
      <c r="BB228" s="134" t="str">
        <f aca="false">IF(ISBLANK($C228),"",AND($AL228,OR($AM228="",$AN228="",AND($AO228,$AP228=""))))</f>
        <v/>
      </c>
      <c r="BC228" s="137" t="str">
        <f aca="false">IF($BZ228&lt;&gt;Constants!$B$8,"",IF($AL228,Constants!$B$21*$AN228+Constants!$B$22*IF($AO228,$AP228,Constants!$B$23),Constants!$B$24))</f>
        <v/>
      </c>
      <c r="BD228" s="138" t="str">
        <f aca="false">IF($BZ228&lt;&gt;Constants!$B$8,"",Constants!$B$25*ABS($AD$9-IF($AL228,$AM228,0)))</f>
        <v/>
      </c>
      <c r="BE228" s="138" t="str">
        <f aca="false">IF($BZ228&lt;&gt;Constants!$B$8,"",IF(AND($AL228,$AQ228,$AO228),Constants!$B$27,0))</f>
        <v/>
      </c>
      <c r="BF228" s="138" t="str">
        <f aca="false">IF($BZ228&lt;&gt;Constants!$B$8,"",IF($AL228,($AI228-Constants!$B$29)*Constants!$B$28,0))</f>
        <v/>
      </c>
      <c r="BG228" s="138" t="str">
        <f aca="false">IF($BZ228&lt;&gt;Constants!$B$8,"",IF($AK228,0,Constants!$B$15)+IF($AJ228,0,Constants!$B$16)+IF($AH228,0,Constants!$B$17))</f>
        <v/>
      </c>
      <c r="BH228" s="139" t="str">
        <f aca="false">IF($BZ228&lt;&gt;Constants!$B$8,"",Constants!$B$20+SUM($BC228:$BG228))</f>
        <v/>
      </c>
      <c r="BI228" s="138" t="str">
        <f aca="false">IF($BZ228&lt;&gt;Constants!$B$8,"",$BC228)</f>
        <v/>
      </c>
      <c r="BJ228" s="138" t="str">
        <f aca="false">IF($BZ228&lt;&gt;Constants!$B$8,"",$BD228)</f>
        <v/>
      </c>
      <c r="BK228" s="138" t="str">
        <f aca="false">IF($BZ228&lt;&gt;Constants!$B$8,"",IF($AL228,$AN228,""))</f>
        <v/>
      </c>
      <c r="BL228" s="140" t="str">
        <f aca="false">IF($BZ228&lt;&gt;Constants!$B$8,"",$AI228)</f>
        <v/>
      </c>
      <c r="BM228" s="135" t="str">
        <f aca="false">IF($BZ228&lt;&gt;Constants!$B$8,"",IF(OR($BT228&lt;$BH228,AND($BT228=$BH228,OR($BU228&lt;$BI228,AND($BU228=$BI228,OR($BV228&lt;$BJ228,AND($BV228=$BJ228,OR(AND(ISNUMBER($BW228),OR(NOT(ISNUMBER($BK228)),$BW228&lt;$BK228)),AND(OR(AND($BW228="",$BK228=""),AND(ISNUMBER($BW228),ISNUMBER($BK228),$BW228=$BK228)),$BX228&lt;$BL228)))))))),"-&gt;","&lt;-"))</f>
        <v/>
      </c>
      <c r="BN228" s="134" t="str">
        <f aca="false">IF(ISBLANK($C228),"",AND($AT228,OR($AU228="",$AV228="",AND($AW228,$AX228=""))))</f>
        <v/>
      </c>
      <c r="BO228" s="137" t="str">
        <f aca="false">IF($BZ228&lt;&gt;Constants!$B$8,"",IF($AT228,Constants!$B$21*$AV228+Constants!$B$22*IF($AW228,$AX228,Constants!$B$23),Constants!$B$24))</f>
        <v/>
      </c>
      <c r="BP228" s="138" t="str">
        <f aca="false">IF($BZ228&lt;&gt;Constants!$B$8,"",Constants!$B$25*ABS($AD$9-IF($AT228,$AU228,0)))</f>
        <v/>
      </c>
      <c r="BQ228" s="138" t="str">
        <f aca="false">IF($BZ228&lt;&gt;Constants!$B$8,"",IF(AND($AT228,$AY228,$AW228),Constants!$B$27,0))</f>
        <v/>
      </c>
      <c r="BR228" s="138" t="str">
        <f aca="false">IF($BZ228&lt;&gt;Constants!$B$8,"",IF($AT228,($AI228-Constants!$B$29)*Constants!$B$28,0))</f>
        <v/>
      </c>
      <c r="BS228" s="138" t="str">
        <f aca="false">IF($BZ228&lt;&gt;Constants!$B$8,"",IF($AS228,0,Constants!$B$15)+IF($AR228,0,Constants!$B$16)+IF($AH228,0,Constants!$B$17))</f>
        <v/>
      </c>
      <c r="BT228" s="139" t="str">
        <f aca="false">IF($BZ228&lt;&gt;Constants!$B$8,"",Constants!$B$20+SUM($BO228:$BS228))</f>
        <v/>
      </c>
      <c r="BU228" s="138" t="str">
        <f aca="false">IF($BZ228&lt;&gt;Constants!$B$8,"",$BO228)</f>
        <v/>
      </c>
      <c r="BV228" s="138" t="str">
        <f aca="false">IF($BZ228&lt;&gt;Constants!$B$8,"",$BP228)</f>
        <v/>
      </c>
      <c r="BW228" s="138" t="str">
        <f aca="false">IF($BZ228&lt;&gt;Constants!$B$8,"",IF($AT228,$AV228,""))</f>
        <v/>
      </c>
      <c r="BX228" s="140" t="str">
        <f aca="false">IF($BZ228&lt;&gt;Constants!$B$8,"",$AI228)</f>
        <v/>
      </c>
      <c r="BY228" s="135" t="str">
        <f aca="false">IF(ISBLANK($C228),"",IF(ISBLANK($D$7),$BY$5,IF(NOT(ISNUMBER($D$7)),$BY$6,"")))</f>
        <v/>
      </c>
      <c r="BZ228" s="135" t="str">
        <f aca="false">IF(ISBLANK($C228),"",IF($BA228,Constants!$B$11,IF(COUNTA($E228:$AA228)=0,Constants!$B$10,IF(NOT($AG228),Constants!$B$9,IF(OR($BY228&lt;&gt;"",$BB228,$BN228),Constants!$B$12,Constants!$B$8)))))</f>
        <v/>
      </c>
      <c r="CA228" s="135" t="str">
        <f aca="false">IF(ISBLANK($C228),"",IF($BZ228&lt;&gt;Constants!$B$8,$BZ228,Constants!$B$13))</f>
        <v/>
      </c>
      <c r="CB228" s="138" t="str">
        <f aca="false">IF($BZ228&lt;&gt;Constants!$B$8,"",IF($BM228="-&gt;",$BT228,$BH228))</f>
        <v/>
      </c>
      <c r="CC228" s="138" t="str">
        <f aca="false">IF($BZ228&lt;&gt;Constants!$B$8,"",IF($AF228,0,Constants!$B$18))</f>
        <v/>
      </c>
      <c r="CD228" s="138" t="str">
        <f aca="false">IF($BZ228&lt;&gt;Constants!$B$8,"",((Constants!$B$31-$AZ228)-Constants!$B$31)/Constants!$B$32)</f>
        <v/>
      </c>
      <c r="CE228" s="138" t="str">
        <f aca="false">IF(ISBLANK($C228),"",IF($BZ228&lt;&gt;Constants!$B$8,$BZ228,SUM($CB228:$CD228)))</f>
        <v/>
      </c>
      <c r="CF228" s="135" t="str">
        <f aca="false">IF(ISBLANK($C228),"",IF($BZ228&lt;&gt;Constants!$B$8,$BZ228,RANK($CE228,$CE$9:$CE$508,1)))</f>
        <v/>
      </c>
      <c r="CG228" s="138" t="str">
        <f aca="false">IF($BZ228&lt;&gt;Constants!$B$8,"",IF($BM228="-&gt;",$BU228,$BI228))</f>
        <v/>
      </c>
      <c r="CH228" s="135" t="str">
        <f aca="false">IF(ISBLANK($C228),"",IF($BZ228&lt;&gt;Constants!$B$8,$BZ228,IF(ISNUMBER($CG228),RANK($CG228,$CG$9:$CG$508,1),COUNT($CG$9:$CG$508)+1)))</f>
        <v/>
      </c>
      <c r="CI228" s="138" t="str">
        <f aca="false">IF($BZ228&lt;&gt;Constants!$B$8,"",IF($BM228="-&gt;",$BV228,$BJ228))</f>
        <v/>
      </c>
      <c r="CJ228" s="135" t="str">
        <f aca="false">IF(ISBLANK($C228),"",IF($BZ228&lt;&gt;Constants!$B$8,$BZ228,IF(ISNUMBER($CI228),RANK($CI228,$CI$9:$CI$508,1),COUNT($CI$9:$CI$508)+1)))</f>
        <v/>
      </c>
      <c r="CK228" s="138" t="str">
        <f aca="false">IF($BZ228&lt;&gt;Constants!$B$8,"",IF($BM228="-&gt;",$BW228,$BK228))</f>
        <v/>
      </c>
      <c r="CL228" s="135" t="str">
        <f aca="false">IF(ISBLANK($C228),"",IF($BZ228&lt;&gt;Constants!$B$8,$BZ228,IF(ISNUMBER($CK228),RANK($CK228,$CK$9:$CK$508,1),COUNT($CK$9:$CK$508)+1)))</f>
        <v/>
      </c>
      <c r="CM228" s="138" t="str">
        <f aca="false">IF($BZ228&lt;&gt;Constants!$B$8,"",IF(AND(NOT($AL228),NOT($AT228),$AJ228,$AK228,$AR228,$AS228),"",IF($BM228="-&gt;",$BX228,$BL228)))</f>
        <v/>
      </c>
      <c r="CN228" s="135" t="str">
        <f aca="false">IF(ISBLANK($C228),"",IF($BZ228&lt;&gt;Constants!$B$8,$BZ228,IF(ISNUMBER($CM228),RANK($CM228,$CM$9:$CM$508,1),COUNT($CM$9:$CM$508)+1)))</f>
        <v/>
      </c>
      <c r="CO228" s="135" t="str">
        <f aca="false">IF(ISBLANK($C228),"",IF($BZ228&lt;&gt;Constants!$B$8,$BZ228,COUNTIFS($CF$9:$CF$508,"&lt;"&amp;$CF228)+COUNTIFS($CF$9:$CF$508,$CF228,$CH$9:$CH$508,"&lt;"&amp;$CH228)+COUNTIFS($CF$9:$CF$508,$CF228,$CH$9:$CH$508,$CH228,$CJ$9:$CJ$508,"&lt;"&amp;$CJ228)+COUNTIFS($CF$9:$CF$508,$CF228,$CH$9:$CH$508,$CH228,$CJ$9:$CJ$508,$CJ228,$CL$9:$CL$508,"&lt;"&amp;$CL228)+COUNTIFS($CF$9:$CF$508,$CF228,$CH$9:$CH$508,$CH228,$CJ$9:$CJ$508,$CJ228,$CL$9:$CL$508,$CL228,$CN$9:$CN$508,"&lt;"&amp;$CN228)+1))</f>
        <v/>
      </c>
      <c r="CP228" s="135" t="str">
        <f aca="false">IF(ISBLANK($C228),"",IF($BZ228&lt;&gt;Constants!$B$8,$BZ228,$CF228-$CO228))</f>
        <v/>
      </c>
      <c r="CQ228" s="141"/>
      <c r="CR228" s="142"/>
      <c r="CS228" s="143" t="str">
        <f aca="false">IF(ISBLANK($C228),"",IF($BZ228=Constants!$B$12,$BY228,""))</f>
        <v/>
      </c>
      <c r="CT228" s="142" t="str">
        <f aca="false">IF(ISBLANK($C228),"",IF($BZ228&lt;&gt;Constants!$B$8,"",IF($BM228="-&gt;",2,1)))</f>
        <v/>
      </c>
      <c r="CU228" s="144" t="str">
        <f aca="false">IF(ISBLANK($C228),"",IF($BZ228&lt;&gt;Constants!$B$8,"",IF($BM228="-&gt;",$BO228,$BC228)))</f>
        <v/>
      </c>
      <c r="CV228" s="144" t="str">
        <f aca="false">IF(ISBLANK($C228),"",IF($BZ228&lt;&gt;Constants!$B$8,"",IF($BM228="-&gt;",$BP228,$BD228)))</f>
        <v/>
      </c>
      <c r="CW228" s="144" t="str">
        <f aca="false">IF(ISBLANK($C228),"",IF($BZ228&lt;&gt;Constants!$B$8,"",IF($BM228="-&gt;",$BQ228+$BR228,$BE228+$BF228)+$CD228))</f>
        <v/>
      </c>
      <c r="CX228" s="144" t="str">
        <f aca="false">IF(ISBLANK($C228),"",IF($BZ228&lt;&gt;Constants!$B$8,"",IF($BM228="-&gt;",$BS228,$BG228)+$CC228))</f>
        <v/>
      </c>
      <c r="CY228" s="145" t="str">
        <f aca="false">IF(ISBLANK($C228),"",IF($BZ228&lt;&gt;Constants!$B$8,$BZ228,$CE228))</f>
        <v/>
      </c>
      <c r="CZ228" s="146" t="str">
        <f aca="false">IF(ISBLANK($C228),"",$CA228)</f>
        <v/>
      </c>
      <c r="DA228" s="147" t="str">
        <f aca="false">IF(ISBLANK($C228),"",$CP228)</f>
        <v/>
      </c>
      <c r="DB228" s="147" t="str">
        <f aca="false">IF(ISBLANK($C228),"",$CO228)</f>
        <v/>
      </c>
      <c r="DC228" s="148" t="str">
        <f aca="false">IF(ISBLANK($C228),"",IFERROR(_xlfn.SWITCH($DB228,Constants!$B$11,COUNTA($C$9:$C$508)+2,Constants!$B$10,COUNTA($C$9:$C$508)+1,Constants!$B$9,COUNTA($C$9:$C$508)),$DB228))</f>
        <v/>
      </c>
      <c r="DD228" s="9"/>
      <c r="DE228" s="149" t="n">
        <f aca="false">IF(OR(ISNUMBER($DB228),$DB228=Constants!$B$11,$DB228=Constants!$B$9,$DB228=Constants!$B$10),1,0)</f>
        <v>0</v>
      </c>
      <c r="DF228" s="149" t="n">
        <v>220</v>
      </c>
      <c r="DG228" s="149" t="str">
        <f aca="false">IF(ISBLANK($C228),"",IF(ISNUMBER($DC228),$DC228+ROW($B228)/1000,""))</f>
        <v/>
      </c>
      <c r="DH228" s="149" t="str">
        <f aca="false">IF(ISNUMBER($DG228),RANK($DG228,$DG$9:$DG$508,1),"")</f>
        <v/>
      </c>
      <c r="DI228" s="149" t="str">
        <f aca="false">IF(ISBLANK($C228),"",$B228)</f>
        <v/>
      </c>
      <c r="DJ228" s="149" t="str">
        <f aca="false">IF(ISBLANK($C228),"",$C228)</f>
        <v/>
      </c>
      <c r="DK228" s="149" t="str">
        <f aca="false">IF(ISBLANK($C228),"",$D228)</f>
        <v/>
      </c>
      <c r="DL228" s="150" t="str">
        <f aca="false">$CZ228</f>
        <v/>
      </c>
      <c r="DM228" s="151" t="str">
        <f aca="false">$CY228</f>
        <v/>
      </c>
      <c r="DN228" s="149" t="str">
        <f aca="false">IF(ISBLANK($C228),"",$DB228)</f>
        <v/>
      </c>
      <c r="DO228" s="152" t="str">
        <f aca="false">IF($DF228&gt;$DE$8,"",VLOOKUP($DF228,$DH$9:$DN$508,7,FALSE()))</f>
        <v/>
      </c>
      <c r="DP228" s="153" t="str">
        <f aca="false">IF($DF228&gt;$DE$8,"",VLOOKUP($DF228,$DH$9:$DN$508,2,FALSE()))</f>
        <v/>
      </c>
      <c r="DQ228" s="153" t="str">
        <f aca="false">IF($DF228&gt;$DE$8,"",VLOOKUP($DF228,$DH$9:$DN$508,3,FALSE()))</f>
        <v/>
      </c>
      <c r="DR228" s="153" t="str">
        <f aca="false">IF($DF228&gt;$DE$8,"",VLOOKUP($DF228,$DH$9:$DN$508,4,FALSE()))</f>
        <v/>
      </c>
      <c r="DS228" s="153" t="str">
        <f aca="false">IF($DF228&gt;$DE$8,"",VLOOKUP($DF228,$DH$9:$DN$508,5,FALSE()))</f>
        <v/>
      </c>
      <c r="DT228" s="154" t="str">
        <f aca="false">IF($DF228&gt;$DE$8,"",VLOOKUP($DF228,$DH$9:$DN$508,6,FALSE()))</f>
        <v/>
      </c>
      <c r="DU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IF(ISBLANK($C229),"",IF(E229=Constants!$B$3,TRUE(),IF(E229=Constants!$B$4,FALSE(),TRUE())))</f>
        <v/>
      </c>
      <c r="AG229" s="135" t="str">
        <f aca="false">IF(ISBLANK($C229),"",IF(F229=Constants!$B$3,TRUE(),IF(F229=Constants!$B$4,FALSE(),TRUE())))</f>
        <v/>
      </c>
      <c r="AH229" s="135" t="str">
        <f aca="false">IF(ISBLANK($C229),"",IF(G229=Constants!$B$3,TRUE(),IF(G229=Constants!$B$4,FALSE(),TRUE())))</f>
        <v/>
      </c>
      <c r="AI229" s="135" t="str">
        <f aca="false">IF(ISBLANK($C229),"",IF(AND(ISNUMBER(H229),H229&gt;=0),H229,Constants!$B$29))</f>
        <v/>
      </c>
      <c r="AJ229" s="135" t="str">
        <f aca="false">IF(ISBLANK($C229),"",IF(I229=Constants!$B$3,TRUE(),IF(I229=Constants!$B$4,FALSE(),TRUE())))</f>
        <v/>
      </c>
      <c r="AK229" s="135" t="str">
        <f aca="false">IF(ISBLANK($C229),"",IF(J229=Constants!$B$3,TRUE(),IF(J229=Constants!$B$4,FALSE(),TRUE())))</f>
        <v/>
      </c>
      <c r="AL229" s="135" t="str">
        <f aca="false">IF(ISBLANK($C229),"",IF(K229=Constants!$B$5,TRUE(),IF(K229=Constants!$B$6,FALSE(),COUNTA(L229:P229)&gt;0)))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IF(ISBLANK($C229),"",IF(N229=Constants!$B$3,TRUE(),IF(N229=Constants!$B$4,FALSE(),TRUE())))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IF(ISBLANK($C229),"",IF(P229=Constants!$B$3,TRUE(),IF(P229=Constants!$B$4,FALSE(),FALSE())))</f>
        <v/>
      </c>
      <c r="AR229" s="135" t="str">
        <f aca="false">IF(ISBLANK($C229),"",IF(Q229=Constants!$B$3,TRUE(),IF(Q229=Constants!$B$4,FALSE(),TRUE())))</f>
        <v/>
      </c>
      <c r="AS229" s="135" t="str">
        <f aca="false">IF(ISBLANK($C229),"",IF(R229=Constants!$B$3,TRUE(),IF(R229=Constants!$B$4,FALSE(),TRUE())))</f>
        <v/>
      </c>
      <c r="AT229" s="135" t="str">
        <f aca="false">IF(ISBLANK($C229),"",IF(S229=Constants!$B$5,TRUE(),IF(S229=Constants!$B$6,FALSE(),COUNTA(T229:X229)&gt;0)))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IF(ISBLANK($C229),"",IF(V229=Constants!$B$3,TRUE(),IF(V229=Constants!$B$4,FALSE(),TRUE())))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IF(ISBLANK($C229),"",IF(X229=Constants!$B$3,TRUE(),IF(X229=Constants!$B$4,FALSE(),FALSE())))</f>
        <v/>
      </c>
      <c r="AZ229" s="135" t="str">
        <f aca="false">IF(ISBLANK($C229),"",MIN(Constants!$B$31,MAX(0,IF(ISNUMBER(Y229),Y229*60,0)+IF(ISNUMBER(Z229),Z229,0))))</f>
        <v/>
      </c>
      <c r="BA229" s="135" t="str">
        <f aca="false">IF(ISBLANK($C229),"",IF(AA229=Constants!$B$3,TRUE(),IF(AA229=Constants!$B$4,FALSE(),FALSE())))</f>
        <v/>
      </c>
      <c r="BB229" s="134" t="str">
        <f aca="false">IF(ISBLANK($C229),"",AND($AL229,OR($AM229="",$AN229="",AND($AO229,$AP229=""))))</f>
        <v/>
      </c>
      <c r="BC229" s="137" t="str">
        <f aca="false">IF($BZ229&lt;&gt;Constants!$B$8,"",IF($AL229,Constants!$B$21*$AN229+Constants!$B$22*IF($AO229,$AP229,Constants!$B$23),Constants!$B$24))</f>
        <v/>
      </c>
      <c r="BD229" s="138" t="str">
        <f aca="false">IF($BZ229&lt;&gt;Constants!$B$8,"",Constants!$B$25*ABS($AD$9-IF($AL229,$AM229,0)))</f>
        <v/>
      </c>
      <c r="BE229" s="138" t="str">
        <f aca="false">IF($BZ229&lt;&gt;Constants!$B$8,"",IF(AND($AL229,$AQ229,$AO229),Constants!$B$27,0))</f>
        <v/>
      </c>
      <c r="BF229" s="138" t="str">
        <f aca="false">IF($BZ229&lt;&gt;Constants!$B$8,"",IF($AL229,($AI229-Constants!$B$29)*Constants!$B$28,0))</f>
        <v/>
      </c>
      <c r="BG229" s="138" t="str">
        <f aca="false">IF($BZ229&lt;&gt;Constants!$B$8,"",IF($AK229,0,Constants!$B$15)+IF($AJ229,0,Constants!$B$16)+IF($AH229,0,Constants!$B$17))</f>
        <v/>
      </c>
      <c r="BH229" s="139" t="str">
        <f aca="false">IF($BZ229&lt;&gt;Constants!$B$8,"",Constants!$B$20+SUM($BC229:$BG229))</f>
        <v/>
      </c>
      <c r="BI229" s="138" t="str">
        <f aca="false">IF($BZ229&lt;&gt;Constants!$B$8,"",$BC229)</f>
        <v/>
      </c>
      <c r="BJ229" s="138" t="str">
        <f aca="false">IF($BZ229&lt;&gt;Constants!$B$8,"",$BD229)</f>
        <v/>
      </c>
      <c r="BK229" s="138" t="str">
        <f aca="false">IF($BZ229&lt;&gt;Constants!$B$8,"",IF($AL229,$AN229,""))</f>
        <v/>
      </c>
      <c r="BL229" s="140" t="str">
        <f aca="false">IF($BZ229&lt;&gt;Constants!$B$8,"",$AI229)</f>
        <v/>
      </c>
      <c r="BM229" s="135" t="str">
        <f aca="false">IF($BZ229&lt;&gt;Constants!$B$8,"",IF(OR($BT229&lt;$BH229,AND($BT229=$BH229,OR($BU229&lt;$BI229,AND($BU229=$BI229,OR($BV229&lt;$BJ229,AND($BV229=$BJ229,OR(AND(ISNUMBER($BW229),OR(NOT(ISNUMBER($BK229)),$BW229&lt;$BK229)),AND(OR(AND($BW229="",$BK229=""),AND(ISNUMBER($BW229),ISNUMBER($BK229),$BW229=$BK229)),$BX229&lt;$BL229)))))))),"-&gt;","&lt;-"))</f>
        <v/>
      </c>
      <c r="BN229" s="134" t="str">
        <f aca="false">IF(ISBLANK($C229),"",AND($AT229,OR($AU229="",$AV229="",AND($AW229,$AX229=""))))</f>
        <v/>
      </c>
      <c r="BO229" s="137" t="str">
        <f aca="false">IF($BZ229&lt;&gt;Constants!$B$8,"",IF($AT229,Constants!$B$21*$AV229+Constants!$B$22*IF($AW229,$AX229,Constants!$B$23),Constants!$B$24))</f>
        <v/>
      </c>
      <c r="BP229" s="138" t="str">
        <f aca="false">IF($BZ229&lt;&gt;Constants!$B$8,"",Constants!$B$25*ABS($AD$9-IF($AT229,$AU229,0)))</f>
        <v/>
      </c>
      <c r="BQ229" s="138" t="str">
        <f aca="false">IF($BZ229&lt;&gt;Constants!$B$8,"",IF(AND($AT229,$AY229,$AW229),Constants!$B$27,0))</f>
        <v/>
      </c>
      <c r="BR229" s="138" t="str">
        <f aca="false">IF($BZ229&lt;&gt;Constants!$B$8,"",IF($AT229,($AI229-Constants!$B$29)*Constants!$B$28,0))</f>
        <v/>
      </c>
      <c r="BS229" s="138" t="str">
        <f aca="false">IF($BZ229&lt;&gt;Constants!$B$8,"",IF($AS229,0,Constants!$B$15)+IF($AR229,0,Constants!$B$16)+IF($AH229,0,Constants!$B$17))</f>
        <v/>
      </c>
      <c r="BT229" s="139" t="str">
        <f aca="false">IF($BZ229&lt;&gt;Constants!$B$8,"",Constants!$B$20+SUM($BO229:$BS229))</f>
        <v/>
      </c>
      <c r="BU229" s="138" t="str">
        <f aca="false">IF($BZ229&lt;&gt;Constants!$B$8,"",$BO229)</f>
        <v/>
      </c>
      <c r="BV229" s="138" t="str">
        <f aca="false">IF($BZ229&lt;&gt;Constants!$B$8,"",$BP229)</f>
        <v/>
      </c>
      <c r="BW229" s="138" t="str">
        <f aca="false">IF($BZ229&lt;&gt;Constants!$B$8,"",IF($AT229,$AV229,""))</f>
        <v/>
      </c>
      <c r="BX229" s="140" t="str">
        <f aca="false">IF($BZ229&lt;&gt;Constants!$B$8,"",$AI229)</f>
        <v/>
      </c>
      <c r="BY229" s="135" t="str">
        <f aca="false">IF(ISBLANK($C229),"",IF(ISBLANK($D$7),$BY$5,IF(NOT(ISNUMBER($D$7)),$BY$6,"")))</f>
        <v/>
      </c>
      <c r="BZ229" s="135" t="str">
        <f aca="false">IF(ISBLANK($C229),"",IF($BA229,Constants!$B$11,IF(COUNTA($E229:$AA229)=0,Constants!$B$10,IF(NOT($AG229),Constants!$B$9,IF(OR($BY229&lt;&gt;"",$BB229,$BN229),Constants!$B$12,Constants!$B$8)))))</f>
        <v/>
      </c>
      <c r="CA229" s="135" t="str">
        <f aca="false">IF(ISBLANK($C229),"",IF($BZ229&lt;&gt;Constants!$B$8,$BZ229,Constants!$B$13))</f>
        <v/>
      </c>
      <c r="CB229" s="138" t="str">
        <f aca="false">IF($BZ229&lt;&gt;Constants!$B$8,"",IF($BM229="-&gt;",$BT229,$BH229))</f>
        <v/>
      </c>
      <c r="CC229" s="138" t="str">
        <f aca="false">IF($BZ229&lt;&gt;Constants!$B$8,"",IF($AF229,0,Constants!$B$18))</f>
        <v/>
      </c>
      <c r="CD229" s="138" t="str">
        <f aca="false">IF($BZ229&lt;&gt;Constants!$B$8,"",((Constants!$B$31-$AZ229)-Constants!$B$31)/Constants!$B$32)</f>
        <v/>
      </c>
      <c r="CE229" s="138" t="str">
        <f aca="false">IF(ISBLANK($C229),"",IF($BZ229&lt;&gt;Constants!$B$8,$BZ229,SUM($CB229:$CD229)))</f>
        <v/>
      </c>
      <c r="CF229" s="135" t="str">
        <f aca="false">IF(ISBLANK($C229),"",IF($BZ229&lt;&gt;Constants!$B$8,$BZ229,RANK($CE229,$CE$9:$CE$508,1)))</f>
        <v/>
      </c>
      <c r="CG229" s="138" t="str">
        <f aca="false">IF($BZ229&lt;&gt;Constants!$B$8,"",IF($BM229="-&gt;",$BU229,$BI229))</f>
        <v/>
      </c>
      <c r="CH229" s="135" t="str">
        <f aca="false">IF(ISBLANK($C229),"",IF($BZ229&lt;&gt;Constants!$B$8,$BZ229,IF(ISNUMBER($CG229),RANK($CG229,$CG$9:$CG$508,1),COUNT($CG$9:$CG$508)+1)))</f>
        <v/>
      </c>
      <c r="CI229" s="138" t="str">
        <f aca="false">IF($BZ229&lt;&gt;Constants!$B$8,"",IF($BM229="-&gt;",$BV229,$BJ229))</f>
        <v/>
      </c>
      <c r="CJ229" s="135" t="str">
        <f aca="false">IF(ISBLANK($C229),"",IF($BZ229&lt;&gt;Constants!$B$8,$BZ229,IF(ISNUMBER($CI229),RANK($CI229,$CI$9:$CI$508,1),COUNT($CI$9:$CI$508)+1)))</f>
        <v/>
      </c>
      <c r="CK229" s="138" t="str">
        <f aca="false">IF($BZ229&lt;&gt;Constants!$B$8,"",IF($BM229="-&gt;",$BW229,$BK229))</f>
        <v/>
      </c>
      <c r="CL229" s="135" t="str">
        <f aca="false">IF(ISBLANK($C229),"",IF($BZ229&lt;&gt;Constants!$B$8,$BZ229,IF(ISNUMBER($CK229),RANK($CK229,$CK$9:$CK$508,1),COUNT($CK$9:$CK$508)+1)))</f>
        <v/>
      </c>
      <c r="CM229" s="138" t="str">
        <f aca="false">IF($BZ229&lt;&gt;Constants!$B$8,"",IF(AND(NOT($AL229),NOT($AT229),$AJ229,$AK229,$AR229,$AS229),"",IF($BM229="-&gt;",$BX229,$BL229)))</f>
        <v/>
      </c>
      <c r="CN229" s="135" t="str">
        <f aca="false">IF(ISBLANK($C229),"",IF($BZ229&lt;&gt;Constants!$B$8,$BZ229,IF(ISNUMBER($CM229),RANK($CM229,$CM$9:$CM$508,1),COUNT($CM$9:$CM$508)+1)))</f>
        <v/>
      </c>
      <c r="CO229" s="135" t="str">
        <f aca="false">IF(ISBLANK($C229),"",IF($BZ229&lt;&gt;Constants!$B$8,$BZ229,COUNTIFS($CF$9:$CF$508,"&lt;"&amp;$CF229)+COUNTIFS($CF$9:$CF$508,$CF229,$CH$9:$CH$508,"&lt;"&amp;$CH229)+COUNTIFS($CF$9:$CF$508,$CF229,$CH$9:$CH$508,$CH229,$CJ$9:$CJ$508,"&lt;"&amp;$CJ229)+COUNTIFS($CF$9:$CF$508,$CF229,$CH$9:$CH$508,$CH229,$CJ$9:$CJ$508,$CJ229,$CL$9:$CL$508,"&lt;"&amp;$CL229)+COUNTIFS($CF$9:$CF$508,$CF229,$CH$9:$CH$508,$CH229,$CJ$9:$CJ$508,$CJ229,$CL$9:$CL$508,$CL229,$CN$9:$CN$508,"&lt;"&amp;$CN229)+1))</f>
        <v/>
      </c>
      <c r="CP229" s="135" t="str">
        <f aca="false">IF(ISBLANK($C229),"",IF($BZ229&lt;&gt;Constants!$B$8,$BZ229,$CF229-$CO229))</f>
        <v/>
      </c>
      <c r="CQ229" s="141"/>
      <c r="CR229" s="142"/>
      <c r="CS229" s="143" t="str">
        <f aca="false">IF(ISBLANK($C229),"",IF($BZ229=Constants!$B$12,$BY229,""))</f>
        <v/>
      </c>
      <c r="CT229" s="142" t="str">
        <f aca="false">IF(ISBLANK($C229),"",IF($BZ229&lt;&gt;Constants!$B$8,"",IF($BM229="-&gt;",2,1)))</f>
        <v/>
      </c>
      <c r="CU229" s="144" t="str">
        <f aca="false">IF(ISBLANK($C229),"",IF($BZ229&lt;&gt;Constants!$B$8,"",IF($BM229="-&gt;",$BO229,$BC229)))</f>
        <v/>
      </c>
      <c r="CV229" s="144" t="str">
        <f aca="false">IF(ISBLANK($C229),"",IF($BZ229&lt;&gt;Constants!$B$8,"",IF($BM229="-&gt;",$BP229,$BD229)))</f>
        <v/>
      </c>
      <c r="CW229" s="144" t="str">
        <f aca="false">IF(ISBLANK($C229),"",IF($BZ229&lt;&gt;Constants!$B$8,"",IF($BM229="-&gt;",$BQ229+$BR229,$BE229+$BF229)+$CD229))</f>
        <v/>
      </c>
      <c r="CX229" s="144" t="str">
        <f aca="false">IF(ISBLANK($C229),"",IF($BZ229&lt;&gt;Constants!$B$8,"",IF($BM229="-&gt;",$BS229,$BG229)+$CC229))</f>
        <v/>
      </c>
      <c r="CY229" s="145" t="str">
        <f aca="false">IF(ISBLANK($C229),"",IF($BZ229&lt;&gt;Constants!$B$8,$BZ229,$CE229))</f>
        <v/>
      </c>
      <c r="CZ229" s="146" t="str">
        <f aca="false">IF(ISBLANK($C229),"",$CA229)</f>
        <v/>
      </c>
      <c r="DA229" s="147" t="str">
        <f aca="false">IF(ISBLANK($C229),"",$CP229)</f>
        <v/>
      </c>
      <c r="DB229" s="147" t="str">
        <f aca="false">IF(ISBLANK($C229),"",$CO229)</f>
        <v/>
      </c>
      <c r="DC229" s="148" t="str">
        <f aca="false">IF(ISBLANK($C229),"",IFERROR(_xlfn.SWITCH($DB229,Constants!$B$11,COUNTA($C$9:$C$508)+2,Constants!$B$10,COUNTA($C$9:$C$508)+1,Constants!$B$9,COUNTA($C$9:$C$508)),$DB229))</f>
        <v/>
      </c>
      <c r="DD229" s="9"/>
      <c r="DE229" s="149" t="n">
        <f aca="false">IF(OR(ISNUMBER($DB229),$DB229=Constants!$B$11,$DB229=Constants!$B$9,$DB229=Constants!$B$10),1,0)</f>
        <v>0</v>
      </c>
      <c r="DF229" s="149" t="n">
        <v>221</v>
      </c>
      <c r="DG229" s="149" t="str">
        <f aca="false">IF(ISBLANK($C229),"",IF(ISNUMBER($DC229),$DC229+ROW($B229)/1000,""))</f>
        <v/>
      </c>
      <c r="DH229" s="149" t="str">
        <f aca="false">IF(ISNUMBER($DG229),RANK($DG229,$DG$9:$DG$508,1),"")</f>
        <v/>
      </c>
      <c r="DI229" s="149" t="str">
        <f aca="false">IF(ISBLANK($C229),"",$B229)</f>
        <v/>
      </c>
      <c r="DJ229" s="149" t="str">
        <f aca="false">IF(ISBLANK($C229),"",$C229)</f>
        <v/>
      </c>
      <c r="DK229" s="149" t="str">
        <f aca="false">IF(ISBLANK($C229),"",$D229)</f>
        <v/>
      </c>
      <c r="DL229" s="150" t="str">
        <f aca="false">$CZ229</f>
        <v/>
      </c>
      <c r="DM229" s="151" t="str">
        <f aca="false">$CY229</f>
        <v/>
      </c>
      <c r="DN229" s="149" t="str">
        <f aca="false">IF(ISBLANK($C229),"",$DB229)</f>
        <v/>
      </c>
      <c r="DO229" s="152" t="str">
        <f aca="false">IF($DF229&gt;$DE$8,"",VLOOKUP($DF229,$DH$9:$DN$508,7,FALSE()))</f>
        <v/>
      </c>
      <c r="DP229" s="153" t="str">
        <f aca="false">IF($DF229&gt;$DE$8,"",VLOOKUP($DF229,$DH$9:$DN$508,2,FALSE()))</f>
        <v/>
      </c>
      <c r="DQ229" s="153" t="str">
        <f aca="false">IF($DF229&gt;$DE$8,"",VLOOKUP($DF229,$DH$9:$DN$508,3,FALSE()))</f>
        <v/>
      </c>
      <c r="DR229" s="153" t="str">
        <f aca="false">IF($DF229&gt;$DE$8,"",VLOOKUP($DF229,$DH$9:$DN$508,4,FALSE()))</f>
        <v/>
      </c>
      <c r="DS229" s="153" t="str">
        <f aca="false">IF($DF229&gt;$DE$8,"",VLOOKUP($DF229,$DH$9:$DN$508,5,FALSE()))</f>
        <v/>
      </c>
      <c r="DT229" s="154" t="str">
        <f aca="false">IF($DF229&gt;$DE$8,"",VLOOKUP($DF229,$DH$9:$DN$508,6,FALSE()))</f>
        <v/>
      </c>
      <c r="DU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IF(ISBLANK($C230),"",IF(E230=Constants!$B$3,TRUE(),IF(E230=Constants!$B$4,FALSE(),TRUE())))</f>
        <v/>
      </c>
      <c r="AG230" s="135" t="str">
        <f aca="false">IF(ISBLANK($C230),"",IF(F230=Constants!$B$3,TRUE(),IF(F230=Constants!$B$4,FALSE(),TRUE())))</f>
        <v/>
      </c>
      <c r="AH230" s="135" t="str">
        <f aca="false">IF(ISBLANK($C230),"",IF(G230=Constants!$B$3,TRUE(),IF(G230=Constants!$B$4,FALSE(),TRUE())))</f>
        <v/>
      </c>
      <c r="AI230" s="135" t="str">
        <f aca="false">IF(ISBLANK($C230),"",IF(AND(ISNUMBER(H230),H230&gt;=0),H230,Constants!$B$29))</f>
        <v/>
      </c>
      <c r="AJ230" s="135" t="str">
        <f aca="false">IF(ISBLANK($C230),"",IF(I230=Constants!$B$3,TRUE(),IF(I230=Constants!$B$4,FALSE(),TRUE())))</f>
        <v/>
      </c>
      <c r="AK230" s="135" t="str">
        <f aca="false">IF(ISBLANK($C230),"",IF(J230=Constants!$B$3,TRUE(),IF(J230=Constants!$B$4,FALSE(),TRUE())))</f>
        <v/>
      </c>
      <c r="AL230" s="135" t="str">
        <f aca="false">IF(ISBLANK($C230),"",IF(K230=Constants!$B$5,TRUE(),IF(K230=Constants!$B$6,FALSE(),COUNTA(L230:P230)&gt;0)))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IF(ISBLANK($C230),"",IF(N230=Constants!$B$3,TRUE(),IF(N230=Constants!$B$4,FALSE(),TRUE())))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IF(ISBLANK($C230),"",IF(P230=Constants!$B$3,TRUE(),IF(P230=Constants!$B$4,FALSE(),FALSE())))</f>
        <v/>
      </c>
      <c r="AR230" s="135" t="str">
        <f aca="false">IF(ISBLANK($C230),"",IF(Q230=Constants!$B$3,TRUE(),IF(Q230=Constants!$B$4,FALSE(),TRUE())))</f>
        <v/>
      </c>
      <c r="AS230" s="135" t="str">
        <f aca="false">IF(ISBLANK($C230),"",IF(R230=Constants!$B$3,TRUE(),IF(R230=Constants!$B$4,FALSE(),TRUE())))</f>
        <v/>
      </c>
      <c r="AT230" s="135" t="str">
        <f aca="false">IF(ISBLANK($C230),"",IF(S230=Constants!$B$5,TRUE(),IF(S230=Constants!$B$6,FALSE(),COUNTA(T230:X230)&gt;0)))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IF(ISBLANK($C230),"",IF(V230=Constants!$B$3,TRUE(),IF(V230=Constants!$B$4,FALSE(),TRUE())))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IF(ISBLANK($C230),"",IF(X230=Constants!$B$3,TRUE(),IF(X230=Constants!$B$4,FALSE(),FALSE())))</f>
        <v/>
      </c>
      <c r="AZ230" s="135" t="str">
        <f aca="false">IF(ISBLANK($C230),"",MIN(Constants!$B$31,MAX(0,IF(ISNUMBER(Y230),Y230*60,0)+IF(ISNUMBER(Z230),Z230,0))))</f>
        <v/>
      </c>
      <c r="BA230" s="135" t="str">
        <f aca="false">IF(ISBLANK($C230),"",IF(AA230=Constants!$B$3,TRUE(),IF(AA230=Constants!$B$4,FALSE(),FALSE())))</f>
        <v/>
      </c>
      <c r="BB230" s="134" t="str">
        <f aca="false">IF(ISBLANK($C230),"",AND($AL230,OR($AM230="",$AN230="",AND($AO230,$AP230=""))))</f>
        <v/>
      </c>
      <c r="BC230" s="137" t="str">
        <f aca="false">IF($BZ230&lt;&gt;Constants!$B$8,"",IF($AL230,Constants!$B$21*$AN230+Constants!$B$22*IF($AO230,$AP230,Constants!$B$23),Constants!$B$24))</f>
        <v/>
      </c>
      <c r="BD230" s="138" t="str">
        <f aca="false">IF($BZ230&lt;&gt;Constants!$B$8,"",Constants!$B$25*ABS($AD$9-IF($AL230,$AM230,0)))</f>
        <v/>
      </c>
      <c r="BE230" s="138" t="str">
        <f aca="false">IF($BZ230&lt;&gt;Constants!$B$8,"",IF(AND($AL230,$AQ230,$AO230),Constants!$B$27,0))</f>
        <v/>
      </c>
      <c r="BF230" s="138" t="str">
        <f aca="false">IF($BZ230&lt;&gt;Constants!$B$8,"",IF($AL230,($AI230-Constants!$B$29)*Constants!$B$28,0))</f>
        <v/>
      </c>
      <c r="BG230" s="138" t="str">
        <f aca="false">IF($BZ230&lt;&gt;Constants!$B$8,"",IF($AK230,0,Constants!$B$15)+IF($AJ230,0,Constants!$B$16)+IF($AH230,0,Constants!$B$17))</f>
        <v/>
      </c>
      <c r="BH230" s="139" t="str">
        <f aca="false">IF($BZ230&lt;&gt;Constants!$B$8,"",Constants!$B$20+SUM($BC230:$BG230))</f>
        <v/>
      </c>
      <c r="BI230" s="138" t="str">
        <f aca="false">IF($BZ230&lt;&gt;Constants!$B$8,"",$BC230)</f>
        <v/>
      </c>
      <c r="BJ230" s="138" t="str">
        <f aca="false">IF($BZ230&lt;&gt;Constants!$B$8,"",$BD230)</f>
        <v/>
      </c>
      <c r="BK230" s="138" t="str">
        <f aca="false">IF($BZ230&lt;&gt;Constants!$B$8,"",IF($AL230,$AN230,""))</f>
        <v/>
      </c>
      <c r="BL230" s="140" t="str">
        <f aca="false">IF($BZ230&lt;&gt;Constants!$B$8,"",$AI230)</f>
        <v/>
      </c>
      <c r="BM230" s="135" t="str">
        <f aca="false">IF($BZ230&lt;&gt;Constants!$B$8,"",IF(OR($BT230&lt;$BH230,AND($BT230=$BH230,OR($BU230&lt;$BI230,AND($BU230=$BI230,OR($BV230&lt;$BJ230,AND($BV230=$BJ230,OR(AND(ISNUMBER($BW230),OR(NOT(ISNUMBER($BK230)),$BW230&lt;$BK230)),AND(OR(AND($BW230="",$BK230=""),AND(ISNUMBER($BW230),ISNUMBER($BK230),$BW230=$BK230)),$BX230&lt;$BL230)))))))),"-&gt;","&lt;-"))</f>
        <v/>
      </c>
      <c r="BN230" s="134" t="str">
        <f aca="false">IF(ISBLANK($C230),"",AND($AT230,OR($AU230="",$AV230="",AND($AW230,$AX230=""))))</f>
        <v/>
      </c>
      <c r="BO230" s="137" t="str">
        <f aca="false">IF($BZ230&lt;&gt;Constants!$B$8,"",IF($AT230,Constants!$B$21*$AV230+Constants!$B$22*IF($AW230,$AX230,Constants!$B$23),Constants!$B$24))</f>
        <v/>
      </c>
      <c r="BP230" s="138" t="str">
        <f aca="false">IF($BZ230&lt;&gt;Constants!$B$8,"",Constants!$B$25*ABS($AD$9-IF($AT230,$AU230,0)))</f>
        <v/>
      </c>
      <c r="BQ230" s="138" t="str">
        <f aca="false">IF($BZ230&lt;&gt;Constants!$B$8,"",IF(AND($AT230,$AY230,$AW230),Constants!$B$27,0))</f>
        <v/>
      </c>
      <c r="BR230" s="138" t="str">
        <f aca="false">IF($BZ230&lt;&gt;Constants!$B$8,"",IF($AT230,($AI230-Constants!$B$29)*Constants!$B$28,0))</f>
        <v/>
      </c>
      <c r="BS230" s="138" t="str">
        <f aca="false">IF($BZ230&lt;&gt;Constants!$B$8,"",IF($AS230,0,Constants!$B$15)+IF($AR230,0,Constants!$B$16)+IF($AH230,0,Constants!$B$17))</f>
        <v/>
      </c>
      <c r="BT230" s="139" t="str">
        <f aca="false">IF($BZ230&lt;&gt;Constants!$B$8,"",Constants!$B$20+SUM($BO230:$BS230))</f>
        <v/>
      </c>
      <c r="BU230" s="138" t="str">
        <f aca="false">IF($BZ230&lt;&gt;Constants!$B$8,"",$BO230)</f>
        <v/>
      </c>
      <c r="BV230" s="138" t="str">
        <f aca="false">IF($BZ230&lt;&gt;Constants!$B$8,"",$BP230)</f>
        <v/>
      </c>
      <c r="BW230" s="138" t="str">
        <f aca="false">IF($BZ230&lt;&gt;Constants!$B$8,"",IF($AT230,$AV230,""))</f>
        <v/>
      </c>
      <c r="BX230" s="140" t="str">
        <f aca="false">IF($BZ230&lt;&gt;Constants!$B$8,"",$AI230)</f>
        <v/>
      </c>
      <c r="BY230" s="135" t="str">
        <f aca="false">IF(ISBLANK($C230),"",IF(ISBLANK($D$7),$BY$5,IF(NOT(ISNUMBER($D$7)),$BY$6,"")))</f>
        <v/>
      </c>
      <c r="BZ230" s="135" t="str">
        <f aca="false">IF(ISBLANK($C230),"",IF($BA230,Constants!$B$11,IF(COUNTA($E230:$AA230)=0,Constants!$B$10,IF(NOT($AG230),Constants!$B$9,IF(OR($BY230&lt;&gt;"",$BB230,$BN230),Constants!$B$12,Constants!$B$8)))))</f>
        <v/>
      </c>
      <c r="CA230" s="135" t="str">
        <f aca="false">IF(ISBLANK($C230),"",IF($BZ230&lt;&gt;Constants!$B$8,$BZ230,Constants!$B$13))</f>
        <v/>
      </c>
      <c r="CB230" s="138" t="str">
        <f aca="false">IF($BZ230&lt;&gt;Constants!$B$8,"",IF($BM230="-&gt;",$BT230,$BH230))</f>
        <v/>
      </c>
      <c r="CC230" s="138" t="str">
        <f aca="false">IF($BZ230&lt;&gt;Constants!$B$8,"",IF($AF230,0,Constants!$B$18))</f>
        <v/>
      </c>
      <c r="CD230" s="138" t="str">
        <f aca="false">IF($BZ230&lt;&gt;Constants!$B$8,"",((Constants!$B$31-$AZ230)-Constants!$B$31)/Constants!$B$32)</f>
        <v/>
      </c>
      <c r="CE230" s="138" t="str">
        <f aca="false">IF(ISBLANK($C230),"",IF($BZ230&lt;&gt;Constants!$B$8,$BZ230,SUM($CB230:$CD230)))</f>
        <v/>
      </c>
      <c r="CF230" s="135" t="str">
        <f aca="false">IF(ISBLANK($C230),"",IF($BZ230&lt;&gt;Constants!$B$8,$BZ230,RANK($CE230,$CE$9:$CE$508,1)))</f>
        <v/>
      </c>
      <c r="CG230" s="138" t="str">
        <f aca="false">IF($BZ230&lt;&gt;Constants!$B$8,"",IF($BM230="-&gt;",$BU230,$BI230))</f>
        <v/>
      </c>
      <c r="CH230" s="135" t="str">
        <f aca="false">IF(ISBLANK($C230),"",IF($BZ230&lt;&gt;Constants!$B$8,$BZ230,IF(ISNUMBER($CG230),RANK($CG230,$CG$9:$CG$508,1),COUNT($CG$9:$CG$508)+1)))</f>
        <v/>
      </c>
      <c r="CI230" s="138" t="str">
        <f aca="false">IF($BZ230&lt;&gt;Constants!$B$8,"",IF($BM230="-&gt;",$BV230,$BJ230))</f>
        <v/>
      </c>
      <c r="CJ230" s="135" t="str">
        <f aca="false">IF(ISBLANK($C230),"",IF($BZ230&lt;&gt;Constants!$B$8,$BZ230,IF(ISNUMBER($CI230),RANK($CI230,$CI$9:$CI$508,1),COUNT($CI$9:$CI$508)+1)))</f>
        <v/>
      </c>
      <c r="CK230" s="138" t="str">
        <f aca="false">IF($BZ230&lt;&gt;Constants!$B$8,"",IF($BM230="-&gt;",$BW230,$BK230))</f>
        <v/>
      </c>
      <c r="CL230" s="135" t="str">
        <f aca="false">IF(ISBLANK($C230),"",IF($BZ230&lt;&gt;Constants!$B$8,$BZ230,IF(ISNUMBER($CK230),RANK($CK230,$CK$9:$CK$508,1),COUNT($CK$9:$CK$508)+1)))</f>
        <v/>
      </c>
      <c r="CM230" s="138" t="str">
        <f aca="false">IF($BZ230&lt;&gt;Constants!$B$8,"",IF(AND(NOT($AL230),NOT($AT230),$AJ230,$AK230,$AR230,$AS230),"",IF($BM230="-&gt;",$BX230,$BL230)))</f>
        <v/>
      </c>
      <c r="CN230" s="135" t="str">
        <f aca="false">IF(ISBLANK($C230),"",IF($BZ230&lt;&gt;Constants!$B$8,$BZ230,IF(ISNUMBER($CM230),RANK($CM230,$CM$9:$CM$508,1),COUNT($CM$9:$CM$508)+1)))</f>
        <v/>
      </c>
      <c r="CO230" s="135" t="str">
        <f aca="false">IF(ISBLANK($C230),"",IF($BZ230&lt;&gt;Constants!$B$8,$BZ230,COUNTIFS($CF$9:$CF$508,"&lt;"&amp;$CF230)+COUNTIFS($CF$9:$CF$508,$CF230,$CH$9:$CH$508,"&lt;"&amp;$CH230)+COUNTIFS($CF$9:$CF$508,$CF230,$CH$9:$CH$508,$CH230,$CJ$9:$CJ$508,"&lt;"&amp;$CJ230)+COUNTIFS($CF$9:$CF$508,$CF230,$CH$9:$CH$508,$CH230,$CJ$9:$CJ$508,$CJ230,$CL$9:$CL$508,"&lt;"&amp;$CL230)+COUNTIFS($CF$9:$CF$508,$CF230,$CH$9:$CH$508,$CH230,$CJ$9:$CJ$508,$CJ230,$CL$9:$CL$508,$CL230,$CN$9:$CN$508,"&lt;"&amp;$CN230)+1))</f>
        <v/>
      </c>
      <c r="CP230" s="135" t="str">
        <f aca="false">IF(ISBLANK($C230),"",IF($BZ230&lt;&gt;Constants!$B$8,$BZ230,$CF230-$CO230))</f>
        <v/>
      </c>
      <c r="CQ230" s="141"/>
      <c r="CR230" s="142"/>
      <c r="CS230" s="143" t="str">
        <f aca="false">IF(ISBLANK($C230),"",IF($BZ230=Constants!$B$12,$BY230,""))</f>
        <v/>
      </c>
      <c r="CT230" s="142" t="str">
        <f aca="false">IF(ISBLANK($C230),"",IF($BZ230&lt;&gt;Constants!$B$8,"",IF($BM230="-&gt;",2,1)))</f>
        <v/>
      </c>
      <c r="CU230" s="144" t="str">
        <f aca="false">IF(ISBLANK($C230),"",IF($BZ230&lt;&gt;Constants!$B$8,"",IF($BM230="-&gt;",$BO230,$BC230)))</f>
        <v/>
      </c>
      <c r="CV230" s="144" t="str">
        <f aca="false">IF(ISBLANK($C230),"",IF($BZ230&lt;&gt;Constants!$B$8,"",IF($BM230="-&gt;",$BP230,$BD230)))</f>
        <v/>
      </c>
      <c r="CW230" s="144" t="str">
        <f aca="false">IF(ISBLANK($C230),"",IF($BZ230&lt;&gt;Constants!$B$8,"",IF($BM230="-&gt;",$BQ230+$BR230,$BE230+$BF230)+$CD230))</f>
        <v/>
      </c>
      <c r="CX230" s="144" t="str">
        <f aca="false">IF(ISBLANK($C230),"",IF($BZ230&lt;&gt;Constants!$B$8,"",IF($BM230="-&gt;",$BS230,$BG230)+$CC230))</f>
        <v/>
      </c>
      <c r="CY230" s="145" t="str">
        <f aca="false">IF(ISBLANK($C230),"",IF($BZ230&lt;&gt;Constants!$B$8,$BZ230,$CE230))</f>
        <v/>
      </c>
      <c r="CZ230" s="146" t="str">
        <f aca="false">IF(ISBLANK($C230),"",$CA230)</f>
        <v/>
      </c>
      <c r="DA230" s="147" t="str">
        <f aca="false">IF(ISBLANK($C230),"",$CP230)</f>
        <v/>
      </c>
      <c r="DB230" s="147" t="str">
        <f aca="false">IF(ISBLANK($C230),"",$CO230)</f>
        <v/>
      </c>
      <c r="DC230" s="148" t="str">
        <f aca="false">IF(ISBLANK($C230),"",IFERROR(_xlfn.SWITCH($DB230,Constants!$B$11,COUNTA($C$9:$C$508)+2,Constants!$B$10,COUNTA($C$9:$C$508)+1,Constants!$B$9,COUNTA($C$9:$C$508)),$DB230))</f>
        <v/>
      </c>
      <c r="DD230" s="9"/>
      <c r="DE230" s="149" t="n">
        <f aca="false">IF(OR(ISNUMBER($DB230),$DB230=Constants!$B$11,$DB230=Constants!$B$9,$DB230=Constants!$B$10),1,0)</f>
        <v>0</v>
      </c>
      <c r="DF230" s="149" t="n">
        <v>222</v>
      </c>
      <c r="DG230" s="149" t="str">
        <f aca="false">IF(ISBLANK($C230),"",IF(ISNUMBER($DC230),$DC230+ROW($B230)/1000,""))</f>
        <v/>
      </c>
      <c r="DH230" s="149" t="str">
        <f aca="false">IF(ISNUMBER($DG230),RANK($DG230,$DG$9:$DG$508,1),"")</f>
        <v/>
      </c>
      <c r="DI230" s="149" t="str">
        <f aca="false">IF(ISBLANK($C230),"",$B230)</f>
        <v/>
      </c>
      <c r="DJ230" s="149" t="str">
        <f aca="false">IF(ISBLANK($C230),"",$C230)</f>
        <v/>
      </c>
      <c r="DK230" s="149" t="str">
        <f aca="false">IF(ISBLANK($C230),"",$D230)</f>
        <v/>
      </c>
      <c r="DL230" s="150" t="str">
        <f aca="false">$CZ230</f>
        <v/>
      </c>
      <c r="DM230" s="151" t="str">
        <f aca="false">$CY230</f>
        <v/>
      </c>
      <c r="DN230" s="149" t="str">
        <f aca="false">IF(ISBLANK($C230),"",$DB230)</f>
        <v/>
      </c>
      <c r="DO230" s="152" t="str">
        <f aca="false">IF($DF230&gt;$DE$8,"",VLOOKUP($DF230,$DH$9:$DN$508,7,FALSE()))</f>
        <v/>
      </c>
      <c r="DP230" s="153" t="str">
        <f aca="false">IF($DF230&gt;$DE$8,"",VLOOKUP($DF230,$DH$9:$DN$508,2,FALSE()))</f>
        <v/>
      </c>
      <c r="DQ230" s="153" t="str">
        <f aca="false">IF($DF230&gt;$DE$8,"",VLOOKUP($DF230,$DH$9:$DN$508,3,FALSE()))</f>
        <v/>
      </c>
      <c r="DR230" s="153" t="str">
        <f aca="false">IF($DF230&gt;$DE$8,"",VLOOKUP($DF230,$DH$9:$DN$508,4,FALSE()))</f>
        <v/>
      </c>
      <c r="DS230" s="153" t="str">
        <f aca="false">IF($DF230&gt;$DE$8,"",VLOOKUP($DF230,$DH$9:$DN$508,5,FALSE()))</f>
        <v/>
      </c>
      <c r="DT230" s="154" t="str">
        <f aca="false">IF($DF230&gt;$DE$8,"",VLOOKUP($DF230,$DH$9:$DN$508,6,FALSE()))</f>
        <v/>
      </c>
      <c r="DU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IF(ISBLANK($C231),"",IF(E231=Constants!$B$3,TRUE(),IF(E231=Constants!$B$4,FALSE(),TRUE())))</f>
        <v/>
      </c>
      <c r="AG231" s="93" t="str">
        <f aca="false">IF(ISBLANK($C231),"",IF(F231=Constants!$B$3,TRUE(),IF(F231=Constants!$B$4,FALSE(),TRUE())))</f>
        <v/>
      </c>
      <c r="AH231" s="93" t="str">
        <f aca="false">IF(ISBLANK($C231),"",IF(G231=Constants!$B$3,TRUE(),IF(G231=Constants!$B$4,FALSE(),TRUE())))</f>
        <v/>
      </c>
      <c r="AI231" s="93" t="str">
        <f aca="false">IF(ISBLANK($C231),"",IF(AND(ISNUMBER(H231),H231&gt;=0),H231,Constants!$B$29))</f>
        <v/>
      </c>
      <c r="AJ231" s="93" t="str">
        <f aca="false">IF(ISBLANK($C231),"",IF(I231=Constants!$B$3,TRUE(),IF(I231=Constants!$B$4,FALSE(),TRUE())))</f>
        <v/>
      </c>
      <c r="AK231" s="93" t="str">
        <f aca="false">IF(ISBLANK($C231),"",IF(J231=Constants!$B$3,TRUE(),IF(J231=Constants!$B$4,FALSE(),TRUE())))</f>
        <v/>
      </c>
      <c r="AL231" s="93" t="str">
        <f aca="false">IF(ISBLANK($C231),"",IF(K231=Constants!$B$5,TRUE(),IF(K231=Constants!$B$6,FALSE(),COUNTA(L231:P231)&gt;0)))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IF(ISBLANK($C231),"",IF(N231=Constants!$B$3,TRUE(),IF(N231=Constants!$B$4,FALSE(),TRUE())))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IF(ISBLANK($C231),"",IF(P231=Constants!$B$3,TRUE(),IF(P231=Constants!$B$4,FALSE(),FALSE())))</f>
        <v/>
      </c>
      <c r="AR231" s="93" t="str">
        <f aca="false">IF(ISBLANK($C231),"",IF(Q231=Constants!$B$3,TRUE(),IF(Q231=Constants!$B$4,FALSE(),TRUE())))</f>
        <v/>
      </c>
      <c r="AS231" s="93" t="str">
        <f aca="false">IF(ISBLANK($C231),"",IF(R231=Constants!$B$3,TRUE(),IF(R231=Constants!$B$4,FALSE(),TRUE())))</f>
        <v/>
      </c>
      <c r="AT231" s="93" t="str">
        <f aca="false">IF(ISBLANK($C231),"",IF(S231=Constants!$B$5,TRUE(),IF(S231=Constants!$B$6,FALSE(),COUNTA(T231:X231)&gt;0)))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IF(ISBLANK($C231),"",IF(V231=Constants!$B$3,TRUE(),IF(V231=Constants!$B$4,FALSE(),TRUE())))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IF(ISBLANK($C231),"",IF(X231=Constants!$B$3,TRUE(),IF(X231=Constants!$B$4,FALSE(),FALSE())))</f>
        <v/>
      </c>
      <c r="AZ231" s="93" t="str">
        <f aca="false">IF(ISBLANK($C231),"",MIN(Constants!$B$31,MAX(0,IF(ISNUMBER(Y231),Y231*60,0)+IF(ISNUMBER(Z231),Z231,0))))</f>
        <v/>
      </c>
      <c r="BA231" s="93" t="str">
        <f aca="false">IF(ISBLANK($C231),"",IF(AA231=Constants!$B$3,TRUE(),IF(AA231=Constants!$B$4,FALSE(),FALSE())))</f>
        <v/>
      </c>
      <c r="BB231" s="92" t="str">
        <f aca="false">IF(ISBLANK($C231),"",AND($AL231,OR($AM231="",$AN231="",AND($AO231,$AP231=""))))</f>
        <v/>
      </c>
      <c r="BC231" s="94" t="str">
        <f aca="false">IF($BZ231&lt;&gt;Constants!$B$8,"",IF($AL231,Constants!$B$21*$AN231+Constants!$B$22*IF($AO231,$AP231,Constants!$B$23),Constants!$B$24))</f>
        <v/>
      </c>
      <c r="BD231" s="97" t="str">
        <f aca="false">IF($BZ231&lt;&gt;Constants!$B$8,"",Constants!$B$25*ABS($AD$9-IF($AL231,$AM231,0)))</f>
        <v/>
      </c>
      <c r="BE231" s="97" t="str">
        <f aca="false">IF($BZ231&lt;&gt;Constants!$B$8,"",IF(AND($AL231,$AQ231,$AO231),Constants!$B$27,0))</f>
        <v/>
      </c>
      <c r="BF231" s="97" t="str">
        <f aca="false">IF($BZ231&lt;&gt;Constants!$B$8,"",IF($AL231,($AI231-Constants!$B$29)*Constants!$B$28,0))</f>
        <v/>
      </c>
      <c r="BG231" s="97" t="str">
        <f aca="false">IF($BZ231&lt;&gt;Constants!$B$8,"",IF($AK231,0,Constants!$B$15)+IF($AJ231,0,Constants!$B$16)+IF($AH231,0,Constants!$B$17))</f>
        <v/>
      </c>
      <c r="BH231" s="98" t="str">
        <f aca="false">IF($BZ231&lt;&gt;Constants!$B$8,"",Constants!$B$20+SUM($BC231:$BG231))</f>
        <v/>
      </c>
      <c r="BI231" s="97" t="str">
        <f aca="false">IF($BZ231&lt;&gt;Constants!$B$8,"",$BC231)</f>
        <v/>
      </c>
      <c r="BJ231" s="97" t="str">
        <f aca="false">IF($BZ231&lt;&gt;Constants!$B$8,"",$BD231)</f>
        <v/>
      </c>
      <c r="BK231" s="97" t="str">
        <f aca="false">IF($BZ231&lt;&gt;Constants!$B$8,"",IF($AL231,$AN231,""))</f>
        <v/>
      </c>
      <c r="BL231" s="99" t="str">
        <f aca="false">IF($BZ231&lt;&gt;Constants!$B$8,"",$AI231)</f>
        <v/>
      </c>
      <c r="BM231" s="93" t="str">
        <f aca="false">IF($BZ231&lt;&gt;Constants!$B$8,"",IF(OR($BT231&lt;$BH231,AND($BT231=$BH231,OR($BU231&lt;$BI231,AND($BU231=$BI231,OR($BV231&lt;$BJ231,AND($BV231=$BJ231,OR(AND(ISNUMBER($BW231),OR(NOT(ISNUMBER($BK231)),$BW231&lt;$BK231)),AND(OR(AND($BW231="",$BK231=""),AND(ISNUMBER($BW231),ISNUMBER($BK231),$BW231=$BK231)),$BX231&lt;$BL231)))))))),"-&gt;","&lt;-"))</f>
        <v/>
      </c>
      <c r="BN231" s="92" t="str">
        <f aca="false">IF(ISBLANK($C231),"",AND($AT231,OR($AU231="",$AV231="",AND($AW231,$AX231=""))))</f>
        <v/>
      </c>
      <c r="BO231" s="94" t="str">
        <f aca="false">IF($BZ231&lt;&gt;Constants!$B$8,"",IF($AT231,Constants!$B$21*$AV231+Constants!$B$22*IF($AW231,$AX231,Constants!$B$23),Constants!$B$24))</f>
        <v/>
      </c>
      <c r="BP231" s="97" t="str">
        <f aca="false">IF($BZ231&lt;&gt;Constants!$B$8,"",Constants!$B$25*ABS($AD$9-IF($AT231,$AU231,0)))</f>
        <v/>
      </c>
      <c r="BQ231" s="97" t="str">
        <f aca="false">IF($BZ231&lt;&gt;Constants!$B$8,"",IF(AND($AT231,$AY231,$AW231),Constants!$B$27,0))</f>
        <v/>
      </c>
      <c r="BR231" s="97" t="str">
        <f aca="false">IF($BZ231&lt;&gt;Constants!$B$8,"",IF($AT231,($AI231-Constants!$B$29)*Constants!$B$28,0))</f>
        <v/>
      </c>
      <c r="BS231" s="97" t="str">
        <f aca="false">IF($BZ231&lt;&gt;Constants!$B$8,"",IF($AS231,0,Constants!$B$15)+IF($AR231,0,Constants!$B$16)+IF($AH231,0,Constants!$B$17))</f>
        <v/>
      </c>
      <c r="BT231" s="98" t="str">
        <f aca="false">IF($BZ231&lt;&gt;Constants!$B$8,"",Constants!$B$20+SUM($BO231:$BS231))</f>
        <v/>
      </c>
      <c r="BU231" s="97" t="str">
        <f aca="false">IF($BZ231&lt;&gt;Constants!$B$8,"",$BO231)</f>
        <v/>
      </c>
      <c r="BV231" s="97" t="str">
        <f aca="false">IF($BZ231&lt;&gt;Constants!$B$8,"",$BP231)</f>
        <v/>
      </c>
      <c r="BW231" s="97" t="str">
        <f aca="false">IF($BZ231&lt;&gt;Constants!$B$8,"",IF($AT231,$AV231,""))</f>
        <v/>
      </c>
      <c r="BX231" s="99" t="str">
        <f aca="false">IF($BZ231&lt;&gt;Constants!$B$8,"",$AI231)</f>
        <v/>
      </c>
      <c r="BY231" s="93" t="str">
        <f aca="false">IF(ISBLANK($C231),"",IF(ISBLANK($D$7),$BY$5,IF(NOT(ISNUMBER($D$7)),$BY$6,"")))</f>
        <v/>
      </c>
      <c r="BZ231" s="93" t="str">
        <f aca="false">IF(ISBLANK($C231),"",IF($BA231,Constants!$B$11,IF(COUNTA($E231:$AA231)=0,Constants!$B$10,IF(NOT($AG231),Constants!$B$9,IF(OR($BY231&lt;&gt;"",$BB231,$BN231),Constants!$B$12,Constants!$B$8)))))</f>
        <v/>
      </c>
      <c r="CA231" s="93" t="str">
        <f aca="false">IF(ISBLANK($C231),"",IF($BZ231&lt;&gt;Constants!$B$8,$BZ231,Constants!$B$13))</f>
        <v/>
      </c>
      <c r="CB231" s="97" t="str">
        <f aca="false">IF($BZ231&lt;&gt;Constants!$B$8,"",IF($BM231="-&gt;",$BT231,$BH231))</f>
        <v/>
      </c>
      <c r="CC231" s="97" t="str">
        <f aca="false">IF($BZ231&lt;&gt;Constants!$B$8,"",IF($AF231,0,Constants!$B$18))</f>
        <v/>
      </c>
      <c r="CD231" s="97" t="str">
        <f aca="false">IF($BZ231&lt;&gt;Constants!$B$8,"",((Constants!$B$31-$AZ231)-Constants!$B$31)/Constants!$B$32)</f>
        <v/>
      </c>
      <c r="CE231" s="97" t="str">
        <f aca="false">IF(ISBLANK($C231),"",IF($BZ231&lt;&gt;Constants!$B$8,$BZ231,SUM($CB231:$CD231)))</f>
        <v/>
      </c>
      <c r="CF231" s="93" t="str">
        <f aca="false">IF(ISBLANK($C231),"",IF($BZ231&lt;&gt;Constants!$B$8,$BZ231,RANK($CE231,$CE$9:$CE$508,1)))</f>
        <v/>
      </c>
      <c r="CG231" s="97" t="str">
        <f aca="false">IF($BZ231&lt;&gt;Constants!$B$8,"",IF($BM231="-&gt;",$BU231,$BI231))</f>
        <v/>
      </c>
      <c r="CH231" s="93" t="str">
        <f aca="false">IF(ISBLANK($C231),"",IF($BZ231&lt;&gt;Constants!$B$8,$BZ231,IF(ISNUMBER($CG231),RANK($CG231,$CG$9:$CG$508,1),COUNT($CG$9:$CG$508)+1)))</f>
        <v/>
      </c>
      <c r="CI231" s="97" t="str">
        <f aca="false">IF($BZ231&lt;&gt;Constants!$B$8,"",IF($BM231="-&gt;",$BV231,$BJ231))</f>
        <v/>
      </c>
      <c r="CJ231" s="93" t="str">
        <f aca="false">IF(ISBLANK($C231),"",IF($BZ231&lt;&gt;Constants!$B$8,$BZ231,IF(ISNUMBER($CI231),RANK($CI231,$CI$9:$CI$508,1),COUNT($CI$9:$CI$508)+1)))</f>
        <v/>
      </c>
      <c r="CK231" s="97" t="str">
        <f aca="false">IF($BZ231&lt;&gt;Constants!$B$8,"",IF($BM231="-&gt;",$BW231,$BK231))</f>
        <v/>
      </c>
      <c r="CL231" s="93" t="str">
        <f aca="false">IF(ISBLANK($C231),"",IF($BZ231&lt;&gt;Constants!$B$8,$BZ231,IF(ISNUMBER($CK231),RANK($CK231,$CK$9:$CK$508,1),COUNT($CK$9:$CK$508)+1)))</f>
        <v/>
      </c>
      <c r="CM231" s="97" t="str">
        <f aca="false">IF($BZ231&lt;&gt;Constants!$B$8,"",IF(AND(NOT($AL231),NOT($AT231),$AJ231,$AK231,$AR231,$AS231),"",IF($BM231="-&gt;",$BX231,$BL231)))</f>
        <v/>
      </c>
      <c r="CN231" s="93" t="str">
        <f aca="false">IF(ISBLANK($C231),"",IF($BZ231&lt;&gt;Constants!$B$8,$BZ231,IF(ISNUMBER($CM231),RANK($CM231,$CM$9:$CM$508,1),COUNT($CM$9:$CM$508)+1)))</f>
        <v/>
      </c>
      <c r="CO231" s="93" t="str">
        <f aca="false">IF(ISBLANK($C231),"",IF($BZ231&lt;&gt;Constants!$B$8,$BZ231,COUNTIFS($CF$9:$CF$508,"&lt;"&amp;$CF231)+COUNTIFS($CF$9:$CF$508,$CF231,$CH$9:$CH$508,"&lt;"&amp;$CH231)+COUNTIFS($CF$9:$CF$508,$CF231,$CH$9:$CH$508,$CH231,$CJ$9:$CJ$508,"&lt;"&amp;$CJ231)+COUNTIFS($CF$9:$CF$508,$CF231,$CH$9:$CH$508,$CH231,$CJ$9:$CJ$508,$CJ231,$CL$9:$CL$508,"&lt;"&amp;$CL231)+COUNTIFS($CF$9:$CF$508,$CF231,$CH$9:$CH$508,$CH231,$CJ$9:$CJ$508,$CJ231,$CL$9:$CL$508,$CL231,$CN$9:$CN$508,"&lt;"&amp;$CN231)+1))</f>
        <v/>
      </c>
      <c r="CP231" s="93" t="str">
        <f aca="false">IF(ISBLANK($C231),"",IF($BZ231&lt;&gt;Constants!$B$8,$BZ231,$CF231-$CO231))</f>
        <v/>
      </c>
      <c r="CQ231" s="100"/>
      <c r="CR231" s="101"/>
      <c r="CS231" s="102" t="str">
        <f aca="false">IF(ISBLANK($C231),"",IF($BZ231=Constants!$B$12,$BY231,""))</f>
        <v/>
      </c>
      <c r="CT231" s="101" t="str">
        <f aca="false">IF(ISBLANK($C231),"",IF($BZ231&lt;&gt;Constants!$B$8,"",IF($BM231="-&gt;",2,1)))</f>
        <v/>
      </c>
      <c r="CU231" s="103" t="str">
        <f aca="false">IF(ISBLANK($C231),"",IF($BZ231&lt;&gt;Constants!$B$8,"",IF($BM231="-&gt;",$BO231,$BC231)))</f>
        <v/>
      </c>
      <c r="CV231" s="103" t="str">
        <f aca="false">IF(ISBLANK($C231),"",IF($BZ231&lt;&gt;Constants!$B$8,"",IF($BM231="-&gt;",$BP231,$BD231)))</f>
        <v/>
      </c>
      <c r="CW231" s="103" t="str">
        <f aca="false">IF(ISBLANK($C231),"",IF($BZ231&lt;&gt;Constants!$B$8,"",IF($BM231="-&gt;",$BQ231+$BR231,$BE231+$BF231)+$CD231))</f>
        <v/>
      </c>
      <c r="CX231" s="103" t="str">
        <f aca="false">IF(ISBLANK($C231),"",IF($BZ231&lt;&gt;Constants!$B$8,"",IF($BM231="-&gt;",$BS231,$BG231)+$CC231))</f>
        <v/>
      </c>
      <c r="CY231" s="104" t="str">
        <f aca="false">IF(ISBLANK($C231),"",IF($BZ231&lt;&gt;Constants!$B$8,$BZ231,$CE231))</f>
        <v/>
      </c>
      <c r="CZ231" s="105" t="str">
        <f aca="false">IF(ISBLANK($C231),"",$CA231)</f>
        <v/>
      </c>
      <c r="DA231" s="106" t="str">
        <f aca="false">IF(ISBLANK($C231),"",$CP231)</f>
        <v/>
      </c>
      <c r="DB231" s="106" t="str">
        <f aca="false">IF(ISBLANK($C231),"",$CO231)</f>
        <v/>
      </c>
      <c r="DC231" s="107" t="str">
        <f aca="false">IF(ISBLANK($C231),"",IFERROR(_xlfn.SWITCH($DB231,Constants!$B$11,COUNTA($C$9:$C$508)+2,Constants!$B$10,COUNTA($C$9:$C$508)+1,Constants!$B$9,COUNTA($C$9:$C$508)),$DB231))</f>
        <v/>
      </c>
      <c r="DD231" s="9"/>
      <c r="DE231" s="108" t="n">
        <f aca="false">IF(OR(ISNUMBER($DB231),$DB231=Constants!$B$11,$DB231=Constants!$B$9,$DB231=Constants!$B$10),1,0)</f>
        <v>0</v>
      </c>
      <c r="DF231" s="108" t="n">
        <v>223</v>
      </c>
      <c r="DG231" s="108" t="str">
        <f aca="false">IF(ISBLANK($C231),"",IF(ISNUMBER($DC231),$DC231+ROW($B231)/1000,""))</f>
        <v/>
      </c>
      <c r="DH231" s="108" t="str">
        <f aca="false">IF(ISNUMBER($DG231),RANK($DG231,$DG$9:$DG$508,1),"")</f>
        <v/>
      </c>
      <c r="DI231" s="108" t="str">
        <f aca="false">IF(ISBLANK($C231),"",$B231)</f>
        <v/>
      </c>
      <c r="DJ231" s="108" t="str">
        <f aca="false">IF(ISBLANK($C231),"",$C231)</f>
        <v/>
      </c>
      <c r="DK231" s="108" t="str">
        <f aca="false">IF(ISBLANK($C231),"",$D231)</f>
        <v/>
      </c>
      <c r="DL231" s="109" t="str">
        <f aca="false">$CZ231</f>
        <v/>
      </c>
      <c r="DM231" s="110" t="str">
        <f aca="false">$CY231</f>
        <v/>
      </c>
      <c r="DN231" s="108" t="str">
        <f aca="false">IF(ISBLANK($C231),"",$DB231)</f>
        <v/>
      </c>
      <c r="DO231" s="111" t="str">
        <f aca="false">IF($DF231&gt;$DE$8,"",VLOOKUP($DF231,$DH$9:$DN$508,7,FALSE()))</f>
        <v/>
      </c>
      <c r="DP231" s="112" t="str">
        <f aca="false">IF($DF231&gt;$DE$8,"",VLOOKUP($DF231,$DH$9:$DN$508,2,FALSE()))</f>
        <v/>
      </c>
      <c r="DQ231" s="112" t="str">
        <f aca="false">IF($DF231&gt;$DE$8,"",VLOOKUP($DF231,$DH$9:$DN$508,3,FALSE()))</f>
        <v/>
      </c>
      <c r="DR231" s="112" t="str">
        <f aca="false">IF($DF231&gt;$DE$8,"",VLOOKUP($DF231,$DH$9:$DN$508,4,FALSE()))</f>
        <v/>
      </c>
      <c r="DS231" s="112" t="str">
        <f aca="false">IF($DF231&gt;$DE$8,"",VLOOKUP($DF231,$DH$9:$DN$508,5,FALSE()))</f>
        <v/>
      </c>
      <c r="DT231" s="113" t="str">
        <f aca="false">IF($DF231&gt;$DE$8,"",VLOOKUP($DF231,$DH$9:$DN$508,6,FALSE()))</f>
        <v/>
      </c>
      <c r="DU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IF(ISBLANK($C232),"",IF(E232=Constants!$B$3,TRUE(),IF(E232=Constants!$B$4,FALSE(),TRUE())))</f>
        <v/>
      </c>
      <c r="AG232" s="93" t="str">
        <f aca="false">IF(ISBLANK($C232),"",IF(F232=Constants!$B$3,TRUE(),IF(F232=Constants!$B$4,FALSE(),TRUE())))</f>
        <v/>
      </c>
      <c r="AH232" s="93" t="str">
        <f aca="false">IF(ISBLANK($C232),"",IF(G232=Constants!$B$3,TRUE(),IF(G232=Constants!$B$4,FALSE(),TRUE())))</f>
        <v/>
      </c>
      <c r="AI232" s="93" t="str">
        <f aca="false">IF(ISBLANK($C232),"",IF(AND(ISNUMBER(H232),H232&gt;=0),H232,Constants!$B$29))</f>
        <v/>
      </c>
      <c r="AJ232" s="93" t="str">
        <f aca="false">IF(ISBLANK($C232),"",IF(I232=Constants!$B$3,TRUE(),IF(I232=Constants!$B$4,FALSE(),TRUE())))</f>
        <v/>
      </c>
      <c r="AK232" s="93" t="str">
        <f aca="false">IF(ISBLANK($C232),"",IF(J232=Constants!$B$3,TRUE(),IF(J232=Constants!$B$4,FALSE(),TRUE())))</f>
        <v/>
      </c>
      <c r="AL232" s="93" t="str">
        <f aca="false">IF(ISBLANK($C232),"",IF(K232=Constants!$B$5,TRUE(),IF(K232=Constants!$B$6,FALSE(),COUNTA(L232:P232)&gt;0)))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IF(ISBLANK($C232),"",IF(N232=Constants!$B$3,TRUE(),IF(N232=Constants!$B$4,FALSE(),TRUE())))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IF(ISBLANK($C232),"",IF(P232=Constants!$B$3,TRUE(),IF(P232=Constants!$B$4,FALSE(),FALSE())))</f>
        <v/>
      </c>
      <c r="AR232" s="93" t="str">
        <f aca="false">IF(ISBLANK($C232),"",IF(Q232=Constants!$B$3,TRUE(),IF(Q232=Constants!$B$4,FALSE(),TRUE())))</f>
        <v/>
      </c>
      <c r="AS232" s="93" t="str">
        <f aca="false">IF(ISBLANK($C232),"",IF(R232=Constants!$B$3,TRUE(),IF(R232=Constants!$B$4,FALSE(),TRUE())))</f>
        <v/>
      </c>
      <c r="AT232" s="93" t="str">
        <f aca="false">IF(ISBLANK($C232),"",IF(S232=Constants!$B$5,TRUE(),IF(S232=Constants!$B$6,FALSE(),COUNTA(T232:X232)&gt;0)))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IF(ISBLANK($C232),"",IF(V232=Constants!$B$3,TRUE(),IF(V232=Constants!$B$4,FALSE(),TRUE())))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IF(ISBLANK($C232),"",IF(X232=Constants!$B$3,TRUE(),IF(X232=Constants!$B$4,FALSE(),FALSE())))</f>
        <v/>
      </c>
      <c r="AZ232" s="93" t="str">
        <f aca="false">IF(ISBLANK($C232),"",MIN(Constants!$B$31,MAX(0,IF(ISNUMBER(Y232),Y232*60,0)+IF(ISNUMBER(Z232),Z232,0))))</f>
        <v/>
      </c>
      <c r="BA232" s="93" t="str">
        <f aca="false">IF(ISBLANK($C232),"",IF(AA232=Constants!$B$3,TRUE(),IF(AA232=Constants!$B$4,FALSE(),FALSE())))</f>
        <v/>
      </c>
      <c r="BB232" s="92" t="str">
        <f aca="false">IF(ISBLANK($C232),"",AND($AL232,OR($AM232="",$AN232="",AND($AO232,$AP232=""))))</f>
        <v/>
      </c>
      <c r="BC232" s="94" t="str">
        <f aca="false">IF($BZ232&lt;&gt;Constants!$B$8,"",IF($AL232,Constants!$B$21*$AN232+Constants!$B$22*IF($AO232,$AP232,Constants!$B$23),Constants!$B$24))</f>
        <v/>
      </c>
      <c r="BD232" s="97" t="str">
        <f aca="false">IF($BZ232&lt;&gt;Constants!$B$8,"",Constants!$B$25*ABS($AD$9-IF($AL232,$AM232,0)))</f>
        <v/>
      </c>
      <c r="BE232" s="97" t="str">
        <f aca="false">IF($BZ232&lt;&gt;Constants!$B$8,"",IF(AND($AL232,$AQ232,$AO232),Constants!$B$27,0))</f>
        <v/>
      </c>
      <c r="BF232" s="97" t="str">
        <f aca="false">IF($BZ232&lt;&gt;Constants!$B$8,"",IF($AL232,($AI232-Constants!$B$29)*Constants!$B$28,0))</f>
        <v/>
      </c>
      <c r="BG232" s="97" t="str">
        <f aca="false">IF($BZ232&lt;&gt;Constants!$B$8,"",IF($AK232,0,Constants!$B$15)+IF($AJ232,0,Constants!$B$16)+IF($AH232,0,Constants!$B$17))</f>
        <v/>
      </c>
      <c r="BH232" s="98" t="str">
        <f aca="false">IF($BZ232&lt;&gt;Constants!$B$8,"",Constants!$B$20+SUM($BC232:$BG232))</f>
        <v/>
      </c>
      <c r="BI232" s="97" t="str">
        <f aca="false">IF($BZ232&lt;&gt;Constants!$B$8,"",$BC232)</f>
        <v/>
      </c>
      <c r="BJ232" s="97" t="str">
        <f aca="false">IF($BZ232&lt;&gt;Constants!$B$8,"",$BD232)</f>
        <v/>
      </c>
      <c r="BK232" s="97" t="str">
        <f aca="false">IF($BZ232&lt;&gt;Constants!$B$8,"",IF($AL232,$AN232,""))</f>
        <v/>
      </c>
      <c r="BL232" s="99" t="str">
        <f aca="false">IF($BZ232&lt;&gt;Constants!$B$8,"",$AI232)</f>
        <v/>
      </c>
      <c r="BM232" s="93" t="str">
        <f aca="false">IF($BZ232&lt;&gt;Constants!$B$8,"",IF(OR($BT232&lt;$BH232,AND($BT232=$BH232,OR($BU232&lt;$BI232,AND($BU232=$BI232,OR($BV232&lt;$BJ232,AND($BV232=$BJ232,OR(AND(ISNUMBER($BW232),OR(NOT(ISNUMBER($BK232)),$BW232&lt;$BK232)),AND(OR(AND($BW232="",$BK232=""),AND(ISNUMBER($BW232),ISNUMBER($BK232),$BW232=$BK232)),$BX232&lt;$BL232)))))))),"-&gt;","&lt;-"))</f>
        <v/>
      </c>
      <c r="BN232" s="92" t="str">
        <f aca="false">IF(ISBLANK($C232),"",AND($AT232,OR($AU232="",$AV232="",AND($AW232,$AX232=""))))</f>
        <v/>
      </c>
      <c r="BO232" s="94" t="str">
        <f aca="false">IF($BZ232&lt;&gt;Constants!$B$8,"",IF($AT232,Constants!$B$21*$AV232+Constants!$B$22*IF($AW232,$AX232,Constants!$B$23),Constants!$B$24))</f>
        <v/>
      </c>
      <c r="BP232" s="97" t="str">
        <f aca="false">IF($BZ232&lt;&gt;Constants!$B$8,"",Constants!$B$25*ABS($AD$9-IF($AT232,$AU232,0)))</f>
        <v/>
      </c>
      <c r="BQ232" s="97" t="str">
        <f aca="false">IF($BZ232&lt;&gt;Constants!$B$8,"",IF(AND($AT232,$AY232,$AW232),Constants!$B$27,0))</f>
        <v/>
      </c>
      <c r="BR232" s="97" t="str">
        <f aca="false">IF($BZ232&lt;&gt;Constants!$B$8,"",IF($AT232,($AI232-Constants!$B$29)*Constants!$B$28,0))</f>
        <v/>
      </c>
      <c r="BS232" s="97" t="str">
        <f aca="false">IF($BZ232&lt;&gt;Constants!$B$8,"",IF($AS232,0,Constants!$B$15)+IF($AR232,0,Constants!$B$16)+IF($AH232,0,Constants!$B$17))</f>
        <v/>
      </c>
      <c r="BT232" s="98" t="str">
        <f aca="false">IF($BZ232&lt;&gt;Constants!$B$8,"",Constants!$B$20+SUM($BO232:$BS232))</f>
        <v/>
      </c>
      <c r="BU232" s="97" t="str">
        <f aca="false">IF($BZ232&lt;&gt;Constants!$B$8,"",$BO232)</f>
        <v/>
      </c>
      <c r="BV232" s="97" t="str">
        <f aca="false">IF($BZ232&lt;&gt;Constants!$B$8,"",$BP232)</f>
        <v/>
      </c>
      <c r="BW232" s="97" t="str">
        <f aca="false">IF($BZ232&lt;&gt;Constants!$B$8,"",IF($AT232,$AV232,""))</f>
        <v/>
      </c>
      <c r="BX232" s="99" t="str">
        <f aca="false">IF($BZ232&lt;&gt;Constants!$B$8,"",$AI232)</f>
        <v/>
      </c>
      <c r="BY232" s="93" t="str">
        <f aca="false">IF(ISBLANK($C232),"",IF(ISBLANK($D$7),$BY$5,IF(NOT(ISNUMBER($D$7)),$BY$6,"")))</f>
        <v/>
      </c>
      <c r="BZ232" s="93" t="str">
        <f aca="false">IF(ISBLANK($C232),"",IF($BA232,Constants!$B$11,IF(COUNTA($E232:$AA232)=0,Constants!$B$10,IF(NOT($AG232),Constants!$B$9,IF(OR($BY232&lt;&gt;"",$BB232,$BN232),Constants!$B$12,Constants!$B$8)))))</f>
        <v/>
      </c>
      <c r="CA232" s="93" t="str">
        <f aca="false">IF(ISBLANK($C232),"",IF($BZ232&lt;&gt;Constants!$B$8,$BZ232,Constants!$B$13))</f>
        <v/>
      </c>
      <c r="CB232" s="97" t="str">
        <f aca="false">IF($BZ232&lt;&gt;Constants!$B$8,"",IF($BM232="-&gt;",$BT232,$BH232))</f>
        <v/>
      </c>
      <c r="CC232" s="97" t="str">
        <f aca="false">IF($BZ232&lt;&gt;Constants!$B$8,"",IF($AF232,0,Constants!$B$18))</f>
        <v/>
      </c>
      <c r="CD232" s="97" t="str">
        <f aca="false">IF($BZ232&lt;&gt;Constants!$B$8,"",((Constants!$B$31-$AZ232)-Constants!$B$31)/Constants!$B$32)</f>
        <v/>
      </c>
      <c r="CE232" s="97" t="str">
        <f aca="false">IF(ISBLANK($C232),"",IF($BZ232&lt;&gt;Constants!$B$8,$BZ232,SUM($CB232:$CD232)))</f>
        <v/>
      </c>
      <c r="CF232" s="93" t="str">
        <f aca="false">IF(ISBLANK($C232),"",IF($BZ232&lt;&gt;Constants!$B$8,$BZ232,RANK($CE232,$CE$9:$CE$508,1)))</f>
        <v/>
      </c>
      <c r="CG232" s="97" t="str">
        <f aca="false">IF($BZ232&lt;&gt;Constants!$B$8,"",IF($BM232="-&gt;",$BU232,$BI232))</f>
        <v/>
      </c>
      <c r="CH232" s="93" t="str">
        <f aca="false">IF(ISBLANK($C232),"",IF($BZ232&lt;&gt;Constants!$B$8,$BZ232,IF(ISNUMBER($CG232),RANK($CG232,$CG$9:$CG$508,1),COUNT($CG$9:$CG$508)+1)))</f>
        <v/>
      </c>
      <c r="CI232" s="97" t="str">
        <f aca="false">IF($BZ232&lt;&gt;Constants!$B$8,"",IF($BM232="-&gt;",$BV232,$BJ232))</f>
        <v/>
      </c>
      <c r="CJ232" s="93" t="str">
        <f aca="false">IF(ISBLANK($C232),"",IF($BZ232&lt;&gt;Constants!$B$8,$BZ232,IF(ISNUMBER($CI232),RANK($CI232,$CI$9:$CI$508,1),COUNT($CI$9:$CI$508)+1)))</f>
        <v/>
      </c>
      <c r="CK232" s="97" t="str">
        <f aca="false">IF($BZ232&lt;&gt;Constants!$B$8,"",IF($BM232="-&gt;",$BW232,$BK232))</f>
        <v/>
      </c>
      <c r="CL232" s="93" t="str">
        <f aca="false">IF(ISBLANK($C232),"",IF($BZ232&lt;&gt;Constants!$B$8,$BZ232,IF(ISNUMBER($CK232),RANK($CK232,$CK$9:$CK$508,1),COUNT($CK$9:$CK$508)+1)))</f>
        <v/>
      </c>
      <c r="CM232" s="97" t="str">
        <f aca="false">IF($BZ232&lt;&gt;Constants!$B$8,"",IF(AND(NOT($AL232),NOT($AT232),$AJ232,$AK232,$AR232,$AS232),"",IF($BM232="-&gt;",$BX232,$BL232)))</f>
        <v/>
      </c>
      <c r="CN232" s="93" t="str">
        <f aca="false">IF(ISBLANK($C232),"",IF($BZ232&lt;&gt;Constants!$B$8,$BZ232,IF(ISNUMBER($CM232),RANK($CM232,$CM$9:$CM$508,1),COUNT($CM$9:$CM$508)+1)))</f>
        <v/>
      </c>
      <c r="CO232" s="93" t="str">
        <f aca="false">IF(ISBLANK($C232),"",IF($BZ232&lt;&gt;Constants!$B$8,$BZ232,COUNTIFS($CF$9:$CF$508,"&lt;"&amp;$CF232)+COUNTIFS($CF$9:$CF$508,$CF232,$CH$9:$CH$508,"&lt;"&amp;$CH232)+COUNTIFS($CF$9:$CF$508,$CF232,$CH$9:$CH$508,$CH232,$CJ$9:$CJ$508,"&lt;"&amp;$CJ232)+COUNTIFS($CF$9:$CF$508,$CF232,$CH$9:$CH$508,$CH232,$CJ$9:$CJ$508,$CJ232,$CL$9:$CL$508,"&lt;"&amp;$CL232)+COUNTIFS($CF$9:$CF$508,$CF232,$CH$9:$CH$508,$CH232,$CJ$9:$CJ$508,$CJ232,$CL$9:$CL$508,$CL232,$CN$9:$CN$508,"&lt;"&amp;$CN232)+1))</f>
        <v/>
      </c>
      <c r="CP232" s="93" t="str">
        <f aca="false">IF(ISBLANK($C232),"",IF($BZ232&lt;&gt;Constants!$B$8,$BZ232,$CF232-$CO232))</f>
        <v/>
      </c>
      <c r="CQ232" s="100"/>
      <c r="CR232" s="101"/>
      <c r="CS232" s="102" t="str">
        <f aca="false">IF(ISBLANK($C232),"",IF($BZ232=Constants!$B$12,$BY232,""))</f>
        <v/>
      </c>
      <c r="CT232" s="101" t="str">
        <f aca="false">IF(ISBLANK($C232),"",IF($BZ232&lt;&gt;Constants!$B$8,"",IF($BM232="-&gt;",2,1)))</f>
        <v/>
      </c>
      <c r="CU232" s="103" t="str">
        <f aca="false">IF(ISBLANK($C232),"",IF($BZ232&lt;&gt;Constants!$B$8,"",IF($BM232="-&gt;",$BO232,$BC232)))</f>
        <v/>
      </c>
      <c r="CV232" s="103" t="str">
        <f aca="false">IF(ISBLANK($C232),"",IF($BZ232&lt;&gt;Constants!$B$8,"",IF($BM232="-&gt;",$BP232,$BD232)))</f>
        <v/>
      </c>
      <c r="CW232" s="103" t="str">
        <f aca="false">IF(ISBLANK($C232),"",IF($BZ232&lt;&gt;Constants!$B$8,"",IF($BM232="-&gt;",$BQ232+$BR232,$BE232+$BF232)+$CD232))</f>
        <v/>
      </c>
      <c r="CX232" s="103" t="str">
        <f aca="false">IF(ISBLANK($C232),"",IF($BZ232&lt;&gt;Constants!$B$8,"",IF($BM232="-&gt;",$BS232,$BG232)+$CC232))</f>
        <v/>
      </c>
      <c r="CY232" s="104" t="str">
        <f aca="false">IF(ISBLANK($C232),"",IF($BZ232&lt;&gt;Constants!$B$8,$BZ232,$CE232))</f>
        <v/>
      </c>
      <c r="CZ232" s="105" t="str">
        <f aca="false">IF(ISBLANK($C232),"",$CA232)</f>
        <v/>
      </c>
      <c r="DA232" s="106" t="str">
        <f aca="false">IF(ISBLANK($C232),"",$CP232)</f>
        <v/>
      </c>
      <c r="DB232" s="106" t="str">
        <f aca="false">IF(ISBLANK($C232),"",$CO232)</f>
        <v/>
      </c>
      <c r="DC232" s="107" t="str">
        <f aca="false">IF(ISBLANK($C232),"",IFERROR(_xlfn.SWITCH($DB232,Constants!$B$11,COUNTA($C$9:$C$508)+2,Constants!$B$10,COUNTA($C$9:$C$508)+1,Constants!$B$9,COUNTA($C$9:$C$508)),$DB232))</f>
        <v/>
      </c>
      <c r="DD232" s="9"/>
      <c r="DE232" s="108" t="n">
        <f aca="false">IF(OR(ISNUMBER($DB232),$DB232=Constants!$B$11,$DB232=Constants!$B$9,$DB232=Constants!$B$10),1,0)</f>
        <v>0</v>
      </c>
      <c r="DF232" s="108" t="n">
        <v>224</v>
      </c>
      <c r="DG232" s="108" t="str">
        <f aca="false">IF(ISBLANK($C232),"",IF(ISNUMBER($DC232),$DC232+ROW($B232)/1000,""))</f>
        <v/>
      </c>
      <c r="DH232" s="108" t="str">
        <f aca="false">IF(ISNUMBER($DG232),RANK($DG232,$DG$9:$DG$508,1),"")</f>
        <v/>
      </c>
      <c r="DI232" s="108" t="str">
        <f aca="false">IF(ISBLANK($C232),"",$B232)</f>
        <v/>
      </c>
      <c r="DJ232" s="108" t="str">
        <f aca="false">IF(ISBLANK($C232),"",$C232)</f>
        <v/>
      </c>
      <c r="DK232" s="108" t="str">
        <f aca="false">IF(ISBLANK($C232),"",$D232)</f>
        <v/>
      </c>
      <c r="DL232" s="109" t="str">
        <f aca="false">$CZ232</f>
        <v/>
      </c>
      <c r="DM232" s="110" t="str">
        <f aca="false">$CY232</f>
        <v/>
      </c>
      <c r="DN232" s="108" t="str">
        <f aca="false">IF(ISBLANK($C232),"",$DB232)</f>
        <v/>
      </c>
      <c r="DO232" s="111" t="str">
        <f aca="false">IF($DF232&gt;$DE$8,"",VLOOKUP($DF232,$DH$9:$DN$508,7,FALSE()))</f>
        <v/>
      </c>
      <c r="DP232" s="112" t="str">
        <f aca="false">IF($DF232&gt;$DE$8,"",VLOOKUP($DF232,$DH$9:$DN$508,2,FALSE()))</f>
        <v/>
      </c>
      <c r="DQ232" s="112" t="str">
        <f aca="false">IF($DF232&gt;$DE$8,"",VLOOKUP($DF232,$DH$9:$DN$508,3,FALSE()))</f>
        <v/>
      </c>
      <c r="DR232" s="112" t="str">
        <f aca="false">IF($DF232&gt;$DE$8,"",VLOOKUP($DF232,$DH$9:$DN$508,4,FALSE()))</f>
        <v/>
      </c>
      <c r="DS232" s="112" t="str">
        <f aca="false">IF($DF232&gt;$DE$8,"",VLOOKUP($DF232,$DH$9:$DN$508,5,FALSE()))</f>
        <v/>
      </c>
      <c r="DT232" s="113" t="str">
        <f aca="false">IF($DF232&gt;$DE$8,"",VLOOKUP($DF232,$DH$9:$DN$508,6,FALSE()))</f>
        <v/>
      </c>
      <c r="DU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IF(ISBLANK($C233),"",IF(E233=Constants!$B$3,TRUE(),IF(E233=Constants!$B$4,FALSE(),TRUE())))</f>
        <v/>
      </c>
      <c r="AG233" s="93" t="str">
        <f aca="false">IF(ISBLANK($C233),"",IF(F233=Constants!$B$3,TRUE(),IF(F233=Constants!$B$4,FALSE(),TRUE())))</f>
        <v/>
      </c>
      <c r="AH233" s="93" t="str">
        <f aca="false">IF(ISBLANK($C233),"",IF(G233=Constants!$B$3,TRUE(),IF(G233=Constants!$B$4,FALSE(),TRUE())))</f>
        <v/>
      </c>
      <c r="AI233" s="93" t="str">
        <f aca="false">IF(ISBLANK($C233),"",IF(AND(ISNUMBER(H233),H233&gt;=0),H233,Constants!$B$29))</f>
        <v/>
      </c>
      <c r="AJ233" s="93" t="str">
        <f aca="false">IF(ISBLANK($C233),"",IF(I233=Constants!$B$3,TRUE(),IF(I233=Constants!$B$4,FALSE(),TRUE())))</f>
        <v/>
      </c>
      <c r="AK233" s="93" t="str">
        <f aca="false">IF(ISBLANK($C233),"",IF(J233=Constants!$B$3,TRUE(),IF(J233=Constants!$B$4,FALSE(),TRUE())))</f>
        <v/>
      </c>
      <c r="AL233" s="93" t="str">
        <f aca="false">IF(ISBLANK($C233),"",IF(K233=Constants!$B$5,TRUE(),IF(K233=Constants!$B$6,FALSE(),COUNTA(L233:P233)&gt;0)))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IF(ISBLANK($C233),"",IF(N233=Constants!$B$3,TRUE(),IF(N233=Constants!$B$4,FALSE(),TRUE())))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IF(ISBLANK($C233),"",IF(P233=Constants!$B$3,TRUE(),IF(P233=Constants!$B$4,FALSE(),FALSE())))</f>
        <v/>
      </c>
      <c r="AR233" s="93" t="str">
        <f aca="false">IF(ISBLANK($C233),"",IF(Q233=Constants!$B$3,TRUE(),IF(Q233=Constants!$B$4,FALSE(),TRUE())))</f>
        <v/>
      </c>
      <c r="AS233" s="93" t="str">
        <f aca="false">IF(ISBLANK($C233),"",IF(R233=Constants!$B$3,TRUE(),IF(R233=Constants!$B$4,FALSE(),TRUE())))</f>
        <v/>
      </c>
      <c r="AT233" s="93" t="str">
        <f aca="false">IF(ISBLANK($C233),"",IF(S233=Constants!$B$5,TRUE(),IF(S233=Constants!$B$6,FALSE(),COUNTA(T233:X233)&gt;0)))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IF(ISBLANK($C233),"",IF(V233=Constants!$B$3,TRUE(),IF(V233=Constants!$B$4,FALSE(),TRUE())))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IF(ISBLANK($C233),"",IF(X233=Constants!$B$3,TRUE(),IF(X233=Constants!$B$4,FALSE(),FALSE())))</f>
        <v/>
      </c>
      <c r="AZ233" s="93" t="str">
        <f aca="false">IF(ISBLANK($C233),"",MIN(Constants!$B$31,MAX(0,IF(ISNUMBER(Y233),Y233*60,0)+IF(ISNUMBER(Z233),Z233,0))))</f>
        <v/>
      </c>
      <c r="BA233" s="93" t="str">
        <f aca="false">IF(ISBLANK($C233),"",IF(AA233=Constants!$B$3,TRUE(),IF(AA233=Constants!$B$4,FALSE(),FALSE())))</f>
        <v/>
      </c>
      <c r="BB233" s="92" t="str">
        <f aca="false">IF(ISBLANK($C233),"",AND($AL233,OR($AM233="",$AN233="",AND($AO233,$AP233=""))))</f>
        <v/>
      </c>
      <c r="BC233" s="94" t="str">
        <f aca="false">IF($BZ233&lt;&gt;Constants!$B$8,"",IF($AL233,Constants!$B$21*$AN233+Constants!$B$22*IF($AO233,$AP233,Constants!$B$23),Constants!$B$24))</f>
        <v/>
      </c>
      <c r="BD233" s="97" t="str">
        <f aca="false">IF($BZ233&lt;&gt;Constants!$B$8,"",Constants!$B$25*ABS($AD$9-IF($AL233,$AM233,0)))</f>
        <v/>
      </c>
      <c r="BE233" s="97" t="str">
        <f aca="false">IF($BZ233&lt;&gt;Constants!$B$8,"",IF(AND($AL233,$AQ233,$AO233),Constants!$B$27,0))</f>
        <v/>
      </c>
      <c r="BF233" s="97" t="str">
        <f aca="false">IF($BZ233&lt;&gt;Constants!$B$8,"",IF($AL233,($AI233-Constants!$B$29)*Constants!$B$28,0))</f>
        <v/>
      </c>
      <c r="BG233" s="97" t="str">
        <f aca="false">IF($BZ233&lt;&gt;Constants!$B$8,"",IF($AK233,0,Constants!$B$15)+IF($AJ233,0,Constants!$B$16)+IF($AH233,0,Constants!$B$17))</f>
        <v/>
      </c>
      <c r="BH233" s="98" t="str">
        <f aca="false">IF($BZ233&lt;&gt;Constants!$B$8,"",Constants!$B$20+SUM($BC233:$BG233))</f>
        <v/>
      </c>
      <c r="BI233" s="97" t="str">
        <f aca="false">IF($BZ233&lt;&gt;Constants!$B$8,"",$BC233)</f>
        <v/>
      </c>
      <c r="BJ233" s="97" t="str">
        <f aca="false">IF($BZ233&lt;&gt;Constants!$B$8,"",$BD233)</f>
        <v/>
      </c>
      <c r="BK233" s="97" t="str">
        <f aca="false">IF($BZ233&lt;&gt;Constants!$B$8,"",IF($AL233,$AN233,""))</f>
        <v/>
      </c>
      <c r="BL233" s="99" t="str">
        <f aca="false">IF($BZ233&lt;&gt;Constants!$B$8,"",$AI233)</f>
        <v/>
      </c>
      <c r="BM233" s="93" t="str">
        <f aca="false">IF($BZ233&lt;&gt;Constants!$B$8,"",IF(OR($BT233&lt;$BH233,AND($BT233=$BH233,OR($BU233&lt;$BI233,AND($BU233=$BI233,OR($BV233&lt;$BJ233,AND($BV233=$BJ233,OR(AND(ISNUMBER($BW233),OR(NOT(ISNUMBER($BK233)),$BW233&lt;$BK233)),AND(OR(AND($BW233="",$BK233=""),AND(ISNUMBER($BW233),ISNUMBER($BK233),$BW233=$BK233)),$BX233&lt;$BL233)))))))),"-&gt;","&lt;-"))</f>
        <v/>
      </c>
      <c r="BN233" s="92" t="str">
        <f aca="false">IF(ISBLANK($C233),"",AND($AT233,OR($AU233="",$AV233="",AND($AW233,$AX233=""))))</f>
        <v/>
      </c>
      <c r="BO233" s="94" t="str">
        <f aca="false">IF($BZ233&lt;&gt;Constants!$B$8,"",IF($AT233,Constants!$B$21*$AV233+Constants!$B$22*IF($AW233,$AX233,Constants!$B$23),Constants!$B$24))</f>
        <v/>
      </c>
      <c r="BP233" s="97" t="str">
        <f aca="false">IF($BZ233&lt;&gt;Constants!$B$8,"",Constants!$B$25*ABS($AD$9-IF($AT233,$AU233,0)))</f>
        <v/>
      </c>
      <c r="BQ233" s="97" t="str">
        <f aca="false">IF($BZ233&lt;&gt;Constants!$B$8,"",IF(AND($AT233,$AY233,$AW233),Constants!$B$27,0))</f>
        <v/>
      </c>
      <c r="BR233" s="97" t="str">
        <f aca="false">IF($BZ233&lt;&gt;Constants!$B$8,"",IF($AT233,($AI233-Constants!$B$29)*Constants!$B$28,0))</f>
        <v/>
      </c>
      <c r="BS233" s="97" t="str">
        <f aca="false">IF($BZ233&lt;&gt;Constants!$B$8,"",IF($AS233,0,Constants!$B$15)+IF($AR233,0,Constants!$B$16)+IF($AH233,0,Constants!$B$17))</f>
        <v/>
      </c>
      <c r="BT233" s="98" t="str">
        <f aca="false">IF($BZ233&lt;&gt;Constants!$B$8,"",Constants!$B$20+SUM($BO233:$BS233))</f>
        <v/>
      </c>
      <c r="BU233" s="97" t="str">
        <f aca="false">IF($BZ233&lt;&gt;Constants!$B$8,"",$BO233)</f>
        <v/>
      </c>
      <c r="BV233" s="97" t="str">
        <f aca="false">IF($BZ233&lt;&gt;Constants!$B$8,"",$BP233)</f>
        <v/>
      </c>
      <c r="BW233" s="97" t="str">
        <f aca="false">IF($BZ233&lt;&gt;Constants!$B$8,"",IF($AT233,$AV233,""))</f>
        <v/>
      </c>
      <c r="BX233" s="99" t="str">
        <f aca="false">IF($BZ233&lt;&gt;Constants!$B$8,"",$AI233)</f>
        <v/>
      </c>
      <c r="BY233" s="93" t="str">
        <f aca="false">IF(ISBLANK($C233),"",IF(ISBLANK($D$7),$BY$5,IF(NOT(ISNUMBER($D$7)),$BY$6,"")))</f>
        <v/>
      </c>
      <c r="BZ233" s="93" t="str">
        <f aca="false">IF(ISBLANK($C233),"",IF($BA233,Constants!$B$11,IF(COUNTA($E233:$AA233)=0,Constants!$B$10,IF(NOT($AG233),Constants!$B$9,IF(OR($BY233&lt;&gt;"",$BB233,$BN233),Constants!$B$12,Constants!$B$8)))))</f>
        <v/>
      </c>
      <c r="CA233" s="93" t="str">
        <f aca="false">IF(ISBLANK($C233),"",IF($BZ233&lt;&gt;Constants!$B$8,$BZ233,Constants!$B$13))</f>
        <v/>
      </c>
      <c r="CB233" s="97" t="str">
        <f aca="false">IF($BZ233&lt;&gt;Constants!$B$8,"",IF($BM233="-&gt;",$BT233,$BH233))</f>
        <v/>
      </c>
      <c r="CC233" s="97" t="str">
        <f aca="false">IF($BZ233&lt;&gt;Constants!$B$8,"",IF($AF233,0,Constants!$B$18))</f>
        <v/>
      </c>
      <c r="CD233" s="97" t="str">
        <f aca="false">IF($BZ233&lt;&gt;Constants!$B$8,"",((Constants!$B$31-$AZ233)-Constants!$B$31)/Constants!$B$32)</f>
        <v/>
      </c>
      <c r="CE233" s="97" t="str">
        <f aca="false">IF(ISBLANK($C233),"",IF($BZ233&lt;&gt;Constants!$B$8,$BZ233,SUM($CB233:$CD233)))</f>
        <v/>
      </c>
      <c r="CF233" s="93" t="str">
        <f aca="false">IF(ISBLANK($C233),"",IF($BZ233&lt;&gt;Constants!$B$8,$BZ233,RANK($CE233,$CE$9:$CE$508,1)))</f>
        <v/>
      </c>
      <c r="CG233" s="97" t="str">
        <f aca="false">IF($BZ233&lt;&gt;Constants!$B$8,"",IF($BM233="-&gt;",$BU233,$BI233))</f>
        <v/>
      </c>
      <c r="CH233" s="93" t="str">
        <f aca="false">IF(ISBLANK($C233),"",IF($BZ233&lt;&gt;Constants!$B$8,$BZ233,IF(ISNUMBER($CG233),RANK($CG233,$CG$9:$CG$508,1),COUNT($CG$9:$CG$508)+1)))</f>
        <v/>
      </c>
      <c r="CI233" s="97" t="str">
        <f aca="false">IF($BZ233&lt;&gt;Constants!$B$8,"",IF($BM233="-&gt;",$BV233,$BJ233))</f>
        <v/>
      </c>
      <c r="CJ233" s="93" t="str">
        <f aca="false">IF(ISBLANK($C233),"",IF($BZ233&lt;&gt;Constants!$B$8,$BZ233,IF(ISNUMBER($CI233),RANK($CI233,$CI$9:$CI$508,1),COUNT($CI$9:$CI$508)+1)))</f>
        <v/>
      </c>
      <c r="CK233" s="97" t="str">
        <f aca="false">IF($BZ233&lt;&gt;Constants!$B$8,"",IF($BM233="-&gt;",$BW233,$BK233))</f>
        <v/>
      </c>
      <c r="CL233" s="93" t="str">
        <f aca="false">IF(ISBLANK($C233),"",IF($BZ233&lt;&gt;Constants!$B$8,$BZ233,IF(ISNUMBER($CK233),RANK($CK233,$CK$9:$CK$508,1),COUNT($CK$9:$CK$508)+1)))</f>
        <v/>
      </c>
      <c r="CM233" s="97" t="str">
        <f aca="false">IF($BZ233&lt;&gt;Constants!$B$8,"",IF(AND(NOT($AL233),NOT($AT233),$AJ233,$AK233,$AR233,$AS233),"",IF($BM233="-&gt;",$BX233,$BL233)))</f>
        <v/>
      </c>
      <c r="CN233" s="93" t="str">
        <f aca="false">IF(ISBLANK($C233),"",IF($BZ233&lt;&gt;Constants!$B$8,$BZ233,IF(ISNUMBER($CM233),RANK($CM233,$CM$9:$CM$508,1),COUNT($CM$9:$CM$508)+1)))</f>
        <v/>
      </c>
      <c r="CO233" s="93" t="str">
        <f aca="false">IF(ISBLANK($C233),"",IF($BZ233&lt;&gt;Constants!$B$8,$BZ233,COUNTIFS($CF$9:$CF$508,"&lt;"&amp;$CF233)+COUNTIFS($CF$9:$CF$508,$CF233,$CH$9:$CH$508,"&lt;"&amp;$CH233)+COUNTIFS($CF$9:$CF$508,$CF233,$CH$9:$CH$508,$CH233,$CJ$9:$CJ$508,"&lt;"&amp;$CJ233)+COUNTIFS($CF$9:$CF$508,$CF233,$CH$9:$CH$508,$CH233,$CJ$9:$CJ$508,$CJ233,$CL$9:$CL$508,"&lt;"&amp;$CL233)+COUNTIFS($CF$9:$CF$508,$CF233,$CH$9:$CH$508,$CH233,$CJ$9:$CJ$508,$CJ233,$CL$9:$CL$508,$CL233,$CN$9:$CN$508,"&lt;"&amp;$CN233)+1))</f>
        <v/>
      </c>
      <c r="CP233" s="93" t="str">
        <f aca="false">IF(ISBLANK($C233),"",IF($BZ233&lt;&gt;Constants!$B$8,$BZ233,$CF233-$CO233))</f>
        <v/>
      </c>
      <c r="CQ233" s="100"/>
      <c r="CR233" s="101"/>
      <c r="CS233" s="102" t="str">
        <f aca="false">IF(ISBLANK($C233),"",IF($BZ233=Constants!$B$12,$BY233,""))</f>
        <v/>
      </c>
      <c r="CT233" s="101" t="str">
        <f aca="false">IF(ISBLANK($C233),"",IF($BZ233&lt;&gt;Constants!$B$8,"",IF($BM233="-&gt;",2,1)))</f>
        <v/>
      </c>
      <c r="CU233" s="103" t="str">
        <f aca="false">IF(ISBLANK($C233),"",IF($BZ233&lt;&gt;Constants!$B$8,"",IF($BM233="-&gt;",$BO233,$BC233)))</f>
        <v/>
      </c>
      <c r="CV233" s="103" t="str">
        <f aca="false">IF(ISBLANK($C233),"",IF($BZ233&lt;&gt;Constants!$B$8,"",IF($BM233="-&gt;",$BP233,$BD233)))</f>
        <v/>
      </c>
      <c r="CW233" s="103" t="str">
        <f aca="false">IF(ISBLANK($C233),"",IF($BZ233&lt;&gt;Constants!$B$8,"",IF($BM233="-&gt;",$BQ233+$BR233,$BE233+$BF233)+$CD233))</f>
        <v/>
      </c>
      <c r="CX233" s="103" t="str">
        <f aca="false">IF(ISBLANK($C233),"",IF($BZ233&lt;&gt;Constants!$B$8,"",IF($BM233="-&gt;",$BS233,$BG233)+$CC233))</f>
        <v/>
      </c>
      <c r="CY233" s="104" t="str">
        <f aca="false">IF(ISBLANK($C233),"",IF($BZ233&lt;&gt;Constants!$B$8,$BZ233,$CE233))</f>
        <v/>
      </c>
      <c r="CZ233" s="105" t="str">
        <f aca="false">IF(ISBLANK($C233),"",$CA233)</f>
        <v/>
      </c>
      <c r="DA233" s="106" t="str">
        <f aca="false">IF(ISBLANK($C233),"",$CP233)</f>
        <v/>
      </c>
      <c r="DB233" s="106" t="str">
        <f aca="false">IF(ISBLANK($C233),"",$CO233)</f>
        <v/>
      </c>
      <c r="DC233" s="107" t="str">
        <f aca="false">IF(ISBLANK($C233),"",IFERROR(_xlfn.SWITCH($DB233,Constants!$B$11,COUNTA($C$9:$C$508)+2,Constants!$B$10,COUNTA($C$9:$C$508)+1,Constants!$B$9,COUNTA($C$9:$C$508)),$DB233))</f>
        <v/>
      </c>
      <c r="DD233" s="9"/>
      <c r="DE233" s="108" t="n">
        <f aca="false">IF(OR(ISNUMBER($DB233),$DB233=Constants!$B$11,$DB233=Constants!$B$9,$DB233=Constants!$B$10),1,0)</f>
        <v>0</v>
      </c>
      <c r="DF233" s="108" t="n">
        <v>225</v>
      </c>
      <c r="DG233" s="108" t="str">
        <f aca="false">IF(ISBLANK($C233),"",IF(ISNUMBER($DC233),$DC233+ROW($B233)/1000,""))</f>
        <v/>
      </c>
      <c r="DH233" s="108" t="str">
        <f aca="false">IF(ISNUMBER($DG233),RANK($DG233,$DG$9:$DG$508,1),"")</f>
        <v/>
      </c>
      <c r="DI233" s="108" t="str">
        <f aca="false">IF(ISBLANK($C233),"",$B233)</f>
        <v/>
      </c>
      <c r="DJ233" s="108" t="str">
        <f aca="false">IF(ISBLANK($C233),"",$C233)</f>
        <v/>
      </c>
      <c r="DK233" s="108" t="str">
        <f aca="false">IF(ISBLANK($C233),"",$D233)</f>
        <v/>
      </c>
      <c r="DL233" s="109" t="str">
        <f aca="false">$CZ233</f>
        <v/>
      </c>
      <c r="DM233" s="110" t="str">
        <f aca="false">$CY233</f>
        <v/>
      </c>
      <c r="DN233" s="108" t="str">
        <f aca="false">IF(ISBLANK($C233),"",$DB233)</f>
        <v/>
      </c>
      <c r="DO233" s="111" t="str">
        <f aca="false">IF($DF233&gt;$DE$8,"",VLOOKUP($DF233,$DH$9:$DN$508,7,FALSE()))</f>
        <v/>
      </c>
      <c r="DP233" s="112" t="str">
        <f aca="false">IF($DF233&gt;$DE$8,"",VLOOKUP($DF233,$DH$9:$DN$508,2,FALSE()))</f>
        <v/>
      </c>
      <c r="DQ233" s="112" t="str">
        <f aca="false">IF($DF233&gt;$DE$8,"",VLOOKUP($DF233,$DH$9:$DN$508,3,FALSE()))</f>
        <v/>
      </c>
      <c r="DR233" s="112" t="str">
        <f aca="false">IF($DF233&gt;$DE$8,"",VLOOKUP($DF233,$DH$9:$DN$508,4,FALSE()))</f>
        <v/>
      </c>
      <c r="DS233" s="112" t="str">
        <f aca="false">IF($DF233&gt;$DE$8,"",VLOOKUP($DF233,$DH$9:$DN$508,5,FALSE()))</f>
        <v/>
      </c>
      <c r="DT233" s="113" t="str">
        <f aca="false">IF($DF233&gt;$DE$8,"",VLOOKUP($DF233,$DH$9:$DN$508,6,FALSE()))</f>
        <v/>
      </c>
      <c r="DU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IF(ISBLANK($C234),"",IF(E234=Constants!$B$3,TRUE(),IF(E234=Constants!$B$4,FALSE(),TRUE())))</f>
        <v/>
      </c>
      <c r="AG234" s="135" t="str">
        <f aca="false">IF(ISBLANK($C234),"",IF(F234=Constants!$B$3,TRUE(),IF(F234=Constants!$B$4,FALSE(),TRUE())))</f>
        <v/>
      </c>
      <c r="AH234" s="135" t="str">
        <f aca="false">IF(ISBLANK($C234),"",IF(G234=Constants!$B$3,TRUE(),IF(G234=Constants!$B$4,FALSE(),TRUE())))</f>
        <v/>
      </c>
      <c r="AI234" s="135" t="str">
        <f aca="false">IF(ISBLANK($C234),"",IF(AND(ISNUMBER(H234),H234&gt;=0),H234,Constants!$B$29))</f>
        <v/>
      </c>
      <c r="AJ234" s="135" t="str">
        <f aca="false">IF(ISBLANK($C234),"",IF(I234=Constants!$B$3,TRUE(),IF(I234=Constants!$B$4,FALSE(),TRUE())))</f>
        <v/>
      </c>
      <c r="AK234" s="135" t="str">
        <f aca="false">IF(ISBLANK($C234),"",IF(J234=Constants!$B$3,TRUE(),IF(J234=Constants!$B$4,FALSE(),TRUE())))</f>
        <v/>
      </c>
      <c r="AL234" s="135" t="str">
        <f aca="false">IF(ISBLANK($C234),"",IF(K234=Constants!$B$5,TRUE(),IF(K234=Constants!$B$6,FALSE(),COUNTA(L234:P234)&gt;0)))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IF(ISBLANK($C234),"",IF(N234=Constants!$B$3,TRUE(),IF(N234=Constants!$B$4,FALSE(),TRUE())))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IF(ISBLANK($C234),"",IF(P234=Constants!$B$3,TRUE(),IF(P234=Constants!$B$4,FALSE(),FALSE())))</f>
        <v/>
      </c>
      <c r="AR234" s="135" t="str">
        <f aca="false">IF(ISBLANK($C234),"",IF(Q234=Constants!$B$3,TRUE(),IF(Q234=Constants!$B$4,FALSE(),TRUE())))</f>
        <v/>
      </c>
      <c r="AS234" s="135" t="str">
        <f aca="false">IF(ISBLANK($C234),"",IF(R234=Constants!$B$3,TRUE(),IF(R234=Constants!$B$4,FALSE(),TRUE())))</f>
        <v/>
      </c>
      <c r="AT234" s="135" t="str">
        <f aca="false">IF(ISBLANK($C234),"",IF(S234=Constants!$B$5,TRUE(),IF(S234=Constants!$B$6,FALSE(),COUNTA(T234:X234)&gt;0)))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IF(ISBLANK($C234),"",IF(V234=Constants!$B$3,TRUE(),IF(V234=Constants!$B$4,FALSE(),TRUE())))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IF(ISBLANK($C234),"",IF(X234=Constants!$B$3,TRUE(),IF(X234=Constants!$B$4,FALSE(),FALSE())))</f>
        <v/>
      </c>
      <c r="AZ234" s="135" t="str">
        <f aca="false">IF(ISBLANK($C234),"",MIN(Constants!$B$31,MAX(0,IF(ISNUMBER(Y234),Y234*60,0)+IF(ISNUMBER(Z234),Z234,0))))</f>
        <v/>
      </c>
      <c r="BA234" s="135" t="str">
        <f aca="false">IF(ISBLANK($C234),"",IF(AA234=Constants!$B$3,TRUE(),IF(AA234=Constants!$B$4,FALSE(),FALSE())))</f>
        <v/>
      </c>
      <c r="BB234" s="134" t="str">
        <f aca="false">IF(ISBLANK($C234),"",AND($AL234,OR($AM234="",$AN234="",AND($AO234,$AP234=""))))</f>
        <v/>
      </c>
      <c r="BC234" s="137" t="str">
        <f aca="false">IF($BZ234&lt;&gt;Constants!$B$8,"",IF($AL234,Constants!$B$21*$AN234+Constants!$B$22*IF($AO234,$AP234,Constants!$B$23),Constants!$B$24))</f>
        <v/>
      </c>
      <c r="BD234" s="138" t="str">
        <f aca="false">IF($BZ234&lt;&gt;Constants!$B$8,"",Constants!$B$25*ABS($AD$9-IF($AL234,$AM234,0)))</f>
        <v/>
      </c>
      <c r="BE234" s="138" t="str">
        <f aca="false">IF($BZ234&lt;&gt;Constants!$B$8,"",IF(AND($AL234,$AQ234,$AO234),Constants!$B$27,0))</f>
        <v/>
      </c>
      <c r="BF234" s="138" t="str">
        <f aca="false">IF($BZ234&lt;&gt;Constants!$B$8,"",IF($AL234,($AI234-Constants!$B$29)*Constants!$B$28,0))</f>
        <v/>
      </c>
      <c r="BG234" s="138" t="str">
        <f aca="false">IF($BZ234&lt;&gt;Constants!$B$8,"",IF($AK234,0,Constants!$B$15)+IF($AJ234,0,Constants!$B$16)+IF($AH234,0,Constants!$B$17))</f>
        <v/>
      </c>
      <c r="BH234" s="139" t="str">
        <f aca="false">IF($BZ234&lt;&gt;Constants!$B$8,"",Constants!$B$20+SUM($BC234:$BG234))</f>
        <v/>
      </c>
      <c r="BI234" s="138" t="str">
        <f aca="false">IF($BZ234&lt;&gt;Constants!$B$8,"",$BC234)</f>
        <v/>
      </c>
      <c r="BJ234" s="138" t="str">
        <f aca="false">IF($BZ234&lt;&gt;Constants!$B$8,"",$BD234)</f>
        <v/>
      </c>
      <c r="BK234" s="138" t="str">
        <f aca="false">IF($BZ234&lt;&gt;Constants!$B$8,"",IF($AL234,$AN234,""))</f>
        <v/>
      </c>
      <c r="BL234" s="140" t="str">
        <f aca="false">IF($BZ234&lt;&gt;Constants!$B$8,"",$AI234)</f>
        <v/>
      </c>
      <c r="BM234" s="135" t="str">
        <f aca="false">IF($BZ234&lt;&gt;Constants!$B$8,"",IF(OR($BT234&lt;$BH234,AND($BT234=$BH234,OR($BU234&lt;$BI234,AND($BU234=$BI234,OR($BV234&lt;$BJ234,AND($BV234=$BJ234,OR(AND(ISNUMBER($BW234),OR(NOT(ISNUMBER($BK234)),$BW234&lt;$BK234)),AND(OR(AND($BW234="",$BK234=""),AND(ISNUMBER($BW234),ISNUMBER($BK234),$BW234=$BK234)),$BX234&lt;$BL234)))))))),"-&gt;","&lt;-"))</f>
        <v/>
      </c>
      <c r="BN234" s="134" t="str">
        <f aca="false">IF(ISBLANK($C234),"",AND($AT234,OR($AU234="",$AV234="",AND($AW234,$AX234=""))))</f>
        <v/>
      </c>
      <c r="BO234" s="137" t="str">
        <f aca="false">IF($BZ234&lt;&gt;Constants!$B$8,"",IF($AT234,Constants!$B$21*$AV234+Constants!$B$22*IF($AW234,$AX234,Constants!$B$23),Constants!$B$24))</f>
        <v/>
      </c>
      <c r="BP234" s="138" t="str">
        <f aca="false">IF($BZ234&lt;&gt;Constants!$B$8,"",Constants!$B$25*ABS($AD$9-IF($AT234,$AU234,0)))</f>
        <v/>
      </c>
      <c r="BQ234" s="138" t="str">
        <f aca="false">IF($BZ234&lt;&gt;Constants!$B$8,"",IF(AND($AT234,$AY234,$AW234),Constants!$B$27,0))</f>
        <v/>
      </c>
      <c r="BR234" s="138" t="str">
        <f aca="false">IF($BZ234&lt;&gt;Constants!$B$8,"",IF($AT234,($AI234-Constants!$B$29)*Constants!$B$28,0))</f>
        <v/>
      </c>
      <c r="BS234" s="138" t="str">
        <f aca="false">IF($BZ234&lt;&gt;Constants!$B$8,"",IF($AS234,0,Constants!$B$15)+IF($AR234,0,Constants!$B$16)+IF($AH234,0,Constants!$B$17))</f>
        <v/>
      </c>
      <c r="BT234" s="139" t="str">
        <f aca="false">IF($BZ234&lt;&gt;Constants!$B$8,"",Constants!$B$20+SUM($BO234:$BS234))</f>
        <v/>
      </c>
      <c r="BU234" s="138" t="str">
        <f aca="false">IF($BZ234&lt;&gt;Constants!$B$8,"",$BO234)</f>
        <v/>
      </c>
      <c r="BV234" s="138" t="str">
        <f aca="false">IF($BZ234&lt;&gt;Constants!$B$8,"",$BP234)</f>
        <v/>
      </c>
      <c r="BW234" s="138" t="str">
        <f aca="false">IF($BZ234&lt;&gt;Constants!$B$8,"",IF($AT234,$AV234,""))</f>
        <v/>
      </c>
      <c r="BX234" s="140" t="str">
        <f aca="false">IF($BZ234&lt;&gt;Constants!$B$8,"",$AI234)</f>
        <v/>
      </c>
      <c r="BY234" s="135" t="str">
        <f aca="false">IF(ISBLANK($C234),"",IF(ISBLANK($D$7),$BY$5,IF(NOT(ISNUMBER($D$7)),$BY$6,"")))</f>
        <v/>
      </c>
      <c r="BZ234" s="135" t="str">
        <f aca="false">IF(ISBLANK($C234),"",IF($BA234,Constants!$B$11,IF(COUNTA($E234:$AA234)=0,Constants!$B$10,IF(NOT($AG234),Constants!$B$9,IF(OR($BY234&lt;&gt;"",$BB234,$BN234),Constants!$B$12,Constants!$B$8)))))</f>
        <v/>
      </c>
      <c r="CA234" s="135" t="str">
        <f aca="false">IF(ISBLANK($C234),"",IF($BZ234&lt;&gt;Constants!$B$8,$BZ234,Constants!$B$13))</f>
        <v/>
      </c>
      <c r="CB234" s="138" t="str">
        <f aca="false">IF($BZ234&lt;&gt;Constants!$B$8,"",IF($BM234="-&gt;",$BT234,$BH234))</f>
        <v/>
      </c>
      <c r="CC234" s="138" t="str">
        <f aca="false">IF($BZ234&lt;&gt;Constants!$B$8,"",IF($AF234,0,Constants!$B$18))</f>
        <v/>
      </c>
      <c r="CD234" s="138" t="str">
        <f aca="false">IF($BZ234&lt;&gt;Constants!$B$8,"",((Constants!$B$31-$AZ234)-Constants!$B$31)/Constants!$B$32)</f>
        <v/>
      </c>
      <c r="CE234" s="138" t="str">
        <f aca="false">IF(ISBLANK($C234),"",IF($BZ234&lt;&gt;Constants!$B$8,$BZ234,SUM($CB234:$CD234)))</f>
        <v/>
      </c>
      <c r="CF234" s="135" t="str">
        <f aca="false">IF(ISBLANK($C234),"",IF($BZ234&lt;&gt;Constants!$B$8,$BZ234,RANK($CE234,$CE$9:$CE$508,1)))</f>
        <v/>
      </c>
      <c r="CG234" s="138" t="str">
        <f aca="false">IF($BZ234&lt;&gt;Constants!$B$8,"",IF($BM234="-&gt;",$BU234,$BI234))</f>
        <v/>
      </c>
      <c r="CH234" s="135" t="str">
        <f aca="false">IF(ISBLANK($C234),"",IF($BZ234&lt;&gt;Constants!$B$8,$BZ234,IF(ISNUMBER($CG234),RANK($CG234,$CG$9:$CG$508,1),COUNT($CG$9:$CG$508)+1)))</f>
        <v/>
      </c>
      <c r="CI234" s="138" t="str">
        <f aca="false">IF($BZ234&lt;&gt;Constants!$B$8,"",IF($BM234="-&gt;",$BV234,$BJ234))</f>
        <v/>
      </c>
      <c r="CJ234" s="135" t="str">
        <f aca="false">IF(ISBLANK($C234),"",IF($BZ234&lt;&gt;Constants!$B$8,$BZ234,IF(ISNUMBER($CI234),RANK($CI234,$CI$9:$CI$508,1),COUNT($CI$9:$CI$508)+1)))</f>
        <v/>
      </c>
      <c r="CK234" s="138" t="str">
        <f aca="false">IF($BZ234&lt;&gt;Constants!$B$8,"",IF($BM234="-&gt;",$BW234,$BK234))</f>
        <v/>
      </c>
      <c r="CL234" s="135" t="str">
        <f aca="false">IF(ISBLANK($C234),"",IF($BZ234&lt;&gt;Constants!$B$8,$BZ234,IF(ISNUMBER($CK234),RANK($CK234,$CK$9:$CK$508,1),COUNT($CK$9:$CK$508)+1)))</f>
        <v/>
      </c>
      <c r="CM234" s="138" t="str">
        <f aca="false">IF($BZ234&lt;&gt;Constants!$B$8,"",IF(AND(NOT($AL234),NOT($AT234),$AJ234,$AK234,$AR234,$AS234),"",IF($BM234="-&gt;",$BX234,$BL234)))</f>
        <v/>
      </c>
      <c r="CN234" s="135" t="str">
        <f aca="false">IF(ISBLANK($C234),"",IF($BZ234&lt;&gt;Constants!$B$8,$BZ234,IF(ISNUMBER($CM234),RANK($CM234,$CM$9:$CM$508,1),COUNT($CM$9:$CM$508)+1)))</f>
        <v/>
      </c>
      <c r="CO234" s="135" t="str">
        <f aca="false">IF(ISBLANK($C234),"",IF($BZ234&lt;&gt;Constants!$B$8,$BZ234,COUNTIFS($CF$9:$CF$508,"&lt;"&amp;$CF234)+COUNTIFS($CF$9:$CF$508,$CF234,$CH$9:$CH$508,"&lt;"&amp;$CH234)+COUNTIFS($CF$9:$CF$508,$CF234,$CH$9:$CH$508,$CH234,$CJ$9:$CJ$508,"&lt;"&amp;$CJ234)+COUNTIFS($CF$9:$CF$508,$CF234,$CH$9:$CH$508,$CH234,$CJ$9:$CJ$508,$CJ234,$CL$9:$CL$508,"&lt;"&amp;$CL234)+COUNTIFS($CF$9:$CF$508,$CF234,$CH$9:$CH$508,$CH234,$CJ$9:$CJ$508,$CJ234,$CL$9:$CL$508,$CL234,$CN$9:$CN$508,"&lt;"&amp;$CN234)+1))</f>
        <v/>
      </c>
      <c r="CP234" s="135" t="str">
        <f aca="false">IF(ISBLANK($C234),"",IF($BZ234&lt;&gt;Constants!$B$8,$BZ234,$CF234-$CO234))</f>
        <v/>
      </c>
      <c r="CQ234" s="141"/>
      <c r="CR234" s="142"/>
      <c r="CS234" s="143" t="str">
        <f aca="false">IF(ISBLANK($C234),"",IF($BZ234=Constants!$B$12,$BY234,""))</f>
        <v/>
      </c>
      <c r="CT234" s="142" t="str">
        <f aca="false">IF(ISBLANK($C234),"",IF($BZ234&lt;&gt;Constants!$B$8,"",IF($BM234="-&gt;",2,1)))</f>
        <v/>
      </c>
      <c r="CU234" s="144" t="str">
        <f aca="false">IF(ISBLANK($C234),"",IF($BZ234&lt;&gt;Constants!$B$8,"",IF($BM234="-&gt;",$BO234,$BC234)))</f>
        <v/>
      </c>
      <c r="CV234" s="144" t="str">
        <f aca="false">IF(ISBLANK($C234),"",IF($BZ234&lt;&gt;Constants!$B$8,"",IF($BM234="-&gt;",$BP234,$BD234)))</f>
        <v/>
      </c>
      <c r="CW234" s="144" t="str">
        <f aca="false">IF(ISBLANK($C234),"",IF($BZ234&lt;&gt;Constants!$B$8,"",IF($BM234="-&gt;",$BQ234+$BR234,$BE234+$BF234)+$CD234))</f>
        <v/>
      </c>
      <c r="CX234" s="144" t="str">
        <f aca="false">IF(ISBLANK($C234),"",IF($BZ234&lt;&gt;Constants!$B$8,"",IF($BM234="-&gt;",$BS234,$BG234)+$CC234))</f>
        <v/>
      </c>
      <c r="CY234" s="145" t="str">
        <f aca="false">IF(ISBLANK($C234),"",IF($BZ234&lt;&gt;Constants!$B$8,$BZ234,$CE234))</f>
        <v/>
      </c>
      <c r="CZ234" s="146" t="str">
        <f aca="false">IF(ISBLANK($C234),"",$CA234)</f>
        <v/>
      </c>
      <c r="DA234" s="147" t="str">
        <f aca="false">IF(ISBLANK($C234),"",$CP234)</f>
        <v/>
      </c>
      <c r="DB234" s="147" t="str">
        <f aca="false">IF(ISBLANK($C234),"",$CO234)</f>
        <v/>
      </c>
      <c r="DC234" s="148" t="str">
        <f aca="false">IF(ISBLANK($C234),"",IFERROR(_xlfn.SWITCH($DB234,Constants!$B$11,COUNTA($C$9:$C$508)+2,Constants!$B$10,COUNTA($C$9:$C$508)+1,Constants!$B$9,COUNTA($C$9:$C$508)),$DB234))</f>
        <v/>
      </c>
      <c r="DD234" s="9"/>
      <c r="DE234" s="149" t="n">
        <f aca="false">IF(OR(ISNUMBER($DB234),$DB234=Constants!$B$11,$DB234=Constants!$B$9,$DB234=Constants!$B$10),1,0)</f>
        <v>0</v>
      </c>
      <c r="DF234" s="149" t="n">
        <v>226</v>
      </c>
      <c r="DG234" s="149" t="str">
        <f aca="false">IF(ISBLANK($C234),"",IF(ISNUMBER($DC234),$DC234+ROW($B234)/1000,""))</f>
        <v/>
      </c>
      <c r="DH234" s="149" t="str">
        <f aca="false">IF(ISNUMBER($DG234),RANK($DG234,$DG$9:$DG$508,1),"")</f>
        <v/>
      </c>
      <c r="DI234" s="149" t="str">
        <f aca="false">IF(ISBLANK($C234),"",$B234)</f>
        <v/>
      </c>
      <c r="DJ234" s="149" t="str">
        <f aca="false">IF(ISBLANK($C234),"",$C234)</f>
        <v/>
      </c>
      <c r="DK234" s="149" t="str">
        <f aca="false">IF(ISBLANK($C234),"",$D234)</f>
        <v/>
      </c>
      <c r="DL234" s="150" t="str">
        <f aca="false">$CZ234</f>
        <v/>
      </c>
      <c r="DM234" s="151" t="str">
        <f aca="false">$CY234</f>
        <v/>
      </c>
      <c r="DN234" s="149" t="str">
        <f aca="false">IF(ISBLANK($C234),"",$DB234)</f>
        <v/>
      </c>
      <c r="DO234" s="152" t="str">
        <f aca="false">IF($DF234&gt;$DE$8,"",VLOOKUP($DF234,$DH$9:$DN$508,7,FALSE()))</f>
        <v/>
      </c>
      <c r="DP234" s="153" t="str">
        <f aca="false">IF($DF234&gt;$DE$8,"",VLOOKUP($DF234,$DH$9:$DN$508,2,FALSE()))</f>
        <v/>
      </c>
      <c r="DQ234" s="153" t="str">
        <f aca="false">IF($DF234&gt;$DE$8,"",VLOOKUP($DF234,$DH$9:$DN$508,3,FALSE()))</f>
        <v/>
      </c>
      <c r="DR234" s="153" t="str">
        <f aca="false">IF($DF234&gt;$DE$8,"",VLOOKUP($DF234,$DH$9:$DN$508,4,FALSE()))</f>
        <v/>
      </c>
      <c r="DS234" s="153" t="str">
        <f aca="false">IF($DF234&gt;$DE$8,"",VLOOKUP($DF234,$DH$9:$DN$508,5,FALSE()))</f>
        <v/>
      </c>
      <c r="DT234" s="154" t="str">
        <f aca="false">IF($DF234&gt;$DE$8,"",VLOOKUP($DF234,$DH$9:$DN$508,6,FALSE()))</f>
        <v/>
      </c>
      <c r="DU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IF(ISBLANK($C235),"",IF(E235=Constants!$B$3,TRUE(),IF(E235=Constants!$B$4,FALSE(),TRUE())))</f>
        <v/>
      </c>
      <c r="AG235" s="135" t="str">
        <f aca="false">IF(ISBLANK($C235),"",IF(F235=Constants!$B$3,TRUE(),IF(F235=Constants!$B$4,FALSE(),TRUE())))</f>
        <v/>
      </c>
      <c r="AH235" s="135" t="str">
        <f aca="false">IF(ISBLANK($C235),"",IF(G235=Constants!$B$3,TRUE(),IF(G235=Constants!$B$4,FALSE(),TRUE())))</f>
        <v/>
      </c>
      <c r="AI235" s="135" t="str">
        <f aca="false">IF(ISBLANK($C235),"",IF(AND(ISNUMBER(H235),H235&gt;=0),H235,Constants!$B$29))</f>
        <v/>
      </c>
      <c r="AJ235" s="135" t="str">
        <f aca="false">IF(ISBLANK($C235),"",IF(I235=Constants!$B$3,TRUE(),IF(I235=Constants!$B$4,FALSE(),TRUE())))</f>
        <v/>
      </c>
      <c r="AK235" s="135" t="str">
        <f aca="false">IF(ISBLANK($C235),"",IF(J235=Constants!$B$3,TRUE(),IF(J235=Constants!$B$4,FALSE(),TRUE())))</f>
        <v/>
      </c>
      <c r="AL235" s="135" t="str">
        <f aca="false">IF(ISBLANK($C235),"",IF(K235=Constants!$B$5,TRUE(),IF(K235=Constants!$B$6,FALSE(),COUNTA(L235:P235)&gt;0)))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IF(ISBLANK($C235),"",IF(N235=Constants!$B$3,TRUE(),IF(N235=Constants!$B$4,FALSE(),TRUE())))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IF(ISBLANK($C235),"",IF(P235=Constants!$B$3,TRUE(),IF(P235=Constants!$B$4,FALSE(),FALSE())))</f>
        <v/>
      </c>
      <c r="AR235" s="135" t="str">
        <f aca="false">IF(ISBLANK($C235),"",IF(Q235=Constants!$B$3,TRUE(),IF(Q235=Constants!$B$4,FALSE(),TRUE())))</f>
        <v/>
      </c>
      <c r="AS235" s="135" t="str">
        <f aca="false">IF(ISBLANK($C235),"",IF(R235=Constants!$B$3,TRUE(),IF(R235=Constants!$B$4,FALSE(),TRUE())))</f>
        <v/>
      </c>
      <c r="AT235" s="135" t="str">
        <f aca="false">IF(ISBLANK($C235),"",IF(S235=Constants!$B$5,TRUE(),IF(S235=Constants!$B$6,FALSE(),COUNTA(T235:X235)&gt;0)))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IF(ISBLANK($C235),"",IF(V235=Constants!$B$3,TRUE(),IF(V235=Constants!$B$4,FALSE(),TRUE())))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IF(ISBLANK($C235),"",IF(X235=Constants!$B$3,TRUE(),IF(X235=Constants!$B$4,FALSE(),FALSE())))</f>
        <v/>
      </c>
      <c r="AZ235" s="135" t="str">
        <f aca="false">IF(ISBLANK($C235),"",MIN(Constants!$B$31,MAX(0,IF(ISNUMBER(Y235),Y235*60,0)+IF(ISNUMBER(Z235),Z235,0))))</f>
        <v/>
      </c>
      <c r="BA235" s="135" t="str">
        <f aca="false">IF(ISBLANK($C235),"",IF(AA235=Constants!$B$3,TRUE(),IF(AA235=Constants!$B$4,FALSE(),FALSE())))</f>
        <v/>
      </c>
      <c r="BB235" s="134" t="str">
        <f aca="false">IF(ISBLANK($C235),"",AND($AL235,OR($AM235="",$AN235="",AND($AO235,$AP235=""))))</f>
        <v/>
      </c>
      <c r="BC235" s="137" t="str">
        <f aca="false">IF($BZ235&lt;&gt;Constants!$B$8,"",IF($AL235,Constants!$B$21*$AN235+Constants!$B$22*IF($AO235,$AP235,Constants!$B$23),Constants!$B$24))</f>
        <v/>
      </c>
      <c r="BD235" s="138" t="str">
        <f aca="false">IF($BZ235&lt;&gt;Constants!$B$8,"",Constants!$B$25*ABS($AD$9-IF($AL235,$AM235,0)))</f>
        <v/>
      </c>
      <c r="BE235" s="138" t="str">
        <f aca="false">IF($BZ235&lt;&gt;Constants!$B$8,"",IF(AND($AL235,$AQ235,$AO235),Constants!$B$27,0))</f>
        <v/>
      </c>
      <c r="BF235" s="138" t="str">
        <f aca="false">IF($BZ235&lt;&gt;Constants!$B$8,"",IF($AL235,($AI235-Constants!$B$29)*Constants!$B$28,0))</f>
        <v/>
      </c>
      <c r="BG235" s="138" t="str">
        <f aca="false">IF($BZ235&lt;&gt;Constants!$B$8,"",IF($AK235,0,Constants!$B$15)+IF($AJ235,0,Constants!$B$16)+IF($AH235,0,Constants!$B$17))</f>
        <v/>
      </c>
      <c r="BH235" s="139" t="str">
        <f aca="false">IF($BZ235&lt;&gt;Constants!$B$8,"",Constants!$B$20+SUM($BC235:$BG235))</f>
        <v/>
      </c>
      <c r="BI235" s="138" t="str">
        <f aca="false">IF($BZ235&lt;&gt;Constants!$B$8,"",$BC235)</f>
        <v/>
      </c>
      <c r="BJ235" s="138" t="str">
        <f aca="false">IF($BZ235&lt;&gt;Constants!$B$8,"",$BD235)</f>
        <v/>
      </c>
      <c r="BK235" s="138" t="str">
        <f aca="false">IF($BZ235&lt;&gt;Constants!$B$8,"",IF($AL235,$AN235,""))</f>
        <v/>
      </c>
      <c r="BL235" s="140" t="str">
        <f aca="false">IF($BZ235&lt;&gt;Constants!$B$8,"",$AI235)</f>
        <v/>
      </c>
      <c r="BM235" s="135" t="str">
        <f aca="false">IF($BZ235&lt;&gt;Constants!$B$8,"",IF(OR($BT235&lt;$BH235,AND($BT235=$BH235,OR($BU235&lt;$BI235,AND($BU235=$BI235,OR($BV235&lt;$BJ235,AND($BV235=$BJ235,OR(AND(ISNUMBER($BW235),OR(NOT(ISNUMBER($BK235)),$BW235&lt;$BK235)),AND(OR(AND($BW235="",$BK235=""),AND(ISNUMBER($BW235),ISNUMBER($BK235),$BW235=$BK235)),$BX235&lt;$BL235)))))))),"-&gt;","&lt;-"))</f>
        <v/>
      </c>
      <c r="BN235" s="134" t="str">
        <f aca="false">IF(ISBLANK($C235),"",AND($AT235,OR($AU235="",$AV235="",AND($AW235,$AX235=""))))</f>
        <v/>
      </c>
      <c r="BO235" s="137" t="str">
        <f aca="false">IF($BZ235&lt;&gt;Constants!$B$8,"",IF($AT235,Constants!$B$21*$AV235+Constants!$B$22*IF($AW235,$AX235,Constants!$B$23),Constants!$B$24))</f>
        <v/>
      </c>
      <c r="BP235" s="138" t="str">
        <f aca="false">IF($BZ235&lt;&gt;Constants!$B$8,"",Constants!$B$25*ABS($AD$9-IF($AT235,$AU235,0)))</f>
        <v/>
      </c>
      <c r="BQ235" s="138" t="str">
        <f aca="false">IF($BZ235&lt;&gt;Constants!$B$8,"",IF(AND($AT235,$AY235,$AW235),Constants!$B$27,0))</f>
        <v/>
      </c>
      <c r="BR235" s="138" t="str">
        <f aca="false">IF($BZ235&lt;&gt;Constants!$B$8,"",IF($AT235,($AI235-Constants!$B$29)*Constants!$B$28,0))</f>
        <v/>
      </c>
      <c r="BS235" s="138" t="str">
        <f aca="false">IF($BZ235&lt;&gt;Constants!$B$8,"",IF($AS235,0,Constants!$B$15)+IF($AR235,0,Constants!$B$16)+IF($AH235,0,Constants!$B$17))</f>
        <v/>
      </c>
      <c r="BT235" s="139" t="str">
        <f aca="false">IF($BZ235&lt;&gt;Constants!$B$8,"",Constants!$B$20+SUM($BO235:$BS235))</f>
        <v/>
      </c>
      <c r="BU235" s="138" t="str">
        <f aca="false">IF($BZ235&lt;&gt;Constants!$B$8,"",$BO235)</f>
        <v/>
      </c>
      <c r="BV235" s="138" t="str">
        <f aca="false">IF($BZ235&lt;&gt;Constants!$B$8,"",$BP235)</f>
        <v/>
      </c>
      <c r="BW235" s="138" t="str">
        <f aca="false">IF($BZ235&lt;&gt;Constants!$B$8,"",IF($AT235,$AV235,""))</f>
        <v/>
      </c>
      <c r="BX235" s="140" t="str">
        <f aca="false">IF($BZ235&lt;&gt;Constants!$B$8,"",$AI235)</f>
        <v/>
      </c>
      <c r="BY235" s="135" t="str">
        <f aca="false">IF(ISBLANK($C235),"",IF(ISBLANK($D$7),$BY$5,IF(NOT(ISNUMBER($D$7)),$BY$6,"")))</f>
        <v/>
      </c>
      <c r="BZ235" s="135" t="str">
        <f aca="false">IF(ISBLANK($C235),"",IF($BA235,Constants!$B$11,IF(COUNTA($E235:$AA235)=0,Constants!$B$10,IF(NOT($AG235),Constants!$B$9,IF(OR($BY235&lt;&gt;"",$BB235,$BN235),Constants!$B$12,Constants!$B$8)))))</f>
        <v/>
      </c>
      <c r="CA235" s="135" t="str">
        <f aca="false">IF(ISBLANK($C235),"",IF($BZ235&lt;&gt;Constants!$B$8,$BZ235,Constants!$B$13))</f>
        <v/>
      </c>
      <c r="CB235" s="138" t="str">
        <f aca="false">IF($BZ235&lt;&gt;Constants!$B$8,"",IF($BM235="-&gt;",$BT235,$BH235))</f>
        <v/>
      </c>
      <c r="CC235" s="138" t="str">
        <f aca="false">IF($BZ235&lt;&gt;Constants!$B$8,"",IF($AF235,0,Constants!$B$18))</f>
        <v/>
      </c>
      <c r="CD235" s="138" t="str">
        <f aca="false">IF($BZ235&lt;&gt;Constants!$B$8,"",((Constants!$B$31-$AZ235)-Constants!$B$31)/Constants!$B$32)</f>
        <v/>
      </c>
      <c r="CE235" s="138" t="str">
        <f aca="false">IF(ISBLANK($C235),"",IF($BZ235&lt;&gt;Constants!$B$8,$BZ235,SUM($CB235:$CD235)))</f>
        <v/>
      </c>
      <c r="CF235" s="135" t="str">
        <f aca="false">IF(ISBLANK($C235),"",IF($BZ235&lt;&gt;Constants!$B$8,$BZ235,RANK($CE235,$CE$9:$CE$508,1)))</f>
        <v/>
      </c>
      <c r="CG235" s="138" t="str">
        <f aca="false">IF($BZ235&lt;&gt;Constants!$B$8,"",IF($BM235="-&gt;",$BU235,$BI235))</f>
        <v/>
      </c>
      <c r="CH235" s="135" t="str">
        <f aca="false">IF(ISBLANK($C235),"",IF($BZ235&lt;&gt;Constants!$B$8,$BZ235,IF(ISNUMBER($CG235),RANK($CG235,$CG$9:$CG$508,1),COUNT($CG$9:$CG$508)+1)))</f>
        <v/>
      </c>
      <c r="CI235" s="138" t="str">
        <f aca="false">IF($BZ235&lt;&gt;Constants!$B$8,"",IF($BM235="-&gt;",$BV235,$BJ235))</f>
        <v/>
      </c>
      <c r="CJ235" s="135" t="str">
        <f aca="false">IF(ISBLANK($C235),"",IF($BZ235&lt;&gt;Constants!$B$8,$BZ235,IF(ISNUMBER($CI235),RANK($CI235,$CI$9:$CI$508,1),COUNT($CI$9:$CI$508)+1)))</f>
        <v/>
      </c>
      <c r="CK235" s="138" t="str">
        <f aca="false">IF($BZ235&lt;&gt;Constants!$B$8,"",IF($BM235="-&gt;",$BW235,$BK235))</f>
        <v/>
      </c>
      <c r="CL235" s="135" t="str">
        <f aca="false">IF(ISBLANK($C235),"",IF($BZ235&lt;&gt;Constants!$B$8,$BZ235,IF(ISNUMBER($CK235),RANK($CK235,$CK$9:$CK$508,1),COUNT($CK$9:$CK$508)+1)))</f>
        <v/>
      </c>
      <c r="CM235" s="138" t="str">
        <f aca="false">IF($BZ235&lt;&gt;Constants!$B$8,"",IF(AND(NOT($AL235),NOT($AT235),$AJ235,$AK235,$AR235,$AS235),"",IF($BM235="-&gt;",$BX235,$BL235)))</f>
        <v/>
      </c>
      <c r="CN235" s="135" t="str">
        <f aca="false">IF(ISBLANK($C235),"",IF($BZ235&lt;&gt;Constants!$B$8,$BZ235,IF(ISNUMBER($CM235),RANK($CM235,$CM$9:$CM$508,1),COUNT($CM$9:$CM$508)+1)))</f>
        <v/>
      </c>
      <c r="CO235" s="135" t="str">
        <f aca="false">IF(ISBLANK($C235),"",IF($BZ235&lt;&gt;Constants!$B$8,$BZ235,COUNTIFS($CF$9:$CF$508,"&lt;"&amp;$CF235)+COUNTIFS($CF$9:$CF$508,$CF235,$CH$9:$CH$508,"&lt;"&amp;$CH235)+COUNTIFS($CF$9:$CF$508,$CF235,$CH$9:$CH$508,$CH235,$CJ$9:$CJ$508,"&lt;"&amp;$CJ235)+COUNTIFS($CF$9:$CF$508,$CF235,$CH$9:$CH$508,$CH235,$CJ$9:$CJ$508,$CJ235,$CL$9:$CL$508,"&lt;"&amp;$CL235)+COUNTIFS($CF$9:$CF$508,$CF235,$CH$9:$CH$508,$CH235,$CJ$9:$CJ$508,$CJ235,$CL$9:$CL$508,$CL235,$CN$9:$CN$508,"&lt;"&amp;$CN235)+1))</f>
        <v/>
      </c>
      <c r="CP235" s="135" t="str">
        <f aca="false">IF(ISBLANK($C235),"",IF($BZ235&lt;&gt;Constants!$B$8,$BZ235,$CF235-$CO235))</f>
        <v/>
      </c>
      <c r="CQ235" s="141"/>
      <c r="CR235" s="142"/>
      <c r="CS235" s="143" t="str">
        <f aca="false">IF(ISBLANK($C235),"",IF($BZ235=Constants!$B$12,$BY235,""))</f>
        <v/>
      </c>
      <c r="CT235" s="142" t="str">
        <f aca="false">IF(ISBLANK($C235),"",IF($BZ235&lt;&gt;Constants!$B$8,"",IF($BM235="-&gt;",2,1)))</f>
        <v/>
      </c>
      <c r="CU235" s="144" t="str">
        <f aca="false">IF(ISBLANK($C235),"",IF($BZ235&lt;&gt;Constants!$B$8,"",IF($BM235="-&gt;",$BO235,$BC235)))</f>
        <v/>
      </c>
      <c r="CV235" s="144" t="str">
        <f aca="false">IF(ISBLANK($C235),"",IF($BZ235&lt;&gt;Constants!$B$8,"",IF($BM235="-&gt;",$BP235,$BD235)))</f>
        <v/>
      </c>
      <c r="CW235" s="144" t="str">
        <f aca="false">IF(ISBLANK($C235),"",IF($BZ235&lt;&gt;Constants!$B$8,"",IF($BM235="-&gt;",$BQ235+$BR235,$BE235+$BF235)+$CD235))</f>
        <v/>
      </c>
      <c r="CX235" s="144" t="str">
        <f aca="false">IF(ISBLANK($C235),"",IF($BZ235&lt;&gt;Constants!$B$8,"",IF($BM235="-&gt;",$BS235,$BG235)+$CC235))</f>
        <v/>
      </c>
      <c r="CY235" s="145" t="str">
        <f aca="false">IF(ISBLANK($C235),"",IF($BZ235&lt;&gt;Constants!$B$8,$BZ235,$CE235))</f>
        <v/>
      </c>
      <c r="CZ235" s="146" t="str">
        <f aca="false">IF(ISBLANK($C235),"",$CA235)</f>
        <v/>
      </c>
      <c r="DA235" s="147" t="str">
        <f aca="false">IF(ISBLANK($C235),"",$CP235)</f>
        <v/>
      </c>
      <c r="DB235" s="147" t="str">
        <f aca="false">IF(ISBLANK($C235),"",$CO235)</f>
        <v/>
      </c>
      <c r="DC235" s="148" t="str">
        <f aca="false">IF(ISBLANK($C235),"",IFERROR(_xlfn.SWITCH($DB235,Constants!$B$11,COUNTA($C$9:$C$508)+2,Constants!$B$10,COUNTA($C$9:$C$508)+1,Constants!$B$9,COUNTA($C$9:$C$508)),$DB235))</f>
        <v/>
      </c>
      <c r="DD235" s="9"/>
      <c r="DE235" s="149" t="n">
        <f aca="false">IF(OR(ISNUMBER($DB235),$DB235=Constants!$B$11,$DB235=Constants!$B$9,$DB235=Constants!$B$10),1,0)</f>
        <v>0</v>
      </c>
      <c r="DF235" s="149" t="n">
        <v>227</v>
      </c>
      <c r="DG235" s="149" t="str">
        <f aca="false">IF(ISBLANK($C235),"",IF(ISNUMBER($DC235),$DC235+ROW($B235)/1000,""))</f>
        <v/>
      </c>
      <c r="DH235" s="149" t="str">
        <f aca="false">IF(ISNUMBER($DG235),RANK($DG235,$DG$9:$DG$508,1),"")</f>
        <v/>
      </c>
      <c r="DI235" s="149" t="str">
        <f aca="false">IF(ISBLANK($C235),"",$B235)</f>
        <v/>
      </c>
      <c r="DJ235" s="149" t="str">
        <f aca="false">IF(ISBLANK($C235),"",$C235)</f>
        <v/>
      </c>
      <c r="DK235" s="149" t="str">
        <f aca="false">IF(ISBLANK($C235),"",$D235)</f>
        <v/>
      </c>
      <c r="DL235" s="150" t="str">
        <f aca="false">$CZ235</f>
        <v/>
      </c>
      <c r="DM235" s="151" t="str">
        <f aca="false">$CY235</f>
        <v/>
      </c>
      <c r="DN235" s="149" t="str">
        <f aca="false">IF(ISBLANK($C235),"",$DB235)</f>
        <v/>
      </c>
      <c r="DO235" s="152" t="str">
        <f aca="false">IF($DF235&gt;$DE$8,"",VLOOKUP($DF235,$DH$9:$DN$508,7,FALSE()))</f>
        <v/>
      </c>
      <c r="DP235" s="153" t="str">
        <f aca="false">IF($DF235&gt;$DE$8,"",VLOOKUP($DF235,$DH$9:$DN$508,2,FALSE()))</f>
        <v/>
      </c>
      <c r="DQ235" s="153" t="str">
        <f aca="false">IF($DF235&gt;$DE$8,"",VLOOKUP($DF235,$DH$9:$DN$508,3,FALSE()))</f>
        <v/>
      </c>
      <c r="DR235" s="153" t="str">
        <f aca="false">IF($DF235&gt;$DE$8,"",VLOOKUP($DF235,$DH$9:$DN$508,4,FALSE()))</f>
        <v/>
      </c>
      <c r="DS235" s="153" t="str">
        <f aca="false">IF($DF235&gt;$DE$8,"",VLOOKUP($DF235,$DH$9:$DN$508,5,FALSE()))</f>
        <v/>
      </c>
      <c r="DT235" s="154" t="str">
        <f aca="false">IF($DF235&gt;$DE$8,"",VLOOKUP($DF235,$DH$9:$DN$508,6,FALSE()))</f>
        <v/>
      </c>
      <c r="DU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IF(ISBLANK($C236),"",IF(E236=Constants!$B$3,TRUE(),IF(E236=Constants!$B$4,FALSE(),TRUE())))</f>
        <v/>
      </c>
      <c r="AG236" s="135" t="str">
        <f aca="false">IF(ISBLANK($C236),"",IF(F236=Constants!$B$3,TRUE(),IF(F236=Constants!$B$4,FALSE(),TRUE())))</f>
        <v/>
      </c>
      <c r="AH236" s="135" t="str">
        <f aca="false">IF(ISBLANK($C236),"",IF(G236=Constants!$B$3,TRUE(),IF(G236=Constants!$B$4,FALSE(),TRUE())))</f>
        <v/>
      </c>
      <c r="AI236" s="135" t="str">
        <f aca="false">IF(ISBLANK($C236),"",IF(AND(ISNUMBER(H236),H236&gt;=0),H236,Constants!$B$29))</f>
        <v/>
      </c>
      <c r="AJ236" s="135" t="str">
        <f aca="false">IF(ISBLANK($C236),"",IF(I236=Constants!$B$3,TRUE(),IF(I236=Constants!$B$4,FALSE(),TRUE())))</f>
        <v/>
      </c>
      <c r="AK236" s="135" t="str">
        <f aca="false">IF(ISBLANK($C236),"",IF(J236=Constants!$B$3,TRUE(),IF(J236=Constants!$B$4,FALSE(),TRUE())))</f>
        <v/>
      </c>
      <c r="AL236" s="135" t="str">
        <f aca="false">IF(ISBLANK($C236),"",IF(K236=Constants!$B$5,TRUE(),IF(K236=Constants!$B$6,FALSE(),COUNTA(L236:P236)&gt;0)))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IF(ISBLANK($C236),"",IF(N236=Constants!$B$3,TRUE(),IF(N236=Constants!$B$4,FALSE(),TRUE())))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IF(ISBLANK($C236),"",IF(P236=Constants!$B$3,TRUE(),IF(P236=Constants!$B$4,FALSE(),FALSE())))</f>
        <v/>
      </c>
      <c r="AR236" s="135" t="str">
        <f aca="false">IF(ISBLANK($C236),"",IF(Q236=Constants!$B$3,TRUE(),IF(Q236=Constants!$B$4,FALSE(),TRUE())))</f>
        <v/>
      </c>
      <c r="AS236" s="135" t="str">
        <f aca="false">IF(ISBLANK($C236),"",IF(R236=Constants!$B$3,TRUE(),IF(R236=Constants!$B$4,FALSE(),TRUE())))</f>
        <v/>
      </c>
      <c r="AT236" s="135" t="str">
        <f aca="false">IF(ISBLANK($C236),"",IF(S236=Constants!$B$5,TRUE(),IF(S236=Constants!$B$6,FALSE(),COUNTA(T236:X236)&gt;0)))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IF(ISBLANK($C236),"",IF(V236=Constants!$B$3,TRUE(),IF(V236=Constants!$B$4,FALSE(),TRUE())))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IF(ISBLANK($C236),"",IF(X236=Constants!$B$3,TRUE(),IF(X236=Constants!$B$4,FALSE(),FALSE())))</f>
        <v/>
      </c>
      <c r="AZ236" s="135" t="str">
        <f aca="false">IF(ISBLANK($C236),"",MIN(Constants!$B$31,MAX(0,IF(ISNUMBER(Y236),Y236*60,0)+IF(ISNUMBER(Z236),Z236,0))))</f>
        <v/>
      </c>
      <c r="BA236" s="135" t="str">
        <f aca="false">IF(ISBLANK($C236),"",IF(AA236=Constants!$B$3,TRUE(),IF(AA236=Constants!$B$4,FALSE(),FALSE())))</f>
        <v/>
      </c>
      <c r="BB236" s="134" t="str">
        <f aca="false">IF(ISBLANK($C236),"",AND($AL236,OR($AM236="",$AN236="",AND($AO236,$AP236=""))))</f>
        <v/>
      </c>
      <c r="BC236" s="137" t="str">
        <f aca="false">IF($BZ236&lt;&gt;Constants!$B$8,"",IF($AL236,Constants!$B$21*$AN236+Constants!$B$22*IF($AO236,$AP236,Constants!$B$23),Constants!$B$24))</f>
        <v/>
      </c>
      <c r="BD236" s="138" t="str">
        <f aca="false">IF($BZ236&lt;&gt;Constants!$B$8,"",Constants!$B$25*ABS($AD$9-IF($AL236,$AM236,0)))</f>
        <v/>
      </c>
      <c r="BE236" s="138" t="str">
        <f aca="false">IF($BZ236&lt;&gt;Constants!$B$8,"",IF(AND($AL236,$AQ236,$AO236),Constants!$B$27,0))</f>
        <v/>
      </c>
      <c r="BF236" s="138" t="str">
        <f aca="false">IF($BZ236&lt;&gt;Constants!$B$8,"",IF($AL236,($AI236-Constants!$B$29)*Constants!$B$28,0))</f>
        <v/>
      </c>
      <c r="BG236" s="138" t="str">
        <f aca="false">IF($BZ236&lt;&gt;Constants!$B$8,"",IF($AK236,0,Constants!$B$15)+IF($AJ236,0,Constants!$B$16)+IF($AH236,0,Constants!$B$17))</f>
        <v/>
      </c>
      <c r="BH236" s="139" t="str">
        <f aca="false">IF($BZ236&lt;&gt;Constants!$B$8,"",Constants!$B$20+SUM($BC236:$BG236))</f>
        <v/>
      </c>
      <c r="BI236" s="138" t="str">
        <f aca="false">IF($BZ236&lt;&gt;Constants!$B$8,"",$BC236)</f>
        <v/>
      </c>
      <c r="BJ236" s="138" t="str">
        <f aca="false">IF($BZ236&lt;&gt;Constants!$B$8,"",$BD236)</f>
        <v/>
      </c>
      <c r="BK236" s="138" t="str">
        <f aca="false">IF($BZ236&lt;&gt;Constants!$B$8,"",IF($AL236,$AN236,""))</f>
        <v/>
      </c>
      <c r="BL236" s="140" t="str">
        <f aca="false">IF($BZ236&lt;&gt;Constants!$B$8,"",$AI236)</f>
        <v/>
      </c>
      <c r="BM236" s="135" t="str">
        <f aca="false">IF($BZ236&lt;&gt;Constants!$B$8,"",IF(OR($BT236&lt;$BH236,AND($BT236=$BH236,OR($BU236&lt;$BI236,AND($BU236=$BI236,OR($BV236&lt;$BJ236,AND($BV236=$BJ236,OR(AND(ISNUMBER($BW236),OR(NOT(ISNUMBER($BK236)),$BW236&lt;$BK236)),AND(OR(AND($BW236="",$BK236=""),AND(ISNUMBER($BW236),ISNUMBER($BK236),$BW236=$BK236)),$BX236&lt;$BL236)))))))),"-&gt;","&lt;-"))</f>
        <v/>
      </c>
      <c r="BN236" s="134" t="str">
        <f aca="false">IF(ISBLANK($C236),"",AND($AT236,OR($AU236="",$AV236="",AND($AW236,$AX236=""))))</f>
        <v/>
      </c>
      <c r="BO236" s="137" t="str">
        <f aca="false">IF($BZ236&lt;&gt;Constants!$B$8,"",IF($AT236,Constants!$B$21*$AV236+Constants!$B$22*IF($AW236,$AX236,Constants!$B$23),Constants!$B$24))</f>
        <v/>
      </c>
      <c r="BP236" s="138" t="str">
        <f aca="false">IF($BZ236&lt;&gt;Constants!$B$8,"",Constants!$B$25*ABS($AD$9-IF($AT236,$AU236,0)))</f>
        <v/>
      </c>
      <c r="BQ236" s="138" t="str">
        <f aca="false">IF($BZ236&lt;&gt;Constants!$B$8,"",IF(AND($AT236,$AY236,$AW236),Constants!$B$27,0))</f>
        <v/>
      </c>
      <c r="BR236" s="138" t="str">
        <f aca="false">IF($BZ236&lt;&gt;Constants!$B$8,"",IF($AT236,($AI236-Constants!$B$29)*Constants!$B$28,0))</f>
        <v/>
      </c>
      <c r="BS236" s="138" t="str">
        <f aca="false">IF($BZ236&lt;&gt;Constants!$B$8,"",IF($AS236,0,Constants!$B$15)+IF($AR236,0,Constants!$B$16)+IF($AH236,0,Constants!$B$17))</f>
        <v/>
      </c>
      <c r="BT236" s="139" t="str">
        <f aca="false">IF($BZ236&lt;&gt;Constants!$B$8,"",Constants!$B$20+SUM($BO236:$BS236))</f>
        <v/>
      </c>
      <c r="BU236" s="138" t="str">
        <f aca="false">IF($BZ236&lt;&gt;Constants!$B$8,"",$BO236)</f>
        <v/>
      </c>
      <c r="BV236" s="138" t="str">
        <f aca="false">IF($BZ236&lt;&gt;Constants!$B$8,"",$BP236)</f>
        <v/>
      </c>
      <c r="BW236" s="138" t="str">
        <f aca="false">IF($BZ236&lt;&gt;Constants!$B$8,"",IF($AT236,$AV236,""))</f>
        <v/>
      </c>
      <c r="BX236" s="140" t="str">
        <f aca="false">IF($BZ236&lt;&gt;Constants!$B$8,"",$AI236)</f>
        <v/>
      </c>
      <c r="BY236" s="135" t="str">
        <f aca="false">IF(ISBLANK($C236),"",IF(ISBLANK($D$7),$BY$5,IF(NOT(ISNUMBER($D$7)),$BY$6,"")))</f>
        <v/>
      </c>
      <c r="BZ236" s="135" t="str">
        <f aca="false">IF(ISBLANK($C236),"",IF($BA236,Constants!$B$11,IF(COUNTA($E236:$AA236)=0,Constants!$B$10,IF(NOT($AG236),Constants!$B$9,IF(OR($BY236&lt;&gt;"",$BB236,$BN236),Constants!$B$12,Constants!$B$8)))))</f>
        <v/>
      </c>
      <c r="CA236" s="135" t="str">
        <f aca="false">IF(ISBLANK($C236),"",IF($BZ236&lt;&gt;Constants!$B$8,$BZ236,Constants!$B$13))</f>
        <v/>
      </c>
      <c r="CB236" s="138" t="str">
        <f aca="false">IF($BZ236&lt;&gt;Constants!$B$8,"",IF($BM236="-&gt;",$BT236,$BH236))</f>
        <v/>
      </c>
      <c r="CC236" s="138" t="str">
        <f aca="false">IF($BZ236&lt;&gt;Constants!$B$8,"",IF($AF236,0,Constants!$B$18))</f>
        <v/>
      </c>
      <c r="CD236" s="138" t="str">
        <f aca="false">IF($BZ236&lt;&gt;Constants!$B$8,"",((Constants!$B$31-$AZ236)-Constants!$B$31)/Constants!$B$32)</f>
        <v/>
      </c>
      <c r="CE236" s="138" t="str">
        <f aca="false">IF(ISBLANK($C236),"",IF($BZ236&lt;&gt;Constants!$B$8,$BZ236,SUM($CB236:$CD236)))</f>
        <v/>
      </c>
      <c r="CF236" s="135" t="str">
        <f aca="false">IF(ISBLANK($C236),"",IF($BZ236&lt;&gt;Constants!$B$8,$BZ236,RANK($CE236,$CE$9:$CE$508,1)))</f>
        <v/>
      </c>
      <c r="CG236" s="138" t="str">
        <f aca="false">IF($BZ236&lt;&gt;Constants!$B$8,"",IF($BM236="-&gt;",$BU236,$BI236))</f>
        <v/>
      </c>
      <c r="CH236" s="135" t="str">
        <f aca="false">IF(ISBLANK($C236),"",IF($BZ236&lt;&gt;Constants!$B$8,$BZ236,IF(ISNUMBER($CG236),RANK($CG236,$CG$9:$CG$508,1),COUNT($CG$9:$CG$508)+1)))</f>
        <v/>
      </c>
      <c r="CI236" s="138" t="str">
        <f aca="false">IF($BZ236&lt;&gt;Constants!$B$8,"",IF($BM236="-&gt;",$BV236,$BJ236))</f>
        <v/>
      </c>
      <c r="CJ236" s="135" t="str">
        <f aca="false">IF(ISBLANK($C236),"",IF($BZ236&lt;&gt;Constants!$B$8,$BZ236,IF(ISNUMBER($CI236),RANK($CI236,$CI$9:$CI$508,1),COUNT($CI$9:$CI$508)+1)))</f>
        <v/>
      </c>
      <c r="CK236" s="138" t="str">
        <f aca="false">IF($BZ236&lt;&gt;Constants!$B$8,"",IF($BM236="-&gt;",$BW236,$BK236))</f>
        <v/>
      </c>
      <c r="CL236" s="135" t="str">
        <f aca="false">IF(ISBLANK($C236),"",IF($BZ236&lt;&gt;Constants!$B$8,$BZ236,IF(ISNUMBER($CK236),RANK($CK236,$CK$9:$CK$508,1),COUNT($CK$9:$CK$508)+1)))</f>
        <v/>
      </c>
      <c r="CM236" s="138" t="str">
        <f aca="false">IF($BZ236&lt;&gt;Constants!$B$8,"",IF(AND(NOT($AL236),NOT($AT236),$AJ236,$AK236,$AR236,$AS236),"",IF($BM236="-&gt;",$BX236,$BL236)))</f>
        <v/>
      </c>
      <c r="CN236" s="135" t="str">
        <f aca="false">IF(ISBLANK($C236),"",IF($BZ236&lt;&gt;Constants!$B$8,$BZ236,IF(ISNUMBER($CM236),RANK($CM236,$CM$9:$CM$508,1),COUNT($CM$9:$CM$508)+1)))</f>
        <v/>
      </c>
      <c r="CO236" s="135" t="str">
        <f aca="false">IF(ISBLANK($C236),"",IF($BZ236&lt;&gt;Constants!$B$8,$BZ236,COUNTIFS($CF$9:$CF$508,"&lt;"&amp;$CF236)+COUNTIFS($CF$9:$CF$508,$CF236,$CH$9:$CH$508,"&lt;"&amp;$CH236)+COUNTIFS($CF$9:$CF$508,$CF236,$CH$9:$CH$508,$CH236,$CJ$9:$CJ$508,"&lt;"&amp;$CJ236)+COUNTIFS($CF$9:$CF$508,$CF236,$CH$9:$CH$508,$CH236,$CJ$9:$CJ$508,$CJ236,$CL$9:$CL$508,"&lt;"&amp;$CL236)+COUNTIFS($CF$9:$CF$508,$CF236,$CH$9:$CH$508,$CH236,$CJ$9:$CJ$508,$CJ236,$CL$9:$CL$508,$CL236,$CN$9:$CN$508,"&lt;"&amp;$CN236)+1))</f>
        <v/>
      </c>
      <c r="CP236" s="135" t="str">
        <f aca="false">IF(ISBLANK($C236),"",IF($BZ236&lt;&gt;Constants!$B$8,$BZ236,$CF236-$CO236))</f>
        <v/>
      </c>
      <c r="CQ236" s="141"/>
      <c r="CR236" s="142"/>
      <c r="CS236" s="143" t="str">
        <f aca="false">IF(ISBLANK($C236),"",IF($BZ236=Constants!$B$12,$BY236,""))</f>
        <v/>
      </c>
      <c r="CT236" s="142" t="str">
        <f aca="false">IF(ISBLANK($C236),"",IF($BZ236&lt;&gt;Constants!$B$8,"",IF($BM236="-&gt;",2,1)))</f>
        <v/>
      </c>
      <c r="CU236" s="144" t="str">
        <f aca="false">IF(ISBLANK($C236),"",IF($BZ236&lt;&gt;Constants!$B$8,"",IF($BM236="-&gt;",$BO236,$BC236)))</f>
        <v/>
      </c>
      <c r="CV236" s="144" t="str">
        <f aca="false">IF(ISBLANK($C236),"",IF($BZ236&lt;&gt;Constants!$B$8,"",IF($BM236="-&gt;",$BP236,$BD236)))</f>
        <v/>
      </c>
      <c r="CW236" s="144" t="str">
        <f aca="false">IF(ISBLANK($C236),"",IF($BZ236&lt;&gt;Constants!$B$8,"",IF($BM236="-&gt;",$BQ236+$BR236,$BE236+$BF236)+$CD236))</f>
        <v/>
      </c>
      <c r="CX236" s="144" t="str">
        <f aca="false">IF(ISBLANK($C236),"",IF($BZ236&lt;&gt;Constants!$B$8,"",IF($BM236="-&gt;",$BS236,$BG236)+$CC236))</f>
        <v/>
      </c>
      <c r="CY236" s="145" t="str">
        <f aca="false">IF(ISBLANK($C236),"",IF($BZ236&lt;&gt;Constants!$B$8,$BZ236,$CE236))</f>
        <v/>
      </c>
      <c r="CZ236" s="146" t="str">
        <f aca="false">IF(ISBLANK($C236),"",$CA236)</f>
        <v/>
      </c>
      <c r="DA236" s="147" t="str">
        <f aca="false">IF(ISBLANK($C236),"",$CP236)</f>
        <v/>
      </c>
      <c r="DB236" s="147" t="str">
        <f aca="false">IF(ISBLANK($C236),"",$CO236)</f>
        <v/>
      </c>
      <c r="DC236" s="148" t="str">
        <f aca="false">IF(ISBLANK($C236),"",IFERROR(_xlfn.SWITCH($DB236,Constants!$B$11,COUNTA($C$9:$C$508)+2,Constants!$B$10,COUNTA($C$9:$C$508)+1,Constants!$B$9,COUNTA($C$9:$C$508)),$DB236))</f>
        <v/>
      </c>
      <c r="DD236" s="9"/>
      <c r="DE236" s="149" t="n">
        <f aca="false">IF(OR(ISNUMBER($DB236),$DB236=Constants!$B$11,$DB236=Constants!$B$9,$DB236=Constants!$B$10),1,0)</f>
        <v>0</v>
      </c>
      <c r="DF236" s="149" t="n">
        <v>228</v>
      </c>
      <c r="DG236" s="149" t="str">
        <f aca="false">IF(ISBLANK($C236),"",IF(ISNUMBER($DC236),$DC236+ROW($B236)/1000,""))</f>
        <v/>
      </c>
      <c r="DH236" s="149" t="str">
        <f aca="false">IF(ISNUMBER($DG236),RANK($DG236,$DG$9:$DG$508,1),"")</f>
        <v/>
      </c>
      <c r="DI236" s="149" t="str">
        <f aca="false">IF(ISBLANK($C236),"",$B236)</f>
        <v/>
      </c>
      <c r="DJ236" s="149" t="str">
        <f aca="false">IF(ISBLANK($C236),"",$C236)</f>
        <v/>
      </c>
      <c r="DK236" s="149" t="str">
        <f aca="false">IF(ISBLANK($C236),"",$D236)</f>
        <v/>
      </c>
      <c r="DL236" s="150" t="str">
        <f aca="false">$CZ236</f>
        <v/>
      </c>
      <c r="DM236" s="151" t="str">
        <f aca="false">$CY236</f>
        <v/>
      </c>
      <c r="DN236" s="149" t="str">
        <f aca="false">IF(ISBLANK($C236),"",$DB236)</f>
        <v/>
      </c>
      <c r="DO236" s="152" t="str">
        <f aca="false">IF($DF236&gt;$DE$8,"",VLOOKUP($DF236,$DH$9:$DN$508,7,FALSE()))</f>
        <v/>
      </c>
      <c r="DP236" s="153" t="str">
        <f aca="false">IF($DF236&gt;$DE$8,"",VLOOKUP($DF236,$DH$9:$DN$508,2,FALSE()))</f>
        <v/>
      </c>
      <c r="DQ236" s="153" t="str">
        <f aca="false">IF($DF236&gt;$DE$8,"",VLOOKUP($DF236,$DH$9:$DN$508,3,FALSE()))</f>
        <v/>
      </c>
      <c r="DR236" s="153" t="str">
        <f aca="false">IF($DF236&gt;$DE$8,"",VLOOKUP($DF236,$DH$9:$DN$508,4,FALSE()))</f>
        <v/>
      </c>
      <c r="DS236" s="153" t="str">
        <f aca="false">IF($DF236&gt;$DE$8,"",VLOOKUP($DF236,$DH$9:$DN$508,5,FALSE()))</f>
        <v/>
      </c>
      <c r="DT236" s="154" t="str">
        <f aca="false">IF($DF236&gt;$DE$8,"",VLOOKUP($DF236,$DH$9:$DN$508,6,FALSE()))</f>
        <v/>
      </c>
      <c r="DU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IF(ISBLANK($C237),"",IF(E237=Constants!$B$3,TRUE(),IF(E237=Constants!$B$4,FALSE(),TRUE())))</f>
        <v/>
      </c>
      <c r="AG237" s="93" t="str">
        <f aca="false">IF(ISBLANK($C237),"",IF(F237=Constants!$B$3,TRUE(),IF(F237=Constants!$B$4,FALSE(),TRUE())))</f>
        <v/>
      </c>
      <c r="AH237" s="93" t="str">
        <f aca="false">IF(ISBLANK($C237),"",IF(G237=Constants!$B$3,TRUE(),IF(G237=Constants!$B$4,FALSE(),TRUE())))</f>
        <v/>
      </c>
      <c r="AI237" s="93" t="str">
        <f aca="false">IF(ISBLANK($C237),"",IF(AND(ISNUMBER(H237),H237&gt;=0),H237,Constants!$B$29))</f>
        <v/>
      </c>
      <c r="AJ237" s="93" t="str">
        <f aca="false">IF(ISBLANK($C237),"",IF(I237=Constants!$B$3,TRUE(),IF(I237=Constants!$B$4,FALSE(),TRUE())))</f>
        <v/>
      </c>
      <c r="AK237" s="93" t="str">
        <f aca="false">IF(ISBLANK($C237),"",IF(J237=Constants!$B$3,TRUE(),IF(J237=Constants!$B$4,FALSE(),TRUE())))</f>
        <v/>
      </c>
      <c r="AL237" s="93" t="str">
        <f aca="false">IF(ISBLANK($C237),"",IF(K237=Constants!$B$5,TRUE(),IF(K237=Constants!$B$6,FALSE(),COUNTA(L237:P237)&gt;0)))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IF(ISBLANK($C237),"",IF(N237=Constants!$B$3,TRUE(),IF(N237=Constants!$B$4,FALSE(),TRUE())))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IF(ISBLANK($C237),"",IF(P237=Constants!$B$3,TRUE(),IF(P237=Constants!$B$4,FALSE(),FALSE())))</f>
        <v/>
      </c>
      <c r="AR237" s="93" t="str">
        <f aca="false">IF(ISBLANK($C237),"",IF(Q237=Constants!$B$3,TRUE(),IF(Q237=Constants!$B$4,FALSE(),TRUE())))</f>
        <v/>
      </c>
      <c r="AS237" s="93" t="str">
        <f aca="false">IF(ISBLANK($C237),"",IF(R237=Constants!$B$3,TRUE(),IF(R237=Constants!$B$4,FALSE(),TRUE())))</f>
        <v/>
      </c>
      <c r="AT237" s="93" t="str">
        <f aca="false">IF(ISBLANK($C237),"",IF(S237=Constants!$B$5,TRUE(),IF(S237=Constants!$B$6,FALSE(),COUNTA(T237:X237)&gt;0)))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IF(ISBLANK($C237),"",IF(V237=Constants!$B$3,TRUE(),IF(V237=Constants!$B$4,FALSE(),TRUE())))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IF(ISBLANK($C237),"",IF(X237=Constants!$B$3,TRUE(),IF(X237=Constants!$B$4,FALSE(),FALSE())))</f>
        <v/>
      </c>
      <c r="AZ237" s="93" t="str">
        <f aca="false">IF(ISBLANK($C237),"",MIN(Constants!$B$31,MAX(0,IF(ISNUMBER(Y237),Y237*60,0)+IF(ISNUMBER(Z237),Z237,0))))</f>
        <v/>
      </c>
      <c r="BA237" s="93" t="str">
        <f aca="false">IF(ISBLANK($C237),"",IF(AA237=Constants!$B$3,TRUE(),IF(AA237=Constants!$B$4,FALSE(),FALSE())))</f>
        <v/>
      </c>
      <c r="BB237" s="92" t="str">
        <f aca="false">IF(ISBLANK($C237),"",AND($AL237,OR($AM237="",$AN237="",AND($AO237,$AP237=""))))</f>
        <v/>
      </c>
      <c r="BC237" s="94" t="str">
        <f aca="false">IF($BZ237&lt;&gt;Constants!$B$8,"",IF($AL237,Constants!$B$21*$AN237+Constants!$B$22*IF($AO237,$AP237,Constants!$B$23),Constants!$B$24))</f>
        <v/>
      </c>
      <c r="BD237" s="97" t="str">
        <f aca="false">IF($BZ237&lt;&gt;Constants!$B$8,"",Constants!$B$25*ABS($AD$9-IF($AL237,$AM237,0)))</f>
        <v/>
      </c>
      <c r="BE237" s="97" t="str">
        <f aca="false">IF($BZ237&lt;&gt;Constants!$B$8,"",IF(AND($AL237,$AQ237,$AO237),Constants!$B$27,0))</f>
        <v/>
      </c>
      <c r="BF237" s="97" t="str">
        <f aca="false">IF($BZ237&lt;&gt;Constants!$B$8,"",IF($AL237,($AI237-Constants!$B$29)*Constants!$B$28,0))</f>
        <v/>
      </c>
      <c r="BG237" s="97" t="str">
        <f aca="false">IF($BZ237&lt;&gt;Constants!$B$8,"",IF($AK237,0,Constants!$B$15)+IF($AJ237,0,Constants!$B$16)+IF($AH237,0,Constants!$B$17))</f>
        <v/>
      </c>
      <c r="BH237" s="98" t="str">
        <f aca="false">IF($BZ237&lt;&gt;Constants!$B$8,"",Constants!$B$20+SUM($BC237:$BG237))</f>
        <v/>
      </c>
      <c r="BI237" s="97" t="str">
        <f aca="false">IF($BZ237&lt;&gt;Constants!$B$8,"",$BC237)</f>
        <v/>
      </c>
      <c r="BJ237" s="97" t="str">
        <f aca="false">IF($BZ237&lt;&gt;Constants!$B$8,"",$BD237)</f>
        <v/>
      </c>
      <c r="BK237" s="97" t="str">
        <f aca="false">IF($BZ237&lt;&gt;Constants!$B$8,"",IF($AL237,$AN237,""))</f>
        <v/>
      </c>
      <c r="BL237" s="99" t="str">
        <f aca="false">IF($BZ237&lt;&gt;Constants!$B$8,"",$AI237)</f>
        <v/>
      </c>
      <c r="BM237" s="93" t="str">
        <f aca="false">IF($BZ237&lt;&gt;Constants!$B$8,"",IF(OR($BT237&lt;$BH237,AND($BT237=$BH237,OR($BU237&lt;$BI237,AND($BU237=$BI237,OR($BV237&lt;$BJ237,AND($BV237=$BJ237,OR(AND(ISNUMBER($BW237),OR(NOT(ISNUMBER($BK237)),$BW237&lt;$BK237)),AND(OR(AND($BW237="",$BK237=""),AND(ISNUMBER($BW237),ISNUMBER($BK237),$BW237=$BK237)),$BX237&lt;$BL237)))))))),"-&gt;","&lt;-"))</f>
        <v/>
      </c>
      <c r="BN237" s="92" t="str">
        <f aca="false">IF(ISBLANK($C237),"",AND($AT237,OR($AU237="",$AV237="",AND($AW237,$AX237=""))))</f>
        <v/>
      </c>
      <c r="BO237" s="94" t="str">
        <f aca="false">IF($BZ237&lt;&gt;Constants!$B$8,"",IF($AT237,Constants!$B$21*$AV237+Constants!$B$22*IF($AW237,$AX237,Constants!$B$23),Constants!$B$24))</f>
        <v/>
      </c>
      <c r="BP237" s="97" t="str">
        <f aca="false">IF($BZ237&lt;&gt;Constants!$B$8,"",Constants!$B$25*ABS($AD$9-IF($AT237,$AU237,0)))</f>
        <v/>
      </c>
      <c r="BQ237" s="97" t="str">
        <f aca="false">IF($BZ237&lt;&gt;Constants!$B$8,"",IF(AND($AT237,$AY237,$AW237),Constants!$B$27,0))</f>
        <v/>
      </c>
      <c r="BR237" s="97" t="str">
        <f aca="false">IF($BZ237&lt;&gt;Constants!$B$8,"",IF($AT237,($AI237-Constants!$B$29)*Constants!$B$28,0))</f>
        <v/>
      </c>
      <c r="BS237" s="97" t="str">
        <f aca="false">IF($BZ237&lt;&gt;Constants!$B$8,"",IF($AS237,0,Constants!$B$15)+IF($AR237,0,Constants!$B$16)+IF($AH237,0,Constants!$B$17))</f>
        <v/>
      </c>
      <c r="BT237" s="98" t="str">
        <f aca="false">IF($BZ237&lt;&gt;Constants!$B$8,"",Constants!$B$20+SUM($BO237:$BS237))</f>
        <v/>
      </c>
      <c r="BU237" s="97" t="str">
        <f aca="false">IF($BZ237&lt;&gt;Constants!$B$8,"",$BO237)</f>
        <v/>
      </c>
      <c r="BV237" s="97" t="str">
        <f aca="false">IF($BZ237&lt;&gt;Constants!$B$8,"",$BP237)</f>
        <v/>
      </c>
      <c r="BW237" s="97" t="str">
        <f aca="false">IF($BZ237&lt;&gt;Constants!$B$8,"",IF($AT237,$AV237,""))</f>
        <v/>
      </c>
      <c r="BX237" s="99" t="str">
        <f aca="false">IF($BZ237&lt;&gt;Constants!$B$8,"",$AI237)</f>
        <v/>
      </c>
      <c r="BY237" s="93" t="str">
        <f aca="false">IF(ISBLANK($C237),"",IF(ISBLANK($D$7),$BY$5,IF(NOT(ISNUMBER($D$7)),$BY$6,"")))</f>
        <v/>
      </c>
      <c r="BZ237" s="93" t="str">
        <f aca="false">IF(ISBLANK($C237),"",IF($BA237,Constants!$B$11,IF(COUNTA($E237:$AA237)=0,Constants!$B$10,IF(NOT($AG237),Constants!$B$9,IF(OR($BY237&lt;&gt;"",$BB237,$BN237),Constants!$B$12,Constants!$B$8)))))</f>
        <v/>
      </c>
      <c r="CA237" s="93" t="str">
        <f aca="false">IF(ISBLANK($C237),"",IF($BZ237&lt;&gt;Constants!$B$8,$BZ237,Constants!$B$13))</f>
        <v/>
      </c>
      <c r="CB237" s="97" t="str">
        <f aca="false">IF($BZ237&lt;&gt;Constants!$B$8,"",IF($BM237="-&gt;",$BT237,$BH237))</f>
        <v/>
      </c>
      <c r="CC237" s="97" t="str">
        <f aca="false">IF($BZ237&lt;&gt;Constants!$B$8,"",IF($AF237,0,Constants!$B$18))</f>
        <v/>
      </c>
      <c r="CD237" s="97" t="str">
        <f aca="false">IF($BZ237&lt;&gt;Constants!$B$8,"",((Constants!$B$31-$AZ237)-Constants!$B$31)/Constants!$B$32)</f>
        <v/>
      </c>
      <c r="CE237" s="97" t="str">
        <f aca="false">IF(ISBLANK($C237),"",IF($BZ237&lt;&gt;Constants!$B$8,$BZ237,SUM($CB237:$CD237)))</f>
        <v/>
      </c>
      <c r="CF237" s="93" t="str">
        <f aca="false">IF(ISBLANK($C237),"",IF($BZ237&lt;&gt;Constants!$B$8,$BZ237,RANK($CE237,$CE$9:$CE$508,1)))</f>
        <v/>
      </c>
      <c r="CG237" s="97" t="str">
        <f aca="false">IF($BZ237&lt;&gt;Constants!$B$8,"",IF($BM237="-&gt;",$BU237,$BI237))</f>
        <v/>
      </c>
      <c r="CH237" s="93" t="str">
        <f aca="false">IF(ISBLANK($C237),"",IF($BZ237&lt;&gt;Constants!$B$8,$BZ237,IF(ISNUMBER($CG237),RANK($CG237,$CG$9:$CG$508,1),COUNT($CG$9:$CG$508)+1)))</f>
        <v/>
      </c>
      <c r="CI237" s="97" t="str">
        <f aca="false">IF($BZ237&lt;&gt;Constants!$B$8,"",IF($BM237="-&gt;",$BV237,$BJ237))</f>
        <v/>
      </c>
      <c r="CJ237" s="93" t="str">
        <f aca="false">IF(ISBLANK($C237),"",IF($BZ237&lt;&gt;Constants!$B$8,$BZ237,IF(ISNUMBER($CI237),RANK($CI237,$CI$9:$CI$508,1),COUNT($CI$9:$CI$508)+1)))</f>
        <v/>
      </c>
      <c r="CK237" s="97" t="str">
        <f aca="false">IF($BZ237&lt;&gt;Constants!$B$8,"",IF($BM237="-&gt;",$BW237,$BK237))</f>
        <v/>
      </c>
      <c r="CL237" s="93" t="str">
        <f aca="false">IF(ISBLANK($C237),"",IF($BZ237&lt;&gt;Constants!$B$8,$BZ237,IF(ISNUMBER($CK237),RANK($CK237,$CK$9:$CK$508,1),COUNT($CK$9:$CK$508)+1)))</f>
        <v/>
      </c>
      <c r="CM237" s="97" t="str">
        <f aca="false">IF($BZ237&lt;&gt;Constants!$B$8,"",IF(AND(NOT($AL237),NOT($AT237),$AJ237,$AK237,$AR237,$AS237),"",IF($BM237="-&gt;",$BX237,$BL237)))</f>
        <v/>
      </c>
      <c r="CN237" s="93" t="str">
        <f aca="false">IF(ISBLANK($C237),"",IF($BZ237&lt;&gt;Constants!$B$8,$BZ237,IF(ISNUMBER($CM237),RANK($CM237,$CM$9:$CM$508,1),COUNT($CM$9:$CM$508)+1)))</f>
        <v/>
      </c>
      <c r="CO237" s="93" t="str">
        <f aca="false">IF(ISBLANK($C237),"",IF($BZ237&lt;&gt;Constants!$B$8,$BZ237,COUNTIFS($CF$9:$CF$508,"&lt;"&amp;$CF237)+COUNTIFS($CF$9:$CF$508,$CF237,$CH$9:$CH$508,"&lt;"&amp;$CH237)+COUNTIFS($CF$9:$CF$508,$CF237,$CH$9:$CH$508,$CH237,$CJ$9:$CJ$508,"&lt;"&amp;$CJ237)+COUNTIFS($CF$9:$CF$508,$CF237,$CH$9:$CH$508,$CH237,$CJ$9:$CJ$508,$CJ237,$CL$9:$CL$508,"&lt;"&amp;$CL237)+COUNTIFS($CF$9:$CF$508,$CF237,$CH$9:$CH$508,$CH237,$CJ$9:$CJ$508,$CJ237,$CL$9:$CL$508,$CL237,$CN$9:$CN$508,"&lt;"&amp;$CN237)+1))</f>
        <v/>
      </c>
      <c r="CP237" s="93" t="str">
        <f aca="false">IF(ISBLANK($C237),"",IF($BZ237&lt;&gt;Constants!$B$8,$BZ237,$CF237-$CO237))</f>
        <v/>
      </c>
      <c r="CQ237" s="100"/>
      <c r="CR237" s="101"/>
      <c r="CS237" s="102" t="str">
        <f aca="false">IF(ISBLANK($C237),"",IF($BZ237=Constants!$B$12,$BY237,""))</f>
        <v/>
      </c>
      <c r="CT237" s="101" t="str">
        <f aca="false">IF(ISBLANK($C237),"",IF($BZ237&lt;&gt;Constants!$B$8,"",IF($BM237="-&gt;",2,1)))</f>
        <v/>
      </c>
      <c r="CU237" s="103" t="str">
        <f aca="false">IF(ISBLANK($C237),"",IF($BZ237&lt;&gt;Constants!$B$8,"",IF($BM237="-&gt;",$BO237,$BC237)))</f>
        <v/>
      </c>
      <c r="CV237" s="103" t="str">
        <f aca="false">IF(ISBLANK($C237),"",IF($BZ237&lt;&gt;Constants!$B$8,"",IF($BM237="-&gt;",$BP237,$BD237)))</f>
        <v/>
      </c>
      <c r="CW237" s="103" t="str">
        <f aca="false">IF(ISBLANK($C237),"",IF($BZ237&lt;&gt;Constants!$B$8,"",IF($BM237="-&gt;",$BQ237+$BR237,$BE237+$BF237)+$CD237))</f>
        <v/>
      </c>
      <c r="CX237" s="103" t="str">
        <f aca="false">IF(ISBLANK($C237),"",IF($BZ237&lt;&gt;Constants!$B$8,"",IF($BM237="-&gt;",$BS237,$BG237)+$CC237))</f>
        <v/>
      </c>
      <c r="CY237" s="104" t="str">
        <f aca="false">IF(ISBLANK($C237),"",IF($BZ237&lt;&gt;Constants!$B$8,$BZ237,$CE237))</f>
        <v/>
      </c>
      <c r="CZ237" s="105" t="str">
        <f aca="false">IF(ISBLANK($C237),"",$CA237)</f>
        <v/>
      </c>
      <c r="DA237" s="106" t="str">
        <f aca="false">IF(ISBLANK($C237),"",$CP237)</f>
        <v/>
      </c>
      <c r="DB237" s="106" t="str">
        <f aca="false">IF(ISBLANK($C237),"",$CO237)</f>
        <v/>
      </c>
      <c r="DC237" s="107" t="str">
        <f aca="false">IF(ISBLANK($C237),"",IFERROR(_xlfn.SWITCH($DB237,Constants!$B$11,COUNTA($C$9:$C$508)+2,Constants!$B$10,COUNTA($C$9:$C$508)+1,Constants!$B$9,COUNTA($C$9:$C$508)),$DB237))</f>
        <v/>
      </c>
      <c r="DD237" s="9"/>
      <c r="DE237" s="108" t="n">
        <f aca="false">IF(OR(ISNUMBER($DB237),$DB237=Constants!$B$11,$DB237=Constants!$B$9,$DB237=Constants!$B$10),1,0)</f>
        <v>0</v>
      </c>
      <c r="DF237" s="108" t="n">
        <v>229</v>
      </c>
      <c r="DG237" s="108" t="str">
        <f aca="false">IF(ISBLANK($C237),"",IF(ISNUMBER($DC237),$DC237+ROW($B237)/1000,""))</f>
        <v/>
      </c>
      <c r="DH237" s="108" t="str">
        <f aca="false">IF(ISNUMBER($DG237),RANK($DG237,$DG$9:$DG$508,1),"")</f>
        <v/>
      </c>
      <c r="DI237" s="108" t="str">
        <f aca="false">IF(ISBLANK($C237),"",$B237)</f>
        <v/>
      </c>
      <c r="DJ237" s="108" t="str">
        <f aca="false">IF(ISBLANK($C237),"",$C237)</f>
        <v/>
      </c>
      <c r="DK237" s="108" t="str">
        <f aca="false">IF(ISBLANK($C237),"",$D237)</f>
        <v/>
      </c>
      <c r="DL237" s="109" t="str">
        <f aca="false">$CZ237</f>
        <v/>
      </c>
      <c r="DM237" s="110" t="str">
        <f aca="false">$CY237</f>
        <v/>
      </c>
      <c r="DN237" s="108" t="str">
        <f aca="false">IF(ISBLANK($C237),"",$DB237)</f>
        <v/>
      </c>
      <c r="DO237" s="111" t="str">
        <f aca="false">IF($DF237&gt;$DE$8,"",VLOOKUP($DF237,$DH$9:$DN$508,7,FALSE()))</f>
        <v/>
      </c>
      <c r="DP237" s="112" t="str">
        <f aca="false">IF($DF237&gt;$DE$8,"",VLOOKUP($DF237,$DH$9:$DN$508,2,FALSE()))</f>
        <v/>
      </c>
      <c r="DQ237" s="112" t="str">
        <f aca="false">IF($DF237&gt;$DE$8,"",VLOOKUP($DF237,$DH$9:$DN$508,3,FALSE()))</f>
        <v/>
      </c>
      <c r="DR237" s="112" t="str">
        <f aca="false">IF($DF237&gt;$DE$8,"",VLOOKUP($DF237,$DH$9:$DN$508,4,FALSE()))</f>
        <v/>
      </c>
      <c r="DS237" s="112" t="str">
        <f aca="false">IF($DF237&gt;$DE$8,"",VLOOKUP($DF237,$DH$9:$DN$508,5,FALSE()))</f>
        <v/>
      </c>
      <c r="DT237" s="113" t="str">
        <f aca="false">IF($DF237&gt;$DE$8,"",VLOOKUP($DF237,$DH$9:$DN$508,6,FALSE()))</f>
        <v/>
      </c>
      <c r="DU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IF(ISBLANK($C238),"",IF(E238=Constants!$B$3,TRUE(),IF(E238=Constants!$B$4,FALSE(),TRUE())))</f>
        <v/>
      </c>
      <c r="AG238" s="93" t="str">
        <f aca="false">IF(ISBLANK($C238),"",IF(F238=Constants!$B$3,TRUE(),IF(F238=Constants!$B$4,FALSE(),TRUE())))</f>
        <v/>
      </c>
      <c r="AH238" s="93" t="str">
        <f aca="false">IF(ISBLANK($C238),"",IF(G238=Constants!$B$3,TRUE(),IF(G238=Constants!$B$4,FALSE(),TRUE())))</f>
        <v/>
      </c>
      <c r="AI238" s="93" t="str">
        <f aca="false">IF(ISBLANK($C238),"",IF(AND(ISNUMBER(H238),H238&gt;=0),H238,Constants!$B$29))</f>
        <v/>
      </c>
      <c r="AJ238" s="93" t="str">
        <f aca="false">IF(ISBLANK($C238),"",IF(I238=Constants!$B$3,TRUE(),IF(I238=Constants!$B$4,FALSE(),TRUE())))</f>
        <v/>
      </c>
      <c r="AK238" s="93" t="str">
        <f aca="false">IF(ISBLANK($C238),"",IF(J238=Constants!$B$3,TRUE(),IF(J238=Constants!$B$4,FALSE(),TRUE())))</f>
        <v/>
      </c>
      <c r="AL238" s="93" t="str">
        <f aca="false">IF(ISBLANK($C238),"",IF(K238=Constants!$B$5,TRUE(),IF(K238=Constants!$B$6,FALSE(),COUNTA(L238:P238)&gt;0)))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IF(ISBLANK($C238),"",IF(N238=Constants!$B$3,TRUE(),IF(N238=Constants!$B$4,FALSE(),TRUE())))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IF(ISBLANK($C238),"",IF(P238=Constants!$B$3,TRUE(),IF(P238=Constants!$B$4,FALSE(),FALSE())))</f>
        <v/>
      </c>
      <c r="AR238" s="93" t="str">
        <f aca="false">IF(ISBLANK($C238),"",IF(Q238=Constants!$B$3,TRUE(),IF(Q238=Constants!$B$4,FALSE(),TRUE())))</f>
        <v/>
      </c>
      <c r="AS238" s="93" t="str">
        <f aca="false">IF(ISBLANK($C238),"",IF(R238=Constants!$B$3,TRUE(),IF(R238=Constants!$B$4,FALSE(),TRUE())))</f>
        <v/>
      </c>
      <c r="AT238" s="93" t="str">
        <f aca="false">IF(ISBLANK($C238),"",IF(S238=Constants!$B$5,TRUE(),IF(S238=Constants!$B$6,FALSE(),COUNTA(T238:X238)&gt;0)))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IF(ISBLANK($C238),"",IF(V238=Constants!$B$3,TRUE(),IF(V238=Constants!$B$4,FALSE(),TRUE())))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IF(ISBLANK($C238),"",IF(X238=Constants!$B$3,TRUE(),IF(X238=Constants!$B$4,FALSE(),FALSE())))</f>
        <v/>
      </c>
      <c r="AZ238" s="93" t="str">
        <f aca="false">IF(ISBLANK($C238),"",MIN(Constants!$B$31,MAX(0,IF(ISNUMBER(Y238),Y238*60,0)+IF(ISNUMBER(Z238),Z238,0))))</f>
        <v/>
      </c>
      <c r="BA238" s="93" t="str">
        <f aca="false">IF(ISBLANK($C238),"",IF(AA238=Constants!$B$3,TRUE(),IF(AA238=Constants!$B$4,FALSE(),FALSE())))</f>
        <v/>
      </c>
      <c r="BB238" s="92" t="str">
        <f aca="false">IF(ISBLANK($C238),"",AND($AL238,OR($AM238="",$AN238="",AND($AO238,$AP238=""))))</f>
        <v/>
      </c>
      <c r="BC238" s="94" t="str">
        <f aca="false">IF($BZ238&lt;&gt;Constants!$B$8,"",IF($AL238,Constants!$B$21*$AN238+Constants!$B$22*IF($AO238,$AP238,Constants!$B$23),Constants!$B$24))</f>
        <v/>
      </c>
      <c r="BD238" s="97" t="str">
        <f aca="false">IF($BZ238&lt;&gt;Constants!$B$8,"",Constants!$B$25*ABS($AD$9-IF($AL238,$AM238,0)))</f>
        <v/>
      </c>
      <c r="BE238" s="97" t="str">
        <f aca="false">IF($BZ238&lt;&gt;Constants!$B$8,"",IF(AND($AL238,$AQ238,$AO238),Constants!$B$27,0))</f>
        <v/>
      </c>
      <c r="BF238" s="97" t="str">
        <f aca="false">IF($BZ238&lt;&gt;Constants!$B$8,"",IF($AL238,($AI238-Constants!$B$29)*Constants!$B$28,0))</f>
        <v/>
      </c>
      <c r="BG238" s="97" t="str">
        <f aca="false">IF($BZ238&lt;&gt;Constants!$B$8,"",IF($AK238,0,Constants!$B$15)+IF($AJ238,0,Constants!$B$16)+IF($AH238,0,Constants!$B$17))</f>
        <v/>
      </c>
      <c r="BH238" s="98" t="str">
        <f aca="false">IF($BZ238&lt;&gt;Constants!$B$8,"",Constants!$B$20+SUM($BC238:$BG238))</f>
        <v/>
      </c>
      <c r="BI238" s="97" t="str">
        <f aca="false">IF($BZ238&lt;&gt;Constants!$B$8,"",$BC238)</f>
        <v/>
      </c>
      <c r="BJ238" s="97" t="str">
        <f aca="false">IF($BZ238&lt;&gt;Constants!$B$8,"",$BD238)</f>
        <v/>
      </c>
      <c r="BK238" s="97" t="str">
        <f aca="false">IF($BZ238&lt;&gt;Constants!$B$8,"",IF($AL238,$AN238,""))</f>
        <v/>
      </c>
      <c r="BL238" s="99" t="str">
        <f aca="false">IF($BZ238&lt;&gt;Constants!$B$8,"",$AI238)</f>
        <v/>
      </c>
      <c r="BM238" s="93" t="str">
        <f aca="false">IF($BZ238&lt;&gt;Constants!$B$8,"",IF(OR($BT238&lt;$BH238,AND($BT238=$BH238,OR($BU238&lt;$BI238,AND($BU238=$BI238,OR($BV238&lt;$BJ238,AND($BV238=$BJ238,OR(AND(ISNUMBER($BW238),OR(NOT(ISNUMBER($BK238)),$BW238&lt;$BK238)),AND(OR(AND($BW238="",$BK238=""),AND(ISNUMBER($BW238),ISNUMBER($BK238),$BW238=$BK238)),$BX238&lt;$BL238)))))))),"-&gt;","&lt;-"))</f>
        <v/>
      </c>
      <c r="BN238" s="92" t="str">
        <f aca="false">IF(ISBLANK($C238),"",AND($AT238,OR($AU238="",$AV238="",AND($AW238,$AX238=""))))</f>
        <v/>
      </c>
      <c r="BO238" s="94" t="str">
        <f aca="false">IF($BZ238&lt;&gt;Constants!$B$8,"",IF($AT238,Constants!$B$21*$AV238+Constants!$B$22*IF($AW238,$AX238,Constants!$B$23),Constants!$B$24))</f>
        <v/>
      </c>
      <c r="BP238" s="97" t="str">
        <f aca="false">IF($BZ238&lt;&gt;Constants!$B$8,"",Constants!$B$25*ABS($AD$9-IF($AT238,$AU238,0)))</f>
        <v/>
      </c>
      <c r="BQ238" s="97" t="str">
        <f aca="false">IF($BZ238&lt;&gt;Constants!$B$8,"",IF(AND($AT238,$AY238,$AW238),Constants!$B$27,0))</f>
        <v/>
      </c>
      <c r="BR238" s="97" t="str">
        <f aca="false">IF($BZ238&lt;&gt;Constants!$B$8,"",IF($AT238,($AI238-Constants!$B$29)*Constants!$B$28,0))</f>
        <v/>
      </c>
      <c r="BS238" s="97" t="str">
        <f aca="false">IF($BZ238&lt;&gt;Constants!$B$8,"",IF($AS238,0,Constants!$B$15)+IF($AR238,0,Constants!$B$16)+IF($AH238,0,Constants!$B$17))</f>
        <v/>
      </c>
      <c r="BT238" s="98" t="str">
        <f aca="false">IF($BZ238&lt;&gt;Constants!$B$8,"",Constants!$B$20+SUM($BO238:$BS238))</f>
        <v/>
      </c>
      <c r="BU238" s="97" t="str">
        <f aca="false">IF($BZ238&lt;&gt;Constants!$B$8,"",$BO238)</f>
        <v/>
      </c>
      <c r="BV238" s="97" t="str">
        <f aca="false">IF($BZ238&lt;&gt;Constants!$B$8,"",$BP238)</f>
        <v/>
      </c>
      <c r="BW238" s="97" t="str">
        <f aca="false">IF($BZ238&lt;&gt;Constants!$B$8,"",IF($AT238,$AV238,""))</f>
        <v/>
      </c>
      <c r="BX238" s="99" t="str">
        <f aca="false">IF($BZ238&lt;&gt;Constants!$B$8,"",$AI238)</f>
        <v/>
      </c>
      <c r="BY238" s="93" t="str">
        <f aca="false">IF(ISBLANK($C238),"",IF(ISBLANK($D$7),$BY$5,IF(NOT(ISNUMBER($D$7)),$BY$6,"")))</f>
        <v/>
      </c>
      <c r="BZ238" s="93" t="str">
        <f aca="false">IF(ISBLANK($C238),"",IF($BA238,Constants!$B$11,IF(COUNTA($E238:$AA238)=0,Constants!$B$10,IF(NOT($AG238),Constants!$B$9,IF(OR($BY238&lt;&gt;"",$BB238,$BN238),Constants!$B$12,Constants!$B$8)))))</f>
        <v/>
      </c>
      <c r="CA238" s="93" t="str">
        <f aca="false">IF(ISBLANK($C238),"",IF($BZ238&lt;&gt;Constants!$B$8,$BZ238,Constants!$B$13))</f>
        <v/>
      </c>
      <c r="CB238" s="97" t="str">
        <f aca="false">IF($BZ238&lt;&gt;Constants!$B$8,"",IF($BM238="-&gt;",$BT238,$BH238))</f>
        <v/>
      </c>
      <c r="CC238" s="97" t="str">
        <f aca="false">IF($BZ238&lt;&gt;Constants!$B$8,"",IF($AF238,0,Constants!$B$18))</f>
        <v/>
      </c>
      <c r="CD238" s="97" t="str">
        <f aca="false">IF($BZ238&lt;&gt;Constants!$B$8,"",((Constants!$B$31-$AZ238)-Constants!$B$31)/Constants!$B$32)</f>
        <v/>
      </c>
      <c r="CE238" s="97" t="str">
        <f aca="false">IF(ISBLANK($C238),"",IF($BZ238&lt;&gt;Constants!$B$8,$BZ238,SUM($CB238:$CD238)))</f>
        <v/>
      </c>
      <c r="CF238" s="93" t="str">
        <f aca="false">IF(ISBLANK($C238),"",IF($BZ238&lt;&gt;Constants!$B$8,$BZ238,RANK($CE238,$CE$9:$CE$508,1)))</f>
        <v/>
      </c>
      <c r="CG238" s="97" t="str">
        <f aca="false">IF($BZ238&lt;&gt;Constants!$B$8,"",IF($BM238="-&gt;",$BU238,$BI238))</f>
        <v/>
      </c>
      <c r="CH238" s="93" t="str">
        <f aca="false">IF(ISBLANK($C238),"",IF($BZ238&lt;&gt;Constants!$B$8,$BZ238,IF(ISNUMBER($CG238),RANK($CG238,$CG$9:$CG$508,1),COUNT($CG$9:$CG$508)+1)))</f>
        <v/>
      </c>
      <c r="CI238" s="97" t="str">
        <f aca="false">IF($BZ238&lt;&gt;Constants!$B$8,"",IF($BM238="-&gt;",$BV238,$BJ238))</f>
        <v/>
      </c>
      <c r="CJ238" s="93" t="str">
        <f aca="false">IF(ISBLANK($C238),"",IF($BZ238&lt;&gt;Constants!$B$8,$BZ238,IF(ISNUMBER($CI238),RANK($CI238,$CI$9:$CI$508,1),COUNT($CI$9:$CI$508)+1)))</f>
        <v/>
      </c>
      <c r="CK238" s="97" t="str">
        <f aca="false">IF($BZ238&lt;&gt;Constants!$B$8,"",IF($BM238="-&gt;",$BW238,$BK238))</f>
        <v/>
      </c>
      <c r="CL238" s="93" t="str">
        <f aca="false">IF(ISBLANK($C238),"",IF($BZ238&lt;&gt;Constants!$B$8,$BZ238,IF(ISNUMBER($CK238),RANK($CK238,$CK$9:$CK$508,1),COUNT($CK$9:$CK$508)+1)))</f>
        <v/>
      </c>
      <c r="CM238" s="97" t="str">
        <f aca="false">IF($BZ238&lt;&gt;Constants!$B$8,"",IF(AND(NOT($AL238),NOT($AT238),$AJ238,$AK238,$AR238,$AS238),"",IF($BM238="-&gt;",$BX238,$BL238)))</f>
        <v/>
      </c>
      <c r="CN238" s="93" t="str">
        <f aca="false">IF(ISBLANK($C238),"",IF($BZ238&lt;&gt;Constants!$B$8,$BZ238,IF(ISNUMBER($CM238),RANK($CM238,$CM$9:$CM$508,1),COUNT($CM$9:$CM$508)+1)))</f>
        <v/>
      </c>
      <c r="CO238" s="93" t="str">
        <f aca="false">IF(ISBLANK($C238),"",IF($BZ238&lt;&gt;Constants!$B$8,$BZ238,COUNTIFS($CF$9:$CF$508,"&lt;"&amp;$CF238)+COUNTIFS($CF$9:$CF$508,$CF238,$CH$9:$CH$508,"&lt;"&amp;$CH238)+COUNTIFS($CF$9:$CF$508,$CF238,$CH$9:$CH$508,$CH238,$CJ$9:$CJ$508,"&lt;"&amp;$CJ238)+COUNTIFS($CF$9:$CF$508,$CF238,$CH$9:$CH$508,$CH238,$CJ$9:$CJ$508,$CJ238,$CL$9:$CL$508,"&lt;"&amp;$CL238)+COUNTIFS($CF$9:$CF$508,$CF238,$CH$9:$CH$508,$CH238,$CJ$9:$CJ$508,$CJ238,$CL$9:$CL$508,$CL238,$CN$9:$CN$508,"&lt;"&amp;$CN238)+1))</f>
        <v/>
      </c>
      <c r="CP238" s="93" t="str">
        <f aca="false">IF(ISBLANK($C238),"",IF($BZ238&lt;&gt;Constants!$B$8,$BZ238,$CF238-$CO238))</f>
        <v/>
      </c>
      <c r="CQ238" s="100"/>
      <c r="CR238" s="101"/>
      <c r="CS238" s="102" t="str">
        <f aca="false">IF(ISBLANK($C238),"",IF($BZ238=Constants!$B$12,$BY238,""))</f>
        <v/>
      </c>
      <c r="CT238" s="101" t="str">
        <f aca="false">IF(ISBLANK($C238),"",IF($BZ238&lt;&gt;Constants!$B$8,"",IF($BM238="-&gt;",2,1)))</f>
        <v/>
      </c>
      <c r="CU238" s="103" t="str">
        <f aca="false">IF(ISBLANK($C238),"",IF($BZ238&lt;&gt;Constants!$B$8,"",IF($BM238="-&gt;",$BO238,$BC238)))</f>
        <v/>
      </c>
      <c r="CV238" s="103" t="str">
        <f aca="false">IF(ISBLANK($C238),"",IF($BZ238&lt;&gt;Constants!$B$8,"",IF($BM238="-&gt;",$BP238,$BD238)))</f>
        <v/>
      </c>
      <c r="CW238" s="103" t="str">
        <f aca="false">IF(ISBLANK($C238),"",IF($BZ238&lt;&gt;Constants!$B$8,"",IF($BM238="-&gt;",$BQ238+$BR238,$BE238+$BF238)+$CD238))</f>
        <v/>
      </c>
      <c r="CX238" s="103" t="str">
        <f aca="false">IF(ISBLANK($C238),"",IF($BZ238&lt;&gt;Constants!$B$8,"",IF($BM238="-&gt;",$BS238,$BG238)+$CC238))</f>
        <v/>
      </c>
      <c r="CY238" s="104" t="str">
        <f aca="false">IF(ISBLANK($C238),"",IF($BZ238&lt;&gt;Constants!$B$8,$BZ238,$CE238))</f>
        <v/>
      </c>
      <c r="CZ238" s="105" t="str">
        <f aca="false">IF(ISBLANK($C238),"",$CA238)</f>
        <v/>
      </c>
      <c r="DA238" s="106" t="str">
        <f aca="false">IF(ISBLANK($C238),"",$CP238)</f>
        <v/>
      </c>
      <c r="DB238" s="106" t="str">
        <f aca="false">IF(ISBLANK($C238),"",$CO238)</f>
        <v/>
      </c>
      <c r="DC238" s="107" t="str">
        <f aca="false">IF(ISBLANK($C238),"",IFERROR(_xlfn.SWITCH($DB238,Constants!$B$11,COUNTA($C$9:$C$508)+2,Constants!$B$10,COUNTA($C$9:$C$508)+1,Constants!$B$9,COUNTA($C$9:$C$508)),$DB238))</f>
        <v/>
      </c>
      <c r="DD238" s="9"/>
      <c r="DE238" s="108" t="n">
        <f aca="false">IF(OR(ISNUMBER($DB238),$DB238=Constants!$B$11,$DB238=Constants!$B$9,$DB238=Constants!$B$10),1,0)</f>
        <v>0</v>
      </c>
      <c r="DF238" s="108" t="n">
        <v>230</v>
      </c>
      <c r="DG238" s="108" t="str">
        <f aca="false">IF(ISBLANK($C238),"",IF(ISNUMBER($DC238),$DC238+ROW($B238)/1000,""))</f>
        <v/>
      </c>
      <c r="DH238" s="108" t="str">
        <f aca="false">IF(ISNUMBER($DG238),RANK($DG238,$DG$9:$DG$508,1),"")</f>
        <v/>
      </c>
      <c r="DI238" s="108" t="str">
        <f aca="false">IF(ISBLANK($C238),"",$B238)</f>
        <v/>
      </c>
      <c r="DJ238" s="108" t="str">
        <f aca="false">IF(ISBLANK($C238),"",$C238)</f>
        <v/>
      </c>
      <c r="DK238" s="108" t="str">
        <f aca="false">IF(ISBLANK($C238),"",$D238)</f>
        <v/>
      </c>
      <c r="DL238" s="109" t="str">
        <f aca="false">$CZ238</f>
        <v/>
      </c>
      <c r="DM238" s="110" t="str">
        <f aca="false">$CY238</f>
        <v/>
      </c>
      <c r="DN238" s="108" t="str">
        <f aca="false">IF(ISBLANK($C238),"",$DB238)</f>
        <v/>
      </c>
      <c r="DO238" s="111" t="str">
        <f aca="false">IF($DF238&gt;$DE$8,"",VLOOKUP($DF238,$DH$9:$DN$508,7,FALSE()))</f>
        <v/>
      </c>
      <c r="DP238" s="112" t="str">
        <f aca="false">IF($DF238&gt;$DE$8,"",VLOOKUP($DF238,$DH$9:$DN$508,2,FALSE()))</f>
        <v/>
      </c>
      <c r="DQ238" s="112" t="str">
        <f aca="false">IF($DF238&gt;$DE$8,"",VLOOKUP($DF238,$DH$9:$DN$508,3,FALSE()))</f>
        <v/>
      </c>
      <c r="DR238" s="112" t="str">
        <f aca="false">IF($DF238&gt;$DE$8,"",VLOOKUP($DF238,$DH$9:$DN$508,4,FALSE()))</f>
        <v/>
      </c>
      <c r="DS238" s="112" t="str">
        <f aca="false">IF($DF238&gt;$DE$8,"",VLOOKUP($DF238,$DH$9:$DN$508,5,FALSE()))</f>
        <v/>
      </c>
      <c r="DT238" s="113" t="str">
        <f aca="false">IF($DF238&gt;$DE$8,"",VLOOKUP($DF238,$DH$9:$DN$508,6,FALSE()))</f>
        <v/>
      </c>
      <c r="DU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IF(ISBLANK($C239),"",IF(E239=Constants!$B$3,TRUE(),IF(E239=Constants!$B$4,FALSE(),TRUE())))</f>
        <v/>
      </c>
      <c r="AG239" s="93" t="str">
        <f aca="false">IF(ISBLANK($C239),"",IF(F239=Constants!$B$3,TRUE(),IF(F239=Constants!$B$4,FALSE(),TRUE())))</f>
        <v/>
      </c>
      <c r="AH239" s="93" t="str">
        <f aca="false">IF(ISBLANK($C239),"",IF(G239=Constants!$B$3,TRUE(),IF(G239=Constants!$B$4,FALSE(),TRUE())))</f>
        <v/>
      </c>
      <c r="AI239" s="93" t="str">
        <f aca="false">IF(ISBLANK($C239),"",IF(AND(ISNUMBER(H239),H239&gt;=0),H239,Constants!$B$29))</f>
        <v/>
      </c>
      <c r="AJ239" s="93" t="str">
        <f aca="false">IF(ISBLANK($C239),"",IF(I239=Constants!$B$3,TRUE(),IF(I239=Constants!$B$4,FALSE(),TRUE())))</f>
        <v/>
      </c>
      <c r="AK239" s="93" t="str">
        <f aca="false">IF(ISBLANK($C239),"",IF(J239=Constants!$B$3,TRUE(),IF(J239=Constants!$B$4,FALSE(),TRUE())))</f>
        <v/>
      </c>
      <c r="AL239" s="93" t="str">
        <f aca="false">IF(ISBLANK($C239),"",IF(K239=Constants!$B$5,TRUE(),IF(K239=Constants!$B$6,FALSE(),COUNTA(L239:P239)&gt;0)))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IF(ISBLANK($C239),"",IF(N239=Constants!$B$3,TRUE(),IF(N239=Constants!$B$4,FALSE(),TRUE())))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IF(ISBLANK($C239),"",IF(P239=Constants!$B$3,TRUE(),IF(P239=Constants!$B$4,FALSE(),FALSE())))</f>
        <v/>
      </c>
      <c r="AR239" s="93" t="str">
        <f aca="false">IF(ISBLANK($C239),"",IF(Q239=Constants!$B$3,TRUE(),IF(Q239=Constants!$B$4,FALSE(),TRUE())))</f>
        <v/>
      </c>
      <c r="AS239" s="93" t="str">
        <f aca="false">IF(ISBLANK($C239),"",IF(R239=Constants!$B$3,TRUE(),IF(R239=Constants!$B$4,FALSE(),TRUE())))</f>
        <v/>
      </c>
      <c r="AT239" s="93" t="str">
        <f aca="false">IF(ISBLANK($C239),"",IF(S239=Constants!$B$5,TRUE(),IF(S239=Constants!$B$6,FALSE(),COUNTA(T239:X239)&gt;0)))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IF(ISBLANK($C239),"",IF(V239=Constants!$B$3,TRUE(),IF(V239=Constants!$B$4,FALSE(),TRUE())))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IF(ISBLANK($C239),"",IF(X239=Constants!$B$3,TRUE(),IF(X239=Constants!$B$4,FALSE(),FALSE())))</f>
        <v/>
      </c>
      <c r="AZ239" s="93" t="str">
        <f aca="false">IF(ISBLANK($C239),"",MIN(Constants!$B$31,MAX(0,IF(ISNUMBER(Y239),Y239*60,0)+IF(ISNUMBER(Z239),Z239,0))))</f>
        <v/>
      </c>
      <c r="BA239" s="93" t="str">
        <f aca="false">IF(ISBLANK($C239),"",IF(AA239=Constants!$B$3,TRUE(),IF(AA239=Constants!$B$4,FALSE(),FALSE())))</f>
        <v/>
      </c>
      <c r="BB239" s="92" t="str">
        <f aca="false">IF(ISBLANK($C239),"",AND($AL239,OR($AM239="",$AN239="",AND($AO239,$AP239=""))))</f>
        <v/>
      </c>
      <c r="BC239" s="94" t="str">
        <f aca="false">IF($BZ239&lt;&gt;Constants!$B$8,"",IF($AL239,Constants!$B$21*$AN239+Constants!$B$22*IF($AO239,$AP239,Constants!$B$23),Constants!$B$24))</f>
        <v/>
      </c>
      <c r="BD239" s="97" t="str">
        <f aca="false">IF($BZ239&lt;&gt;Constants!$B$8,"",Constants!$B$25*ABS($AD$9-IF($AL239,$AM239,0)))</f>
        <v/>
      </c>
      <c r="BE239" s="97" t="str">
        <f aca="false">IF($BZ239&lt;&gt;Constants!$B$8,"",IF(AND($AL239,$AQ239,$AO239),Constants!$B$27,0))</f>
        <v/>
      </c>
      <c r="BF239" s="97" t="str">
        <f aca="false">IF($BZ239&lt;&gt;Constants!$B$8,"",IF($AL239,($AI239-Constants!$B$29)*Constants!$B$28,0))</f>
        <v/>
      </c>
      <c r="BG239" s="97" t="str">
        <f aca="false">IF($BZ239&lt;&gt;Constants!$B$8,"",IF($AK239,0,Constants!$B$15)+IF($AJ239,0,Constants!$B$16)+IF($AH239,0,Constants!$B$17))</f>
        <v/>
      </c>
      <c r="BH239" s="98" t="str">
        <f aca="false">IF($BZ239&lt;&gt;Constants!$B$8,"",Constants!$B$20+SUM($BC239:$BG239))</f>
        <v/>
      </c>
      <c r="BI239" s="97" t="str">
        <f aca="false">IF($BZ239&lt;&gt;Constants!$B$8,"",$BC239)</f>
        <v/>
      </c>
      <c r="BJ239" s="97" t="str">
        <f aca="false">IF($BZ239&lt;&gt;Constants!$B$8,"",$BD239)</f>
        <v/>
      </c>
      <c r="BK239" s="97" t="str">
        <f aca="false">IF($BZ239&lt;&gt;Constants!$B$8,"",IF($AL239,$AN239,""))</f>
        <v/>
      </c>
      <c r="BL239" s="99" t="str">
        <f aca="false">IF($BZ239&lt;&gt;Constants!$B$8,"",$AI239)</f>
        <v/>
      </c>
      <c r="BM239" s="93" t="str">
        <f aca="false">IF($BZ239&lt;&gt;Constants!$B$8,"",IF(OR($BT239&lt;$BH239,AND($BT239=$BH239,OR($BU239&lt;$BI239,AND($BU239=$BI239,OR($BV239&lt;$BJ239,AND($BV239=$BJ239,OR(AND(ISNUMBER($BW239),OR(NOT(ISNUMBER($BK239)),$BW239&lt;$BK239)),AND(OR(AND($BW239="",$BK239=""),AND(ISNUMBER($BW239),ISNUMBER($BK239),$BW239=$BK239)),$BX239&lt;$BL239)))))))),"-&gt;","&lt;-"))</f>
        <v/>
      </c>
      <c r="BN239" s="92" t="str">
        <f aca="false">IF(ISBLANK($C239),"",AND($AT239,OR($AU239="",$AV239="",AND($AW239,$AX239=""))))</f>
        <v/>
      </c>
      <c r="BO239" s="94" t="str">
        <f aca="false">IF($BZ239&lt;&gt;Constants!$B$8,"",IF($AT239,Constants!$B$21*$AV239+Constants!$B$22*IF($AW239,$AX239,Constants!$B$23),Constants!$B$24))</f>
        <v/>
      </c>
      <c r="BP239" s="97" t="str">
        <f aca="false">IF($BZ239&lt;&gt;Constants!$B$8,"",Constants!$B$25*ABS($AD$9-IF($AT239,$AU239,0)))</f>
        <v/>
      </c>
      <c r="BQ239" s="97" t="str">
        <f aca="false">IF($BZ239&lt;&gt;Constants!$B$8,"",IF(AND($AT239,$AY239,$AW239),Constants!$B$27,0))</f>
        <v/>
      </c>
      <c r="BR239" s="97" t="str">
        <f aca="false">IF($BZ239&lt;&gt;Constants!$B$8,"",IF($AT239,($AI239-Constants!$B$29)*Constants!$B$28,0))</f>
        <v/>
      </c>
      <c r="BS239" s="97" t="str">
        <f aca="false">IF($BZ239&lt;&gt;Constants!$B$8,"",IF($AS239,0,Constants!$B$15)+IF($AR239,0,Constants!$B$16)+IF($AH239,0,Constants!$B$17))</f>
        <v/>
      </c>
      <c r="BT239" s="98" t="str">
        <f aca="false">IF($BZ239&lt;&gt;Constants!$B$8,"",Constants!$B$20+SUM($BO239:$BS239))</f>
        <v/>
      </c>
      <c r="BU239" s="97" t="str">
        <f aca="false">IF($BZ239&lt;&gt;Constants!$B$8,"",$BO239)</f>
        <v/>
      </c>
      <c r="BV239" s="97" t="str">
        <f aca="false">IF($BZ239&lt;&gt;Constants!$B$8,"",$BP239)</f>
        <v/>
      </c>
      <c r="BW239" s="97" t="str">
        <f aca="false">IF($BZ239&lt;&gt;Constants!$B$8,"",IF($AT239,$AV239,""))</f>
        <v/>
      </c>
      <c r="BX239" s="99" t="str">
        <f aca="false">IF($BZ239&lt;&gt;Constants!$B$8,"",$AI239)</f>
        <v/>
      </c>
      <c r="BY239" s="93" t="str">
        <f aca="false">IF(ISBLANK($C239),"",IF(ISBLANK($D$7),$BY$5,IF(NOT(ISNUMBER($D$7)),$BY$6,"")))</f>
        <v/>
      </c>
      <c r="BZ239" s="93" t="str">
        <f aca="false">IF(ISBLANK($C239),"",IF($BA239,Constants!$B$11,IF(COUNTA($E239:$AA239)=0,Constants!$B$10,IF(NOT($AG239),Constants!$B$9,IF(OR($BY239&lt;&gt;"",$BB239,$BN239),Constants!$B$12,Constants!$B$8)))))</f>
        <v/>
      </c>
      <c r="CA239" s="93" t="str">
        <f aca="false">IF(ISBLANK($C239),"",IF($BZ239&lt;&gt;Constants!$B$8,$BZ239,Constants!$B$13))</f>
        <v/>
      </c>
      <c r="CB239" s="97" t="str">
        <f aca="false">IF($BZ239&lt;&gt;Constants!$B$8,"",IF($BM239="-&gt;",$BT239,$BH239))</f>
        <v/>
      </c>
      <c r="CC239" s="97" t="str">
        <f aca="false">IF($BZ239&lt;&gt;Constants!$B$8,"",IF($AF239,0,Constants!$B$18))</f>
        <v/>
      </c>
      <c r="CD239" s="97" t="str">
        <f aca="false">IF($BZ239&lt;&gt;Constants!$B$8,"",((Constants!$B$31-$AZ239)-Constants!$B$31)/Constants!$B$32)</f>
        <v/>
      </c>
      <c r="CE239" s="97" t="str">
        <f aca="false">IF(ISBLANK($C239),"",IF($BZ239&lt;&gt;Constants!$B$8,$BZ239,SUM($CB239:$CD239)))</f>
        <v/>
      </c>
      <c r="CF239" s="93" t="str">
        <f aca="false">IF(ISBLANK($C239),"",IF($BZ239&lt;&gt;Constants!$B$8,$BZ239,RANK($CE239,$CE$9:$CE$508,1)))</f>
        <v/>
      </c>
      <c r="CG239" s="97" t="str">
        <f aca="false">IF($BZ239&lt;&gt;Constants!$B$8,"",IF($BM239="-&gt;",$BU239,$BI239))</f>
        <v/>
      </c>
      <c r="CH239" s="93" t="str">
        <f aca="false">IF(ISBLANK($C239),"",IF($BZ239&lt;&gt;Constants!$B$8,$BZ239,IF(ISNUMBER($CG239),RANK($CG239,$CG$9:$CG$508,1),COUNT($CG$9:$CG$508)+1)))</f>
        <v/>
      </c>
      <c r="CI239" s="97" t="str">
        <f aca="false">IF($BZ239&lt;&gt;Constants!$B$8,"",IF($BM239="-&gt;",$BV239,$BJ239))</f>
        <v/>
      </c>
      <c r="CJ239" s="93" t="str">
        <f aca="false">IF(ISBLANK($C239),"",IF($BZ239&lt;&gt;Constants!$B$8,$BZ239,IF(ISNUMBER($CI239),RANK($CI239,$CI$9:$CI$508,1),COUNT($CI$9:$CI$508)+1)))</f>
        <v/>
      </c>
      <c r="CK239" s="97" t="str">
        <f aca="false">IF($BZ239&lt;&gt;Constants!$B$8,"",IF($BM239="-&gt;",$BW239,$BK239))</f>
        <v/>
      </c>
      <c r="CL239" s="93" t="str">
        <f aca="false">IF(ISBLANK($C239),"",IF($BZ239&lt;&gt;Constants!$B$8,$BZ239,IF(ISNUMBER($CK239),RANK($CK239,$CK$9:$CK$508,1),COUNT($CK$9:$CK$508)+1)))</f>
        <v/>
      </c>
      <c r="CM239" s="97" t="str">
        <f aca="false">IF($BZ239&lt;&gt;Constants!$B$8,"",IF(AND(NOT($AL239),NOT($AT239),$AJ239,$AK239,$AR239,$AS239),"",IF($BM239="-&gt;",$BX239,$BL239)))</f>
        <v/>
      </c>
      <c r="CN239" s="93" t="str">
        <f aca="false">IF(ISBLANK($C239),"",IF($BZ239&lt;&gt;Constants!$B$8,$BZ239,IF(ISNUMBER($CM239),RANK($CM239,$CM$9:$CM$508,1),COUNT($CM$9:$CM$508)+1)))</f>
        <v/>
      </c>
      <c r="CO239" s="93" t="str">
        <f aca="false">IF(ISBLANK($C239),"",IF($BZ239&lt;&gt;Constants!$B$8,$BZ239,COUNTIFS($CF$9:$CF$508,"&lt;"&amp;$CF239)+COUNTIFS($CF$9:$CF$508,$CF239,$CH$9:$CH$508,"&lt;"&amp;$CH239)+COUNTIFS($CF$9:$CF$508,$CF239,$CH$9:$CH$508,$CH239,$CJ$9:$CJ$508,"&lt;"&amp;$CJ239)+COUNTIFS($CF$9:$CF$508,$CF239,$CH$9:$CH$508,$CH239,$CJ$9:$CJ$508,$CJ239,$CL$9:$CL$508,"&lt;"&amp;$CL239)+COUNTIFS($CF$9:$CF$508,$CF239,$CH$9:$CH$508,$CH239,$CJ$9:$CJ$508,$CJ239,$CL$9:$CL$508,$CL239,$CN$9:$CN$508,"&lt;"&amp;$CN239)+1))</f>
        <v/>
      </c>
      <c r="CP239" s="93" t="str">
        <f aca="false">IF(ISBLANK($C239),"",IF($BZ239&lt;&gt;Constants!$B$8,$BZ239,$CF239-$CO239))</f>
        <v/>
      </c>
      <c r="CQ239" s="100"/>
      <c r="CR239" s="101"/>
      <c r="CS239" s="102" t="str">
        <f aca="false">IF(ISBLANK($C239),"",IF($BZ239=Constants!$B$12,$BY239,""))</f>
        <v/>
      </c>
      <c r="CT239" s="101" t="str">
        <f aca="false">IF(ISBLANK($C239),"",IF($BZ239&lt;&gt;Constants!$B$8,"",IF($BM239="-&gt;",2,1)))</f>
        <v/>
      </c>
      <c r="CU239" s="103" t="str">
        <f aca="false">IF(ISBLANK($C239),"",IF($BZ239&lt;&gt;Constants!$B$8,"",IF($BM239="-&gt;",$BO239,$BC239)))</f>
        <v/>
      </c>
      <c r="CV239" s="103" t="str">
        <f aca="false">IF(ISBLANK($C239),"",IF($BZ239&lt;&gt;Constants!$B$8,"",IF($BM239="-&gt;",$BP239,$BD239)))</f>
        <v/>
      </c>
      <c r="CW239" s="103" t="str">
        <f aca="false">IF(ISBLANK($C239),"",IF($BZ239&lt;&gt;Constants!$B$8,"",IF($BM239="-&gt;",$BQ239+$BR239,$BE239+$BF239)+$CD239))</f>
        <v/>
      </c>
      <c r="CX239" s="103" t="str">
        <f aca="false">IF(ISBLANK($C239),"",IF($BZ239&lt;&gt;Constants!$B$8,"",IF($BM239="-&gt;",$BS239,$BG239)+$CC239))</f>
        <v/>
      </c>
      <c r="CY239" s="104" t="str">
        <f aca="false">IF(ISBLANK($C239),"",IF($BZ239&lt;&gt;Constants!$B$8,$BZ239,$CE239))</f>
        <v/>
      </c>
      <c r="CZ239" s="105" t="str">
        <f aca="false">IF(ISBLANK($C239),"",$CA239)</f>
        <v/>
      </c>
      <c r="DA239" s="106" t="str">
        <f aca="false">IF(ISBLANK($C239),"",$CP239)</f>
        <v/>
      </c>
      <c r="DB239" s="106" t="str">
        <f aca="false">IF(ISBLANK($C239),"",$CO239)</f>
        <v/>
      </c>
      <c r="DC239" s="107" t="str">
        <f aca="false">IF(ISBLANK($C239),"",IFERROR(_xlfn.SWITCH($DB239,Constants!$B$11,COUNTA($C$9:$C$508)+2,Constants!$B$10,COUNTA($C$9:$C$508)+1,Constants!$B$9,COUNTA($C$9:$C$508)),$DB239))</f>
        <v/>
      </c>
      <c r="DD239" s="9"/>
      <c r="DE239" s="108" t="n">
        <f aca="false">IF(OR(ISNUMBER($DB239),$DB239=Constants!$B$11,$DB239=Constants!$B$9,$DB239=Constants!$B$10),1,0)</f>
        <v>0</v>
      </c>
      <c r="DF239" s="108" t="n">
        <v>231</v>
      </c>
      <c r="DG239" s="108" t="str">
        <f aca="false">IF(ISBLANK($C239),"",IF(ISNUMBER($DC239),$DC239+ROW($B239)/1000,""))</f>
        <v/>
      </c>
      <c r="DH239" s="108" t="str">
        <f aca="false">IF(ISNUMBER($DG239),RANK($DG239,$DG$9:$DG$508,1),"")</f>
        <v/>
      </c>
      <c r="DI239" s="108" t="str">
        <f aca="false">IF(ISBLANK($C239),"",$B239)</f>
        <v/>
      </c>
      <c r="DJ239" s="108" t="str">
        <f aca="false">IF(ISBLANK($C239),"",$C239)</f>
        <v/>
      </c>
      <c r="DK239" s="108" t="str">
        <f aca="false">IF(ISBLANK($C239),"",$D239)</f>
        <v/>
      </c>
      <c r="DL239" s="109" t="str">
        <f aca="false">$CZ239</f>
        <v/>
      </c>
      <c r="DM239" s="110" t="str">
        <f aca="false">$CY239</f>
        <v/>
      </c>
      <c r="DN239" s="108" t="str">
        <f aca="false">IF(ISBLANK($C239),"",$DB239)</f>
        <v/>
      </c>
      <c r="DO239" s="111" t="str">
        <f aca="false">IF($DF239&gt;$DE$8,"",VLOOKUP($DF239,$DH$9:$DN$508,7,FALSE()))</f>
        <v/>
      </c>
      <c r="DP239" s="112" t="str">
        <f aca="false">IF($DF239&gt;$DE$8,"",VLOOKUP($DF239,$DH$9:$DN$508,2,FALSE()))</f>
        <v/>
      </c>
      <c r="DQ239" s="112" t="str">
        <f aca="false">IF($DF239&gt;$DE$8,"",VLOOKUP($DF239,$DH$9:$DN$508,3,FALSE()))</f>
        <v/>
      </c>
      <c r="DR239" s="112" t="str">
        <f aca="false">IF($DF239&gt;$DE$8,"",VLOOKUP($DF239,$DH$9:$DN$508,4,FALSE()))</f>
        <v/>
      </c>
      <c r="DS239" s="112" t="str">
        <f aca="false">IF($DF239&gt;$DE$8,"",VLOOKUP($DF239,$DH$9:$DN$508,5,FALSE()))</f>
        <v/>
      </c>
      <c r="DT239" s="113" t="str">
        <f aca="false">IF($DF239&gt;$DE$8,"",VLOOKUP($DF239,$DH$9:$DN$508,6,FALSE()))</f>
        <v/>
      </c>
      <c r="DU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IF(ISBLANK($C240),"",IF(E240=Constants!$B$3,TRUE(),IF(E240=Constants!$B$4,FALSE(),TRUE())))</f>
        <v/>
      </c>
      <c r="AG240" s="135" t="str">
        <f aca="false">IF(ISBLANK($C240),"",IF(F240=Constants!$B$3,TRUE(),IF(F240=Constants!$B$4,FALSE(),TRUE())))</f>
        <v/>
      </c>
      <c r="AH240" s="135" t="str">
        <f aca="false">IF(ISBLANK($C240),"",IF(G240=Constants!$B$3,TRUE(),IF(G240=Constants!$B$4,FALSE(),TRUE())))</f>
        <v/>
      </c>
      <c r="AI240" s="135" t="str">
        <f aca="false">IF(ISBLANK($C240),"",IF(AND(ISNUMBER(H240),H240&gt;=0),H240,Constants!$B$29))</f>
        <v/>
      </c>
      <c r="AJ240" s="135" t="str">
        <f aca="false">IF(ISBLANK($C240),"",IF(I240=Constants!$B$3,TRUE(),IF(I240=Constants!$B$4,FALSE(),TRUE())))</f>
        <v/>
      </c>
      <c r="AK240" s="135" t="str">
        <f aca="false">IF(ISBLANK($C240),"",IF(J240=Constants!$B$3,TRUE(),IF(J240=Constants!$B$4,FALSE(),TRUE())))</f>
        <v/>
      </c>
      <c r="AL240" s="135" t="str">
        <f aca="false">IF(ISBLANK($C240),"",IF(K240=Constants!$B$5,TRUE(),IF(K240=Constants!$B$6,FALSE(),COUNTA(L240:P240)&gt;0)))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IF(ISBLANK($C240),"",IF(N240=Constants!$B$3,TRUE(),IF(N240=Constants!$B$4,FALSE(),TRUE())))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IF(ISBLANK($C240),"",IF(P240=Constants!$B$3,TRUE(),IF(P240=Constants!$B$4,FALSE(),FALSE())))</f>
        <v/>
      </c>
      <c r="AR240" s="135" t="str">
        <f aca="false">IF(ISBLANK($C240),"",IF(Q240=Constants!$B$3,TRUE(),IF(Q240=Constants!$B$4,FALSE(),TRUE())))</f>
        <v/>
      </c>
      <c r="AS240" s="135" t="str">
        <f aca="false">IF(ISBLANK($C240),"",IF(R240=Constants!$B$3,TRUE(),IF(R240=Constants!$B$4,FALSE(),TRUE())))</f>
        <v/>
      </c>
      <c r="AT240" s="135" t="str">
        <f aca="false">IF(ISBLANK($C240),"",IF(S240=Constants!$B$5,TRUE(),IF(S240=Constants!$B$6,FALSE(),COUNTA(T240:X240)&gt;0)))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IF(ISBLANK($C240),"",IF(V240=Constants!$B$3,TRUE(),IF(V240=Constants!$B$4,FALSE(),TRUE())))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IF(ISBLANK($C240),"",IF(X240=Constants!$B$3,TRUE(),IF(X240=Constants!$B$4,FALSE(),FALSE())))</f>
        <v/>
      </c>
      <c r="AZ240" s="135" t="str">
        <f aca="false">IF(ISBLANK($C240),"",MIN(Constants!$B$31,MAX(0,IF(ISNUMBER(Y240),Y240*60,0)+IF(ISNUMBER(Z240),Z240,0))))</f>
        <v/>
      </c>
      <c r="BA240" s="135" t="str">
        <f aca="false">IF(ISBLANK($C240),"",IF(AA240=Constants!$B$3,TRUE(),IF(AA240=Constants!$B$4,FALSE(),FALSE())))</f>
        <v/>
      </c>
      <c r="BB240" s="134" t="str">
        <f aca="false">IF(ISBLANK($C240),"",AND($AL240,OR($AM240="",$AN240="",AND($AO240,$AP240=""))))</f>
        <v/>
      </c>
      <c r="BC240" s="137" t="str">
        <f aca="false">IF($BZ240&lt;&gt;Constants!$B$8,"",IF($AL240,Constants!$B$21*$AN240+Constants!$B$22*IF($AO240,$AP240,Constants!$B$23),Constants!$B$24))</f>
        <v/>
      </c>
      <c r="BD240" s="138" t="str">
        <f aca="false">IF($BZ240&lt;&gt;Constants!$B$8,"",Constants!$B$25*ABS($AD$9-IF($AL240,$AM240,0)))</f>
        <v/>
      </c>
      <c r="BE240" s="138" t="str">
        <f aca="false">IF($BZ240&lt;&gt;Constants!$B$8,"",IF(AND($AL240,$AQ240,$AO240),Constants!$B$27,0))</f>
        <v/>
      </c>
      <c r="BF240" s="138" t="str">
        <f aca="false">IF($BZ240&lt;&gt;Constants!$B$8,"",IF($AL240,($AI240-Constants!$B$29)*Constants!$B$28,0))</f>
        <v/>
      </c>
      <c r="BG240" s="138" t="str">
        <f aca="false">IF($BZ240&lt;&gt;Constants!$B$8,"",IF($AK240,0,Constants!$B$15)+IF($AJ240,0,Constants!$B$16)+IF($AH240,0,Constants!$B$17))</f>
        <v/>
      </c>
      <c r="BH240" s="139" t="str">
        <f aca="false">IF($BZ240&lt;&gt;Constants!$B$8,"",Constants!$B$20+SUM($BC240:$BG240))</f>
        <v/>
      </c>
      <c r="BI240" s="138" t="str">
        <f aca="false">IF($BZ240&lt;&gt;Constants!$B$8,"",$BC240)</f>
        <v/>
      </c>
      <c r="BJ240" s="138" t="str">
        <f aca="false">IF($BZ240&lt;&gt;Constants!$B$8,"",$BD240)</f>
        <v/>
      </c>
      <c r="BK240" s="138" t="str">
        <f aca="false">IF($BZ240&lt;&gt;Constants!$B$8,"",IF($AL240,$AN240,""))</f>
        <v/>
      </c>
      <c r="BL240" s="140" t="str">
        <f aca="false">IF($BZ240&lt;&gt;Constants!$B$8,"",$AI240)</f>
        <v/>
      </c>
      <c r="BM240" s="135" t="str">
        <f aca="false">IF($BZ240&lt;&gt;Constants!$B$8,"",IF(OR($BT240&lt;$BH240,AND($BT240=$BH240,OR($BU240&lt;$BI240,AND($BU240=$BI240,OR($BV240&lt;$BJ240,AND($BV240=$BJ240,OR(AND(ISNUMBER($BW240),OR(NOT(ISNUMBER($BK240)),$BW240&lt;$BK240)),AND(OR(AND($BW240="",$BK240=""),AND(ISNUMBER($BW240),ISNUMBER($BK240),$BW240=$BK240)),$BX240&lt;$BL240)))))))),"-&gt;","&lt;-"))</f>
        <v/>
      </c>
      <c r="BN240" s="134" t="str">
        <f aca="false">IF(ISBLANK($C240),"",AND($AT240,OR($AU240="",$AV240="",AND($AW240,$AX240=""))))</f>
        <v/>
      </c>
      <c r="BO240" s="137" t="str">
        <f aca="false">IF($BZ240&lt;&gt;Constants!$B$8,"",IF($AT240,Constants!$B$21*$AV240+Constants!$B$22*IF($AW240,$AX240,Constants!$B$23),Constants!$B$24))</f>
        <v/>
      </c>
      <c r="BP240" s="138" t="str">
        <f aca="false">IF($BZ240&lt;&gt;Constants!$B$8,"",Constants!$B$25*ABS($AD$9-IF($AT240,$AU240,0)))</f>
        <v/>
      </c>
      <c r="BQ240" s="138" t="str">
        <f aca="false">IF($BZ240&lt;&gt;Constants!$B$8,"",IF(AND($AT240,$AY240,$AW240),Constants!$B$27,0))</f>
        <v/>
      </c>
      <c r="BR240" s="138" t="str">
        <f aca="false">IF($BZ240&lt;&gt;Constants!$B$8,"",IF($AT240,($AI240-Constants!$B$29)*Constants!$B$28,0))</f>
        <v/>
      </c>
      <c r="BS240" s="138" t="str">
        <f aca="false">IF($BZ240&lt;&gt;Constants!$B$8,"",IF($AS240,0,Constants!$B$15)+IF($AR240,0,Constants!$B$16)+IF($AH240,0,Constants!$B$17))</f>
        <v/>
      </c>
      <c r="BT240" s="139" t="str">
        <f aca="false">IF($BZ240&lt;&gt;Constants!$B$8,"",Constants!$B$20+SUM($BO240:$BS240))</f>
        <v/>
      </c>
      <c r="BU240" s="138" t="str">
        <f aca="false">IF($BZ240&lt;&gt;Constants!$B$8,"",$BO240)</f>
        <v/>
      </c>
      <c r="BV240" s="138" t="str">
        <f aca="false">IF($BZ240&lt;&gt;Constants!$B$8,"",$BP240)</f>
        <v/>
      </c>
      <c r="BW240" s="138" t="str">
        <f aca="false">IF($BZ240&lt;&gt;Constants!$B$8,"",IF($AT240,$AV240,""))</f>
        <v/>
      </c>
      <c r="BX240" s="140" t="str">
        <f aca="false">IF($BZ240&lt;&gt;Constants!$B$8,"",$AI240)</f>
        <v/>
      </c>
      <c r="BY240" s="135" t="str">
        <f aca="false">IF(ISBLANK($C240),"",IF(ISBLANK($D$7),$BY$5,IF(NOT(ISNUMBER($D$7)),$BY$6,"")))</f>
        <v/>
      </c>
      <c r="BZ240" s="135" t="str">
        <f aca="false">IF(ISBLANK($C240),"",IF($BA240,Constants!$B$11,IF(COUNTA($E240:$AA240)=0,Constants!$B$10,IF(NOT($AG240),Constants!$B$9,IF(OR($BY240&lt;&gt;"",$BB240,$BN240),Constants!$B$12,Constants!$B$8)))))</f>
        <v/>
      </c>
      <c r="CA240" s="135" t="str">
        <f aca="false">IF(ISBLANK($C240),"",IF($BZ240&lt;&gt;Constants!$B$8,$BZ240,Constants!$B$13))</f>
        <v/>
      </c>
      <c r="CB240" s="138" t="str">
        <f aca="false">IF($BZ240&lt;&gt;Constants!$B$8,"",IF($BM240="-&gt;",$BT240,$BH240))</f>
        <v/>
      </c>
      <c r="CC240" s="138" t="str">
        <f aca="false">IF($BZ240&lt;&gt;Constants!$B$8,"",IF($AF240,0,Constants!$B$18))</f>
        <v/>
      </c>
      <c r="CD240" s="138" t="str">
        <f aca="false">IF($BZ240&lt;&gt;Constants!$B$8,"",((Constants!$B$31-$AZ240)-Constants!$B$31)/Constants!$B$32)</f>
        <v/>
      </c>
      <c r="CE240" s="138" t="str">
        <f aca="false">IF(ISBLANK($C240),"",IF($BZ240&lt;&gt;Constants!$B$8,$BZ240,SUM($CB240:$CD240)))</f>
        <v/>
      </c>
      <c r="CF240" s="135" t="str">
        <f aca="false">IF(ISBLANK($C240),"",IF($BZ240&lt;&gt;Constants!$B$8,$BZ240,RANK($CE240,$CE$9:$CE$508,1)))</f>
        <v/>
      </c>
      <c r="CG240" s="138" t="str">
        <f aca="false">IF($BZ240&lt;&gt;Constants!$B$8,"",IF($BM240="-&gt;",$BU240,$BI240))</f>
        <v/>
      </c>
      <c r="CH240" s="135" t="str">
        <f aca="false">IF(ISBLANK($C240),"",IF($BZ240&lt;&gt;Constants!$B$8,$BZ240,IF(ISNUMBER($CG240),RANK($CG240,$CG$9:$CG$508,1),COUNT($CG$9:$CG$508)+1)))</f>
        <v/>
      </c>
      <c r="CI240" s="138" t="str">
        <f aca="false">IF($BZ240&lt;&gt;Constants!$B$8,"",IF($BM240="-&gt;",$BV240,$BJ240))</f>
        <v/>
      </c>
      <c r="CJ240" s="135" t="str">
        <f aca="false">IF(ISBLANK($C240),"",IF($BZ240&lt;&gt;Constants!$B$8,$BZ240,IF(ISNUMBER($CI240),RANK($CI240,$CI$9:$CI$508,1),COUNT($CI$9:$CI$508)+1)))</f>
        <v/>
      </c>
      <c r="CK240" s="138" t="str">
        <f aca="false">IF($BZ240&lt;&gt;Constants!$B$8,"",IF($BM240="-&gt;",$BW240,$BK240))</f>
        <v/>
      </c>
      <c r="CL240" s="135" t="str">
        <f aca="false">IF(ISBLANK($C240),"",IF($BZ240&lt;&gt;Constants!$B$8,$BZ240,IF(ISNUMBER($CK240),RANK($CK240,$CK$9:$CK$508,1),COUNT($CK$9:$CK$508)+1)))</f>
        <v/>
      </c>
      <c r="CM240" s="138" t="str">
        <f aca="false">IF($BZ240&lt;&gt;Constants!$B$8,"",IF(AND(NOT($AL240),NOT($AT240),$AJ240,$AK240,$AR240,$AS240),"",IF($BM240="-&gt;",$BX240,$BL240)))</f>
        <v/>
      </c>
      <c r="CN240" s="135" t="str">
        <f aca="false">IF(ISBLANK($C240),"",IF($BZ240&lt;&gt;Constants!$B$8,$BZ240,IF(ISNUMBER($CM240),RANK($CM240,$CM$9:$CM$508,1),COUNT($CM$9:$CM$508)+1)))</f>
        <v/>
      </c>
      <c r="CO240" s="135" t="str">
        <f aca="false">IF(ISBLANK($C240),"",IF($BZ240&lt;&gt;Constants!$B$8,$BZ240,COUNTIFS($CF$9:$CF$508,"&lt;"&amp;$CF240)+COUNTIFS($CF$9:$CF$508,$CF240,$CH$9:$CH$508,"&lt;"&amp;$CH240)+COUNTIFS($CF$9:$CF$508,$CF240,$CH$9:$CH$508,$CH240,$CJ$9:$CJ$508,"&lt;"&amp;$CJ240)+COUNTIFS($CF$9:$CF$508,$CF240,$CH$9:$CH$508,$CH240,$CJ$9:$CJ$508,$CJ240,$CL$9:$CL$508,"&lt;"&amp;$CL240)+COUNTIFS($CF$9:$CF$508,$CF240,$CH$9:$CH$508,$CH240,$CJ$9:$CJ$508,$CJ240,$CL$9:$CL$508,$CL240,$CN$9:$CN$508,"&lt;"&amp;$CN240)+1))</f>
        <v/>
      </c>
      <c r="CP240" s="135" t="str">
        <f aca="false">IF(ISBLANK($C240),"",IF($BZ240&lt;&gt;Constants!$B$8,$BZ240,$CF240-$CO240))</f>
        <v/>
      </c>
      <c r="CQ240" s="141"/>
      <c r="CR240" s="142"/>
      <c r="CS240" s="143" t="str">
        <f aca="false">IF(ISBLANK($C240),"",IF($BZ240=Constants!$B$12,$BY240,""))</f>
        <v/>
      </c>
      <c r="CT240" s="142" t="str">
        <f aca="false">IF(ISBLANK($C240),"",IF($BZ240&lt;&gt;Constants!$B$8,"",IF($BM240="-&gt;",2,1)))</f>
        <v/>
      </c>
      <c r="CU240" s="144" t="str">
        <f aca="false">IF(ISBLANK($C240),"",IF($BZ240&lt;&gt;Constants!$B$8,"",IF($BM240="-&gt;",$BO240,$BC240)))</f>
        <v/>
      </c>
      <c r="CV240" s="144" t="str">
        <f aca="false">IF(ISBLANK($C240),"",IF($BZ240&lt;&gt;Constants!$B$8,"",IF($BM240="-&gt;",$BP240,$BD240)))</f>
        <v/>
      </c>
      <c r="CW240" s="144" t="str">
        <f aca="false">IF(ISBLANK($C240),"",IF($BZ240&lt;&gt;Constants!$B$8,"",IF($BM240="-&gt;",$BQ240+$BR240,$BE240+$BF240)+$CD240))</f>
        <v/>
      </c>
      <c r="CX240" s="144" t="str">
        <f aca="false">IF(ISBLANK($C240),"",IF($BZ240&lt;&gt;Constants!$B$8,"",IF($BM240="-&gt;",$BS240,$BG240)+$CC240))</f>
        <v/>
      </c>
      <c r="CY240" s="145" t="str">
        <f aca="false">IF(ISBLANK($C240),"",IF($BZ240&lt;&gt;Constants!$B$8,$BZ240,$CE240))</f>
        <v/>
      </c>
      <c r="CZ240" s="146" t="str">
        <f aca="false">IF(ISBLANK($C240),"",$CA240)</f>
        <v/>
      </c>
      <c r="DA240" s="147" t="str">
        <f aca="false">IF(ISBLANK($C240),"",$CP240)</f>
        <v/>
      </c>
      <c r="DB240" s="147" t="str">
        <f aca="false">IF(ISBLANK($C240),"",$CO240)</f>
        <v/>
      </c>
      <c r="DC240" s="148" t="str">
        <f aca="false">IF(ISBLANK($C240),"",IFERROR(_xlfn.SWITCH($DB240,Constants!$B$11,COUNTA($C$9:$C$508)+2,Constants!$B$10,COUNTA($C$9:$C$508)+1,Constants!$B$9,COUNTA($C$9:$C$508)),$DB240))</f>
        <v/>
      </c>
      <c r="DD240" s="9"/>
      <c r="DE240" s="149" t="n">
        <f aca="false">IF(OR(ISNUMBER($DB240),$DB240=Constants!$B$11,$DB240=Constants!$B$9,$DB240=Constants!$B$10),1,0)</f>
        <v>0</v>
      </c>
      <c r="DF240" s="149" t="n">
        <v>232</v>
      </c>
      <c r="DG240" s="149" t="str">
        <f aca="false">IF(ISBLANK($C240),"",IF(ISNUMBER($DC240),$DC240+ROW($B240)/1000,""))</f>
        <v/>
      </c>
      <c r="DH240" s="149" t="str">
        <f aca="false">IF(ISNUMBER($DG240),RANK($DG240,$DG$9:$DG$508,1),"")</f>
        <v/>
      </c>
      <c r="DI240" s="149" t="str">
        <f aca="false">IF(ISBLANK($C240),"",$B240)</f>
        <v/>
      </c>
      <c r="DJ240" s="149" t="str">
        <f aca="false">IF(ISBLANK($C240),"",$C240)</f>
        <v/>
      </c>
      <c r="DK240" s="149" t="str">
        <f aca="false">IF(ISBLANK($C240),"",$D240)</f>
        <v/>
      </c>
      <c r="DL240" s="150" t="str">
        <f aca="false">$CZ240</f>
        <v/>
      </c>
      <c r="DM240" s="151" t="str">
        <f aca="false">$CY240</f>
        <v/>
      </c>
      <c r="DN240" s="149" t="str">
        <f aca="false">IF(ISBLANK($C240),"",$DB240)</f>
        <v/>
      </c>
      <c r="DO240" s="152" t="str">
        <f aca="false">IF($DF240&gt;$DE$8,"",VLOOKUP($DF240,$DH$9:$DN$508,7,FALSE()))</f>
        <v/>
      </c>
      <c r="DP240" s="153" t="str">
        <f aca="false">IF($DF240&gt;$DE$8,"",VLOOKUP($DF240,$DH$9:$DN$508,2,FALSE()))</f>
        <v/>
      </c>
      <c r="DQ240" s="153" t="str">
        <f aca="false">IF($DF240&gt;$DE$8,"",VLOOKUP($DF240,$DH$9:$DN$508,3,FALSE()))</f>
        <v/>
      </c>
      <c r="DR240" s="153" t="str">
        <f aca="false">IF($DF240&gt;$DE$8,"",VLOOKUP($DF240,$DH$9:$DN$508,4,FALSE()))</f>
        <v/>
      </c>
      <c r="DS240" s="153" t="str">
        <f aca="false">IF($DF240&gt;$DE$8,"",VLOOKUP($DF240,$DH$9:$DN$508,5,FALSE()))</f>
        <v/>
      </c>
      <c r="DT240" s="154" t="str">
        <f aca="false">IF($DF240&gt;$DE$8,"",VLOOKUP($DF240,$DH$9:$DN$508,6,FALSE()))</f>
        <v/>
      </c>
      <c r="DU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IF(ISBLANK($C241),"",IF(E241=Constants!$B$3,TRUE(),IF(E241=Constants!$B$4,FALSE(),TRUE())))</f>
        <v/>
      </c>
      <c r="AG241" s="135" t="str">
        <f aca="false">IF(ISBLANK($C241),"",IF(F241=Constants!$B$3,TRUE(),IF(F241=Constants!$B$4,FALSE(),TRUE())))</f>
        <v/>
      </c>
      <c r="AH241" s="135" t="str">
        <f aca="false">IF(ISBLANK($C241),"",IF(G241=Constants!$B$3,TRUE(),IF(G241=Constants!$B$4,FALSE(),TRUE())))</f>
        <v/>
      </c>
      <c r="AI241" s="135" t="str">
        <f aca="false">IF(ISBLANK($C241),"",IF(AND(ISNUMBER(H241),H241&gt;=0),H241,Constants!$B$29))</f>
        <v/>
      </c>
      <c r="AJ241" s="135" t="str">
        <f aca="false">IF(ISBLANK($C241),"",IF(I241=Constants!$B$3,TRUE(),IF(I241=Constants!$B$4,FALSE(),TRUE())))</f>
        <v/>
      </c>
      <c r="AK241" s="135" t="str">
        <f aca="false">IF(ISBLANK($C241),"",IF(J241=Constants!$B$3,TRUE(),IF(J241=Constants!$B$4,FALSE(),TRUE())))</f>
        <v/>
      </c>
      <c r="AL241" s="135" t="str">
        <f aca="false">IF(ISBLANK($C241),"",IF(K241=Constants!$B$5,TRUE(),IF(K241=Constants!$B$6,FALSE(),COUNTA(L241:P241)&gt;0)))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IF(ISBLANK($C241),"",IF(N241=Constants!$B$3,TRUE(),IF(N241=Constants!$B$4,FALSE(),TRUE())))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IF(ISBLANK($C241),"",IF(P241=Constants!$B$3,TRUE(),IF(P241=Constants!$B$4,FALSE(),FALSE())))</f>
        <v/>
      </c>
      <c r="AR241" s="135" t="str">
        <f aca="false">IF(ISBLANK($C241),"",IF(Q241=Constants!$B$3,TRUE(),IF(Q241=Constants!$B$4,FALSE(),TRUE())))</f>
        <v/>
      </c>
      <c r="AS241" s="135" t="str">
        <f aca="false">IF(ISBLANK($C241),"",IF(R241=Constants!$B$3,TRUE(),IF(R241=Constants!$B$4,FALSE(),TRUE())))</f>
        <v/>
      </c>
      <c r="AT241" s="135" t="str">
        <f aca="false">IF(ISBLANK($C241),"",IF(S241=Constants!$B$5,TRUE(),IF(S241=Constants!$B$6,FALSE(),COUNTA(T241:X241)&gt;0)))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IF(ISBLANK($C241),"",IF(V241=Constants!$B$3,TRUE(),IF(V241=Constants!$B$4,FALSE(),TRUE())))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IF(ISBLANK($C241),"",IF(X241=Constants!$B$3,TRUE(),IF(X241=Constants!$B$4,FALSE(),FALSE())))</f>
        <v/>
      </c>
      <c r="AZ241" s="135" t="str">
        <f aca="false">IF(ISBLANK($C241),"",MIN(Constants!$B$31,MAX(0,IF(ISNUMBER(Y241),Y241*60,0)+IF(ISNUMBER(Z241),Z241,0))))</f>
        <v/>
      </c>
      <c r="BA241" s="135" t="str">
        <f aca="false">IF(ISBLANK($C241),"",IF(AA241=Constants!$B$3,TRUE(),IF(AA241=Constants!$B$4,FALSE(),FALSE())))</f>
        <v/>
      </c>
      <c r="BB241" s="134" t="str">
        <f aca="false">IF(ISBLANK($C241),"",AND($AL241,OR($AM241="",$AN241="",AND($AO241,$AP241=""))))</f>
        <v/>
      </c>
      <c r="BC241" s="137" t="str">
        <f aca="false">IF($BZ241&lt;&gt;Constants!$B$8,"",IF($AL241,Constants!$B$21*$AN241+Constants!$B$22*IF($AO241,$AP241,Constants!$B$23),Constants!$B$24))</f>
        <v/>
      </c>
      <c r="BD241" s="138" t="str">
        <f aca="false">IF($BZ241&lt;&gt;Constants!$B$8,"",Constants!$B$25*ABS($AD$9-IF($AL241,$AM241,0)))</f>
        <v/>
      </c>
      <c r="BE241" s="138" t="str">
        <f aca="false">IF($BZ241&lt;&gt;Constants!$B$8,"",IF(AND($AL241,$AQ241,$AO241),Constants!$B$27,0))</f>
        <v/>
      </c>
      <c r="BF241" s="138" t="str">
        <f aca="false">IF($BZ241&lt;&gt;Constants!$B$8,"",IF($AL241,($AI241-Constants!$B$29)*Constants!$B$28,0))</f>
        <v/>
      </c>
      <c r="BG241" s="138" t="str">
        <f aca="false">IF($BZ241&lt;&gt;Constants!$B$8,"",IF($AK241,0,Constants!$B$15)+IF($AJ241,0,Constants!$B$16)+IF($AH241,0,Constants!$B$17))</f>
        <v/>
      </c>
      <c r="BH241" s="139" t="str">
        <f aca="false">IF($BZ241&lt;&gt;Constants!$B$8,"",Constants!$B$20+SUM($BC241:$BG241))</f>
        <v/>
      </c>
      <c r="BI241" s="138" t="str">
        <f aca="false">IF($BZ241&lt;&gt;Constants!$B$8,"",$BC241)</f>
        <v/>
      </c>
      <c r="BJ241" s="138" t="str">
        <f aca="false">IF($BZ241&lt;&gt;Constants!$B$8,"",$BD241)</f>
        <v/>
      </c>
      <c r="BK241" s="138" t="str">
        <f aca="false">IF($BZ241&lt;&gt;Constants!$B$8,"",IF($AL241,$AN241,""))</f>
        <v/>
      </c>
      <c r="BL241" s="140" t="str">
        <f aca="false">IF($BZ241&lt;&gt;Constants!$B$8,"",$AI241)</f>
        <v/>
      </c>
      <c r="BM241" s="135" t="str">
        <f aca="false">IF($BZ241&lt;&gt;Constants!$B$8,"",IF(OR($BT241&lt;$BH241,AND($BT241=$BH241,OR($BU241&lt;$BI241,AND($BU241=$BI241,OR($BV241&lt;$BJ241,AND($BV241=$BJ241,OR(AND(ISNUMBER($BW241),OR(NOT(ISNUMBER($BK241)),$BW241&lt;$BK241)),AND(OR(AND($BW241="",$BK241=""),AND(ISNUMBER($BW241),ISNUMBER($BK241),$BW241=$BK241)),$BX241&lt;$BL241)))))))),"-&gt;","&lt;-"))</f>
        <v/>
      </c>
      <c r="BN241" s="134" t="str">
        <f aca="false">IF(ISBLANK($C241),"",AND($AT241,OR($AU241="",$AV241="",AND($AW241,$AX241=""))))</f>
        <v/>
      </c>
      <c r="BO241" s="137" t="str">
        <f aca="false">IF($BZ241&lt;&gt;Constants!$B$8,"",IF($AT241,Constants!$B$21*$AV241+Constants!$B$22*IF($AW241,$AX241,Constants!$B$23),Constants!$B$24))</f>
        <v/>
      </c>
      <c r="BP241" s="138" t="str">
        <f aca="false">IF($BZ241&lt;&gt;Constants!$B$8,"",Constants!$B$25*ABS($AD$9-IF($AT241,$AU241,0)))</f>
        <v/>
      </c>
      <c r="BQ241" s="138" t="str">
        <f aca="false">IF($BZ241&lt;&gt;Constants!$B$8,"",IF(AND($AT241,$AY241,$AW241),Constants!$B$27,0))</f>
        <v/>
      </c>
      <c r="BR241" s="138" t="str">
        <f aca="false">IF($BZ241&lt;&gt;Constants!$B$8,"",IF($AT241,($AI241-Constants!$B$29)*Constants!$B$28,0))</f>
        <v/>
      </c>
      <c r="BS241" s="138" t="str">
        <f aca="false">IF($BZ241&lt;&gt;Constants!$B$8,"",IF($AS241,0,Constants!$B$15)+IF($AR241,0,Constants!$B$16)+IF($AH241,0,Constants!$B$17))</f>
        <v/>
      </c>
      <c r="BT241" s="139" t="str">
        <f aca="false">IF($BZ241&lt;&gt;Constants!$B$8,"",Constants!$B$20+SUM($BO241:$BS241))</f>
        <v/>
      </c>
      <c r="BU241" s="138" t="str">
        <f aca="false">IF($BZ241&lt;&gt;Constants!$B$8,"",$BO241)</f>
        <v/>
      </c>
      <c r="BV241" s="138" t="str">
        <f aca="false">IF($BZ241&lt;&gt;Constants!$B$8,"",$BP241)</f>
        <v/>
      </c>
      <c r="BW241" s="138" t="str">
        <f aca="false">IF($BZ241&lt;&gt;Constants!$B$8,"",IF($AT241,$AV241,""))</f>
        <v/>
      </c>
      <c r="BX241" s="140" t="str">
        <f aca="false">IF($BZ241&lt;&gt;Constants!$B$8,"",$AI241)</f>
        <v/>
      </c>
      <c r="BY241" s="135" t="str">
        <f aca="false">IF(ISBLANK($C241),"",IF(ISBLANK($D$7),$BY$5,IF(NOT(ISNUMBER($D$7)),$BY$6,"")))</f>
        <v/>
      </c>
      <c r="BZ241" s="135" t="str">
        <f aca="false">IF(ISBLANK($C241),"",IF($BA241,Constants!$B$11,IF(COUNTA($E241:$AA241)=0,Constants!$B$10,IF(NOT($AG241),Constants!$B$9,IF(OR($BY241&lt;&gt;"",$BB241,$BN241),Constants!$B$12,Constants!$B$8)))))</f>
        <v/>
      </c>
      <c r="CA241" s="135" t="str">
        <f aca="false">IF(ISBLANK($C241),"",IF($BZ241&lt;&gt;Constants!$B$8,$BZ241,Constants!$B$13))</f>
        <v/>
      </c>
      <c r="CB241" s="138" t="str">
        <f aca="false">IF($BZ241&lt;&gt;Constants!$B$8,"",IF($BM241="-&gt;",$BT241,$BH241))</f>
        <v/>
      </c>
      <c r="CC241" s="138" t="str">
        <f aca="false">IF($BZ241&lt;&gt;Constants!$B$8,"",IF($AF241,0,Constants!$B$18))</f>
        <v/>
      </c>
      <c r="CD241" s="138" t="str">
        <f aca="false">IF($BZ241&lt;&gt;Constants!$B$8,"",((Constants!$B$31-$AZ241)-Constants!$B$31)/Constants!$B$32)</f>
        <v/>
      </c>
      <c r="CE241" s="138" t="str">
        <f aca="false">IF(ISBLANK($C241),"",IF($BZ241&lt;&gt;Constants!$B$8,$BZ241,SUM($CB241:$CD241)))</f>
        <v/>
      </c>
      <c r="CF241" s="135" t="str">
        <f aca="false">IF(ISBLANK($C241),"",IF($BZ241&lt;&gt;Constants!$B$8,$BZ241,RANK($CE241,$CE$9:$CE$508,1)))</f>
        <v/>
      </c>
      <c r="CG241" s="138" t="str">
        <f aca="false">IF($BZ241&lt;&gt;Constants!$B$8,"",IF($BM241="-&gt;",$BU241,$BI241))</f>
        <v/>
      </c>
      <c r="CH241" s="135" t="str">
        <f aca="false">IF(ISBLANK($C241),"",IF($BZ241&lt;&gt;Constants!$B$8,$BZ241,IF(ISNUMBER($CG241),RANK($CG241,$CG$9:$CG$508,1),COUNT($CG$9:$CG$508)+1)))</f>
        <v/>
      </c>
      <c r="CI241" s="138" t="str">
        <f aca="false">IF($BZ241&lt;&gt;Constants!$B$8,"",IF($BM241="-&gt;",$BV241,$BJ241))</f>
        <v/>
      </c>
      <c r="CJ241" s="135" t="str">
        <f aca="false">IF(ISBLANK($C241),"",IF($BZ241&lt;&gt;Constants!$B$8,$BZ241,IF(ISNUMBER($CI241),RANK($CI241,$CI$9:$CI$508,1),COUNT($CI$9:$CI$508)+1)))</f>
        <v/>
      </c>
      <c r="CK241" s="138" t="str">
        <f aca="false">IF($BZ241&lt;&gt;Constants!$B$8,"",IF($BM241="-&gt;",$BW241,$BK241))</f>
        <v/>
      </c>
      <c r="CL241" s="135" t="str">
        <f aca="false">IF(ISBLANK($C241),"",IF($BZ241&lt;&gt;Constants!$B$8,$BZ241,IF(ISNUMBER($CK241),RANK($CK241,$CK$9:$CK$508,1),COUNT($CK$9:$CK$508)+1)))</f>
        <v/>
      </c>
      <c r="CM241" s="138" t="str">
        <f aca="false">IF($BZ241&lt;&gt;Constants!$B$8,"",IF(AND(NOT($AL241),NOT($AT241),$AJ241,$AK241,$AR241,$AS241),"",IF($BM241="-&gt;",$BX241,$BL241)))</f>
        <v/>
      </c>
      <c r="CN241" s="135" t="str">
        <f aca="false">IF(ISBLANK($C241),"",IF($BZ241&lt;&gt;Constants!$B$8,$BZ241,IF(ISNUMBER($CM241),RANK($CM241,$CM$9:$CM$508,1),COUNT($CM$9:$CM$508)+1)))</f>
        <v/>
      </c>
      <c r="CO241" s="135" t="str">
        <f aca="false">IF(ISBLANK($C241),"",IF($BZ241&lt;&gt;Constants!$B$8,$BZ241,COUNTIFS($CF$9:$CF$508,"&lt;"&amp;$CF241)+COUNTIFS($CF$9:$CF$508,$CF241,$CH$9:$CH$508,"&lt;"&amp;$CH241)+COUNTIFS($CF$9:$CF$508,$CF241,$CH$9:$CH$508,$CH241,$CJ$9:$CJ$508,"&lt;"&amp;$CJ241)+COUNTIFS($CF$9:$CF$508,$CF241,$CH$9:$CH$508,$CH241,$CJ$9:$CJ$508,$CJ241,$CL$9:$CL$508,"&lt;"&amp;$CL241)+COUNTIFS($CF$9:$CF$508,$CF241,$CH$9:$CH$508,$CH241,$CJ$9:$CJ$508,$CJ241,$CL$9:$CL$508,$CL241,$CN$9:$CN$508,"&lt;"&amp;$CN241)+1))</f>
        <v/>
      </c>
      <c r="CP241" s="135" t="str">
        <f aca="false">IF(ISBLANK($C241),"",IF($BZ241&lt;&gt;Constants!$B$8,$BZ241,$CF241-$CO241))</f>
        <v/>
      </c>
      <c r="CQ241" s="141"/>
      <c r="CR241" s="142"/>
      <c r="CS241" s="143" t="str">
        <f aca="false">IF(ISBLANK($C241),"",IF($BZ241=Constants!$B$12,$BY241,""))</f>
        <v/>
      </c>
      <c r="CT241" s="142" t="str">
        <f aca="false">IF(ISBLANK($C241),"",IF($BZ241&lt;&gt;Constants!$B$8,"",IF($BM241="-&gt;",2,1)))</f>
        <v/>
      </c>
      <c r="CU241" s="144" t="str">
        <f aca="false">IF(ISBLANK($C241),"",IF($BZ241&lt;&gt;Constants!$B$8,"",IF($BM241="-&gt;",$BO241,$BC241)))</f>
        <v/>
      </c>
      <c r="CV241" s="144" t="str">
        <f aca="false">IF(ISBLANK($C241),"",IF($BZ241&lt;&gt;Constants!$B$8,"",IF($BM241="-&gt;",$BP241,$BD241)))</f>
        <v/>
      </c>
      <c r="CW241" s="144" t="str">
        <f aca="false">IF(ISBLANK($C241),"",IF($BZ241&lt;&gt;Constants!$B$8,"",IF($BM241="-&gt;",$BQ241+$BR241,$BE241+$BF241)+$CD241))</f>
        <v/>
      </c>
      <c r="CX241" s="144" t="str">
        <f aca="false">IF(ISBLANK($C241),"",IF($BZ241&lt;&gt;Constants!$B$8,"",IF($BM241="-&gt;",$BS241,$BG241)+$CC241))</f>
        <v/>
      </c>
      <c r="CY241" s="145" t="str">
        <f aca="false">IF(ISBLANK($C241),"",IF($BZ241&lt;&gt;Constants!$B$8,$BZ241,$CE241))</f>
        <v/>
      </c>
      <c r="CZ241" s="146" t="str">
        <f aca="false">IF(ISBLANK($C241),"",$CA241)</f>
        <v/>
      </c>
      <c r="DA241" s="147" t="str">
        <f aca="false">IF(ISBLANK($C241),"",$CP241)</f>
        <v/>
      </c>
      <c r="DB241" s="147" t="str">
        <f aca="false">IF(ISBLANK($C241),"",$CO241)</f>
        <v/>
      </c>
      <c r="DC241" s="148" t="str">
        <f aca="false">IF(ISBLANK($C241),"",IFERROR(_xlfn.SWITCH($DB241,Constants!$B$11,COUNTA($C$9:$C$508)+2,Constants!$B$10,COUNTA($C$9:$C$508)+1,Constants!$B$9,COUNTA($C$9:$C$508)),$DB241))</f>
        <v/>
      </c>
      <c r="DD241" s="9"/>
      <c r="DE241" s="149" t="n">
        <f aca="false">IF(OR(ISNUMBER($DB241),$DB241=Constants!$B$11,$DB241=Constants!$B$9,$DB241=Constants!$B$10),1,0)</f>
        <v>0</v>
      </c>
      <c r="DF241" s="149" t="n">
        <v>233</v>
      </c>
      <c r="DG241" s="149" t="str">
        <f aca="false">IF(ISBLANK($C241),"",IF(ISNUMBER($DC241),$DC241+ROW($B241)/1000,""))</f>
        <v/>
      </c>
      <c r="DH241" s="149" t="str">
        <f aca="false">IF(ISNUMBER($DG241),RANK($DG241,$DG$9:$DG$508,1),"")</f>
        <v/>
      </c>
      <c r="DI241" s="149" t="str">
        <f aca="false">IF(ISBLANK($C241),"",$B241)</f>
        <v/>
      </c>
      <c r="DJ241" s="149" t="str">
        <f aca="false">IF(ISBLANK($C241),"",$C241)</f>
        <v/>
      </c>
      <c r="DK241" s="149" t="str">
        <f aca="false">IF(ISBLANK($C241),"",$D241)</f>
        <v/>
      </c>
      <c r="DL241" s="150" t="str">
        <f aca="false">$CZ241</f>
        <v/>
      </c>
      <c r="DM241" s="151" t="str">
        <f aca="false">$CY241</f>
        <v/>
      </c>
      <c r="DN241" s="149" t="str">
        <f aca="false">IF(ISBLANK($C241),"",$DB241)</f>
        <v/>
      </c>
      <c r="DO241" s="152" t="str">
        <f aca="false">IF($DF241&gt;$DE$8,"",VLOOKUP($DF241,$DH$9:$DN$508,7,FALSE()))</f>
        <v/>
      </c>
      <c r="DP241" s="153" t="str">
        <f aca="false">IF($DF241&gt;$DE$8,"",VLOOKUP($DF241,$DH$9:$DN$508,2,FALSE()))</f>
        <v/>
      </c>
      <c r="DQ241" s="153" t="str">
        <f aca="false">IF($DF241&gt;$DE$8,"",VLOOKUP($DF241,$DH$9:$DN$508,3,FALSE()))</f>
        <v/>
      </c>
      <c r="DR241" s="153" t="str">
        <f aca="false">IF($DF241&gt;$DE$8,"",VLOOKUP($DF241,$DH$9:$DN$508,4,FALSE()))</f>
        <v/>
      </c>
      <c r="DS241" s="153" t="str">
        <f aca="false">IF($DF241&gt;$DE$8,"",VLOOKUP($DF241,$DH$9:$DN$508,5,FALSE()))</f>
        <v/>
      </c>
      <c r="DT241" s="154" t="str">
        <f aca="false">IF($DF241&gt;$DE$8,"",VLOOKUP($DF241,$DH$9:$DN$508,6,FALSE()))</f>
        <v/>
      </c>
      <c r="DU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IF(ISBLANK($C242),"",IF(E242=Constants!$B$3,TRUE(),IF(E242=Constants!$B$4,FALSE(),TRUE())))</f>
        <v/>
      </c>
      <c r="AG242" s="135" t="str">
        <f aca="false">IF(ISBLANK($C242),"",IF(F242=Constants!$B$3,TRUE(),IF(F242=Constants!$B$4,FALSE(),TRUE())))</f>
        <v/>
      </c>
      <c r="AH242" s="135" t="str">
        <f aca="false">IF(ISBLANK($C242),"",IF(G242=Constants!$B$3,TRUE(),IF(G242=Constants!$B$4,FALSE(),TRUE())))</f>
        <v/>
      </c>
      <c r="AI242" s="135" t="str">
        <f aca="false">IF(ISBLANK($C242),"",IF(AND(ISNUMBER(H242),H242&gt;=0),H242,Constants!$B$29))</f>
        <v/>
      </c>
      <c r="AJ242" s="135" t="str">
        <f aca="false">IF(ISBLANK($C242),"",IF(I242=Constants!$B$3,TRUE(),IF(I242=Constants!$B$4,FALSE(),TRUE())))</f>
        <v/>
      </c>
      <c r="AK242" s="135" t="str">
        <f aca="false">IF(ISBLANK($C242),"",IF(J242=Constants!$B$3,TRUE(),IF(J242=Constants!$B$4,FALSE(),TRUE())))</f>
        <v/>
      </c>
      <c r="AL242" s="135" t="str">
        <f aca="false">IF(ISBLANK($C242),"",IF(K242=Constants!$B$5,TRUE(),IF(K242=Constants!$B$6,FALSE(),COUNTA(L242:P242)&gt;0)))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IF(ISBLANK($C242),"",IF(N242=Constants!$B$3,TRUE(),IF(N242=Constants!$B$4,FALSE(),TRUE())))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IF(ISBLANK($C242),"",IF(P242=Constants!$B$3,TRUE(),IF(P242=Constants!$B$4,FALSE(),FALSE())))</f>
        <v/>
      </c>
      <c r="AR242" s="135" t="str">
        <f aca="false">IF(ISBLANK($C242),"",IF(Q242=Constants!$B$3,TRUE(),IF(Q242=Constants!$B$4,FALSE(),TRUE())))</f>
        <v/>
      </c>
      <c r="AS242" s="135" t="str">
        <f aca="false">IF(ISBLANK($C242),"",IF(R242=Constants!$B$3,TRUE(),IF(R242=Constants!$B$4,FALSE(),TRUE())))</f>
        <v/>
      </c>
      <c r="AT242" s="135" t="str">
        <f aca="false">IF(ISBLANK($C242),"",IF(S242=Constants!$B$5,TRUE(),IF(S242=Constants!$B$6,FALSE(),COUNTA(T242:X242)&gt;0)))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IF(ISBLANK($C242),"",IF(V242=Constants!$B$3,TRUE(),IF(V242=Constants!$B$4,FALSE(),TRUE())))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IF(ISBLANK($C242),"",IF(X242=Constants!$B$3,TRUE(),IF(X242=Constants!$B$4,FALSE(),FALSE())))</f>
        <v/>
      </c>
      <c r="AZ242" s="135" t="str">
        <f aca="false">IF(ISBLANK($C242),"",MIN(Constants!$B$31,MAX(0,IF(ISNUMBER(Y242),Y242*60,0)+IF(ISNUMBER(Z242),Z242,0))))</f>
        <v/>
      </c>
      <c r="BA242" s="135" t="str">
        <f aca="false">IF(ISBLANK($C242),"",IF(AA242=Constants!$B$3,TRUE(),IF(AA242=Constants!$B$4,FALSE(),FALSE())))</f>
        <v/>
      </c>
      <c r="BB242" s="134" t="str">
        <f aca="false">IF(ISBLANK($C242),"",AND($AL242,OR($AM242="",$AN242="",AND($AO242,$AP242=""))))</f>
        <v/>
      </c>
      <c r="BC242" s="137" t="str">
        <f aca="false">IF($BZ242&lt;&gt;Constants!$B$8,"",IF($AL242,Constants!$B$21*$AN242+Constants!$B$22*IF($AO242,$AP242,Constants!$B$23),Constants!$B$24))</f>
        <v/>
      </c>
      <c r="BD242" s="138" t="str">
        <f aca="false">IF($BZ242&lt;&gt;Constants!$B$8,"",Constants!$B$25*ABS($AD$9-IF($AL242,$AM242,0)))</f>
        <v/>
      </c>
      <c r="BE242" s="138" t="str">
        <f aca="false">IF($BZ242&lt;&gt;Constants!$B$8,"",IF(AND($AL242,$AQ242,$AO242),Constants!$B$27,0))</f>
        <v/>
      </c>
      <c r="BF242" s="138" t="str">
        <f aca="false">IF($BZ242&lt;&gt;Constants!$B$8,"",IF($AL242,($AI242-Constants!$B$29)*Constants!$B$28,0))</f>
        <v/>
      </c>
      <c r="BG242" s="138" t="str">
        <f aca="false">IF($BZ242&lt;&gt;Constants!$B$8,"",IF($AK242,0,Constants!$B$15)+IF($AJ242,0,Constants!$B$16)+IF($AH242,0,Constants!$B$17))</f>
        <v/>
      </c>
      <c r="BH242" s="139" t="str">
        <f aca="false">IF($BZ242&lt;&gt;Constants!$B$8,"",Constants!$B$20+SUM($BC242:$BG242))</f>
        <v/>
      </c>
      <c r="BI242" s="138" t="str">
        <f aca="false">IF($BZ242&lt;&gt;Constants!$B$8,"",$BC242)</f>
        <v/>
      </c>
      <c r="BJ242" s="138" t="str">
        <f aca="false">IF($BZ242&lt;&gt;Constants!$B$8,"",$BD242)</f>
        <v/>
      </c>
      <c r="BK242" s="138" t="str">
        <f aca="false">IF($BZ242&lt;&gt;Constants!$B$8,"",IF($AL242,$AN242,""))</f>
        <v/>
      </c>
      <c r="BL242" s="140" t="str">
        <f aca="false">IF($BZ242&lt;&gt;Constants!$B$8,"",$AI242)</f>
        <v/>
      </c>
      <c r="BM242" s="135" t="str">
        <f aca="false">IF($BZ242&lt;&gt;Constants!$B$8,"",IF(OR($BT242&lt;$BH242,AND($BT242=$BH242,OR($BU242&lt;$BI242,AND($BU242=$BI242,OR($BV242&lt;$BJ242,AND($BV242=$BJ242,OR(AND(ISNUMBER($BW242),OR(NOT(ISNUMBER($BK242)),$BW242&lt;$BK242)),AND(OR(AND($BW242="",$BK242=""),AND(ISNUMBER($BW242),ISNUMBER($BK242),$BW242=$BK242)),$BX242&lt;$BL242)))))))),"-&gt;","&lt;-"))</f>
        <v/>
      </c>
      <c r="BN242" s="134" t="str">
        <f aca="false">IF(ISBLANK($C242),"",AND($AT242,OR($AU242="",$AV242="",AND($AW242,$AX242=""))))</f>
        <v/>
      </c>
      <c r="BO242" s="137" t="str">
        <f aca="false">IF($BZ242&lt;&gt;Constants!$B$8,"",IF($AT242,Constants!$B$21*$AV242+Constants!$B$22*IF($AW242,$AX242,Constants!$B$23),Constants!$B$24))</f>
        <v/>
      </c>
      <c r="BP242" s="138" t="str">
        <f aca="false">IF($BZ242&lt;&gt;Constants!$B$8,"",Constants!$B$25*ABS($AD$9-IF($AT242,$AU242,0)))</f>
        <v/>
      </c>
      <c r="BQ242" s="138" t="str">
        <f aca="false">IF($BZ242&lt;&gt;Constants!$B$8,"",IF(AND($AT242,$AY242,$AW242),Constants!$B$27,0))</f>
        <v/>
      </c>
      <c r="BR242" s="138" t="str">
        <f aca="false">IF($BZ242&lt;&gt;Constants!$B$8,"",IF($AT242,($AI242-Constants!$B$29)*Constants!$B$28,0))</f>
        <v/>
      </c>
      <c r="BS242" s="138" t="str">
        <f aca="false">IF($BZ242&lt;&gt;Constants!$B$8,"",IF($AS242,0,Constants!$B$15)+IF($AR242,0,Constants!$B$16)+IF($AH242,0,Constants!$B$17))</f>
        <v/>
      </c>
      <c r="BT242" s="139" t="str">
        <f aca="false">IF($BZ242&lt;&gt;Constants!$B$8,"",Constants!$B$20+SUM($BO242:$BS242))</f>
        <v/>
      </c>
      <c r="BU242" s="138" t="str">
        <f aca="false">IF($BZ242&lt;&gt;Constants!$B$8,"",$BO242)</f>
        <v/>
      </c>
      <c r="BV242" s="138" t="str">
        <f aca="false">IF($BZ242&lt;&gt;Constants!$B$8,"",$BP242)</f>
        <v/>
      </c>
      <c r="BW242" s="138" t="str">
        <f aca="false">IF($BZ242&lt;&gt;Constants!$B$8,"",IF($AT242,$AV242,""))</f>
        <v/>
      </c>
      <c r="BX242" s="140" t="str">
        <f aca="false">IF($BZ242&lt;&gt;Constants!$B$8,"",$AI242)</f>
        <v/>
      </c>
      <c r="BY242" s="135" t="str">
        <f aca="false">IF(ISBLANK($C242),"",IF(ISBLANK($D$7),$BY$5,IF(NOT(ISNUMBER($D$7)),$BY$6,"")))</f>
        <v/>
      </c>
      <c r="BZ242" s="135" t="str">
        <f aca="false">IF(ISBLANK($C242),"",IF($BA242,Constants!$B$11,IF(COUNTA($E242:$AA242)=0,Constants!$B$10,IF(NOT($AG242),Constants!$B$9,IF(OR($BY242&lt;&gt;"",$BB242,$BN242),Constants!$B$12,Constants!$B$8)))))</f>
        <v/>
      </c>
      <c r="CA242" s="135" t="str">
        <f aca="false">IF(ISBLANK($C242),"",IF($BZ242&lt;&gt;Constants!$B$8,$BZ242,Constants!$B$13))</f>
        <v/>
      </c>
      <c r="CB242" s="138" t="str">
        <f aca="false">IF($BZ242&lt;&gt;Constants!$B$8,"",IF($BM242="-&gt;",$BT242,$BH242))</f>
        <v/>
      </c>
      <c r="CC242" s="138" t="str">
        <f aca="false">IF($BZ242&lt;&gt;Constants!$B$8,"",IF($AF242,0,Constants!$B$18))</f>
        <v/>
      </c>
      <c r="CD242" s="138" t="str">
        <f aca="false">IF($BZ242&lt;&gt;Constants!$B$8,"",((Constants!$B$31-$AZ242)-Constants!$B$31)/Constants!$B$32)</f>
        <v/>
      </c>
      <c r="CE242" s="138" t="str">
        <f aca="false">IF(ISBLANK($C242),"",IF($BZ242&lt;&gt;Constants!$B$8,$BZ242,SUM($CB242:$CD242)))</f>
        <v/>
      </c>
      <c r="CF242" s="135" t="str">
        <f aca="false">IF(ISBLANK($C242),"",IF($BZ242&lt;&gt;Constants!$B$8,$BZ242,RANK($CE242,$CE$9:$CE$508,1)))</f>
        <v/>
      </c>
      <c r="CG242" s="138" t="str">
        <f aca="false">IF($BZ242&lt;&gt;Constants!$B$8,"",IF($BM242="-&gt;",$BU242,$BI242))</f>
        <v/>
      </c>
      <c r="CH242" s="135" t="str">
        <f aca="false">IF(ISBLANK($C242),"",IF($BZ242&lt;&gt;Constants!$B$8,$BZ242,IF(ISNUMBER($CG242),RANK($CG242,$CG$9:$CG$508,1),COUNT($CG$9:$CG$508)+1)))</f>
        <v/>
      </c>
      <c r="CI242" s="138" t="str">
        <f aca="false">IF($BZ242&lt;&gt;Constants!$B$8,"",IF($BM242="-&gt;",$BV242,$BJ242))</f>
        <v/>
      </c>
      <c r="CJ242" s="135" t="str">
        <f aca="false">IF(ISBLANK($C242),"",IF($BZ242&lt;&gt;Constants!$B$8,$BZ242,IF(ISNUMBER($CI242),RANK($CI242,$CI$9:$CI$508,1),COUNT($CI$9:$CI$508)+1)))</f>
        <v/>
      </c>
      <c r="CK242" s="138" t="str">
        <f aca="false">IF($BZ242&lt;&gt;Constants!$B$8,"",IF($BM242="-&gt;",$BW242,$BK242))</f>
        <v/>
      </c>
      <c r="CL242" s="135" t="str">
        <f aca="false">IF(ISBLANK($C242),"",IF($BZ242&lt;&gt;Constants!$B$8,$BZ242,IF(ISNUMBER($CK242),RANK($CK242,$CK$9:$CK$508,1),COUNT($CK$9:$CK$508)+1)))</f>
        <v/>
      </c>
      <c r="CM242" s="138" t="str">
        <f aca="false">IF($BZ242&lt;&gt;Constants!$B$8,"",IF(AND(NOT($AL242),NOT($AT242),$AJ242,$AK242,$AR242,$AS242),"",IF($BM242="-&gt;",$BX242,$BL242)))</f>
        <v/>
      </c>
      <c r="CN242" s="135" t="str">
        <f aca="false">IF(ISBLANK($C242),"",IF($BZ242&lt;&gt;Constants!$B$8,$BZ242,IF(ISNUMBER($CM242),RANK($CM242,$CM$9:$CM$508,1),COUNT($CM$9:$CM$508)+1)))</f>
        <v/>
      </c>
      <c r="CO242" s="135" t="str">
        <f aca="false">IF(ISBLANK($C242),"",IF($BZ242&lt;&gt;Constants!$B$8,$BZ242,COUNTIFS($CF$9:$CF$508,"&lt;"&amp;$CF242)+COUNTIFS($CF$9:$CF$508,$CF242,$CH$9:$CH$508,"&lt;"&amp;$CH242)+COUNTIFS($CF$9:$CF$508,$CF242,$CH$9:$CH$508,$CH242,$CJ$9:$CJ$508,"&lt;"&amp;$CJ242)+COUNTIFS($CF$9:$CF$508,$CF242,$CH$9:$CH$508,$CH242,$CJ$9:$CJ$508,$CJ242,$CL$9:$CL$508,"&lt;"&amp;$CL242)+COUNTIFS($CF$9:$CF$508,$CF242,$CH$9:$CH$508,$CH242,$CJ$9:$CJ$508,$CJ242,$CL$9:$CL$508,$CL242,$CN$9:$CN$508,"&lt;"&amp;$CN242)+1))</f>
        <v/>
      </c>
      <c r="CP242" s="135" t="str">
        <f aca="false">IF(ISBLANK($C242),"",IF($BZ242&lt;&gt;Constants!$B$8,$BZ242,$CF242-$CO242))</f>
        <v/>
      </c>
      <c r="CQ242" s="141"/>
      <c r="CR242" s="142"/>
      <c r="CS242" s="143" t="str">
        <f aca="false">IF(ISBLANK($C242),"",IF($BZ242=Constants!$B$12,$BY242,""))</f>
        <v/>
      </c>
      <c r="CT242" s="142" t="str">
        <f aca="false">IF(ISBLANK($C242),"",IF($BZ242&lt;&gt;Constants!$B$8,"",IF($BM242="-&gt;",2,1)))</f>
        <v/>
      </c>
      <c r="CU242" s="144" t="str">
        <f aca="false">IF(ISBLANK($C242),"",IF($BZ242&lt;&gt;Constants!$B$8,"",IF($BM242="-&gt;",$BO242,$BC242)))</f>
        <v/>
      </c>
      <c r="CV242" s="144" t="str">
        <f aca="false">IF(ISBLANK($C242),"",IF($BZ242&lt;&gt;Constants!$B$8,"",IF($BM242="-&gt;",$BP242,$BD242)))</f>
        <v/>
      </c>
      <c r="CW242" s="144" t="str">
        <f aca="false">IF(ISBLANK($C242),"",IF($BZ242&lt;&gt;Constants!$B$8,"",IF($BM242="-&gt;",$BQ242+$BR242,$BE242+$BF242)+$CD242))</f>
        <v/>
      </c>
      <c r="CX242" s="144" t="str">
        <f aca="false">IF(ISBLANK($C242),"",IF($BZ242&lt;&gt;Constants!$B$8,"",IF($BM242="-&gt;",$BS242,$BG242)+$CC242))</f>
        <v/>
      </c>
      <c r="CY242" s="145" t="str">
        <f aca="false">IF(ISBLANK($C242),"",IF($BZ242&lt;&gt;Constants!$B$8,$BZ242,$CE242))</f>
        <v/>
      </c>
      <c r="CZ242" s="146" t="str">
        <f aca="false">IF(ISBLANK($C242),"",$CA242)</f>
        <v/>
      </c>
      <c r="DA242" s="147" t="str">
        <f aca="false">IF(ISBLANK($C242),"",$CP242)</f>
        <v/>
      </c>
      <c r="DB242" s="147" t="str">
        <f aca="false">IF(ISBLANK($C242),"",$CO242)</f>
        <v/>
      </c>
      <c r="DC242" s="148" t="str">
        <f aca="false">IF(ISBLANK($C242),"",IFERROR(_xlfn.SWITCH($DB242,Constants!$B$11,COUNTA($C$9:$C$508)+2,Constants!$B$10,COUNTA($C$9:$C$508)+1,Constants!$B$9,COUNTA($C$9:$C$508)),$DB242))</f>
        <v/>
      </c>
      <c r="DD242" s="9"/>
      <c r="DE242" s="149" t="n">
        <f aca="false">IF(OR(ISNUMBER($DB242),$DB242=Constants!$B$11,$DB242=Constants!$B$9,$DB242=Constants!$B$10),1,0)</f>
        <v>0</v>
      </c>
      <c r="DF242" s="149" t="n">
        <v>234</v>
      </c>
      <c r="DG242" s="149" t="str">
        <f aca="false">IF(ISBLANK($C242),"",IF(ISNUMBER($DC242),$DC242+ROW($B242)/1000,""))</f>
        <v/>
      </c>
      <c r="DH242" s="149" t="str">
        <f aca="false">IF(ISNUMBER($DG242),RANK($DG242,$DG$9:$DG$508,1),"")</f>
        <v/>
      </c>
      <c r="DI242" s="149" t="str">
        <f aca="false">IF(ISBLANK($C242),"",$B242)</f>
        <v/>
      </c>
      <c r="DJ242" s="149" t="str">
        <f aca="false">IF(ISBLANK($C242),"",$C242)</f>
        <v/>
      </c>
      <c r="DK242" s="149" t="str">
        <f aca="false">IF(ISBLANK($C242),"",$D242)</f>
        <v/>
      </c>
      <c r="DL242" s="150" t="str">
        <f aca="false">$CZ242</f>
        <v/>
      </c>
      <c r="DM242" s="151" t="str">
        <f aca="false">$CY242</f>
        <v/>
      </c>
      <c r="DN242" s="149" t="str">
        <f aca="false">IF(ISBLANK($C242),"",$DB242)</f>
        <v/>
      </c>
      <c r="DO242" s="152" t="str">
        <f aca="false">IF($DF242&gt;$DE$8,"",VLOOKUP($DF242,$DH$9:$DN$508,7,FALSE()))</f>
        <v/>
      </c>
      <c r="DP242" s="153" t="str">
        <f aca="false">IF($DF242&gt;$DE$8,"",VLOOKUP($DF242,$DH$9:$DN$508,2,FALSE()))</f>
        <v/>
      </c>
      <c r="DQ242" s="153" t="str">
        <f aca="false">IF($DF242&gt;$DE$8,"",VLOOKUP($DF242,$DH$9:$DN$508,3,FALSE()))</f>
        <v/>
      </c>
      <c r="DR242" s="153" t="str">
        <f aca="false">IF($DF242&gt;$DE$8,"",VLOOKUP($DF242,$DH$9:$DN$508,4,FALSE()))</f>
        <v/>
      </c>
      <c r="DS242" s="153" t="str">
        <f aca="false">IF($DF242&gt;$DE$8,"",VLOOKUP($DF242,$DH$9:$DN$508,5,FALSE()))</f>
        <v/>
      </c>
      <c r="DT242" s="154" t="str">
        <f aca="false">IF($DF242&gt;$DE$8,"",VLOOKUP($DF242,$DH$9:$DN$508,6,FALSE()))</f>
        <v/>
      </c>
      <c r="DU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IF(ISBLANK($C243),"",IF(E243=Constants!$B$3,TRUE(),IF(E243=Constants!$B$4,FALSE(),TRUE())))</f>
        <v/>
      </c>
      <c r="AG243" s="93" t="str">
        <f aca="false">IF(ISBLANK($C243),"",IF(F243=Constants!$B$3,TRUE(),IF(F243=Constants!$B$4,FALSE(),TRUE())))</f>
        <v/>
      </c>
      <c r="AH243" s="93" t="str">
        <f aca="false">IF(ISBLANK($C243),"",IF(G243=Constants!$B$3,TRUE(),IF(G243=Constants!$B$4,FALSE(),TRUE())))</f>
        <v/>
      </c>
      <c r="AI243" s="93" t="str">
        <f aca="false">IF(ISBLANK($C243),"",IF(AND(ISNUMBER(H243),H243&gt;=0),H243,Constants!$B$29))</f>
        <v/>
      </c>
      <c r="AJ243" s="93" t="str">
        <f aca="false">IF(ISBLANK($C243),"",IF(I243=Constants!$B$3,TRUE(),IF(I243=Constants!$B$4,FALSE(),TRUE())))</f>
        <v/>
      </c>
      <c r="AK243" s="93" t="str">
        <f aca="false">IF(ISBLANK($C243),"",IF(J243=Constants!$B$3,TRUE(),IF(J243=Constants!$B$4,FALSE(),TRUE())))</f>
        <v/>
      </c>
      <c r="AL243" s="93" t="str">
        <f aca="false">IF(ISBLANK($C243),"",IF(K243=Constants!$B$5,TRUE(),IF(K243=Constants!$B$6,FALSE(),COUNTA(L243:P243)&gt;0)))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IF(ISBLANK($C243),"",IF(N243=Constants!$B$3,TRUE(),IF(N243=Constants!$B$4,FALSE(),TRUE())))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IF(ISBLANK($C243),"",IF(P243=Constants!$B$3,TRUE(),IF(P243=Constants!$B$4,FALSE(),FALSE())))</f>
        <v/>
      </c>
      <c r="AR243" s="93" t="str">
        <f aca="false">IF(ISBLANK($C243),"",IF(Q243=Constants!$B$3,TRUE(),IF(Q243=Constants!$B$4,FALSE(),TRUE())))</f>
        <v/>
      </c>
      <c r="AS243" s="93" t="str">
        <f aca="false">IF(ISBLANK($C243),"",IF(R243=Constants!$B$3,TRUE(),IF(R243=Constants!$B$4,FALSE(),TRUE())))</f>
        <v/>
      </c>
      <c r="AT243" s="93" t="str">
        <f aca="false">IF(ISBLANK($C243),"",IF(S243=Constants!$B$5,TRUE(),IF(S243=Constants!$B$6,FALSE(),COUNTA(T243:X243)&gt;0)))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IF(ISBLANK($C243),"",IF(V243=Constants!$B$3,TRUE(),IF(V243=Constants!$B$4,FALSE(),TRUE())))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IF(ISBLANK($C243),"",IF(X243=Constants!$B$3,TRUE(),IF(X243=Constants!$B$4,FALSE(),FALSE())))</f>
        <v/>
      </c>
      <c r="AZ243" s="93" t="str">
        <f aca="false">IF(ISBLANK($C243),"",MIN(Constants!$B$31,MAX(0,IF(ISNUMBER(Y243),Y243*60,0)+IF(ISNUMBER(Z243),Z243,0))))</f>
        <v/>
      </c>
      <c r="BA243" s="93" t="str">
        <f aca="false">IF(ISBLANK($C243),"",IF(AA243=Constants!$B$3,TRUE(),IF(AA243=Constants!$B$4,FALSE(),FALSE())))</f>
        <v/>
      </c>
      <c r="BB243" s="92" t="str">
        <f aca="false">IF(ISBLANK($C243),"",AND($AL243,OR($AM243="",$AN243="",AND($AO243,$AP243=""))))</f>
        <v/>
      </c>
      <c r="BC243" s="94" t="str">
        <f aca="false">IF($BZ243&lt;&gt;Constants!$B$8,"",IF($AL243,Constants!$B$21*$AN243+Constants!$B$22*IF($AO243,$AP243,Constants!$B$23),Constants!$B$24))</f>
        <v/>
      </c>
      <c r="BD243" s="97" t="str">
        <f aca="false">IF($BZ243&lt;&gt;Constants!$B$8,"",Constants!$B$25*ABS($AD$9-IF($AL243,$AM243,0)))</f>
        <v/>
      </c>
      <c r="BE243" s="97" t="str">
        <f aca="false">IF($BZ243&lt;&gt;Constants!$B$8,"",IF(AND($AL243,$AQ243,$AO243),Constants!$B$27,0))</f>
        <v/>
      </c>
      <c r="BF243" s="97" t="str">
        <f aca="false">IF($BZ243&lt;&gt;Constants!$B$8,"",IF($AL243,($AI243-Constants!$B$29)*Constants!$B$28,0))</f>
        <v/>
      </c>
      <c r="BG243" s="97" t="str">
        <f aca="false">IF($BZ243&lt;&gt;Constants!$B$8,"",IF($AK243,0,Constants!$B$15)+IF($AJ243,0,Constants!$B$16)+IF($AH243,0,Constants!$B$17))</f>
        <v/>
      </c>
      <c r="BH243" s="98" t="str">
        <f aca="false">IF($BZ243&lt;&gt;Constants!$B$8,"",Constants!$B$20+SUM($BC243:$BG243))</f>
        <v/>
      </c>
      <c r="BI243" s="97" t="str">
        <f aca="false">IF($BZ243&lt;&gt;Constants!$B$8,"",$BC243)</f>
        <v/>
      </c>
      <c r="BJ243" s="97" t="str">
        <f aca="false">IF($BZ243&lt;&gt;Constants!$B$8,"",$BD243)</f>
        <v/>
      </c>
      <c r="BK243" s="97" t="str">
        <f aca="false">IF($BZ243&lt;&gt;Constants!$B$8,"",IF($AL243,$AN243,""))</f>
        <v/>
      </c>
      <c r="BL243" s="99" t="str">
        <f aca="false">IF($BZ243&lt;&gt;Constants!$B$8,"",$AI243)</f>
        <v/>
      </c>
      <c r="BM243" s="93" t="str">
        <f aca="false">IF($BZ243&lt;&gt;Constants!$B$8,"",IF(OR($BT243&lt;$BH243,AND($BT243=$BH243,OR($BU243&lt;$BI243,AND($BU243=$BI243,OR($BV243&lt;$BJ243,AND($BV243=$BJ243,OR(AND(ISNUMBER($BW243),OR(NOT(ISNUMBER($BK243)),$BW243&lt;$BK243)),AND(OR(AND($BW243="",$BK243=""),AND(ISNUMBER($BW243),ISNUMBER($BK243),$BW243=$BK243)),$BX243&lt;$BL243)))))))),"-&gt;","&lt;-"))</f>
        <v/>
      </c>
      <c r="BN243" s="92" t="str">
        <f aca="false">IF(ISBLANK($C243),"",AND($AT243,OR($AU243="",$AV243="",AND($AW243,$AX243=""))))</f>
        <v/>
      </c>
      <c r="BO243" s="94" t="str">
        <f aca="false">IF($BZ243&lt;&gt;Constants!$B$8,"",IF($AT243,Constants!$B$21*$AV243+Constants!$B$22*IF($AW243,$AX243,Constants!$B$23),Constants!$B$24))</f>
        <v/>
      </c>
      <c r="BP243" s="97" t="str">
        <f aca="false">IF($BZ243&lt;&gt;Constants!$B$8,"",Constants!$B$25*ABS($AD$9-IF($AT243,$AU243,0)))</f>
        <v/>
      </c>
      <c r="BQ243" s="97" t="str">
        <f aca="false">IF($BZ243&lt;&gt;Constants!$B$8,"",IF(AND($AT243,$AY243,$AW243),Constants!$B$27,0))</f>
        <v/>
      </c>
      <c r="BR243" s="97" t="str">
        <f aca="false">IF($BZ243&lt;&gt;Constants!$B$8,"",IF($AT243,($AI243-Constants!$B$29)*Constants!$B$28,0))</f>
        <v/>
      </c>
      <c r="BS243" s="97" t="str">
        <f aca="false">IF($BZ243&lt;&gt;Constants!$B$8,"",IF($AS243,0,Constants!$B$15)+IF($AR243,0,Constants!$B$16)+IF($AH243,0,Constants!$B$17))</f>
        <v/>
      </c>
      <c r="BT243" s="98" t="str">
        <f aca="false">IF($BZ243&lt;&gt;Constants!$B$8,"",Constants!$B$20+SUM($BO243:$BS243))</f>
        <v/>
      </c>
      <c r="BU243" s="97" t="str">
        <f aca="false">IF($BZ243&lt;&gt;Constants!$B$8,"",$BO243)</f>
        <v/>
      </c>
      <c r="BV243" s="97" t="str">
        <f aca="false">IF($BZ243&lt;&gt;Constants!$B$8,"",$BP243)</f>
        <v/>
      </c>
      <c r="BW243" s="97" t="str">
        <f aca="false">IF($BZ243&lt;&gt;Constants!$B$8,"",IF($AT243,$AV243,""))</f>
        <v/>
      </c>
      <c r="BX243" s="99" t="str">
        <f aca="false">IF($BZ243&lt;&gt;Constants!$B$8,"",$AI243)</f>
        <v/>
      </c>
      <c r="BY243" s="93" t="str">
        <f aca="false">IF(ISBLANK($C243),"",IF(ISBLANK($D$7),$BY$5,IF(NOT(ISNUMBER($D$7)),$BY$6,"")))</f>
        <v/>
      </c>
      <c r="BZ243" s="93" t="str">
        <f aca="false">IF(ISBLANK($C243),"",IF($BA243,Constants!$B$11,IF(COUNTA($E243:$AA243)=0,Constants!$B$10,IF(NOT($AG243),Constants!$B$9,IF(OR($BY243&lt;&gt;"",$BB243,$BN243),Constants!$B$12,Constants!$B$8)))))</f>
        <v/>
      </c>
      <c r="CA243" s="93" t="str">
        <f aca="false">IF(ISBLANK($C243),"",IF($BZ243&lt;&gt;Constants!$B$8,$BZ243,Constants!$B$13))</f>
        <v/>
      </c>
      <c r="CB243" s="97" t="str">
        <f aca="false">IF($BZ243&lt;&gt;Constants!$B$8,"",IF($BM243="-&gt;",$BT243,$BH243))</f>
        <v/>
      </c>
      <c r="CC243" s="97" t="str">
        <f aca="false">IF($BZ243&lt;&gt;Constants!$B$8,"",IF($AF243,0,Constants!$B$18))</f>
        <v/>
      </c>
      <c r="CD243" s="97" t="str">
        <f aca="false">IF($BZ243&lt;&gt;Constants!$B$8,"",((Constants!$B$31-$AZ243)-Constants!$B$31)/Constants!$B$32)</f>
        <v/>
      </c>
      <c r="CE243" s="97" t="str">
        <f aca="false">IF(ISBLANK($C243),"",IF($BZ243&lt;&gt;Constants!$B$8,$BZ243,SUM($CB243:$CD243)))</f>
        <v/>
      </c>
      <c r="CF243" s="93" t="str">
        <f aca="false">IF(ISBLANK($C243),"",IF($BZ243&lt;&gt;Constants!$B$8,$BZ243,RANK($CE243,$CE$9:$CE$508,1)))</f>
        <v/>
      </c>
      <c r="CG243" s="97" t="str">
        <f aca="false">IF($BZ243&lt;&gt;Constants!$B$8,"",IF($BM243="-&gt;",$BU243,$BI243))</f>
        <v/>
      </c>
      <c r="CH243" s="93" t="str">
        <f aca="false">IF(ISBLANK($C243),"",IF($BZ243&lt;&gt;Constants!$B$8,$BZ243,IF(ISNUMBER($CG243),RANK($CG243,$CG$9:$CG$508,1),COUNT($CG$9:$CG$508)+1)))</f>
        <v/>
      </c>
      <c r="CI243" s="97" t="str">
        <f aca="false">IF($BZ243&lt;&gt;Constants!$B$8,"",IF($BM243="-&gt;",$BV243,$BJ243))</f>
        <v/>
      </c>
      <c r="CJ243" s="93" t="str">
        <f aca="false">IF(ISBLANK($C243),"",IF($BZ243&lt;&gt;Constants!$B$8,$BZ243,IF(ISNUMBER($CI243),RANK($CI243,$CI$9:$CI$508,1),COUNT($CI$9:$CI$508)+1)))</f>
        <v/>
      </c>
      <c r="CK243" s="97" t="str">
        <f aca="false">IF($BZ243&lt;&gt;Constants!$B$8,"",IF($BM243="-&gt;",$BW243,$BK243))</f>
        <v/>
      </c>
      <c r="CL243" s="93" t="str">
        <f aca="false">IF(ISBLANK($C243),"",IF($BZ243&lt;&gt;Constants!$B$8,$BZ243,IF(ISNUMBER($CK243),RANK($CK243,$CK$9:$CK$508,1),COUNT($CK$9:$CK$508)+1)))</f>
        <v/>
      </c>
      <c r="CM243" s="97" t="str">
        <f aca="false">IF($BZ243&lt;&gt;Constants!$B$8,"",IF(AND(NOT($AL243),NOT($AT243),$AJ243,$AK243,$AR243,$AS243),"",IF($BM243="-&gt;",$BX243,$BL243)))</f>
        <v/>
      </c>
      <c r="CN243" s="93" t="str">
        <f aca="false">IF(ISBLANK($C243),"",IF($BZ243&lt;&gt;Constants!$B$8,$BZ243,IF(ISNUMBER($CM243),RANK($CM243,$CM$9:$CM$508,1),COUNT($CM$9:$CM$508)+1)))</f>
        <v/>
      </c>
      <c r="CO243" s="93" t="str">
        <f aca="false">IF(ISBLANK($C243),"",IF($BZ243&lt;&gt;Constants!$B$8,$BZ243,COUNTIFS($CF$9:$CF$508,"&lt;"&amp;$CF243)+COUNTIFS($CF$9:$CF$508,$CF243,$CH$9:$CH$508,"&lt;"&amp;$CH243)+COUNTIFS($CF$9:$CF$508,$CF243,$CH$9:$CH$508,$CH243,$CJ$9:$CJ$508,"&lt;"&amp;$CJ243)+COUNTIFS($CF$9:$CF$508,$CF243,$CH$9:$CH$508,$CH243,$CJ$9:$CJ$508,$CJ243,$CL$9:$CL$508,"&lt;"&amp;$CL243)+COUNTIFS($CF$9:$CF$508,$CF243,$CH$9:$CH$508,$CH243,$CJ$9:$CJ$508,$CJ243,$CL$9:$CL$508,$CL243,$CN$9:$CN$508,"&lt;"&amp;$CN243)+1))</f>
        <v/>
      </c>
      <c r="CP243" s="93" t="str">
        <f aca="false">IF(ISBLANK($C243),"",IF($BZ243&lt;&gt;Constants!$B$8,$BZ243,$CF243-$CO243))</f>
        <v/>
      </c>
      <c r="CQ243" s="100"/>
      <c r="CR243" s="101"/>
      <c r="CS243" s="102" t="str">
        <f aca="false">IF(ISBLANK($C243),"",IF($BZ243=Constants!$B$12,$BY243,""))</f>
        <v/>
      </c>
      <c r="CT243" s="101" t="str">
        <f aca="false">IF(ISBLANK($C243),"",IF($BZ243&lt;&gt;Constants!$B$8,"",IF($BM243="-&gt;",2,1)))</f>
        <v/>
      </c>
      <c r="CU243" s="103" t="str">
        <f aca="false">IF(ISBLANK($C243),"",IF($BZ243&lt;&gt;Constants!$B$8,"",IF($BM243="-&gt;",$BO243,$BC243)))</f>
        <v/>
      </c>
      <c r="CV243" s="103" t="str">
        <f aca="false">IF(ISBLANK($C243),"",IF($BZ243&lt;&gt;Constants!$B$8,"",IF($BM243="-&gt;",$BP243,$BD243)))</f>
        <v/>
      </c>
      <c r="CW243" s="103" t="str">
        <f aca="false">IF(ISBLANK($C243),"",IF($BZ243&lt;&gt;Constants!$B$8,"",IF($BM243="-&gt;",$BQ243+$BR243,$BE243+$BF243)+$CD243))</f>
        <v/>
      </c>
      <c r="CX243" s="103" t="str">
        <f aca="false">IF(ISBLANK($C243),"",IF($BZ243&lt;&gt;Constants!$B$8,"",IF($BM243="-&gt;",$BS243,$BG243)+$CC243))</f>
        <v/>
      </c>
      <c r="CY243" s="104" t="str">
        <f aca="false">IF(ISBLANK($C243),"",IF($BZ243&lt;&gt;Constants!$B$8,$BZ243,$CE243))</f>
        <v/>
      </c>
      <c r="CZ243" s="105" t="str">
        <f aca="false">IF(ISBLANK($C243),"",$CA243)</f>
        <v/>
      </c>
      <c r="DA243" s="106" t="str">
        <f aca="false">IF(ISBLANK($C243),"",$CP243)</f>
        <v/>
      </c>
      <c r="DB243" s="106" t="str">
        <f aca="false">IF(ISBLANK($C243),"",$CO243)</f>
        <v/>
      </c>
      <c r="DC243" s="107" t="str">
        <f aca="false">IF(ISBLANK($C243),"",IFERROR(_xlfn.SWITCH($DB243,Constants!$B$11,COUNTA($C$9:$C$508)+2,Constants!$B$10,COUNTA($C$9:$C$508)+1,Constants!$B$9,COUNTA($C$9:$C$508)),$DB243))</f>
        <v/>
      </c>
      <c r="DD243" s="9"/>
      <c r="DE243" s="108" t="n">
        <f aca="false">IF(OR(ISNUMBER($DB243),$DB243=Constants!$B$11,$DB243=Constants!$B$9,$DB243=Constants!$B$10),1,0)</f>
        <v>0</v>
      </c>
      <c r="DF243" s="108" t="n">
        <v>235</v>
      </c>
      <c r="DG243" s="108" t="str">
        <f aca="false">IF(ISBLANK($C243),"",IF(ISNUMBER($DC243),$DC243+ROW($B243)/1000,""))</f>
        <v/>
      </c>
      <c r="DH243" s="108" t="str">
        <f aca="false">IF(ISNUMBER($DG243),RANK($DG243,$DG$9:$DG$508,1),"")</f>
        <v/>
      </c>
      <c r="DI243" s="108" t="str">
        <f aca="false">IF(ISBLANK($C243),"",$B243)</f>
        <v/>
      </c>
      <c r="DJ243" s="108" t="str">
        <f aca="false">IF(ISBLANK($C243),"",$C243)</f>
        <v/>
      </c>
      <c r="DK243" s="108" t="str">
        <f aca="false">IF(ISBLANK($C243),"",$D243)</f>
        <v/>
      </c>
      <c r="DL243" s="109" t="str">
        <f aca="false">$CZ243</f>
        <v/>
      </c>
      <c r="DM243" s="110" t="str">
        <f aca="false">$CY243</f>
        <v/>
      </c>
      <c r="DN243" s="108" t="str">
        <f aca="false">IF(ISBLANK($C243),"",$DB243)</f>
        <v/>
      </c>
      <c r="DO243" s="111" t="str">
        <f aca="false">IF($DF243&gt;$DE$8,"",VLOOKUP($DF243,$DH$9:$DN$508,7,FALSE()))</f>
        <v/>
      </c>
      <c r="DP243" s="112" t="str">
        <f aca="false">IF($DF243&gt;$DE$8,"",VLOOKUP($DF243,$DH$9:$DN$508,2,FALSE()))</f>
        <v/>
      </c>
      <c r="DQ243" s="112" t="str">
        <f aca="false">IF($DF243&gt;$DE$8,"",VLOOKUP($DF243,$DH$9:$DN$508,3,FALSE()))</f>
        <v/>
      </c>
      <c r="DR243" s="112" t="str">
        <f aca="false">IF($DF243&gt;$DE$8,"",VLOOKUP($DF243,$DH$9:$DN$508,4,FALSE()))</f>
        <v/>
      </c>
      <c r="DS243" s="112" t="str">
        <f aca="false">IF($DF243&gt;$DE$8,"",VLOOKUP($DF243,$DH$9:$DN$508,5,FALSE()))</f>
        <v/>
      </c>
      <c r="DT243" s="113" t="str">
        <f aca="false">IF($DF243&gt;$DE$8,"",VLOOKUP($DF243,$DH$9:$DN$508,6,FALSE()))</f>
        <v/>
      </c>
      <c r="DU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IF(ISBLANK($C244),"",IF(E244=Constants!$B$3,TRUE(),IF(E244=Constants!$B$4,FALSE(),TRUE())))</f>
        <v/>
      </c>
      <c r="AG244" s="93" t="str">
        <f aca="false">IF(ISBLANK($C244),"",IF(F244=Constants!$B$3,TRUE(),IF(F244=Constants!$B$4,FALSE(),TRUE())))</f>
        <v/>
      </c>
      <c r="AH244" s="93" t="str">
        <f aca="false">IF(ISBLANK($C244),"",IF(G244=Constants!$B$3,TRUE(),IF(G244=Constants!$B$4,FALSE(),TRUE())))</f>
        <v/>
      </c>
      <c r="AI244" s="93" t="str">
        <f aca="false">IF(ISBLANK($C244),"",IF(AND(ISNUMBER(H244),H244&gt;=0),H244,Constants!$B$29))</f>
        <v/>
      </c>
      <c r="AJ244" s="93" t="str">
        <f aca="false">IF(ISBLANK($C244),"",IF(I244=Constants!$B$3,TRUE(),IF(I244=Constants!$B$4,FALSE(),TRUE())))</f>
        <v/>
      </c>
      <c r="AK244" s="93" t="str">
        <f aca="false">IF(ISBLANK($C244),"",IF(J244=Constants!$B$3,TRUE(),IF(J244=Constants!$B$4,FALSE(),TRUE())))</f>
        <v/>
      </c>
      <c r="AL244" s="93" t="str">
        <f aca="false">IF(ISBLANK($C244),"",IF(K244=Constants!$B$5,TRUE(),IF(K244=Constants!$B$6,FALSE(),COUNTA(L244:P244)&gt;0)))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IF(ISBLANK($C244),"",IF(N244=Constants!$B$3,TRUE(),IF(N244=Constants!$B$4,FALSE(),TRUE())))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IF(ISBLANK($C244),"",IF(P244=Constants!$B$3,TRUE(),IF(P244=Constants!$B$4,FALSE(),FALSE())))</f>
        <v/>
      </c>
      <c r="AR244" s="93" t="str">
        <f aca="false">IF(ISBLANK($C244),"",IF(Q244=Constants!$B$3,TRUE(),IF(Q244=Constants!$B$4,FALSE(),TRUE())))</f>
        <v/>
      </c>
      <c r="AS244" s="93" t="str">
        <f aca="false">IF(ISBLANK($C244),"",IF(R244=Constants!$B$3,TRUE(),IF(R244=Constants!$B$4,FALSE(),TRUE())))</f>
        <v/>
      </c>
      <c r="AT244" s="93" t="str">
        <f aca="false">IF(ISBLANK($C244),"",IF(S244=Constants!$B$5,TRUE(),IF(S244=Constants!$B$6,FALSE(),COUNTA(T244:X244)&gt;0)))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IF(ISBLANK($C244),"",IF(V244=Constants!$B$3,TRUE(),IF(V244=Constants!$B$4,FALSE(),TRUE())))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IF(ISBLANK($C244),"",IF(X244=Constants!$B$3,TRUE(),IF(X244=Constants!$B$4,FALSE(),FALSE())))</f>
        <v/>
      </c>
      <c r="AZ244" s="93" t="str">
        <f aca="false">IF(ISBLANK($C244),"",MIN(Constants!$B$31,MAX(0,IF(ISNUMBER(Y244),Y244*60,0)+IF(ISNUMBER(Z244),Z244,0))))</f>
        <v/>
      </c>
      <c r="BA244" s="93" t="str">
        <f aca="false">IF(ISBLANK($C244),"",IF(AA244=Constants!$B$3,TRUE(),IF(AA244=Constants!$B$4,FALSE(),FALSE())))</f>
        <v/>
      </c>
      <c r="BB244" s="92" t="str">
        <f aca="false">IF(ISBLANK($C244),"",AND($AL244,OR($AM244="",$AN244="",AND($AO244,$AP244=""))))</f>
        <v/>
      </c>
      <c r="BC244" s="94" t="str">
        <f aca="false">IF($BZ244&lt;&gt;Constants!$B$8,"",IF($AL244,Constants!$B$21*$AN244+Constants!$B$22*IF($AO244,$AP244,Constants!$B$23),Constants!$B$24))</f>
        <v/>
      </c>
      <c r="BD244" s="97" t="str">
        <f aca="false">IF($BZ244&lt;&gt;Constants!$B$8,"",Constants!$B$25*ABS($AD$9-IF($AL244,$AM244,0)))</f>
        <v/>
      </c>
      <c r="BE244" s="97" t="str">
        <f aca="false">IF($BZ244&lt;&gt;Constants!$B$8,"",IF(AND($AL244,$AQ244,$AO244),Constants!$B$27,0))</f>
        <v/>
      </c>
      <c r="BF244" s="97" t="str">
        <f aca="false">IF($BZ244&lt;&gt;Constants!$B$8,"",IF($AL244,($AI244-Constants!$B$29)*Constants!$B$28,0))</f>
        <v/>
      </c>
      <c r="BG244" s="97" t="str">
        <f aca="false">IF($BZ244&lt;&gt;Constants!$B$8,"",IF($AK244,0,Constants!$B$15)+IF($AJ244,0,Constants!$B$16)+IF($AH244,0,Constants!$B$17))</f>
        <v/>
      </c>
      <c r="BH244" s="98" t="str">
        <f aca="false">IF($BZ244&lt;&gt;Constants!$B$8,"",Constants!$B$20+SUM($BC244:$BG244))</f>
        <v/>
      </c>
      <c r="BI244" s="97" t="str">
        <f aca="false">IF($BZ244&lt;&gt;Constants!$B$8,"",$BC244)</f>
        <v/>
      </c>
      <c r="BJ244" s="97" t="str">
        <f aca="false">IF($BZ244&lt;&gt;Constants!$B$8,"",$BD244)</f>
        <v/>
      </c>
      <c r="BK244" s="97" t="str">
        <f aca="false">IF($BZ244&lt;&gt;Constants!$B$8,"",IF($AL244,$AN244,""))</f>
        <v/>
      </c>
      <c r="BL244" s="99" t="str">
        <f aca="false">IF($BZ244&lt;&gt;Constants!$B$8,"",$AI244)</f>
        <v/>
      </c>
      <c r="BM244" s="93" t="str">
        <f aca="false">IF($BZ244&lt;&gt;Constants!$B$8,"",IF(OR($BT244&lt;$BH244,AND($BT244=$BH244,OR($BU244&lt;$BI244,AND($BU244=$BI244,OR($BV244&lt;$BJ244,AND($BV244=$BJ244,OR(AND(ISNUMBER($BW244),OR(NOT(ISNUMBER($BK244)),$BW244&lt;$BK244)),AND(OR(AND($BW244="",$BK244=""),AND(ISNUMBER($BW244),ISNUMBER($BK244),$BW244=$BK244)),$BX244&lt;$BL244)))))))),"-&gt;","&lt;-"))</f>
        <v/>
      </c>
      <c r="BN244" s="92" t="str">
        <f aca="false">IF(ISBLANK($C244),"",AND($AT244,OR($AU244="",$AV244="",AND($AW244,$AX244=""))))</f>
        <v/>
      </c>
      <c r="BO244" s="94" t="str">
        <f aca="false">IF($BZ244&lt;&gt;Constants!$B$8,"",IF($AT244,Constants!$B$21*$AV244+Constants!$B$22*IF($AW244,$AX244,Constants!$B$23),Constants!$B$24))</f>
        <v/>
      </c>
      <c r="BP244" s="97" t="str">
        <f aca="false">IF($BZ244&lt;&gt;Constants!$B$8,"",Constants!$B$25*ABS($AD$9-IF($AT244,$AU244,0)))</f>
        <v/>
      </c>
      <c r="BQ244" s="97" t="str">
        <f aca="false">IF($BZ244&lt;&gt;Constants!$B$8,"",IF(AND($AT244,$AY244,$AW244),Constants!$B$27,0))</f>
        <v/>
      </c>
      <c r="BR244" s="97" t="str">
        <f aca="false">IF($BZ244&lt;&gt;Constants!$B$8,"",IF($AT244,($AI244-Constants!$B$29)*Constants!$B$28,0))</f>
        <v/>
      </c>
      <c r="BS244" s="97" t="str">
        <f aca="false">IF($BZ244&lt;&gt;Constants!$B$8,"",IF($AS244,0,Constants!$B$15)+IF($AR244,0,Constants!$B$16)+IF($AH244,0,Constants!$B$17))</f>
        <v/>
      </c>
      <c r="BT244" s="98" t="str">
        <f aca="false">IF($BZ244&lt;&gt;Constants!$B$8,"",Constants!$B$20+SUM($BO244:$BS244))</f>
        <v/>
      </c>
      <c r="BU244" s="97" t="str">
        <f aca="false">IF($BZ244&lt;&gt;Constants!$B$8,"",$BO244)</f>
        <v/>
      </c>
      <c r="BV244" s="97" t="str">
        <f aca="false">IF($BZ244&lt;&gt;Constants!$B$8,"",$BP244)</f>
        <v/>
      </c>
      <c r="BW244" s="97" t="str">
        <f aca="false">IF($BZ244&lt;&gt;Constants!$B$8,"",IF($AT244,$AV244,""))</f>
        <v/>
      </c>
      <c r="BX244" s="99" t="str">
        <f aca="false">IF($BZ244&lt;&gt;Constants!$B$8,"",$AI244)</f>
        <v/>
      </c>
      <c r="BY244" s="93" t="str">
        <f aca="false">IF(ISBLANK($C244),"",IF(ISBLANK($D$7),$BY$5,IF(NOT(ISNUMBER($D$7)),$BY$6,"")))</f>
        <v/>
      </c>
      <c r="BZ244" s="93" t="str">
        <f aca="false">IF(ISBLANK($C244),"",IF($BA244,Constants!$B$11,IF(COUNTA($E244:$AA244)=0,Constants!$B$10,IF(NOT($AG244),Constants!$B$9,IF(OR($BY244&lt;&gt;"",$BB244,$BN244),Constants!$B$12,Constants!$B$8)))))</f>
        <v/>
      </c>
      <c r="CA244" s="93" t="str">
        <f aca="false">IF(ISBLANK($C244),"",IF($BZ244&lt;&gt;Constants!$B$8,$BZ244,Constants!$B$13))</f>
        <v/>
      </c>
      <c r="CB244" s="97" t="str">
        <f aca="false">IF($BZ244&lt;&gt;Constants!$B$8,"",IF($BM244="-&gt;",$BT244,$BH244))</f>
        <v/>
      </c>
      <c r="CC244" s="97" t="str">
        <f aca="false">IF($BZ244&lt;&gt;Constants!$B$8,"",IF($AF244,0,Constants!$B$18))</f>
        <v/>
      </c>
      <c r="CD244" s="97" t="str">
        <f aca="false">IF($BZ244&lt;&gt;Constants!$B$8,"",((Constants!$B$31-$AZ244)-Constants!$B$31)/Constants!$B$32)</f>
        <v/>
      </c>
      <c r="CE244" s="97" t="str">
        <f aca="false">IF(ISBLANK($C244),"",IF($BZ244&lt;&gt;Constants!$B$8,$BZ244,SUM($CB244:$CD244)))</f>
        <v/>
      </c>
      <c r="CF244" s="93" t="str">
        <f aca="false">IF(ISBLANK($C244),"",IF($BZ244&lt;&gt;Constants!$B$8,$BZ244,RANK($CE244,$CE$9:$CE$508,1)))</f>
        <v/>
      </c>
      <c r="CG244" s="97" t="str">
        <f aca="false">IF($BZ244&lt;&gt;Constants!$B$8,"",IF($BM244="-&gt;",$BU244,$BI244))</f>
        <v/>
      </c>
      <c r="CH244" s="93" t="str">
        <f aca="false">IF(ISBLANK($C244),"",IF($BZ244&lt;&gt;Constants!$B$8,$BZ244,IF(ISNUMBER($CG244),RANK($CG244,$CG$9:$CG$508,1),COUNT($CG$9:$CG$508)+1)))</f>
        <v/>
      </c>
      <c r="CI244" s="97" t="str">
        <f aca="false">IF($BZ244&lt;&gt;Constants!$B$8,"",IF($BM244="-&gt;",$BV244,$BJ244))</f>
        <v/>
      </c>
      <c r="CJ244" s="93" t="str">
        <f aca="false">IF(ISBLANK($C244),"",IF($BZ244&lt;&gt;Constants!$B$8,$BZ244,IF(ISNUMBER($CI244),RANK($CI244,$CI$9:$CI$508,1),COUNT($CI$9:$CI$508)+1)))</f>
        <v/>
      </c>
      <c r="CK244" s="97" t="str">
        <f aca="false">IF($BZ244&lt;&gt;Constants!$B$8,"",IF($BM244="-&gt;",$BW244,$BK244))</f>
        <v/>
      </c>
      <c r="CL244" s="93" t="str">
        <f aca="false">IF(ISBLANK($C244),"",IF($BZ244&lt;&gt;Constants!$B$8,$BZ244,IF(ISNUMBER($CK244),RANK($CK244,$CK$9:$CK$508,1),COUNT($CK$9:$CK$508)+1)))</f>
        <v/>
      </c>
      <c r="CM244" s="97" t="str">
        <f aca="false">IF($BZ244&lt;&gt;Constants!$B$8,"",IF(AND(NOT($AL244),NOT($AT244),$AJ244,$AK244,$AR244,$AS244),"",IF($BM244="-&gt;",$BX244,$BL244)))</f>
        <v/>
      </c>
      <c r="CN244" s="93" t="str">
        <f aca="false">IF(ISBLANK($C244),"",IF($BZ244&lt;&gt;Constants!$B$8,$BZ244,IF(ISNUMBER($CM244),RANK($CM244,$CM$9:$CM$508,1),COUNT($CM$9:$CM$508)+1)))</f>
        <v/>
      </c>
      <c r="CO244" s="93" t="str">
        <f aca="false">IF(ISBLANK($C244),"",IF($BZ244&lt;&gt;Constants!$B$8,$BZ244,COUNTIFS($CF$9:$CF$508,"&lt;"&amp;$CF244)+COUNTIFS($CF$9:$CF$508,$CF244,$CH$9:$CH$508,"&lt;"&amp;$CH244)+COUNTIFS($CF$9:$CF$508,$CF244,$CH$9:$CH$508,$CH244,$CJ$9:$CJ$508,"&lt;"&amp;$CJ244)+COUNTIFS($CF$9:$CF$508,$CF244,$CH$9:$CH$508,$CH244,$CJ$9:$CJ$508,$CJ244,$CL$9:$CL$508,"&lt;"&amp;$CL244)+COUNTIFS($CF$9:$CF$508,$CF244,$CH$9:$CH$508,$CH244,$CJ$9:$CJ$508,$CJ244,$CL$9:$CL$508,$CL244,$CN$9:$CN$508,"&lt;"&amp;$CN244)+1))</f>
        <v/>
      </c>
      <c r="CP244" s="93" t="str">
        <f aca="false">IF(ISBLANK($C244),"",IF($BZ244&lt;&gt;Constants!$B$8,$BZ244,$CF244-$CO244))</f>
        <v/>
      </c>
      <c r="CQ244" s="100"/>
      <c r="CR244" s="101"/>
      <c r="CS244" s="102" t="str">
        <f aca="false">IF(ISBLANK($C244),"",IF($BZ244=Constants!$B$12,$BY244,""))</f>
        <v/>
      </c>
      <c r="CT244" s="101" t="str">
        <f aca="false">IF(ISBLANK($C244),"",IF($BZ244&lt;&gt;Constants!$B$8,"",IF($BM244="-&gt;",2,1)))</f>
        <v/>
      </c>
      <c r="CU244" s="103" t="str">
        <f aca="false">IF(ISBLANK($C244),"",IF($BZ244&lt;&gt;Constants!$B$8,"",IF($BM244="-&gt;",$BO244,$BC244)))</f>
        <v/>
      </c>
      <c r="CV244" s="103" t="str">
        <f aca="false">IF(ISBLANK($C244),"",IF($BZ244&lt;&gt;Constants!$B$8,"",IF($BM244="-&gt;",$BP244,$BD244)))</f>
        <v/>
      </c>
      <c r="CW244" s="103" t="str">
        <f aca="false">IF(ISBLANK($C244),"",IF($BZ244&lt;&gt;Constants!$B$8,"",IF($BM244="-&gt;",$BQ244+$BR244,$BE244+$BF244)+$CD244))</f>
        <v/>
      </c>
      <c r="CX244" s="103" t="str">
        <f aca="false">IF(ISBLANK($C244),"",IF($BZ244&lt;&gt;Constants!$B$8,"",IF($BM244="-&gt;",$BS244,$BG244)+$CC244))</f>
        <v/>
      </c>
      <c r="CY244" s="104" t="str">
        <f aca="false">IF(ISBLANK($C244),"",IF($BZ244&lt;&gt;Constants!$B$8,$BZ244,$CE244))</f>
        <v/>
      </c>
      <c r="CZ244" s="105" t="str">
        <f aca="false">IF(ISBLANK($C244),"",$CA244)</f>
        <v/>
      </c>
      <c r="DA244" s="106" t="str">
        <f aca="false">IF(ISBLANK($C244),"",$CP244)</f>
        <v/>
      </c>
      <c r="DB244" s="106" t="str">
        <f aca="false">IF(ISBLANK($C244),"",$CO244)</f>
        <v/>
      </c>
      <c r="DC244" s="107" t="str">
        <f aca="false">IF(ISBLANK($C244),"",IFERROR(_xlfn.SWITCH($DB244,Constants!$B$11,COUNTA($C$9:$C$508)+2,Constants!$B$10,COUNTA($C$9:$C$508)+1,Constants!$B$9,COUNTA($C$9:$C$508)),$DB244))</f>
        <v/>
      </c>
      <c r="DD244" s="9"/>
      <c r="DE244" s="108" t="n">
        <f aca="false">IF(OR(ISNUMBER($DB244),$DB244=Constants!$B$11,$DB244=Constants!$B$9,$DB244=Constants!$B$10),1,0)</f>
        <v>0</v>
      </c>
      <c r="DF244" s="108" t="n">
        <v>236</v>
      </c>
      <c r="DG244" s="108" t="str">
        <f aca="false">IF(ISBLANK($C244),"",IF(ISNUMBER($DC244),$DC244+ROW($B244)/1000,""))</f>
        <v/>
      </c>
      <c r="DH244" s="108" t="str">
        <f aca="false">IF(ISNUMBER($DG244),RANK($DG244,$DG$9:$DG$508,1),"")</f>
        <v/>
      </c>
      <c r="DI244" s="108" t="str">
        <f aca="false">IF(ISBLANK($C244),"",$B244)</f>
        <v/>
      </c>
      <c r="DJ244" s="108" t="str">
        <f aca="false">IF(ISBLANK($C244),"",$C244)</f>
        <v/>
      </c>
      <c r="DK244" s="108" t="str">
        <f aca="false">IF(ISBLANK($C244),"",$D244)</f>
        <v/>
      </c>
      <c r="DL244" s="109" t="str">
        <f aca="false">$CZ244</f>
        <v/>
      </c>
      <c r="DM244" s="110" t="str">
        <f aca="false">$CY244</f>
        <v/>
      </c>
      <c r="DN244" s="108" t="str">
        <f aca="false">IF(ISBLANK($C244),"",$DB244)</f>
        <v/>
      </c>
      <c r="DO244" s="111" t="str">
        <f aca="false">IF($DF244&gt;$DE$8,"",VLOOKUP($DF244,$DH$9:$DN$508,7,FALSE()))</f>
        <v/>
      </c>
      <c r="DP244" s="112" t="str">
        <f aca="false">IF($DF244&gt;$DE$8,"",VLOOKUP($DF244,$DH$9:$DN$508,2,FALSE()))</f>
        <v/>
      </c>
      <c r="DQ244" s="112" t="str">
        <f aca="false">IF($DF244&gt;$DE$8,"",VLOOKUP($DF244,$DH$9:$DN$508,3,FALSE()))</f>
        <v/>
      </c>
      <c r="DR244" s="112" t="str">
        <f aca="false">IF($DF244&gt;$DE$8,"",VLOOKUP($DF244,$DH$9:$DN$508,4,FALSE()))</f>
        <v/>
      </c>
      <c r="DS244" s="112" t="str">
        <f aca="false">IF($DF244&gt;$DE$8,"",VLOOKUP($DF244,$DH$9:$DN$508,5,FALSE()))</f>
        <v/>
      </c>
      <c r="DT244" s="113" t="str">
        <f aca="false">IF($DF244&gt;$DE$8,"",VLOOKUP($DF244,$DH$9:$DN$508,6,FALSE()))</f>
        <v/>
      </c>
      <c r="DU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IF(ISBLANK($C245),"",IF(E245=Constants!$B$3,TRUE(),IF(E245=Constants!$B$4,FALSE(),TRUE())))</f>
        <v/>
      </c>
      <c r="AG245" s="93" t="str">
        <f aca="false">IF(ISBLANK($C245),"",IF(F245=Constants!$B$3,TRUE(),IF(F245=Constants!$B$4,FALSE(),TRUE())))</f>
        <v/>
      </c>
      <c r="AH245" s="93" t="str">
        <f aca="false">IF(ISBLANK($C245),"",IF(G245=Constants!$B$3,TRUE(),IF(G245=Constants!$B$4,FALSE(),TRUE())))</f>
        <v/>
      </c>
      <c r="AI245" s="93" t="str">
        <f aca="false">IF(ISBLANK($C245),"",IF(AND(ISNUMBER(H245),H245&gt;=0),H245,Constants!$B$29))</f>
        <v/>
      </c>
      <c r="AJ245" s="93" t="str">
        <f aca="false">IF(ISBLANK($C245),"",IF(I245=Constants!$B$3,TRUE(),IF(I245=Constants!$B$4,FALSE(),TRUE())))</f>
        <v/>
      </c>
      <c r="AK245" s="93" t="str">
        <f aca="false">IF(ISBLANK($C245),"",IF(J245=Constants!$B$3,TRUE(),IF(J245=Constants!$B$4,FALSE(),TRUE())))</f>
        <v/>
      </c>
      <c r="AL245" s="93" t="str">
        <f aca="false">IF(ISBLANK($C245),"",IF(K245=Constants!$B$5,TRUE(),IF(K245=Constants!$B$6,FALSE(),COUNTA(L245:P245)&gt;0)))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IF(ISBLANK($C245),"",IF(N245=Constants!$B$3,TRUE(),IF(N245=Constants!$B$4,FALSE(),TRUE())))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IF(ISBLANK($C245),"",IF(P245=Constants!$B$3,TRUE(),IF(P245=Constants!$B$4,FALSE(),FALSE())))</f>
        <v/>
      </c>
      <c r="AR245" s="93" t="str">
        <f aca="false">IF(ISBLANK($C245),"",IF(Q245=Constants!$B$3,TRUE(),IF(Q245=Constants!$B$4,FALSE(),TRUE())))</f>
        <v/>
      </c>
      <c r="AS245" s="93" t="str">
        <f aca="false">IF(ISBLANK($C245),"",IF(R245=Constants!$B$3,TRUE(),IF(R245=Constants!$B$4,FALSE(),TRUE())))</f>
        <v/>
      </c>
      <c r="AT245" s="93" t="str">
        <f aca="false">IF(ISBLANK($C245),"",IF(S245=Constants!$B$5,TRUE(),IF(S245=Constants!$B$6,FALSE(),COUNTA(T245:X245)&gt;0)))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IF(ISBLANK($C245),"",IF(V245=Constants!$B$3,TRUE(),IF(V245=Constants!$B$4,FALSE(),TRUE())))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IF(ISBLANK($C245),"",IF(X245=Constants!$B$3,TRUE(),IF(X245=Constants!$B$4,FALSE(),FALSE())))</f>
        <v/>
      </c>
      <c r="AZ245" s="93" t="str">
        <f aca="false">IF(ISBLANK($C245),"",MIN(Constants!$B$31,MAX(0,IF(ISNUMBER(Y245),Y245*60,0)+IF(ISNUMBER(Z245),Z245,0))))</f>
        <v/>
      </c>
      <c r="BA245" s="93" t="str">
        <f aca="false">IF(ISBLANK($C245),"",IF(AA245=Constants!$B$3,TRUE(),IF(AA245=Constants!$B$4,FALSE(),FALSE())))</f>
        <v/>
      </c>
      <c r="BB245" s="92" t="str">
        <f aca="false">IF(ISBLANK($C245),"",AND($AL245,OR($AM245="",$AN245="",AND($AO245,$AP245=""))))</f>
        <v/>
      </c>
      <c r="BC245" s="94" t="str">
        <f aca="false">IF($BZ245&lt;&gt;Constants!$B$8,"",IF($AL245,Constants!$B$21*$AN245+Constants!$B$22*IF($AO245,$AP245,Constants!$B$23),Constants!$B$24))</f>
        <v/>
      </c>
      <c r="BD245" s="97" t="str">
        <f aca="false">IF($BZ245&lt;&gt;Constants!$B$8,"",Constants!$B$25*ABS($AD$9-IF($AL245,$AM245,0)))</f>
        <v/>
      </c>
      <c r="BE245" s="97" t="str">
        <f aca="false">IF($BZ245&lt;&gt;Constants!$B$8,"",IF(AND($AL245,$AQ245,$AO245),Constants!$B$27,0))</f>
        <v/>
      </c>
      <c r="BF245" s="97" t="str">
        <f aca="false">IF($BZ245&lt;&gt;Constants!$B$8,"",IF($AL245,($AI245-Constants!$B$29)*Constants!$B$28,0))</f>
        <v/>
      </c>
      <c r="BG245" s="97" t="str">
        <f aca="false">IF($BZ245&lt;&gt;Constants!$B$8,"",IF($AK245,0,Constants!$B$15)+IF($AJ245,0,Constants!$B$16)+IF($AH245,0,Constants!$B$17))</f>
        <v/>
      </c>
      <c r="BH245" s="98" t="str">
        <f aca="false">IF($BZ245&lt;&gt;Constants!$B$8,"",Constants!$B$20+SUM($BC245:$BG245))</f>
        <v/>
      </c>
      <c r="BI245" s="97" t="str">
        <f aca="false">IF($BZ245&lt;&gt;Constants!$B$8,"",$BC245)</f>
        <v/>
      </c>
      <c r="BJ245" s="97" t="str">
        <f aca="false">IF($BZ245&lt;&gt;Constants!$B$8,"",$BD245)</f>
        <v/>
      </c>
      <c r="BK245" s="97" t="str">
        <f aca="false">IF($BZ245&lt;&gt;Constants!$B$8,"",IF($AL245,$AN245,""))</f>
        <v/>
      </c>
      <c r="BL245" s="99" t="str">
        <f aca="false">IF($BZ245&lt;&gt;Constants!$B$8,"",$AI245)</f>
        <v/>
      </c>
      <c r="BM245" s="93" t="str">
        <f aca="false">IF($BZ245&lt;&gt;Constants!$B$8,"",IF(OR($BT245&lt;$BH245,AND($BT245=$BH245,OR($BU245&lt;$BI245,AND($BU245=$BI245,OR($BV245&lt;$BJ245,AND($BV245=$BJ245,OR(AND(ISNUMBER($BW245),OR(NOT(ISNUMBER($BK245)),$BW245&lt;$BK245)),AND(OR(AND($BW245="",$BK245=""),AND(ISNUMBER($BW245),ISNUMBER($BK245),$BW245=$BK245)),$BX245&lt;$BL245)))))))),"-&gt;","&lt;-"))</f>
        <v/>
      </c>
      <c r="BN245" s="92" t="str">
        <f aca="false">IF(ISBLANK($C245),"",AND($AT245,OR($AU245="",$AV245="",AND($AW245,$AX245=""))))</f>
        <v/>
      </c>
      <c r="BO245" s="94" t="str">
        <f aca="false">IF($BZ245&lt;&gt;Constants!$B$8,"",IF($AT245,Constants!$B$21*$AV245+Constants!$B$22*IF($AW245,$AX245,Constants!$B$23),Constants!$B$24))</f>
        <v/>
      </c>
      <c r="BP245" s="97" t="str">
        <f aca="false">IF($BZ245&lt;&gt;Constants!$B$8,"",Constants!$B$25*ABS($AD$9-IF($AT245,$AU245,0)))</f>
        <v/>
      </c>
      <c r="BQ245" s="97" t="str">
        <f aca="false">IF($BZ245&lt;&gt;Constants!$B$8,"",IF(AND($AT245,$AY245,$AW245),Constants!$B$27,0))</f>
        <v/>
      </c>
      <c r="BR245" s="97" t="str">
        <f aca="false">IF($BZ245&lt;&gt;Constants!$B$8,"",IF($AT245,($AI245-Constants!$B$29)*Constants!$B$28,0))</f>
        <v/>
      </c>
      <c r="BS245" s="97" t="str">
        <f aca="false">IF($BZ245&lt;&gt;Constants!$B$8,"",IF($AS245,0,Constants!$B$15)+IF($AR245,0,Constants!$B$16)+IF($AH245,0,Constants!$B$17))</f>
        <v/>
      </c>
      <c r="BT245" s="98" t="str">
        <f aca="false">IF($BZ245&lt;&gt;Constants!$B$8,"",Constants!$B$20+SUM($BO245:$BS245))</f>
        <v/>
      </c>
      <c r="BU245" s="97" t="str">
        <f aca="false">IF($BZ245&lt;&gt;Constants!$B$8,"",$BO245)</f>
        <v/>
      </c>
      <c r="BV245" s="97" t="str">
        <f aca="false">IF($BZ245&lt;&gt;Constants!$B$8,"",$BP245)</f>
        <v/>
      </c>
      <c r="BW245" s="97" t="str">
        <f aca="false">IF($BZ245&lt;&gt;Constants!$B$8,"",IF($AT245,$AV245,""))</f>
        <v/>
      </c>
      <c r="BX245" s="99" t="str">
        <f aca="false">IF($BZ245&lt;&gt;Constants!$B$8,"",$AI245)</f>
        <v/>
      </c>
      <c r="BY245" s="93" t="str">
        <f aca="false">IF(ISBLANK($C245),"",IF(ISBLANK($D$7),$BY$5,IF(NOT(ISNUMBER($D$7)),$BY$6,"")))</f>
        <v/>
      </c>
      <c r="BZ245" s="93" t="str">
        <f aca="false">IF(ISBLANK($C245),"",IF($BA245,Constants!$B$11,IF(COUNTA($E245:$AA245)=0,Constants!$B$10,IF(NOT($AG245),Constants!$B$9,IF(OR($BY245&lt;&gt;"",$BB245,$BN245),Constants!$B$12,Constants!$B$8)))))</f>
        <v/>
      </c>
      <c r="CA245" s="93" t="str">
        <f aca="false">IF(ISBLANK($C245),"",IF($BZ245&lt;&gt;Constants!$B$8,$BZ245,Constants!$B$13))</f>
        <v/>
      </c>
      <c r="CB245" s="97" t="str">
        <f aca="false">IF($BZ245&lt;&gt;Constants!$B$8,"",IF($BM245="-&gt;",$BT245,$BH245))</f>
        <v/>
      </c>
      <c r="CC245" s="97" t="str">
        <f aca="false">IF($BZ245&lt;&gt;Constants!$B$8,"",IF($AF245,0,Constants!$B$18))</f>
        <v/>
      </c>
      <c r="CD245" s="97" t="str">
        <f aca="false">IF($BZ245&lt;&gt;Constants!$B$8,"",((Constants!$B$31-$AZ245)-Constants!$B$31)/Constants!$B$32)</f>
        <v/>
      </c>
      <c r="CE245" s="97" t="str">
        <f aca="false">IF(ISBLANK($C245),"",IF($BZ245&lt;&gt;Constants!$B$8,$BZ245,SUM($CB245:$CD245)))</f>
        <v/>
      </c>
      <c r="CF245" s="93" t="str">
        <f aca="false">IF(ISBLANK($C245),"",IF($BZ245&lt;&gt;Constants!$B$8,$BZ245,RANK($CE245,$CE$9:$CE$508,1)))</f>
        <v/>
      </c>
      <c r="CG245" s="97" t="str">
        <f aca="false">IF($BZ245&lt;&gt;Constants!$B$8,"",IF($BM245="-&gt;",$BU245,$BI245))</f>
        <v/>
      </c>
      <c r="CH245" s="93" t="str">
        <f aca="false">IF(ISBLANK($C245),"",IF($BZ245&lt;&gt;Constants!$B$8,$BZ245,IF(ISNUMBER($CG245),RANK($CG245,$CG$9:$CG$508,1),COUNT($CG$9:$CG$508)+1)))</f>
        <v/>
      </c>
      <c r="CI245" s="97" t="str">
        <f aca="false">IF($BZ245&lt;&gt;Constants!$B$8,"",IF($BM245="-&gt;",$BV245,$BJ245))</f>
        <v/>
      </c>
      <c r="CJ245" s="93" t="str">
        <f aca="false">IF(ISBLANK($C245),"",IF($BZ245&lt;&gt;Constants!$B$8,$BZ245,IF(ISNUMBER($CI245),RANK($CI245,$CI$9:$CI$508,1),COUNT($CI$9:$CI$508)+1)))</f>
        <v/>
      </c>
      <c r="CK245" s="97" t="str">
        <f aca="false">IF($BZ245&lt;&gt;Constants!$B$8,"",IF($BM245="-&gt;",$BW245,$BK245))</f>
        <v/>
      </c>
      <c r="CL245" s="93" t="str">
        <f aca="false">IF(ISBLANK($C245),"",IF($BZ245&lt;&gt;Constants!$B$8,$BZ245,IF(ISNUMBER($CK245),RANK($CK245,$CK$9:$CK$508,1),COUNT($CK$9:$CK$508)+1)))</f>
        <v/>
      </c>
      <c r="CM245" s="97" t="str">
        <f aca="false">IF($BZ245&lt;&gt;Constants!$B$8,"",IF(AND(NOT($AL245),NOT($AT245),$AJ245,$AK245,$AR245,$AS245),"",IF($BM245="-&gt;",$BX245,$BL245)))</f>
        <v/>
      </c>
      <c r="CN245" s="93" t="str">
        <f aca="false">IF(ISBLANK($C245),"",IF($BZ245&lt;&gt;Constants!$B$8,$BZ245,IF(ISNUMBER($CM245),RANK($CM245,$CM$9:$CM$508,1),COUNT($CM$9:$CM$508)+1)))</f>
        <v/>
      </c>
      <c r="CO245" s="93" t="str">
        <f aca="false">IF(ISBLANK($C245),"",IF($BZ245&lt;&gt;Constants!$B$8,$BZ245,COUNTIFS($CF$9:$CF$508,"&lt;"&amp;$CF245)+COUNTIFS($CF$9:$CF$508,$CF245,$CH$9:$CH$508,"&lt;"&amp;$CH245)+COUNTIFS($CF$9:$CF$508,$CF245,$CH$9:$CH$508,$CH245,$CJ$9:$CJ$508,"&lt;"&amp;$CJ245)+COUNTIFS($CF$9:$CF$508,$CF245,$CH$9:$CH$508,$CH245,$CJ$9:$CJ$508,$CJ245,$CL$9:$CL$508,"&lt;"&amp;$CL245)+COUNTIFS($CF$9:$CF$508,$CF245,$CH$9:$CH$508,$CH245,$CJ$9:$CJ$508,$CJ245,$CL$9:$CL$508,$CL245,$CN$9:$CN$508,"&lt;"&amp;$CN245)+1))</f>
        <v/>
      </c>
      <c r="CP245" s="93" t="str">
        <f aca="false">IF(ISBLANK($C245),"",IF($BZ245&lt;&gt;Constants!$B$8,$BZ245,$CF245-$CO245))</f>
        <v/>
      </c>
      <c r="CQ245" s="100"/>
      <c r="CR245" s="101"/>
      <c r="CS245" s="102" t="str">
        <f aca="false">IF(ISBLANK($C245),"",IF($BZ245=Constants!$B$12,$BY245,""))</f>
        <v/>
      </c>
      <c r="CT245" s="101" t="str">
        <f aca="false">IF(ISBLANK($C245),"",IF($BZ245&lt;&gt;Constants!$B$8,"",IF($BM245="-&gt;",2,1)))</f>
        <v/>
      </c>
      <c r="CU245" s="103" t="str">
        <f aca="false">IF(ISBLANK($C245),"",IF($BZ245&lt;&gt;Constants!$B$8,"",IF($BM245="-&gt;",$BO245,$BC245)))</f>
        <v/>
      </c>
      <c r="CV245" s="103" t="str">
        <f aca="false">IF(ISBLANK($C245),"",IF($BZ245&lt;&gt;Constants!$B$8,"",IF($BM245="-&gt;",$BP245,$BD245)))</f>
        <v/>
      </c>
      <c r="CW245" s="103" t="str">
        <f aca="false">IF(ISBLANK($C245),"",IF($BZ245&lt;&gt;Constants!$B$8,"",IF($BM245="-&gt;",$BQ245+$BR245,$BE245+$BF245)+$CD245))</f>
        <v/>
      </c>
      <c r="CX245" s="103" t="str">
        <f aca="false">IF(ISBLANK($C245),"",IF($BZ245&lt;&gt;Constants!$B$8,"",IF($BM245="-&gt;",$BS245,$BG245)+$CC245))</f>
        <v/>
      </c>
      <c r="CY245" s="104" t="str">
        <f aca="false">IF(ISBLANK($C245),"",IF($BZ245&lt;&gt;Constants!$B$8,$BZ245,$CE245))</f>
        <v/>
      </c>
      <c r="CZ245" s="105" t="str">
        <f aca="false">IF(ISBLANK($C245),"",$CA245)</f>
        <v/>
      </c>
      <c r="DA245" s="106" t="str">
        <f aca="false">IF(ISBLANK($C245),"",$CP245)</f>
        <v/>
      </c>
      <c r="DB245" s="106" t="str">
        <f aca="false">IF(ISBLANK($C245),"",$CO245)</f>
        <v/>
      </c>
      <c r="DC245" s="107" t="str">
        <f aca="false">IF(ISBLANK($C245),"",IFERROR(_xlfn.SWITCH($DB245,Constants!$B$11,COUNTA($C$9:$C$508)+2,Constants!$B$10,COUNTA($C$9:$C$508)+1,Constants!$B$9,COUNTA($C$9:$C$508)),$DB245))</f>
        <v/>
      </c>
      <c r="DD245" s="9"/>
      <c r="DE245" s="108" t="n">
        <f aca="false">IF(OR(ISNUMBER($DB245),$DB245=Constants!$B$11,$DB245=Constants!$B$9,$DB245=Constants!$B$10),1,0)</f>
        <v>0</v>
      </c>
      <c r="DF245" s="108" t="n">
        <v>237</v>
      </c>
      <c r="DG245" s="108" t="str">
        <f aca="false">IF(ISBLANK($C245),"",IF(ISNUMBER($DC245),$DC245+ROW($B245)/1000,""))</f>
        <v/>
      </c>
      <c r="DH245" s="108" t="str">
        <f aca="false">IF(ISNUMBER($DG245),RANK($DG245,$DG$9:$DG$508,1),"")</f>
        <v/>
      </c>
      <c r="DI245" s="108" t="str">
        <f aca="false">IF(ISBLANK($C245),"",$B245)</f>
        <v/>
      </c>
      <c r="DJ245" s="108" t="str">
        <f aca="false">IF(ISBLANK($C245),"",$C245)</f>
        <v/>
      </c>
      <c r="DK245" s="108" t="str">
        <f aca="false">IF(ISBLANK($C245),"",$D245)</f>
        <v/>
      </c>
      <c r="DL245" s="109" t="str">
        <f aca="false">$CZ245</f>
        <v/>
      </c>
      <c r="DM245" s="110" t="str">
        <f aca="false">$CY245</f>
        <v/>
      </c>
      <c r="DN245" s="108" t="str">
        <f aca="false">IF(ISBLANK($C245),"",$DB245)</f>
        <v/>
      </c>
      <c r="DO245" s="111" t="str">
        <f aca="false">IF($DF245&gt;$DE$8,"",VLOOKUP($DF245,$DH$9:$DN$508,7,FALSE()))</f>
        <v/>
      </c>
      <c r="DP245" s="112" t="str">
        <f aca="false">IF($DF245&gt;$DE$8,"",VLOOKUP($DF245,$DH$9:$DN$508,2,FALSE()))</f>
        <v/>
      </c>
      <c r="DQ245" s="112" t="str">
        <f aca="false">IF($DF245&gt;$DE$8,"",VLOOKUP($DF245,$DH$9:$DN$508,3,FALSE()))</f>
        <v/>
      </c>
      <c r="DR245" s="112" t="str">
        <f aca="false">IF($DF245&gt;$DE$8,"",VLOOKUP($DF245,$DH$9:$DN$508,4,FALSE()))</f>
        <v/>
      </c>
      <c r="DS245" s="112" t="str">
        <f aca="false">IF($DF245&gt;$DE$8,"",VLOOKUP($DF245,$DH$9:$DN$508,5,FALSE()))</f>
        <v/>
      </c>
      <c r="DT245" s="113" t="str">
        <f aca="false">IF($DF245&gt;$DE$8,"",VLOOKUP($DF245,$DH$9:$DN$508,6,FALSE()))</f>
        <v/>
      </c>
      <c r="DU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IF(ISBLANK($C246),"",IF(E246=Constants!$B$3,TRUE(),IF(E246=Constants!$B$4,FALSE(),TRUE())))</f>
        <v/>
      </c>
      <c r="AG246" s="135" t="str">
        <f aca="false">IF(ISBLANK($C246),"",IF(F246=Constants!$B$3,TRUE(),IF(F246=Constants!$B$4,FALSE(),TRUE())))</f>
        <v/>
      </c>
      <c r="AH246" s="135" t="str">
        <f aca="false">IF(ISBLANK($C246),"",IF(G246=Constants!$B$3,TRUE(),IF(G246=Constants!$B$4,FALSE(),TRUE())))</f>
        <v/>
      </c>
      <c r="AI246" s="135" t="str">
        <f aca="false">IF(ISBLANK($C246),"",IF(AND(ISNUMBER(H246),H246&gt;=0),H246,Constants!$B$29))</f>
        <v/>
      </c>
      <c r="AJ246" s="135" t="str">
        <f aca="false">IF(ISBLANK($C246),"",IF(I246=Constants!$B$3,TRUE(),IF(I246=Constants!$B$4,FALSE(),TRUE())))</f>
        <v/>
      </c>
      <c r="AK246" s="135" t="str">
        <f aca="false">IF(ISBLANK($C246),"",IF(J246=Constants!$B$3,TRUE(),IF(J246=Constants!$B$4,FALSE(),TRUE())))</f>
        <v/>
      </c>
      <c r="AL246" s="135" t="str">
        <f aca="false">IF(ISBLANK($C246),"",IF(K246=Constants!$B$5,TRUE(),IF(K246=Constants!$B$6,FALSE(),COUNTA(L246:P246)&gt;0)))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IF(ISBLANK($C246),"",IF(N246=Constants!$B$3,TRUE(),IF(N246=Constants!$B$4,FALSE(),TRUE())))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IF(ISBLANK($C246),"",IF(P246=Constants!$B$3,TRUE(),IF(P246=Constants!$B$4,FALSE(),FALSE())))</f>
        <v/>
      </c>
      <c r="AR246" s="135" t="str">
        <f aca="false">IF(ISBLANK($C246),"",IF(Q246=Constants!$B$3,TRUE(),IF(Q246=Constants!$B$4,FALSE(),TRUE())))</f>
        <v/>
      </c>
      <c r="AS246" s="135" t="str">
        <f aca="false">IF(ISBLANK($C246),"",IF(R246=Constants!$B$3,TRUE(),IF(R246=Constants!$B$4,FALSE(),TRUE())))</f>
        <v/>
      </c>
      <c r="AT246" s="135" t="str">
        <f aca="false">IF(ISBLANK($C246),"",IF(S246=Constants!$B$5,TRUE(),IF(S246=Constants!$B$6,FALSE(),COUNTA(T246:X246)&gt;0)))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IF(ISBLANK($C246),"",IF(V246=Constants!$B$3,TRUE(),IF(V246=Constants!$B$4,FALSE(),TRUE())))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IF(ISBLANK($C246),"",IF(X246=Constants!$B$3,TRUE(),IF(X246=Constants!$B$4,FALSE(),FALSE())))</f>
        <v/>
      </c>
      <c r="AZ246" s="135" t="str">
        <f aca="false">IF(ISBLANK($C246),"",MIN(Constants!$B$31,MAX(0,IF(ISNUMBER(Y246),Y246*60,0)+IF(ISNUMBER(Z246),Z246,0))))</f>
        <v/>
      </c>
      <c r="BA246" s="135" t="str">
        <f aca="false">IF(ISBLANK($C246),"",IF(AA246=Constants!$B$3,TRUE(),IF(AA246=Constants!$B$4,FALSE(),FALSE())))</f>
        <v/>
      </c>
      <c r="BB246" s="134" t="str">
        <f aca="false">IF(ISBLANK($C246),"",AND($AL246,OR($AM246="",$AN246="",AND($AO246,$AP246=""))))</f>
        <v/>
      </c>
      <c r="BC246" s="137" t="str">
        <f aca="false">IF($BZ246&lt;&gt;Constants!$B$8,"",IF($AL246,Constants!$B$21*$AN246+Constants!$B$22*IF($AO246,$AP246,Constants!$B$23),Constants!$B$24))</f>
        <v/>
      </c>
      <c r="BD246" s="138" t="str">
        <f aca="false">IF($BZ246&lt;&gt;Constants!$B$8,"",Constants!$B$25*ABS($AD$9-IF($AL246,$AM246,0)))</f>
        <v/>
      </c>
      <c r="BE246" s="138" t="str">
        <f aca="false">IF($BZ246&lt;&gt;Constants!$B$8,"",IF(AND($AL246,$AQ246,$AO246),Constants!$B$27,0))</f>
        <v/>
      </c>
      <c r="BF246" s="138" t="str">
        <f aca="false">IF($BZ246&lt;&gt;Constants!$B$8,"",IF($AL246,($AI246-Constants!$B$29)*Constants!$B$28,0))</f>
        <v/>
      </c>
      <c r="BG246" s="138" t="str">
        <f aca="false">IF($BZ246&lt;&gt;Constants!$B$8,"",IF($AK246,0,Constants!$B$15)+IF($AJ246,0,Constants!$B$16)+IF($AH246,0,Constants!$B$17))</f>
        <v/>
      </c>
      <c r="BH246" s="139" t="str">
        <f aca="false">IF($BZ246&lt;&gt;Constants!$B$8,"",Constants!$B$20+SUM($BC246:$BG246))</f>
        <v/>
      </c>
      <c r="BI246" s="138" t="str">
        <f aca="false">IF($BZ246&lt;&gt;Constants!$B$8,"",$BC246)</f>
        <v/>
      </c>
      <c r="BJ246" s="138" t="str">
        <f aca="false">IF($BZ246&lt;&gt;Constants!$B$8,"",$BD246)</f>
        <v/>
      </c>
      <c r="BK246" s="138" t="str">
        <f aca="false">IF($BZ246&lt;&gt;Constants!$B$8,"",IF($AL246,$AN246,""))</f>
        <v/>
      </c>
      <c r="BL246" s="140" t="str">
        <f aca="false">IF($BZ246&lt;&gt;Constants!$B$8,"",$AI246)</f>
        <v/>
      </c>
      <c r="BM246" s="135" t="str">
        <f aca="false">IF($BZ246&lt;&gt;Constants!$B$8,"",IF(OR($BT246&lt;$BH246,AND($BT246=$BH246,OR($BU246&lt;$BI246,AND($BU246=$BI246,OR($BV246&lt;$BJ246,AND($BV246=$BJ246,OR(AND(ISNUMBER($BW246),OR(NOT(ISNUMBER($BK246)),$BW246&lt;$BK246)),AND(OR(AND($BW246="",$BK246=""),AND(ISNUMBER($BW246),ISNUMBER($BK246),$BW246=$BK246)),$BX246&lt;$BL246)))))))),"-&gt;","&lt;-"))</f>
        <v/>
      </c>
      <c r="BN246" s="134" t="str">
        <f aca="false">IF(ISBLANK($C246),"",AND($AT246,OR($AU246="",$AV246="",AND($AW246,$AX246=""))))</f>
        <v/>
      </c>
      <c r="BO246" s="137" t="str">
        <f aca="false">IF($BZ246&lt;&gt;Constants!$B$8,"",IF($AT246,Constants!$B$21*$AV246+Constants!$B$22*IF($AW246,$AX246,Constants!$B$23),Constants!$B$24))</f>
        <v/>
      </c>
      <c r="BP246" s="138" t="str">
        <f aca="false">IF($BZ246&lt;&gt;Constants!$B$8,"",Constants!$B$25*ABS($AD$9-IF($AT246,$AU246,0)))</f>
        <v/>
      </c>
      <c r="BQ246" s="138" t="str">
        <f aca="false">IF($BZ246&lt;&gt;Constants!$B$8,"",IF(AND($AT246,$AY246,$AW246),Constants!$B$27,0))</f>
        <v/>
      </c>
      <c r="BR246" s="138" t="str">
        <f aca="false">IF($BZ246&lt;&gt;Constants!$B$8,"",IF($AT246,($AI246-Constants!$B$29)*Constants!$B$28,0))</f>
        <v/>
      </c>
      <c r="BS246" s="138" t="str">
        <f aca="false">IF($BZ246&lt;&gt;Constants!$B$8,"",IF($AS246,0,Constants!$B$15)+IF($AR246,0,Constants!$B$16)+IF($AH246,0,Constants!$B$17))</f>
        <v/>
      </c>
      <c r="BT246" s="139" t="str">
        <f aca="false">IF($BZ246&lt;&gt;Constants!$B$8,"",Constants!$B$20+SUM($BO246:$BS246))</f>
        <v/>
      </c>
      <c r="BU246" s="138" t="str">
        <f aca="false">IF($BZ246&lt;&gt;Constants!$B$8,"",$BO246)</f>
        <v/>
      </c>
      <c r="BV246" s="138" t="str">
        <f aca="false">IF($BZ246&lt;&gt;Constants!$B$8,"",$BP246)</f>
        <v/>
      </c>
      <c r="BW246" s="138" t="str">
        <f aca="false">IF($BZ246&lt;&gt;Constants!$B$8,"",IF($AT246,$AV246,""))</f>
        <v/>
      </c>
      <c r="BX246" s="140" t="str">
        <f aca="false">IF($BZ246&lt;&gt;Constants!$B$8,"",$AI246)</f>
        <v/>
      </c>
      <c r="BY246" s="135" t="str">
        <f aca="false">IF(ISBLANK($C246),"",IF(ISBLANK($D$7),$BY$5,IF(NOT(ISNUMBER($D$7)),$BY$6,"")))</f>
        <v/>
      </c>
      <c r="BZ246" s="135" t="str">
        <f aca="false">IF(ISBLANK($C246),"",IF($BA246,Constants!$B$11,IF(COUNTA($E246:$AA246)=0,Constants!$B$10,IF(NOT($AG246),Constants!$B$9,IF(OR($BY246&lt;&gt;"",$BB246,$BN246),Constants!$B$12,Constants!$B$8)))))</f>
        <v/>
      </c>
      <c r="CA246" s="135" t="str">
        <f aca="false">IF(ISBLANK($C246),"",IF($BZ246&lt;&gt;Constants!$B$8,$BZ246,Constants!$B$13))</f>
        <v/>
      </c>
      <c r="CB246" s="138" t="str">
        <f aca="false">IF($BZ246&lt;&gt;Constants!$B$8,"",IF($BM246="-&gt;",$BT246,$BH246))</f>
        <v/>
      </c>
      <c r="CC246" s="138" t="str">
        <f aca="false">IF($BZ246&lt;&gt;Constants!$B$8,"",IF($AF246,0,Constants!$B$18))</f>
        <v/>
      </c>
      <c r="CD246" s="138" t="str">
        <f aca="false">IF($BZ246&lt;&gt;Constants!$B$8,"",((Constants!$B$31-$AZ246)-Constants!$B$31)/Constants!$B$32)</f>
        <v/>
      </c>
      <c r="CE246" s="138" t="str">
        <f aca="false">IF(ISBLANK($C246),"",IF($BZ246&lt;&gt;Constants!$B$8,$BZ246,SUM($CB246:$CD246)))</f>
        <v/>
      </c>
      <c r="CF246" s="135" t="str">
        <f aca="false">IF(ISBLANK($C246),"",IF($BZ246&lt;&gt;Constants!$B$8,$BZ246,RANK($CE246,$CE$9:$CE$508,1)))</f>
        <v/>
      </c>
      <c r="CG246" s="138" t="str">
        <f aca="false">IF($BZ246&lt;&gt;Constants!$B$8,"",IF($BM246="-&gt;",$BU246,$BI246))</f>
        <v/>
      </c>
      <c r="CH246" s="135" t="str">
        <f aca="false">IF(ISBLANK($C246),"",IF($BZ246&lt;&gt;Constants!$B$8,$BZ246,IF(ISNUMBER($CG246),RANK($CG246,$CG$9:$CG$508,1),COUNT($CG$9:$CG$508)+1)))</f>
        <v/>
      </c>
      <c r="CI246" s="138" t="str">
        <f aca="false">IF($BZ246&lt;&gt;Constants!$B$8,"",IF($BM246="-&gt;",$BV246,$BJ246))</f>
        <v/>
      </c>
      <c r="CJ246" s="135" t="str">
        <f aca="false">IF(ISBLANK($C246),"",IF($BZ246&lt;&gt;Constants!$B$8,$BZ246,IF(ISNUMBER($CI246),RANK($CI246,$CI$9:$CI$508,1),COUNT($CI$9:$CI$508)+1)))</f>
        <v/>
      </c>
      <c r="CK246" s="138" t="str">
        <f aca="false">IF($BZ246&lt;&gt;Constants!$B$8,"",IF($BM246="-&gt;",$BW246,$BK246))</f>
        <v/>
      </c>
      <c r="CL246" s="135" t="str">
        <f aca="false">IF(ISBLANK($C246),"",IF($BZ246&lt;&gt;Constants!$B$8,$BZ246,IF(ISNUMBER($CK246),RANK($CK246,$CK$9:$CK$508,1),COUNT($CK$9:$CK$508)+1)))</f>
        <v/>
      </c>
      <c r="CM246" s="138" t="str">
        <f aca="false">IF($BZ246&lt;&gt;Constants!$B$8,"",IF(AND(NOT($AL246),NOT($AT246),$AJ246,$AK246,$AR246,$AS246),"",IF($BM246="-&gt;",$BX246,$BL246)))</f>
        <v/>
      </c>
      <c r="CN246" s="135" t="str">
        <f aca="false">IF(ISBLANK($C246),"",IF($BZ246&lt;&gt;Constants!$B$8,$BZ246,IF(ISNUMBER($CM246),RANK($CM246,$CM$9:$CM$508,1),COUNT($CM$9:$CM$508)+1)))</f>
        <v/>
      </c>
      <c r="CO246" s="135" t="str">
        <f aca="false">IF(ISBLANK($C246),"",IF($BZ246&lt;&gt;Constants!$B$8,$BZ246,COUNTIFS($CF$9:$CF$508,"&lt;"&amp;$CF246)+COUNTIFS($CF$9:$CF$508,$CF246,$CH$9:$CH$508,"&lt;"&amp;$CH246)+COUNTIFS($CF$9:$CF$508,$CF246,$CH$9:$CH$508,$CH246,$CJ$9:$CJ$508,"&lt;"&amp;$CJ246)+COUNTIFS($CF$9:$CF$508,$CF246,$CH$9:$CH$508,$CH246,$CJ$9:$CJ$508,$CJ246,$CL$9:$CL$508,"&lt;"&amp;$CL246)+COUNTIFS($CF$9:$CF$508,$CF246,$CH$9:$CH$508,$CH246,$CJ$9:$CJ$508,$CJ246,$CL$9:$CL$508,$CL246,$CN$9:$CN$508,"&lt;"&amp;$CN246)+1))</f>
        <v/>
      </c>
      <c r="CP246" s="135" t="str">
        <f aca="false">IF(ISBLANK($C246),"",IF($BZ246&lt;&gt;Constants!$B$8,$BZ246,$CF246-$CO246))</f>
        <v/>
      </c>
      <c r="CQ246" s="141"/>
      <c r="CR246" s="142"/>
      <c r="CS246" s="143" t="str">
        <f aca="false">IF(ISBLANK($C246),"",IF($BZ246=Constants!$B$12,$BY246,""))</f>
        <v/>
      </c>
      <c r="CT246" s="142" t="str">
        <f aca="false">IF(ISBLANK($C246),"",IF($BZ246&lt;&gt;Constants!$B$8,"",IF($BM246="-&gt;",2,1)))</f>
        <v/>
      </c>
      <c r="CU246" s="144" t="str">
        <f aca="false">IF(ISBLANK($C246),"",IF($BZ246&lt;&gt;Constants!$B$8,"",IF($BM246="-&gt;",$BO246,$BC246)))</f>
        <v/>
      </c>
      <c r="CV246" s="144" t="str">
        <f aca="false">IF(ISBLANK($C246),"",IF($BZ246&lt;&gt;Constants!$B$8,"",IF($BM246="-&gt;",$BP246,$BD246)))</f>
        <v/>
      </c>
      <c r="CW246" s="144" t="str">
        <f aca="false">IF(ISBLANK($C246),"",IF($BZ246&lt;&gt;Constants!$B$8,"",IF($BM246="-&gt;",$BQ246+$BR246,$BE246+$BF246)+$CD246))</f>
        <v/>
      </c>
      <c r="CX246" s="144" t="str">
        <f aca="false">IF(ISBLANK($C246),"",IF($BZ246&lt;&gt;Constants!$B$8,"",IF($BM246="-&gt;",$BS246,$BG246)+$CC246))</f>
        <v/>
      </c>
      <c r="CY246" s="145" t="str">
        <f aca="false">IF(ISBLANK($C246),"",IF($BZ246&lt;&gt;Constants!$B$8,$BZ246,$CE246))</f>
        <v/>
      </c>
      <c r="CZ246" s="146" t="str">
        <f aca="false">IF(ISBLANK($C246),"",$CA246)</f>
        <v/>
      </c>
      <c r="DA246" s="147" t="str">
        <f aca="false">IF(ISBLANK($C246),"",$CP246)</f>
        <v/>
      </c>
      <c r="DB246" s="147" t="str">
        <f aca="false">IF(ISBLANK($C246),"",$CO246)</f>
        <v/>
      </c>
      <c r="DC246" s="148" t="str">
        <f aca="false">IF(ISBLANK($C246),"",IFERROR(_xlfn.SWITCH($DB246,Constants!$B$11,COUNTA($C$9:$C$508)+2,Constants!$B$10,COUNTA($C$9:$C$508)+1,Constants!$B$9,COUNTA($C$9:$C$508)),$DB246))</f>
        <v/>
      </c>
      <c r="DD246" s="9"/>
      <c r="DE246" s="149" t="n">
        <f aca="false">IF(OR(ISNUMBER($DB246),$DB246=Constants!$B$11,$DB246=Constants!$B$9,$DB246=Constants!$B$10),1,0)</f>
        <v>0</v>
      </c>
      <c r="DF246" s="149" t="n">
        <v>238</v>
      </c>
      <c r="DG246" s="149" t="str">
        <f aca="false">IF(ISBLANK($C246),"",IF(ISNUMBER($DC246),$DC246+ROW($B246)/1000,""))</f>
        <v/>
      </c>
      <c r="DH246" s="149" t="str">
        <f aca="false">IF(ISNUMBER($DG246),RANK($DG246,$DG$9:$DG$508,1),"")</f>
        <v/>
      </c>
      <c r="DI246" s="149" t="str">
        <f aca="false">IF(ISBLANK($C246),"",$B246)</f>
        <v/>
      </c>
      <c r="DJ246" s="149" t="str">
        <f aca="false">IF(ISBLANK($C246),"",$C246)</f>
        <v/>
      </c>
      <c r="DK246" s="149" t="str">
        <f aca="false">IF(ISBLANK($C246),"",$D246)</f>
        <v/>
      </c>
      <c r="DL246" s="150" t="str">
        <f aca="false">$CZ246</f>
        <v/>
      </c>
      <c r="DM246" s="151" t="str">
        <f aca="false">$CY246</f>
        <v/>
      </c>
      <c r="DN246" s="149" t="str">
        <f aca="false">IF(ISBLANK($C246),"",$DB246)</f>
        <v/>
      </c>
      <c r="DO246" s="152" t="str">
        <f aca="false">IF($DF246&gt;$DE$8,"",VLOOKUP($DF246,$DH$9:$DN$508,7,FALSE()))</f>
        <v/>
      </c>
      <c r="DP246" s="153" t="str">
        <f aca="false">IF($DF246&gt;$DE$8,"",VLOOKUP($DF246,$DH$9:$DN$508,2,FALSE()))</f>
        <v/>
      </c>
      <c r="DQ246" s="153" t="str">
        <f aca="false">IF($DF246&gt;$DE$8,"",VLOOKUP($DF246,$DH$9:$DN$508,3,FALSE()))</f>
        <v/>
      </c>
      <c r="DR246" s="153" t="str">
        <f aca="false">IF($DF246&gt;$DE$8,"",VLOOKUP($DF246,$DH$9:$DN$508,4,FALSE()))</f>
        <v/>
      </c>
      <c r="DS246" s="153" t="str">
        <f aca="false">IF($DF246&gt;$DE$8,"",VLOOKUP($DF246,$DH$9:$DN$508,5,FALSE()))</f>
        <v/>
      </c>
      <c r="DT246" s="154" t="str">
        <f aca="false">IF($DF246&gt;$DE$8,"",VLOOKUP($DF246,$DH$9:$DN$508,6,FALSE()))</f>
        <v/>
      </c>
      <c r="DU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IF(ISBLANK($C247),"",IF(E247=Constants!$B$3,TRUE(),IF(E247=Constants!$B$4,FALSE(),TRUE())))</f>
        <v/>
      </c>
      <c r="AG247" s="135" t="str">
        <f aca="false">IF(ISBLANK($C247),"",IF(F247=Constants!$B$3,TRUE(),IF(F247=Constants!$B$4,FALSE(),TRUE())))</f>
        <v/>
      </c>
      <c r="AH247" s="135" t="str">
        <f aca="false">IF(ISBLANK($C247),"",IF(G247=Constants!$B$3,TRUE(),IF(G247=Constants!$B$4,FALSE(),TRUE())))</f>
        <v/>
      </c>
      <c r="AI247" s="135" t="str">
        <f aca="false">IF(ISBLANK($C247),"",IF(AND(ISNUMBER(H247),H247&gt;=0),H247,Constants!$B$29))</f>
        <v/>
      </c>
      <c r="AJ247" s="135" t="str">
        <f aca="false">IF(ISBLANK($C247),"",IF(I247=Constants!$B$3,TRUE(),IF(I247=Constants!$B$4,FALSE(),TRUE())))</f>
        <v/>
      </c>
      <c r="AK247" s="135" t="str">
        <f aca="false">IF(ISBLANK($C247),"",IF(J247=Constants!$B$3,TRUE(),IF(J247=Constants!$B$4,FALSE(),TRUE())))</f>
        <v/>
      </c>
      <c r="AL247" s="135" t="str">
        <f aca="false">IF(ISBLANK($C247),"",IF(K247=Constants!$B$5,TRUE(),IF(K247=Constants!$B$6,FALSE(),COUNTA(L247:P247)&gt;0)))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IF(ISBLANK($C247),"",IF(N247=Constants!$B$3,TRUE(),IF(N247=Constants!$B$4,FALSE(),TRUE())))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IF(ISBLANK($C247),"",IF(P247=Constants!$B$3,TRUE(),IF(P247=Constants!$B$4,FALSE(),FALSE())))</f>
        <v/>
      </c>
      <c r="AR247" s="135" t="str">
        <f aca="false">IF(ISBLANK($C247),"",IF(Q247=Constants!$B$3,TRUE(),IF(Q247=Constants!$B$4,FALSE(),TRUE())))</f>
        <v/>
      </c>
      <c r="AS247" s="135" t="str">
        <f aca="false">IF(ISBLANK($C247),"",IF(R247=Constants!$B$3,TRUE(),IF(R247=Constants!$B$4,FALSE(),TRUE())))</f>
        <v/>
      </c>
      <c r="AT247" s="135" t="str">
        <f aca="false">IF(ISBLANK($C247),"",IF(S247=Constants!$B$5,TRUE(),IF(S247=Constants!$B$6,FALSE(),COUNTA(T247:X247)&gt;0)))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IF(ISBLANK($C247),"",IF(V247=Constants!$B$3,TRUE(),IF(V247=Constants!$B$4,FALSE(),TRUE())))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IF(ISBLANK($C247),"",IF(X247=Constants!$B$3,TRUE(),IF(X247=Constants!$B$4,FALSE(),FALSE())))</f>
        <v/>
      </c>
      <c r="AZ247" s="135" t="str">
        <f aca="false">IF(ISBLANK($C247),"",MIN(Constants!$B$31,MAX(0,IF(ISNUMBER(Y247),Y247*60,0)+IF(ISNUMBER(Z247),Z247,0))))</f>
        <v/>
      </c>
      <c r="BA247" s="135" t="str">
        <f aca="false">IF(ISBLANK($C247),"",IF(AA247=Constants!$B$3,TRUE(),IF(AA247=Constants!$B$4,FALSE(),FALSE())))</f>
        <v/>
      </c>
      <c r="BB247" s="134" t="str">
        <f aca="false">IF(ISBLANK($C247),"",AND($AL247,OR($AM247="",$AN247="",AND($AO247,$AP247=""))))</f>
        <v/>
      </c>
      <c r="BC247" s="137" t="str">
        <f aca="false">IF($BZ247&lt;&gt;Constants!$B$8,"",IF($AL247,Constants!$B$21*$AN247+Constants!$B$22*IF($AO247,$AP247,Constants!$B$23),Constants!$B$24))</f>
        <v/>
      </c>
      <c r="BD247" s="138" t="str">
        <f aca="false">IF($BZ247&lt;&gt;Constants!$B$8,"",Constants!$B$25*ABS($AD$9-IF($AL247,$AM247,0)))</f>
        <v/>
      </c>
      <c r="BE247" s="138" t="str">
        <f aca="false">IF($BZ247&lt;&gt;Constants!$B$8,"",IF(AND($AL247,$AQ247,$AO247),Constants!$B$27,0))</f>
        <v/>
      </c>
      <c r="BF247" s="138" t="str">
        <f aca="false">IF($BZ247&lt;&gt;Constants!$B$8,"",IF($AL247,($AI247-Constants!$B$29)*Constants!$B$28,0))</f>
        <v/>
      </c>
      <c r="BG247" s="138" t="str">
        <f aca="false">IF($BZ247&lt;&gt;Constants!$B$8,"",IF($AK247,0,Constants!$B$15)+IF($AJ247,0,Constants!$B$16)+IF($AH247,0,Constants!$B$17))</f>
        <v/>
      </c>
      <c r="BH247" s="139" t="str">
        <f aca="false">IF($BZ247&lt;&gt;Constants!$B$8,"",Constants!$B$20+SUM($BC247:$BG247))</f>
        <v/>
      </c>
      <c r="BI247" s="138" t="str">
        <f aca="false">IF($BZ247&lt;&gt;Constants!$B$8,"",$BC247)</f>
        <v/>
      </c>
      <c r="BJ247" s="138" t="str">
        <f aca="false">IF($BZ247&lt;&gt;Constants!$B$8,"",$BD247)</f>
        <v/>
      </c>
      <c r="BK247" s="138" t="str">
        <f aca="false">IF($BZ247&lt;&gt;Constants!$B$8,"",IF($AL247,$AN247,""))</f>
        <v/>
      </c>
      <c r="BL247" s="140" t="str">
        <f aca="false">IF($BZ247&lt;&gt;Constants!$B$8,"",$AI247)</f>
        <v/>
      </c>
      <c r="BM247" s="135" t="str">
        <f aca="false">IF($BZ247&lt;&gt;Constants!$B$8,"",IF(OR($BT247&lt;$BH247,AND($BT247=$BH247,OR($BU247&lt;$BI247,AND($BU247=$BI247,OR($BV247&lt;$BJ247,AND($BV247=$BJ247,OR(AND(ISNUMBER($BW247),OR(NOT(ISNUMBER($BK247)),$BW247&lt;$BK247)),AND(OR(AND($BW247="",$BK247=""),AND(ISNUMBER($BW247),ISNUMBER($BK247),$BW247=$BK247)),$BX247&lt;$BL247)))))))),"-&gt;","&lt;-"))</f>
        <v/>
      </c>
      <c r="BN247" s="134" t="str">
        <f aca="false">IF(ISBLANK($C247),"",AND($AT247,OR($AU247="",$AV247="",AND($AW247,$AX247=""))))</f>
        <v/>
      </c>
      <c r="BO247" s="137" t="str">
        <f aca="false">IF($BZ247&lt;&gt;Constants!$B$8,"",IF($AT247,Constants!$B$21*$AV247+Constants!$B$22*IF($AW247,$AX247,Constants!$B$23),Constants!$B$24))</f>
        <v/>
      </c>
      <c r="BP247" s="138" t="str">
        <f aca="false">IF($BZ247&lt;&gt;Constants!$B$8,"",Constants!$B$25*ABS($AD$9-IF($AT247,$AU247,0)))</f>
        <v/>
      </c>
      <c r="BQ247" s="138" t="str">
        <f aca="false">IF($BZ247&lt;&gt;Constants!$B$8,"",IF(AND($AT247,$AY247,$AW247),Constants!$B$27,0))</f>
        <v/>
      </c>
      <c r="BR247" s="138" t="str">
        <f aca="false">IF($BZ247&lt;&gt;Constants!$B$8,"",IF($AT247,($AI247-Constants!$B$29)*Constants!$B$28,0))</f>
        <v/>
      </c>
      <c r="BS247" s="138" t="str">
        <f aca="false">IF($BZ247&lt;&gt;Constants!$B$8,"",IF($AS247,0,Constants!$B$15)+IF($AR247,0,Constants!$B$16)+IF($AH247,0,Constants!$B$17))</f>
        <v/>
      </c>
      <c r="BT247" s="139" t="str">
        <f aca="false">IF($BZ247&lt;&gt;Constants!$B$8,"",Constants!$B$20+SUM($BO247:$BS247))</f>
        <v/>
      </c>
      <c r="BU247" s="138" t="str">
        <f aca="false">IF($BZ247&lt;&gt;Constants!$B$8,"",$BO247)</f>
        <v/>
      </c>
      <c r="BV247" s="138" t="str">
        <f aca="false">IF($BZ247&lt;&gt;Constants!$B$8,"",$BP247)</f>
        <v/>
      </c>
      <c r="BW247" s="138" t="str">
        <f aca="false">IF($BZ247&lt;&gt;Constants!$B$8,"",IF($AT247,$AV247,""))</f>
        <v/>
      </c>
      <c r="BX247" s="140" t="str">
        <f aca="false">IF($BZ247&lt;&gt;Constants!$B$8,"",$AI247)</f>
        <v/>
      </c>
      <c r="BY247" s="135" t="str">
        <f aca="false">IF(ISBLANK($C247),"",IF(ISBLANK($D$7),$BY$5,IF(NOT(ISNUMBER($D$7)),$BY$6,"")))</f>
        <v/>
      </c>
      <c r="BZ247" s="135" t="str">
        <f aca="false">IF(ISBLANK($C247),"",IF($BA247,Constants!$B$11,IF(COUNTA($E247:$AA247)=0,Constants!$B$10,IF(NOT($AG247),Constants!$B$9,IF(OR($BY247&lt;&gt;"",$BB247,$BN247),Constants!$B$12,Constants!$B$8)))))</f>
        <v/>
      </c>
      <c r="CA247" s="135" t="str">
        <f aca="false">IF(ISBLANK($C247),"",IF($BZ247&lt;&gt;Constants!$B$8,$BZ247,Constants!$B$13))</f>
        <v/>
      </c>
      <c r="CB247" s="138" t="str">
        <f aca="false">IF($BZ247&lt;&gt;Constants!$B$8,"",IF($BM247="-&gt;",$BT247,$BH247))</f>
        <v/>
      </c>
      <c r="CC247" s="138" t="str">
        <f aca="false">IF($BZ247&lt;&gt;Constants!$B$8,"",IF($AF247,0,Constants!$B$18))</f>
        <v/>
      </c>
      <c r="CD247" s="138" t="str">
        <f aca="false">IF($BZ247&lt;&gt;Constants!$B$8,"",((Constants!$B$31-$AZ247)-Constants!$B$31)/Constants!$B$32)</f>
        <v/>
      </c>
      <c r="CE247" s="138" t="str">
        <f aca="false">IF(ISBLANK($C247),"",IF($BZ247&lt;&gt;Constants!$B$8,$BZ247,SUM($CB247:$CD247)))</f>
        <v/>
      </c>
      <c r="CF247" s="135" t="str">
        <f aca="false">IF(ISBLANK($C247),"",IF($BZ247&lt;&gt;Constants!$B$8,$BZ247,RANK($CE247,$CE$9:$CE$508,1)))</f>
        <v/>
      </c>
      <c r="CG247" s="138" t="str">
        <f aca="false">IF($BZ247&lt;&gt;Constants!$B$8,"",IF($BM247="-&gt;",$BU247,$BI247))</f>
        <v/>
      </c>
      <c r="CH247" s="135" t="str">
        <f aca="false">IF(ISBLANK($C247),"",IF($BZ247&lt;&gt;Constants!$B$8,$BZ247,IF(ISNUMBER($CG247),RANK($CG247,$CG$9:$CG$508,1),COUNT($CG$9:$CG$508)+1)))</f>
        <v/>
      </c>
      <c r="CI247" s="138" t="str">
        <f aca="false">IF($BZ247&lt;&gt;Constants!$B$8,"",IF($BM247="-&gt;",$BV247,$BJ247))</f>
        <v/>
      </c>
      <c r="CJ247" s="135" t="str">
        <f aca="false">IF(ISBLANK($C247),"",IF($BZ247&lt;&gt;Constants!$B$8,$BZ247,IF(ISNUMBER($CI247),RANK($CI247,$CI$9:$CI$508,1),COUNT($CI$9:$CI$508)+1)))</f>
        <v/>
      </c>
      <c r="CK247" s="138" t="str">
        <f aca="false">IF($BZ247&lt;&gt;Constants!$B$8,"",IF($BM247="-&gt;",$BW247,$BK247))</f>
        <v/>
      </c>
      <c r="CL247" s="135" t="str">
        <f aca="false">IF(ISBLANK($C247),"",IF($BZ247&lt;&gt;Constants!$B$8,$BZ247,IF(ISNUMBER($CK247),RANK($CK247,$CK$9:$CK$508,1),COUNT($CK$9:$CK$508)+1)))</f>
        <v/>
      </c>
      <c r="CM247" s="138" t="str">
        <f aca="false">IF($BZ247&lt;&gt;Constants!$B$8,"",IF(AND(NOT($AL247),NOT($AT247),$AJ247,$AK247,$AR247,$AS247),"",IF($BM247="-&gt;",$BX247,$BL247)))</f>
        <v/>
      </c>
      <c r="CN247" s="135" t="str">
        <f aca="false">IF(ISBLANK($C247),"",IF($BZ247&lt;&gt;Constants!$B$8,$BZ247,IF(ISNUMBER($CM247),RANK($CM247,$CM$9:$CM$508,1),COUNT($CM$9:$CM$508)+1)))</f>
        <v/>
      </c>
      <c r="CO247" s="135" t="str">
        <f aca="false">IF(ISBLANK($C247),"",IF($BZ247&lt;&gt;Constants!$B$8,$BZ247,COUNTIFS($CF$9:$CF$508,"&lt;"&amp;$CF247)+COUNTIFS($CF$9:$CF$508,$CF247,$CH$9:$CH$508,"&lt;"&amp;$CH247)+COUNTIFS($CF$9:$CF$508,$CF247,$CH$9:$CH$508,$CH247,$CJ$9:$CJ$508,"&lt;"&amp;$CJ247)+COUNTIFS($CF$9:$CF$508,$CF247,$CH$9:$CH$508,$CH247,$CJ$9:$CJ$508,$CJ247,$CL$9:$CL$508,"&lt;"&amp;$CL247)+COUNTIFS($CF$9:$CF$508,$CF247,$CH$9:$CH$508,$CH247,$CJ$9:$CJ$508,$CJ247,$CL$9:$CL$508,$CL247,$CN$9:$CN$508,"&lt;"&amp;$CN247)+1))</f>
        <v/>
      </c>
      <c r="CP247" s="135" t="str">
        <f aca="false">IF(ISBLANK($C247),"",IF($BZ247&lt;&gt;Constants!$B$8,$BZ247,$CF247-$CO247))</f>
        <v/>
      </c>
      <c r="CQ247" s="141"/>
      <c r="CR247" s="142"/>
      <c r="CS247" s="143" t="str">
        <f aca="false">IF(ISBLANK($C247),"",IF($BZ247=Constants!$B$12,$BY247,""))</f>
        <v/>
      </c>
      <c r="CT247" s="142" t="str">
        <f aca="false">IF(ISBLANK($C247),"",IF($BZ247&lt;&gt;Constants!$B$8,"",IF($BM247="-&gt;",2,1)))</f>
        <v/>
      </c>
      <c r="CU247" s="144" t="str">
        <f aca="false">IF(ISBLANK($C247),"",IF($BZ247&lt;&gt;Constants!$B$8,"",IF($BM247="-&gt;",$BO247,$BC247)))</f>
        <v/>
      </c>
      <c r="CV247" s="144" t="str">
        <f aca="false">IF(ISBLANK($C247),"",IF($BZ247&lt;&gt;Constants!$B$8,"",IF($BM247="-&gt;",$BP247,$BD247)))</f>
        <v/>
      </c>
      <c r="CW247" s="144" t="str">
        <f aca="false">IF(ISBLANK($C247),"",IF($BZ247&lt;&gt;Constants!$B$8,"",IF($BM247="-&gt;",$BQ247+$BR247,$BE247+$BF247)+$CD247))</f>
        <v/>
      </c>
      <c r="CX247" s="144" t="str">
        <f aca="false">IF(ISBLANK($C247),"",IF($BZ247&lt;&gt;Constants!$B$8,"",IF($BM247="-&gt;",$BS247,$BG247)+$CC247))</f>
        <v/>
      </c>
      <c r="CY247" s="145" t="str">
        <f aca="false">IF(ISBLANK($C247),"",IF($BZ247&lt;&gt;Constants!$B$8,$BZ247,$CE247))</f>
        <v/>
      </c>
      <c r="CZ247" s="146" t="str">
        <f aca="false">IF(ISBLANK($C247),"",$CA247)</f>
        <v/>
      </c>
      <c r="DA247" s="147" t="str">
        <f aca="false">IF(ISBLANK($C247),"",$CP247)</f>
        <v/>
      </c>
      <c r="DB247" s="147" t="str">
        <f aca="false">IF(ISBLANK($C247),"",$CO247)</f>
        <v/>
      </c>
      <c r="DC247" s="148" t="str">
        <f aca="false">IF(ISBLANK($C247),"",IFERROR(_xlfn.SWITCH($DB247,Constants!$B$11,COUNTA($C$9:$C$508)+2,Constants!$B$10,COUNTA($C$9:$C$508)+1,Constants!$B$9,COUNTA($C$9:$C$508)),$DB247))</f>
        <v/>
      </c>
      <c r="DD247" s="9"/>
      <c r="DE247" s="149" t="n">
        <f aca="false">IF(OR(ISNUMBER($DB247),$DB247=Constants!$B$11,$DB247=Constants!$B$9,$DB247=Constants!$B$10),1,0)</f>
        <v>0</v>
      </c>
      <c r="DF247" s="149" t="n">
        <v>239</v>
      </c>
      <c r="DG247" s="149" t="str">
        <f aca="false">IF(ISBLANK($C247),"",IF(ISNUMBER($DC247),$DC247+ROW($B247)/1000,""))</f>
        <v/>
      </c>
      <c r="DH247" s="149" t="str">
        <f aca="false">IF(ISNUMBER($DG247),RANK($DG247,$DG$9:$DG$508,1),"")</f>
        <v/>
      </c>
      <c r="DI247" s="149" t="str">
        <f aca="false">IF(ISBLANK($C247),"",$B247)</f>
        <v/>
      </c>
      <c r="DJ247" s="149" t="str">
        <f aca="false">IF(ISBLANK($C247),"",$C247)</f>
        <v/>
      </c>
      <c r="DK247" s="149" t="str">
        <f aca="false">IF(ISBLANK($C247),"",$D247)</f>
        <v/>
      </c>
      <c r="DL247" s="150" t="str">
        <f aca="false">$CZ247</f>
        <v/>
      </c>
      <c r="DM247" s="151" t="str">
        <f aca="false">$CY247</f>
        <v/>
      </c>
      <c r="DN247" s="149" t="str">
        <f aca="false">IF(ISBLANK($C247),"",$DB247)</f>
        <v/>
      </c>
      <c r="DO247" s="152" t="str">
        <f aca="false">IF($DF247&gt;$DE$8,"",VLOOKUP($DF247,$DH$9:$DN$508,7,FALSE()))</f>
        <v/>
      </c>
      <c r="DP247" s="153" t="str">
        <f aca="false">IF($DF247&gt;$DE$8,"",VLOOKUP($DF247,$DH$9:$DN$508,2,FALSE()))</f>
        <v/>
      </c>
      <c r="DQ247" s="153" t="str">
        <f aca="false">IF($DF247&gt;$DE$8,"",VLOOKUP($DF247,$DH$9:$DN$508,3,FALSE()))</f>
        <v/>
      </c>
      <c r="DR247" s="153" t="str">
        <f aca="false">IF($DF247&gt;$DE$8,"",VLOOKUP($DF247,$DH$9:$DN$508,4,FALSE()))</f>
        <v/>
      </c>
      <c r="DS247" s="153" t="str">
        <f aca="false">IF($DF247&gt;$DE$8,"",VLOOKUP($DF247,$DH$9:$DN$508,5,FALSE()))</f>
        <v/>
      </c>
      <c r="DT247" s="154" t="str">
        <f aca="false">IF($DF247&gt;$DE$8,"",VLOOKUP($DF247,$DH$9:$DN$508,6,FALSE()))</f>
        <v/>
      </c>
      <c r="DU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IF(ISBLANK($C248),"",IF(E248=Constants!$B$3,TRUE(),IF(E248=Constants!$B$4,FALSE(),TRUE())))</f>
        <v/>
      </c>
      <c r="AG248" s="135" t="str">
        <f aca="false">IF(ISBLANK($C248),"",IF(F248=Constants!$B$3,TRUE(),IF(F248=Constants!$B$4,FALSE(),TRUE())))</f>
        <v/>
      </c>
      <c r="AH248" s="135" t="str">
        <f aca="false">IF(ISBLANK($C248),"",IF(G248=Constants!$B$3,TRUE(),IF(G248=Constants!$B$4,FALSE(),TRUE())))</f>
        <v/>
      </c>
      <c r="AI248" s="135" t="str">
        <f aca="false">IF(ISBLANK($C248),"",IF(AND(ISNUMBER(H248),H248&gt;=0),H248,Constants!$B$29))</f>
        <v/>
      </c>
      <c r="AJ248" s="135" t="str">
        <f aca="false">IF(ISBLANK($C248),"",IF(I248=Constants!$B$3,TRUE(),IF(I248=Constants!$B$4,FALSE(),TRUE())))</f>
        <v/>
      </c>
      <c r="AK248" s="135" t="str">
        <f aca="false">IF(ISBLANK($C248),"",IF(J248=Constants!$B$3,TRUE(),IF(J248=Constants!$B$4,FALSE(),TRUE())))</f>
        <v/>
      </c>
      <c r="AL248" s="135" t="str">
        <f aca="false">IF(ISBLANK($C248),"",IF(K248=Constants!$B$5,TRUE(),IF(K248=Constants!$B$6,FALSE(),COUNTA(L248:P248)&gt;0)))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IF(ISBLANK($C248),"",IF(N248=Constants!$B$3,TRUE(),IF(N248=Constants!$B$4,FALSE(),TRUE())))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IF(ISBLANK($C248),"",IF(P248=Constants!$B$3,TRUE(),IF(P248=Constants!$B$4,FALSE(),FALSE())))</f>
        <v/>
      </c>
      <c r="AR248" s="135" t="str">
        <f aca="false">IF(ISBLANK($C248),"",IF(Q248=Constants!$B$3,TRUE(),IF(Q248=Constants!$B$4,FALSE(),TRUE())))</f>
        <v/>
      </c>
      <c r="AS248" s="135" t="str">
        <f aca="false">IF(ISBLANK($C248),"",IF(R248=Constants!$B$3,TRUE(),IF(R248=Constants!$B$4,FALSE(),TRUE())))</f>
        <v/>
      </c>
      <c r="AT248" s="135" t="str">
        <f aca="false">IF(ISBLANK($C248),"",IF(S248=Constants!$B$5,TRUE(),IF(S248=Constants!$B$6,FALSE(),COUNTA(T248:X248)&gt;0)))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IF(ISBLANK($C248),"",IF(V248=Constants!$B$3,TRUE(),IF(V248=Constants!$B$4,FALSE(),TRUE())))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IF(ISBLANK($C248),"",IF(X248=Constants!$B$3,TRUE(),IF(X248=Constants!$B$4,FALSE(),FALSE())))</f>
        <v/>
      </c>
      <c r="AZ248" s="135" t="str">
        <f aca="false">IF(ISBLANK($C248),"",MIN(Constants!$B$31,MAX(0,IF(ISNUMBER(Y248),Y248*60,0)+IF(ISNUMBER(Z248),Z248,0))))</f>
        <v/>
      </c>
      <c r="BA248" s="135" t="str">
        <f aca="false">IF(ISBLANK($C248),"",IF(AA248=Constants!$B$3,TRUE(),IF(AA248=Constants!$B$4,FALSE(),FALSE())))</f>
        <v/>
      </c>
      <c r="BB248" s="134" t="str">
        <f aca="false">IF(ISBLANK($C248),"",AND($AL248,OR($AM248="",$AN248="",AND($AO248,$AP248=""))))</f>
        <v/>
      </c>
      <c r="BC248" s="137" t="str">
        <f aca="false">IF($BZ248&lt;&gt;Constants!$B$8,"",IF($AL248,Constants!$B$21*$AN248+Constants!$B$22*IF($AO248,$AP248,Constants!$B$23),Constants!$B$24))</f>
        <v/>
      </c>
      <c r="BD248" s="138" t="str">
        <f aca="false">IF($BZ248&lt;&gt;Constants!$B$8,"",Constants!$B$25*ABS($AD$9-IF($AL248,$AM248,0)))</f>
        <v/>
      </c>
      <c r="BE248" s="138" t="str">
        <f aca="false">IF($BZ248&lt;&gt;Constants!$B$8,"",IF(AND($AL248,$AQ248,$AO248),Constants!$B$27,0))</f>
        <v/>
      </c>
      <c r="BF248" s="138" t="str">
        <f aca="false">IF($BZ248&lt;&gt;Constants!$B$8,"",IF($AL248,($AI248-Constants!$B$29)*Constants!$B$28,0))</f>
        <v/>
      </c>
      <c r="BG248" s="138" t="str">
        <f aca="false">IF($BZ248&lt;&gt;Constants!$B$8,"",IF($AK248,0,Constants!$B$15)+IF($AJ248,0,Constants!$B$16)+IF($AH248,0,Constants!$B$17))</f>
        <v/>
      </c>
      <c r="BH248" s="139" t="str">
        <f aca="false">IF($BZ248&lt;&gt;Constants!$B$8,"",Constants!$B$20+SUM($BC248:$BG248))</f>
        <v/>
      </c>
      <c r="BI248" s="138" t="str">
        <f aca="false">IF($BZ248&lt;&gt;Constants!$B$8,"",$BC248)</f>
        <v/>
      </c>
      <c r="BJ248" s="138" t="str">
        <f aca="false">IF($BZ248&lt;&gt;Constants!$B$8,"",$BD248)</f>
        <v/>
      </c>
      <c r="BK248" s="138" t="str">
        <f aca="false">IF($BZ248&lt;&gt;Constants!$B$8,"",IF($AL248,$AN248,""))</f>
        <v/>
      </c>
      <c r="BL248" s="140" t="str">
        <f aca="false">IF($BZ248&lt;&gt;Constants!$B$8,"",$AI248)</f>
        <v/>
      </c>
      <c r="BM248" s="135" t="str">
        <f aca="false">IF($BZ248&lt;&gt;Constants!$B$8,"",IF(OR($BT248&lt;$BH248,AND($BT248=$BH248,OR($BU248&lt;$BI248,AND($BU248=$BI248,OR($BV248&lt;$BJ248,AND($BV248=$BJ248,OR(AND(ISNUMBER($BW248),OR(NOT(ISNUMBER($BK248)),$BW248&lt;$BK248)),AND(OR(AND($BW248="",$BK248=""),AND(ISNUMBER($BW248),ISNUMBER($BK248),$BW248=$BK248)),$BX248&lt;$BL248)))))))),"-&gt;","&lt;-"))</f>
        <v/>
      </c>
      <c r="BN248" s="134" t="str">
        <f aca="false">IF(ISBLANK($C248),"",AND($AT248,OR($AU248="",$AV248="",AND($AW248,$AX248=""))))</f>
        <v/>
      </c>
      <c r="BO248" s="137" t="str">
        <f aca="false">IF($BZ248&lt;&gt;Constants!$B$8,"",IF($AT248,Constants!$B$21*$AV248+Constants!$B$22*IF($AW248,$AX248,Constants!$B$23),Constants!$B$24))</f>
        <v/>
      </c>
      <c r="BP248" s="138" t="str">
        <f aca="false">IF($BZ248&lt;&gt;Constants!$B$8,"",Constants!$B$25*ABS($AD$9-IF($AT248,$AU248,0)))</f>
        <v/>
      </c>
      <c r="BQ248" s="138" t="str">
        <f aca="false">IF($BZ248&lt;&gt;Constants!$B$8,"",IF(AND($AT248,$AY248,$AW248),Constants!$B$27,0))</f>
        <v/>
      </c>
      <c r="BR248" s="138" t="str">
        <f aca="false">IF($BZ248&lt;&gt;Constants!$B$8,"",IF($AT248,($AI248-Constants!$B$29)*Constants!$B$28,0))</f>
        <v/>
      </c>
      <c r="BS248" s="138" t="str">
        <f aca="false">IF($BZ248&lt;&gt;Constants!$B$8,"",IF($AS248,0,Constants!$B$15)+IF($AR248,0,Constants!$B$16)+IF($AH248,0,Constants!$B$17))</f>
        <v/>
      </c>
      <c r="BT248" s="139" t="str">
        <f aca="false">IF($BZ248&lt;&gt;Constants!$B$8,"",Constants!$B$20+SUM($BO248:$BS248))</f>
        <v/>
      </c>
      <c r="BU248" s="138" t="str">
        <f aca="false">IF($BZ248&lt;&gt;Constants!$B$8,"",$BO248)</f>
        <v/>
      </c>
      <c r="BV248" s="138" t="str">
        <f aca="false">IF($BZ248&lt;&gt;Constants!$B$8,"",$BP248)</f>
        <v/>
      </c>
      <c r="BW248" s="138" t="str">
        <f aca="false">IF($BZ248&lt;&gt;Constants!$B$8,"",IF($AT248,$AV248,""))</f>
        <v/>
      </c>
      <c r="BX248" s="140" t="str">
        <f aca="false">IF($BZ248&lt;&gt;Constants!$B$8,"",$AI248)</f>
        <v/>
      </c>
      <c r="BY248" s="135" t="str">
        <f aca="false">IF(ISBLANK($C248),"",IF(ISBLANK($D$7),$BY$5,IF(NOT(ISNUMBER($D$7)),$BY$6,"")))</f>
        <v/>
      </c>
      <c r="BZ248" s="135" t="str">
        <f aca="false">IF(ISBLANK($C248),"",IF($BA248,Constants!$B$11,IF(COUNTA($E248:$AA248)=0,Constants!$B$10,IF(NOT($AG248),Constants!$B$9,IF(OR($BY248&lt;&gt;"",$BB248,$BN248),Constants!$B$12,Constants!$B$8)))))</f>
        <v/>
      </c>
      <c r="CA248" s="135" t="str">
        <f aca="false">IF(ISBLANK($C248),"",IF($BZ248&lt;&gt;Constants!$B$8,$BZ248,Constants!$B$13))</f>
        <v/>
      </c>
      <c r="CB248" s="138" t="str">
        <f aca="false">IF($BZ248&lt;&gt;Constants!$B$8,"",IF($BM248="-&gt;",$BT248,$BH248))</f>
        <v/>
      </c>
      <c r="CC248" s="138" t="str">
        <f aca="false">IF($BZ248&lt;&gt;Constants!$B$8,"",IF($AF248,0,Constants!$B$18))</f>
        <v/>
      </c>
      <c r="CD248" s="138" t="str">
        <f aca="false">IF($BZ248&lt;&gt;Constants!$B$8,"",((Constants!$B$31-$AZ248)-Constants!$B$31)/Constants!$B$32)</f>
        <v/>
      </c>
      <c r="CE248" s="138" t="str">
        <f aca="false">IF(ISBLANK($C248),"",IF($BZ248&lt;&gt;Constants!$B$8,$BZ248,SUM($CB248:$CD248)))</f>
        <v/>
      </c>
      <c r="CF248" s="135" t="str">
        <f aca="false">IF(ISBLANK($C248),"",IF($BZ248&lt;&gt;Constants!$B$8,$BZ248,RANK($CE248,$CE$9:$CE$508,1)))</f>
        <v/>
      </c>
      <c r="CG248" s="138" t="str">
        <f aca="false">IF($BZ248&lt;&gt;Constants!$B$8,"",IF($BM248="-&gt;",$BU248,$BI248))</f>
        <v/>
      </c>
      <c r="CH248" s="135" t="str">
        <f aca="false">IF(ISBLANK($C248),"",IF($BZ248&lt;&gt;Constants!$B$8,$BZ248,IF(ISNUMBER($CG248),RANK($CG248,$CG$9:$CG$508,1),COUNT($CG$9:$CG$508)+1)))</f>
        <v/>
      </c>
      <c r="CI248" s="138" t="str">
        <f aca="false">IF($BZ248&lt;&gt;Constants!$B$8,"",IF($BM248="-&gt;",$BV248,$BJ248))</f>
        <v/>
      </c>
      <c r="CJ248" s="135" t="str">
        <f aca="false">IF(ISBLANK($C248),"",IF($BZ248&lt;&gt;Constants!$B$8,$BZ248,IF(ISNUMBER($CI248),RANK($CI248,$CI$9:$CI$508,1),COUNT($CI$9:$CI$508)+1)))</f>
        <v/>
      </c>
      <c r="CK248" s="138" t="str">
        <f aca="false">IF($BZ248&lt;&gt;Constants!$B$8,"",IF($BM248="-&gt;",$BW248,$BK248))</f>
        <v/>
      </c>
      <c r="CL248" s="135" t="str">
        <f aca="false">IF(ISBLANK($C248),"",IF($BZ248&lt;&gt;Constants!$B$8,$BZ248,IF(ISNUMBER($CK248),RANK($CK248,$CK$9:$CK$508,1),COUNT($CK$9:$CK$508)+1)))</f>
        <v/>
      </c>
      <c r="CM248" s="138" t="str">
        <f aca="false">IF($BZ248&lt;&gt;Constants!$B$8,"",IF(AND(NOT($AL248),NOT($AT248),$AJ248,$AK248,$AR248,$AS248),"",IF($BM248="-&gt;",$BX248,$BL248)))</f>
        <v/>
      </c>
      <c r="CN248" s="135" t="str">
        <f aca="false">IF(ISBLANK($C248),"",IF($BZ248&lt;&gt;Constants!$B$8,$BZ248,IF(ISNUMBER($CM248),RANK($CM248,$CM$9:$CM$508,1),COUNT($CM$9:$CM$508)+1)))</f>
        <v/>
      </c>
      <c r="CO248" s="135" t="str">
        <f aca="false">IF(ISBLANK($C248),"",IF($BZ248&lt;&gt;Constants!$B$8,$BZ248,COUNTIFS($CF$9:$CF$508,"&lt;"&amp;$CF248)+COUNTIFS($CF$9:$CF$508,$CF248,$CH$9:$CH$508,"&lt;"&amp;$CH248)+COUNTIFS($CF$9:$CF$508,$CF248,$CH$9:$CH$508,$CH248,$CJ$9:$CJ$508,"&lt;"&amp;$CJ248)+COUNTIFS($CF$9:$CF$508,$CF248,$CH$9:$CH$508,$CH248,$CJ$9:$CJ$508,$CJ248,$CL$9:$CL$508,"&lt;"&amp;$CL248)+COUNTIFS($CF$9:$CF$508,$CF248,$CH$9:$CH$508,$CH248,$CJ$9:$CJ$508,$CJ248,$CL$9:$CL$508,$CL248,$CN$9:$CN$508,"&lt;"&amp;$CN248)+1))</f>
        <v/>
      </c>
      <c r="CP248" s="135" t="str">
        <f aca="false">IF(ISBLANK($C248),"",IF($BZ248&lt;&gt;Constants!$B$8,$BZ248,$CF248-$CO248))</f>
        <v/>
      </c>
      <c r="CQ248" s="141"/>
      <c r="CR248" s="142"/>
      <c r="CS248" s="143" t="str">
        <f aca="false">IF(ISBLANK($C248),"",IF($BZ248=Constants!$B$12,$BY248,""))</f>
        <v/>
      </c>
      <c r="CT248" s="142" t="str">
        <f aca="false">IF(ISBLANK($C248),"",IF($BZ248&lt;&gt;Constants!$B$8,"",IF($BM248="-&gt;",2,1)))</f>
        <v/>
      </c>
      <c r="CU248" s="144" t="str">
        <f aca="false">IF(ISBLANK($C248),"",IF($BZ248&lt;&gt;Constants!$B$8,"",IF($BM248="-&gt;",$BO248,$BC248)))</f>
        <v/>
      </c>
      <c r="CV248" s="144" t="str">
        <f aca="false">IF(ISBLANK($C248),"",IF($BZ248&lt;&gt;Constants!$B$8,"",IF($BM248="-&gt;",$BP248,$BD248)))</f>
        <v/>
      </c>
      <c r="CW248" s="144" t="str">
        <f aca="false">IF(ISBLANK($C248),"",IF($BZ248&lt;&gt;Constants!$B$8,"",IF($BM248="-&gt;",$BQ248+$BR248,$BE248+$BF248)+$CD248))</f>
        <v/>
      </c>
      <c r="CX248" s="144" t="str">
        <f aca="false">IF(ISBLANK($C248),"",IF($BZ248&lt;&gt;Constants!$B$8,"",IF($BM248="-&gt;",$BS248,$BG248)+$CC248))</f>
        <v/>
      </c>
      <c r="CY248" s="145" t="str">
        <f aca="false">IF(ISBLANK($C248),"",IF($BZ248&lt;&gt;Constants!$B$8,$BZ248,$CE248))</f>
        <v/>
      </c>
      <c r="CZ248" s="146" t="str">
        <f aca="false">IF(ISBLANK($C248),"",$CA248)</f>
        <v/>
      </c>
      <c r="DA248" s="147" t="str">
        <f aca="false">IF(ISBLANK($C248),"",$CP248)</f>
        <v/>
      </c>
      <c r="DB248" s="147" t="str">
        <f aca="false">IF(ISBLANK($C248),"",$CO248)</f>
        <v/>
      </c>
      <c r="DC248" s="148" t="str">
        <f aca="false">IF(ISBLANK($C248),"",IFERROR(_xlfn.SWITCH($DB248,Constants!$B$11,COUNTA($C$9:$C$508)+2,Constants!$B$10,COUNTA($C$9:$C$508)+1,Constants!$B$9,COUNTA($C$9:$C$508)),$DB248))</f>
        <v/>
      </c>
      <c r="DD248" s="9"/>
      <c r="DE248" s="149" t="n">
        <f aca="false">IF(OR(ISNUMBER($DB248),$DB248=Constants!$B$11,$DB248=Constants!$B$9,$DB248=Constants!$B$10),1,0)</f>
        <v>0</v>
      </c>
      <c r="DF248" s="149" t="n">
        <v>240</v>
      </c>
      <c r="DG248" s="149" t="str">
        <f aca="false">IF(ISBLANK($C248),"",IF(ISNUMBER($DC248),$DC248+ROW($B248)/1000,""))</f>
        <v/>
      </c>
      <c r="DH248" s="149" t="str">
        <f aca="false">IF(ISNUMBER($DG248),RANK($DG248,$DG$9:$DG$508,1),"")</f>
        <v/>
      </c>
      <c r="DI248" s="149" t="str">
        <f aca="false">IF(ISBLANK($C248),"",$B248)</f>
        <v/>
      </c>
      <c r="DJ248" s="149" t="str">
        <f aca="false">IF(ISBLANK($C248),"",$C248)</f>
        <v/>
      </c>
      <c r="DK248" s="149" t="str">
        <f aca="false">IF(ISBLANK($C248),"",$D248)</f>
        <v/>
      </c>
      <c r="DL248" s="150" t="str">
        <f aca="false">$CZ248</f>
        <v/>
      </c>
      <c r="DM248" s="151" t="str">
        <f aca="false">$CY248</f>
        <v/>
      </c>
      <c r="DN248" s="149" t="str">
        <f aca="false">IF(ISBLANK($C248),"",$DB248)</f>
        <v/>
      </c>
      <c r="DO248" s="152" t="str">
        <f aca="false">IF($DF248&gt;$DE$8,"",VLOOKUP($DF248,$DH$9:$DN$508,7,FALSE()))</f>
        <v/>
      </c>
      <c r="DP248" s="153" t="str">
        <f aca="false">IF($DF248&gt;$DE$8,"",VLOOKUP($DF248,$DH$9:$DN$508,2,FALSE()))</f>
        <v/>
      </c>
      <c r="DQ248" s="153" t="str">
        <f aca="false">IF($DF248&gt;$DE$8,"",VLOOKUP($DF248,$DH$9:$DN$508,3,FALSE()))</f>
        <v/>
      </c>
      <c r="DR248" s="153" t="str">
        <f aca="false">IF($DF248&gt;$DE$8,"",VLOOKUP($DF248,$DH$9:$DN$508,4,FALSE()))</f>
        <v/>
      </c>
      <c r="DS248" s="153" t="str">
        <f aca="false">IF($DF248&gt;$DE$8,"",VLOOKUP($DF248,$DH$9:$DN$508,5,FALSE()))</f>
        <v/>
      </c>
      <c r="DT248" s="154" t="str">
        <f aca="false">IF($DF248&gt;$DE$8,"",VLOOKUP($DF248,$DH$9:$DN$508,6,FALSE()))</f>
        <v/>
      </c>
      <c r="DU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IF(ISBLANK($C249),"",IF(E249=Constants!$B$3,TRUE(),IF(E249=Constants!$B$4,FALSE(),TRUE())))</f>
        <v/>
      </c>
      <c r="AG249" s="93" t="str">
        <f aca="false">IF(ISBLANK($C249),"",IF(F249=Constants!$B$3,TRUE(),IF(F249=Constants!$B$4,FALSE(),TRUE())))</f>
        <v/>
      </c>
      <c r="AH249" s="93" t="str">
        <f aca="false">IF(ISBLANK($C249),"",IF(G249=Constants!$B$3,TRUE(),IF(G249=Constants!$B$4,FALSE(),TRUE())))</f>
        <v/>
      </c>
      <c r="AI249" s="93" t="str">
        <f aca="false">IF(ISBLANK($C249),"",IF(AND(ISNUMBER(H249),H249&gt;=0),H249,Constants!$B$29))</f>
        <v/>
      </c>
      <c r="AJ249" s="93" t="str">
        <f aca="false">IF(ISBLANK($C249),"",IF(I249=Constants!$B$3,TRUE(),IF(I249=Constants!$B$4,FALSE(),TRUE())))</f>
        <v/>
      </c>
      <c r="AK249" s="93" t="str">
        <f aca="false">IF(ISBLANK($C249),"",IF(J249=Constants!$B$3,TRUE(),IF(J249=Constants!$B$4,FALSE(),TRUE())))</f>
        <v/>
      </c>
      <c r="AL249" s="93" t="str">
        <f aca="false">IF(ISBLANK($C249),"",IF(K249=Constants!$B$5,TRUE(),IF(K249=Constants!$B$6,FALSE(),COUNTA(L249:P249)&gt;0)))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IF(ISBLANK($C249),"",IF(N249=Constants!$B$3,TRUE(),IF(N249=Constants!$B$4,FALSE(),TRUE())))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IF(ISBLANK($C249),"",IF(P249=Constants!$B$3,TRUE(),IF(P249=Constants!$B$4,FALSE(),FALSE())))</f>
        <v/>
      </c>
      <c r="AR249" s="93" t="str">
        <f aca="false">IF(ISBLANK($C249),"",IF(Q249=Constants!$B$3,TRUE(),IF(Q249=Constants!$B$4,FALSE(),TRUE())))</f>
        <v/>
      </c>
      <c r="AS249" s="93" t="str">
        <f aca="false">IF(ISBLANK($C249),"",IF(R249=Constants!$B$3,TRUE(),IF(R249=Constants!$B$4,FALSE(),TRUE())))</f>
        <v/>
      </c>
      <c r="AT249" s="93" t="str">
        <f aca="false">IF(ISBLANK($C249),"",IF(S249=Constants!$B$5,TRUE(),IF(S249=Constants!$B$6,FALSE(),COUNTA(T249:X249)&gt;0)))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IF(ISBLANK($C249),"",IF(V249=Constants!$B$3,TRUE(),IF(V249=Constants!$B$4,FALSE(),TRUE())))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IF(ISBLANK($C249),"",IF(X249=Constants!$B$3,TRUE(),IF(X249=Constants!$B$4,FALSE(),FALSE())))</f>
        <v/>
      </c>
      <c r="AZ249" s="93" t="str">
        <f aca="false">IF(ISBLANK($C249),"",MIN(Constants!$B$31,MAX(0,IF(ISNUMBER(Y249),Y249*60,0)+IF(ISNUMBER(Z249),Z249,0))))</f>
        <v/>
      </c>
      <c r="BA249" s="93" t="str">
        <f aca="false">IF(ISBLANK($C249),"",IF(AA249=Constants!$B$3,TRUE(),IF(AA249=Constants!$B$4,FALSE(),FALSE())))</f>
        <v/>
      </c>
      <c r="BB249" s="92" t="str">
        <f aca="false">IF(ISBLANK($C249),"",AND($AL249,OR($AM249="",$AN249="",AND($AO249,$AP249=""))))</f>
        <v/>
      </c>
      <c r="BC249" s="94" t="str">
        <f aca="false">IF($BZ249&lt;&gt;Constants!$B$8,"",IF($AL249,Constants!$B$21*$AN249+Constants!$B$22*IF($AO249,$AP249,Constants!$B$23),Constants!$B$24))</f>
        <v/>
      </c>
      <c r="BD249" s="97" t="str">
        <f aca="false">IF($BZ249&lt;&gt;Constants!$B$8,"",Constants!$B$25*ABS($AD$9-IF($AL249,$AM249,0)))</f>
        <v/>
      </c>
      <c r="BE249" s="97" t="str">
        <f aca="false">IF($BZ249&lt;&gt;Constants!$B$8,"",IF(AND($AL249,$AQ249,$AO249),Constants!$B$27,0))</f>
        <v/>
      </c>
      <c r="BF249" s="97" t="str">
        <f aca="false">IF($BZ249&lt;&gt;Constants!$B$8,"",IF($AL249,($AI249-Constants!$B$29)*Constants!$B$28,0))</f>
        <v/>
      </c>
      <c r="BG249" s="97" t="str">
        <f aca="false">IF($BZ249&lt;&gt;Constants!$B$8,"",IF($AK249,0,Constants!$B$15)+IF($AJ249,0,Constants!$B$16)+IF($AH249,0,Constants!$B$17))</f>
        <v/>
      </c>
      <c r="BH249" s="98" t="str">
        <f aca="false">IF($BZ249&lt;&gt;Constants!$B$8,"",Constants!$B$20+SUM($BC249:$BG249))</f>
        <v/>
      </c>
      <c r="BI249" s="97" t="str">
        <f aca="false">IF($BZ249&lt;&gt;Constants!$B$8,"",$BC249)</f>
        <v/>
      </c>
      <c r="BJ249" s="97" t="str">
        <f aca="false">IF($BZ249&lt;&gt;Constants!$B$8,"",$BD249)</f>
        <v/>
      </c>
      <c r="BK249" s="97" t="str">
        <f aca="false">IF($BZ249&lt;&gt;Constants!$B$8,"",IF($AL249,$AN249,""))</f>
        <v/>
      </c>
      <c r="BL249" s="99" t="str">
        <f aca="false">IF($BZ249&lt;&gt;Constants!$B$8,"",$AI249)</f>
        <v/>
      </c>
      <c r="BM249" s="93" t="str">
        <f aca="false">IF($BZ249&lt;&gt;Constants!$B$8,"",IF(OR($BT249&lt;$BH249,AND($BT249=$BH249,OR($BU249&lt;$BI249,AND($BU249=$BI249,OR($BV249&lt;$BJ249,AND($BV249=$BJ249,OR(AND(ISNUMBER($BW249),OR(NOT(ISNUMBER($BK249)),$BW249&lt;$BK249)),AND(OR(AND($BW249="",$BK249=""),AND(ISNUMBER($BW249),ISNUMBER($BK249),$BW249=$BK249)),$BX249&lt;$BL249)))))))),"-&gt;","&lt;-"))</f>
        <v/>
      </c>
      <c r="BN249" s="92" t="str">
        <f aca="false">IF(ISBLANK($C249),"",AND($AT249,OR($AU249="",$AV249="",AND($AW249,$AX249=""))))</f>
        <v/>
      </c>
      <c r="BO249" s="94" t="str">
        <f aca="false">IF($BZ249&lt;&gt;Constants!$B$8,"",IF($AT249,Constants!$B$21*$AV249+Constants!$B$22*IF($AW249,$AX249,Constants!$B$23),Constants!$B$24))</f>
        <v/>
      </c>
      <c r="BP249" s="97" t="str">
        <f aca="false">IF($BZ249&lt;&gt;Constants!$B$8,"",Constants!$B$25*ABS($AD$9-IF($AT249,$AU249,0)))</f>
        <v/>
      </c>
      <c r="BQ249" s="97" t="str">
        <f aca="false">IF($BZ249&lt;&gt;Constants!$B$8,"",IF(AND($AT249,$AY249,$AW249),Constants!$B$27,0))</f>
        <v/>
      </c>
      <c r="BR249" s="97" t="str">
        <f aca="false">IF($BZ249&lt;&gt;Constants!$B$8,"",IF($AT249,($AI249-Constants!$B$29)*Constants!$B$28,0))</f>
        <v/>
      </c>
      <c r="BS249" s="97" t="str">
        <f aca="false">IF($BZ249&lt;&gt;Constants!$B$8,"",IF($AS249,0,Constants!$B$15)+IF($AR249,0,Constants!$B$16)+IF($AH249,0,Constants!$B$17))</f>
        <v/>
      </c>
      <c r="BT249" s="98" t="str">
        <f aca="false">IF($BZ249&lt;&gt;Constants!$B$8,"",Constants!$B$20+SUM($BO249:$BS249))</f>
        <v/>
      </c>
      <c r="BU249" s="97" t="str">
        <f aca="false">IF($BZ249&lt;&gt;Constants!$B$8,"",$BO249)</f>
        <v/>
      </c>
      <c r="BV249" s="97" t="str">
        <f aca="false">IF($BZ249&lt;&gt;Constants!$B$8,"",$BP249)</f>
        <v/>
      </c>
      <c r="BW249" s="97" t="str">
        <f aca="false">IF($BZ249&lt;&gt;Constants!$B$8,"",IF($AT249,$AV249,""))</f>
        <v/>
      </c>
      <c r="BX249" s="99" t="str">
        <f aca="false">IF($BZ249&lt;&gt;Constants!$B$8,"",$AI249)</f>
        <v/>
      </c>
      <c r="BY249" s="93" t="str">
        <f aca="false">IF(ISBLANK($C249),"",IF(ISBLANK($D$7),$BY$5,IF(NOT(ISNUMBER($D$7)),$BY$6,"")))</f>
        <v/>
      </c>
      <c r="BZ249" s="93" t="str">
        <f aca="false">IF(ISBLANK($C249),"",IF($BA249,Constants!$B$11,IF(COUNTA($E249:$AA249)=0,Constants!$B$10,IF(NOT($AG249),Constants!$B$9,IF(OR($BY249&lt;&gt;"",$BB249,$BN249),Constants!$B$12,Constants!$B$8)))))</f>
        <v/>
      </c>
      <c r="CA249" s="93" t="str">
        <f aca="false">IF(ISBLANK($C249),"",IF($BZ249&lt;&gt;Constants!$B$8,$BZ249,Constants!$B$13))</f>
        <v/>
      </c>
      <c r="CB249" s="97" t="str">
        <f aca="false">IF($BZ249&lt;&gt;Constants!$B$8,"",IF($BM249="-&gt;",$BT249,$BH249))</f>
        <v/>
      </c>
      <c r="CC249" s="97" t="str">
        <f aca="false">IF($BZ249&lt;&gt;Constants!$B$8,"",IF($AF249,0,Constants!$B$18))</f>
        <v/>
      </c>
      <c r="CD249" s="97" t="str">
        <f aca="false">IF($BZ249&lt;&gt;Constants!$B$8,"",((Constants!$B$31-$AZ249)-Constants!$B$31)/Constants!$B$32)</f>
        <v/>
      </c>
      <c r="CE249" s="97" t="str">
        <f aca="false">IF(ISBLANK($C249),"",IF($BZ249&lt;&gt;Constants!$B$8,$BZ249,SUM($CB249:$CD249)))</f>
        <v/>
      </c>
      <c r="CF249" s="93" t="str">
        <f aca="false">IF(ISBLANK($C249),"",IF($BZ249&lt;&gt;Constants!$B$8,$BZ249,RANK($CE249,$CE$9:$CE$508,1)))</f>
        <v/>
      </c>
      <c r="CG249" s="97" t="str">
        <f aca="false">IF($BZ249&lt;&gt;Constants!$B$8,"",IF($BM249="-&gt;",$BU249,$BI249))</f>
        <v/>
      </c>
      <c r="CH249" s="93" t="str">
        <f aca="false">IF(ISBLANK($C249),"",IF($BZ249&lt;&gt;Constants!$B$8,$BZ249,IF(ISNUMBER($CG249),RANK($CG249,$CG$9:$CG$508,1),COUNT($CG$9:$CG$508)+1)))</f>
        <v/>
      </c>
      <c r="CI249" s="97" t="str">
        <f aca="false">IF($BZ249&lt;&gt;Constants!$B$8,"",IF($BM249="-&gt;",$BV249,$BJ249))</f>
        <v/>
      </c>
      <c r="CJ249" s="93" t="str">
        <f aca="false">IF(ISBLANK($C249),"",IF($BZ249&lt;&gt;Constants!$B$8,$BZ249,IF(ISNUMBER($CI249),RANK($CI249,$CI$9:$CI$508,1),COUNT($CI$9:$CI$508)+1)))</f>
        <v/>
      </c>
      <c r="CK249" s="97" t="str">
        <f aca="false">IF($BZ249&lt;&gt;Constants!$B$8,"",IF($BM249="-&gt;",$BW249,$BK249))</f>
        <v/>
      </c>
      <c r="CL249" s="93" t="str">
        <f aca="false">IF(ISBLANK($C249),"",IF($BZ249&lt;&gt;Constants!$B$8,$BZ249,IF(ISNUMBER($CK249),RANK($CK249,$CK$9:$CK$508,1),COUNT($CK$9:$CK$508)+1)))</f>
        <v/>
      </c>
      <c r="CM249" s="97" t="str">
        <f aca="false">IF($BZ249&lt;&gt;Constants!$B$8,"",IF(AND(NOT($AL249),NOT($AT249),$AJ249,$AK249,$AR249,$AS249),"",IF($BM249="-&gt;",$BX249,$BL249)))</f>
        <v/>
      </c>
      <c r="CN249" s="93" t="str">
        <f aca="false">IF(ISBLANK($C249),"",IF($BZ249&lt;&gt;Constants!$B$8,$BZ249,IF(ISNUMBER($CM249),RANK($CM249,$CM$9:$CM$508,1),COUNT($CM$9:$CM$508)+1)))</f>
        <v/>
      </c>
      <c r="CO249" s="93" t="str">
        <f aca="false">IF(ISBLANK($C249),"",IF($BZ249&lt;&gt;Constants!$B$8,$BZ249,COUNTIFS($CF$9:$CF$508,"&lt;"&amp;$CF249)+COUNTIFS($CF$9:$CF$508,$CF249,$CH$9:$CH$508,"&lt;"&amp;$CH249)+COUNTIFS($CF$9:$CF$508,$CF249,$CH$9:$CH$508,$CH249,$CJ$9:$CJ$508,"&lt;"&amp;$CJ249)+COUNTIFS($CF$9:$CF$508,$CF249,$CH$9:$CH$508,$CH249,$CJ$9:$CJ$508,$CJ249,$CL$9:$CL$508,"&lt;"&amp;$CL249)+COUNTIFS($CF$9:$CF$508,$CF249,$CH$9:$CH$508,$CH249,$CJ$9:$CJ$508,$CJ249,$CL$9:$CL$508,$CL249,$CN$9:$CN$508,"&lt;"&amp;$CN249)+1))</f>
        <v/>
      </c>
      <c r="CP249" s="93" t="str">
        <f aca="false">IF(ISBLANK($C249),"",IF($BZ249&lt;&gt;Constants!$B$8,$BZ249,$CF249-$CO249))</f>
        <v/>
      </c>
      <c r="CQ249" s="100"/>
      <c r="CR249" s="101"/>
      <c r="CS249" s="102" t="str">
        <f aca="false">IF(ISBLANK($C249),"",IF($BZ249=Constants!$B$12,$BY249,""))</f>
        <v/>
      </c>
      <c r="CT249" s="101" t="str">
        <f aca="false">IF(ISBLANK($C249),"",IF($BZ249&lt;&gt;Constants!$B$8,"",IF($BM249="-&gt;",2,1)))</f>
        <v/>
      </c>
      <c r="CU249" s="103" t="str">
        <f aca="false">IF(ISBLANK($C249),"",IF($BZ249&lt;&gt;Constants!$B$8,"",IF($BM249="-&gt;",$BO249,$BC249)))</f>
        <v/>
      </c>
      <c r="CV249" s="103" t="str">
        <f aca="false">IF(ISBLANK($C249),"",IF($BZ249&lt;&gt;Constants!$B$8,"",IF($BM249="-&gt;",$BP249,$BD249)))</f>
        <v/>
      </c>
      <c r="CW249" s="103" t="str">
        <f aca="false">IF(ISBLANK($C249),"",IF($BZ249&lt;&gt;Constants!$B$8,"",IF($BM249="-&gt;",$BQ249+$BR249,$BE249+$BF249)+$CD249))</f>
        <v/>
      </c>
      <c r="CX249" s="103" t="str">
        <f aca="false">IF(ISBLANK($C249),"",IF($BZ249&lt;&gt;Constants!$B$8,"",IF($BM249="-&gt;",$BS249,$BG249)+$CC249))</f>
        <v/>
      </c>
      <c r="CY249" s="104" t="str">
        <f aca="false">IF(ISBLANK($C249),"",IF($BZ249&lt;&gt;Constants!$B$8,$BZ249,$CE249))</f>
        <v/>
      </c>
      <c r="CZ249" s="105" t="str">
        <f aca="false">IF(ISBLANK($C249),"",$CA249)</f>
        <v/>
      </c>
      <c r="DA249" s="106" t="str">
        <f aca="false">IF(ISBLANK($C249),"",$CP249)</f>
        <v/>
      </c>
      <c r="DB249" s="106" t="str">
        <f aca="false">IF(ISBLANK($C249),"",$CO249)</f>
        <v/>
      </c>
      <c r="DC249" s="107" t="str">
        <f aca="false">IF(ISBLANK($C249),"",IFERROR(_xlfn.SWITCH($DB249,Constants!$B$11,COUNTA($C$9:$C$508)+2,Constants!$B$10,COUNTA($C$9:$C$508)+1,Constants!$B$9,COUNTA($C$9:$C$508)),$DB249))</f>
        <v/>
      </c>
      <c r="DD249" s="9"/>
      <c r="DE249" s="108" t="n">
        <f aca="false">IF(OR(ISNUMBER($DB249),$DB249=Constants!$B$11,$DB249=Constants!$B$9,$DB249=Constants!$B$10),1,0)</f>
        <v>0</v>
      </c>
      <c r="DF249" s="108" t="n">
        <v>241</v>
      </c>
      <c r="DG249" s="108" t="str">
        <f aca="false">IF(ISBLANK($C249),"",IF(ISNUMBER($DC249),$DC249+ROW($B249)/1000,""))</f>
        <v/>
      </c>
      <c r="DH249" s="108" t="str">
        <f aca="false">IF(ISNUMBER($DG249),RANK($DG249,$DG$9:$DG$508,1),"")</f>
        <v/>
      </c>
      <c r="DI249" s="108" t="str">
        <f aca="false">IF(ISBLANK($C249),"",$B249)</f>
        <v/>
      </c>
      <c r="DJ249" s="108" t="str">
        <f aca="false">IF(ISBLANK($C249),"",$C249)</f>
        <v/>
      </c>
      <c r="DK249" s="108" t="str">
        <f aca="false">IF(ISBLANK($C249),"",$D249)</f>
        <v/>
      </c>
      <c r="DL249" s="109" t="str">
        <f aca="false">$CZ249</f>
        <v/>
      </c>
      <c r="DM249" s="110" t="str">
        <f aca="false">$CY249</f>
        <v/>
      </c>
      <c r="DN249" s="108" t="str">
        <f aca="false">IF(ISBLANK($C249),"",$DB249)</f>
        <v/>
      </c>
      <c r="DO249" s="111" t="str">
        <f aca="false">IF($DF249&gt;$DE$8,"",VLOOKUP($DF249,$DH$9:$DN$508,7,FALSE()))</f>
        <v/>
      </c>
      <c r="DP249" s="112" t="str">
        <f aca="false">IF($DF249&gt;$DE$8,"",VLOOKUP($DF249,$DH$9:$DN$508,2,FALSE()))</f>
        <v/>
      </c>
      <c r="DQ249" s="112" t="str">
        <f aca="false">IF($DF249&gt;$DE$8,"",VLOOKUP($DF249,$DH$9:$DN$508,3,FALSE()))</f>
        <v/>
      </c>
      <c r="DR249" s="112" t="str">
        <f aca="false">IF($DF249&gt;$DE$8,"",VLOOKUP($DF249,$DH$9:$DN$508,4,FALSE()))</f>
        <v/>
      </c>
      <c r="DS249" s="112" t="str">
        <f aca="false">IF($DF249&gt;$DE$8,"",VLOOKUP($DF249,$DH$9:$DN$508,5,FALSE()))</f>
        <v/>
      </c>
      <c r="DT249" s="113" t="str">
        <f aca="false">IF($DF249&gt;$DE$8,"",VLOOKUP($DF249,$DH$9:$DN$508,6,FALSE()))</f>
        <v/>
      </c>
      <c r="DU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IF(ISBLANK($C250),"",IF(E250=Constants!$B$3,TRUE(),IF(E250=Constants!$B$4,FALSE(),TRUE())))</f>
        <v/>
      </c>
      <c r="AG250" s="93" t="str">
        <f aca="false">IF(ISBLANK($C250),"",IF(F250=Constants!$B$3,TRUE(),IF(F250=Constants!$B$4,FALSE(),TRUE())))</f>
        <v/>
      </c>
      <c r="AH250" s="93" t="str">
        <f aca="false">IF(ISBLANK($C250),"",IF(G250=Constants!$B$3,TRUE(),IF(G250=Constants!$B$4,FALSE(),TRUE())))</f>
        <v/>
      </c>
      <c r="AI250" s="93" t="str">
        <f aca="false">IF(ISBLANK($C250),"",IF(AND(ISNUMBER(H250),H250&gt;=0),H250,Constants!$B$29))</f>
        <v/>
      </c>
      <c r="AJ250" s="93" t="str">
        <f aca="false">IF(ISBLANK($C250),"",IF(I250=Constants!$B$3,TRUE(),IF(I250=Constants!$B$4,FALSE(),TRUE())))</f>
        <v/>
      </c>
      <c r="AK250" s="93" t="str">
        <f aca="false">IF(ISBLANK($C250),"",IF(J250=Constants!$B$3,TRUE(),IF(J250=Constants!$B$4,FALSE(),TRUE())))</f>
        <v/>
      </c>
      <c r="AL250" s="93" t="str">
        <f aca="false">IF(ISBLANK($C250),"",IF(K250=Constants!$B$5,TRUE(),IF(K250=Constants!$B$6,FALSE(),COUNTA(L250:P250)&gt;0)))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IF(ISBLANK($C250),"",IF(N250=Constants!$B$3,TRUE(),IF(N250=Constants!$B$4,FALSE(),TRUE())))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IF(ISBLANK($C250),"",IF(P250=Constants!$B$3,TRUE(),IF(P250=Constants!$B$4,FALSE(),FALSE())))</f>
        <v/>
      </c>
      <c r="AR250" s="93" t="str">
        <f aca="false">IF(ISBLANK($C250),"",IF(Q250=Constants!$B$3,TRUE(),IF(Q250=Constants!$B$4,FALSE(),TRUE())))</f>
        <v/>
      </c>
      <c r="AS250" s="93" t="str">
        <f aca="false">IF(ISBLANK($C250),"",IF(R250=Constants!$B$3,TRUE(),IF(R250=Constants!$B$4,FALSE(),TRUE())))</f>
        <v/>
      </c>
      <c r="AT250" s="93" t="str">
        <f aca="false">IF(ISBLANK($C250),"",IF(S250=Constants!$B$5,TRUE(),IF(S250=Constants!$B$6,FALSE(),COUNTA(T250:X250)&gt;0)))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IF(ISBLANK($C250),"",IF(V250=Constants!$B$3,TRUE(),IF(V250=Constants!$B$4,FALSE(),TRUE())))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IF(ISBLANK($C250),"",IF(X250=Constants!$B$3,TRUE(),IF(X250=Constants!$B$4,FALSE(),FALSE())))</f>
        <v/>
      </c>
      <c r="AZ250" s="93" t="str">
        <f aca="false">IF(ISBLANK($C250),"",MIN(Constants!$B$31,MAX(0,IF(ISNUMBER(Y250),Y250*60,0)+IF(ISNUMBER(Z250),Z250,0))))</f>
        <v/>
      </c>
      <c r="BA250" s="93" t="str">
        <f aca="false">IF(ISBLANK($C250),"",IF(AA250=Constants!$B$3,TRUE(),IF(AA250=Constants!$B$4,FALSE(),FALSE())))</f>
        <v/>
      </c>
      <c r="BB250" s="92" t="str">
        <f aca="false">IF(ISBLANK($C250),"",AND($AL250,OR($AM250="",$AN250="",AND($AO250,$AP250=""))))</f>
        <v/>
      </c>
      <c r="BC250" s="94" t="str">
        <f aca="false">IF($BZ250&lt;&gt;Constants!$B$8,"",IF($AL250,Constants!$B$21*$AN250+Constants!$B$22*IF($AO250,$AP250,Constants!$B$23),Constants!$B$24))</f>
        <v/>
      </c>
      <c r="BD250" s="97" t="str">
        <f aca="false">IF($BZ250&lt;&gt;Constants!$B$8,"",Constants!$B$25*ABS($AD$9-IF($AL250,$AM250,0)))</f>
        <v/>
      </c>
      <c r="BE250" s="97" t="str">
        <f aca="false">IF($BZ250&lt;&gt;Constants!$B$8,"",IF(AND($AL250,$AQ250,$AO250),Constants!$B$27,0))</f>
        <v/>
      </c>
      <c r="BF250" s="97" t="str">
        <f aca="false">IF($BZ250&lt;&gt;Constants!$B$8,"",IF($AL250,($AI250-Constants!$B$29)*Constants!$B$28,0))</f>
        <v/>
      </c>
      <c r="BG250" s="97" t="str">
        <f aca="false">IF($BZ250&lt;&gt;Constants!$B$8,"",IF($AK250,0,Constants!$B$15)+IF($AJ250,0,Constants!$B$16)+IF($AH250,0,Constants!$B$17))</f>
        <v/>
      </c>
      <c r="BH250" s="98" t="str">
        <f aca="false">IF($BZ250&lt;&gt;Constants!$B$8,"",Constants!$B$20+SUM($BC250:$BG250))</f>
        <v/>
      </c>
      <c r="BI250" s="97" t="str">
        <f aca="false">IF($BZ250&lt;&gt;Constants!$B$8,"",$BC250)</f>
        <v/>
      </c>
      <c r="BJ250" s="97" t="str">
        <f aca="false">IF($BZ250&lt;&gt;Constants!$B$8,"",$BD250)</f>
        <v/>
      </c>
      <c r="BK250" s="97" t="str">
        <f aca="false">IF($BZ250&lt;&gt;Constants!$B$8,"",IF($AL250,$AN250,""))</f>
        <v/>
      </c>
      <c r="BL250" s="99" t="str">
        <f aca="false">IF($BZ250&lt;&gt;Constants!$B$8,"",$AI250)</f>
        <v/>
      </c>
      <c r="BM250" s="93" t="str">
        <f aca="false">IF($BZ250&lt;&gt;Constants!$B$8,"",IF(OR($BT250&lt;$BH250,AND($BT250=$BH250,OR($BU250&lt;$BI250,AND($BU250=$BI250,OR($BV250&lt;$BJ250,AND($BV250=$BJ250,OR(AND(ISNUMBER($BW250),OR(NOT(ISNUMBER($BK250)),$BW250&lt;$BK250)),AND(OR(AND($BW250="",$BK250=""),AND(ISNUMBER($BW250),ISNUMBER($BK250),$BW250=$BK250)),$BX250&lt;$BL250)))))))),"-&gt;","&lt;-"))</f>
        <v/>
      </c>
      <c r="BN250" s="92" t="str">
        <f aca="false">IF(ISBLANK($C250),"",AND($AT250,OR($AU250="",$AV250="",AND($AW250,$AX250=""))))</f>
        <v/>
      </c>
      <c r="BO250" s="94" t="str">
        <f aca="false">IF($BZ250&lt;&gt;Constants!$B$8,"",IF($AT250,Constants!$B$21*$AV250+Constants!$B$22*IF($AW250,$AX250,Constants!$B$23),Constants!$B$24))</f>
        <v/>
      </c>
      <c r="BP250" s="97" t="str">
        <f aca="false">IF($BZ250&lt;&gt;Constants!$B$8,"",Constants!$B$25*ABS($AD$9-IF($AT250,$AU250,0)))</f>
        <v/>
      </c>
      <c r="BQ250" s="97" t="str">
        <f aca="false">IF($BZ250&lt;&gt;Constants!$B$8,"",IF(AND($AT250,$AY250,$AW250),Constants!$B$27,0))</f>
        <v/>
      </c>
      <c r="BR250" s="97" t="str">
        <f aca="false">IF($BZ250&lt;&gt;Constants!$B$8,"",IF($AT250,($AI250-Constants!$B$29)*Constants!$B$28,0))</f>
        <v/>
      </c>
      <c r="BS250" s="97" t="str">
        <f aca="false">IF($BZ250&lt;&gt;Constants!$B$8,"",IF($AS250,0,Constants!$B$15)+IF($AR250,0,Constants!$B$16)+IF($AH250,0,Constants!$B$17))</f>
        <v/>
      </c>
      <c r="BT250" s="98" t="str">
        <f aca="false">IF($BZ250&lt;&gt;Constants!$B$8,"",Constants!$B$20+SUM($BO250:$BS250))</f>
        <v/>
      </c>
      <c r="BU250" s="97" t="str">
        <f aca="false">IF($BZ250&lt;&gt;Constants!$B$8,"",$BO250)</f>
        <v/>
      </c>
      <c r="BV250" s="97" t="str">
        <f aca="false">IF($BZ250&lt;&gt;Constants!$B$8,"",$BP250)</f>
        <v/>
      </c>
      <c r="BW250" s="97" t="str">
        <f aca="false">IF($BZ250&lt;&gt;Constants!$B$8,"",IF($AT250,$AV250,""))</f>
        <v/>
      </c>
      <c r="BX250" s="99" t="str">
        <f aca="false">IF($BZ250&lt;&gt;Constants!$B$8,"",$AI250)</f>
        <v/>
      </c>
      <c r="BY250" s="93" t="str">
        <f aca="false">IF(ISBLANK($C250),"",IF(ISBLANK($D$7),$BY$5,IF(NOT(ISNUMBER($D$7)),$BY$6,"")))</f>
        <v/>
      </c>
      <c r="BZ250" s="93" t="str">
        <f aca="false">IF(ISBLANK($C250),"",IF($BA250,Constants!$B$11,IF(COUNTA($E250:$AA250)=0,Constants!$B$10,IF(NOT($AG250),Constants!$B$9,IF(OR($BY250&lt;&gt;"",$BB250,$BN250),Constants!$B$12,Constants!$B$8)))))</f>
        <v/>
      </c>
      <c r="CA250" s="93" t="str">
        <f aca="false">IF(ISBLANK($C250),"",IF($BZ250&lt;&gt;Constants!$B$8,$BZ250,Constants!$B$13))</f>
        <v/>
      </c>
      <c r="CB250" s="97" t="str">
        <f aca="false">IF($BZ250&lt;&gt;Constants!$B$8,"",IF($BM250="-&gt;",$BT250,$BH250))</f>
        <v/>
      </c>
      <c r="CC250" s="97" t="str">
        <f aca="false">IF($BZ250&lt;&gt;Constants!$B$8,"",IF($AF250,0,Constants!$B$18))</f>
        <v/>
      </c>
      <c r="CD250" s="97" t="str">
        <f aca="false">IF($BZ250&lt;&gt;Constants!$B$8,"",((Constants!$B$31-$AZ250)-Constants!$B$31)/Constants!$B$32)</f>
        <v/>
      </c>
      <c r="CE250" s="97" t="str">
        <f aca="false">IF(ISBLANK($C250),"",IF($BZ250&lt;&gt;Constants!$B$8,$BZ250,SUM($CB250:$CD250)))</f>
        <v/>
      </c>
      <c r="CF250" s="93" t="str">
        <f aca="false">IF(ISBLANK($C250),"",IF($BZ250&lt;&gt;Constants!$B$8,$BZ250,RANK($CE250,$CE$9:$CE$508,1)))</f>
        <v/>
      </c>
      <c r="CG250" s="97" t="str">
        <f aca="false">IF($BZ250&lt;&gt;Constants!$B$8,"",IF($BM250="-&gt;",$BU250,$BI250))</f>
        <v/>
      </c>
      <c r="CH250" s="93" t="str">
        <f aca="false">IF(ISBLANK($C250),"",IF($BZ250&lt;&gt;Constants!$B$8,$BZ250,IF(ISNUMBER($CG250),RANK($CG250,$CG$9:$CG$508,1),COUNT($CG$9:$CG$508)+1)))</f>
        <v/>
      </c>
      <c r="CI250" s="97" t="str">
        <f aca="false">IF($BZ250&lt;&gt;Constants!$B$8,"",IF($BM250="-&gt;",$BV250,$BJ250))</f>
        <v/>
      </c>
      <c r="CJ250" s="93" t="str">
        <f aca="false">IF(ISBLANK($C250),"",IF($BZ250&lt;&gt;Constants!$B$8,$BZ250,IF(ISNUMBER($CI250),RANK($CI250,$CI$9:$CI$508,1),COUNT($CI$9:$CI$508)+1)))</f>
        <v/>
      </c>
      <c r="CK250" s="97" t="str">
        <f aca="false">IF($BZ250&lt;&gt;Constants!$B$8,"",IF($BM250="-&gt;",$BW250,$BK250))</f>
        <v/>
      </c>
      <c r="CL250" s="93" t="str">
        <f aca="false">IF(ISBLANK($C250),"",IF($BZ250&lt;&gt;Constants!$B$8,$BZ250,IF(ISNUMBER($CK250),RANK($CK250,$CK$9:$CK$508,1),COUNT($CK$9:$CK$508)+1)))</f>
        <v/>
      </c>
      <c r="CM250" s="97" t="str">
        <f aca="false">IF($BZ250&lt;&gt;Constants!$B$8,"",IF(AND(NOT($AL250),NOT($AT250),$AJ250,$AK250,$AR250,$AS250),"",IF($BM250="-&gt;",$BX250,$BL250)))</f>
        <v/>
      </c>
      <c r="CN250" s="93" t="str">
        <f aca="false">IF(ISBLANK($C250),"",IF($BZ250&lt;&gt;Constants!$B$8,$BZ250,IF(ISNUMBER($CM250),RANK($CM250,$CM$9:$CM$508,1),COUNT($CM$9:$CM$508)+1)))</f>
        <v/>
      </c>
      <c r="CO250" s="93" t="str">
        <f aca="false">IF(ISBLANK($C250),"",IF($BZ250&lt;&gt;Constants!$B$8,$BZ250,COUNTIFS($CF$9:$CF$508,"&lt;"&amp;$CF250)+COUNTIFS($CF$9:$CF$508,$CF250,$CH$9:$CH$508,"&lt;"&amp;$CH250)+COUNTIFS($CF$9:$CF$508,$CF250,$CH$9:$CH$508,$CH250,$CJ$9:$CJ$508,"&lt;"&amp;$CJ250)+COUNTIFS($CF$9:$CF$508,$CF250,$CH$9:$CH$508,$CH250,$CJ$9:$CJ$508,$CJ250,$CL$9:$CL$508,"&lt;"&amp;$CL250)+COUNTIFS($CF$9:$CF$508,$CF250,$CH$9:$CH$508,$CH250,$CJ$9:$CJ$508,$CJ250,$CL$9:$CL$508,$CL250,$CN$9:$CN$508,"&lt;"&amp;$CN250)+1))</f>
        <v/>
      </c>
      <c r="CP250" s="93" t="str">
        <f aca="false">IF(ISBLANK($C250),"",IF($BZ250&lt;&gt;Constants!$B$8,$BZ250,$CF250-$CO250))</f>
        <v/>
      </c>
      <c r="CQ250" s="100"/>
      <c r="CR250" s="101"/>
      <c r="CS250" s="102" t="str">
        <f aca="false">IF(ISBLANK($C250),"",IF($BZ250=Constants!$B$12,$BY250,""))</f>
        <v/>
      </c>
      <c r="CT250" s="101" t="str">
        <f aca="false">IF(ISBLANK($C250),"",IF($BZ250&lt;&gt;Constants!$B$8,"",IF($BM250="-&gt;",2,1)))</f>
        <v/>
      </c>
      <c r="CU250" s="103" t="str">
        <f aca="false">IF(ISBLANK($C250),"",IF($BZ250&lt;&gt;Constants!$B$8,"",IF($BM250="-&gt;",$BO250,$BC250)))</f>
        <v/>
      </c>
      <c r="CV250" s="103" t="str">
        <f aca="false">IF(ISBLANK($C250),"",IF($BZ250&lt;&gt;Constants!$B$8,"",IF($BM250="-&gt;",$BP250,$BD250)))</f>
        <v/>
      </c>
      <c r="CW250" s="103" t="str">
        <f aca="false">IF(ISBLANK($C250),"",IF($BZ250&lt;&gt;Constants!$B$8,"",IF($BM250="-&gt;",$BQ250+$BR250,$BE250+$BF250)+$CD250))</f>
        <v/>
      </c>
      <c r="CX250" s="103" t="str">
        <f aca="false">IF(ISBLANK($C250),"",IF($BZ250&lt;&gt;Constants!$B$8,"",IF($BM250="-&gt;",$BS250,$BG250)+$CC250))</f>
        <v/>
      </c>
      <c r="CY250" s="104" t="str">
        <f aca="false">IF(ISBLANK($C250),"",IF($BZ250&lt;&gt;Constants!$B$8,$BZ250,$CE250))</f>
        <v/>
      </c>
      <c r="CZ250" s="105" t="str">
        <f aca="false">IF(ISBLANK($C250),"",$CA250)</f>
        <v/>
      </c>
      <c r="DA250" s="106" t="str">
        <f aca="false">IF(ISBLANK($C250),"",$CP250)</f>
        <v/>
      </c>
      <c r="DB250" s="106" t="str">
        <f aca="false">IF(ISBLANK($C250),"",$CO250)</f>
        <v/>
      </c>
      <c r="DC250" s="107" t="str">
        <f aca="false">IF(ISBLANK($C250),"",IFERROR(_xlfn.SWITCH($DB250,Constants!$B$11,COUNTA($C$9:$C$508)+2,Constants!$B$10,COUNTA($C$9:$C$508)+1,Constants!$B$9,COUNTA($C$9:$C$508)),$DB250))</f>
        <v/>
      </c>
      <c r="DD250" s="9"/>
      <c r="DE250" s="108" t="n">
        <f aca="false">IF(OR(ISNUMBER($DB250),$DB250=Constants!$B$11,$DB250=Constants!$B$9,$DB250=Constants!$B$10),1,0)</f>
        <v>0</v>
      </c>
      <c r="DF250" s="108" t="n">
        <v>242</v>
      </c>
      <c r="DG250" s="108" t="str">
        <f aca="false">IF(ISBLANK($C250),"",IF(ISNUMBER($DC250),$DC250+ROW($B250)/1000,""))</f>
        <v/>
      </c>
      <c r="DH250" s="108" t="str">
        <f aca="false">IF(ISNUMBER($DG250),RANK($DG250,$DG$9:$DG$508,1),"")</f>
        <v/>
      </c>
      <c r="DI250" s="108" t="str">
        <f aca="false">IF(ISBLANK($C250),"",$B250)</f>
        <v/>
      </c>
      <c r="DJ250" s="108" t="str">
        <f aca="false">IF(ISBLANK($C250),"",$C250)</f>
        <v/>
      </c>
      <c r="DK250" s="108" t="str">
        <f aca="false">IF(ISBLANK($C250),"",$D250)</f>
        <v/>
      </c>
      <c r="DL250" s="109" t="str">
        <f aca="false">$CZ250</f>
        <v/>
      </c>
      <c r="DM250" s="110" t="str">
        <f aca="false">$CY250</f>
        <v/>
      </c>
      <c r="DN250" s="108" t="str">
        <f aca="false">IF(ISBLANK($C250),"",$DB250)</f>
        <v/>
      </c>
      <c r="DO250" s="111" t="str">
        <f aca="false">IF($DF250&gt;$DE$8,"",VLOOKUP($DF250,$DH$9:$DN$508,7,FALSE()))</f>
        <v/>
      </c>
      <c r="DP250" s="112" t="str">
        <f aca="false">IF($DF250&gt;$DE$8,"",VLOOKUP($DF250,$DH$9:$DN$508,2,FALSE()))</f>
        <v/>
      </c>
      <c r="DQ250" s="112" t="str">
        <f aca="false">IF($DF250&gt;$DE$8,"",VLOOKUP($DF250,$DH$9:$DN$508,3,FALSE()))</f>
        <v/>
      </c>
      <c r="DR250" s="112" t="str">
        <f aca="false">IF($DF250&gt;$DE$8,"",VLOOKUP($DF250,$DH$9:$DN$508,4,FALSE()))</f>
        <v/>
      </c>
      <c r="DS250" s="112" t="str">
        <f aca="false">IF($DF250&gt;$DE$8,"",VLOOKUP($DF250,$DH$9:$DN$508,5,FALSE()))</f>
        <v/>
      </c>
      <c r="DT250" s="113" t="str">
        <f aca="false">IF($DF250&gt;$DE$8,"",VLOOKUP($DF250,$DH$9:$DN$508,6,FALSE()))</f>
        <v/>
      </c>
      <c r="DU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IF(ISBLANK($C251),"",IF(E251=Constants!$B$3,TRUE(),IF(E251=Constants!$B$4,FALSE(),TRUE())))</f>
        <v/>
      </c>
      <c r="AG251" s="93" t="str">
        <f aca="false">IF(ISBLANK($C251),"",IF(F251=Constants!$B$3,TRUE(),IF(F251=Constants!$B$4,FALSE(),TRUE())))</f>
        <v/>
      </c>
      <c r="AH251" s="93" t="str">
        <f aca="false">IF(ISBLANK($C251),"",IF(G251=Constants!$B$3,TRUE(),IF(G251=Constants!$B$4,FALSE(),TRUE())))</f>
        <v/>
      </c>
      <c r="AI251" s="93" t="str">
        <f aca="false">IF(ISBLANK($C251),"",IF(AND(ISNUMBER(H251),H251&gt;=0),H251,Constants!$B$29))</f>
        <v/>
      </c>
      <c r="AJ251" s="93" t="str">
        <f aca="false">IF(ISBLANK($C251),"",IF(I251=Constants!$B$3,TRUE(),IF(I251=Constants!$B$4,FALSE(),TRUE())))</f>
        <v/>
      </c>
      <c r="AK251" s="93" t="str">
        <f aca="false">IF(ISBLANK($C251),"",IF(J251=Constants!$B$3,TRUE(),IF(J251=Constants!$B$4,FALSE(),TRUE())))</f>
        <v/>
      </c>
      <c r="AL251" s="93" t="str">
        <f aca="false">IF(ISBLANK($C251),"",IF(K251=Constants!$B$5,TRUE(),IF(K251=Constants!$B$6,FALSE(),COUNTA(L251:P251)&gt;0)))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IF(ISBLANK($C251),"",IF(N251=Constants!$B$3,TRUE(),IF(N251=Constants!$B$4,FALSE(),TRUE())))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IF(ISBLANK($C251),"",IF(P251=Constants!$B$3,TRUE(),IF(P251=Constants!$B$4,FALSE(),FALSE())))</f>
        <v/>
      </c>
      <c r="AR251" s="93" t="str">
        <f aca="false">IF(ISBLANK($C251),"",IF(Q251=Constants!$B$3,TRUE(),IF(Q251=Constants!$B$4,FALSE(),TRUE())))</f>
        <v/>
      </c>
      <c r="AS251" s="93" t="str">
        <f aca="false">IF(ISBLANK($C251),"",IF(R251=Constants!$B$3,TRUE(),IF(R251=Constants!$B$4,FALSE(),TRUE())))</f>
        <v/>
      </c>
      <c r="AT251" s="93" t="str">
        <f aca="false">IF(ISBLANK($C251),"",IF(S251=Constants!$B$5,TRUE(),IF(S251=Constants!$B$6,FALSE(),COUNTA(T251:X251)&gt;0)))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IF(ISBLANK($C251),"",IF(V251=Constants!$B$3,TRUE(),IF(V251=Constants!$B$4,FALSE(),TRUE())))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IF(ISBLANK($C251),"",IF(X251=Constants!$B$3,TRUE(),IF(X251=Constants!$B$4,FALSE(),FALSE())))</f>
        <v/>
      </c>
      <c r="AZ251" s="93" t="str">
        <f aca="false">IF(ISBLANK($C251),"",MIN(Constants!$B$31,MAX(0,IF(ISNUMBER(Y251),Y251*60,0)+IF(ISNUMBER(Z251),Z251,0))))</f>
        <v/>
      </c>
      <c r="BA251" s="93" t="str">
        <f aca="false">IF(ISBLANK($C251),"",IF(AA251=Constants!$B$3,TRUE(),IF(AA251=Constants!$B$4,FALSE(),FALSE())))</f>
        <v/>
      </c>
      <c r="BB251" s="92" t="str">
        <f aca="false">IF(ISBLANK($C251),"",AND($AL251,OR($AM251="",$AN251="",AND($AO251,$AP251=""))))</f>
        <v/>
      </c>
      <c r="BC251" s="94" t="str">
        <f aca="false">IF($BZ251&lt;&gt;Constants!$B$8,"",IF($AL251,Constants!$B$21*$AN251+Constants!$B$22*IF($AO251,$AP251,Constants!$B$23),Constants!$B$24))</f>
        <v/>
      </c>
      <c r="BD251" s="97" t="str">
        <f aca="false">IF($BZ251&lt;&gt;Constants!$B$8,"",Constants!$B$25*ABS($AD$9-IF($AL251,$AM251,0)))</f>
        <v/>
      </c>
      <c r="BE251" s="97" t="str">
        <f aca="false">IF($BZ251&lt;&gt;Constants!$B$8,"",IF(AND($AL251,$AQ251,$AO251),Constants!$B$27,0))</f>
        <v/>
      </c>
      <c r="BF251" s="97" t="str">
        <f aca="false">IF($BZ251&lt;&gt;Constants!$B$8,"",IF($AL251,($AI251-Constants!$B$29)*Constants!$B$28,0))</f>
        <v/>
      </c>
      <c r="BG251" s="97" t="str">
        <f aca="false">IF($BZ251&lt;&gt;Constants!$B$8,"",IF($AK251,0,Constants!$B$15)+IF($AJ251,0,Constants!$B$16)+IF($AH251,0,Constants!$B$17))</f>
        <v/>
      </c>
      <c r="BH251" s="98" t="str">
        <f aca="false">IF($BZ251&lt;&gt;Constants!$B$8,"",Constants!$B$20+SUM($BC251:$BG251))</f>
        <v/>
      </c>
      <c r="BI251" s="97" t="str">
        <f aca="false">IF($BZ251&lt;&gt;Constants!$B$8,"",$BC251)</f>
        <v/>
      </c>
      <c r="BJ251" s="97" t="str">
        <f aca="false">IF($BZ251&lt;&gt;Constants!$B$8,"",$BD251)</f>
        <v/>
      </c>
      <c r="BK251" s="97" t="str">
        <f aca="false">IF($BZ251&lt;&gt;Constants!$B$8,"",IF($AL251,$AN251,""))</f>
        <v/>
      </c>
      <c r="BL251" s="99" t="str">
        <f aca="false">IF($BZ251&lt;&gt;Constants!$B$8,"",$AI251)</f>
        <v/>
      </c>
      <c r="BM251" s="93" t="str">
        <f aca="false">IF($BZ251&lt;&gt;Constants!$B$8,"",IF(OR($BT251&lt;$BH251,AND($BT251=$BH251,OR($BU251&lt;$BI251,AND($BU251=$BI251,OR($BV251&lt;$BJ251,AND($BV251=$BJ251,OR(AND(ISNUMBER($BW251),OR(NOT(ISNUMBER($BK251)),$BW251&lt;$BK251)),AND(OR(AND($BW251="",$BK251=""),AND(ISNUMBER($BW251),ISNUMBER($BK251),$BW251=$BK251)),$BX251&lt;$BL251)))))))),"-&gt;","&lt;-"))</f>
        <v/>
      </c>
      <c r="BN251" s="92" t="str">
        <f aca="false">IF(ISBLANK($C251),"",AND($AT251,OR($AU251="",$AV251="",AND($AW251,$AX251=""))))</f>
        <v/>
      </c>
      <c r="BO251" s="94" t="str">
        <f aca="false">IF($BZ251&lt;&gt;Constants!$B$8,"",IF($AT251,Constants!$B$21*$AV251+Constants!$B$22*IF($AW251,$AX251,Constants!$B$23),Constants!$B$24))</f>
        <v/>
      </c>
      <c r="BP251" s="97" t="str">
        <f aca="false">IF($BZ251&lt;&gt;Constants!$B$8,"",Constants!$B$25*ABS($AD$9-IF($AT251,$AU251,0)))</f>
        <v/>
      </c>
      <c r="BQ251" s="97" t="str">
        <f aca="false">IF($BZ251&lt;&gt;Constants!$B$8,"",IF(AND($AT251,$AY251,$AW251),Constants!$B$27,0))</f>
        <v/>
      </c>
      <c r="BR251" s="97" t="str">
        <f aca="false">IF($BZ251&lt;&gt;Constants!$B$8,"",IF($AT251,($AI251-Constants!$B$29)*Constants!$B$28,0))</f>
        <v/>
      </c>
      <c r="BS251" s="97" t="str">
        <f aca="false">IF($BZ251&lt;&gt;Constants!$B$8,"",IF($AS251,0,Constants!$B$15)+IF($AR251,0,Constants!$B$16)+IF($AH251,0,Constants!$B$17))</f>
        <v/>
      </c>
      <c r="BT251" s="98" t="str">
        <f aca="false">IF($BZ251&lt;&gt;Constants!$B$8,"",Constants!$B$20+SUM($BO251:$BS251))</f>
        <v/>
      </c>
      <c r="BU251" s="97" t="str">
        <f aca="false">IF($BZ251&lt;&gt;Constants!$B$8,"",$BO251)</f>
        <v/>
      </c>
      <c r="BV251" s="97" t="str">
        <f aca="false">IF($BZ251&lt;&gt;Constants!$B$8,"",$BP251)</f>
        <v/>
      </c>
      <c r="BW251" s="97" t="str">
        <f aca="false">IF($BZ251&lt;&gt;Constants!$B$8,"",IF($AT251,$AV251,""))</f>
        <v/>
      </c>
      <c r="BX251" s="99" t="str">
        <f aca="false">IF($BZ251&lt;&gt;Constants!$B$8,"",$AI251)</f>
        <v/>
      </c>
      <c r="BY251" s="93" t="str">
        <f aca="false">IF(ISBLANK($C251),"",IF(ISBLANK($D$7),$BY$5,IF(NOT(ISNUMBER($D$7)),$BY$6,"")))</f>
        <v/>
      </c>
      <c r="BZ251" s="93" t="str">
        <f aca="false">IF(ISBLANK($C251),"",IF($BA251,Constants!$B$11,IF(COUNTA($E251:$AA251)=0,Constants!$B$10,IF(NOT($AG251),Constants!$B$9,IF(OR($BY251&lt;&gt;"",$BB251,$BN251),Constants!$B$12,Constants!$B$8)))))</f>
        <v/>
      </c>
      <c r="CA251" s="93" t="str">
        <f aca="false">IF(ISBLANK($C251),"",IF($BZ251&lt;&gt;Constants!$B$8,$BZ251,Constants!$B$13))</f>
        <v/>
      </c>
      <c r="CB251" s="97" t="str">
        <f aca="false">IF($BZ251&lt;&gt;Constants!$B$8,"",IF($BM251="-&gt;",$BT251,$BH251))</f>
        <v/>
      </c>
      <c r="CC251" s="97" t="str">
        <f aca="false">IF($BZ251&lt;&gt;Constants!$B$8,"",IF($AF251,0,Constants!$B$18))</f>
        <v/>
      </c>
      <c r="CD251" s="97" t="str">
        <f aca="false">IF($BZ251&lt;&gt;Constants!$B$8,"",((Constants!$B$31-$AZ251)-Constants!$B$31)/Constants!$B$32)</f>
        <v/>
      </c>
      <c r="CE251" s="97" t="str">
        <f aca="false">IF(ISBLANK($C251),"",IF($BZ251&lt;&gt;Constants!$B$8,$BZ251,SUM($CB251:$CD251)))</f>
        <v/>
      </c>
      <c r="CF251" s="93" t="str">
        <f aca="false">IF(ISBLANK($C251),"",IF($BZ251&lt;&gt;Constants!$B$8,$BZ251,RANK($CE251,$CE$9:$CE$508,1)))</f>
        <v/>
      </c>
      <c r="CG251" s="97" t="str">
        <f aca="false">IF($BZ251&lt;&gt;Constants!$B$8,"",IF($BM251="-&gt;",$BU251,$BI251))</f>
        <v/>
      </c>
      <c r="CH251" s="93" t="str">
        <f aca="false">IF(ISBLANK($C251),"",IF($BZ251&lt;&gt;Constants!$B$8,$BZ251,IF(ISNUMBER($CG251),RANK($CG251,$CG$9:$CG$508,1),COUNT($CG$9:$CG$508)+1)))</f>
        <v/>
      </c>
      <c r="CI251" s="97" t="str">
        <f aca="false">IF($BZ251&lt;&gt;Constants!$B$8,"",IF($BM251="-&gt;",$BV251,$BJ251))</f>
        <v/>
      </c>
      <c r="CJ251" s="93" t="str">
        <f aca="false">IF(ISBLANK($C251),"",IF($BZ251&lt;&gt;Constants!$B$8,$BZ251,IF(ISNUMBER($CI251),RANK($CI251,$CI$9:$CI$508,1),COUNT($CI$9:$CI$508)+1)))</f>
        <v/>
      </c>
      <c r="CK251" s="97" t="str">
        <f aca="false">IF($BZ251&lt;&gt;Constants!$B$8,"",IF($BM251="-&gt;",$BW251,$BK251))</f>
        <v/>
      </c>
      <c r="CL251" s="93" t="str">
        <f aca="false">IF(ISBLANK($C251),"",IF($BZ251&lt;&gt;Constants!$B$8,$BZ251,IF(ISNUMBER($CK251),RANK($CK251,$CK$9:$CK$508,1),COUNT($CK$9:$CK$508)+1)))</f>
        <v/>
      </c>
      <c r="CM251" s="97" t="str">
        <f aca="false">IF($BZ251&lt;&gt;Constants!$B$8,"",IF(AND(NOT($AL251),NOT($AT251),$AJ251,$AK251,$AR251,$AS251),"",IF($BM251="-&gt;",$BX251,$BL251)))</f>
        <v/>
      </c>
      <c r="CN251" s="93" t="str">
        <f aca="false">IF(ISBLANK($C251),"",IF($BZ251&lt;&gt;Constants!$B$8,$BZ251,IF(ISNUMBER($CM251),RANK($CM251,$CM$9:$CM$508,1),COUNT($CM$9:$CM$508)+1)))</f>
        <v/>
      </c>
      <c r="CO251" s="93" t="str">
        <f aca="false">IF(ISBLANK($C251),"",IF($BZ251&lt;&gt;Constants!$B$8,$BZ251,COUNTIFS($CF$9:$CF$508,"&lt;"&amp;$CF251)+COUNTIFS($CF$9:$CF$508,$CF251,$CH$9:$CH$508,"&lt;"&amp;$CH251)+COUNTIFS($CF$9:$CF$508,$CF251,$CH$9:$CH$508,$CH251,$CJ$9:$CJ$508,"&lt;"&amp;$CJ251)+COUNTIFS($CF$9:$CF$508,$CF251,$CH$9:$CH$508,$CH251,$CJ$9:$CJ$508,$CJ251,$CL$9:$CL$508,"&lt;"&amp;$CL251)+COUNTIFS($CF$9:$CF$508,$CF251,$CH$9:$CH$508,$CH251,$CJ$9:$CJ$508,$CJ251,$CL$9:$CL$508,$CL251,$CN$9:$CN$508,"&lt;"&amp;$CN251)+1))</f>
        <v/>
      </c>
      <c r="CP251" s="93" t="str">
        <f aca="false">IF(ISBLANK($C251),"",IF($BZ251&lt;&gt;Constants!$B$8,$BZ251,$CF251-$CO251))</f>
        <v/>
      </c>
      <c r="CQ251" s="100"/>
      <c r="CR251" s="101"/>
      <c r="CS251" s="102" t="str">
        <f aca="false">IF(ISBLANK($C251),"",IF($BZ251=Constants!$B$12,$BY251,""))</f>
        <v/>
      </c>
      <c r="CT251" s="101" t="str">
        <f aca="false">IF(ISBLANK($C251),"",IF($BZ251&lt;&gt;Constants!$B$8,"",IF($BM251="-&gt;",2,1)))</f>
        <v/>
      </c>
      <c r="CU251" s="103" t="str">
        <f aca="false">IF(ISBLANK($C251),"",IF($BZ251&lt;&gt;Constants!$B$8,"",IF($BM251="-&gt;",$BO251,$BC251)))</f>
        <v/>
      </c>
      <c r="CV251" s="103" t="str">
        <f aca="false">IF(ISBLANK($C251),"",IF($BZ251&lt;&gt;Constants!$B$8,"",IF($BM251="-&gt;",$BP251,$BD251)))</f>
        <v/>
      </c>
      <c r="CW251" s="103" t="str">
        <f aca="false">IF(ISBLANK($C251),"",IF($BZ251&lt;&gt;Constants!$B$8,"",IF($BM251="-&gt;",$BQ251+$BR251,$BE251+$BF251)+$CD251))</f>
        <v/>
      </c>
      <c r="CX251" s="103" t="str">
        <f aca="false">IF(ISBLANK($C251),"",IF($BZ251&lt;&gt;Constants!$B$8,"",IF($BM251="-&gt;",$BS251,$BG251)+$CC251))</f>
        <v/>
      </c>
      <c r="CY251" s="104" t="str">
        <f aca="false">IF(ISBLANK($C251),"",IF($BZ251&lt;&gt;Constants!$B$8,$BZ251,$CE251))</f>
        <v/>
      </c>
      <c r="CZ251" s="105" t="str">
        <f aca="false">IF(ISBLANK($C251),"",$CA251)</f>
        <v/>
      </c>
      <c r="DA251" s="106" t="str">
        <f aca="false">IF(ISBLANK($C251),"",$CP251)</f>
        <v/>
      </c>
      <c r="DB251" s="106" t="str">
        <f aca="false">IF(ISBLANK($C251),"",$CO251)</f>
        <v/>
      </c>
      <c r="DC251" s="107" t="str">
        <f aca="false">IF(ISBLANK($C251),"",IFERROR(_xlfn.SWITCH($DB251,Constants!$B$11,COUNTA($C$9:$C$508)+2,Constants!$B$10,COUNTA($C$9:$C$508)+1,Constants!$B$9,COUNTA($C$9:$C$508)),$DB251))</f>
        <v/>
      </c>
      <c r="DD251" s="9"/>
      <c r="DE251" s="108" t="n">
        <f aca="false">IF(OR(ISNUMBER($DB251),$DB251=Constants!$B$11,$DB251=Constants!$B$9,$DB251=Constants!$B$10),1,0)</f>
        <v>0</v>
      </c>
      <c r="DF251" s="108" t="n">
        <v>243</v>
      </c>
      <c r="DG251" s="108" t="str">
        <f aca="false">IF(ISBLANK($C251),"",IF(ISNUMBER($DC251),$DC251+ROW($B251)/1000,""))</f>
        <v/>
      </c>
      <c r="DH251" s="108" t="str">
        <f aca="false">IF(ISNUMBER($DG251),RANK($DG251,$DG$9:$DG$508,1),"")</f>
        <v/>
      </c>
      <c r="DI251" s="108" t="str">
        <f aca="false">IF(ISBLANK($C251),"",$B251)</f>
        <v/>
      </c>
      <c r="DJ251" s="108" t="str">
        <f aca="false">IF(ISBLANK($C251),"",$C251)</f>
        <v/>
      </c>
      <c r="DK251" s="108" t="str">
        <f aca="false">IF(ISBLANK($C251),"",$D251)</f>
        <v/>
      </c>
      <c r="DL251" s="109" t="str">
        <f aca="false">$CZ251</f>
        <v/>
      </c>
      <c r="DM251" s="110" t="str">
        <f aca="false">$CY251</f>
        <v/>
      </c>
      <c r="DN251" s="108" t="str">
        <f aca="false">IF(ISBLANK($C251),"",$DB251)</f>
        <v/>
      </c>
      <c r="DO251" s="111" t="str">
        <f aca="false">IF($DF251&gt;$DE$8,"",VLOOKUP($DF251,$DH$9:$DN$508,7,FALSE()))</f>
        <v/>
      </c>
      <c r="DP251" s="112" t="str">
        <f aca="false">IF($DF251&gt;$DE$8,"",VLOOKUP($DF251,$DH$9:$DN$508,2,FALSE()))</f>
        <v/>
      </c>
      <c r="DQ251" s="112" t="str">
        <f aca="false">IF($DF251&gt;$DE$8,"",VLOOKUP($DF251,$DH$9:$DN$508,3,FALSE()))</f>
        <v/>
      </c>
      <c r="DR251" s="112" t="str">
        <f aca="false">IF($DF251&gt;$DE$8,"",VLOOKUP($DF251,$DH$9:$DN$508,4,FALSE()))</f>
        <v/>
      </c>
      <c r="DS251" s="112" t="str">
        <f aca="false">IF($DF251&gt;$DE$8,"",VLOOKUP($DF251,$DH$9:$DN$508,5,FALSE()))</f>
        <v/>
      </c>
      <c r="DT251" s="113" t="str">
        <f aca="false">IF($DF251&gt;$DE$8,"",VLOOKUP($DF251,$DH$9:$DN$508,6,FALSE()))</f>
        <v/>
      </c>
      <c r="DU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IF(ISBLANK($C252),"",IF(E252=Constants!$B$3,TRUE(),IF(E252=Constants!$B$4,FALSE(),TRUE())))</f>
        <v/>
      </c>
      <c r="AG252" s="135" t="str">
        <f aca="false">IF(ISBLANK($C252),"",IF(F252=Constants!$B$3,TRUE(),IF(F252=Constants!$B$4,FALSE(),TRUE())))</f>
        <v/>
      </c>
      <c r="AH252" s="135" t="str">
        <f aca="false">IF(ISBLANK($C252),"",IF(G252=Constants!$B$3,TRUE(),IF(G252=Constants!$B$4,FALSE(),TRUE())))</f>
        <v/>
      </c>
      <c r="AI252" s="135" t="str">
        <f aca="false">IF(ISBLANK($C252),"",IF(AND(ISNUMBER(H252),H252&gt;=0),H252,Constants!$B$29))</f>
        <v/>
      </c>
      <c r="AJ252" s="135" t="str">
        <f aca="false">IF(ISBLANK($C252),"",IF(I252=Constants!$B$3,TRUE(),IF(I252=Constants!$B$4,FALSE(),TRUE())))</f>
        <v/>
      </c>
      <c r="AK252" s="135" t="str">
        <f aca="false">IF(ISBLANK($C252),"",IF(J252=Constants!$B$3,TRUE(),IF(J252=Constants!$B$4,FALSE(),TRUE())))</f>
        <v/>
      </c>
      <c r="AL252" s="135" t="str">
        <f aca="false">IF(ISBLANK($C252),"",IF(K252=Constants!$B$5,TRUE(),IF(K252=Constants!$B$6,FALSE(),COUNTA(L252:P252)&gt;0)))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IF(ISBLANK($C252),"",IF(N252=Constants!$B$3,TRUE(),IF(N252=Constants!$B$4,FALSE(),TRUE())))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IF(ISBLANK($C252),"",IF(P252=Constants!$B$3,TRUE(),IF(P252=Constants!$B$4,FALSE(),FALSE())))</f>
        <v/>
      </c>
      <c r="AR252" s="135" t="str">
        <f aca="false">IF(ISBLANK($C252),"",IF(Q252=Constants!$B$3,TRUE(),IF(Q252=Constants!$B$4,FALSE(),TRUE())))</f>
        <v/>
      </c>
      <c r="AS252" s="135" t="str">
        <f aca="false">IF(ISBLANK($C252),"",IF(R252=Constants!$B$3,TRUE(),IF(R252=Constants!$B$4,FALSE(),TRUE())))</f>
        <v/>
      </c>
      <c r="AT252" s="135" t="str">
        <f aca="false">IF(ISBLANK($C252),"",IF(S252=Constants!$B$5,TRUE(),IF(S252=Constants!$B$6,FALSE(),COUNTA(T252:X252)&gt;0)))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IF(ISBLANK($C252),"",IF(V252=Constants!$B$3,TRUE(),IF(V252=Constants!$B$4,FALSE(),TRUE())))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IF(ISBLANK($C252),"",IF(X252=Constants!$B$3,TRUE(),IF(X252=Constants!$B$4,FALSE(),FALSE())))</f>
        <v/>
      </c>
      <c r="AZ252" s="135" t="str">
        <f aca="false">IF(ISBLANK($C252),"",MIN(Constants!$B$31,MAX(0,IF(ISNUMBER(Y252),Y252*60,0)+IF(ISNUMBER(Z252),Z252,0))))</f>
        <v/>
      </c>
      <c r="BA252" s="135" t="str">
        <f aca="false">IF(ISBLANK($C252),"",IF(AA252=Constants!$B$3,TRUE(),IF(AA252=Constants!$B$4,FALSE(),FALSE())))</f>
        <v/>
      </c>
      <c r="BB252" s="134" t="str">
        <f aca="false">IF(ISBLANK($C252),"",AND($AL252,OR($AM252="",$AN252="",AND($AO252,$AP252=""))))</f>
        <v/>
      </c>
      <c r="BC252" s="137" t="str">
        <f aca="false">IF($BZ252&lt;&gt;Constants!$B$8,"",IF($AL252,Constants!$B$21*$AN252+Constants!$B$22*IF($AO252,$AP252,Constants!$B$23),Constants!$B$24))</f>
        <v/>
      </c>
      <c r="BD252" s="138" t="str">
        <f aca="false">IF($BZ252&lt;&gt;Constants!$B$8,"",Constants!$B$25*ABS($AD$9-IF($AL252,$AM252,0)))</f>
        <v/>
      </c>
      <c r="BE252" s="138" t="str">
        <f aca="false">IF($BZ252&lt;&gt;Constants!$B$8,"",IF(AND($AL252,$AQ252,$AO252),Constants!$B$27,0))</f>
        <v/>
      </c>
      <c r="BF252" s="138" t="str">
        <f aca="false">IF($BZ252&lt;&gt;Constants!$B$8,"",IF($AL252,($AI252-Constants!$B$29)*Constants!$B$28,0))</f>
        <v/>
      </c>
      <c r="BG252" s="138" t="str">
        <f aca="false">IF($BZ252&lt;&gt;Constants!$B$8,"",IF($AK252,0,Constants!$B$15)+IF($AJ252,0,Constants!$B$16)+IF($AH252,0,Constants!$B$17))</f>
        <v/>
      </c>
      <c r="BH252" s="139" t="str">
        <f aca="false">IF($BZ252&lt;&gt;Constants!$B$8,"",Constants!$B$20+SUM($BC252:$BG252))</f>
        <v/>
      </c>
      <c r="BI252" s="138" t="str">
        <f aca="false">IF($BZ252&lt;&gt;Constants!$B$8,"",$BC252)</f>
        <v/>
      </c>
      <c r="BJ252" s="138" t="str">
        <f aca="false">IF($BZ252&lt;&gt;Constants!$B$8,"",$BD252)</f>
        <v/>
      </c>
      <c r="BK252" s="138" t="str">
        <f aca="false">IF($BZ252&lt;&gt;Constants!$B$8,"",IF($AL252,$AN252,""))</f>
        <v/>
      </c>
      <c r="BL252" s="140" t="str">
        <f aca="false">IF($BZ252&lt;&gt;Constants!$B$8,"",$AI252)</f>
        <v/>
      </c>
      <c r="BM252" s="135" t="str">
        <f aca="false">IF($BZ252&lt;&gt;Constants!$B$8,"",IF(OR($BT252&lt;$BH252,AND($BT252=$BH252,OR($BU252&lt;$BI252,AND($BU252=$BI252,OR($BV252&lt;$BJ252,AND($BV252=$BJ252,OR(AND(ISNUMBER($BW252),OR(NOT(ISNUMBER($BK252)),$BW252&lt;$BK252)),AND(OR(AND($BW252="",$BK252=""),AND(ISNUMBER($BW252),ISNUMBER($BK252),$BW252=$BK252)),$BX252&lt;$BL252)))))))),"-&gt;","&lt;-"))</f>
        <v/>
      </c>
      <c r="BN252" s="134" t="str">
        <f aca="false">IF(ISBLANK($C252),"",AND($AT252,OR($AU252="",$AV252="",AND($AW252,$AX252=""))))</f>
        <v/>
      </c>
      <c r="BO252" s="137" t="str">
        <f aca="false">IF($BZ252&lt;&gt;Constants!$B$8,"",IF($AT252,Constants!$B$21*$AV252+Constants!$B$22*IF($AW252,$AX252,Constants!$B$23),Constants!$B$24))</f>
        <v/>
      </c>
      <c r="BP252" s="138" t="str">
        <f aca="false">IF($BZ252&lt;&gt;Constants!$B$8,"",Constants!$B$25*ABS($AD$9-IF($AT252,$AU252,0)))</f>
        <v/>
      </c>
      <c r="BQ252" s="138" t="str">
        <f aca="false">IF($BZ252&lt;&gt;Constants!$B$8,"",IF(AND($AT252,$AY252,$AW252),Constants!$B$27,0))</f>
        <v/>
      </c>
      <c r="BR252" s="138" t="str">
        <f aca="false">IF($BZ252&lt;&gt;Constants!$B$8,"",IF($AT252,($AI252-Constants!$B$29)*Constants!$B$28,0))</f>
        <v/>
      </c>
      <c r="BS252" s="138" t="str">
        <f aca="false">IF($BZ252&lt;&gt;Constants!$B$8,"",IF($AS252,0,Constants!$B$15)+IF($AR252,0,Constants!$B$16)+IF($AH252,0,Constants!$B$17))</f>
        <v/>
      </c>
      <c r="BT252" s="139" t="str">
        <f aca="false">IF($BZ252&lt;&gt;Constants!$B$8,"",Constants!$B$20+SUM($BO252:$BS252))</f>
        <v/>
      </c>
      <c r="BU252" s="138" t="str">
        <f aca="false">IF($BZ252&lt;&gt;Constants!$B$8,"",$BO252)</f>
        <v/>
      </c>
      <c r="BV252" s="138" t="str">
        <f aca="false">IF($BZ252&lt;&gt;Constants!$B$8,"",$BP252)</f>
        <v/>
      </c>
      <c r="BW252" s="138" t="str">
        <f aca="false">IF($BZ252&lt;&gt;Constants!$B$8,"",IF($AT252,$AV252,""))</f>
        <v/>
      </c>
      <c r="BX252" s="140" t="str">
        <f aca="false">IF($BZ252&lt;&gt;Constants!$B$8,"",$AI252)</f>
        <v/>
      </c>
      <c r="BY252" s="135" t="str">
        <f aca="false">IF(ISBLANK($C252),"",IF(ISBLANK($D$7),$BY$5,IF(NOT(ISNUMBER($D$7)),$BY$6,"")))</f>
        <v/>
      </c>
      <c r="BZ252" s="135" t="str">
        <f aca="false">IF(ISBLANK($C252),"",IF($BA252,Constants!$B$11,IF(COUNTA($E252:$AA252)=0,Constants!$B$10,IF(NOT($AG252),Constants!$B$9,IF(OR($BY252&lt;&gt;"",$BB252,$BN252),Constants!$B$12,Constants!$B$8)))))</f>
        <v/>
      </c>
      <c r="CA252" s="135" t="str">
        <f aca="false">IF(ISBLANK($C252),"",IF($BZ252&lt;&gt;Constants!$B$8,$BZ252,Constants!$B$13))</f>
        <v/>
      </c>
      <c r="CB252" s="138" t="str">
        <f aca="false">IF($BZ252&lt;&gt;Constants!$B$8,"",IF($BM252="-&gt;",$BT252,$BH252))</f>
        <v/>
      </c>
      <c r="CC252" s="138" t="str">
        <f aca="false">IF($BZ252&lt;&gt;Constants!$B$8,"",IF($AF252,0,Constants!$B$18))</f>
        <v/>
      </c>
      <c r="CD252" s="138" t="str">
        <f aca="false">IF($BZ252&lt;&gt;Constants!$B$8,"",((Constants!$B$31-$AZ252)-Constants!$B$31)/Constants!$B$32)</f>
        <v/>
      </c>
      <c r="CE252" s="138" t="str">
        <f aca="false">IF(ISBLANK($C252),"",IF($BZ252&lt;&gt;Constants!$B$8,$BZ252,SUM($CB252:$CD252)))</f>
        <v/>
      </c>
      <c r="CF252" s="135" t="str">
        <f aca="false">IF(ISBLANK($C252),"",IF($BZ252&lt;&gt;Constants!$B$8,$BZ252,RANK($CE252,$CE$9:$CE$508,1)))</f>
        <v/>
      </c>
      <c r="CG252" s="138" t="str">
        <f aca="false">IF($BZ252&lt;&gt;Constants!$B$8,"",IF($BM252="-&gt;",$BU252,$BI252))</f>
        <v/>
      </c>
      <c r="CH252" s="135" t="str">
        <f aca="false">IF(ISBLANK($C252),"",IF($BZ252&lt;&gt;Constants!$B$8,$BZ252,IF(ISNUMBER($CG252),RANK($CG252,$CG$9:$CG$508,1),COUNT($CG$9:$CG$508)+1)))</f>
        <v/>
      </c>
      <c r="CI252" s="138" t="str">
        <f aca="false">IF($BZ252&lt;&gt;Constants!$B$8,"",IF($BM252="-&gt;",$BV252,$BJ252))</f>
        <v/>
      </c>
      <c r="CJ252" s="135" t="str">
        <f aca="false">IF(ISBLANK($C252),"",IF($BZ252&lt;&gt;Constants!$B$8,$BZ252,IF(ISNUMBER($CI252),RANK($CI252,$CI$9:$CI$508,1),COUNT($CI$9:$CI$508)+1)))</f>
        <v/>
      </c>
      <c r="CK252" s="138" t="str">
        <f aca="false">IF($BZ252&lt;&gt;Constants!$B$8,"",IF($BM252="-&gt;",$BW252,$BK252))</f>
        <v/>
      </c>
      <c r="CL252" s="135" t="str">
        <f aca="false">IF(ISBLANK($C252),"",IF($BZ252&lt;&gt;Constants!$B$8,$BZ252,IF(ISNUMBER($CK252),RANK($CK252,$CK$9:$CK$508,1),COUNT($CK$9:$CK$508)+1)))</f>
        <v/>
      </c>
      <c r="CM252" s="138" t="str">
        <f aca="false">IF($BZ252&lt;&gt;Constants!$B$8,"",IF(AND(NOT($AL252),NOT($AT252),$AJ252,$AK252,$AR252,$AS252),"",IF($BM252="-&gt;",$BX252,$BL252)))</f>
        <v/>
      </c>
      <c r="CN252" s="135" t="str">
        <f aca="false">IF(ISBLANK($C252),"",IF($BZ252&lt;&gt;Constants!$B$8,$BZ252,IF(ISNUMBER($CM252),RANK($CM252,$CM$9:$CM$508,1),COUNT($CM$9:$CM$508)+1)))</f>
        <v/>
      </c>
      <c r="CO252" s="135" t="str">
        <f aca="false">IF(ISBLANK($C252),"",IF($BZ252&lt;&gt;Constants!$B$8,$BZ252,COUNTIFS($CF$9:$CF$508,"&lt;"&amp;$CF252)+COUNTIFS($CF$9:$CF$508,$CF252,$CH$9:$CH$508,"&lt;"&amp;$CH252)+COUNTIFS($CF$9:$CF$508,$CF252,$CH$9:$CH$508,$CH252,$CJ$9:$CJ$508,"&lt;"&amp;$CJ252)+COUNTIFS($CF$9:$CF$508,$CF252,$CH$9:$CH$508,$CH252,$CJ$9:$CJ$508,$CJ252,$CL$9:$CL$508,"&lt;"&amp;$CL252)+COUNTIFS($CF$9:$CF$508,$CF252,$CH$9:$CH$508,$CH252,$CJ$9:$CJ$508,$CJ252,$CL$9:$CL$508,$CL252,$CN$9:$CN$508,"&lt;"&amp;$CN252)+1))</f>
        <v/>
      </c>
      <c r="CP252" s="135" t="str">
        <f aca="false">IF(ISBLANK($C252),"",IF($BZ252&lt;&gt;Constants!$B$8,$BZ252,$CF252-$CO252))</f>
        <v/>
      </c>
      <c r="CQ252" s="141"/>
      <c r="CR252" s="142"/>
      <c r="CS252" s="143" t="str">
        <f aca="false">IF(ISBLANK($C252),"",IF($BZ252=Constants!$B$12,$BY252,""))</f>
        <v/>
      </c>
      <c r="CT252" s="142" t="str">
        <f aca="false">IF(ISBLANK($C252),"",IF($BZ252&lt;&gt;Constants!$B$8,"",IF($BM252="-&gt;",2,1)))</f>
        <v/>
      </c>
      <c r="CU252" s="144" t="str">
        <f aca="false">IF(ISBLANK($C252),"",IF($BZ252&lt;&gt;Constants!$B$8,"",IF($BM252="-&gt;",$BO252,$BC252)))</f>
        <v/>
      </c>
      <c r="CV252" s="144" t="str">
        <f aca="false">IF(ISBLANK($C252),"",IF($BZ252&lt;&gt;Constants!$B$8,"",IF($BM252="-&gt;",$BP252,$BD252)))</f>
        <v/>
      </c>
      <c r="CW252" s="144" t="str">
        <f aca="false">IF(ISBLANK($C252),"",IF($BZ252&lt;&gt;Constants!$B$8,"",IF($BM252="-&gt;",$BQ252+$BR252,$BE252+$BF252)+$CD252))</f>
        <v/>
      </c>
      <c r="CX252" s="144" t="str">
        <f aca="false">IF(ISBLANK($C252),"",IF($BZ252&lt;&gt;Constants!$B$8,"",IF($BM252="-&gt;",$BS252,$BG252)+$CC252))</f>
        <v/>
      </c>
      <c r="CY252" s="145" t="str">
        <f aca="false">IF(ISBLANK($C252),"",IF($BZ252&lt;&gt;Constants!$B$8,$BZ252,$CE252))</f>
        <v/>
      </c>
      <c r="CZ252" s="146" t="str">
        <f aca="false">IF(ISBLANK($C252),"",$CA252)</f>
        <v/>
      </c>
      <c r="DA252" s="147" t="str">
        <f aca="false">IF(ISBLANK($C252),"",$CP252)</f>
        <v/>
      </c>
      <c r="DB252" s="147" t="str">
        <f aca="false">IF(ISBLANK($C252),"",$CO252)</f>
        <v/>
      </c>
      <c r="DC252" s="148" t="str">
        <f aca="false">IF(ISBLANK($C252),"",IFERROR(_xlfn.SWITCH($DB252,Constants!$B$11,COUNTA($C$9:$C$508)+2,Constants!$B$10,COUNTA($C$9:$C$508)+1,Constants!$B$9,COUNTA($C$9:$C$508)),$DB252))</f>
        <v/>
      </c>
      <c r="DD252" s="9"/>
      <c r="DE252" s="149" t="n">
        <f aca="false">IF(OR(ISNUMBER($DB252),$DB252=Constants!$B$11,$DB252=Constants!$B$9,$DB252=Constants!$B$10),1,0)</f>
        <v>0</v>
      </c>
      <c r="DF252" s="149" t="n">
        <v>244</v>
      </c>
      <c r="DG252" s="149" t="str">
        <f aca="false">IF(ISBLANK($C252),"",IF(ISNUMBER($DC252),$DC252+ROW($B252)/1000,""))</f>
        <v/>
      </c>
      <c r="DH252" s="149" t="str">
        <f aca="false">IF(ISNUMBER($DG252),RANK($DG252,$DG$9:$DG$508,1),"")</f>
        <v/>
      </c>
      <c r="DI252" s="149" t="str">
        <f aca="false">IF(ISBLANK($C252),"",$B252)</f>
        <v/>
      </c>
      <c r="DJ252" s="149" t="str">
        <f aca="false">IF(ISBLANK($C252),"",$C252)</f>
        <v/>
      </c>
      <c r="DK252" s="149" t="str">
        <f aca="false">IF(ISBLANK($C252),"",$D252)</f>
        <v/>
      </c>
      <c r="DL252" s="150" t="str">
        <f aca="false">$CZ252</f>
        <v/>
      </c>
      <c r="DM252" s="151" t="str">
        <f aca="false">$CY252</f>
        <v/>
      </c>
      <c r="DN252" s="149" t="str">
        <f aca="false">IF(ISBLANK($C252),"",$DB252)</f>
        <v/>
      </c>
      <c r="DO252" s="152" t="str">
        <f aca="false">IF($DF252&gt;$DE$8,"",VLOOKUP($DF252,$DH$9:$DN$508,7,FALSE()))</f>
        <v/>
      </c>
      <c r="DP252" s="153" t="str">
        <f aca="false">IF($DF252&gt;$DE$8,"",VLOOKUP($DF252,$DH$9:$DN$508,2,FALSE()))</f>
        <v/>
      </c>
      <c r="DQ252" s="153" t="str">
        <f aca="false">IF($DF252&gt;$DE$8,"",VLOOKUP($DF252,$DH$9:$DN$508,3,FALSE()))</f>
        <v/>
      </c>
      <c r="DR252" s="153" t="str">
        <f aca="false">IF($DF252&gt;$DE$8,"",VLOOKUP($DF252,$DH$9:$DN$508,4,FALSE()))</f>
        <v/>
      </c>
      <c r="DS252" s="153" t="str">
        <f aca="false">IF($DF252&gt;$DE$8,"",VLOOKUP($DF252,$DH$9:$DN$508,5,FALSE()))</f>
        <v/>
      </c>
      <c r="DT252" s="154" t="str">
        <f aca="false">IF($DF252&gt;$DE$8,"",VLOOKUP($DF252,$DH$9:$DN$508,6,FALSE()))</f>
        <v/>
      </c>
      <c r="DU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IF(ISBLANK($C253),"",IF(E253=Constants!$B$3,TRUE(),IF(E253=Constants!$B$4,FALSE(),TRUE())))</f>
        <v/>
      </c>
      <c r="AG253" s="135" t="str">
        <f aca="false">IF(ISBLANK($C253),"",IF(F253=Constants!$B$3,TRUE(),IF(F253=Constants!$B$4,FALSE(),TRUE())))</f>
        <v/>
      </c>
      <c r="AH253" s="135" t="str">
        <f aca="false">IF(ISBLANK($C253),"",IF(G253=Constants!$B$3,TRUE(),IF(G253=Constants!$B$4,FALSE(),TRUE())))</f>
        <v/>
      </c>
      <c r="AI253" s="135" t="str">
        <f aca="false">IF(ISBLANK($C253),"",IF(AND(ISNUMBER(H253),H253&gt;=0),H253,Constants!$B$29))</f>
        <v/>
      </c>
      <c r="AJ253" s="135" t="str">
        <f aca="false">IF(ISBLANK($C253),"",IF(I253=Constants!$B$3,TRUE(),IF(I253=Constants!$B$4,FALSE(),TRUE())))</f>
        <v/>
      </c>
      <c r="AK253" s="135" t="str">
        <f aca="false">IF(ISBLANK($C253),"",IF(J253=Constants!$B$3,TRUE(),IF(J253=Constants!$B$4,FALSE(),TRUE())))</f>
        <v/>
      </c>
      <c r="AL253" s="135" t="str">
        <f aca="false">IF(ISBLANK($C253),"",IF(K253=Constants!$B$5,TRUE(),IF(K253=Constants!$B$6,FALSE(),COUNTA(L253:P253)&gt;0)))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IF(ISBLANK($C253),"",IF(N253=Constants!$B$3,TRUE(),IF(N253=Constants!$B$4,FALSE(),TRUE())))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IF(ISBLANK($C253),"",IF(P253=Constants!$B$3,TRUE(),IF(P253=Constants!$B$4,FALSE(),FALSE())))</f>
        <v/>
      </c>
      <c r="AR253" s="135" t="str">
        <f aca="false">IF(ISBLANK($C253),"",IF(Q253=Constants!$B$3,TRUE(),IF(Q253=Constants!$B$4,FALSE(),TRUE())))</f>
        <v/>
      </c>
      <c r="AS253" s="135" t="str">
        <f aca="false">IF(ISBLANK($C253),"",IF(R253=Constants!$B$3,TRUE(),IF(R253=Constants!$B$4,FALSE(),TRUE())))</f>
        <v/>
      </c>
      <c r="AT253" s="135" t="str">
        <f aca="false">IF(ISBLANK($C253),"",IF(S253=Constants!$B$5,TRUE(),IF(S253=Constants!$B$6,FALSE(),COUNTA(T253:X253)&gt;0)))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IF(ISBLANK($C253),"",IF(V253=Constants!$B$3,TRUE(),IF(V253=Constants!$B$4,FALSE(),TRUE())))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IF(ISBLANK($C253),"",IF(X253=Constants!$B$3,TRUE(),IF(X253=Constants!$B$4,FALSE(),FALSE())))</f>
        <v/>
      </c>
      <c r="AZ253" s="135" t="str">
        <f aca="false">IF(ISBLANK($C253),"",MIN(Constants!$B$31,MAX(0,IF(ISNUMBER(Y253),Y253*60,0)+IF(ISNUMBER(Z253),Z253,0))))</f>
        <v/>
      </c>
      <c r="BA253" s="135" t="str">
        <f aca="false">IF(ISBLANK($C253),"",IF(AA253=Constants!$B$3,TRUE(),IF(AA253=Constants!$B$4,FALSE(),FALSE())))</f>
        <v/>
      </c>
      <c r="BB253" s="134" t="str">
        <f aca="false">IF(ISBLANK($C253),"",AND($AL253,OR($AM253="",$AN253="",AND($AO253,$AP253=""))))</f>
        <v/>
      </c>
      <c r="BC253" s="137" t="str">
        <f aca="false">IF($BZ253&lt;&gt;Constants!$B$8,"",IF($AL253,Constants!$B$21*$AN253+Constants!$B$22*IF($AO253,$AP253,Constants!$B$23),Constants!$B$24))</f>
        <v/>
      </c>
      <c r="BD253" s="138" t="str">
        <f aca="false">IF($BZ253&lt;&gt;Constants!$B$8,"",Constants!$B$25*ABS($AD$9-IF($AL253,$AM253,0)))</f>
        <v/>
      </c>
      <c r="BE253" s="138" t="str">
        <f aca="false">IF($BZ253&lt;&gt;Constants!$B$8,"",IF(AND($AL253,$AQ253,$AO253),Constants!$B$27,0))</f>
        <v/>
      </c>
      <c r="BF253" s="138" t="str">
        <f aca="false">IF($BZ253&lt;&gt;Constants!$B$8,"",IF($AL253,($AI253-Constants!$B$29)*Constants!$B$28,0))</f>
        <v/>
      </c>
      <c r="BG253" s="138" t="str">
        <f aca="false">IF($BZ253&lt;&gt;Constants!$B$8,"",IF($AK253,0,Constants!$B$15)+IF($AJ253,0,Constants!$B$16)+IF($AH253,0,Constants!$B$17))</f>
        <v/>
      </c>
      <c r="BH253" s="139" t="str">
        <f aca="false">IF($BZ253&lt;&gt;Constants!$B$8,"",Constants!$B$20+SUM($BC253:$BG253))</f>
        <v/>
      </c>
      <c r="BI253" s="138" t="str">
        <f aca="false">IF($BZ253&lt;&gt;Constants!$B$8,"",$BC253)</f>
        <v/>
      </c>
      <c r="BJ253" s="138" t="str">
        <f aca="false">IF($BZ253&lt;&gt;Constants!$B$8,"",$BD253)</f>
        <v/>
      </c>
      <c r="BK253" s="138" t="str">
        <f aca="false">IF($BZ253&lt;&gt;Constants!$B$8,"",IF($AL253,$AN253,""))</f>
        <v/>
      </c>
      <c r="BL253" s="140" t="str">
        <f aca="false">IF($BZ253&lt;&gt;Constants!$B$8,"",$AI253)</f>
        <v/>
      </c>
      <c r="BM253" s="135" t="str">
        <f aca="false">IF($BZ253&lt;&gt;Constants!$B$8,"",IF(OR($BT253&lt;$BH253,AND($BT253=$BH253,OR($BU253&lt;$BI253,AND($BU253=$BI253,OR($BV253&lt;$BJ253,AND($BV253=$BJ253,OR(AND(ISNUMBER($BW253),OR(NOT(ISNUMBER($BK253)),$BW253&lt;$BK253)),AND(OR(AND($BW253="",$BK253=""),AND(ISNUMBER($BW253),ISNUMBER($BK253),$BW253=$BK253)),$BX253&lt;$BL253)))))))),"-&gt;","&lt;-"))</f>
        <v/>
      </c>
      <c r="BN253" s="134" t="str">
        <f aca="false">IF(ISBLANK($C253),"",AND($AT253,OR($AU253="",$AV253="",AND($AW253,$AX253=""))))</f>
        <v/>
      </c>
      <c r="BO253" s="137" t="str">
        <f aca="false">IF($BZ253&lt;&gt;Constants!$B$8,"",IF($AT253,Constants!$B$21*$AV253+Constants!$B$22*IF($AW253,$AX253,Constants!$B$23),Constants!$B$24))</f>
        <v/>
      </c>
      <c r="BP253" s="138" t="str">
        <f aca="false">IF($BZ253&lt;&gt;Constants!$B$8,"",Constants!$B$25*ABS($AD$9-IF($AT253,$AU253,0)))</f>
        <v/>
      </c>
      <c r="BQ253" s="138" t="str">
        <f aca="false">IF($BZ253&lt;&gt;Constants!$B$8,"",IF(AND($AT253,$AY253,$AW253),Constants!$B$27,0))</f>
        <v/>
      </c>
      <c r="BR253" s="138" t="str">
        <f aca="false">IF($BZ253&lt;&gt;Constants!$B$8,"",IF($AT253,($AI253-Constants!$B$29)*Constants!$B$28,0))</f>
        <v/>
      </c>
      <c r="BS253" s="138" t="str">
        <f aca="false">IF($BZ253&lt;&gt;Constants!$B$8,"",IF($AS253,0,Constants!$B$15)+IF($AR253,0,Constants!$B$16)+IF($AH253,0,Constants!$B$17))</f>
        <v/>
      </c>
      <c r="BT253" s="139" t="str">
        <f aca="false">IF($BZ253&lt;&gt;Constants!$B$8,"",Constants!$B$20+SUM($BO253:$BS253))</f>
        <v/>
      </c>
      <c r="BU253" s="138" t="str">
        <f aca="false">IF($BZ253&lt;&gt;Constants!$B$8,"",$BO253)</f>
        <v/>
      </c>
      <c r="BV253" s="138" t="str">
        <f aca="false">IF($BZ253&lt;&gt;Constants!$B$8,"",$BP253)</f>
        <v/>
      </c>
      <c r="BW253" s="138" t="str">
        <f aca="false">IF($BZ253&lt;&gt;Constants!$B$8,"",IF($AT253,$AV253,""))</f>
        <v/>
      </c>
      <c r="BX253" s="140" t="str">
        <f aca="false">IF($BZ253&lt;&gt;Constants!$B$8,"",$AI253)</f>
        <v/>
      </c>
      <c r="BY253" s="135" t="str">
        <f aca="false">IF(ISBLANK($C253),"",IF(ISBLANK($D$7),$BY$5,IF(NOT(ISNUMBER($D$7)),$BY$6,"")))</f>
        <v/>
      </c>
      <c r="BZ253" s="135" t="str">
        <f aca="false">IF(ISBLANK($C253),"",IF($BA253,Constants!$B$11,IF(COUNTA($E253:$AA253)=0,Constants!$B$10,IF(NOT($AG253),Constants!$B$9,IF(OR($BY253&lt;&gt;"",$BB253,$BN253),Constants!$B$12,Constants!$B$8)))))</f>
        <v/>
      </c>
      <c r="CA253" s="135" t="str">
        <f aca="false">IF(ISBLANK($C253),"",IF($BZ253&lt;&gt;Constants!$B$8,$BZ253,Constants!$B$13))</f>
        <v/>
      </c>
      <c r="CB253" s="138" t="str">
        <f aca="false">IF($BZ253&lt;&gt;Constants!$B$8,"",IF($BM253="-&gt;",$BT253,$BH253))</f>
        <v/>
      </c>
      <c r="CC253" s="138" t="str">
        <f aca="false">IF($BZ253&lt;&gt;Constants!$B$8,"",IF($AF253,0,Constants!$B$18))</f>
        <v/>
      </c>
      <c r="CD253" s="138" t="str">
        <f aca="false">IF($BZ253&lt;&gt;Constants!$B$8,"",((Constants!$B$31-$AZ253)-Constants!$B$31)/Constants!$B$32)</f>
        <v/>
      </c>
      <c r="CE253" s="138" t="str">
        <f aca="false">IF(ISBLANK($C253),"",IF($BZ253&lt;&gt;Constants!$B$8,$BZ253,SUM($CB253:$CD253)))</f>
        <v/>
      </c>
      <c r="CF253" s="135" t="str">
        <f aca="false">IF(ISBLANK($C253),"",IF($BZ253&lt;&gt;Constants!$B$8,$BZ253,RANK($CE253,$CE$9:$CE$508,1)))</f>
        <v/>
      </c>
      <c r="CG253" s="138" t="str">
        <f aca="false">IF($BZ253&lt;&gt;Constants!$B$8,"",IF($BM253="-&gt;",$BU253,$BI253))</f>
        <v/>
      </c>
      <c r="CH253" s="135" t="str">
        <f aca="false">IF(ISBLANK($C253),"",IF($BZ253&lt;&gt;Constants!$B$8,$BZ253,IF(ISNUMBER($CG253),RANK($CG253,$CG$9:$CG$508,1),COUNT($CG$9:$CG$508)+1)))</f>
        <v/>
      </c>
      <c r="CI253" s="138" t="str">
        <f aca="false">IF($BZ253&lt;&gt;Constants!$B$8,"",IF($BM253="-&gt;",$BV253,$BJ253))</f>
        <v/>
      </c>
      <c r="CJ253" s="135" t="str">
        <f aca="false">IF(ISBLANK($C253),"",IF($BZ253&lt;&gt;Constants!$B$8,$BZ253,IF(ISNUMBER($CI253),RANK($CI253,$CI$9:$CI$508,1),COUNT($CI$9:$CI$508)+1)))</f>
        <v/>
      </c>
      <c r="CK253" s="138" t="str">
        <f aca="false">IF($BZ253&lt;&gt;Constants!$B$8,"",IF($BM253="-&gt;",$BW253,$BK253))</f>
        <v/>
      </c>
      <c r="CL253" s="135" t="str">
        <f aca="false">IF(ISBLANK($C253),"",IF($BZ253&lt;&gt;Constants!$B$8,$BZ253,IF(ISNUMBER($CK253),RANK($CK253,$CK$9:$CK$508,1),COUNT($CK$9:$CK$508)+1)))</f>
        <v/>
      </c>
      <c r="CM253" s="138" t="str">
        <f aca="false">IF($BZ253&lt;&gt;Constants!$B$8,"",IF(AND(NOT($AL253),NOT($AT253),$AJ253,$AK253,$AR253,$AS253),"",IF($BM253="-&gt;",$BX253,$BL253)))</f>
        <v/>
      </c>
      <c r="CN253" s="135" t="str">
        <f aca="false">IF(ISBLANK($C253),"",IF($BZ253&lt;&gt;Constants!$B$8,$BZ253,IF(ISNUMBER($CM253),RANK($CM253,$CM$9:$CM$508,1),COUNT($CM$9:$CM$508)+1)))</f>
        <v/>
      </c>
      <c r="CO253" s="135" t="str">
        <f aca="false">IF(ISBLANK($C253),"",IF($BZ253&lt;&gt;Constants!$B$8,$BZ253,COUNTIFS($CF$9:$CF$508,"&lt;"&amp;$CF253)+COUNTIFS($CF$9:$CF$508,$CF253,$CH$9:$CH$508,"&lt;"&amp;$CH253)+COUNTIFS($CF$9:$CF$508,$CF253,$CH$9:$CH$508,$CH253,$CJ$9:$CJ$508,"&lt;"&amp;$CJ253)+COUNTIFS($CF$9:$CF$508,$CF253,$CH$9:$CH$508,$CH253,$CJ$9:$CJ$508,$CJ253,$CL$9:$CL$508,"&lt;"&amp;$CL253)+COUNTIFS($CF$9:$CF$508,$CF253,$CH$9:$CH$508,$CH253,$CJ$9:$CJ$508,$CJ253,$CL$9:$CL$508,$CL253,$CN$9:$CN$508,"&lt;"&amp;$CN253)+1))</f>
        <v/>
      </c>
      <c r="CP253" s="135" t="str">
        <f aca="false">IF(ISBLANK($C253),"",IF($BZ253&lt;&gt;Constants!$B$8,$BZ253,$CF253-$CO253))</f>
        <v/>
      </c>
      <c r="CQ253" s="141"/>
      <c r="CR253" s="142"/>
      <c r="CS253" s="143" t="str">
        <f aca="false">IF(ISBLANK($C253),"",IF($BZ253=Constants!$B$12,$BY253,""))</f>
        <v/>
      </c>
      <c r="CT253" s="142" t="str">
        <f aca="false">IF(ISBLANK($C253),"",IF($BZ253&lt;&gt;Constants!$B$8,"",IF($BM253="-&gt;",2,1)))</f>
        <v/>
      </c>
      <c r="CU253" s="144" t="str">
        <f aca="false">IF(ISBLANK($C253),"",IF($BZ253&lt;&gt;Constants!$B$8,"",IF($BM253="-&gt;",$BO253,$BC253)))</f>
        <v/>
      </c>
      <c r="CV253" s="144" t="str">
        <f aca="false">IF(ISBLANK($C253),"",IF($BZ253&lt;&gt;Constants!$B$8,"",IF($BM253="-&gt;",$BP253,$BD253)))</f>
        <v/>
      </c>
      <c r="CW253" s="144" t="str">
        <f aca="false">IF(ISBLANK($C253),"",IF($BZ253&lt;&gt;Constants!$B$8,"",IF($BM253="-&gt;",$BQ253+$BR253,$BE253+$BF253)+$CD253))</f>
        <v/>
      </c>
      <c r="CX253" s="144" t="str">
        <f aca="false">IF(ISBLANK($C253),"",IF($BZ253&lt;&gt;Constants!$B$8,"",IF($BM253="-&gt;",$BS253,$BG253)+$CC253))</f>
        <v/>
      </c>
      <c r="CY253" s="145" t="str">
        <f aca="false">IF(ISBLANK($C253),"",IF($BZ253&lt;&gt;Constants!$B$8,$BZ253,$CE253))</f>
        <v/>
      </c>
      <c r="CZ253" s="146" t="str">
        <f aca="false">IF(ISBLANK($C253),"",$CA253)</f>
        <v/>
      </c>
      <c r="DA253" s="147" t="str">
        <f aca="false">IF(ISBLANK($C253),"",$CP253)</f>
        <v/>
      </c>
      <c r="DB253" s="147" t="str">
        <f aca="false">IF(ISBLANK($C253),"",$CO253)</f>
        <v/>
      </c>
      <c r="DC253" s="148" t="str">
        <f aca="false">IF(ISBLANK($C253),"",IFERROR(_xlfn.SWITCH($DB253,Constants!$B$11,COUNTA($C$9:$C$508)+2,Constants!$B$10,COUNTA($C$9:$C$508)+1,Constants!$B$9,COUNTA($C$9:$C$508)),$DB253))</f>
        <v/>
      </c>
      <c r="DD253" s="9"/>
      <c r="DE253" s="149" t="n">
        <f aca="false">IF(OR(ISNUMBER($DB253),$DB253=Constants!$B$11,$DB253=Constants!$B$9,$DB253=Constants!$B$10),1,0)</f>
        <v>0</v>
      </c>
      <c r="DF253" s="149" t="n">
        <v>245</v>
      </c>
      <c r="DG253" s="149" t="str">
        <f aca="false">IF(ISBLANK($C253),"",IF(ISNUMBER($DC253),$DC253+ROW($B253)/1000,""))</f>
        <v/>
      </c>
      <c r="DH253" s="149" t="str">
        <f aca="false">IF(ISNUMBER($DG253),RANK($DG253,$DG$9:$DG$508,1),"")</f>
        <v/>
      </c>
      <c r="DI253" s="149" t="str">
        <f aca="false">IF(ISBLANK($C253),"",$B253)</f>
        <v/>
      </c>
      <c r="DJ253" s="149" t="str">
        <f aca="false">IF(ISBLANK($C253),"",$C253)</f>
        <v/>
      </c>
      <c r="DK253" s="149" t="str">
        <f aca="false">IF(ISBLANK($C253),"",$D253)</f>
        <v/>
      </c>
      <c r="DL253" s="150" t="str">
        <f aca="false">$CZ253</f>
        <v/>
      </c>
      <c r="DM253" s="151" t="str">
        <f aca="false">$CY253</f>
        <v/>
      </c>
      <c r="DN253" s="149" t="str">
        <f aca="false">IF(ISBLANK($C253),"",$DB253)</f>
        <v/>
      </c>
      <c r="DO253" s="152" t="str">
        <f aca="false">IF($DF253&gt;$DE$8,"",VLOOKUP($DF253,$DH$9:$DN$508,7,FALSE()))</f>
        <v/>
      </c>
      <c r="DP253" s="153" t="str">
        <f aca="false">IF($DF253&gt;$DE$8,"",VLOOKUP($DF253,$DH$9:$DN$508,2,FALSE()))</f>
        <v/>
      </c>
      <c r="DQ253" s="153" t="str">
        <f aca="false">IF($DF253&gt;$DE$8,"",VLOOKUP($DF253,$DH$9:$DN$508,3,FALSE()))</f>
        <v/>
      </c>
      <c r="DR253" s="153" t="str">
        <f aca="false">IF($DF253&gt;$DE$8,"",VLOOKUP($DF253,$DH$9:$DN$508,4,FALSE()))</f>
        <v/>
      </c>
      <c r="DS253" s="153" t="str">
        <f aca="false">IF($DF253&gt;$DE$8,"",VLOOKUP($DF253,$DH$9:$DN$508,5,FALSE()))</f>
        <v/>
      </c>
      <c r="DT253" s="154" t="str">
        <f aca="false">IF($DF253&gt;$DE$8,"",VLOOKUP($DF253,$DH$9:$DN$508,6,FALSE()))</f>
        <v/>
      </c>
      <c r="DU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IF(ISBLANK($C254),"",IF(E254=Constants!$B$3,TRUE(),IF(E254=Constants!$B$4,FALSE(),TRUE())))</f>
        <v/>
      </c>
      <c r="AG254" s="135" t="str">
        <f aca="false">IF(ISBLANK($C254),"",IF(F254=Constants!$B$3,TRUE(),IF(F254=Constants!$B$4,FALSE(),TRUE())))</f>
        <v/>
      </c>
      <c r="AH254" s="135" t="str">
        <f aca="false">IF(ISBLANK($C254),"",IF(G254=Constants!$B$3,TRUE(),IF(G254=Constants!$B$4,FALSE(),TRUE())))</f>
        <v/>
      </c>
      <c r="AI254" s="135" t="str">
        <f aca="false">IF(ISBLANK($C254),"",IF(AND(ISNUMBER(H254),H254&gt;=0),H254,Constants!$B$29))</f>
        <v/>
      </c>
      <c r="AJ254" s="135" t="str">
        <f aca="false">IF(ISBLANK($C254),"",IF(I254=Constants!$B$3,TRUE(),IF(I254=Constants!$B$4,FALSE(),TRUE())))</f>
        <v/>
      </c>
      <c r="AK254" s="135" t="str">
        <f aca="false">IF(ISBLANK($C254),"",IF(J254=Constants!$B$3,TRUE(),IF(J254=Constants!$B$4,FALSE(),TRUE())))</f>
        <v/>
      </c>
      <c r="AL254" s="135" t="str">
        <f aca="false">IF(ISBLANK($C254),"",IF(K254=Constants!$B$5,TRUE(),IF(K254=Constants!$B$6,FALSE(),COUNTA(L254:P254)&gt;0)))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IF(ISBLANK($C254),"",IF(N254=Constants!$B$3,TRUE(),IF(N254=Constants!$B$4,FALSE(),TRUE())))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IF(ISBLANK($C254),"",IF(P254=Constants!$B$3,TRUE(),IF(P254=Constants!$B$4,FALSE(),FALSE())))</f>
        <v/>
      </c>
      <c r="AR254" s="135" t="str">
        <f aca="false">IF(ISBLANK($C254),"",IF(Q254=Constants!$B$3,TRUE(),IF(Q254=Constants!$B$4,FALSE(),TRUE())))</f>
        <v/>
      </c>
      <c r="AS254" s="135" t="str">
        <f aca="false">IF(ISBLANK($C254),"",IF(R254=Constants!$B$3,TRUE(),IF(R254=Constants!$B$4,FALSE(),TRUE())))</f>
        <v/>
      </c>
      <c r="AT254" s="135" t="str">
        <f aca="false">IF(ISBLANK($C254),"",IF(S254=Constants!$B$5,TRUE(),IF(S254=Constants!$B$6,FALSE(),COUNTA(T254:X254)&gt;0)))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IF(ISBLANK($C254),"",IF(V254=Constants!$B$3,TRUE(),IF(V254=Constants!$B$4,FALSE(),TRUE())))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IF(ISBLANK($C254),"",IF(X254=Constants!$B$3,TRUE(),IF(X254=Constants!$B$4,FALSE(),FALSE())))</f>
        <v/>
      </c>
      <c r="AZ254" s="135" t="str">
        <f aca="false">IF(ISBLANK($C254),"",MIN(Constants!$B$31,MAX(0,IF(ISNUMBER(Y254),Y254*60,0)+IF(ISNUMBER(Z254),Z254,0))))</f>
        <v/>
      </c>
      <c r="BA254" s="135" t="str">
        <f aca="false">IF(ISBLANK($C254),"",IF(AA254=Constants!$B$3,TRUE(),IF(AA254=Constants!$B$4,FALSE(),FALSE())))</f>
        <v/>
      </c>
      <c r="BB254" s="134" t="str">
        <f aca="false">IF(ISBLANK($C254),"",AND($AL254,OR($AM254="",$AN254="",AND($AO254,$AP254=""))))</f>
        <v/>
      </c>
      <c r="BC254" s="137" t="str">
        <f aca="false">IF($BZ254&lt;&gt;Constants!$B$8,"",IF($AL254,Constants!$B$21*$AN254+Constants!$B$22*IF($AO254,$AP254,Constants!$B$23),Constants!$B$24))</f>
        <v/>
      </c>
      <c r="BD254" s="138" t="str">
        <f aca="false">IF($BZ254&lt;&gt;Constants!$B$8,"",Constants!$B$25*ABS($AD$9-IF($AL254,$AM254,0)))</f>
        <v/>
      </c>
      <c r="BE254" s="138" t="str">
        <f aca="false">IF($BZ254&lt;&gt;Constants!$B$8,"",IF(AND($AL254,$AQ254,$AO254),Constants!$B$27,0))</f>
        <v/>
      </c>
      <c r="BF254" s="138" t="str">
        <f aca="false">IF($BZ254&lt;&gt;Constants!$B$8,"",IF($AL254,($AI254-Constants!$B$29)*Constants!$B$28,0))</f>
        <v/>
      </c>
      <c r="BG254" s="138" t="str">
        <f aca="false">IF($BZ254&lt;&gt;Constants!$B$8,"",IF($AK254,0,Constants!$B$15)+IF($AJ254,0,Constants!$B$16)+IF($AH254,0,Constants!$B$17))</f>
        <v/>
      </c>
      <c r="BH254" s="139" t="str">
        <f aca="false">IF($BZ254&lt;&gt;Constants!$B$8,"",Constants!$B$20+SUM($BC254:$BG254))</f>
        <v/>
      </c>
      <c r="BI254" s="138" t="str">
        <f aca="false">IF($BZ254&lt;&gt;Constants!$B$8,"",$BC254)</f>
        <v/>
      </c>
      <c r="BJ254" s="138" t="str">
        <f aca="false">IF($BZ254&lt;&gt;Constants!$B$8,"",$BD254)</f>
        <v/>
      </c>
      <c r="BK254" s="138" t="str">
        <f aca="false">IF($BZ254&lt;&gt;Constants!$B$8,"",IF($AL254,$AN254,""))</f>
        <v/>
      </c>
      <c r="BL254" s="140" t="str">
        <f aca="false">IF($BZ254&lt;&gt;Constants!$B$8,"",$AI254)</f>
        <v/>
      </c>
      <c r="BM254" s="135" t="str">
        <f aca="false">IF($BZ254&lt;&gt;Constants!$B$8,"",IF(OR($BT254&lt;$BH254,AND($BT254=$BH254,OR($BU254&lt;$BI254,AND($BU254=$BI254,OR($BV254&lt;$BJ254,AND($BV254=$BJ254,OR(AND(ISNUMBER($BW254),OR(NOT(ISNUMBER($BK254)),$BW254&lt;$BK254)),AND(OR(AND($BW254="",$BK254=""),AND(ISNUMBER($BW254),ISNUMBER($BK254),$BW254=$BK254)),$BX254&lt;$BL254)))))))),"-&gt;","&lt;-"))</f>
        <v/>
      </c>
      <c r="BN254" s="134" t="str">
        <f aca="false">IF(ISBLANK($C254),"",AND($AT254,OR($AU254="",$AV254="",AND($AW254,$AX254=""))))</f>
        <v/>
      </c>
      <c r="BO254" s="137" t="str">
        <f aca="false">IF($BZ254&lt;&gt;Constants!$B$8,"",IF($AT254,Constants!$B$21*$AV254+Constants!$B$22*IF($AW254,$AX254,Constants!$B$23),Constants!$B$24))</f>
        <v/>
      </c>
      <c r="BP254" s="138" t="str">
        <f aca="false">IF($BZ254&lt;&gt;Constants!$B$8,"",Constants!$B$25*ABS($AD$9-IF($AT254,$AU254,0)))</f>
        <v/>
      </c>
      <c r="BQ254" s="138" t="str">
        <f aca="false">IF($BZ254&lt;&gt;Constants!$B$8,"",IF(AND($AT254,$AY254,$AW254),Constants!$B$27,0))</f>
        <v/>
      </c>
      <c r="BR254" s="138" t="str">
        <f aca="false">IF($BZ254&lt;&gt;Constants!$B$8,"",IF($AT254,($AI254-Constants!$B$29)*Constants!$B$28,0))</f>
        <v/>
      </c>
      <c r="BS254" s="138" t="str">
        <f aca="false">IF($BZ254&lt;&gt;Constants!$B$8,"",IF($AS254,0,Constants!$B$15)+IF($AR254,0,Constants!$B$16)+IF($AH254,0,Constants!$B$17))</f>
        <v/>
      </c>
      <c r="BT254" s="139" t="str">
        <f aca="false">IF($BZ254&lt;&gt;Constants!$B$8,"",Constants!$B$20+SUM($BO254:$BS254))</f>
        <v/>
      </c>
      <c r="BU254" s="138" t="str">
        <f aca="false">IF($BZ254&lt;&gt;Constants!$B$8,"",$BO254)</f>
        <v/>
      </c>
      <c r="BV254" s="138" t="str">
        <f aca="false">IF($BZ254&lt;&gt;Constants!$B$8,"",$BP254)</f>
        <v/>
      </c>
      <c r="BW254" s="138" t="str">
        <f aca="false">IF($BZ254&lt;&gt;Constants!$B$8,"",IF($AT254,$AV254,""))</f>
        <v/>
      </c>
      <c r="BX254" s="140" t="str">
        <f aca="false">IF($BZ254&lt;&gt;Constants!$B$8,"",$AI254)</f>
        <v/>
      </c>
      <c r="BY254" s="135" t="str">
        <f aca="false">IF(ISBLANK($C254),"",IF(ISBLANK($D$7),$BY$5,IF(NOT(ISNUMBER($D$7)),$BY$6,"")))</f>
        <v/>
      </c>
      <c r="BZ254" s="135" t="str">
        <f aca="false">IF(ISBLANK($C254),"",IF($BA254,Constants!$B$11,IF(COUNTA($E254:$AA254)=0,Constants!$B$10,IF(NOT($AG254),Constants!$B$9,IF(OR($BY254&lt;&gt;"",$BB254,$BN254),Constants!$B$12,Constants!$B$8)))))</f>
        <v/>
      </c>
      <c r="CA254" s="135" t="str">
        <f aca="false">IF(ISBLANK($C254),"",IF($BZ254&lt;&gt;Constants!$B$8,$BZ254,Constants!$B$13))</f>
        <v/>
      </c>
      <c r="CB254" s="138" t="str">
        <f aca="false">IF($BZ254&lt;&gt;Constants!$B$8,"",IF($BM254="-&gt;",$BT254,$BH254))</f>
        <v/>
      </c>
      <c r="CC254" s="138" t="str">
        <f aca="false">IF($BZ254&lt;&gt;Constants!$B$8,"",IF($AF254,0,Constants!$B$18))</f>
        <v/>
      </c>
      <c r="CD254" s="138" t="str">
        <f aca="false">IF($BZ254&lt;&gt;Constants!$B$8,"",((Constants!$B$31-$AZ254)-Constants!$B$31)/Constants!$B$32)</f>
        <v/>
      </c>
      <c r="CE254" s="138" t="str">
        <f aca="false">IF(ISBLANK($C254),"",IF($BZ254&lt;&gt;Constants!$B$8,$BZ254,SUM($CB254:$CD254)))</f>
        <v/>
      </c>
      <c r="CF254" s="135" t="str">
        <f aca="false">IF(ISBLANK($C254),"",IF($BZ254&lt;&gt;Constants!$B$8,$BZ254,RANK($CE254,$CE$9:$CE$508,1)))</f>
        <v/>
      </c>
      <c r="CG254" s="138" t="str">
        <f aca="false">IF($BZ254&lt;&gt;Constants!$B$8,"",IF($BM254="-&gt;",$BU254,$BI254))</f>
        <v/>
      </c>
      <c r="CH254" s="135" t="str">
        <f aca="false">IF(ISBLANK($C254),"",IF($BZ254&lt;&gt;Constants!$B$8,$BZ254,IF(ISNUMBER($CG254),RANK($CG254,$CG$9:$CG$508,1),COUNT($CG$9:$CG$508)+1)))</f>
        <v/>
      </c>
      <c r="CI254" s="138" t="str">
        <f aca="false">IF($BZ254&lt;&gt;Constants!$B$8,"",IF($BM254="-&gt;",$BV254,$BJ254))</f>
        <v/>
      </c>
      <c r="CJ254" s="135" t="str">
        <f aca="false">IF(ISBLANK($C254),"",IF($BZ254&lt;&gt;Constants!$B$8,$BZ254,IF(ISNUMBER($CI254),RANK($CI254,$CI$9:$CI$508,1),COUNT($CI$9:$CI$508)+1)))</f>
        <v/>
      </c>
      <c r="CK254" s="138" t="str">
        <f aca="false">IF($BZ254&lt;&gt;Constants!$B$8,"",IF($BM254="-&gt;",$BW254,$BK254))</f>
        <v/>
      </c>
      <c r="CL254" s="135" t="str">
        <f aca="false">IF(ISBLANK($C254),"",IF($BZ254&lt;&gt;Constants!$B$8,$BZ254,IF(ISNUMBER($CK254),RANK($CK254,$CK$9:$CK$508,1),COUNT($CK$9:$CK$508)+1)))</f>
        <v/>
      </c>
      <c r="CM254" s="138" t="str">
        <f aca="false">IF($BZ254&lt;&gt;Constants!$B$8,"",IF(AND(NOT($AL254),NOT($AT254),$AJ254,$AK254,$AR254,$AS254),"",IF($BM254="-&gt;",$BX254,$BL254)))</f>
        <v/>
      </c>
      <c r="CN254" s="135" t="str">
        <f aca="false">IF(ISBLANK($C254),"",IF($BZ254&lt;&gt;Constants!$B$8,$BZ254,IF(ISNUMBER($CM254),RANK($CM254,$CM$9:$CM$508,1),COUNT($CM$9:$CM$508)+1)))</f>
        <v/>
      </c>
      <c r="CO254" s="135" t="str">
        <f aca="false">IF(ISBLANK($C254),"",IF($BZ254&lt;&gt;Constants!$B$8,$BZ254,COUNTIFS($CF$9:$CF$508,"&lt;"&amp;$CF254)+COUNTIFS($CF$9:$CF$508,$CF254,$CH$9:$CH$508,"&lt;"&amp;$CH254)+COUNTIFS($CF$9:$CF$508,$CF254,$CH$9:$CH$508,$CH254,$CJ$9:$CJ$508,"&lt;"&amp;$CJ254)+COUNTIFS($CF$9:$CF$508,$CF254,$CH$9:$CH$508,$CH254,$CJ$9:$CJ$508,$CJ254,$CL$9:$CL$508,"&lt;"&amp;$CL254)+COUNTIFS($CF$9:$CF$508,$CF254,$CH$9:$CH$508,$CH254,$CJ$9:$CJ$508,$CJ254,$CL$9:$CL$508,$CL254,$CN$9:$CN$508,"&lt;"&amp;$CN254)+1))</f>
        <v/>
      </c>
      <c r="CP254" s="135" t="str">
        <f aca="false">IF(ISBLANK($C254),"",IF($BZ254&lt;&gt;Constants!$B$8,$BZ254,$CF254-$CO254))</f>
        <v/>
      </c>
      <c r="CQ254" s="141"/>
      <c r="CR254" s="142"/>
      <c r="CS254" s="143" t="str">
        <f aca="false">IF(ISBLANK($C254),"",IF($BZ254=Constants!$B$12,$BY254,""))</f>
        <v/>
      </c>
      <c r="CT254" s="142" t="str">
        <f aca="false">IF(ISBLANK($C254),"",IF($BZ254&lt;&gt;Constants!$B$8,"",IF($BM254="-&gt;",2,1)))</f>
        <v/>
      </c>
      <c r="CU254" s="144" t="str">
        <f aca="false">IF(ISBLANK($C254),"",IF($BZ254&lt;&gt;Constants!$B$8,"",IF($BM254="-&gt;",$BO254,$BC254)))</f>
        <v/>
      </c>
      <c r="CV254" s="144" t="str">
        <f aca="false">IF(ISBLANK($C254),"",IF($BZ254&lt;&gt;Constants!$B$8,"",IF($BM254="-&gt;",$BP254,$BD254)))</f>
        <v/>
      </c>
      <c r="CW254" s="144" t="str">
        <f aca="false">IF(ISBLANK($C254),"",IF($BZ254&lt;&gt;Constants!$B$8,"",IF($BM254="-&gt;",$BQ254+$BR254,$BE254+$BF254)+$CD254))</f>
        <v/>
      </c>
      <c r="CX254" s="144" t="str">
        <f aca="false">IF(ISBLANK($C254),"",IF($BZ254&lt;&gt;Constants!$B$8,"",IF($BM254="-&gt;",$BS254,$BG254)+$CC254))</f>
        <v/>
      </c>
      <c r="CY254" s="145" t="str">
        <f aca="false">IF(ISBLANK($C254),"",IF($BZ254&lt;&gt;Constants!$B$8,$BZ254,$CE254))</f>
        <v/>
      </c>
      <c r="CZ254" s="146" t="str">
        <f aca="false">IF(ISBLANK($C254),"",$CA254)</f>
        <v/>
      </c>
      <c r="DA254" s="147" t="str">
        <f aca="false">IF(ISBLANK($C254),"",$CP254)</f>
        <v/>
      </c>
      <c r="DB254" s="147" t="str">
        <f aca="false">IF(ISBLANK($C254),"",$CO254)</f>
        <v/>
      </c>
      <c r="DC254" s="148" t="str">
        <f aca="false">IF(ISBLANK($C254),"",IFERROR(_xlfn.SWITCH($DB254,Constants!$B$11,COUNTA($C$9:$C$508)+2,Constants!$B$10,COUNTA($C$9:$C$508)+1,Constants!$B$9,COUNTA($C$9:$C$508)),$DB254))</f>
        <v/>
      </c>
      <c r="DD254" s="9"/>
      <c r="DE254" s="149" t="n">
        <f aca="false">IF(OR(ISNUMBER($DB254),$DB254=Constants!$B$11,$DB254=Constants!$B$9,$DB254=Constants!$B$10),1,0)</f>
        <v>0</v>
      </c>
      <c r="DF254" s="149" t="n">
        <v>246</v>
      </c>
      <c r="DG254" s="149" t="str">
        <f aca="false">IF(ISBLANK($C254),"",IF(ISNUMBER($DC254),$DC254+ROW($B254)/1000,""))</f>
        <v/>
      </c>
      <c r="DH254" s="149" t="str">
        <f aca="false">IF(ISNUMBER($DG254),RANK($DG254,$DG$9:$DG$508,1),"")</f>
        <v/>
      </c>
      <c r="DI254" s="149" t="str">
        <f aca="false">IF(ISBLANK($C254),"",$B254)</f>
        <v/>
      </c>
      <c r="DJ254" s="149" t="str">
        <f aca="false">IF(ISBLANK($C254),"",$C254)</f>
        <v/>
      </c>
      <c r="DK254" s="149" t="str">
        <f aca="false">IF(ISBLANK($C254),"",$D254)</f>
        <v/>
      </c>
      <c r="DL254" s="150" t="str">
        <f aca="false">$CZ254</f>
        <v/>
      </c>
      <c r="DM254" s="151" t="str">
        <f aca="false">$CY254</f>
        <v/>
      </c>
      <c r="DN254" s="149" t="str">
        <f aca="false">IF(ISBLANK($C254),"",$DB254)</f>
        <v/>
      </c>
      <c r="DO254" s="152" t="str">
        <f aca="false">IF($DF254&gt;$DE$8,"",VLOOKUP($DF254,$DH$9:$DN$508,7,FALSE()))</f>
        <v/>
      </c>
      <c r="DP254" s="153" t="str">
        <f aca="false">IF($DF254&gt;$DE$8,"",VLOOKUP($DF254,$DH$9:$DN$508,2,FALSE()))</f>
        <v/>
      </c>
      <c r="DQ254" s="153" t="str">
        <f aca="false">IF($DF254&gt;$DE$8,"",VLOOKUP($DF254,$DH$9:$DN$508,3,FALSE()))</f>
        <v/>
      </c>
      <c r="DR254" s="153" t="str">
        <f aca="false">IF($DF254&gt;$DE$8,"",VLOOKUP($DF254,$DH$9:$DN$508,4,FALSE()))</f>
        <v/>
      </c>
      <c r="DS254" s="153" t="str">
        <f aca="false">IF($DF254&gt;$DE$8,"",VLOOKUP($DF254,$DH$9:$DN$508,5,FALSE()))</f>
        <v/>
      </c>
      <c r="DT254" s="154" t="str">
        <f aca="false">IF($DF254&gt;$DE$8,"",VLOOKUP($DF254,$DH$9:$DN$508,6,FALSE()))</f>
        <v/>
      </c>
      <c r="DU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IF(ISBLANK($C255),"",IF(E255=Constants!$B$3,TRUE(),IF(E255=Constants!$B$4,FALSE(),TRUE())))</f>
        <v/>
      </c>
      <c r="AG255" s="93" t="str">
        <f aca="false">IF(ISBLANK($C255),"",IF(F255=Constants!$B$3,TRUE(),IF(F255=Constants!$B$4,FALSE(),TRUE())))</f>
        <v/>
      </c>
      <c r="AH255" s="93" t="str">
        <f aca="false">IF(ISBLANK($C255),"",IF(G255=Constants!$B$3,TRUE(),IF(G255=Constants!$B$4,FALSE(),TRUE())))</f>
        <v/>
      </c>
      <c r="AI255" s="93" t="str">
        <f aca="false">IF(ISBLANK($C255),"",IF(AND(ISNUMBER(H255),H255&gt;=0),H255,Constants!$B$29))</f>
        <v/>
      </c>
      <c r="AJ255" s="93" t="str">
        <f aca="false">IF(ISBLANK($C255),"",IF(I255=Constants!$B$3,TRUE(),IF(I255=Constants!$B$4,FALSE(),TRUE())))</f>
        <v/>
      </c>
      <c r="AK255" s="93" t="str">
        <f aca="false">IF(ISBLANK($C255),"",IF(J255=Constants!$B$3,TRUE(),IF(J255=Constants!$B$4,FALSE(),TRUE())))</f>
        <v/>
      </c>
      <c r="AL255" s="93" t="str">
        <f aca="false">IF(ISBLANK($C255),"",IF(K255=Constants!$B$5,TRUE(),IF(K255=Constants!$B$6,FALSE(),COUNTA(L255:P255)&gt;0)))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IF(ISBLANK($C255),"",IF(N255=Constants!$B$3,TRUE(),IF(N255=Constants!$B$4,FALSE(),TRUE())))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IF(ISBLANK($C255),"",IF(P255=Constants!$B$3,TRUE(),IF(P255=Constants!$B$4,FALSE(),FALSE())))</f>
        <v/>
      </c>
      <c r="AR255" s="93" t="str">
        <f aca="false">IF(ISBLANK($C255),"",IF(Q255=Constants!$B$3,TRUE(),IF(Q255=Constants!$B$4,FALSE(),TRUE())))</f>
        <v/>
      </c>
      <c r="AS255" s="93" t="str">
        <f aca="false">IF(ISBLANK($C255),"",IF(R255=Constants!$B$3,TRUE(),IF(R255=Constants!$B$4,FALSE(),TRUE())))</f>
        <v/>
      </c>
      <c r="AT255" s="93" t="str">
        <f aca="false">IF(ISBLANK($C255),"",IF(S255=Constants!$B$5,TRUE(),IF(S255=Constants!$B$6,FALSE(),COUNTA(T255:X255)&gt;0)))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IF(ISBLANK($C255),"",IF(V255=Constants!$B$3,TRUE(),IF(V255=Constants!$B$4,FALSE(),TRUE())))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IF(ISBLANK($C255),"",IF(X255=Constants!$B$3,TRUE(),IF(X255=Constants!$B$4,FALSE(),FALSE())))</f>
        <v/>
      </c>
      <c r="AZ255" s="93" t="str">
        <f aca="false">IF(ISBLANK($C255),"",MIN(Constants!$B$31,MAX(0,IF(ISNUMBER(Y255),Y255*60,0)+IF(ISNUMBER(Z255),Z255,0))))</f>
        <v/>
      </c>
      <c r="BA255" s="93" t="str">
        <f aca="false">IF(ISBLANK($C255),"",IF(AA255=Constants!$B$3,TRUE(),IF(AA255=Constants!$B$4,FALSE(),FALSE())))</f>
        <v/>
      </c>
      <c r="BB255" s="92" t="str">
        <f aca="false">IF(ISBLANK($C255),"",AND($AL255,OR($AM255="",$AN255="",AND($AO255,$AP255=""))))</f>
        <v/>
      </c>
      <c r="BC255" s="94" t="str">
        <f aca="false">IF($BZ255&lt;&gt;Constants!$B$8,"",IF($AL255,Constants!$B$21*$AN255+Constants!$B$22*IF($AO255,$AP255,Constants!$B$23),Constants!$B$24))</f>
        <v/>
      </c>
      <c r="BD255" s="97" t="str">
        <f aca="false">IF($BZ255&lt;&gt;Constants!$B$8,"",Constants!$B$25*ABS($AD$9-IF($AL255,$AM255,0)))</f>
        <v/>
      </c>
      <c r="BE255" s="97" t="str">
        <f aca="false">IF($BZ255&lt;&gt;Constants!$B$8,"",IF(AND($AL255,$AQ255,$AO255),Constants!$B$27,0))</f>
        <v/>
      </c>
      <c r="BF255" s="97" t="str">
        <f aca="false">IF($BZ255&lt;&gt;Constants!$B$8,"",IF($AL255,($AI255-Constants!$B$29)*Constants!$B$28,0))</f>
        <v/>
      </c>
      <c r="BG255" s="97" t="str">
        <f aca="false">IF($BZ255&lt;&gt;Constants!$B$8,"",IF($AK255,0,Constants!$B$15)+IF($AJ255,0,Constants!$B$16)+IF($AH255,0,Constants!$B$17))</f>
        <v/>
      </c>
      <c r="BH255" s="98" t="str">
        <f aca="false">IF($BZ255&lt;&gt;Constants!$B$8,"",Constants!$B$20+SUM($BC255:$BG255))</f>
        <v/>
      </c>
      <c r="BI255" s="97" t="str">
        <f aca="false">IF($BZ255&lt;&gt;Constants!$B$8,"",$BC255)</f>
        <v/>
      </c>
      <c r="BJ255" s="97" t="str">
        <f aca="false">IF($BZ255&lt;&gt;Constants!$B$8,"",$BD255)</f>
        <v/>
      </c>
      <c r="BK255" s="97" t="str">
        <f aca="false">IF($BZ255&lt;&gt;Constants!$B$8,"",IF($AL255,$AN255,""))</f>
        <v/>
      </c>
      <c r="BL255" s="99" t="str">
        <f aca="false">IF($BZ255&lt;&gt;Constants!$B$8,"",$AI255)</f>
        <v/>
      </c>
      <c r="BM255" s="93" t="str">
        <f aca="false">IF($BZ255&lt;&gt;Constants!$B$8,"",IF(OR($BT255&lt;$BH255,AND($BT255=$BH255,OR($BU255&lt;$BI255,AND($BU255=$BI255,OR($BV255&lt;$BJ255,AND($BV255=$BJ255,OR(AND(ISNUMBER($BW255),OR(NOT(ISNUMBER($BK255)),$BW255&lt;$BK255)),AND(OR(AND($BW255="",$BK255=""),AND(ISNUMBER($BW255),ISNUMBER($BK255),$BW255=$BK255)),$BX255&lt;$BL255)))))))),"-&gt;","&lt;-"))</f>
        <v/>
      </c>
      <c r="BN255" s="92" t="str">
        <f aca="false">IF(ISBLANK($C255),"",AND($AT255,OR($AU255="",$AV255="",AND($AW255,$AX255=""))))</f>
        <v/>
      </c>
      <c r="BO255" s="94" t="str">
        <f aca="false">IF($BZ255&lt;&gt;Constants!$B$8,"",IF($AT255,Constants!$B$21*$AV255+Constants!$B$22*IF($AW255,$AX255,Constants!$B$23),Constants!$B$24))</f>
        <v/>
      </c>
      <c r="BP255" s="97" t="str">
        <f aca="false">IF($BZ255&lt;&gt;Constants!$B$8,"",Constants!$B$25*ABS($AD$9-IF($AT255,$AU255,0)))</f>
        <v/>
      </c>
      <c r="BQ255" s="97" t="str">
        <f aca="false">IF($BZ255&lt;&gt;Constants!$B$8,"",IF(AND($AT255,$AY255,$AW255),Constants!$B$27,0))</f>
        <v/>
      </c>
      <c r="BR255" s="97" t="str">
        <f aca="false">IF($BZ255&lt;&gt;Constants!$B$8,"",IF($AT255,($AI255-Constants!$B$29)*Constants!$B$28,0))</f>
        <v/>
      </c>
      <c r="BS255" s="97" t="str">
        <f aca="false">IF($BZ255&lt;&gt;Constants!$B$8,"",IF($AS255,0,Constants!$B$15)+IF($AR255,0,Constants!$B$16)+IF($AH255,0,Constants!$B$17))</f>
        <v/>
      </c>
      <c r="BT255" s="98" t="str">
        <f aca="false">IF($BZ255&lt;&gt;Constants!$B$8,"",Constants!$B$20+SUM($BO255:$BS255))</f>
        <v/>
      </c>
      <c r="BU255" s="97" t="str">
        <f aca="false">IF($BZ255&lt;&gt;Constants!$B$8,"",$BO255)</f>
        <v/>
      </c>
      <c r="BV255" s="97" t="str">
        <f aca="false">IF($BZ255&lt;&gt;Constants!$B$8,"",$BP255)</f>
        <v/>
      </c>
      <c r="BW255" s="97" t="str">
        <f aca="false">IF($BZ255&lt;&gt;Constants!$B$8,"",IF($AT255,$AV255,""))</f>
        <v/>
      </c>
      <c r="BX255" s="99" t="str">
        <f aca="false">IF($BZ255&lt;&gt;Constants!$B$8,"",$AI255)</f>
        <v/>
      </c>
      <c r="BY255" s="93" t="str">
        <f aca="false">IF(ISBLANK($C255),"",IF(ISBLANK($D$7),$BY$5,IF(NOT(ISNUMBER($D$7)),$BY$6,"")))</f>
        <v/>
      </c>
      <c r="BZ255" s="93" t="str">
        <f aca="false">IF(ISBLANK($C255),"",IF($BA255,Constants!$B$11,IF(COUNTA($E255:$AA255)=0,Constants!$B$10,IF(NOT($AG255),Constants!$B$9,IF(OR($BY255&lt;&gt;"",$BB255,$BN255),Constants!$B$12,Constants!$B$8)))))</f>
        <v/>
      </c>
      <c r="CA255" s="93" t="str">
        <f aca="false">IF(ISBLANK($C255),"",IF($BZ255&lt;&gt;Constants!$B$8,$BZ255,Constants!$B$13))</f>
        <v/>
      </c>
      <c r="CB255" s="97" t="str">
        <f aca="false">IF($BZ255&lt;&gt;Constants!$B$8,"",IF($BM255="-&gt;",$BT255,$BH255))</f>
        <v/>
      </c>
      <c r="CC255" s="97" t="str">
        <f aca="false">IF($BZ255&lt;&gt;Constants!$B$8,"",IF($AF255,0,Constants!$B$18))</f>
        <v/>
      </c>
      <c r="CD255" s="97" t="str">
        <f aca="false">IF($BZ255&lt;&gt;Constants!$B$8,"",((Constants!$B$31-$AZ255)-Constants!$B$31)/Constants!$B$32)</f>
        <v/>
      </c>
      <c r="CE255" s="97" t="str">
        <f aca="false">IF(ISBLANK($C255),"",IF($BZ255&lt;&gt;Constants!$B$8,$BZ255,SUM($CB255:$CD255)))</f>
        <v/>
      </c>
      <c r="CF255" s="93" t="str">
        <f aca="false">IF(ISBLANK($C255),"",IF($BZ255&lt;&gt;Constants!$B$8,$BZ255,RANK($CE255,$CE$9:$CE$508,1)))</f>
        <v/>
      </c>
      <c r="CG255" s="97" t="str">
        <f aca="false">IF($BZ255&lt;&gt;Constants!$B$8,"",IF($BM255="-&gt;",$BU255,$BI255))</f>
        <v/>
      </c>
      <c r="CH255" s="93" t="str">
        <f aca="false">IF(ISBLANK($C255),"",IF($BZ255&lt;&gt;Constants!$B$8,$BZ255,IF(ISNUMBER($CG255),RANK($CG255,$CG$9:$CG$508,1),COUNT($CG$9:$CG$508)+1)))</f>
        <v/>
      </c>
      <c r="CI255" s="97" t="str">
        <f aca="false">IF($BZ255&lt;&gt;Constants!$B$8,"",IF($BM255="-&gt;",$BV255,$BJ255))</f>
        <v/>
      </c>
      <c r="CJ255" s="93" t="str">
        <f aca="false">IF(ISBLANK($C255),"",IF($BZ255&lt;&gt;Constants!$B$8,$BZ255,IF(ISNUMBER($CI255),RANK($CI255,$CI$9:$CI$508,1),COUNT($CI$9:$CI$508)+1)))</f>
        <v/>
      </c>
      <c r="CK255" s="97" t="str">
        <f aca="false">IF($BZ255&lt;&gt;Constants!$B$8,"",IF($BM255="-&gt;",$BW255,$BK255))</f>
        <v/>
      </c>
      <c r="CL255" s="93" t="str">
        <f aca="false">IF(ISBLANK($C255),"",IF($BZ255&lt;&gt;Constants!$B$8,$BZ255,IF(ISNUMBER($CK255),RANK($CK255,$CK$9:$CK$508,1),COUNT($CK$9:$CK$508)+1)))</f>
        <v/>
      </c>
      <c r="CM255" s="97" t="str">
        <f aca="false">IF($BZ255&lt;&gt;Constants!$B$8,"",IF(AND(NOT($AL255),NOT($AT255),$AJ255,$AK255,$AR255,$AS255),"",IF($BM255="-&gt;",$BX255,$BL255)))</f>
        <v/>
      </c>
      <c r="CN255" s="93" t="str">
        <f aca="false">IF(ISBLANK($C255),"",IF($BZ255&lt;&gt;Constants!$B$8,$BZ255,IF(ISNUMBER($CM255),RANK($CM255,$CM$9:$CM$508,1),COUNT($CM$9:$CM$508)+1)))</f>
        <v/>
      </c>
      <c r="CO255" s="93" t="str">
        <f aca="false">IF(ISBLANK($C255),"",IF($BZ255&lt;&gt;Constants!$B$8,$BZ255,COUNTIFS($CF$9:$CF$508,"&lt;"&amp;$CF255)+COUNTIFS($CF$9:$CF$508,$CF255,$CH$9:$CH$508,"&lt;"&amp;$CH255)+COUNTIFS($CF$9:$CF$508,$CF255,$CH$9:$CH$508,$CH255,$CJ$9:$CJ$508,"&lt;"&amp;$CJ255)+COUNTIFS($CF$9:$CF$508,$CF255,$CH$9:$CH$508,$CH255,$CJ$9:$CJ$508,$CJ255,$CL$9:$CL$508,"&lt;"&amp;$CL255)+COUNTIFS($CF$9:$CF$508,$CF255,$CH$9:$CH$508,$CH255,$CJ$9:$CJ$508,$CJ255,$CL$9:$CL$508,$CL255,$CN$9:$CN$508,"&lt;"&amp;$CN255)+1))</f>
        <v/>
      </c>
      <c r="CP255" s="93" t="str">
        <f aca="false">IF(ISBLANK($C255),"",IF($BZ255&lt;&gt;Constants!$B$8,$BZ255,$CF255-$CO255))</f>
        <v/>
      </c>
      <c r="CQ255" s="100"/>
      <c r="CR255" s="101"/>
      <c r="CS255" s="102" t="str">
        <f aca="false">IF(ISBLANK($C255),"",IF($BZ255=Constants!$B$12,$BY255,""))</f>
        <v/>
      </c>
      <c r="CT255" s="101" t="str">
        <f aca="false">IF(ISBLANK($C255),"",IF($BZ255&lt;&gt;Constants!$B$8,"",IF($BM255="-&gt;",2,1)))</f>
        <v/>
      </c>
      <c r="CU255" s="103" t="str">
        <f aca="false">IF(ISBLANK($C255),"",IF($BZ255&lt;&gt;Constants!$B$8,"",IF($BM255="-&gt;",$BO255,$BC255)))</f>
        <v/>
      </c>
      <c r="CV255" s="103" t="str">
        <f aca="false">IF(ISBLANK($C255),"",IF($BZ255&lt;&gt;Constants!$B$8,"",IF($BM255="-&gt;",$BP255,$BD255)))</f>
        <v/>
      </c>
      <c r="CW255" s="103" t="str">
        <f aca="false">IF(ISBLANK($C255),"",IF($BZ255&lt;&gt;Constants!$B$8,"",IF($BM255="-&gt;",$BQ255+$BR255,$BE255+$BF255)+$CD255))</f>
        <v/>
      </c>
      <c r="CX255" s="103" t="str">
        <f aca="false">IF(ISBLANK($C255),"",IF($BZ255&lt;&gt;Constants!$B$8,"",IF($BM255="-&gt;",$BS255,$BG255)+$CC255))</f>
        <v/>
      </c>
      <c r="CY255" s="104" t="str">
        <f aca="false">IF(ISBLANK($C255),"",IF($BZ255&lt;&gt;Constants!$B$8,$BZ255,$CE255))</f>
        <v/>
      </c>
      <c r="CZ255" s="105" t="str">
        <f aca="false">IF(ISBLANK($C255),"",$CA255)</f>
        <v/>
      </c>
      <c r="DA255" s="106" t="str">
        <f aca="false">IF(ISBLANK($C255),"",$CP255)</f>
        <v/>
      </c>
      <c r="DB255" s="106" t="str">
        <f aca="false">IF(ISBLANK($C255),"",$CO255)</f>
        <v/>
      </c>
      <c r="DC255" s="107" t="str">
        <f aca="false">IF(ISBLANK($C255),"",IFERROR(_xlfn.SWITCH($DB255,Constants!$B$11,COUNTA($C$9:$C$508)+2,Constants!$B$10,COUNTA($C$9:$C$508)+1,Constants!$B$9,COUNTA($C$9:$C$508)),$DB255))</f>
        <v/>
      </c>
      <c r="DD255" s="9"/>
      <c r="DE255" s="108" t="n">
        <f aca="false">IF(OR(ISNUMBER($DB255),$DB255=Constants!$B$11,$DB255=Constants!$B$9,$DB255=Constants!$B$10),1,0)</f>
        <v>0</v>
      </c>
      <c r="DF255" s="108" t="n">
        <v>247</v>
      </c>
      <c r="DG255" s="108" t="str">
        <f aca="false">IF(ISBLANK($C255),"",IF(ISNUMBER($DC255),$DC255+ROW($B255)/1000,""))</f>
        <v/>
      </c>
      <c r="DH255" s="108" t="str">
        <f aca="false">IF(ISNUMBER($DG255),RANK($DG255,$DG$9:$DG$508,1),"")</f>
        <v/>
      </c>
      <c r="DI255" s="108" t="str">
        <f aca="false">IF(ISBLANK($C255),"",$B255)</f>
        <v/>
      </c>
      <c r="DJ255" s="108" t="str">
        <f aca="false">IF(ISBLANK($C255),"",$C255)</f>
        <v/>
      </c>
      <c r="DK255" s="108" t="str">
        <f aca="false">IF(ISBLANK($C255),"",$D255)</f>
        <v/>
      </c>
      <c r="DL255" s="109" t="str">
        <f aca="false">$CZ255</f>
        <v/>
      </c>
      <c r="DM255" s="110" t="str">
        <f aca="false">$CY255</f>
        <v/>
      </c>
      <c r="DN255" s="108" t="str">
        <f aca="false">IF(ISBLANK($C255),"",$DB255)</f>
        <v/>
      </c>
      <c r="DO255" s="111" t="str">
        <f aca="false">IF($DF255&gt;$DE$8,"",VLOOKUP($DF255,$DH$9:$DN$508,7,FALSE()))</f>
        <v/>
      </c>
      <c r="DP255" s="112" t="str">
        <f aca="false">IF($DF255&gt;$DE$8,"",VLOOKUP($DF255,$DH$9:$DN$508,2,FALSE()))</f>
        <v/>
      </c>
      <c r="DQ255" s="112" t="str">
        <f aca="false">IF($DF255&gt;$DE$8,"",VLOOKUP($DF255,$DH$9:$DN$508,3,FALSE()))</f>
        <v/>
      </c>
      <c r="DR255" s="112" t="str">
        <f aca="false">IF($DF255&gt;$DE$8,"",VLOOKUP($DF255,$DH$9:$DN$508,4,FALSE()))</f>
        <v/>
      </c>
      <c r="DS255" s="112" t="str">
        <f aca="false">IF($DF255&gt;$DE$8,"",VLOOKUP($DF255,$DH$9:$DN$508,5,FALSE()))</f>
        <v/>
      </c>
      <c r="DT255" s="113" t="str">
        <f aca="false">IF($DF255&gt;$DE$8,"",VLOOKUP($DF255,$DH$9:$DN$508,6,FALSE()))</f>
        <v/>
      </c>
      <c r="DU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IF(ISBLANK($C256),"",IF(E256=Constants!$B$3,TRUE(),IF(E256=Constants!$B$4,FALSE(),TRUE())))</f>
        <v/>
      </c>
      <c r="AG256" s="93" t="str">
        <f aca="false">IF(ISBLANK($C256),"",IF(F256=Constants!$B$3,TRUE(),IF(F256=Constants!$B$4,FALSE(),TRUE())))</f>
        <v/>
      </c>
      <c r="AH256" s="93" t="str">
        <f aca="false">IF(ISBLANK($C256),"",IF(G256=Constants!$B$3,TRUE(),IF(G256=Constants!$B$4,FALSE(),TRUE())))</f>
        <v/>
      </c>
      <c r="AI256" s="93" t="str">
        <f aca="false">IF(ISBLANK($C256),"",IF(AND(ISNUMBER(H256),H256&gt;=0),H256,Constants!$B$29))</f>
        <v/>
      </c>
      <c r="AJ256" s="93" t="str">
        <f aca="false">IF(ISBLANK($C256),"",IF(I256=Constants!$B$3,TRUE(),IF(I256=Constants!$B$4,FALSE(),TRUE())))</f>
        <v/>
      </c>
      <c r="AK256" s="93" t="str">
        <f aca="false">IF(ISBLANK($C256),"",IF(J256=Constants!$B$3,TRUE(),IF(J256=Constants!$B$4,FALSE(),TRUE())))</f>
        <v/>
      </c>
      <c r="AL256" s="93" t="str">
        <f aca="false">IF(ISBLANK($C256),"",IF(K256=Constants!$B$5,TRUE(),IF(K256=Constants!$B$6,FALSE(),COUNTA(L256:P256)&gt;0)))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IF(ISBLANK($C256),"",IF(N256=Constants!$B$3,TRUE(),IF(N256=Constants!$B$4,FALSE(),TRUE())))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IF(ISBLANK($C256),"",IF(P256=Constants!$B$3,TRUE(),IF(P256=Constants!$B$4,FALSE(),FALSE())))</f>
        <v/>
      </c>
      <c r="AR256" s="93" t="str">
        <f aca="false">IF(ISBLANK($C256),"",IF(Q256=Constants!$B$3,TRUE(),IF(Q256=Constants!$B$4,FALSE(),TRUE())))</f>
        <v/>
      </c>
      <c r="AS256" s="93" t="str">
        <f aca="false">IF(ISBLANK($C256),"",IF(R256=Constants!$B$3,TRUE(),IF(R256=Constants!$B$4,FALSE(),TRUE())))</f>
        <v/>
      </c>
      <c r="AT256" s="93" t="str">
        <f aca="false">IF(ISBLANK($C256),"",IF(S256=Constants!$B$5,TRUE(),IF(S256=Constants!$B$6,FALSE(),COUNTA(T256:X256)&gt;0)))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IF(ISBLANK($C256),"",IF(V256=Constants!$B$3,TRUE(),IF(V256=Constants!$B$4,FALSE(),TRUE())))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IF(ISBLANK($C256),"",IF(X256=Constants!$B$3,TRUE(),IF(X256=Constants!$B$4,FALSE(),FALSE())))</f>
        <v/>
      </c>
      <c r="AZ256" s="93" t="str">
        <f aca="false">IF(ISBLANK($C256),"",MIN(Constants!$B$31,MAX(0,IF(ISNUMBER(Y256),Y256*60,0)+IF(ISNUMBER(Z256),Z256,0))))</f>
        <v/>
      </c>
      <c r="BA256" s="93" t="str">
        <f aca="false">IF(ISBLANK($C256),"",IF(AA256=Constants!$B$3,TRUE(),IF(AA256=Constants!$B$4,FALSE(),FALSE())))</f>
        <v/>
      </c>
      <c r="BB256" s="92" t="str">
        <f aca="false">IF(ISBLANK($C256),"",AND($AL256,OR($AM256="",$AN256="",AND($AO256,$AP256=""))))</f>
        <v/>
      </c>
      <c r="BC256" s="94" t="str">
        <f aca="false">IF($BZ256&lt;&gt;Constants!$B$8,"",IF($AL256,Constants!$B$21*$AN256+Constants!$B$22*IF($AO256,$AP256,Constants!$B$23),Constants!$B$24))</f>
        <v/>
      </c>
      <c r="BD256" s="97" t="str">
        <f aca="false">IF($BZ256&lt;&gt;Constants!$B$8,"",Constants!$B$25*ABS($AD$9-IF($AL256,$AM256,0)))</f>
        <v/>
      </c>
      <c r="BE256" s="97" t="str">
        <f aca="false">IF($BZ256&lt;&gt;Constants!$B$8,"",IF(AND($AL256,$AQ256,$AO256),Constants!$B$27,0))</f>
        <v/>
      </c>
      <c r="BF256" s="97" t="str">
        <f aca="false">IF($BZ256&lt;&gt;Constants!$B$8,"",IF($AL256,($AI256-Constants!$B$29)*Constants!$B$28,0))</f>
        <v/>
      </c>
      <c r="BG256" s="97" t="str">
        <f aca="false">IF($BZ256&lt;&gt;Constants!$B$8,"",IF($AK256,0,Constants!$B$15)+IF($AJ256,0,Constants!$B$16)+IF($AH256,0,Constants!$B$17))</f>
        <v/>
      </c>
      <c r="BH256" s="98" t="str">
        <f aca="false">IF($BZ256&lt;&gt;Constants!$B$8,"",Constants!$B$20+SUM($BC256:$BG256))</f>
        <v/>
      </c>
      <c r="BI256" s="97" t="str">
        <f aca="false">IF($BZ256&lt;&gt;Constants!$B$8,"",$BC256)</f>
        <v/>
      </c>
      <c r="BJ256" s="97" t="str">
        <f aca="false">IF($BZ256&lt;&gt;Constants!$B$8,"",$BD256)</f>
        <v/>
      </c>
      <c r="BK256" s="97" t="str">
        <f aca="false">IF($BZ256&lt;&gt;Constants!$B$8,"",IF($AL256,$AN256,""))</f>
        <v/>
      </c>
      <c r="BL256" s="99" t="str">
        <f aca="false">IF($BZ256&lt;&gt;Constants!$B$8,"",$AI256)</f>
        <v/>
      </c>
      <c r="BM256" s="93" t="str">
        <f aca="false">IF($BZ256&lt;&gt;Constants!$B$8,"",IF(OR($BT256&lt;$BH256,AND($BT256=$BH256,OR($BU256&lt;$BI256,AND($BU256=$BI256,OR($BV256&lt;$BJ256,AND($BV256=$BJ256,OR(AND(ISNUMBER($BW256),OR(NOT(ISNUMBER($BK256)),$BW256&lt;$BK256)),AND(OR(AND($BW256="",$BK256=""),AND(ISNUMBER($BW256),ISNUMBER($BK256),$BW256=$BK256)),$BX256&lt;$BL256)))))))),"-&gt;","&lt;-"))</f>
        <v/>
      </c>
      <c r="BN256" s="92" t="str">
        <f aca="false">IF(ISBLANK($C256),"",AND($AT256,OR($AU256="",$AV256="",AND($AW256,$AX256=""))))</f>
        <v/>
      </c>
      <c r="BO256" s="94" t="str">
        <f aca="false">IF($BZ256&lt;&gt;Constants!$B$8,"",IF($AT256,Constants!$B$21*$AV256+Constants!$B$22*IF($AW256,$AX256,Constants!$B$23),Constants!$B$24))</f>
        <v/>
      </c>
      <c r="BP256" s="97" t="str">
        <f aca="false">IF($BZ256&lt;&gt;Constants!$B$8,"",Constants!$B$25*ABS($AD$9-IF($AT256,$AU256,0)))</f>
        <v/>
      </c>
      <c r="BQ256" s="97" t="str">
        <f aca="false">IF($BZ256&lt;&gt;Constants!$B$8,"",IF(AND($AT256,$AY256,$AW256),Constants!$B$27,0))</f>
        <v/>
      </c>
      <c r="BR256" s="97" t="str">
        <f aca="false">IF($BZ256&lt;&gt;Constants!$B$8,"",IF($AT256,($AI256-Constants!$B$29)*Constants!$B$28,0))</f>
        <v/>
      </c>
      <c r="BS256" s="97" t="str">
        <f aca="false">IF($BZ256&lt;&gt;Constants!$B$8,"",IF($AS256,0,Constants!$B$15)+IF($AR256,0,Constants!$B$16)+IF($AH256,0,Constants!$B$17))</f>
        <v/>
      </c>
      <c r="BT256" s="98" t="str">
        <f aca="false">IF($BZ256&lt;&gt;Constants!$B$8,"",Constants!$B$20+SUM($BO256:$BS256))</f>
        <v/>
      </c>
      <c r="BU256" s="97" t="str">
        <f aca="false">IF($BZ256&lt;&gt;Constants!$B$8,"",$BO256)</f>
        <v/>
      </c>
      <c r="BV256" s="97" t="str">
        <f aca="false">IF($BZ256&lt;&gt;Constants!$B$8,"",$BP256)</f>
        <v/>
      </c>
      <c r="BW256" s="97" t="str">
        <f aca="false">IF($BZ256&lt;&gt;Constants!$B$8,"",IF($AT256,$AV256,""))</f>
        <v/>
      </c>
      <c r="BX256" s="99" t="str">
        <f aca="false">IF($BZ256&lt;&gt;Constants!$B$8,"",$AI256)</f>
        <v/>
      </c>
      <c r="BY256" s="93" t="str">
        <f aca="false">IF(ISBLANK($C256),"",IF(ISBLANK($D$7),$BY$5,IF(NOT(ISNUMBER($D$7)),$BY$6,"")))</f>
        <v/>
      </c>
      <c r="BZ256" s="93" t="str">
        <f aca="false">IF(ISBLANK($C256),"",IF($BA256,Constants!$B$11,IF(COUNTA($E256:$AA256)=0,Constants!$B$10,IF(NOT($AG256),Constants!$B$9,IF(OR($BY256&lt;&gt;"",$BB256,$BN256),Constants!$B$12,Constants!$B$8)))))</f>
        <v/>
      </c>
      <c r="CA256" s="93" t="str">
        <f aca="false">IF(ISBLANK($C256),"",IF($BZ256&lt;&gt;Constants!$B$8,$BZ256,Constants!$B$13))</f>
        <v/>
      </c>
      <c r="CB256" s="97" t="str">
        <f aca="false">IF($BZ256&lt;&gt;Constants!$B$8,"",IF($BM256="-&gt;",$BT256,$BH256))</f>
        <v/>
      </c>
      <c r="CC256" s="97" t="str">
        <f aca="false">IF($BZ256&lt;&gt;Constants!$B$8,"",IF($AF256,0,Constants!$B$18))</f>
        <v/>
      </c>
      <c r="CD256" s="97" t="str">
        <f aca="false">IF($BZ256&lt;&gt;Constants!$B$8,"",((Constants!$B$31-$AZ256)-Constants!$B$31)/Constants!$B$32)</f>
        <v/>
      </c>
      <c r="CE256" s="97" t="str">
        <f aca="false">IF(ISBLANK($C256),"",IF($BZ256&lt;&gt;Constants!$B$8,$BZ256,SUM($CB256:$CD256)))</f>
        <v/>
      </c>
      <c r="CF256" s="93" t="str">
        <f aca="false">IF(ISBLANK($C256),"",IF($BZ256&lt;&gt;Constants!$B$8,$BZ256,RANK($CE256,$CE$9:$CE$508,1)))</f>
        <v/>
      </c>
      <c r="CG256" s="97" t="str">
        <f aca="false">IF($BZ256&lt;&gt;Constants!$B$8,"",IF($BM256="-&gt;",$BU256,$BI256))</f>
        <v/>
      </c>
      <c r="CH256" s="93" t="str">
        <f aca="false">IF(ISBLANK($C256),"",IF($BZ256&lt;&gt;Constants!$B$8,$BZ256,IF(ISNUMBER($CG256),RANK($CG256,$CG$9:$CG$508,1),COUNT($CG$9:$CG$508)+1)))</f>
        <v/>
      </c>
      <c r="CI256" s="97" t="str">
        <f aca="false">IF($BZ256&lt;&gt;Constants!$B$8,"",IF($BM256="-&gt;",$BV256,$BJ256))</f>
        <v/>
      </c>
      <c r="CJ256" s="93" t="str">
        <f aca="false">IF(ISBLANK($C256),"",IF($BZ256&lt;&gt;Constants!$B$8,$BZ256,IF(ISNUMBER($CI256),RANK($CI256,$CI$9:$CI$508,1),COUNT($CI$9:$CI$508)+1)))</f>
        <v/>
      </c>
      <c r="CK256" s="97" t="str">
        <f aca="false">IF($BZ256&lt;&gt;Constants!$B$8,"",IF($BM256="-&gt;",$BW256,$BK256))</f>
        <v/>
      </c>
      <c r="CL256" s="93" t="str">
        <f aca="false">IF(ISBLANK($C256),"",IF($BZ256&lt;&gt;Constants!$B$8,$BZ256,IF(ISNUMBER($CK256),RANK($CK256,$CK$9:$CK$508,1),COUNT($CK$9:$CK$508)+1)))</f>
        <v/>
      </c>
      <c r="CM256" s="97" t="str">
        <f aca="false">IF($BZ256&lt;&gt;Constants!$B$8,"",IF(AND(NOT($AL256),NOT($AT256),$AJ256,$AK256,$AR256,$AS256),"",IF($BM256="-&gt;",$BX256,$BL256)))</f>
        <v/>
      </c>
      <c r="CN256" s="93" t="str">
        <f aca="false">IF(ISBLANK($C256),"",IF($BZ256&lt;&gt;Constants!$B$8,$BZ256,IF(ISNUMBER($CM256),RANK($CM256,$CM$9:$CM$508,1),COUNT($CM$9:$CM$508)+1)))</f>
        <v/>
      </c>
      <c r="CO256" s="93" t="str">
        <f aca="false">IF(ISBLANK($C256),"",IF($BZ256&lt;&gt;Constants!$B$8,$BZ256,COUNTIFS($CF$9:$CF$508,"&lt;"&amp;$CF256)+COUNTIFS($CF$9:$CF$508,$CF256,$CH$9:$CH$508,"&lt;"&amp;$CH256)+COUNTIFS($CF$9:$CF$508,$CF256,$CH$9:$CH$508,$CH256,$CJ$9:$CJ$508,"&lt;"&amp;$CJ256)+COUNTIFS($CF$9:$CF$508,$CF256,$CH$9:$CH$508,$CH256,$CJ$9:$CJ$508,$CJ256,$CL$9:$CL$508,"&lt;"&amp;$CL256)+COUNTIFS($CF$9:$CF$508,$CF256,$CH$9:$CH$508,$CH256,$CJ$9:$CJ$508,$CJ256,$CL$9:$CL$508,$CL256,$CN$9:$CN$508,"&lt;"&amp;$CN256)+1))</f>
        <v/>
      </c>
      <c r="CP256" s="93" t="str">
        <f aca="false">IF(ISBLANK($C256),"",IF($BZ256&lt;&gt;Constants!$B$8,$BZ256,$CF256-$CO256))</f>
        <v/>
      </c>
      <c r="CQ256" s="100"/>
      <c r="CR256" s="101"/>
      <c r="CS256" s="102" t="str">
        <f aca="false">IF(ISBLANK($C256),"",IF($BZ256=Constants!$B$12,$BY256,""))</f>
        <v/>
      </c>
      <c r="CT256" s="101" t="str">
        <f aca="false">IF(ISBLANK($C256),"",IF($BZ256&lt;&gt;Constants!$B$8,"",IF($BM256="-&gt;",2,1)))</f>
        <v/>
      </c>
      <c r="CU256" s="103" t="str">
        <f aca="false">IF(ISBLANK($C256),"",IF($BZ256&lt;&gt;Constants!$B$8,"",IF($BM256="-&gt;",$BO256,$BC256)))</f>
        <v/>
      </c>
      <c r="CV256" s="103" t="str">
        <f aca="false">IF(ISBLANK($C256),"",IF($BZ256&lt;&gt;Constants!$B$8,"",IF($BM256="-&gt;",$BP256,$BD256)))</f>
        <v/>
      </c>
      <c r="CW256" s="103" t="str">
        <f aca="false">IF(ISBLANK($C256),"",IF($BZ256&lt;&gt;Constants!$B$8,"",IF($BM256="-&gt;",$BQ256+$BR256,$BE256+$BF256)+$CD256))</f>
        <v/>
      </c>
      <c r="CX256" s="103" t="str">
        <f aca="false">IF(ISBLANK($C256),"",IF($BZ256&lt;&gt;Constants!$B$8,"",IF($BM256="-&gt;",$BS256,$BG256)+$CC256))</f>
        <v/>
      </c>
      <c r="CY256" s="104" t="str">
        <f aca="false">IF(ISBLANK($C256),"",IF($BZ256&lt;&gt;Constants!$B$8,$BZ256,$CE256))</f>
        <v/>
      </c>
      <c r="CZ256" s="105" t="str">
        <f aca="false">IF(ISBLANK($C256),"",$CA256)</f>
        <v/>
      </c>
      <c r="DA256" s="106" t="str">
        <f aca="false">IF(ISBLANK($C256),"",$CP256)</f>
        <v/>
      </c>
      <c r="DB256" s="106" t="str">
        <f aca="false">IF(ISBLANK($C256),"",$CO256)</f>
        <v/>
      </c>
      <c r="DC256" s="107" t="str">
        <f aca="false">IF(ISBLANK($C256),"",IFERROR(_xlfn.SWITCH($DB256,Constants!$B$11,COUNTA($C$9:$C$508)+2,Constants!$B$10,COUNTA($C$9:$C$508)+1,Constants!$B$9,COUNTA($C$9:$C$508)),$DB256))</f>
        <v/>
      </c>
      <c r="DD256" s="9"/>
      <c r="DE256" s="108" t="n">
        <f aca="false">IF(OR(ISNUMBER($DB256),$DB256=Constants!$B$11,$DB256=Constants!$B$9,$DB256=Constants!$B$10),1,0)</f>
        <v>0</v>
      </c>
      <c r="DF256" s="108" t="n">
        <v>248</v>
      </c>
      <c r="DG256" s="108" t="str">
        <f aca="false">IF(ISBLANK($C256),"",IF(ISNUMBER($DC256),$DC256+ROW($B256)/1000,""))</f>
        <v/>
      </c>
      <c r="DH256" s="108" t="str">
        <f aca="false">IF(ISNUMBER($DG256),RANK($DG256,$DG$9:$DG$508,1),"")</f>
        <v/>
      </c>
      <c r="DI256" s="108" t="str">
        <f aca="false">IF(ISBLANK($C256),"",$B256)</f>
        <v/>
      </c>
      <c r="DJ256" s="108" t="str">
        <f aca="false">IF(ISBLANK($C256),"",$C256)</f>
        <v/>
      </c>
      <c r="DK256" s="108" t="str">
        <f aca="false">IF(ISBLANK($C256),"",$D256)</f>
        <v/>
      </c>
      <c r="DL256" s="109" t="str">
        <f aca="false">$CZ256</f>
        <v/>
      </c>
      <c r="DM256" s="110" t="str">
        <f aca="false">$CY256</f>
        <v/>
      </c>
      <c r="DN256" s="108" t="str">
        <f aca="false">IF(ISBLANK($C256),"",$DB256)</f>
        <v/>
      </c>
      <c r="DO256" s="111" t="str">
        <f aca="false">IF($DF256&gt;$DE$8,"",VLOOKUP($DF256,$DH$9:$DN$508,7,FALSE()))</f>
        <v/>
      </c>
      <c r="DP256" s="112" t="str">
        <f aca="false">IF($DF256&gt;$DE$8,"",VLOOKUP($DF256,$DH$9:$DN$508,2,FALSE()))</f>
        <v/>
      </c>
      <c r="DQ256" s="112" t="str">
        <f aca="false">IF($DF256&gt;$DE$8,"",VLOOKUP($DF256,$DH$9:$DN$508,3,FALSE()))</f>
        <v/>
      </c>
      <c r="DR256" s="112" t="str">
        <f aca="false">IF($DF256&gt;$DE$8,"",VLOOKUP($DF256,$DH$9:$DN$508,4,FALSE()))</f>
        <v/>
      </c>
      <c r="DS256" s="112" t="str">
        <f aca="false">IF($DF256&gt;$DE$8,"",VLOOKUP($DF256,$DH$9:$DN$508,5,FALSE()))</f>
        <v/>
      </c>
      <c r="DT256" s="113" t="str">
        <f aca="false">IF($DF256&gt;$DE$8,"",VLOOKUP($DF256,$DH$9:$DN$508,6,FALSE()))</f>
        <v/>
      </c>
      <c r="DU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IF(ISBLANK($C257),"",IF(E257=Constants!$B$3,TRUE(),IF(E257=Constants!$B$4,FALSE(),TRUE())))</f>
        <v/>
      </c>
      <c r="AG257" s="93" t="str">
        <f aca="false">IF(ISBLANK($C257),"",IF(F257=Constants!$B$3,TRUE(),IF(F257=Constants!$B$4,FALSE(),TRUE())))</f>
        <v/>
      </c>
      <c r="AH257" s="93" t="str">
        <f aca="false">IF(ISBLANK($C257),"",IF(G257=Constants!$B$3,TRUE(),IF(G257=Constants!$B$4,FALSE(),TRUE())))</f>
        <v/>
      </c>
      <c r="AI257" s="93" t="str">
        <f aca="false">IF(ISBLANK($C257),"",IF(AND(ISNUMBER(H257),H257&gt;=0),H257,Constants!$B$29))</f>
        <v/>
      </c>
      <c r="AJ257" s="93" t="str">
        <f aca="false">IF(ISBLANK($C257),"",IF(I257=Constants!$B$3,TRUE(),IF(I257=Constants!$B$4,FALSE(),TRUE())))</f>
        <v/>
      </c>
      <c r="AK257" s="93" t="str">
        <f aca="false">IF(ISBLANK($C257),"",IF(J257=Constants!$B$3,TRUE(),IF(J257=Constants!$B$4,FALSE(),TRUE())))</f>
        <v/>
      </c>
      <c r="AL257" s="93" t="str">
        <f aca="false">IF(ISBLANK($C257),"",IF(K257=Constants!$B$5,TRUE(),IF(K257=Constants!$B$6,FALSE(),COUNTA(L257:P257)&gt;0)))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IF(ISBLANK($C257),"",IF(N257=Constants!$B$3,TRUE(),IF(N257=Constants!$B$4,FALSE(),TRUE())))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IF(ISBLANK($C257),"",IF(P257=Constants!$B$3,TRUE(),IF(P257=Constants!$B$4,FALSE(),FALSE())))</f>
        <v/>
      </c>
      <c r="AR257" s="93" t="str">
        <f aca="false">IF(ISBLANK($C257),"",IF(Q257=Constants!$B$3,TRUE(),IF(Q257=Constants!$B$4,FALSE(),TRUE())))</f>
        <v/>
      </c>
      <c r="AS257" s="93" t="str">
        <f aca="false">IF(ISBLANK($C257),"",IF(R257=Constants!$B$3,TRUE(),IF(R257=Constants!$B$4,FALSE(),TRUE())))</f>
        <v/>
      </c>
      <c r="AT257" s="93" t="str">
        <f aca="false">IF(ISBLANK($C257),"",IF(S257=Constants!$B$5,TRUE(),IF(S257=Constants!$B$6,FALSE(),COUNTA(T257:X257)&gt;0)))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IF(ISBLANK($C257),"",IF(V257=Constants!$B$3,TRUE(),IF(V257=Constants!$B$4,FALSE(),TRUE())))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IF(ISBLANK($C257),"",IF(X257=Constants!$B$3,TRUE(),IF(X257=Constants!$B$4,FALSE(),FALSE())))</f>
        <v/>
      </c>
      <c r="AZ257" s="93" t="str">
        <f aca="false">IF(ISBLANK($C257),"",MIN(Constants!$B$31,MAX(0,IF(ISNUMBER(Y257),Y257*60,0)+IF(ISNUMBER(Z257),Z257,0))))</f>
        <v/>
      </c>
      <c r="BA257" s="93" t="str">
        <f aca="false">IF(ISBLANK($C257),"",IF(AA257=Constants!$B$3,TRUE(),IF(AA257=Constants!$B$4,FALSE(),FALSE())))</f>
        <v/>
      </c>
      <c r="BB257" s="92" t="str">
        <f aca="false">IF(ISBLANK($C257),"",AND($AL257,OR($AM257="",$AN257="",AND($AO257,$AP257=""))))</f>
        <v/>
      </c>
      <c r="BC257" s="94" t="str">
        <f aca="false">IF($BZ257&lt;&gt;Constants!$B$8,"",IF($AL257,Constants!$B$21*$AN257+Constants!$B$22*IF($AO257,$AP257,Constants!$B$23),Constants!$B$24))</f>
        <v/>
      </c>
      <c r="BD257" s="97" t="str">
        <f aca="false">IF($BZ257&lt;&gt;Constants!$B$8,"",Constants!$B$25*ABS($AD$9-IF($AL257,$AM257,0)))</f>
        <v/>
      </c>
      <c r="BE257" s="97" t="str">
        <f aca="false">IF($BZ257&lt;&gt;Constants!$B$8,"",IF(AND($AL257,$AQ257,$AO257),Constants!$B$27,0))</f>
        <v/>
      </c>
      <c r="BF257" s="97" t="str">
        <f aca="false">IF($BZ257&lt;&gt;Constants!$B$8,"",IF($AL257,($AI257-Constants!$B$29)*Constants!$B$28,0))</f>
        <v/>
      </c>
      <c r="BG257" s="97" t="str">
        <f aca="false">IF($BZ257&lt;&gt;Constants!$B$8,"",IF($AK257,0,Constants!$B$15)+IF($AJ257,0,Constants!$B$16)+IF($AH257,0,Constants!$B$17))</f>
        <v/>
      </c>
      <c r="BH257" s="98" t="str">
        <f aca="false">IF($BZ257&lt;&gt;Constants!$B$8,"",Constants!$B$20+SUM($BC257:$BG257))</f>
        <v/>
      </c>
      <c r="BI257" s="97" t="str">
        <f aca="false">IF($BZ257&lt;&gt;Constants!$B$8,"",$BC257)</f>
        <v/>
      </c>
      <c r="BJ257" s="97" t="str">
        <f aca="false">IF($BZ257&lt;&gt;Constants!$B$8,"",$BD257)</f>
        <v/>
      </c>
      <c r="BK257" s="97" t="str">
        <f aca="false">IF($BZ257&lt;&gt;Constants!$B$8,"",IF($AL257,$AN257,""))</f>
        <v/>
      </c>
      <c r="BL257" s="99" t="str">
        <f aca="false">IF($BZ257&lt;&gt;Constants!$B$8,"",$AI257)</f>
        <v/>
      </c>
      <c r="BM257" s="93" t="str">
        <f aca="false">IF($BZ257&lt;&gt;Constants!$B$8,"",IF(OR($BT257&lt;$BH257,AND($BT257=$BH257,OR($BU257&lt;$BI257,AND($BU257=$BI257,OR($BV257&lt;$BJ257,AND($BV257=$BJ257,OR(AND(ISNUMBER($BW257),OR(NOT(ISNUMBER($BK257)),$BW257&lt;$BK257)),AND(OR(AND($BW257="",$BK257=""),AND(ISNUMBER($BW257),ISNUMBER($BK257),$BW257=$BK257)),$BX257&lt;$BL257)))))))),"-&gt;","&lt;-"))</f>
        <v/>
      </c>
      <c r="BN257" s="92" t="str">
        <f aca="false">IF(ISBLANK($C257),"",AND($AT257,OR($AU257="",$AV257="",AND($AW257,$AX257=""))))</f>
        <v/>
      </c>
      <c r="BO257" s="94" t="str">
        <f aca="false">IF($BZ257&lt;&gt;Constants!$B$8,"",IF($AT257,Constants!$B$21*$AV257+Constants!$B$22*IF($AW257,$AX257,Constants!$B$23),Constants!$B$24))</f>
        <v/>
      </c>
      <c r="BP257" s="97" t="str">
        <f aca="false">IF($BZ257&lt;&gt;Constants!$B$8,"",Constants!$B$25*ABS($AD$9-IF($AT257,$AU257,0)))</f>
        <v/>
      </c>
      <c r="BQ257" s="97" t="str">
        <f aca="false">IF($BZ257&lt;&gt;Constants!$B$8,"",IF(AND($AT257,$AY257,$AW257),Constants!$B$27,0))</f>
        <v/>
      </c>
      <c r="BR257" s="97" t="str">
        <f aca="false">IF($BZ257&lt;&gt;Constants!$B$8,"",IF($AT257,($AI257-Constants!$B$29)*Constants!$B$28,0))</f>
        <v/>
      </c>
      <c r="BS257" s="97" t="str">
        <f aca="false">IF($BZ257&lt;&gt;Constants!$B$8,"",IF($AS257,0,Constants!$B$15)+IF($AR257,0,Constants!$B$16)+IF($AH257,0,Constants!$B$17))</f>
        <v/>
      </c>
      <c r="BT257" s="98" t="str">
        <f aca="false">IF($BZ257&lt;&gt;Constants!$B$8,"",Constants!$B$20+SUM($BO257:$BS257))</f>
        <v/>
      </c>
      <c r="BU257" s="97" t="str">
        <f aca="false">IF($BZ257&lt;&gt;Constants!$B$8,"",$BO257)</f>
        <v/>
      </c>
      <c r="BV257" s="97" t="str">
        <f aca="false">IF($BZ257&lt;&gt;Constants!$B$8,"",$BP257)</f>
        <v/>
      </c>
      <c r="BW257" s="97" t="str">
        <f aca="false">IF($BZ257&lt;&gt;Constants!$B$8,"",IF($AT257,$AV257,""))</f>
        <v/>
      </c>
      <c r="BX257" s="99" t="str">
        <f aca="false">IF($BZ257&lt;&gt;Constants!$B$8,"",$AI257)</f>
        <v/>
      </c>
      <c r="BY257" s="93" t="str">
        <f aca="false">IF(ISBLANK($C257),"",IF(ISBLANK($D$7),$BY$5,IF(NOT(ISNUMBER($D$7)),$BY$6,"")))</f>
        <v/>
      </c>
      <c r="BZ257" s="93" t="str">
        <f aca="false">IF(ISBLANK($C257),"",IF($BA257,Constants!$B$11,IF(COUNTA($E257:$AA257)=0,Constants!$B$10,IF(NOT($AG257),Constants!$B$9,IF(OR($BY257&lt;&gt;"",$BB257,$BN257),Constants!$B$12,Constants!$B$8)))))</f>
        <v/>
      </c>
      <c r="CA257" s="93" t="str">
        <f aca="false">IF(ISBLANK($C257),"",IF($BZ257&lt;&gt;Constants!$B$8,$BZ257,Constants!$B$13))</f>
        <v/>
      </c>
      <c r="CB257" s="97" t="str">
        <f aca="false">IF($BZ257&lt;&gt;Constants!$B$8,"",IF($BM257="-&gt;",$BT257,$BH257))</f>
        <v/>
      </c>
      <c r="CC257" s="97" t="str">
        <f aca="false">IF($BZ257&lt;&gt;Constants!$B$8,"",IF($AF257,0,Constants!$B$18))</f>
        <v/>
      </c>
      <c r="CD257" s="97" t="str">
        <f aca="false">IF($BZ257&lt;&gt;Constants!$B$8,"",((Constants!$B$31-$AZ257)-Constants!$B$31)/Constants!$B$32)</f>
        <v/>
      </c>
      <c r="CE257" s="97" t="str">
        <f aca="false">IF(ISBLANK($C257),"",IF($BZ257&lt;&gt;Constants!$B$8,$BZ257,SUM($CB257:$CD257)))</f>
        <v/>
      </c>
      <c r="CF257" s="93" t="str">
        <f aca="false">IF(ISBLANK($C257),"",IF($BZ257&lt;&gt;Constants!$B$8,$BZ257,RANK($CE257,$CE$9:$CE$508,1)))</f>
        <v/>
      </c>
      <c r="CG257" s="97" t="str">
        <f aca="false">IF($BZ257&lt;&gt;Constants!$B$8,"",IF($BM257="-&gt;",$BU257,$BI257))</f>
        <v/>
      </c>
      <c r="CH257" s="93" t="str">
        <f aca="false">IF(ISBLANK($C257),"",IF($BZ257&lt;&gt;Constants!$B$8,$BZ257,IF(ISNUMBER($CG257),RANK($CG257,$CG$9:$CG$508,1),COUNT($CG$9:$CG$508)+1)))</f>
        <v/>
      </c>
      <c r="CI257" s="97" t="str">
        <f aca="false">IF($BZ257&lt;&gt;Constants!$B$8,"",IF($BM257="-&gt;",$BV257,$BJ257))</f>
        <v/>
      </c>
      <c r="CJ257" s="93" t="str">
        <f aca="false">IF(ISBLANK($C257),"",IF($BZ257&lt;&gt;Constants!$B$8,$BZ257,IF(ISNUMBER($CI257),RANK($CI257,$CI$9:$CI$508,1),COUNT($CI$9:$CI$508)+1)))</f>
        <v/>
      </c>
      <c r="CK257" s="97" t="str">
        <f aca="false">IF($BZ257&lt;&gt;Constants!$B$8,"",IF($BM257="-&gt;",$BW257,$BK257))</f>
        <v/>
      </c>
      <c r="CL257" s="93" t="str">
        <f aca="false">IF(ISBLANK($C257),"",IF($BZ257&lt;&gt;Constants!$B$8,$BZ257,IF(ISNUMBER($CK257),RANK($CK257,$CK$9:$CK$508,1),COUNT($CK$9:$CK$508)+1)))</f>
        <v/>
      </c>
      <c r="CM257" s="97" t="str">
        <f aca="false">IF($BZ257&lt;&gt;Constants!$B$8,"",IF(AND(NOT($AL257),NOT($AT257),$AJ257,$AK257,$AR257,$AS257),"",IF($BM257="-&gt;",$BX257,$BL257)))</f>
        <v/>
      </c>
      <c r="CN257" s="93" t="str">
        <f aca="false">IF(ISBLANK($C257),"",IF($BZ257&lt;&gt;Constants!$B$8,$BZ257,IF(ISNUMBER($CM257),RANK($CM257,$CM$9:$CM$508,1),COUNT($CM$9:$CM$508)+1)))</f>
        <v/>
      </c>
      <c r="CO257" s="93" t="str">
        <f aca="false">IF(ISBLANK($C257),"",IF($BZ257&lt;&gt;Constants!$B$8,$BZ257,COUNTIFS($CF$9:$CF$508,"&lt;"&amp;$CF257)+COUNTIFS($CF$9:$CF$508,$CF257,$CH$9:$CH$508,"&lt;"&amp;$CH257)+COUNTIFS($CF$9:$CF$508,$CF257,$CH$9:$CH$508,$CH257,$CJ$9:$CJ$508,"&lt;"&amp;$CJ257)+COUNTIFS($CF$9:$CF$508,$CF257,$CH$9:$CH$508,$CH257,$CJ$9:$CJ$508,$CJ257,$CL$9:$CL$508,"&lt;"&amp;$CL257)+COUNTIFS($CF$9:$CF$508,$CF257,$CH$9:$CH$508,$CH257,$CJ$9:$CJ$508,$CJ257,$CL$9:$CL$508,$CL257,$CN$9:$CN$508,"&lt;"&amp;$CN257)+1))</f>
        <v/>
      </c>
      <c r="CP257" s="93" t="str">
        <f aca="false">IF(ISBLANK($C257),"",IF($BZ257&lt;&gt;Constants!$B$8,$BZ257,$CF257-$CO257))</f>
        <v/>
      </c>
      <c r="CQ257" s="100"/>
      <c r="CR257" s="101"/>
      <c r="CS257" s="102" t="str">
        <f aca="false">IF(ISBLANK($C257),"",IF($BZ257=Constants!$B$12,$BY257,""))</f>
        <v/>
      </c>
      <c r="CT257" s="101" t="str">
        <f aca="false">IF(ISBLANK($C257),"",IF($BZ257&lt;&gt;Constants!$B$8,"",IF($BM257="-&gt;",2,1)))</f>
        <v/>
      </c>
      <c r="CU257" s="103" t="str">
        <f aca="false">IF(ISBLANK($C257),"",IF($BZ257&lt;&gt;Constants!$B$8,"",IF($BM257="-&gt;",$BO257,$BC257)))</f>
        <v/>
      </c>
      <c r="CV257" s="103" t="str">
        <f aca="false">IF(ISBLANK($C257),"",IF($BZ257&lt;&gt;Constants!$B$8,"",IF($BM257="-&gt;",$BP257,$BD257)))</f>
        <v/>
      </c>
      <c r="CW257" s="103" t="str">
        <f aca="false">IF(ISBLANK($C257),"",IF($BZ257&lt;&gt;Constants!$B$8,"",IF($BM257="-&gt;",$BQ257+$BR257,$BE257+$BF257)+$CD257))</f>
        <v/>
      </c>
      <c r="CX257" s="103" t="str">
        <f aca="false">IF(ISBLANK($C257),"",IF($BZ257&lt;&gt;Constants!$B$8,"",IF($BM257="-&gt;",$BS257,$BG257)+$CC257))</f>
        <v/>
      </c>
      <c r="CY257" s="104" t="str">
        <f aca="false">IF(ISBLANK($C257),"",IF($BZ257&lt;&gt;Constants!$B$8,$BZ257,$CE257))</f>
        <v/>
      </c>
      <c r="CZ257" s="105" t="str">
        <f aca="false">IF(ISBLANK($C257),"",$CA257)</f>
        <v/>
      </c>
      <c r="DA257" s="106" t="str">
        <f aca="false">IF(ISBLANK($C257),"",$CP257)</f>
        <v/>
      </c>
      <c r="DB257" s="106" t="str">
        <f aca="false">IF(ISBLANK($C257),"",$CO257)</f>
        <v/>
      </c>
      <c r="DC257" s="107" t="str">
        <f aca="false">IF(ISBLANK($C257),"",IFERROR(_xlfn.SWITCH($DB257,Constants!$B$11,COUNTA($C$9:$C$508)+2,Constants!$B$10,COUNTA($C$9:$C$508)+1,Constants!$B$9,COUNTA($C$9:$C$508)),$DB257))</f>
        <v/>
      </c>
      <c r="DD257" s="9"/>
      <c r="DE257" s="108" t="n">
        <f aca="false">IF(OR(ISNUMBER($DB257),$DB257=Constants!$B$11,$DB257=Constants!$B$9,$DB257=Constants!$B$10),1,0)</f>
        <v>0</v>
      </c>
      <c r="DF257" s="108" t="n">
        <v>249</v>
      </c>
      <c r="DG257" s="108" t="str">
        <f aca="false">IF(ISBLANK($C257),"",IF(ISNUMBER($DC257),$DC257+ROW($B257)/1000,""))</f>
        <v/>
      </c>
      <c r="DH257" s="108" t="str">
        <f aca="false">IF(ISNUMBER($DG257),RANK($DG257,$DG$9:$DG$508,1),"")</f>
        <v/>
      </c>
      <c r="DI257" s="108" t="str">
        <f aca="false">IF(ISBLANK($C257),"",$B257)</f>
        <v/>
      </c>
      <c r="DJ257" s="108" t="str">
        <f aca="false">IF(ISBLANK($C257),"",$C257)</f>
        <v/>
      </c>
      <c r="DK257" s="108" t="str">
        <f aca="false">IF(ISBLANK($C257),"",$D257)</f>
        <v/>
      </c>
      <c r="DL257" s="109" t="str">
        <f aca="false">$CZ257</f>
        <v/>
      </c>
      <c r="DM257" s="110" t="str">
        <f aca="false">$CY257</f>
        <v/>
      </c>
      <c r="DN257" s="108" t="str">
        <f aca="false">IF(ISBLANK($C257),"",$DB257)</f>
        <v/>
      </c>
      <c r="DO257" s="111" t="str">
        <f aca="false">IF($DF257&gt;$DE$8,"",VLOOKUP($DF257,$DH$9:$DN$508,7,FALSE()))</f>
        <v/>
      </c>
      <c r="DP257" s="112" t="str">
        <f aca="false">IF($DF257&gt;$DE$8,"",VLOOKUP($DF257,$DH$9:$DN$508,2,FALSE()))</f>
        <v/>
      </c>
      <c r="DQ257" s="112" t="str">
        <f aca="false">IF($DF257&gt;$DE$8,"",VLOOKUP($DF257,$DH$9:$DN$508,3,FALSE()))</f>
        <v/>
      </c>
      <c r="DR257" s="112" t="str">
        <f aca="false">IF($DF257&gt;$DE$8,"",VLOOKUP($DF257,$DH$9:$DN$508,4,FALSE()))</f>
        <v/>
      </c>
      <c r="DS257" s="112" t="str">
        <f aca="false">IF($DF257&gt;$DE$8,"",VLOOKUP($DF257,$DH$9:$DN$508,5,FALSE()))</f>
        <v/>
      </c>
      <c r="DT257" s="113" t="str">
        <f aca="false">IF($DF257&gt;$DE$8,"",VLOOKUP($DF257,$DH$9:$DN$508,6,FALSE()))</f>
        <v/>
      </c>
      <c r="DU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IF(ISBLANK($C258),"",IF(E258=Constants!$B$3,TRUE(),IF(E258=Constants!$B$4,FALSE(),TRUE())))</f>
        <v/>
      </c>
      <c r="AG258" s="135" t="str">
        <f aca="false">IF(ISBLANK($C258),"",IF(F258=Constants!$B$3,TRUE(),IF(F258=Constants!$B$4,FALSE(),TRUE())))</f>
        <v/>
      </c>
      <c r="AH258" s="135" t="str">
        <f aca="false">IF(ISBLANK($C258),"",IF(G258=Constants!$B$3,TRUE(),IF(G258=Constants!$B$4,FALSE(),TRUE())))</f>
        <v/>
      </c>
      <c r="AI258" s="135" t="str">
        <f aca="false">IF(ISBLANK($C258),"",IF(AND(ISNUMBER(H258),H258&gt;=0),H258,Constants!$B$29))</f>
        <v/>
      </c>
      <c r="AJ258" s="135" t="str">
        <f aca="false">IF(ISBLANK($C258),"",IF(I258=Constants!$B$3,TRUE(),IF(I258=Constants!$B$4,FALSE(),TRUE())))</f>
        <v/>
      </c>
      <c r="AK258" s="135" t="str">
        <f aca="false">IF(ISBLANK($C258),"",IF(J258=Constants!$B$3,TRUE(),IF(J258=Constants!$B$4,FALSE(),TRUE())))</f>
        <v/>
      </c>
      <c r="AL258" s="135" t="str">
        <f aca="false">IF(ISBLANK($C258),"",IF(K258=Constants!$B$5,TRUE(),IF(K258=Constants!$B$6,FALSE(),COUNTA(L258:P258)&gt;0)))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IF(ISBLANK($C258),"",IF(N258=Constants!$B$3,TRUE(),IF(N258=Constants!$B$4,FALSE(),TRUE())))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IF(ISBLANK($C258),"",IF(P258=Constants!$B$3,TRUE(),IF(P258=Constants!$B$4,FALSE(),FALSE())))</f>
        <v/>
      </c>
      <c r="AR258" s="135" t="str">
        <f aca="false">IF(ISBLANK($C258),"",IF(Q258=Constants!$B$3,TRUE(),IF(Q258=Constants!$B$4,FALSE(),TRUE())))</f>
        <v/>
      </c>
      <c r="AS258" s="135" t="str">
        <f aca="false">IF(ISBLANK($C258),"",IF(R258=Constants!$B$3,TRUE(),IF(R258=Constants!$B$4,FALSE(),TRUE())))</f>
        <v/>
      </c>
      <c r="AT258" s="135" t="str">
        <f aca="false">IF(ISBLANK($C258),"",IF(S258=Constants!$B$5,TRUE(),IF(S258=Constants!$B$6,FALSE(),COUNTA(T258:X258)&gt;0)))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IF(ISBLANK($C258),"",IF(V258=Constants!$B$3,TRUE(),IF(V258=Constants!$B$4,FALSE(),TRUE())))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IF(ISBLANK($C258),"",IF(X258=Constants!$B$3,TRUE(),IF(X258=Constants!$B$4,FALSE(),FALSE())))</f>
        <v/>
      </c>
      <c r="AZ258" s="135" t="str">
        <f aca="false">IF(ISBLANK($C258),"",MIN(Constants!$B$31,MAX(0,IF(ISNUMBER(Y258),Y258*60,0)+IF(ISNUMBER(Z258),Z258,0))))</f>
        <v/>
      </c>
      <c r="BA258" s="135" t="str">
        <f aca="false">IF(ISBLANK($C258),"",IF(AA258=Constants!$B$3,TRUE(),IF(AA258=Constants!$B$4,FALSE(),FALSE())))</f>
        <v/>
      </c>
      <c r="BB258" s="134" t="str">
        <f aca="false">IF(ISBLANK($C258),"",AND($AL258,OR($AM258="",$AN258="",AND($AO258,$AP258=""))))</f>
        <v/>
      </c>
      <c r="BC258" s="137" t="str">
        <f aca="false">IF($BZ258&lt;&gt;Constants!$B$8,"",IF($AL258,Constants!$B$21*$AN258+Constants!$B$22*IF($AO258,$AP258,Constants!$B$23),Constants!$B$24))</f>
        <v/>
      </c>
      <c r="BD258" s="138" t="str">
        <f aca="false">IF($BZ258&lt;&gt;Constants!$B$8,"",Constants!$B$25*ABS($AD$9-IF($AL258,$AM258,0)))</f>
        <v/>
      </c>
      <c r="BE258" s="138" t="str">
        <f aca="false">IF($BZ258&lt;&gt;Constants!$B$8,"",IF(AND($AL258,$AQ258,$AO258),Constants!$B$27,0))</f>
        <v/>
      </c>
      <c r="BF258" s="138" t="str">
        <f aca="false">IF($BZ258&lt;&gt;Constants!$B$8,"",IF($AL258,($AI258-Constants!$B$29)*Constants!$B$28,0))</f>
        <v/>
      </c>
      <c r="BG258" s="138" t="str">
        <f aca="false">IF($BZ258&lt;&gt;Constants!$B$8,"",IF($AK258,0,Constants!$B$15)+IF($AJ258,0,Constants!$B$16)+IF($AH258,0,Constants!$B$17))</f>
        <v/>
      </c>
      <c r="BH258" s="139" t="str">
        <f aca="false">IF($BZ258&lt;&gt;Constants!$B$8,"",Constants!$B$20+SUM($BC258:$BG258))</f>
        <v/>
      </c>
      <c r="BI258" s="138" t="str">
        <f aca="false">IF($BZ258&lt;&gt;Constants!$B$8,"",$BC258)</f>
        <v/>
      </c>
      <c r="BJ258" s="138" t="str">
        <f aca="false">IF($BZ258&lt;&gt;Constants!$B$8,"",$BD258)</f>
        <v/>
      </c>
      <c r="BK258" s="138" t="str">
        <f aca="false">IF($BZ258&lt;&gt;Constants!$B$8,"",IF($AL258,$AN258,""))</f>
        <v/>
      </c>
      <c r="BL258" s="140" t="str">
        <f aca="false">IF($BZ258&lt;&gt;Constants!$B$8,"",$AI258)</f>
        <v/>
      </c>
      <c r="BM258" s="135" t="str">
        <f aca="false">IF($BZ258&lt;&gt;Constants!$B$8,"",IF(OR($BT258&lt;$BH258,AND($BT258=$BH258,OR($BU258&lt;$BI258,AND($BU258=$BI258,OR($BV258&lt;$BJ258,AND($BV258=$BJ258,OR(AND(ISNUMBER($BW258),OR(NOT(ISNUMBER($BK258)),$BW258&lt;$BK258)),AND(OR(AND($BW258="",$BK258=""),AND(ISNUMBER($BW258),ISNUMBER($BK258),$BW258=$BK258)),$BX258&lt;$BL258)))))))),"-&gt;","&lt;-"))</f>
        <v/>
      </c>
      <c r="BN258" s="134" t="str">
        <f aca="false">IF(ISBLANK($C258),"",AND($AT258,OR($AU258="",$AV258="",AND($AW258,$AX258=""))))</f>
        <v/>
      </c>
      <c r="BO258" s="137" t="str">
        <f aca="false">IF($BZ258&lt;&gt;Constants!$B$8,"",IF($AT258,Constants!$B$21*$AV258+Constants!$B$22*IF($AW258,$AX258,Constants!$B$23),Constants!$B$24))</f>
        <v/>
      </c>
      <c r="BP258" s="138" t="str">
        <f aca="false">IF($BZ258&lt;&gt;Constants!$B$8,"",Constants!$B$25*ABS($AD$9-IF($AT258,$AU258,0)))</f>
        <v/>
      </c>
      <c r="BQ258" s="138" t="str">
        <f aca="false">IF($BZ258&lt;&gt;Constants!$B$8,"",IF(AND($AT258,$AY258,$AW258),Constants!$B$27,0))</f>
        <v/>
      </c>
      <c r="BR258" s="138" t="str">
        <f aca="false">IF($BZ258&lt;&gt;Constants!$B$8,"",IF($AT258,($AI258-Constants!$B$29)*Constants!$B$28,0))</f>
        <v/>
      </c>
      <c r="BS258" s="138" t="str">
        <f aca="false">IF($BZ258&lt;&gt;Constants!$B$8,"",IF($AS258,0,Constants!$B$15)+IF($AR258,0,Constants!$B$16)+IF($AH258,0,Constants!$B$17))</f>
        <v/>
      </c>
      <c r="BT258" s="139" t="str">
        <f aca="false">IF($BZ258&lt;&gt;Constants!$B$8,"",Constants!$B$20+SUM($BO258:$BS258))</f>
        <v/>
      </c>
      <c r="BU258" s="138" t="str">
        <f aca="false">IF($BZ258&lt;&gt;Constants!$B$8,"",$BO258)</f>
        <v/>
      </c>
      <c r="BV258" s="138" t="str">
        <f aca="false">IF($BZ258&lt;&gt;Constants!$B$8,"",$BP258)</f>
        <v/>
      </c>
      <c r="BW258" s="138" t="str">
        <f aca="false">IF($BZ258&lt;&gt;Constants!$B$8,"",IF($AT258,$AV258,""))</f>
        <v/>
      </c>
      <c r="BX258" s="140" t="str">
        <f aca="false">IF($BZ258&lt;&gt;Constants!$B$8,"",$AI258)</f>
        <v/>
      </c>
      <c r="BY258" s="135" t="str">
        <f aca="false">IF(ISBLANK($C258),"",IF(ISBLANK($D$7),$BY$5,IF(NOT(ISNUMBER($D$7)),$BY$6,"")))</f>
        <v/>
      </c>
      <c r="BZ258" s="135" t="str">
        <f aca="false">IF(ISBLANK($C258),"",IF($BA258,Constants!$B$11,IF(COUNTA($E258:$AA258)=0,Constants!$B$10,IF(NOT($AG258),Constants!$B$9,IF(OR($BY258&lt;&gt;"",$BB258,$BN258),Constants!$B$12,Constants!$B$8)))))</f>
        <v/>
      </c>
      <c r="CA258" s="135" t="str">
        <f aca="false">IF(ISBLANK($C258),"",IF($BZ258&lt;&gt;Constants!$B$8,$BZ258,Constants!$B$13))</f>
        <v/>
      </c>
      <c r="CB258" s="138" t="str">
        <f aca="false">IF($BZ258&lt;&gt;Constants!$B$8,"",IF($BM258="-&gt;",$BT258,$BH258))</f>
        <v/>
      </c>
      <c r="CC258" s="138" t="str">
        <f aca="false">IF($BZ258&lt;&gt;Constants!$B$8,"",IF($AF258,0,Constants!$B$18))</f>
        <v/>
      </c>
      <c r="CD258" s="138" t="str">
        <f aca="false">IF($BZ258&lt;&gt;Constants!$B$8,"",((Constants!$B$31-$AZ258)-Constants!$B$31)/Constants!$B$32)</f>
        <v/>
      </c>
      <c r="CE258" s="138" t="str">
        <f aca="false">IF(ISBLANK($C258),"",IF($BZ258&lt;&gt;Constants!$B$8,$BZ258,SUM($CB258:$CD258)))</f>
        <v/>
      </c>
      <c r="CF258" s="135" t="str">
        <f aca="false">IF(ISBLANK($C258),"",IF($BZ258&lt;&gt;Constants!$B$8,$BZ258,RANK($CE258,$CE$9:$CE$508,1)))</f>
        <v/>
      </c>
      <c r="CG258" s="138" t="str">
        <f aca="false">IF($BZ258&lt;&gt;Constants!$B$8,"",IF($BM258="-&gt;",$BU258,$BI258))</f>
        <v/>
      </c>
      <c r="CH258" s="135" t="str">
        <f aca="false">IF(ISBLANK($C258),"",IF($BZ258&lt;&gt;Constants!$B$8,$BZ258,IF(ISNUMBER($CG258),RANK($CG258,$CG$9:$CG$508,1),COUNT($CG$9:$CG$508)+1)))</f>
        <v/>
      </c>
      <c r="CI258" s="138" t="str">
        <f aca="false">IF($BZ258&lt;&gt;Constants!$B$8,"",IF($BM258="-&gt;",$BV258,$BJ258))</f>
        <v/>
      </c>
      <c r="CJ258" s="135" t="str">
        <f aca="false">IF(ISBLANK($C258),"",IF($BZ258&lt;&gt;Constants!$B$8,$BZ258,IF(ISNUMBER($CI258),RANK($CI258,$CI$9:$CI$508,1),COUNT($CI$9:$CI$508)+1)))</f>
        <v/>
      </c>
      <c r="CK258" s="138" t="str">
        <f aca="false">IF($BZ258&lt;&gt;Constants!$B$8,"",IF($BM258="-&gt;",$BW258,$BK258))</f>
        <v/>
      </c>
      <c r="CL258" s="135" t="str">
        <f aca="false">IF(ISBLANK($C258),"",IF($BZ258&lt;&gt;Constants!$B$8,$BZ258,IF(ISNUMBER($CK258),RANK($CK258,$CK$9:$CK$508,1),COUNT($CK$9:$CK$508)+1)))</f>
        <v/>
      </c>
      <c r="CM258" s="138" t="str">
        <f aca="false">IF($BZ258&lt;&gt;Constants!$B$8,"",IF(AND(NOT($AL258),NOT($AT258),$AJ258,$AK258,$AR258,$AS258),"",IF($BM258="-&gt;",$BX258,$BL258)))</f>
        <v/>
      </c>
      <c r="CN258" s="135" t="str">
        <f aca="false">IF(ISBLANK($C258),"",IF($BZ258&lt;&gt;Constants!$B$8,$BZ258,IF(ISNUMBER($CM258),RANK($CM258,$CM$9:$CM$508,1),COUNT($CM$9:$CM$508)+1)))</f>
        <v/>
      </c>
      <c r="CO258" s="135" t="str">
        <f aca="false">IF(ISBLANK($C258),"",IF($BZ258&lt;&gt;Constants!$B$8,$BZ258,COUNTIFS($CF$9:$CF$508,"&lt;"&amp;$CF258)+COUNTIFS($CF$9:$CF$508,$CF258,$CH$9:$CH$508,"&lt;"&amp;$CH258)+COUNTIFS($CF$9:$CF$508,$CF258,$CH$9:$CH$508,$CH258,$CJ$9:$CJ$508,"&lt;"&amp;$CJ258)+COUNTIFS($CF$9:$CF$508,$CF258,$CH$9:$CH$508,$CH258,$CJ$9:$CJ$508,$CJ258,$CL$9:$CL$508,"&lt;"&amp;$CL258)+COUNTIFS($CF$9:$CF$508,$CF258,$CH$9:$CH$508,$CH258,$CJ$9:$CJ$508,$CJ258,$CL$9:$CL$508,$CL258,$CN$9:$CN$508,"&lt;"&amp;$CN258)+1))</f>
        <v/>
      </c>
      <c r="CP258" s="135" t="str">
        <f aca="false">IF(ISBLANK($C258),"",IF($BZ258&lt;&gt;Constants!$B$8,$BZ258,$CF258-$CO258))</f>
        <v/>
      </c>
      <c r="CQ258" s="141"/>
      <c r="CR258" s="142"/>
      <c r="CS258" s="143" t="str">
        <f aca="false">IF(ISBLANK($C258),"",IF($BZ258=Constants!$B$12,$BY258,""))</f>
        <v/>
      </c>
      <c r="CT258" s="142" t="str">
        <f aca="false">IF(ISBLANK($C258),"",IF($BZ258&lt;&gt;Constants!$B$8,"",IF($BM258="-&gt;",2,1)))</f>
        <v/>
      </c>
      <c r="CU258" s="144" t="str">
        <f aca="false">IF(ISBLANK($C258),"",IF($BZ258&lt;&gt;Constants!$B$8,"",IF($BM258="-&gt;",$BO258,$BC258)))</f>
        <v/>
      </c>
      <c r="CV258" s="144" t="str">
        <f aca="false">IF(ISBLANK($C258),"",IF($BZ258&lt;&gt;Constants!$B$8,"",IF($BM258="-&gt;",$BP258,$BD258)))</f>
        <v/>
      </c>
      <c r="CW258" s="144" t="str">
        <f aca="false">IF(ISBLANK($C258),"",IF($BZ258&lt;&gt;Constants!$B$8,"",IF($BM258="-&gt;",$BQ258+$BR258,$BE258+$BF258)+$CD258))</f>
        <v/>
      </c>
      <c r="CX258" s="144" t="str">
        <f aca="false">IF(ISBLANK($C258),"",IF($BZ258&lt;&gt;Constants!$B$8,"",IF($BM258="-&gt;",$BS258,$BG258)+$CC258))</f>
        <v/>
      </c>
      <c r="CY258" s="145" t="str">
        <f aca="false">IF(ISBLANK($C258),"",IF($BZ258&lt;&gt;Constants!$B$8,$BZ258,$CE258))</f>
        <v/>
      </c>
      <c r="CZ258" s="146" t="str">
        <f aca="false">IF(ISBLANK($C258),"",$CA258)</f>
        <v/>
      </c>
      <c r="DA258" s="147" t="str">
        <f aca="false">IF(ISBLANK($C258),"",$CP258)</f>
        <v/>
      </c>
      <c r="DB258" s="147" t="str">
        <f aca="false">IF(ISBLANK($C258),"",$CO258)</f>
        <v/>
      </c>
      <c r="DC258" s="148" t="str">
        <f aca="false">IF(ISBLANK($C258),"",IFERROR(_xlfn.SWITCH($DB258,Constants!$B$11,COUNTA($C$9:$C$508)+2,Constants!$B$10,COUNTA($C$9:$C$508)+1,Constants!$B$9,COUNTA($C$9:$C$508)),$DB258))</f>
        <v/>
      </c>
      <c r="DD258" s="9"/>
      <c r="DE258" s="149" t="n">
        <f aca="false">IF(OR(ISNUMBER($DB258),$DB258=Constants!$B$11,$DB258=Constants!$B$9,$DB258=Constants!$B$10),1,0)</f>
        <v>0</v>
      </c>
      <c r="DF258" s="149" t="n">
        <v>250</v>
      </c>
      <c r="DG258" s="149" t="str">
        <f aca="false">IF(ISBLANK($C258),"",IF(ISNUMBER($DC258),$DC258+ROW($B258)/1000,""))</f>
        <v/>
      </c>
      <c r="DH258" s="149" t="str">
        <f aca="false">IF(ISNUMBER($DG258),RANK($DG258,$DG$9:$DG$508,1),"")</f>
        <v/>
      </c>
      <c r="DI258" s="149" t="str">
        <f aca="false">IF(ISBLANK($C258),"",$B258)</f>
        <v/>
      </c>
      <c r="DJ258" s="149" t="str">
        <f aca="false">IF(ISBLANK($C258),"",$C258)</f>
        <v/>
      </c>
      <c r="DK258" s="149" t="str">
        <f aca="false">IF(ISBLANK($C258),"",$D258)</f>
        <v/>
      </c>
      <c r="DL258" s="150" t="str">
        <f aca="false">$CZ258</f>
        <v/>
      </c>
      <c r="DM258" s="151" t="str">
        <f aca="false">$CY258</f>
        <v/>
      </c>
      <c r="DN258" s="149" t="str">
        <f aca="false">IF(ISBLANK($C258),"",$DB258)</f>
        <v/>
      </c>
      <c r="DO258" s="152" t="str">
        <f aca="false">IF($DF258&gt;$DE$8,"",VLOOKUP($DF258,$DH$9:$DN$508,7,FALSE()))</f>
        <v/>
      </c>
      <c r="DP258" s="153" t="str">
        <f aca="false">IF($DF258&gt;$DE$8,"",VLOOKUP($DF258,$DH$9:$DN$508,2,FALSE()))</f>
        <v/>
      </c>
      <c r="DQ258" s="153" t="str">
        <f aca="false">IF($DF258&gt;$DE$8,"",VLOOKUP($DF258,$DH$9:$DN$508,3,FALSE()))</f>
        <v/>
      </c>
      <c r="DR258" s="153" t="str">
        <f aca="false">IF($DF258&gt;$DE$8,"",VLOOKUP($DF258,$DH$9:$DN$508,4,FALSE()))</f>
        <v/>
      </c>
      <c r="DS258" s="153" t="str">
        <f aca="false">IF($DF258&gt;$DE$8,"",VLOOKUP($DF258,$DH$9:$DN$508,5,FALSE()))</f>
        <v/>
      </c>
      <c r="DT258" s="154" t="str">
        <f aca="false">IF($DF258&gt;$DE$8,"",VLOOKUP($DF258,$DH$9:$DN$508,6,FALSE()))</f>
        <v/>
      </c>
      <c r="DU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IF(ISBLANK($C259),"",IF(E259=Constants!$B$3,TRUE(),IF(E259=Constants!$B$4,FALSE(),TRUE())))</f>
        <v/>
      </c>
      <c r="AG259" s="135" t="str">
        <f aca="false">IF(ISBLANK($C259),"",IF(F259=Constants!$B$3,TRUE(),IF(F259=Constants!$B$4,FALSE(),TRUE())))</f>
        <v/>
      </c>
      <c r="AH259" s="135" t="str">
        <f aca="false">IF(ISBLANK($C259),"",IF(G259=Constants!$B$3,TRUE(),IF(G259=Constants!$B$4,FALSE(),TRUE())))</f>
        <v/>
      </c>
      <c r="AI259" s="135" t="str">
        <f aca="false">IF(ISBLANK($C259),"",IF(AND(ISNUMBER(H259),H259&gt;=0),H259,Constants!$B$29))</f>
        <v/>
      </c>
      <c r="AJ259" s="135" t="str">
        <f aca="false">IF(ISBLANK($C259),"",IF(I259=Constants!$B$3,TRUE(),IF(I259=Constants!$B$4,FALSE(),TRUE())))</f>
        <v/>
      </c>
      <c r="AK259" s="135" t="str">
        <f aca="false">IF(ISBLANK($C259),"",IF(J259=Constants!$B$3,TRUE(),IF(J259=Constants!$B$4,FALSE(),TRUE())))</f>
        <v/>
      </c>
      <c r="AL259" s="135" t="str">
        <f aca="false">IF(ISBLANK($C259),"",IF(K259=Constants!$B$5,TRUE(),IF(K259=Constants!$B$6,FALSE(),COUNTA(L259:P259)&gt;0)))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IF(ISBLANK($C259),"",IF(N259=Constants!$B$3,TRUE(),IF(N259=Constants!$B$4,FALSE(),TRUE())))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IF(ISBLANK($C259),"",IF(P259=Constants!$B$3,TRUE(),IF(P259=Constants!$B$4,FALSE(),FALSE())))</f>
        <v/>
      </c>
      <c r="AR259" s="135" t="str">
        <f aca="false">IF(ISBLANK($C259),"",IF(Q259=Constants!$B$3,TRUE(),IF(Q259=Constants!$B$4,FALSE(),TRUE())))</f>
        <v/>
      </c>
      <c r="AS259" s="135" t="str">
        <f aca="false">IF(ISBLANK($C259),"",IF(R259=Constants!$B$3,TRUE(),IF(R259=Constants!$B$4,FALSE(),TRUE())))</f>
        <v/>
      </c>
      <c r="AT259" s="135" t="str">
        <f aca="false">IF(ISBLANK($C259),"",IF(S259=Constants!$B$5,TRUE(),IF(S259=Constants!$B$6,FALSE(),COUNTA(T259:X259)&gt;0)))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IF(ISBLANK($C259),"",IF(V259=Constants!$B$3,TRUE(),IF(V259=Constants!$B$4,FALSE(),TRUE())))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IF(ISBLANK($C259),"",IF(X259=Constants!$B$3,TRUE(),IF(X259=Constants!$B$4,FALSE(),FALSE())))</f>
        <v/>
      </c>
      <c r="AZ259" s="135" t="str">
        <f aca="false">IF(ISBLANK($C259),"",MIN(Constants!$B$31,MAX(0,IF(ISNUMBER(Y259),Y259*60,0)+IF(ISNUMBER(Z259),Z259,0))))</f>
        <v/>
      </c>
      <c r="BA259" s="135" t="str">
        <f aca="false">IF(ISBLANK($C259),"",IF(AA259=Constants!$B$3,TRUE(),IF(AA259=Constants!$B$4,FALSE(),FALSE())))</f>
        <v/>
      </c>
      <c r="BB259" s="134" t="str">
        <f aca="false">IF(ISBLANK($C259),"",AND($AL259,OR($AM259="",$AN259="",AND($AO259,$AP259=""))))</f>
        <v/>
      </c>
      <c r="BC259" s="137" t="str">
        <f aca="false">IF($BZ259&lt;&gt;Constants!$B$8,"",IF($AL259,Constants!$B$21*$AN259+Constants!$B$22*IF($AO259,$AP259,Constants!$B$23),Constants!$B$24))</f>
        <v/>
      </c>
      <c r="BD259" s="138" t="str">
        <f aca="false">IF($BZ259&lt;&gt;Constants!$B$8,"",Constants!$B$25*ABS($AD$9-IF($AL259,$AM259,0)))</f>
        <v/>
      </c>
      <c r="BE259" s="138" t="str">
        <f aca="false">IF($BZ259&lt;&gt;Constants!$B$8,"",IF(AND($AL259,$AQ259,$AO259),Constants!$B$27,0))</f>
        <v/>
      </c>
      <c r="BF259" s="138" t="str">
        <f aca="false">IF($BZ259&lt;&gt;Constants!$B$8,"",IF($AL259,($AI259-Constants!$B$29)*Constants!$B$28,0))</f>
        <v/>
      </c>
      <c r="BG259" s="138" t="str">
        <f aca="false">IF($BZ259&lt;&gt;Constants!$B$8,"",IF($AK259,0,Constants!$B$15)+IF($AJ259,0,Constants!$B$16)+IF($AH259,0,Constants!$B$17))</f>
        <v/>
      </c>
      <c r="BH259" s="139" t="str">
        <f aca="false">IF($BZ259&lt;&gt;Constants!$B$8,"",Constants!$B$20+SUM($BC259:$BG259))</f>
        <v/>
      </c>
      <c r="BI259" s="138" t="str">
        <f aca="false">IF($BZ259&lt;&gt;Constants!$B$8,"",$BC259)</f>
        <v/>
      </c>
      <c r="BJ259" s="138" t="str">
        <f aca="false">IF($BZ259&lt;&gt;Constants!$B$8,"",$BD259)</f>
        <v/>
      </c>
      <c r="BK259" s="138" t="str">
        <f aca="false">IF($BZ259&lt;&gt;Constants!$B$8,"",IF($AL259,$AN259,""))</f>
        <v/>
      </c>
      <c r="BL259" s="140" t="str">
        <f aca="false">IF($BZ259&lt;&gt;Constants!$B$8,"",$AI259)</f>
        <v/>
      </c>
      <c r="BM259" s="135" t="str">
        <f aca="false">IF($BZ259&lt;&gt;Constants!$B$8,"",IF(OR($BT259&lt;$BH259,AND($BT259=$BH259,OR($BU259&lt;$BI259,AND($BU259=$BI259,OR($BV259&lt;$BJ259,AND($BV259=$BJ259,OR(AND(ISNUMBER($BW259),OR(NOT(ISNUMBER($BK259)),$BW259&lt;$BK259)),AND(OR(AND($BW259="",$BK259=""),AND(ISNUMBER($BW259),ISNUMBER($BK259),$BW259=$BK259)),$BX259&lt;$BL259)))))))),"-&gt;","&lt;-"))</f>
        <v/>
      </c>
      <c r="BN259" s="134" t="str">
        <f aca="false">IF(ISBLANK($C259),"",AND($AT259,OR($AU259="",$AV259="",AND($AW259,$AX259=""))))</f>
        <v/>
      </c>
      <c r="BO259" s="137" t="str">
        <f aca="false">IF($BZ259&lt;&gt;Constants!$B$8,"",IF($AT259,Constants!$B$21*$AV259+Constants!$B$22*IF($AW259,$AX259,Constants!$B$23),Constants!$B$24))</f>
        <v/>
      </c>
      <c r="BP259" s="138" t="str">
        <f aca="false">IF($BZ259&lt;&gt;Constants!$B$8,"",Constants!$B$25*ABS($AD$9-IF($AT259,$AU259,0)))</f>
        <v/>
      </c>
      <c r="BQ259" s="138" t="str">
        <f aca="false">IF($BZ259&lt;&gt;Constants!$B$8,"",IF(AND($AT259,$AY259,$AW259),Constants!$B$27,0))</f>
        <v/>
      </c>
      <c r="BR259" s="138" t="str">
        <f aca="false">IF($BZ259&lt;&gt;Constants!$B$8,"",IF($AT259,($AI259-Constants!$B$29)*Constants!$B$28,0))</f>
        <v/>
      </c>
      <c r="BS259" s="138" t="str">
        <f aca="false">IF($BZ259&lt;&gt;Constants!$B$8,"",IF($AS259,0,Constants!$B$15)+IF($AR259,0,Constants!$B$16)+IF($AH259,0,Constants!$B$17))</f>
        <v/>
      </c>
      <c r="BT259" s="139" t="str">
        <f aca="false">IF($BZ259&lt;&gt;Constants!$B$8,"",Constants!$B$20+SUM($BO259:$BS259))</f>
        <v/>
      </c>
      <c r="BU259" s="138" t="str">
        <f aca="false">IF($BZ259&lt;&gt;Constants!$B$8,"",$BO259)</f>
        <v/>
      </c>
      <c r="BV259" s="138" t="str">
        <f aca="false">IF($BZ259&lt;&gt;Constants!$B$8,"",$BP259)</f>
        <v/>
      </c>
      <c r="BW259" s="138" t="str">
        <f aca="false">IF($BZ259&lt;&gt;Constants!$B$8,"",IF($AT259,$AV259,""))</f>
        <v/>
      </c>
      <c r="BX259" s="140" t="str">
        <f aca="false">IF($BZ259&lt;&gt;Constants!$B$8,"",$AI259)</f>
        <v/>
      </c>
      <c r="BY259" s="135" t="str">
        <f aca="false">IF(ISBLANK($C259),"",IF(ISBLANK($D$7),$BY$5,IF(NOT(ISNUMBER($D$7)),$BY$6,"")))</f>
        <v/>
      </c>
      <c r="BZ259" s="135" t="str">
        <f aca="false">IF(ISBLANK($C259),"",IF($BA259,Constants!$B$11,IF(COUNTA($E259:$AA259)=0,Constants!$B$10,IF(NOT($AG259),Constants!$B$9,IF(OR($BY259&lt;&gt;"",$BB259,$BN259),Constants!$B$12,Constants!$B$8)))))</f>
        <v/>
      </c>
      <c r="CA259" s="135" t="str">
        <f aca="false">IF(ISBLANK($C259),"",IF($BZ259&lt;&gt;Constants!$B$8,$BZ259,Constants!$B$13))</f>
        <v/>
      </c>
      <c r="CB259" s="138" t="str">
        <f aca="false">IF($BZ259&lt;&gt;Constants!$B$8,"",IF($BM259="-&gt;",$BT259,$BH259))</f>
        <v/>
      </c>
      <c r="CC259" s="138" t="str">
        <f aca="false">IF($BZ259&lt;&gt;Constants!$B$8,"",IF($AF259,0,Constants!$B$18))</f>
        <v/>
      </c>
      <c r="CD259" s="138" t="str">
        <f aca="false">IF($BZ259&lt;&gt;Constants!$B$8,"",((Constants!$B$31-$AZ259)-Constants!$B$31)/Constants!$B$32)</f>
        <v/>
      </c>
      <c r="CE259" s="138" t="str">
        <f aca="false">IF(ISBLANK($C259),"",IF($BZ259&lt;&gt;Constants!$B$8,$BZ259,SUM($CB259:$CD259)))</f>
        <v/>
      </c>
      <c r="CF259" s="135" t="str">
        <f aca="false">IF(ISBLANK($C259),"",IF($BZ259&lt;&gt;Constants!$B$8,$BZ259,RANK($CE259,$CE$9:$CE$508,1)))</f>
        <v/>
      </c>
      <c r="CG259" s="138" t="str">
        <f aca="false">IF($BZ259&lt;&gt;Constants!$B$8,"",IF($BM259="-&gt;",$BU259,$BI259))</f>
        <v/>
      </c>
      <c r="CH259" s="135" t="str">
        <f aca="false">IF(ISBLANK($C259),"",IF($BZ259&lt;&gt;Constants!$B$8,$BZ259,IF(ISNUMBER($CG259),RANK($CG259,$CG$9:$CG$508,1),COUNT($CG$9:$CG$508)+1)))</f>
        <v/>
      </c>
      <c r="CI259" s="138" t="str">
        <f aca="false">IF($BZ259&lt;&gt;Constants!$B$8,"",IF($BM259="-&gt;",$BV259,$BJ259))</f>
        <v/>
      </c>
      <c r="CJ259" s="135" t="str">
        <f aca="false">IF(ISBLANK($C259),"",IF($BZ259&lt;&gt;Constants!$B$8,$BZ259,IF(ISNUMBER($CI259),RANK($CI259,$CI$9:$CI$508,1),COUNT($CI$9:$CI$508)+1)))</f>
        <v/>
      </c>
      <c r="CK259" s="138" t="str">
        <f aca="false">IF($BZ259&lt;&gt;Constants!$B$8,"",IF($BM259="-&gt;",$BW259,$BK259))</f>
        <v/>
      </c>
      <c r="CL259" s="135" t="str">
        <f aca="false">IF(ISBLANK($C259),"",IF($BZ259&lt;&gt;Constants!$B$8,$BZ259,IF(ISNUMBER($CK259),RANK($CK259,$CK$9:$CK$508,1),COUNT($CK$9:$CK$508)+1)))</f>
        <v/>
      </c>
      <c r="CM259" s="138" t="str">
        <f aca="false">IF($BZ259&lt;&gt;Constants!$B$8,"",IF(AND(NOT($AL259),NOT($AT259),$AJ259,$AK259,$AR259,$AS259),"",IF($BM259="-&gt;",$BX259,$BL259)))</f>
        <v/>
      </c>
      <c r="CN259" s="135" t="str">
        <f aca="false">IF(ISBLANK($C259),"",IF($BZ259&lt;&gt;Constants!$B$8,$BZ259,IF(ISNUMBER($CM259),RANK($CM259,$CM$9:$CM$508,1),COUNT($CM$9:$CM$508)+1)))</f>
        <v/>
      </c>
      <c r="CO259" s="135" t="str">
        <f aca="false">IF(ISBLANK($C259),"",IF($BZ259&lt;&gt;Constants!$B$8,$BZ259,COUNTIFS($CF$9:$CF$508,"&lt;"&amp;$CF259)+COUNTIFS($CF$9:$CF$508,$CF259,$CH$9:$CH$508,"&lt;"&amp;$CH259)+COUNTIFS($CF$9:$CF$508,$CF259,$CH$9:$CH$508,$CH259,$CJ$9:$CJ$508,"&lt;"&amp;$CJ259)+COUNTIFS($CF$9:$CF$508,$CF259,$CH$9:$CH$508,$CH259,$CJ$9:$CJ$508,$CJ259,$CL$9:$CL$508,"&lt;"&amp;$CL259)+COUNTIFS($CF$9:$CF$508,$CF259,$CH$9:$CH$508,$CH259,$CJ$9:$CJ$508,$CJ259,$CL$9:$CL$508,$CL259,$CN$9:$CN$508,"&lt;"&amp;$CN259)+1))</f>
        <v/>
      </c>
      <c r="CP259" s="135" t="str">
        <f aca="false">IF(ISBLANK($C259),"",IF($BZ259&lt;&gt;Constants!$B$8,$BZ259,$CF259-$CO259))</f>
        <v/>
      </c>
      <c r="CQ259" s="141"/>
      <c r="CR259" s="142"/>
      <c r="CS259" s="143" t="str">
        <f aca="false">IF(ISBLANK($C259),"",IF($BZ259=Constants!$B$12,$BY259,""))</f>
        <v/>
      </c>
      <c r="CT259" s="142" t="str">
        <f aca="false">IF(ISBLANK($C259),"",IF($BZ259&lt;&gt;Constants!$B$8,"",IF($BM259="-&gt;",2,1)))</f>
        <v/>
      </c>
      <c r="CU259" s="144" t="str">
        <f aca="false">IF(ISBLANK($C259),"",IF($BZ259&lt;&gt;Constants!$B$8,"",IF($BM259="-&gt;",$BO259,$BC259)))</f>
        <v/>
      </c>
      <c r="CV259" s="144" t="str">
        <f aca="false">IF(ISBLANK($C259),"",IF($BZ259&lt;&gt;Constants!$B$8,"",IF($BM259="-&gt;",$BP259,$BD259)))</f>
        <v/>
      </c>
      <c r="CW259" s="144" t="str">
        <f aca="false">IF(ISBLANK($C259),"",IF($BZ259&lt;&gt;Constants!$B$8,"",IF($BM259="-&gt;",$BQ259+$BR259,$BE259+$BF259)+$CD259))</f>
        <v/>
      </c>
      <c r="CX259" s="144" t="str">
        <f aca="false">IF(ISBLANK($C259),"",IF($BZ259&lt;&gt;Constants!$B$8,"",IF($BM259="-&gt;",$BS259,$BG259)+$CC259))</f>
        <v/>
      </c>
      <c r="CY259" s="145" t="str">
        <f aca="false">IF(ISBLANK($C259),"",IF($BZ259&lt;&gt;Constants!$B$8,$BZ259,$CE259))</f>
        <v/>
      </c>
      <c r="CZ259" s="146" t="str">
        <f aca="false">IF(ISBLANK($C259),"",$CA259)</f>
        <v/>
      </c>
      <c r="DA259" s="147" t="str">
        <f aca="false">IF(ISBLANK($C259),"",$CP259)</f>
        <v/>
      </c>
      <c r="DB259" s="147" t="str">
        <f aca="false">IF(ISBLANK($C259),"",$CO259)</f>
        <v/>
      </c>
      <c r="DC259" s="148" t="str">
        <f aca="false">IF(ISBLANK($C259),"",IFERROR(_xlfn.SWITCH($DB259,Constants!$B$11,COUNTA($C$9:$C$508)+2,Constants!$B$10,COUNTA($C$9:$C$508)+1,Constants!$B$9,COUNTA($C$9:$C$508)),$DB259))</f>
        <v/>
      </c>
      <c r="DD259" s="9"/>
      <c r="DE259" s="149" t="n">
        <f aca="false">IF(OR(ISNUMBER($DB259),$DB259=Constants!$B$11,$DB259=Constants!$B$9,$DB259=Constants!$B$10),1,0)</f>
        <v>0</v>
      </c>
      <c r="DF259" s="149" t="n">
        <v>251</v>
      </c>
      <c r="DG259" s="149" t="str">
        <f aca="false">IF(ISBLANK($C259),"",IF(ISNUMBER($DC259),$DC259+ROW($B259)/1000,""))</f>
        <v/>
      </c>
      <c r="DH259" s="149" t="str">
        <f aca="false">IF(ISNUMBER($DG259),RANK($DG259,$DG$9:$DG$508,1),"")</f>
        <v/>
      </c>
      <c r="DI259" s="149" t="str">
        <f aca="false">IF(ISBLANK($C259),"",$B259)</f>
        <v/>
      </c>
      <c r="DJ259" s="149" t="str">
        <f aca="false">IF(ISBLANK($C259),"",$C259)</f>
        <v/>
      </c>
      <c r="DK259" s="149" t="str">
        <f aca="false">IF(ISBLANK($C259),"",$D259)</f>
        <v/>
      </c>
      <c r="DL259" s="150" t="str">
        <f aca="false">$CZ259</f>
        <v/>
      </c>
      <c r="DM259" s="151" t="str">
        <f aca="false">$CY259</f>
        <v/>
      </c>
      <c r="DN259" s="149" t="str">
        <f aca="false">IF(ISBLANK($C259),"",$DB259)</f>
        <v/>
      </c>
      <c r="DO259" s="152" t="str">
        <f aca="false">IF($DF259&gt;$DE$8,"",VLOOKUP($DF259,$DH$9:$DN$508,7,FALSE()))</f>
        <v/>
      </c>
      <c r="DP259" s="153" t="str">
        <f aca="false">IF($DF259&gt;$DE$8,"",VLOOKUP($DF259,$DH$9:$DN$508,2,FALSE()))</f>
        <v/>
      </c>
      <c r="DQ259" s="153" t="str">
        <f aca="false">IF($DF259&gt;$DE$8,"",VLOOKUP($DF259,$DH$9:$DN$508,3,FALSE()))</f>
        <v/>
      </c>
      <c r="DR259" s="153" t="str">
        <f aca="false">IF($DF259&gt;$DE$8,"",VLOOKUP($DF259,$DH$9:$DN$508,4,FALSE()))</f>
        <v/>
      </c>
      <c r="DS259" s="153" t="str">
        <f aca="false">IF($DF259&gt;$DE$8,"",VLOOKUP($DF259,$DH$9:$DN$508,5,FALSE()))</f>
        <v/>
      </c>
      <c r="DT259" s="154" t="str">
        <f aca="false">IF($DF259&gt;$DE$8,"",VLOOKUP($DF259,$DH$9:$DN$508,6,FALSE()))</f>
        <v/>
      </c>
      <c r="DU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IF(ISBLANK($C260),"",IF(E260=Constants!$B$3,TRUE(),IF(E260=Constants!$B$4,FALSE(),TRUE())))</f>
        <v/>
      </c>
      <c r="AG260" s="135" t="str">
        <f aca="false">IF(ISBLANK($C260),"",IF(F260=Constants!$B$3,TRUE(),IF(F260=Constants!$B$4,FALSE(),TRUE())))</f>
        <v/>
      </c>
      <c r="AH260" s="135" t="str">
        <f aca="false">IF(ISBLANK($C260),"",IF(G260=Constants!$B$3,TRUE(),IF(G260=Constants!$B$4,FALSE(),TRUE())))</f>
        <v/>
      </c>
      <c r="AI260" s="135" t="str">
        <f aca="false">IF(ISBLANK($C260),"",IF(AND(ISNUMBER(H260),H260&gt;=0),H260,Constants!$B$29))</f>
        <v/>
      </c>
      <c r="AJ260" s="135" t="str">
        <f aca="false">IF(ISBLANK($C260),"",IF(I260=Constants!$B$3,TRUE(),IF(I260=Constants!$B$4,FALSE(),TRUE())))</f>
        <v/>
      </c>
      <c r="AK260" s="135" t="str">
        <f aca="false">IF(ISBLANK($C260),"",IF(J260=Constants!$B$3,TRUE(),IF(J260=Constants!$B$4,FALSE(),TRUE())))</f>
        <v/>
      </c>
      <c r="AL260" s="135" t="str">
        <f aca="false">IF(ISBLANK($C260),"",IF(K260=Constants!$B$5,TRUE(),IF(K260=Constants!$B$6,FALSE(),COUNTA(L260:P260)&gt;0)))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IF(ISBLANK($C260),"",IF(N260=Constants!$B$3,TRUE(),IF(N260=Constants!$B$4,FALSE(),TRUE())))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IF(ISBLANK($C260),"",IF(P260=Constants!$B$3,TRUE(),IF(P260=Constants!$B$4,FALSE(),FALSE())))</f>
        <v/>
      </c>
      <c r="AR260" s="135" t="str">
        <f aca="false">IF(ISBLANK($C260),"",IF(Q260=Constants!$B$3,TRUE(),IF(Q260=Constants!$B$4,FALSE(),TRUE())))</f>
        <v/>
      </c>
      <c r="AS260" s="135" t="str">
        <f aca="false">IF(ISBLANK($C260),"",IF(R260=Constants!$B$3,TRUE(),IF(R260=Constants!$B$4,FALSE(),TRUE())))</f>
        <v/>
      </c>
      <c r="AT260" s="135" t="str">
        <f aca="false">IF(ISBLANK($C260),"",IF(S260=Constants!$B$5,TRUE(),IF(S260=Constants!$B$6,FALSE(),COUNTA(T260:X260)&gt;0)))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IF(ISBLANK($C260),"",IF(V260=Constants!$B$3,TRUE(),IF(V260=Constants!$B$4,FALSE(),TRUE())))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IF(ISBLANK($C260),"",IF(X260=Constants!$B$3,TRUE(),IF(X260=Constants!$B$4,FALSE(),FALSE())))</f>
        <v/>
      </c>
      <c r="AZ260" s="135" t="str">
        <f aca="false">IF(ISBLANK($C260),"",MIN(Constants!$B$31,MAX(0,IF(ISNUMBER(Y260),Y260*60,0)+IF(ISNUMBER(Z260),Z260,0))))</f>
        <v/>
      </c>
      <c r="BA260" s="135" t="str">
        <f aca="false">IF(ISBLANK($C260),"",IF(AA260=Constants!$B$3,TRUE(),IF(AA260=Constants!$B$4,FALSE(),FALSE())))</f>
        <v/>
      </c>
      <c r="BB260" s="134" t="str">
        <f aca="false">IF(ISBLANK($C260),"",AND($AL260,OR($AM260="",$AN260="",AND($AO260,$AP260=""))))</f>
        <v/>
      </c>
      <c r="BC260" s="137" t="str">
        <f aca="false">IF($BZ260&lt;&gt;Constants!$B$8,"",IF($AL260,Constants!$B$21*$AN260+Constants!$B$22*IF($AO260,$AP260,Constants!$B$23),Constants!$B$24))</f>
        <v/>
      </c>
      <c r="BD260" s="138" t="str">
        <f aca="false">IF($BZ260&lt;&gt;Constants!$B$8,"",Constants!$B$25*ABS($AD$9-IF($AL260,$AM260,0)))</f>
        <v/>
      </c>
      <c r="BE260" s="138" t="str">
        <f aca="false">IF($BZ260&lt;&gt;Constants!$B$8,"",IF(AND($AL260,$AQ260,$AO260),Constants!$B$27,0))</f>
        <v/>
      </c>
      <c r="BF260" s="138" t="str">
        <f aca="false">IF($BZ260&lt;&gt;Constants!$B$8,"",IF($AL260,($AI260-Constants!$B$29)*Constants!$B$28,0))</f>
        <v/>
      </c>
      <c r="BG260" s="138" t="str">
        <f aca="false">IF($BZ260&lt;&gt;Constants!$B$8,"",IF($AK260,0,Constants!$B$15)+IF($AJ260,0,Constants!$B$16)+IF($AH260,0,Constants!$B$17))</f>
        <v/>
      </c>
      <c r="BH260" s="139" t="str">
        <f aca="false">IF($BZ260&lt;&gt;Constants!$B$8,"",Constants!$B$20+SUM($BC260:$BG260))</f>
        <v/>
      </c>
      <c r="BI260" s="138" t="str">
        <f aca="false">IF($BZ260&lt;&gt;Constants!$B$8,"",$BC260)</f>
        <v/>
      </c>
      <c r="BJ260" s="138" t="str">
        <f aca="false">IF($BZ260&lt;&gt;Constants!$B$8,"",$BD260)</f>
        <v/>
      </c>
      <c r="BK260" s="138" t="str">
        <f aca="false">IF($BZ260&lt;&gt;Constants!$B$8,"",IF($AL260,$AN260,""))</f>
        <v/>
      </c>
      <c r="BL260" s="140" t="str">
        <f aca="false">IF($BZ260&lt;&gt;Constants!$B$8,"",$AI260)</f>
        <v/>
      </c>
      <c r="BM260" s="135" t="str">
        <f aca="false">IF($BZ260&lt;&gt;Constants!$B$8,"",IF(OR($BT260&lt;$BH260,AND($BT260=$BH260,OR($BU260&lt;$BI260,AND($BU260=$BI260,OR($BV260&lt;$BJ260,AND($BV260=$BJ260,OR(AND(ISNUMBER($BW260),OR(NOT(ISNUMBER($BK260)),$BW260&lt;$BK260)),AND(OR(AND($BW260="",$BK260=""),AND(ISNUMBER($BW260),ISNUMBER($BK260),$BW260=$BK260)),$BX260&lt;$BL260)))))))),"-&gt;","&lt;-"))</f>
        <v/>
      </c>
      <c r="BN260" s="134" t="str">
        <f aca="false">IF(ISBLANK($C260),"",AND($AT260,OR($AU260="",$AV260="",AND($AW260,$AX260=""))))</f>
        <v/>
      </c>
      <c r="BO260" s="137" t="str">
        <f aca="false">IF($BZ260&lt;&gt;Constants!$B$8,"",IF($AT260,Constants!$B$21*$AV260+Constants!$B$22*IF($AW260,$AX260,Constants!$B$23),Constants!$B$24))</f>
        <v/>
      </c>
      <c r="BP260" s="138" t="str">
        <f aca="false">IF($BZ260&lt;&gt;Constants!$B$8,"",Constants!$B$25*ABS($AD$9-IF($AT260,$AU260,0)))</f>
        <v/>
      </c>
      <c r="BQ260" s="138" t="str">
        <f aca="false">IF($BZ260&lt;&gt;Constants!$B$8,"",IF(AND($AT260,$AY260,$AW260),Constants!$B$27,0))</f>
        <v/>
      </c>
      <c r="BR260" s="138" t="str">
        <f aca="false">IF($BZ260&lt;&gt;Constants!$B$8,"",IF($AT260,($AI260-Constants!$B$29)*Constants!$B$28,0))</f>
        <v/>
      </c>
      <c r="BS260" s="138" t="str">
        <f aca="false">IF($BZ260&lt;&gt;Constants!$B$8,"",IF($AS260,0,Constants!$B$15)+IF($AR260,0,Constants!$B$16)+IF($AH260,0,Constants!$B$17))</f>
        <v/>
      </c>
      <c r="BT260" s="139" t="str">
        <f aca="false">IF($BZ260&lt;&gt;Constants!$B$8,"",Constants!$B$20+SUM($BO260:$BS260))</f>
        <v/>
      </c>
      <c r="BU260" s="138" t="str">
        <f aca="false">IF($BZ260&lt;&gt;Constants!$B$8,"",$BO260)</f>
        <v/>
      </c>
      <c r="BV260" s="138" t="str">
        <f aca="false">IF($BZ260&lt;&gt;Constants!$B$8,"",$BP260)</f>
        <v/>
      </c>
      <c r="BW260" s="138" t="str">
        <f aca="false">IF($BZ260&lt;&gt;Constants!$B$8,"",IF($AT260,$AV260,""))</f>
        <v/>
      </c>
      <c r="BX260" s="140" t="str">
        <f aca="false">IF($BZ260&lt;&gt;Constants!$B$8,"",$AI260)</f>
        <v/>
      </c>
      <c r="BY260" s="135" t="str">
        <f aca="false">IF(ISBLANK($C260),"",IF(ISBLANK($D$7),$BY$5,IF(NOT(ISNUMBER($D$7)),$BY$6,"")))</f>
        <v/>
      </c>
      <c r="BZ260" s="135" t="str">
        <f aca="false">IF(ISBLANK($C260),"",IF($BA260,Constants!$B$11,IF(COUNTA($E260:$AA260)=0,Constants!$B$10,IF(NOT($AG260),Constants!$B$9,IF(OR($BY260&lt;&gt;"",$BB260,$BN260),Constants!$B$12,Constants!$B$8)))))</f>
        <v/>
      </c>
      <c r="CA260" s="135" t="str">
        <f aca="false">IF(ISBLANK($C260),"",IF($BZ260&lt;&gt;Constants!$B$8,$BZ260,Constants!$B$13))</f>
        <v/>
      </c>
      <c r="CB260" s="138" t="str">
        <f aca="false">IF($BZ260&lt;&gt;Constants!$B$8,"",IF($BM260="-&gt;",$BT260,$BH260))</f>
        <v/>
      </c>
      <c r="CC260" s="138" t="str">
        <f aca="false">IF($BZ260&lt;&gt;Constants!$B$8,"",IF($AF260,0,Constants!$B$18))</f>
        <v/>
      </c>
      <c r="CD260" s="138" t="str">
        <f aca="false">IF($BZ260&lt;&gt;Constants!$B$8,"",((Constants!$B$31-$AZ260)-Constants!$B$31)/Constants!$B$32)</f>
        <v/>
      </c>
      <c r="CE260" s="138" t="str">
        <f aca="false">IF(ISBLANK($C260),"",IF($BZ260&lt;&gt;Constants!$B$8,$BZ260,SUM($CB260:$CD260)))</f>
        <v/>
      </c>
      <c r="CF260" s="135" t="str">
        <f aca="false">IF(ISBLANK($C260),"",IF($BZ260&lt;&gt;Constants!$B$8,$BZ260,RANK($CE260,$CE$9:$CE$508,1)))</f>
        <v/>
      </c>
      <c r="CG260" s="138" t="str">
        <f aca="false">IF($BZ260&lt;&gt;Constants!$B$8,"",IF($BM260="-&gt;",$BU260,$BI260))</f>
        <v/>
      </c>
      <c r="CH260" s="135" t="str">
        <f aca="false">IF(ISBLANK($C260),"",IF($BZ260&lt;&gt;Constants!$B$8,$BZ260,IF(ISNUMBER($CG260),RANK($CG260,$CG$9:$CG$508,1),COUNT($CG$9:$CG$508)+1)))</f>
        <v/>
      </c>
      <c r="CI260" s="138" t="str">
        <f aca="false">IF($BZ260&lt;&gt;Constants!$B$8,"",IF($BM260="-&gt;",$BV260,$BJ260))</f>
        <v/>
      </c>
      <c r="CJ260" s="135" t="str">
        <f aca="false">IF(ISBLANK($C260),"",IF($BZ260&lt;&gt;Constants!$B$8,$BZ260,IF(ISNUMBER($CI260),RANK($CI260,$CI$9:$CI$508,1),COUNT($CI$9:$CI$508)+1)))</f>
        <v/>
      </c>
      <c r="CK260" s="138" t="str">
        <f aca="false">IF($BZ260&lt;&gt;Constants!$B$8,"",IF($BM260="-&gt;",$BW260,$BK260))</f>
        <v/>
      </c>
      <c r="CL260" s="135" t="str">
        <f aca="false">IF(ISBLANK($C260),"",IF($BZ260&lt;&gt;Constants!$B$8,$BZ260,IF(ISNUMBER($CK260),RANK($CK260,$CK$9:$CK$508,1),COUNT($CK$9:$CK$508)+1)))</f>
        <v/>
      </c>
      <c r="CM260" s="138" t="str">
        <f aca="false">IF($BZ260&lt;&gt;Constants!$B$8,"",IF(AND(NOT($AL260),NOT($AT260),$AJ260,$AK260,$AR260,$AS260),"",IF($BM260="-&gt;",$BX260,$BL260)))</f>
        <v/>
      </c>
      <c r="CN260" s="135" t="str">
        <f aca="false">IF(ISBLANK($C260),"",IF($BZ260&lt;&gt;Constants!$B$8,$BZ260,IF(ISNUMBER($CM260),RANK($CM260,$CM$9:$CM$508,1),COUNT($CM$9:$CM$508)+1)))</f>
        <v/>
      </c>
      <c r="CO260" s="135" t="str">
        <f aca="false">IF(ISBLANK($C260),"",IF($BZ260&lt;&gt;Constants!$B$8,$BZ260,COUNTIFS($CF$9:$CF$508,"&lt;"&amp;$CF260)+COUNTIFS($CF$9:$CF$508,$CF260,$CH$9:$CH$508,"&lt;"&amp;$CH260)+COUNTIFS($CF$9:$CF$508,$CF260,$CH$9:$CH$508,$CH260,$CJ$9:$CJ$508,"&lt;"&amp;$CJ260)+COUNTIFS($CF$9:$CF$508,$CF260,$CH$9:$CH$508,$CH260,$CJ$9:$CJ$508,$CJ260,$CL$9:$CL$508,"&lt;"&amp;$CL260)+COUNTIFS($CF$9:$CF$508,$CF260,$CH$9:$CH$508,$CH260,$CJ$9:$CJ$508,$CJ260,$CL$9:$CL$508,$CL260,$CN$9:$CN$508,"&lt;"&amp;$CN260)+1))</f>
        <v/>
      </c>
      <c r="CP260" s="135" t="str">
        <f aca="false">IF(ISBLANK($C260),"",IF($BZ260&lt;&gt;Constants!$B$8,$BZ260,$CF260-$CO260))</f>
        <v/>
      </c>
      <c r="CQ260" s="141"/>
      <c r="CR260" s="142"/>
      <c r="CS260" s="143" t="str">
        <f aca="false">IF(ISBLANK($C260),"",IF($BZ260=Constants!$B$12,$BY260,""))</f>
        <v/>
      </c>
      <c r="CT260" s="142" t="str">
        <f aca="false">IF(ISBLANK($C260),"",IF($BZ260&lt;&gt;Constants!$B$8,"",IF($BM260="-&gt;",2,1)))</f>
        <v/>
      </c>
      <c r="CU260" s="144" t="str">
        <f aca="false">IF(ISBLANK($C260),"",IF($BZ260&lt;&gt;Constants!$B$8,"",IF($BM260="-&gt;",$BO260,$BC260)))</f>
        <v/>
      </c>
      <c r="CV260" s="144" t="str">
        <f aca="false">IF(ISBLANK($C260),"",IF($BZ260&lt;&gt;Constants!$B$8,"",IF($BM260="-&gt;",$BP260,$BD260)))</f>
        <v/>
      </c>
      <c r="CW260" s="144" t="str">
        <f aca="false">IF(ISBLANK($C260),"",IF($BZ260&lt;&gt;Constants!$B$8,"",IF($BM260="-&gt;",$BQ260+$BR260,$BE260+$BF260)+$CD260))</f>
        <v/>
      </c>
      <c r="CX260" s="144" t="str">
        <f aca="false">IF(ISBLANK($C260),"",IF($BZ260&lt;&gt;Constants!$B$8,"",IF($BM260="-&gt;",$BS260,$BG260)+$CC260))</f>
        <v/>
      </c>
      <c r="CY260" s="145" t="str">
        <f aca="false">IF(ISBLANK($C260),"",IF($BZ260&lt;&gt;Constants!$B$8,$BZ260,$CE260))</f>
        <v/>
      </c>
      <c r="CZ260" s="146" t="str">
        <f aca="false">IF(ISBLANK($C260),"",$CA260)</f>
        <v/>
      </c>
      <c r="DA260" s="147" t="str">
        <f aca="false">IF(ISBLANK($C260),"",$CP260)</f>
        <v/>
      </c>
      <c r="DB260" s="147" t="str">
        <f aca="false">IF(ISBLANK($C260),"",$CO260)</f>
        <v/>
      </c>
      <c r="DC260" s="148" t="str">
        <f aca="false">IF(ISBLANK($C260),"",IFERROR(_xlfn.SWITCH($DB260,Constants!$B$11,COUNTA($C$9:$C$508)+2,Constants!$B$10,COUNTA($C$9:$C$508)+1,Constants!$B$9,COUNTA($C$9:$C$508)),$DB260))</f>
        <v/>
      </c>
      <c r="DD260" s="9"/>
      <c r="DE260" s="149" t="n">
        <f aca="false">IF(OR(ISNUMBER($DB260),$DB260=Constants!$B$11,$DB260=Constants!$B$9,$DB260=Constants!$B$10),1,0)</f>
        <v>0</v>
      </c>
      <c r="DF260" s="149" t="n">
        <v>252</v>
      </c>
      <c r="DG260" s="149" t="str">
        <f aca="false">IF(ISBLANK($C260),"",IF(ISNUMBER($DC260),$DC260+ROW($B260)/1000,""))</f>
        <v/>
      </c>
      <c r="DH260" s="149" t="str">
        <f aca="false">IF(ISNUMBER($DG260),RANK($DG260,$DG$9:$DG$508,1),"")</f>
        <v/>
      </c>
      <c r="DI260" s="149" t="str">
        <f aca="false">IF(ISBLANK($C260),"",$B260)</f>
        <v/>
      </c>
      <c r="DJ260" s="149" t="str">
        <f aca="false">IF(ISBLANK($C260),"",$C260)</f>
        <v/>
      </c>
      <c r="DK260" s="149" t="str">
        <f aca="false">IF(ISBLANK($C260),"",$D260)</f>
        <v/>
      </c>
      <c r="DL260" s="150" t="str">
        <f aca="false">$CZ260</f>
        <v/>
      </c>
      <c r="DM260" s="151" t="str">
        <f aca="false">$CY260</f>
        <v/>
      </c>
      <c r="DN260" s="149" t="str">
        <f aca="false">IF(ISBLANK($C260),"",$DB260)</f>
        <v/>
      </c>
      <c r="DO260" s="152" t="str">
        <f aca="false">IF($DF260&gt;$DE$8,"",VLOOKUP($DF260,$DH$9:$DN$508,7,FALSE()))</f>
        <v/>
      </c>
      <c r="DP260" s="153" t="str">
        <f aca="false">IF($DF260&gt;$DE$8,"",VLOOKUP($DF260,$DH$9:$DN$508,2,FALSE()))</f>
        <v/>
      </c>
      <c r="DQ260" s="153" t="str">
        <f aca="false">IF($DF260&gt;$DE$8,"",VLOOKUP($DF260,$DH$9:$DN$508,3,FALSE()))</f>
        <v/>
      </c>
      <c r="DR260" s="153" t="str">
        <f aca="false">IF($DF260&gt;$DE$8,"",VLOOKUP($DF260,$DH$9:$DN$508,4,FALSE()))</f>
        <v/>
      </c>
      <c r="DS260" s="153" t="str">
        <f aca="false">IF($DF260&gt;$DE$8,"",VLOOKUP($DF260,$DH$9:$DN$508,5,FALSE()))</f>
        <v/>
      </c>
      <c r="DT260" s="154" t="str">
        <f aca="false">IF($DF260&gt;$DE$8,"",VLOOKUP($DF260,$DH$9:$DN$508,6,FALSE()))</f>
        <v/>
      </c>
      <c r="DU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IF(ISBLANK($C261),"",IF(E261=Constants!$B$3,TRUE(),IF(E261=Constants!$B$4,FALSE(),TRUE())))</f>
        <v/>
      </c>
      <c r="AG261" s="93" t="str">
        <f aca="false">IF(ISBLANK($C261),"",IF(F261=Constants!$B$3,TRUE(),IF(F261=Constants!$B$4,FALSE(),TRUE())))</f>
        <v/>
      </c>
      <c r="AH261" s="93" t="str">
        <f aca="false">IF(ISBLANK($C261),"",IF(G261=Constants!$B$3,TRUE(),IF(G261=Constants!$B$4,FALSE(),TRUE())))</f>
        <v/>
      </c>
      <c r="AI261" s="93" t="str">
        <f aca="false">IF(ISBLANK($C261),"",IF(AND(ISNUMBER(H261),H261&gt;=0),H261,Constants!$B$29))</f>
        <v/>
      </c>
      <c r="AJ261" s="93" t="str">
        <f aca="false">IF(ISBLANK($C261),"",IF(I261=Constants!$B$3,TRUE(),IF(I261=Constants!$B$4,FALSE(),TRUE())))</f>
        <v/>
      </c>
      <c r="AK261" s="93" t="str">
        <f aca="false">IF(ISBLANK($C261),"",IF(J261=Constants!$B$3,TRUE(),IF(J261=Constants!$B$4,FALSE(),TRUE())))</f>
        <v/>
      </c>
      <c r="AL261" s="93" t="str">
        <f aca="false">IF(ISBLANK($C261),"",IF(K261=Constants!$B$5,TRUE(),IF(K261=Constants!$B$6,FALSE(),COUNTA(L261:P261)&gt;0)))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IF(ISBLANK($C261),"",IF(N261=Constants!$B$3,TRUE(),IF(N261=Constants!$B$4,FALSE(),TRUE())))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IF(ISBLANK($C261),"",IF(P261=Constants!$B$3,TRUE(),IF(P261=Constants!$B$4,FALSE(),FALSE())))</f>
        <v/>
      </c>
      <c r="AR261" s="93" t="str">
        <f aca="false">IF(ISBLANK($C261),"",IF(Q261=Constants!$B$3,TRUE(),IF(Q261=Constants!$B$4,FALSE(),TRUE())))</f>
        <v/>
      </c>
      <c r="AS261" s="93" t="str">
        <f aca="false">IF(ISBLANK($C261),"",IF(R261=Constants!$B$3,TRUE(),IF(R261=Constants!$B$4,FALSE(),TRUE())))</f>
        <v/>
      </c>
      <c r="AT261" s="93" t="str">
        <f aca="false">IF(ISBLANK($C261),"",IF(S261=Constants!$B$5,TRUE(),IF(S261=Constants!$B$6,FALSE(),COUNTA(T261:X261)&gt;0)))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IF(ISBLANK($C261),"",IF(V261=Constants!$B$3,TRUE(),IF(V261=Constants!$B$4,FALSE(),TRUE())))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IF(ISBLANK($C261),"",IF(X261=Constants!$B$3,TRUE(),IF(X261=Constants!$B$4,FALSE(),FALSE())))</f>
        <v/>
      </c>
      <c r="AZ261" s="93" t="str">
        <f aca="false">IF(ISBLANK($C261),"",MIN(Constants!$B$31,MAX(0,IF(ISNUMBER(Y261),Y261*60,0)+IF(ISNUMBER(Z261),Z261,0))))</f>
        <v/>
      </c>
      <c r="BA261" s="93" t="str">
        <f aca="false">IF(ISBLANK($C261),"",IF(AA261=Constants!$B$3,TRUE(),IF(AA261=Constants!$B$4,FALSE(),FALSE())))</f>
        <v/>
      </c>
      <c r="BB261" s="92" t="str">
        <f aca="false">IF(ISBLANK($C261),"",AND($AL261,OR($AM261="",$AN261="",AND($AO261,$AP261=""))))</f>
        <v/>
      </c>
      <c r="BC261" s="94" t="str">
        <f aca="false">IF($BZ261&lt;&gt;Constants!$B$8,"",IF($AL261,Constants!$B$21*$AN261+Constants!$B$22*IF($AO261,$AP261,Constants!$B$23),Constants!$B$24))</f>
        <v/>
      </c>
      <c r="BD261" s="97" t="str">
        <f aca="false">IF($BZ261&lt;&gt;Constants!$B$8,"",Constants!$B$25*ABS($AD$9-IF($AL261,$AM261,0)))</f>
        <v/>
      </c>
      <c r="BE261" s="97" t="str">
        <f aca="false">IF($BZ261&lt;&gt;Constants!$B$8,"",IF(AND($AL261,$AQ261,$AO261),Constants!$B$27,0))</f>
        <v/>
      </c>
      <c r="BF261" s="97" t="str">
        <f aca="false">IF($BZ261&lt;&gt;Constants!$B$8,"",IF($AL261,($AI261-Constants!$B$29)*Constants!$B$28,0))</f>
        <v/>
      </c>
      <c r="BG261" s="97" t="str">
        <f aca="false">IF($BZ261&lt;&gt;Constants!$B$8,"",IF($AK261,0,Constants!$B$15)+IF($AJ261,0,Constants!$B$16)+IF($AH261,0,Constants!$B$17))</f>
        <v/>
      </c>
      <c r="BH261" s="98" t="str">
        <f aca="false">IF($BZ261&lt;&gt;Constants!$B$8,"",Constants!$B$20+SUM($BC261:$BG261))</f>
        <v/>
      </c>
      <c r="BI261" s="97" t="str">
        <f aca="false">IF($BZ261&lt;&gt;Constants!$B$8,"",$BC261)</f>
        <v/>
      </c>
      <c r="BJ261" s="97" t="str">
        <f aca="false">IF($BZ261&lt;&gt;Constants!$B$8,"",$BD261)</f>
        <v/>
      </c>
      <c r="BK261" s="97" t="str">
        <f aca="false">IF($BZ261&lt;&gt;Constants!$B$8,"",IF($AL261,$AN261,""))</f>
        <v/>
      </c>
      <c r="BL261" s="99" t="str">
        <f aca="false">IF($BZ261&lt;&gt;Constants!$B$8,"",$AI261)</f>
        <v/>
      </c>
      <c r="BM261" s="93" t="str">
        <f aca="false">IF($BZ261&lt;&gt;Constants!$B$8,"",IF(OR($BT261&lt;$BH261,AND($BT261=$BH261,OR($BU261&lt;$BI261,AND($BU261=$BI261,OR($BV261&lt;$BJ261,AND($BV261=$BJ261,OR(AND(ISNUMBER($BW261),OR(NOT(ISNUMBER($BK261)),$BW261&lt;$BK261)),AND(OR(AND($BW261="",$BK261=""),AND(ISNUMBER($BW261),ISNUMBER($BK261),$BW261=$BK261)),$BX261&lt;$BL261)))))))),"-&gt;","&lt;-"))</f>
        <v/>
      </c>
      <c r="BN261" s="92" t="str">
        <f aca="false">IF(ISBLANK($C261),"",AND($AT261,OR($AU261="",$AV261="",AND($AW261,$AX261=""))))</f>
        <v/>
      </c>
      <c r="BO261" s="94" t="str">
        <f aca="false">IF($BZ261&lt;&gt;Constants!$B$8,"",IF($AT261,Constants!$B$21*$AV261+Constants!$B$22*IF($AW261,$AX261,Constants!$B$23),Constants!$B$24))</f>
        <v/>
      </c>
      <c r="BP261" s="97" t="str">
        <f aca="false">IF($BZ261&lt;&gt;Constants!$B$8,"",Constants!$B$25*ABS($AD$9-IF($AT261,$AU261,0)))</f>
        <v/>
      </c>
      <c r="BQ261" s="97" t="str">
        <f aca="false">IF($BZ261&lt;&gt;Constants!$B$8,"",IF(AND($AT261,$AY261,$AW261),Constants!$B$27,0))</f>
        <v/>
      </c>
      <c r="BR261" s="97" t="str">
        <f aca="false">IF($BZ261&lt;&gt;Constants!$B$8,"",IF($AT261,($AI261-Constants!$B$29)*Constants!$B$28,0))</f>
        <v/>
      </c>
      <c r="BS261" s="97" t="str">
        <f aca="false">IF($BZ261&lt;&gt;Constants!$B$8,"",IF($AS261,0,Constants!$B$15)+IF($AR261,0,Constants!$B$16)+IF($AH261,0,Constants!$B$17))</f>
        <v/>
      </c>
      <c r="BT261" s="98" t="str">
        <f aca="false">IF($BZ261&lt;&gt;Constants!$B$8,"",Constants!$B$20+SUM($BO261:$BS261))</f>
        <v/>
      </c>
      <c r="BU261" s="97" t="str">
        <f aca="false">IF($BZ261&lt;&gt;Constants!$B$8,"",$BO261)</f>
        <v/>
      </c>
      <c r="BV261" s="97" t="str">
        <f aca="false">IF($BZ261&lt;&gt;Constants!$B$8,"",$BP261)</f>
        <v/>
      </c>
      <c r="BW261" s="97" t="str">
        <f aca="false">IF($BZ261&lt;&gt;Constants!$B$8,"",IF($AT261,$AV261,""))</f>
        <v/>
      </c>
      <c r="BX261" s="99" t="str">
        <f aca="false">IF($BZ261&lt;&gt;Constants!$B$8,"",$AI261)</f>
        <v/>
      </c>
      <c r="BY261" s="93" t="str">
        <f aca="false">IF(ISBLANK($C261),"",IF(ISBLANK($D$7),$BY$5,IF(NOT(ISNUMBER($D$7)),$BY$6,"")))</f>
        <v/>
      </c>
      <c r="BZ261" s="93" t="str">
        <f aca="false">IF(ISBLANK($C261),"",IF($BA261,Constants!$B$11,IF(COUNTA($E261:$AA261)=0,Constants!$B$10,IF(NOT($AG261),Constants!$B$9,IF(OR($BY261&lt;&gt;"",$BB261,$BN261),Constants!$B$12,Constants!$B$8)))))</f>
        <v/>
      </c>
      <c r="CA261" s="93" t="str">
        <f aca="false">IF(ISBLANK($C261),"",IF($BZ261&lt;&gt;Constants!$B$8,$BZ261,Constants!$B$13))</f>
        <v/>
      </c>
      <c r="CB261" s="97" t="str">
        <f aca="false">IF($BZ261&lt;&gt;Constants!$B$8,"",IF($BM261="-&gt;",$BT261,$BH261))</f>
        <v/>
      </c>
      <c r="CC261" s="97" t="str">
        <f aca="false">IF($BZ261&lt;&gt;Constants!$B$8,"",IF($AF261,0,Constants!$B$18))</f>
        <v/>
      </c>
      <c r="CD261" s="97" t="str">
        <f aca="false">IF($BZ261&lt;&gt;Constants!$B$8,"",((Constants!$B$31-$AZ261)-Constants!$B$31)/Constants!$B$32)</f>
        <v/>
      </c>
      <c r="CE261" s="97" t="str">
        <f aca="false">IF(ISBLANK($C261),"",IF($BZ261&lt;&gt;Constants!$B$8,$BZ261,SUM($CB261:$CD261)))</f>
        <v/>
      </c>
      <c r="CF261" s="93" t="str">
        <f aca="false">IF(ISBLANK($C261),"",IF($BZ261&lt;&gt;Constants!$B$8,$BZ261,RANK($CE261,$CE$9:$CE$508,1)))</f>
        <v/>
      </c>
      <c r="CG261" s="97" t="str">
        <f aca="false">IF($BZ261&lt;&gt;Constants!$B$8,"",IF($BM261="-&gt;",$BU261,$BI261))</f>
        <v/>
      </c>
      <c r="CH261" s="93" t="str">
        <f aca="false">IF(ISBLANK($C261),"",IF($BZ261&lt;&gt;Constants!$B$8,$BZ261,IF(ISNUMBER($CG261),RANK($CG261,$CG$9:$CG$508,1),COUNT($CG$9:$CG$508)+1)))</f>
        <v/>
      </c>
      <c r="CI261" s="97" t="str">
        <f aca="false">IF($BZ261&lt;&gt;Constants!$B$8,"",IF($BM261="-&gt;",$BV261,$BJ261))</f>
        <v/>
      </c>
      <c r="CJ261" s="93" t="str">
        <f aca="false">IF(ISBLANK($C261),"",IF($BZ261&lt;&gt;Constants!$B$8,$BZ261,IF(ISNUMBER($CI261),RANK($CI261,$CI$9:$CI$508,1),COUNT($CI$9:$CI$508)+1)))</f>
        <v/>
      </c>
      <c r="CK261" s="97" t="str">
        <f aca="false">IF($BZ261&lt;&gt;Constants!$B$8,"",IF($BM261="-&gt;",$BW261,$BK261))</f>
        <v/>
      </c>
      <c r="CL261" s="93" t="str">
        <f aca="false">IF(ISBLANK($C261),"",IF($BZ261&lt;&gt;Constants!$B$8,$BZ261,IF(ISNUMBER($CK261),RANK($CK261,$CK$9:$CK$508,1),COUNT($CK$9:$CK$508)+1)))</f>
        <v/>
      </c>
      <c r="CM261" s="97" t="str">
        <f aca="false">IF($BZ261&lt;&gt;Constants!$B$8,"",IF(AND(NOT($AL261),NOT($AT261),$AJ261,$AK261,$AR261,$AS261),"",IF($BM261="-&gt;",$BX261,$BL261)))</f>
        <v/>
      </c>
      <c r="CN261" s="93" t="str">
        <f aca="false">IF(ISBLANK($C261),"",IF($BZ261&lt;&gt;Constants!$B$8,$BZ261,IF(ISNUMBER($CM261),RANK($CM261,$CM$9:$CM$508,1),COUNT($CM$9:$CM$508)+1)))</f>
        <v/>
      </c>
      <c r="CO261" s="93" t="str">
        <f aca="false">IF(ISBLANK($C261),"",IF($BZ261&lt;&gt;Constants!$B$8,$BZ261,COUNTIFS($CF$9:$CF$508,"&lt;"&amp;$CF261)+COUNTIFS($CF$9:$CF$508,$CF261,$CH$9:$CH$508,"&lt;"&amp;$CH261)+COUNTIFS($CF$9:$CF$508,$CF261,$CH$9:$CH$508,$CH261,$CJ$9:$CJ$508,"&lt;"&amp;$CJ261)+COUNTIFS($CF$9:$CF$508,$CF261,$CH$9:$CH$508,$CH261,$CJ$9:$CJ$508,$CJ261,$CL$9:$CL$508,"&lt;"&amp;$CL261)+COUNTIFS($CF$9:$CF$508,$CF261,$CH$9:$CH$508,$CH261,$CJ$9:$CJ$508,$CJ261,$CL$9:$CL$508,$CL261,$CN$9:$CN$508,"&lt;"&amp;$CN261)+1))</f>
        <v/>
      </c>
      <c r="CP261" s="93" t="str">
        <f aca="false">IF(ISBLANK($C261),"",IF($BZ261&lt;&gt;Constants!$B$8,$BZ261,$CF261-$CO261))</f>
        <v/>
      </c>
      <c r="CQ261" s="100"/>
      <c r="CR261" s="101"/>
      <c r="CS261" s="102" t="str">
        <f aca="false">IF(ISBLANK($C261),"",IF($BZ261=Constants!$B$12,$BY261,""))</f>
        <v/>
      </c>
      <c r="CT261" s="101" t="str">
        <f aca="false">IF(ISBLANK($C261),"",IF($BZ261&lt;&gt;Constants!$B$8,"",IF($BM261="-&gt;",2,1)))</f>
        <v/>
      </c>
      <c r="CU261" s="103" t="str">
        <f aca="false">IF(ISBLANK($C261),"",IF($BZ261&lt;&gt;Constants!$B$8,"",IF($BM261="-&gt;",$BO261,$BC261)))</f>
        <v/>
      </c>
      <c r="CV261" s="103" t="str">
        <f aca="false">IF(ISBLANK($C261),"",IF($BZ261&lt;&gt;Constants!$B$8,"",IF($BM261="-&gt;",$BP261,$BD261)))</f>
        <v/>
      </c>
      <c r="CW261" s="103" t="str">
        <f aca="false">IF(ISBLANK($C261),"",IF($BZ261&lt;&gt;Constants!$B$8,"",IF($BM261="-&gt;",$BQ261+$BR261,$BE261+$BF261)+$CD261))</f>
        <v/>
      </c>
      <c r="CX261" s="103" t="str">
        <f aca="false">IF(ISBLANK($C261),"",IF($BZ261&lt;&gt;Constants!$B$8,"",IF($BM261="-&gt;",$BS261,$BG261)+$CC261))</f>
        <v/>
      </c>
      <c r="CY261" s="104" t="str">
        <f aca="false">IF(ISBLANK($C261),"",IF($BZ261&lt;&gt;Constants!$B$8,$BZ261,$CE261))</f>
        <v/>
      </c>
      <c r="CZ261" s="105" t="str">
        <f aca="false">IF(ISBLANK($C261),"",$CA261)</f>
        <v/>
      </c>
      <c r="DA261" s="106" t="str">
        <f aca="false">IF(ISBLANK($C261),"",$CP261)</f>
        <v/>
      </c>
      <c r="DB261" s="106" t="str">
        <f aca="false">IF(ISBLANK($C261),"",$CO261)</f>
        <v/>
      </c>
      <c r="DC261" s="107" t="str">
        <f aca="false">IF(ISBLANK($C261),"",IFERROR(_xlfn.SWITCH($DB261,Constants!$B$11,COUNTA($C$9:$C$508)+2,Constants!$B$10,COUNTA($C$9:$C$508)+1,Constants!$B$9,COUNTA($C$9:$C$508)),$DB261))</f>
        <v/>
      </c>
      <c r="DD261" s="9"/>
      <c r="DE261" s="108" t="n">
        <f aca="false">IF(OR(ISNUMBER($DB261),$DB261=Constants!$B$11,$DB261=Constants!$B$9,$DB261=Constants!$B$10),1,0)</f>
        <v>0</v>
      </c>
      <c r="DF261" s="108" t="n">
        <v>253</v>
      </c>
      <c r="DG261" s="108" t="str">
        <f aca="false">IF(ISBLANK($C261),"",IF(ISNUMBER($DC261),$DC261+ROW($B261)/1000,""))</f>
        <v/>
      </c>
      <c r="DH261" s="108" t="str">
        <f aca="false">IF(ISNUMBER($DG261),RANK($DG261,$DG$9:$DG$508,1),"")</f>
        <v/>
      </c>
      <c r="DI261" s="108" t="str">
        <f aca="false">IF(ISBLANK($C261),"",$B261)</f>
        <v/>
      </c>
      <c r="DJ261" s="108" t="str">
        <f aca="false">IF(ISBLANK($C261),"",$C261)</f>
        <v/>
      </c>
      <c r="DK261" s="108" t="str">
        <f aca="false">IF(ISBLANK($C261),"",$D261)</f>
        <v/>
      </c>
      <c r="DL261" s="109" t="str">
        <f aca="false">$CZ261</f>
        <v/>
      </c>
      <c r="DM261" s="110" t="str">
        <f aca="false">$CY261</f>
        <v/>
      </c>
      <c r="DN261" s="108" t="str">
        <f aca="false">IF(ISBLANK($C261),"",$DB261)</f>
        <v/>
      </c>
      <c r="DO261" s="111" t="str">
        <f aca="false">IF($DF261&gt;$DE$8,"",VLOOKUP($DF261,$DH$9:$DN$508,7,FALSE()))</f>
        <v/>
      </c>
      <c r="DP261" s="112" t="str">
        <f aca="false">IF($DF261&gt;$DE$8,"",VLOOKUP($DF261,$DH$9:$DN$508,2,FALSE()))</f>
        <v/>
      </c>
      <c r="DQ261" s="112" t="str">
        <f aca="false">IF($DF261&gt;$DE$8,"",VLOOKUP($DF261,$DH$9:$DN$508,3,FALSE()))</f>
        <v/>
      </c>
      <c r="DR261" s="112" t="str">
        <f aca="false">IF($DF261&gt;$DE$8,"",VLOOKUP($DF261,$DH$9:$DN$508,4,FALSE()))</f>
        <v/>
      </c>
      <c r="DS261" s="112" t="str">
        <f aca="false">IF($DF261&gt;$DE$8,"",VLOOKUP($DF261,$DH$9:$DN$508,5,FALSE()))</f>
        <v/>
      </c>
      <c r="DT261" s="113" t="str">
        <f aca="false">IF($DF261&gt;$DE$8,"",VLOOKUP($DF261,$DH$9:$DN$508,6,FALSE()))</f>
        <v/>
      </c>
      <c r="DU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IF(ISBLANK($C262),"",IF(E262=Constants!$B$3,TRUE(),IF(E262=Constants!$B$4,FALSE(),TRUE())))</f>
        <v/>
      </c>
      <c r="AG262" s="93" t="str">
        <f aca="false">IF(ISBLANK($C262),"",IF(F262=Constants!$B$3,TRUE(),IF(F262=Constants!$B$4,FALSE(),TRUE())))</f>
        <v/>
      </c>
      <c r="AH262" s="93" t="str">
        <f aca="false">IF(ISBLANK($C262),"",IF(G262=Constants!$B$3,TRUE(),IF(G262=Constants!$B$4,FALSE(),TRUE())))</f>
        <v/>
      </c>
      <c r="AI262" s="93" t="str">
        <f aca="false">IF(ISBLANK($C262),"",IF(AND(ISNUMBER(H262),H262&gt;=0),H262,Constants!$B$29))</f>
        <v/>
      </c>
      <c r="AJ262" s="93" t="str">
        <f aca="false">IF(ISBLANK($C262),"",IF(I262=Constants!$B$3,TRUE(),IF(I262=Constants!$B$4,FALSE(),TRUE())))</f>
        <v/>
      </c>
      <c r="AK262" s="93" t="str">
        <f aca="false">IF(ISBLANK($C262),"",IF(J262=Constants!$B$3,TRUE(),IF(J262=Constants!$B$4,FALSE(),TRUE())))</f>
        <v/>
      </c>
      <c r="AL262" s="93" t="str">
        <f aca="false">IF(ISBLANK($C262),"",IF(K262=Constants!$B$5,TRUE(),IF(K262=Constants!$B$6,FALSE(),COUNTA(L262:P262)&gt;0)))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IF(ISBLANK($C262),"",IF(N262=Constants!$B$3,TRUE(),IF(N262=Constants!$B$4,FALSE(),TRUE())))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IF(ISBLANK($C262),"",IF(P262=Constants!$B$3,TRUE(),IF(P262=Constants!$B$4,FALSE(),FALSE())))</f>
        <v/>
      </c>
      <c r="AR262" s="93" t="str">
        <f aca="false">IF(ISBLANK($C262),"",IF(Q262=Constants!$B$3,TRUE(),IF(Q262=Constants!$B$4,FALSE(),TRUE())))</f>
        <v/>
      </c>
      <c r="AS262" s="93" t="str">
        <f aca="false">IF(ISBLANK($C262),"",IF(R262=Constants!$B$3,TRUE(),IF(R262=Constants!$B$4,FALSE(),TRUE())))</f>
        <v/>
      </c>
      <c r="AT262" s="93" t="str">
        <f aca="false">IF(ISBLANK($C262),"",IF(S262=Constants!$B$5,TRUE(),IF(S262=Constants!$B$6,FALSE(),COUNTA(T262:X262)&gt;0)))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IF(ISBLANK($C262),"",IF(V262=Constants!$B$3,TRUE(),IF(V262=Constants!$B$4,FALSE(),TRUE())))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IF(ISBLANK($C262),"",IF(X262=Constants!$B$3,TRUE(),IF(X262=Constants!$B$4,FALSE(),FALSE())))</f>
        <v/>
      </c>
      <c r="AZ262" s="93" t="str">
        <f aca="false">IF(ISBLANK($C262),"",MIN(Constants!$B$31,MAX(0,IF(ISNUMBER(Y262),Y262*60,0)+IF(ISNUMBER(Z262),Z262,0))))</f>
        <v/>
      </c>
      <c r="BA262" s="93" t="str">
        <f aca="false">IF(ISBLANK($C262),"",IF(AA262=Constants!$B$3,TRUE(),IF(AA262=Constants!$B$4,FALSE(),FALSE())))</f>
        <v/>
      </c>
      <c r="BB262" s="92" t="str">
        <f aca="false">IF(ISBLANK($C262),"",AND($AL262,OR($AM262="",$AN262="",AND($AO262,$AP262=""))))</f>
        <v/>
      </c>
      <c r="BC262" s="94" t="str">
        <f aca="false">IF($BZ262&lt;&gt;Constants!$B$8,"",IF($AL262,Constants!$B$21*$AN262+Constants!$B$22*IF($AO262,$AP262,Constants!$B$23),Constants!$B$24))</f>
        <v/>
      </c>
      <c r="BD262" s="97" t="str">
        <f aca="false">IF($BZ262&lt;&gt;Constants!$B$8,"",Constants!$B$25*ABS($AD$9-IF($AL262,$AM262,0)))</f>
        <v/>
      </c>
      <c r="BE262" s="97" t="str">
        <f aca="false">IF($BZ262&lt;&gt;Constants!$B$8,"",IF(AND($AL262,$AQ262,$AO262),Constants!$B$27,0))</f>
        <v/>
      </c>
      <c r="BF262" s="97" t="str">
        <f aca="false">IF($BZ262&lt;&gt;Constants!$B$8,"",IF($AL262,($AI262-Constants!$B$29)*Constants!$B$28,0))</f>
        <v/>
      </c>
      <c r="BG262" s="97" t="str">
        <f aca="false">IF($BZ262&lt;&gt;Constants!$B$8,"",IF($AK262,0,Constants!$B$15)+IF($AJ262,0,Constants!$B$16)+IF($AH262,0,Constants!$B$17))</f>
        <v/>
      </c>
      <c r="BH262" s="98" t="str">
        <f aca="false">IF($BZ262&lt;&gt;Constants!$B$8,"",Constants!$B$20+SUM($BC262:$BG262))</f>
        <v/>
      </c>
      <c r="BI262" s="97" t="str">
        <f aca="false">IF($BZ262&lt;&gt;Constants!$B$8,"",$BC262)</f>
        <v/>
      </c>
      <c r="BJ262" s="97" t="str">
        <f aca="false">IF($BZ262&lt;&gt;Constants!$B$8,"",$BD262)</f>
        <v/>
      </c>
      <c r="BK262" s="97" t="str">
        <f aca="false">IF($BZ262&lt;&gt;Constants!$B$8,"",IF($AL262,$AN262,""))</f>
        <v/>
      </c>
      <c r="BL262" s="99" t="str">
        <f aca="false">IF($BZ262&lt;&gt;Constants!$B$8,"",$AI262)</f>
        <v/>
      </c>
      <c r="BM262" s="93" t="str">
        <f aca="false">IF($BZ262&lt;&gt;Constants!$B$8,"",IF(OR($BT262&lt;$BH262,AND($BT262=$BH262,OR($BU262&lt;$BI262,AND($BU262=$BI262,OR($BV262&lt;$BJ262,AND($BV262=$BJ262,OR(AND(ISNUMBER($BW262),OR(NOT(ISNUMBER($BK262)),$BW262&lt;$BK262)),AND(OR(AND($BW262="",$BK262=""),AND(ISNUMBER($BW262),ISNUMBER($BK262),$BW262=$BK262)),$BX262&lt;$BL262)))))))),"-&gt;","&lt;-"))</f>
        <v/>
      </c>
      <c r="BN262" s="92" t="str">
        <f aca="false">IF(ISBLANK($C262),"",AND($AT262,OR($AU262="",$AV262="",AND($AW262,$AX262=""))))</f>
        <v/>
      </c>
      <c r="BO262" s="94" t="str">
        <f aca="false">IF($BZ262&lt;&gt;Constants!$B$8,"",IF($AT262,Constants!$B$21*$AV262+Constants!$B$22*IF($AW262,$AX262,Constants!$B$23),Constants!$B$24))</f>
        <v/>
      </c>
      <c r="BP262" s="97" t="str">
        <f aca="false">IF($BZ262&lt;&gt;Constants!$B$8,"",Constants!$B$25*ABS($AD$9-IF($AT262,$AU262,0)))</f>
        <v/>
      </c>
      <c r="BQ262" s="97" t="str">
        <f aca="false">IF($BZ262&lt;&gt;Constants!$B$8,"",IF(AND($AT262,$AY262,$AW262),Constants!$B$27,0))</f>
        <v/>
      </c>
      <c r="BR262" s="97" t="str">
        <f aca="false">IF($BZ262&lt;&gt;Constants!$B$8,"",IF($AT262,($AI262-Constants!$B$29)*Constants!$B$28,0))</f>
        <v/>
      </c>
      <c r="BS262" s="97" t="str">
        <f aca="false">IF($BZ262&lt;&gt;Constants!$B$8,"",IF($AS262,0,Constants!$B$15)+IF($AR262,0,Constants!$B$16)+IF($AH262,0,Constants!$B$17))</f>
        <v/>
      </c>
      <c r="BT262" s="98" t="str">
        <f aca="false">IF($BZ262&lt;&gt;Constants!$B$8,"",Constants!$B$20+SUM($BO262:$BS262))</f>
        <v/>
      </c>
      <c r="BU262" s="97" t="str">
        <f aca="false">IF($BZ262&lt;&gt;Constants!$B$8,"",$BO262)</f>
        <v/>
      </c>
      <c r="BV262" s="97" t="str">
        <f aca="false">IF($BZ262&lt;&gt;Constants!$B$8,"",$BP262)</f>
        <v/>
      </c>
      <c r="BW262" s="97" t="str">
        <f aca="false">IF($BZ262&lt;&gt;Constants!$B$8,"",IF($AT262,$AV262,""))</f>
        <v/>
      </c>
      <c r="BX262" s="99" t="str">
        <f aca="false">IF($BZ262&lt;&gt;Constants!$B$8,"",$AI262)</f>
        <v/>
      </c>
      <c r="BY262" s="93" t="str">
        <f aca="false">IF(ISBLANK($C262),"",IF(ISBLANK($D$7),$BY$5,IF(NOT(ISNUMBER($D$7)),$BY$6,"")))</f>
        <v/>
      </c>
      <c r="BZ262" s="93" t="str">
        <f aca="false">IF(ISBLANK($C262),"",IF($BA262,Constants!$B$11,IF(COUNTA($E262:$AA262)=0,Constants!$B$10,IF(NOT($AG262),Constants!$B$9,IF(OR($BY262&lt;&gt;"",$BB262,$BN262),Constants!$B$12,Constants!$B$8)))))</f>
        <v/>
      </c>
      <c r="CA262" s="93" t="str">
        <f aca="false">IF(ISBLANK($C262),"",IF($BZ262&lt;&gt;Constants!$B$8,$BZ262,Constants!$B$13))</f>
        <v/>
      </c>
      <c r="CB262" s="97" t="str">
        <f aca="false">IF($BZ262&lt;&gt;Constants!$B$8,"",IF($BM262="-&gt;",$BT262,$BH262))</f>
        <v/>
      </c>
      <c r="CC262" s="97" t="str">
        <f aca="false">IF($BZ262&lt;&gt;Constants!$B$8,"",IF($AF262,0,Constants!$B$18))</f>
        <v/>
      </c>
      <c r="CD262" s="97" t="str">
        <f aca="false">IF($BZ262&lt;&gt;Constants!$B$8,"",((Constants!$B$31-$AZ262)-Constants!$B$31)/Constants!$B$32)</f>
        <v/>
      </c>
      <c r="CE262" s="97" t="str">
        <f aca="false">IF(ISBLANK($C262),"",IF($BZ262&lt;&gt;Constants!$B$8,$BZ262,SUM($CB262:$CD262)))</f>
        <v/>
      </c>
      <c r="CF262" s="93" t="str">
        <f aca="false">IF(ISBLANK($C262),"",IF($BZ262&lt;&gt;Constants!$B$8,$BZ262,RANK($CE262,$CE$9:$CE$508,1)))</f>
        <v/>
      </c>
      <c r="CG262" s="97" t="str">
        <f aca="false">IF($BZ262&lt;&gt;Constants!$B$8,"",IF($BM262="-&gt;",$BU262,$BI262))</f>
        <v/>
      </c>
      <c r="CH262" s="93" t="str">
        <f aca="false">IF(ISBLANK($C262),"",IF($BZ262&lt;&gt;Constants!$B$8,$BZ262,IF(ISNUMBER($CG262),RANK($CG262,$CG$9:$CG$508,1),COUNT($CG$9:$CG$508)+1)))</f>
        <v/>
      </c>
      <c r="CI262" s="97" t="str">
        <f aca="false">IF($BZ262&lt;&gt;Constants!$B$8,"",IF($BM262="-&gt;",$BV262,$BJ262))</f>
        <v/>
      </c>
      <c r="CJ262" s="93" t="str">
        <f aca="false">IF(ISBLANK($C262),"",IF($BZ262&lt;&gt;Constants!$B$8,$BZ262,IF(ISNUMBER($CI262),RANK($CI262,$CI$9:$CI$508,1),COUNT($CI$9:$CI$508)+1)))</f>
        <v/>
      </c>
      <c r="CK262" s="97" t="str">
        <f aca="false">IF($BZ262&lt;&gt;Constants!$B$8,"",IF($BM262="-&gt;",$BW262,$BK262))</f>
        <v/>
      </c>
      <c r="CL262" s="93" t="str">
        <f aca="false">IF(ISBLANK($C262),"",IF($BZ262&lt;&gt;Constants!$B$8,$BZ262,IF(ISNUMBER($CK262),RANK($CK262,$CK$9:$CK$508,1),COUNT($CK$9:$CK$508)+1)))</f>
        <v/>
      </c>
      <c r="CM262" s="97" t="str">
        <f aca="false">IF($BZ262&lt;&gt;Constants!$B$8,"",IF(AND(NOT($AL262),NOT($AT262),$AJ262,$AK262,$AR262,$AS262),"",IF($BM262="-&gt;",$BX262,$BL262)))</f>
        <v/>
      </c>
      <c r="CN262" s="93" t="str">
        <f aca="false">IF(ISBLANK($C262),"",IF($BZ262&lt;&gt;Constants!$B$8,$BZ262,IF(ISNUMBER($CM262),RANK($CM262,$CM$9:$CM$508,1),COUNT($CM$9:$CM$508)+1)))</f>
        <v/>
      </c>
      <c r="CO262" s="93" t="str">
        <f aca="false">IF(ISBLANK($C262),"",IF($BZ262&lt;&gt;Constants!$B$8,$BZ262,COUNTIFS($CF$9:$CF$508,"&lt;"&amp;$CF262)+COUNTIFS($CF$9:$CF$508,$CF262,$CH$9:$CH$508,"&lt;"&amp;$CH262)+COUNTIFS($CF$9:$CF$508,$CF262,$CH$9:$CH$508,$CH262,$CJ$9:$CJ$508,"&lt;"&amp;$CJ262)+COUNTIFS($CF$9:$CF$508,$CF262,$CH$9:$CH$508,$CH262,$CJ$9:$CJ$508,$CJ262,$CL$9:$CL$508,"&lt;"&amp;$CL262)+COUNTIFS($CF$9:$CF$508,$CF262,$CH$9:$CH$508,$CH262,$CJ$9:$CJ$508,$CJ262,$CL$9:$CL$508,$CL262,$CN$9:$CN$508,"&lt;"&amp;$CN262)+1))</f>
        <v/>
      </c>
      <c r="CP262" s="93" t="str">
        <f aca="false">IF(ISBLANK($C262),"",IF($BZ262&lt;&gt;Constants!$B$8,$BZ262,$CF262-$CO262))</f>
        <v/>
      </c>
      <c r="CQ262" s="100"/>
      <c r="CR262" s="101"/>
      <c r="CS262" s="102" t="str">
        <f aca="false">IF(ISBLANK($C262),"",IF($BZ262=Constants!$B$12,$BY262,""))</f>
        <v/>
      </c>
      <c r="CT262" s="101" t="str">
        <f aca="false">IF(ISBLANK($C262),"",IF($BZ262&lt;&gt;Constants!$B$8,"",IF($BM262="-&gt;",2,1)))</f>
        <v/>
      </c>
      <c r="CU262" s="103" t="str">
        <f aca="false">IF(ISBLANK($C262),"",IF($BZ262&lt;&gt;Constants!$B$8,"",IF($BM262="-&gt;",$BO262,$BC262)))</f>
        <v/>
      </c>
      <c r="CV262" s="103" t="str">
        <f aca="false">IF(ISBLANK($C262),"",IF($BZ262&lt;&gt;Constants!$B$8,"",IF($BM262="-&gt;",$BP262,$BD262)))</f>
        <v/>
      </c>
      <c r="CW262" s="103" t="str">
        <f aca="false">IF(ISBLANK($C262),"",IF($BZ262&lt;&gt;Constants!$B$8,"",IF($BM262="-&gt;",$BQ262+$BR262,$BE262+$BF262)+$CD262))</f>
        <v/>
      </c>
      <c r="CX262" s="103" t="str">
        <f aca="false">IF(ISBLANK($C262),"",IF($BZ262&lt;&gt;Constants!$B$8,"",IF($BM262="-&gt;",$BS262,$BG262)+$CC262))</f>
        <v/>
      </c>
      <c r="CY262" s="104" t="str">
        <f aca="false">IF(ISBLANK($C262),"",IF($BZ262&lt;&gt;Constants!$B$8,$BZ262,$CE262))</f>
        <v/>
      </c>
      <c r="CZ262" s="105" t="str">
        <f aca="false">IF(ISBLANK($C262),"",$CA262)</f>
        <v/>
      </c>
      <c r="DA262" s="106" t="str">
        <f aca="false">IF(ISBLANK($C262),"",$CP262)</f>
        <v/>
      </c>
      <c r="DB262" s="106" t="str">
        <f aca="false">IF(ISBLANK($C262),"",$CO262)</f>
        <v/>
      </c>
      <c r="DC262" s="107" t="str">
        <f aca="false">IF(ISBLANK($C262),"",IFERROR(_xlfn.SWITCH($DB262,Constants!$B$11,COUNTA($C$9:$C$508)+2,Constants!$B$10,COUNTA($C$9:$C$508)+1,Constants!$B$9,COUNTA($C$9:$C$508)),$DB262))</f>
        <v/>
      </c>
      <c r="DD262" s="9"/>
      <c r="DE262" s="108" t="n">
        <f aca="false">IF(OR(ISNUMBER($DB262),$DB262=Constants!$B$11,$DB262=Constants!$B$9,$DB262=Constants!$B$10),1,0)</f>
        <v>0</v>
      </c>
      <c r="DF262" s="108" t="n">
        <v>254</v>
      </c>
      <c r="DG262" s="108" t="str">
        <f aca="false">IF(ISBLANK($C262),"",IF(ISNUMBER($DC262),$DC262+ROW($B262)/1000,""))</f>
        <v/>
      </c>
      <c r="DH262" s="108" t="str">
        <f aca="false">IF(ISNUMBER($DG262),RANK($DG262,$DG$9:$DG$508,1),"")</f>
        <v/>
      </c>
      <c r="DI262" s="108" t="str">
        <f aca="false">IF(ISBLANK($C262),"",$B262)</f>
        <v/>
      </c>
      <c r="DJ262" s="108" t="str">
        <f aca="false">IF(ISBLANK($C262),"",$C262)</f>
        <v/>
      </c>
      <c r="DK262" s="108" t="str">
        <f aca="false">IF(ISBLANK($C262),"",$D262)</f>
        <v/>
      </c>
      <c r="DL262" s="109" t="str">
        <f aca="false">$CZ262</f>
        <v/>
      </c>
      <c r="DM262" s="110" t="str">
        <f aca="false">$CY262</f>
        <v/>
      </c>
      <c r="DN262" s="108" t="str">
        <f aca="false">IF(ISBLANK($C262),"",$DB262)</f>
        <v/>
      </c>
      <c r="DO262" s="111" t="str">
        <f aca="false">IF($DF262&gt;$DE$8,"",VLOOKUP($DF262,$DH$9:$DN$508,7,FALSE()))</f>
        <v/>
      </c>
      <c r="DP262" s="112" t="str">
        <f aca="false">IF($DF262&gt;$DE$8,"",VLOOKUP($DF262,$DH$9:$DN$508,2,FALSE()))</f>
        <v/>
      </c>
      <c r="DQ262" s="112" t="str">
        <f aca="false">IF($DF262&gt;$DE$8,"",VLOOKUP($DF262,$DH$9:$DN$508,3,FALSE()))</f>
        <v/>
      </c>
      <c r="DR262" s="112" t="str">
        <f aca="false">IF($DF262&gt;$DE$8,"",VLOOKUP($DF262,$DH$9:$DN$508,4,FALSE()))</f>
        <v/>
      </c>
      <c r="DS262" s="112" t="str">
        <f aca="false">IF($DF262&gt;$DE$8,"",VLOOKUP($DF262,$DH$9:$DN$508,5,FALSE()))</f>
        <v/>
      </c>
      <c r="DT262" s="113" t="str">
        <f aca="false">IF($DF262&gt;$DE$8,"",VLOOKUP($DF262,$DH$9:$DN$508,6,FALSE()))</f>
        <v/>
      </c>
      <c r="DU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IF(ISBLANK($C263),"",IF(E263=Constants!$B$3,TRUE(),IF(E263=Constants!$B$4,FALSE(),TRUE())))</f>
        <v/>
      </c>
      <c r="AG263" s="93" t="str">
        <f aca="false">IF(ISBLANK($C263),"",IF(F263=Constants!$B$3,TRUE(),IF(F263=Constants!$B$4,FALSE(),TRUE())))</f>
        <v/>
      </c>
      <c r="AH263" s="93" t="str">
        <f aca="false">IF(ISBLANK($C263),"",IF(G263=Constants!$B$3,TRUE(),IF(G263=Constants!$B$4,FALSE(),TRUE())))</f>
        <v/>
      </c>
      <c r="AI263" s="93" t="str">
        <f aca="false">IF(ISBLANK($C263),"",IF(AND(ISNUMBER(H263),H263&gt;=0),H263,Constants!$B$29))</f>
        <v/>
      </c>
      <c r="AJ263" s="93" t="str">
        <f aca="false">IF(ISBLANK($C263),"",IF(I263=Constants!$B$3,TRUE(),IF(I263=Constants!$B$4,FALSE(),TRUE())))</f>
        <v/>
      </c>
      <c r="AK263" s="93" t="str">
        <f aca="false">IF(ISBLANK($C263),"",IF(J263=Constants!$B$3,TRUE(),IF(J263=Constants!$B$4,FALSE(),TRUE())))</f>
        <v/>
      </c>
      <c r="AL263" s="93" t="str">
        <f aca="false">IF(ISBLANK($C263),"",IF(K263=Constants!$B$5,TRUE(),IF(K263=Constants!$B$6,FALSE(),COUNTA(L263:P263)&gt;0)))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IF(ISBLANK($C263),"",IF(N263=Constants!$B$3,TRUE(),IF(N263=Constants!$B$4,FALSE(),TRUE())))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IF(ISBLANK($C263),"",IF(P263=Constants!$B$3,TRUE(),IF(P263=Constants!$B$4,FALSE(),FALSE())))</f>
        <v/>
      </c>
      <c r="AR263" s="93" t="str">
        <f aca="false">IF(ISBLANK($C263),"",IF(Q263=Constants!$B$3,TRUE(),IF(Q263=Constants!$B$4,FALSE(),TRUE())))</f>
        <v/>
      </c>
      <c r="AS263" s="93" t="str">
        <f aca="false">IF(ISBLANK($C263),"",IF(R263=Constants!$B$3,TRUE(),IF(R263=Constants!$B$4,FALSE(),TRUE())))</f>
        <v/>
      </c>
      <c r="AT263" s="93" t="str">
        <f aca="false">IF(ISBLANK($C263),"",IF(S263=Constants!$B$5,TRUE(),IF(S263=Constants!$B$6,FALSE(),COUNTA(T263:X263)&gt;0)))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IF(ISBLANK($C263),"",IF(V263=Constants!$B$3,TRUE(),IF(V263=Constants!$B$4,FALSE(),TRUE())))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IF(ISBLANK($C263),"",IF(X263=Constants!$B$3,TRUE(),IF(X263=Constants!$B$4,FALSE(),FALSE())))</f>
        <v/>
      </c>
      <c r="AZ263" s="93" t="str">
        <f aca="false">IF(ISBLANK($C263),"",MIN(Constants!$B$31,MAX(0,IF(ISNUMBER(Y263),Y263*60,0)+IF(ISNUMBER(Z263),Z263,0))))</f>
        <v/>
      </c>
      <c r="BA263" s="93" t="str">
        <f aca="false">IF(ISBLANK($C263),"",IF(AA263=Constants!$B$3,TRUE(),IF(AA263=Constants!$B$4,FALSE(),FALSE())))</f>
        <v/>
      </c>
      <c r="BB263" s="92" t="str">
        <f aca="false">IF(ISBLANK($C263),"",AND($AL263,OR($AM263="",$AN263="",AND($AO263,$AP263=""))))</f>
        <v/>
      </c>
      <c r="BC263" s="94" t="str">
        <f aca="false">IF($BZ263&lt;&gt;Constants!$B$8,"",IF($AL263,Constants!$B$21*$AN263+Constants!$B$22*IF($AO263,$AP263,Constants!$B$23),Constants!$B$24))</f>
        <v/>
      </c>
      <c r="BD263" s="97" t="str">
        <f aca="false">IF($BZ263&lt;&gt;Constants!$B$8,"",Constants!$B$25*ABS($AD$9-IF($AL263,$AM263,0)))</f>
        <v/>
      </c>
      <c r="BE263" s="97" t="str">
        <f aca="false">IF($BZ263&lt;&gt;Constants!$B$8,"",IF(AND($AL263,$AQ263,$AO263),Constants!$B$27,0))</f>
        <v/>
      </c>
      <c r="BF263" s="97" t="str">
        <f aca="false">IF($BZ263&lt;&gt;Constants!$B$8,"",IF($AL263,($AI263-Constants!$B$29)*Constants!$B$28,0))</f>
        <v/>
      </c>
      <c r="BG263" s="97" t="str">
        <f aca="false">IF($BZ263&lt;&gt;Constants!$B$8,"",IF($AK263,0,Constants!$B$15)+IF($AJ263,0,Constants!$B$16)+IF($AH263,0,Constants!$B$17))</f>
        <v/>
      </c>
      <c r="BH263" s="98" t="str">
        <f aca="false">IF($BZ263&lt;&gt;Constants!$B$8,"",Constants!$B$20+SUM($BC263:$BG263))</f>
        <v/>
      </c>
      <c r="BI263" s="97" t="str">
        <f aca="false">IF($BZ263&lt;&gt;Constants!$B$8,"",$BC263)</f>
        <v/>
      </c>
      <c r="BJ263" s="97" t="str">
        <f aca="false">IF($BZ263&lt;&gt;Constants!$B$8,"",$BD263)</f>
        <v/>
      </c>
      <c r="BK263" s="97" t="str">
        <f aca="false">IF($BZ263&lt;&gt;Constants!$B$8,"",IF($AL263,$AN263,""))</f>
        <v/>
      </c>
      <c r="BL263" s="99" t="str">
        <f aca="false">IF($BZ263&lt;&gt;Constants!$B$8,"",$AI263)</f>
        <v/>
      </c>
      <c r="BM263" s="93" t="str">
        <f aca="false">IF($BZ263&lt;&gt;Constants!$B$8,"",IF(OR($BT263&lt;$BH263,AND($BT263=$BH263,OR($BU263&lt;$BI263,AND($BU263=$BI263,OR($BV263&lt;$BJ263,AND($BV263=$BJ263,OR(AND(ISNUMBER($BW263),OR(NOT(ISNUMBER($BK263)),$BW263&lt;$BK263)),AND(OR(AND($BW263="",$BK263=""),AND(ISNUMBER($BW263),ISNUMBER($BK263),$BW263=$BK263)),$BX263&lt;$BL263)))))))),"-&gt;","&lt;-"))</f>
        <v/>
      </c>
      <c r="BN263" s="92" t="str">
        <f aca="false">IF(ISBLANK($C263),"",AND($AT263,OR($AU263="",$AV263="",AND($AW263,$AX263=""))))</f>
        <v/>
      </c>
      <c r="BO263" s="94" t="str">
        <f aca="false">IF($BZ263&lt;&gt;Constants!$B$8,"",IF($AT263,Constants!$B$21*$AV263+Constants!$B$22*IF($AW263,$AX263,Constants!$B$23),Constants!$B$24))</f>
        <v/>
      </c>
      <c r="BP263" s="97" t="str">
        <f aca="false">IF($BZ263&lt;&gt;Constants!$B$8,"",Constants!$B$25*ABS($AD$9-IF($AT263,$AU263,0)))</f>
        <v/>
      </c>
      <c r="BQ263" s="97" t="str">
        <f aca="false">IF($BZ263&lt;&gt;Constants!$B$8,"",IF(AND($AT263,$AY263,$AW263),Constants!$B$27,0))</f>
        <v/>
      </c>
      <c r="BR263" s="97" t="str">
        <f aca="false">IF($BZ263&lt;&gt;Constants!$B$8,"",IF($AT263,($AI263-Constants!$B$29)*Constants!$B$28,0))</f>
        <v/>
      </c>
      <c r="BS263" s="97" t="str">
        <f aca="false">IF($BZ263&lt;&gt;Constants!$B$8,"",IF($AS263,0,Constants!$B$15)+IF($AR263,0,Constants!$B$16)+IF($AH263,0,Constants!$B$17))</f>
        <v/>
      </c>
      <c r="BT263" s="98" t="str">
        <f aca="false">IF($BZ263&lt;&gt;Constants!$B$8,"",Constants!$B$20+SUM($BO263:$BS263))</f>
        <v/>
      </c>
      <c r="BU263" s="97" t="str">
        <f aca="false">IF($BZ263&lt;&gt;Constants!$B$8,"",$BO263)</f>
        <v/>
      </c>
      <c r="BV263" s="97" t="str">
        <f aca="false">IF($BZ263&lt;&gt;Constants!$B$8,"",$BP263)</f>
        <v/>
      </c>
      <c r="BW263" s="97" t="str">
        <f aca="false">IF($BZ263&lt;&gt;Constants!$B$8,"",IF($AT263,$AV263,""))</f>
        <v/>
      </c>
      <c r="BX263" s="99" t="str">
        <f aca="false">IF($BZ263&lt;&gt;Constants!$B$8,"",$AI263)</f>
        <v/>
      </c>
      <c r="BY263" s="93" t="str">
        <f aca="false">IF(ISBLANK($C263),"",IF(ISBLANK($D$7),$BY$5,IF(NOT(ISNUMBER($D$7)),$BY$6,"")))</f>
        <v/>
      </c>
      <c r="BZ263" s="93" t="str">
        <f aca="false">IF(ISBLANK($C263),"",IF($BA263,Constants!$B$11,IF(COUNTA($E263:$AA263)=0,Constants!$B$10,IF(NOT($AG263),Constants!$B$9,IF(OR($BY263&lt;&gt;"",$BB263,$BN263),Constants!$B$12,Constants!$B$8)))))</f>
        <v/>
      </c>
      <c r="CA263" s="93" t="str">
        <f aca="false">IF(ISBLANK($C263),"",IF($BZ263&lt;&gt;Constants!$B$8,$BZ263,Constants!$B$13))</f>
        <v/>
      </c>
      <c r="CB263" s="97" t="str">
        <f aca="false">IF($BZ263&lt;&gt;Constants!$B$8,"",IF($BM263="-&gt;",$BT263,$BH263))</f>
        <v/>
      </c>
      <c r="CC263" s="97" t="str">
        <f aca="false">IF($BZ263&lt;&gt;Constants!$B$8,"",IF($AF263,0,Constants!$B$18))</f>
        <v/>
      </c>
      <c r="CD263" s="97" t="str">
        <f aca="false">IF($BZ263&lt;&gt;Constants!$B$8,"",((Constants!$B$31-$AZ263)-Constants!$B$31)/Constants!$B$32)</f>
        <v/>
      </c>
      <c r="CE263" s="97" t="str">
        <f aca="false">IF(ISBLANK($C263),"",IF($BZ263&lt;&gt;Constants!$B$8,$BZ263,SUM($CB263:$CD263)))</f>
        <v/>
      </c>
      <c r="CF263" s="93" t="str">
        <f aca="false">IF(ISBLANK($C263),"",IF($BZ263&lt;&gt;Constants!$B$8,$BZ263,RANK($CE263,$CE$9:$CE$508,1)))</f>
        <v/>
      </c>
      <c r="CG263" s="97" t="str">
        <f aca="false">IF($BZ263&lt;&gt;Constants!$B$8,"",IF($BM263="-&gt;",$BU263,$BI263))</f>
        <v/>
      </c>
      <c r="CH263" s="93" t="str">
        <f aca="false">IF(ISBLANK($C263),"",IF($BZ263&lt;&gt;Constants!$B$8,$BZ263,IF(ISNUMBER($CG263),RANK($CG263,$CG$9:$CG$508,1),COUNT($CG$9:$CG$508)+1)))</f>
        <v/>
      </c>
      <c r="CI263" s="97" t="str">
        <f aca="false">IF($BZ263&lt;&gt;Constants!$B$8,"",IF($BM263="-&gt;",$BV263,$BJ263))</f>
        <v/>
      </c>
      <c r="CJ263" s="93" t="str">
        <f aca="false">IF(ISBLANK($C263),"",IF($BZ263&lt;&gt;Constants!$B$8,$BZ263,IF(ISNUMBER($CI263),RANK($CI263,$CI$9:$CI$508,1),COUNT($CI$9:$CI$508)+1)))</f>
        <v/>
      </c>
      <c r="CK263" s="97" t="str">
        <f aca="false">IF($BZ263&lt;&gt;Constants!$B$8,"",IF($BM263="-&gt;",$BW263,$BK263))</f>
        <v/>
      </c>
      <c r="CL263" s="93" t="str">
        <f aca="false">IF(ISBLANK($C263),"",IF($BZ263&lt;&gt;Constants!$B$8,$BZ263,IF(ISNUMBER($CK263),RANK($CK263,$CK$9:$CK$508,1),COUNT($CK$9:$CK$508)+1)))</f>
        <v/>
      </c>
      <c r="CM263" s="97" t="str">
        <f aca="false">IF($BZ263&lt;&gt;Constants!$B$8,"",IF(AND(NOT($AL263),NOT($AT263),$AJ263,$AK263,$AR263,$AS263),"",IF($BM263="-&gt;",$BX263,$BL263)))</f>
        <v/>
      </c>
      <c r="CN263" s="93" t="str">
        <f aca="false">IF(ISBLANK($C263),"",IF($BZ263&lt;&gt;Constants!$B$8,$BZ263,IF(ISNUMBER($CM263),RANK($CM263,$CM$9:$CM$508,1),COUNT($CM$9:$CM$508)+1)))</f>
        <v/>
      </c>
      <c r="CO263" s="93" t="str">
        <f aca="false">IF(ISBLANK($C263),"",IF($BZ263&lt;&gt;Constants!$B$8,$BZ263,COUNTIFS($CF$9:$CF$508,"&lt;"&amp;$CF263)+COUNTIFS($CF$9:$CF$508,$CF263,$CH$9:$CH$508,"&lt;"&amp;$CH263)+COUNTIFS($CF$9:$CF$508,$CF263,$CH$9:$CH$508,$CH263,$CJ$9:$CJ$508,"&lt;"&amp;$CJ263)+COUNTIFS($CF$9:$CF$508,$CF263,$CH$9:$CH$508,$CH263,$CJ$9:$CJ$508,$CJ263,$CL$9:$CL$508,"&lt;"&amp;$CL263)+COUNTIFS($CF$9:$CF$508,$CF263,$CH$9:$CH$508,$CH263,$CJ$9:$CJ$508,$CJ263,$CL$9:$CL$508,$CL263,$CN$9:$CN$508,"&lt;"&amp;$CN263)+1))</f>
        <v/>
      </c>
      <c r="CP263" s="93" t="str">
        <f aca="false">IF(ISBLANK($C263),"",IF($BZ263&lt;&gt;Constants!$B$8,$BZ263,$CF263-$CO263))</f>
        <v/>
      </c>
      <c r="CQ263" s="100"/>
      <c r="CR263" s="101"/>
      <c r="CS263" s="102" t="str">
        <f aca="false">IF(ISBLANK($C263),"",IF($BZ263=Constants!$B$12,$BY263,""))</f>
        <v/>
      </c>
      <c r="CT263" s="101" t="str">
        <f aca="false">IF(ISBLANK($C263),"",IF($BZ263&lt;&gt;Constants!$B$8,"",IF($BM263="-&gt;",2,1)))</f>
        <v/>
      </c>
      <c r="CU263" s="103" t="str">
        <f aca="false">IF(ISBLANK($C263),"",IF($BZ263&lt;&gt;Constants!$B$8,"",IF($BM263="-&gt;",$BO263,$BC263)))</f>
        <v/>
      </c>
      <c r="CV263" s="103" t="str">
        <f aca="false">IF(ISBLANK($C263),"",IF($BZ263&lt;&gt;Constants!$B$8,"",IF($BM263="-&gt;",$BP263,$BD263)))</f>
        <v/>
      </c>
      <c r="CW263" s="103" t="str">
        <f aca="false">IF(ISBLANK($C263),"",IF($BZ263&lt;&gt;Constants!$B$8,"",IF($BM263="-&gt;",$BQ263+$BR263,$BE263+$BF263)+$CD263))</f>
        <v/>
      </c>
      <c r="CX263" s="103" t="str">
        <f aca="false">IF(ISBLANK($C263),"",IF($BZ263&lt;&gt;Constants!$B$8,"",IF($BM263="-&gt;",$BS263,$BG263)+$CC263))</f>
        <v/>
      </c>
      <c r="CY263" s="104" t="str">
        <f aca="false">IF(ISBLANK($C263),"",IF($BZ263&lt;&gt;Constants!$B$8,$BZ263,$CE263))</f>
        <v/>
      </c>
      <c r="CZ263" s="105" t="str">
        <f aca="false">IF(ISBLANK($C263),"",$CA263)</f>
        <v/>
      </c>
      <c r="DA263" s="106" t="str">
        <f aca="false">IF(ISBLANK($C263),"",$CP263)</f>
        <v/>
      </c>
      <c r="DB263" s="106" t="str">
        <f aca="false">IF(ISBLANK($C263),"",$CO263)</f>
        <v/>
      </c>
      <c r="DC263" s="107" t="str">
        <f aca="false">IF(ISBLANK($C263),"",IFERROR(_xlfn.SWITCH($DB263,Constants!$B$11,COUNTA($C$9:$C$508)+2,Constants!$B$10,COUNTA($C$9:$C$508)+1,Constants!$B$9,COUNTA($C$9:$C$508)),$DB263))</f>
        <v/>
      </c>
      <c r="DD263" s="9"/>
      <c r="DE263" s="108" t="n">
        <f aca="false">IF(OR(ISNUMBER($DB263),$DB263=Constants!$B$11,$DB263=Constants!$B$9,$DB263=Constants!$B$10),1,0)</f>
        <v>0</v>
      </c>
      <c r="DF263" s="108" t="n">
        <v>255</v>
      </c>
      <c r="DG263" s="108" t="str">
        <f aca="false">IF(ISBLANK($C263),"",IF(ISNUMBER($DC263),$DC263+ROW($B263)/1000,""))</f>
        <v/>
      </c>
      <c r="DH263" s="108" t="str">
        <f aca="false">IF(ISNUMBER($DG263),RANK($DG263,$DG$9:$DG$508,1),"")</f>
        <v/>
      </c>
      <c r="DI263" s="108" t="str">
        <f aca="false">IF(ISBLANK($C263),"",$B263)</f>
        <v/>
      </c>
      <c r="DJ263" s="108" t="str">
        <f aca="false">IF(ISBLANK($C263),"",$C263)</f>
        <v/>
      </c>
      <c r="DK263" s="108" t="str">
        <f aca="false">IF(ISBLANK($C263),"",$D263)</f>
        <v/>
      </c>
      <c r="DL263" s="109" t="str">
        <f aca="false">$CZ263</f>
        <v/>
      </c>
      <c r="DM263" s="110" t="str">
        <f aca="false">$CY263</f>
        <v/>
      </c>
      <c r="DN263" s="108" t="str">
        <f aca="false">IF(ISBLANK($C263),"",$DB263)</f>
        <v/>
      </c>
      <c r="DO263" s="111" t="str">
        <f aca="false">IF($DF263&gt;$DE$8,"",VLOOKUP($DF263,$DH$9:$DN$508,7,FALSE()))</f>
        <v/>
      </c>
      <c r="DP263" s="112" t="str">
        <f aca="false">IF($DF263&gt;$DE$8,"",VLOOKUP($DF263,$DH$9:$DN$508,2,FALSE()))</f>
        <v/>
      </c>
      <c r="DQ263" s="112" t="str">
        <f aca="false">IF($DF263&gt;$DE$8,"",VLOOKUP($DF263,$DH$9:$DN$508,3,FALSE()))</f>
        <v/>
      </c>
      <c r="DR263" s="112" t="str">
        <f aca="false">IF($DF263&gt;$DE$8,"",VLOOKUP($DF263,$DH$9:$DN$508,4,FALSE()))</f>
        <v/>
      </c>
      <c r="DS263" s="112" t="str">
        <f aca="false">IF($DF263&gt;$DE$8,"",VLOOKUP($DF263,$DH$9:$DN$508,5,FALSE()))</f>
        <v/>
      </c>
      <c r="DT263" s="113" t="str">
        <f aca="false">IF($DF263&gt;$DE$8,"",VLOOKUP($DF263,$DH$9:$DN$508,6,FALSE()))</f>
        <v/>
      </c>
      <c r="DU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IF(ISBLANK($C264),"",IF(E264=Constants!$B$3,TRUE(),IF(E264=Constants!$B$4,FALSE(),TRUE())))</f>
        <v/>
      </c>
      <c r="AG264" s="135" t="str">
        <f aca="false">IF(ISBLANK($C264),"",IF(F264=Constants!$B$3,TRUE(),IF(F264=Constants!$B$4,FALSE(),TRUE())))</f>
        <v/>
      </c>
      <c r="AH264" s="135" t="str">
        <f aca="false">IF(ISBLANK($C264),"",IF(G264=Constants!$B$3,TRUE(),IF(G264=Constants!$B$4,FALSE(),TRUE())))</f>
        <v/>
      </c>
      <c r="AI264" s="135" t="str">
        <f aca="false">IF(ISBLANK($C264),"",IF(AND(ISNUMBER(H264),H264&gt;=0),H264,Constants!$B$29))</f>
        <v/>
      </c>
      <c r="AJ264" s="135" t="str">
        <f aca="false">IF(ISBLANK($C264),"",IF(I264=Constants!$B$3,TRUE(),IF(I264=Constants!$B$4,FALSE(),TRUE())))</f>
        <v/>
      </c>
      <c r="AK264" s="135" t="str">
        <f aca="false">IF(ISBLANK($C264),"",IF(J264=Constants!$B$3,TRUE(),IF(J264=Constants!$B$4,FALSE(),TRUE())))</f>
        <v/>
      </c>
      <c r="AL264" s="135" t="str">
        <f aca="false">IF(ISBLANK($C264),"",IF(K264=Constants!$B$5,TRUE(),IF(K264=Constants!$B$6,FALSE(),COUNTA(L264:P264)&gt;0)))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IF(ISBLANK($C264),"",IF(N264=Constants!$B$3,TRUE(),IF(N264=Constants!$B$4,FALSE(),TRUE())))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IF(ISBLANK($C264),"",IF(P264=Constants!$B$3,TRUE(),IF(P264=Constants!$B$4,FALSE(),FALSE())))</f>
        <v/>
      </c>
      <c r="AR264" s="135" t="str">
        <f aca="false">IF(ISBLANK($C264),"",IF(Q264=Constants!$B$3,TRUE(),IF(Q264=Constants!$B$4,FALSE(),TRUE())))</f>
        <v/>
      </c>
      <c r="AS264" s="135" t="str">
        <f aca="false">IF(ISBLANK($C264),"",IF(R264=Constants!$B$3,TRUE(),IF(R264=Constants!$B$4,FALSE(),TRUE())))</f>
        <v/>
      </c>
      <c r="AT264" s="135" t="str">
        <f aca="false">IF(ISBLANK($C264),"",IF(S264=Constants!$B$5,TRUE(),IF(S264=Constants!$B$6,FALSE(),COUNTA(T264:X264)&gt;0)))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IF(ISBLANK($C264),"",IF(V264=Constants!$B$3,TRUE(),IF(V264=Constants!$B$4,FALSE(),TRUE())))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IF(ISBLANK($C264),"",IF(X264=Constants!$B$3,TRUE(),IF(X264=Constants!$B$4,FALSE(),FALSE())))</f>
        <v/>
      </c>
      <c r="AZ264" s="135" t="str">
        <f aca="false">IF(ISBLANK($C264),"",MIN(Constants!$B$31,MAX(0,IF(ISNUMBER(Y264),Y264*60,0)+IF(ISNUMBER(Z264),Z264,0))))</f>
        <v/>
      </c>
      <c r="BA264" s="135" t="str">
        <f aca="false">IF(ISBLANK($C264),"",IF(AA264=Constants!$B$3,TRUE(),IF(AA264=Constants!$B$4,FALSE(),FALSE())))</f>
        <v/>
      </c>
      <c r="BB264" s="134" t="str">
        <f aca="false">IF(ISBLANK($C264),"",AND($AL264,OR($AM264="",$AN264="",AND($AO264,$AP264=""))))</f>
        <v/>
      </c>
      <c r="BC264" s="137" t="str">
        <f aca="false">IF($BZ264&lt;&gt;Constants!$B$8,"",IF($AL264,Constants!$B$21*$AN264+Constants!$B$22*IF($AO264,$AP264,Constants!$B$23),Constants!$B$24))</f>
        <v/>
      </c>
      <c r="BD264" s="138" t="str">
        <f aca="false">IF($BZ264&lt;&gt;Constants!$B$8,"",Constants!$B$25*ABS($AD$9-IF($AL264,$AM264,0)))</f>
        <v/>
      </c>
      <c r="BE264" s="138" t="str">
        <f aca="false">IF($BZ264&lt;&gt;Constants!$B$8,"",IF(AND($AL264,$AQ264,$AO264),Constants!$B$27,0))</f>
        <v/>
      </c>
      <c r="BF264" s="138" t="str">
        <f aca="false">IF($BZ264&lt;&gt;Constants!$B$8,"",IF($AL264,($AI264-Constants!$B$29)*Constants!$B$28,0))</f>
        <v/>
      </c>
      <c r="BG264" s="138" t="str">
        <f aca="false">IF($BZ264&lt;&gt;Constants!$B$8,"",IF($AK264,0,Constants!$B$15)+IF($AJ264,0,Constants!$B$16)+IF($AH264,0,Constants!$B$17))</f>
        <v/>
      </c>
      <c r="BH264" s="139" t="str">
        <f aca="false">IF($BZ264&lt;&gt;Constants!$B$8,"",Constants!$B$20+SUM($BC264:$BG264))</f>
        <v/>
      </c>
      <c r="BI264" s="138" t="str">
        <f aca="false">IF($BZ264&lt;&gt;Constants!$B$8,"",$BC264)</f>
        <v/>
      </c>
      <c r="BJ264" s="138" t="str">
        <f aca="false">IF($BZ264&lt;&gt;Constants!$B$8,"",$BD264)</f>
        <v/>
      </c>
      <c r="BK264" s="138" t="str">
        <f aca="false">IF($BZ264&lt;&gt;Constants!$B$8,"",IF($AL264,$AN264,""))</f>
        <v/>
      </c>
      <c r="BL264" s="140" t="str">
        <f aca="false">IF($BZ264&lt;&gt;Constants!$B$8,"",$AI264)</f>
        <v/>
      </c>
      <c r="BM264" s="135" t="str">
        <f aca="false">IF($BZ264&lt;&gt;Constants!$B$8,"",IF(OR($BT264&lt;$BH264,AND($BT264=$BH264,OR($BU264&lt;$BI264,AND($BU264=$BI264,OR($BV264&lt;$BJ264,AND($BV264=$BJ264,OR(AND(ISNUMBER($BW264),OR(NOT(ISNUMBER($BK264)),$BW264&lt;$BK264)),AND(OR(AND($BW264="",$BK264=""),AND(ISNUMBER($BW264),ISNUMBER($BK264),$BW264=$BK264)),$BX264&lt;$BL264)))))))),"-&gt;","&lt;-"))</f>
        <v/>
      </c>
      <c r="BN264" s="134" t="str">
        <f aca="false">IF(ISBLANK($C264),"",AND($AT264,OR($AU264="",$AV264="",AND($AW264,$AX264=""))))</f>
        <v/>
      </c>
      <c r="BO264" s="137" t="str">
        <f aca="false">IF($BZ264&lt;&gt;Constants!$B$8,"",IF($AT264,Constants!$B$21*$AV264+Constants!$B$22*IF($AW264,$AX264,Constants!$B$23),Constants!$B$24))</f>
        <v/>
      </c>
      <c r="BP264" s="138" t="str">
        <f aca="false">IF($BZ264&lt;&gt;Constants!$B$8,"",Constants!$B$25*ABS($AD$9-IF($AT264,$AU264,0)))</f>
        <v/>
      </c>
      <c r="BQ264" s="138" t="str">
        <f aca="false">IF($BZ264&lt;&gt;Constants!$B$8,"",IF(AND($AT264,$AY264,$AW264),Constants!$B$27,0))</f>
        <v/>
      </c>
      <c r="BR264" s="138" t="str">
        <f aca="false">IF($BZ264&lt;&gt;Constants!$B$8,"",IF($AT264,($AI264-Constants!$B$29)*Constants!$B$28,0))</f>
        <v/>
      </c>
      <c r="BS264" s="138" t="str">
        <f aca="false">IF($BZ264&lt;&gt;Constants!$B$8,"",IF($AS264,0,Constants!$B$15)+IF($AR264,0,Constants!$B$16)+IF($AH264,0,Constants!$B$17))</f>
        <v/>
      </c>
      <c r="BT264" s="139" t="str">
        <f aca="false">IF($BZ264&lt;&gt;Constants!$B$8,"",Constants!$B$20+SUM($BO264:$BS264))</f>
        <v/>
      </c>
      <c r="BU264" s="138" t="str">
        <f aca="false">IF($BZ264&lt;&gt;Constants!$B$8,"",$BO264)</f>
        <v/>
      </c>
      <c r="BV264" s="138" t="str">
        <f aca="false">IF($BZ264&lt;&gt;Constants!$B$8,"",$BP264)</f>
        <v/>
      </c>
      <c r="BW264" s="138" t="str">
        <f aca="false">IF($BZ264&lt;&gt;Constants!$B$8,"",IF($AT264,$AV264,""))</f>
        <v/>
      </c>
      <c r="BX264" s="140" t="str">
        <f aca="false">IF($BZ264&lt;&gt;Constants!$B$8,"",$AI264)</f>
        <v/>
      </c>
      <c r="BY264" s="135" t="str">
        <f aca="false">IF(ISBLANK($C264),"",IF(ISBLANK($D$7),$BY$5,IF(NOT(ISNUMBER($D$7)),$BY$6,"")))</f>
        <v/>
      </c>
      <c r="BZ264" s="135" t="str">
        <f aca="false">IF(ISBLANK($C264),"",IF($BA264,Constants!$B$11,IF(COUNTA($E264:$AA264)=0,Constants!$B$10,IF(NOT($AG264),Constants!$B$9,IF(OR($BY264&lt;&gt;"",$BB264,$BN264),Constants!$B$12,Constants!$B$8)))))</f>
        <v/>
      </c>
      <c r="CA264" s="135" t="str">
        <f aca="false">IF(ISBLANK($C264),"",IF($BZ264&lt;&gt;Constants!$B$8,$BZ264,Constants!$B$13))</f>
        <v/>
      </c>
      <c r="CB264" s="138" t="str">
        <f aca="false">IF($BZ264&lt;&gt;Constants!$B$8,"",IF($BM264="-&gt;",$BT264,$BH264))</f>
        <v/>
      </c>
      <c r="CC264" s="138" t="str">
        <f aca="false">IF($BZ264&lt;&gt;Constants!$B$8,"",IF($AF264,0,Constants!$B$18))</f>
        <v/>
      </c>
      <c r="CD264" s="138" t="str">
        <f aca="false">IF($BZ264&lt;&gt;Constants!$B$8,"",((Constants!$B$31-$AZ264)-Constants!$B$31)/Constants!$B$32)</f>
        <v/>
      </c>
      <c r="CE264" s="138" t="str">
        <f aca="false">IF(ISBLANK($C264),"",IF($BZ264&lt;&gt;Constants!$B$8,$BZ264,SUM($CB264:$CD264)))</f>
        <v/>
      </c>
      <c r="CF264" s="135" t="str">
        <f aca="false">IF(ISBLANK($C264),"",IF($BZ264&lt;&gt;Constants!$B$8,$BZ264,RANK($CE264,$CE$9:$CE$508,1)))</f>
        <v/>
      </c>
      <c r="CG264" s="138" t="str">
        <f aca="false">IF($BZ264&lt;&gt;Constants!$B$8,"",IF($BM264="-&gt;",$BU264,$BI264))</f>
        <v/>
      </c>
      <c r="CH264" s="135" t="str">
        <f aca="false">IF(ISBLANK($C264),"",IF($BZ264&lt;&gt;Constants!$B$8,$BZ264,IF(ISNUMBER($CG264),RANK($CG264,$CG$9:$CG$508,1),COUNT($CG$9:$CG$508)+1)))</f>
        <v/>
      </c>
      <c r="CI264" s="138" t="str">
        <f aca="false">IF($BZ264&lt;&gt;Constants!$B$8,"",IF($BM264="-&gt;",$BV264,$BJ264))</f>
        <v/>
      </c>
      <c r="CJ264" s="135" t="str">
        <f aca="false">IF(ISBLANK($C264),"",IF($BZ264&lt;&gt;Constants!$B$8,$BZ264,IF(ISNUMBER($CI264),RANK($CI264,$CI$9:$CI$508,1),COUNT($CI$9:$CI$508)+1)))</f>
        <v/>
      </c>
      <c r="CK264" s="138" t="str">
        <f aca="false">IF($BZ264&lt;&gt;Constants!$B$8,"",IF($BM264="-&gt;",$BW264,$BK264))</f>
        <v/>
      </c>
      <c r="CL264" s="135" t="str">
        <f aca="false">IF(ISBLANK($C264),"",IF($BZ264&lt;&gt;Constants!$B$8,$BZ264,IF(ISNUMBER($CK264),RANK($CK264,$CK$9:$CK$508,1),COUNT($CK$9:$CK$508)+1)))</f>
        <v/>
      </c>
      <c r="CM264" s="138" t="str">
        <f aca="false">IF($BZ264&lt;&gt;Constants!$B$8,"",IF(AND(NOT($AL264),NOT($AT264),$AJ264,$AK264,$AR264,$AS264),"",IF($BM264="-&gt;",$BX264,$BL264)))</f>
        <v/>
      </c>
      <c r="CN264" s="135" t="str">
        <f aca="false">IF(ISBLANK($C264),"",IF($BZ264&lt;&gt;Constants!$B$8,$BZ264,IF(ISNUMBER($CM264),RANK($CM264,$CM$9:$CM$508,1),COUNT($CM$9:$CM$508)+1)))</f>
        <v/>
      </c>
      <c r="CO264" s="135" t="str">
        <f aca="false">IF(ISBLANK($C264),"",IF($BZ264&lt;&gt;Constants!$B$8,$BZ264,COUNTIFS($CF$9:$CF$508,"&lt;"&amp;$CF264)+COUNTIFS($CF$9:$CF$508,$CF264,$CH$9:$CH$508,"&lt;"&amp;$CH264)+COUNTIFS($CF$9:$CF$508,$CF264,$CH$9:$CH$508,$CH264,$CJ$9:$CJ$508,"&lt;"&amp;$CJ264)+COUNTIFS($CF$9:$CF$508,$CF264,$CH$9:$CH$508,$CH264,$CJ$9:$CJ$508,$CJ264,$CL$9:$CL$508,"&lt;"&amp;$CL264)+COUNTIFS($CF$9:$CF$508,$CF264,$CH$9:$CH$508,$CH264,$CJ$9:$CJ$508,$CJ264,$CL$9:$CL$508,$CL264,$CN$9:$CN$508,"&lt;"&amp;$CN264)+1))</f>
        <v/>
      </c>
      <c r="CP264" s="135" t="str">
        <f aca="false">IF(ISBLANK($C264),"",IF($BZ264&lt;&gt;Constants!$B$8,$BZ264,$CF264-$CO264))</f>
        <v/>
      </c>
      <c r="CQ264" s="141"/>
      <c r="CR264" s="142"/>
      <c r="CS264" s="143" t="str">
        <f aca="false">IF(ISBLANK($C264),"",IF($BZ264=Constants!$B$12,$BY264,""))</f>
        <v/>
      </c>
      <c r="CT264" s="142" t="str">
        <f aca="false">IF(ISBLANK($C264),"",IF($BZ264&lt;&gt;Constants!$B$8,"",IF($BM264="-&gt;",2,1)))</f>
        <v/>
      </c>
      <c r="CU264" s="144" t="str">
        <f aca="false">IF(ISBLANK($C264),"",IF($BZ264&lt;&gt;Constants!$B$8,"",IF($BM264="-&gt;",$BO264,$BC264)))</f>
        <v/>
      </c>
      <c r="CV264" s="144" t="str">
        <f aca="false">IF(ISBLANK($C264),"",IF($BZ264&lt;&gt;Constants!$B$8,"",IF($BM264="-&gt;",$BP264,$BD264)))</f>
        <v/>
      </c>
      <c r="CW264" s="144" t="str">
        <f aca="false">IF(ISBLANK($C264),"",IF($BZ264&lt;&gt;Constants!$B$8,"",IF($BM264="-&gt;",$BQ264+$BR264,$BE264+$BF264)+$CD264))</f>
        <v/>
      </c>
      <c r="CX264" s="144" t="str">
        <f aca="false">IF(ISBLANK($C264),"",IF($BZ264&lt;&gt;Constants!$B$8,"",IF($BM264="-&gt;",$BS264,$BG264)+$CC264))</f>
        <v/>
      </c>
      <c r="CY264" s="145" t="str">
        <f aca="false">IF(ISBLANK($C264),"",IF($BZ264&lt;&gt;Constants!$B$8,$BZ264,$CE264))</f>
        <v/>
      </c>
      <c r="CZ264" s="146" t="str">
        <f aca="false">IF(ISBLANK($C264),"",$CA264)</f>
        <v/>
      </c>
      <c r="DA264" s="147" t="str">
        <f aca="false">IF(ISBLANK($C264),"",$CP264)</f>
        <v/>
      </c>
      <c r="DB264" s="147" t="str">
        <f aca="false">IF(ISBLANK($C264),"",$CO264)</f>
        <v/>
      </c>
      <c r="DC264" s="148" t="str">
        <f aca="false">IF(ISBLANK($C264),"",IFERROR(_xlfn.SWITCH($DB264,Constants!$B$11,COUNTA($C$9:$C$508)+2,Constants!$B$10,COUNTA($C$9:$C$508)+1,Constants!$B$9,COUNTA($C$9:$C$508)),$DB264))</f>
        <v/>
      </c>
      <c r="DD264" s="9"/>
      <c r="DE264" s="149" t="n">
        <f aca="false">IF(OR(ISNUMBER($DB264),$DB264=Constants!$B$11,$DB264=Constants!$B$9,$DB264=Constants!$B$10),1,0)</f>
        <v>0</v>
      </c>
      <c r="DF264" s="149" t="n">
        <v>256</v>
      </c>
      <c r="DG264" s="149" t="str">
        <f aca="false">IF(ISBLANK($C264),"",IF(ISNUMBER($DC264),$DC264+ROW($B264)/1000,""))</f>
        <v/>
      </c>
      <c r="DH264" s="149" t="str">
        <f aca="false">IF(ISNUMBER($DG264),RANK($DG264,$DG$9:$DG$508,1),"")</f>
        <v/>
      </c>
      <c r="DI264" s="149" t="str">
        <f aca="false">IF(ISBLANK($C264),"",$B264)</f>
        <v/>
      </c>
      <c r="DJ264" s="149" t="str">
        <f aca="false">IF(ISBLANK($C264),"",$C264)</f>
        <v/>
      </c>
      <c r="DK264" s="149" t="str">
        <f aca="false">IF(ISBLANK($C264),"",$D264)</f>
        <v/>
      </c>
      <c r="DL264" s="150" t="str">
        <f aca="false">$CZ264</f>
        <v/>
      </c>
      <c r="DM264" s="151" t="str">
        <f aca="false">$CY264</f>
        <v/>
      </c>
      <c r="DN264" s="149" t="str">
        <f aca="false">IF(ISBLANK($C264),"",$DB264)</f>
        <v/>
      </c>
      <c r="DO264" s="152" t="str">
        <f aca="false">IF($DF264&gt;$DE$8,"",VLOOKUP($DF264,$DH$9:$DN$508,7,FALSE()))</f>
        <v/>
      </c>
      <c r="DP264" s="153" t="str">
        <f aca="false">IF($DF264&gt;$DE$8,"",VLOOKUP($DF264,$DH$9:$DN$508,2,FALSE()))</f>
        <v/>
      </c>
      <c r="DQ264" s="153" t="str">
        <f aca="false">IF($DF264&gt;$DE$8,"",VLOOKUP($DF264,$DH$9:$DN$508,3,FALSE()))</f>
        <v/>
      </c>
      <c r="DR264" s="153" t="str">
        <f aca="false">IF($DF264&gt;$DE$8,"",VLOOKUP($DF264,$DH$9:$DN$508,4,FALSE()))</f>
        <v/>
      </c>
      <c r="DS264" s="153" t="str">
        <f aca="false">IF($DF264&gt;$DE$8,"",VLOOKUP($DF264,$DH$9:$DN$508,5,FALSE()))</f>
        <v/>
      </c>
      <c r="DT264" s="154" t="str">
        <f aca="false">IF($DF264&gt;$DE$8,"",VLOOKUP($DF264,$DH$9:$DN$508,6,FALSE()))</f>
        <v/>
      </c>
      <c r="DU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IF(ISBLANK($C265),"",IF(E265=Constants!$B$3,TRUE(),IF(E265=Constants!$B$4,FALSE(),TRUE())))</f>
        <v/>
      </c>
      <c r="AG265" s="135" t="str">
        <f aca="false">IF(ISBLANK($C265),"",IF(F265=Constants!$B$3,TRUE(),IF(F265=Constants!$B$4,FALSE(),TRUE())))</f>
        <v/>
      </c>
      <c r="AH265" s="135" t="str">
        <f aca="false">IF(ISBLANK($C265),"",IF(G265=Constants!$B$3,TRUE(),IF(G265=Constants!$B$4,FALSE(),TRUE())))</f>
        <v/>
      </c>
      <c r="AI265" s="135" t="str">
        <f aca="false">IF(ISBLANK($C265),"",IF(AND(ISNUMBER(H265),H265&gt;=0),H265,Constants!$B$29))</f>
        <v/>
      </c>
      <c r="AJ265" s="135" t="str">
        <f aca="false">IF(ISBLANK($C265),"",IF(I265=Constants!$B$3,TRUE(),IF(I265=Constants!$B$4,FALSE(),TRUE())))</f>
        <v/>
      </c>
      <c r="AK265" s="135" t="str">
        <f aca="false">IF(ISBLANK($C265),"",IF(J265=Constants!$B$3,TRUE(),IF(J265=Constants!$B$4,FALSE(),TRUE())))</f>
        <v/>
      </c>
      <c r="AL265" s="135" t="str">
        <f aca="false">IF(ISBLANK($C265),"",IF(K265=Constants!$B$5,TRUE(),IF(K265=Constants!$B$6,FALSE(),COUNTA(L265:P265)&gt;0)))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IF(ISBLANK($C265),"",IF(N265=Constants!$B$3,TRUE(),IF(N265=Constants!$B$4,FALSE(),TRUE())))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IF(ISBLANK($C265),"",IF(P265=Constants!$B$3,TRUE(),IF(P265=Constants!$B$4,FALSE(),FALSE())))</f>
        <v/>
      </c>
      <c r="AR265" s="135" t="str">
        <f aca="false">IF(ISBLANK($C265),"",IF(Q265=Constants!$B$3,TRUE(),IF(Q265=Constants!$B$4,FALSE(),TRUE())))</f>
        <v/>
      </c>
      <c r="AS265" s="135" t="str">
        <f aca="false">IF(ISBLANK($C265),"",IF(R265=Constants!$B$3,TRUE(),IF(R265=Constants!$B$4,FALSE(),TRUE())))</f>
        <v/>
      </c>
      <c r="AT265" s="135" t="str">
        <f aca="false">IF(ISBLANK($C265),"",IF(S265=Constants!$B$5,TRUE(),IF(S265=Constants!$B$6,FALSE(),COUNTA(T265:X265)&gt;0)))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IF(ISBLANK($C265),"",IF(V265=Constants!$B$3,TRUE(),IF(V265=Constants!$B$4,FALSE(),TRUE())))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IF(ISBLANK($C265),"",IF(X265=Constants!$B$3,TRUE(),IF(X265=Constants!$B$4,FALSE(),FALSE())))</f>
        <v/>
      </c>
      <c r="AZ265" s="135" t="str">
        <f aca="false">IF(ISBLANK($C265),"",MIN(Constants!$B$31,MAX(0,IF(ISNUMBER(Y265),Y265*60,0)+IF(ISNUMBER(Z265),Z265,0))))</f>
        <v/>
      </c>
      <c r="BA265" s="135" t="str">
        <f aca="false">IF(ISBLANK($C265),"",IF(AA265=Constants!$B$3,TRUE(),IF(AA265=Constants!$B$4,FALSE(),FALSE())))</f>
        <v/>
      </c>
      <c r="BB265" s="134" t="str">
        <f aca="false">IF(ISBLANK($C265),"",AND($AL265,OR($AM265="",$AN265="",AND($AO265,$AP265=""))))</f>
        <v/>
      </c>
      <c r="BC265" s="137" t="str">
        <f aca="false">IF($BZ265&lt;&gt;Constants!$B$8,"",IF($AL265,Constants!$B$21*$AN265+Constants!$B$22*IF($AO265,$AP265,Constants!$B$23),Constants!$B$24))</f>
        <v/>
      </c>
      <c r="BD265" s="138" t="str">
        <f aca="false">IF($BZ265&lt;&gt;Constants!$B$8,"",Constants!$B$25*ABS($AD$9-IF($AL265,$AM265,0)))</f>
        <v/>
      </c>
      <c r="BE265" s="138" t="str">
        <f aca="false">IF($BZ265&lt;&gt;Constants!$B$8,"",IF(AND($AL265,$AQ265,$AO265),Constants!$B$27,0))</f>
        <v/>
      </c>
      <c r="BF265" s="138" t="str">
        <f aca="false">IF($BZ265&lt;&gt;Constants!$B$8,"",IF($AL265,($AI265-Constants!$B$29)*Constants!$B$28,0))</f>
        <v/>
      </c>
      <c r="BG265" s="138" t="str">
        <f aca="false">IF($BZ265&lt;&gt;Constants!$B$8,"",IF($AK265,0,Constants!$B$15)+IF($AJ265,0,Constants!$B$16)+IF($AH265,0,Constants!$B$17))</f>
        <v/>
      </c>
      <c r="BH265" s="139" t="str">
        <f aca="false">IF($BZ265&lt;&gt;Constants!$B$8,"",Constants!$B$20+SUM($BC265:$BG265))</f>
        <v/>
      </c>
      <c r="BI265" s="138" t="str">
        <f aca="false">IF($BZ265&lt;&gt;Constants!$B$8,"",$BC265)</f>
        <v/>
      </c>
      <c r="BJ265" s="138" t="str">
        <f aca="false">IF($BZ265&lt;&gt;Constants!$B$8,"",$BD265)</f>
        <v/>
      </c>
      <c r="BK265" s="138" t="str">
        <f aca="false">IF($BZ265&lt;&gt;Constants!$B$8,"",IF($AL265,$AN265,""))</f>
        <v/>
      </c>
      <c r="BL265" s="140" t="str">
        <f aca="false">IF($BZ265&lt;&gt;Constants!$B$8,"",$AI265)</f>
        <v/>
      </c>
      <c r="BM265" s="135" t="str">
        <f aca="false">IF($BZ265&lt;&gt;Constants!$B$8,"",IF(OR($BT265&lt;$BH265,AND($BT265=$BH265,OR($BU265&lt;$BI265,AND($BU265=$BI265,OR($BV265&lt;$BJ265,AND($BV265=$BJ265,OR(AND(ISNUMBER($BW265),OR(NOT(ISNUMBER($BK265)),$BW265&lt;$BK265)),AND(OR(AND($BW265="",$BK265=""),AND(ISNUMBER($BW265),ISNUMBER($BK265),$BW265=$BK265)),$BX265&lt;$BL265)))))))),"-&gt;","&lt;-"))</f>
        <v/>
      </c>
      <c r="BN265" s="134" t="str">
        <f aca="false">IF(ISBLANK($C265),"",AND($AT265,OR($AU265="",$AV265="",AND($AW265,$AX265=""))))</f>
        <v/>
      </c>
      <c r="BO265" s="137" t="str">
        <f aca="false">IF($BZ265&lt;&gt;Constants!$B$8,"",IF($AT265,Constants!$B$21*$AV265+Constants!$B$22*IF($AW265,$AX265,Constants!$B$23),Constants!$B$24))</f>
        <v/>
      </c>
      <c r="BP265" s="138" t="str">
        <f aca="false">IF($BZ265&lt;&gt;Constants!$B$8,"",Constants!$B$25*ABS($AD$9-IF($AT265,$AU265,0)))</f>
        <v/>
      </c>
      <c r="BQ265" s="138" t="str">
        <f aca="false">IF($BZ265&lt;&gt;Constants!$B$8,"",IF(AND($AT265,$AY265,$AW265),Constants!$B$27,0))</f>
        <v/>
      </c>
      <c r="BR265" s="138" t="str">
        <f aca="false">IF($BZ265&lt;&gt;Constants!$B$8,"",IF($AT265,($AI265-Constants!$B$29)*Constants!$B$28,0))</f>
        <v/>
      </c>
      <c r="BS265" s="138" t="str">
        <f aca="false">IF($BZ265&lt;&gt;Constants!$B$8,"",IF($AS265,0,Constants!$B$15)+IF($AR265,0,Constants!$B$16)+IF($AH265,0,Constants!$B$17))</f>
        <v/>
      </c>
      <c r="BT265" s="139" t="str">
        <f aca="false">IF($BZ265&lt;&gt;Constants!$B$8,"",Constants!$B$20+SUM($BO265:$BS265))</f>
        <v/>
      </c>
      <c r="BU265" s="138" t="str">
        <f aca="false">IF($BZ265&lt;&gt;Constants!$B$8,"",$BO265)</f>
        <v/>
      </c>
      <c r="BV265" s="138" t="str">
        <f aca="false">IF($BZ265&lt;&gt;Constants!$B$8,"",$BP265)</f>
        <v/>
      </c>
      <c r="BW265" s="138" t="str">
        <f aca="false">IF($BZ265&lt;&gt;Constants!$B$8,"",IF($AT265,$AV265,""))</f>
        <v/>
      </c>
      <c r="BX265" s="140" t="str">
        <f aca="false">IF($BZ265&lt;&gt;Constants!$B$8,"",$AI265)</f>
        <v/>
      </c>
      <c r="BY265" s="135" t="str">
        <f aca="false">IF(ISBLANK($C265),"",IF(ISBLANK($D$7),$BY$5,IF(NOT(ISNUMBER($D$7)),$BY$6,"")))</f>
        <v/>
      </c>
      <c r="BZ265" s="135" t="str">
        <f aca="false">IF(ISBLANK($C265),"",IF($BA265,Constants!$B$11,IF(COUNTA($E265:$AA265)=0,Constants!$B$10,IF(NOT($AG265),Constants!$B$9,IF(OR($BY265&lt;&gt;"",$BB265,$BN265),Constants!$B$12,Constants!$B$8)))))</f>
        <v/>
      </c>
      <c r="CA265" s="135" t="str">
        <f aca="false">IF(ISBLANK($C265),"",IF($BZ265&lt;&gt;Constants!$B$8,$BZ265,Constants!$B$13))</f>
        <v/>
      </c>
      <c r="CB265" s="138" t="str">
        <f aca="false">IF($BZ265&lt;&gt;Constants!$B$8,"",IF($BM265="-&gt;",$BT265,$BH265))</f>
        <v/>
      </c>
      <c r="CC265" s="138" t="str">
        <f aca="false">IF($BZ265&lt;&gt;Constants!$B$8,"",IF($AF265,0,Constants!$B$18))</f>
        <v/>
      </c>
      <c r="CD265" s="138" t="str">
        <f aca="false">IF($BZ265&lt;&gt;Constants!$B$8,"",((Constants!$B$31-$AZ265)-Constants!$B$31)/Constants!$B$32)</f>
        <v/>
      </c>
      <c r="CE265" s="138" t="str">
        <f aca="false">IF(ISBLANK($C265),"",IF($BZ265&lt;&gt;Constants!$B$8,$BZ265,SUM($CB265:$CD265)))</f>
        <v/>
      </c>
      <c r="CF265" s="135" t="str">
        <f aca="false">IF(ISBLANK($C265),"",IF($BZ265&lt;&gt;Constants!$B$8,$BZ265,RANK($CE265,$CE$9:$CE$508,1)))</f>
        <v/>
      </c>
      <c r="CG265" s="138" t="str">
        <f aca="false">IF($BZ265&lt;&gt;Constants!$B$8,"",IF($BM265="-&gt;",$BU265,$BI265))</f>
        <v/>
      </c>
      <c r="CH265" s="135" t="str">
        <f aca="false">IF(ISBLANK($C265),"",IF($BZ265&lt;&gt;Constants!$B$8,$BZ265,IF(ISNUMBER($CG265),RANK($CG265,$CG$9:$CG$508,1),COUNT($CG$9:$CG$508)+1)))</f>
        <v/>
      </c>
      <c r="CI265" s="138" t="str">
        <f aca="false">IF($BZ265&lt;&gt;Constants!$B$8,"",IF($BM265="-&gt;",$BV265,$BJ265))</f>
        <v/>
      </c>
      <c r="CJ265" s="135" t="str">
        <f aca="false">IF(ISBLANK($C265),"",IF($BZ265&lt;&gt;Constants!$B$8,$BZ265,IF(ISNUMBER($CI265),RANK($CI265,$CI$9:$CI$508,1),COUNT($CI$9:$CI$508)+1)))</f>
        <v/>
      </c>
      <c r="CK265" s="138" t="str">
        <f aca="false">IF($BZ265&lt;&gt;Constants!$B$8,"",IF($BM265="-&gt;",$BW265,$BK265))</f>
        <v/>
      </c>
      <c r="CL265" s="135" t="str">
        <f aca="false">IF(ISBLANK($C265),"",IF($BZ265&lt;&gt;Constants!$B$8,$BZ265,IF(ISNUMBER($CK265),RANK($CK265,$CK$9:$CK$508,1),COUNT($CK$9:$CK$508)+1)))</f>
        <v/>
      </c>
      <c r="CM265" s="138" t="str">
        <f aca="false">IF($BZ265&lt;&gt;Constants!$B$8,"",IF(AND(NOT($AL265),NOT($AT265),$AJ265,$AK265,$AR265,$AS265),"",IF($BM265="-&gt;",$BX265,$BL265)))</f>
        <v/>
      </c>
      <c r="CN265" s="135" t="str">
        <f aca="false">IF(ISBLANK($C265),"",IF($BZ265&lt;&gt;Constants!$B$8,$BZ265,IF(ISNUMBER($CM265),RANK($CM265,$CM$9:$CM$508,1),COUNT($CM$9:$CM$508)+1)))</f>
        <v/>
      </c>
      <c r="CO265" s="135" t="str">
        <f aca="false">IF(ISBLANK($C265),"",IF($BZ265&lt;&gt;Constants!$B$8,$BZ265,COUNTIFS($CF$9:$CF$508,"&lt;"&amp;$CF265)+COUNTIFS($CF$9:$CF$508,$CF265,$CH$9:$CH$508,"&lt;"&amp;$CH265)+COUNTIFS($CF$9:$CF$508,$CF265,$CH$9:$CH$508,$CH265,$CJ$9:$CJ$508,"&lt;"&amp;$CJ265)+COUNTIFS($CF$9:$CF$508,$CF265,$CH$9:$CH$508,$CH265,$CJ$9:$CJ$508,$CJ265,$CL$9:$CL$508,"&lt;"&amp;$CL265)+COUNTIFS($CF$9:$CF$508,$CF265,$CH$9:$CH$508,$CH265,$CJ$9:$CJ$508,$CJ265,$CL$9:$CL$508,$CL265,$CN$9:$CN$508,"&lt;"&amp;$CN265)+1))</f>
        <v/>
      </c>
      <c r="CP265" s="135" t="str">
        <f aca="false">IF(ISBLANK($C265),"",IF($BZ265&lt;&gt;Constants!$B$8,$BZ265,$CF265-$CO265))</f>
        <v/>
      </c>
      <c r="CQ265" s="141"/>
      <c r="CR265" s="142"/>
      <c r="CS265" s="143" t="str">
        <f aca="false">IF(ISBLANK($C265),"",IF($BZ265=Constants!$B$12,$BY265,""))</f>
        <v/>
      </c>
      <c r="CT265" s="142" t="str">
        <f aca="false">IF(ISBLANK($C265),"",IF($BZ265&lt;&gt;Constants!$B$8,"",IF($BM265="-&gt;",2,1)))</f>
        <v/>
      </c>
      <c r="CU265" s="144" t="str">
        <f aca="false">IF(ISBLANK($C265),"",IF($BZ265&lt;&gt;Constants!$B$8,"",IF($BM265="-&gt;",$BO265,$BC265)))</f>
        <v/>
      </c>
      <c r="CV265" s="144" t="str">
        <f aca="false">IF(ISBLANK($C265),"",IF($BZ265&lt;&gt;Constants!$B$8,"",IF($BM265="-&gt;",$BP265,$BD265)))</f>
        <v/>
      </c>
      <c r="CW265" s="144" t="str">
        <f aca="false">IF(ISBLANK($C265),"",IF($BZ265&lt;&gt;Constants!$B$8,"",IF($BM265="-&gt;",$BQ265+$BR265,$BE265+$BF265)+$CD265))</f>
        <v/>
      </c>
      <c r="CX265" s="144" t="str">
        <f aca="false">IF(ISBLANK($C265),"",IF($BZ265&lt;&gt;Constants!$B$8,"",IF($BM265="-&gt;",$BS265,$BG265)+$CC265))</f>
        <v/>
      </c>
      <c r="CY265" s="145" t="str">
        <f aca="false">IF(ISBLANK($C265),"",IF($BZ265&lt;&gt;Constants!$B$8,$BZ265,$CE265))</f>
        <v/>
      </c>
      <c r="CZ265" s="146" t="str">
        <f aca="false">IF(ISBLANK($C265),"",$CA265)</f>
        <v/>
      </c>
      <c r="DA265" s="147" t="str">
        <f aca="false">IF(ISBLANK($C265),"",$CP265)</f>
        <v/>
      </c>
      <c r="DB265" s="147" t="str">
        <f aca="false">IF(ISBLANK($C265),"",$CO265)</f>
        <v/>
      </c>
      <c r="DC265" s="148" t="str">
        <f aca="false">IF(ISBLANK($C265),"",IFERROR(_xlfn.SWITCH($DB265,Constants!$B$11,COUNTA($C$9:$C$508)+2,Constants!$B$10,COUNTA($C$9:$C$508)+1,Constants!$B$9,COUNTA($C$9:$C$508)),$DB265))</f>
        <v/>
      </c>
      <c r="DD265" s="9"/>
      <c r="DE265" s="149" t="n">
        <f aca="false">IF(OR(ISNUMBER($DB265),$DB265=Constants!$B$11,$DB265=Constants!$B$9,$DB265=Constants!$B$10),1,0)</f>
        <v>0</v>
      </c>
      <c r="DF265" s="149" t="n">
        <v>257</v>
      </c>
      <c r="DG265" s="149" t="str">
        <f aca="false">IF(ISBLANK($C265),"",IF(ISNUMBER($DC265),$DC265+ROW($B265)/1000,""))</f>
        <v/>
      </c>
      <c r="DH265" s="149" t="str">
        <f aca="false">IF(ISNUMBER($DG265),RANK($DG265,$DG$9:$DG$508,1),"")</f>
        <v/>
      </c>
      <c r="DI265" s="149" t="str">
        <f aca="false">IF(ISBLANK($C265),"",$B265)</f>
        <v/>
      </c>
      <c r="DJ265" s="149" t="str">
        <f aca="false">IF(ISBLANK($C265),"",$C265)</f>
        <v/>
      </c>
      <c r="DK265" s="149" t="str">
        <f aca="false">IF(ISBLANK($C265),"",$D265)</f>
        <v/>
      </c>
      <c r="DL265" s="150" t="str">
        <f aca="false">$CZ265</f>
        <v/>
      </c>
      <c r="DM265" s="151" t="str">
        <f aca="false">$CY265</f>
        <v/>
      </c>
      <c r="DN265" s="149" t="str">
        <f aca="false">IF(ISBLANK($C265),"",$DB265)</f>
        <v/>
      </c>
      <c r="DO265" s="152" t="str">
        <f aca="false">IF($DF265&gt;$DE$8,"",VLOOKUP($DF265,$DH$9:$DN$508,7,FALSE()))</f>
        <v/>
      </c>
      <c r="DP265" s="153" t="str">
        <f aca="false">IF($DF265&gt;$DE$8,"",VLOOKUP($DF265,$DH$9:$DN$508,2,FALSE()))</f>
        <v/>
      </c>
      <c r="DQ265" s="153" t="str">
        <f aca="false">IF($DF265&gt;$DE$8,"",VLOOKUP($DF265,$DH$9:$DN$508,3,FALSE()))</f>
        <v/>
      </c>
      <c r="DR265" s="153" t="str">
        <f aca="false">IF($DF265&gt;$DE$8,"",VLOOKUP($DF265,$DH$9:$DN$508,4,FALSE()))</f>
        <v/>
      </c>
      <c r="DS265" s="153" t="str">
        <f aca="false">IF($DF265&gt;$DE$8,"",VLOOKUP($DF265,$DH$9:$DN$508,5,FALSE()))</f>
        <v/>
      </c>
      <c r="DT265" s="154" t="str">
        <f aca="false">IF($DF265&gt;$DE$8,"",VLOOKUP($DF265,$DH$9:$DN$508,6,FALSE()))</f>
        <v/>
      </c>
      <c r="DU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IF(ISBLANK($C266),"",IF(E266=Constants!$B$3,TRUE(),IF(E266=Constants!$B$4,FALSE(),TRUE())))</f>
        <v/>
      </c>
      <c r="AG266" s="135" t="str">
        <f aca="false">IF(ISBLANK($C266),"",IF(F266=Constants!$B$3,TRUE(),IF(F266=Constants!$B$4,FALSE(),TRUE())))</f>
        <v/>
      </c>
      <c r="AH266" s="135" t="str">
        <f aca="false">IF(ISBLANK($C266),"",IF(G266=Constants!$B$3,TRUE(),IF(G266=Constants!$B$4,FALSE(),TRUE())))</f>
        <v/>
      </c>
      <c r="AI266" s="135" t="str">
        <f aca="false">IF(ISBLANK($C266),"",IF(AND(ISNUMBER(H266),H266&gt;=0),H266,Constants!$B$29))</f>
        <v/>
      </c>
      <c r="AJ266" s="135" t="str">
        <f aca="false">IF(ISBLANK($C266),"",IF(I266=Constants!$B$3,TRUE(),IF(I266=Constants!$B$4,FALSE(),TRUE())))</f>
        <v/>
      </c>
      <c r="AK266" s="135" t="str">
        <f aca="false">IF(ISBLANK($C266),"",IF(J266=Constants!$B$3,TRUE(),IF(J266=Constants!$B$4,FALSE(),TRUE())))</f>
        <v/>
      </c>
      <c r="AL266" s="135" t="str">
        <f aca="false">IF(ISBLANK($C266),"",IF(K266=Constants!$B$5,TRUE(),IF(K266=Constants!$B$6,FALSE(),COUNTA(L266:P266)&gt;0)))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IF(ISBLANK($C266),"",IF(N266=Constants!$B$3,TRUE(),IF(N266=Constants!$B$4,FALSE(),TRUE())))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IF(ISBLANK($C266),"",IF(P266=Constants!$B$3,TRUE(),IF(P266=Constants!$B$4,FALSE(),FALSE())))</f>
        <v/>
      </c>
      <c r="AR266" s="135" t="str">
        <f aca="false">IF(ISBLANK($C266),"",IF(Q266=Constants!$B$3,TRUE(),IF(Q266=Constants!$B$4,FALSE(),TRUE())))</f>
        <v/>
      </c>
      <c r="AS266" s="135" t="str">
        <f aca="false">IF(ISBLANK($C266),"",IF(R266=Constants!$B$3,TRUE(),IF(R266=Constants!$B$4,FALSE(),TRUE())))</f>
        <v/>
      </c>
      <c r="AT266" s="135" t="str">
        <f aca="false">IF(ISBLANK($C266),"",IF(S266=Constants!$B$5,TRUE(),IF(S266=Constants!$B$6,FALSE(),COUNTA(T266:X266)&gt;0)))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IF(ISBLANK($C266),"",IF(V266=Constants!$B$3,TRUE(),IF(V266=Constants!$B$4,FALSE(),TRUE())))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IF(ISBLANK($C266),"",IF(X266=Constants!$B$3,TRUE(),IF(X266=Constants!$B$4,FALSE(),FALSE())))</f>
        <v/>
      </c>
      <c r="AZ266" s="135" t="str">
        <f aca="false">IF(ISBLANK($C266),"",MIN(Constants!$B$31,MAX(0,IF(ISNUMBER(Y266),Y266*60,0)+IF(ISNUMBER(Z266),Z266,0))))</f>
        <v/>
      </c>
      <c r="BA266" s="135" t="str">
        <f aca="false">IF(ISBLANK($C266),"",IF(AA266=Constants!$B$3,TRUE(),IF(AA266=Constants!$B$4,FALSE(),FALSE())))</f>
        <v/>
      </c>
      <c r="BB266" s="134" t="str">
        <f aca="false">IF(ISBLANK($C266),"",AND($AL266,OR($AM266="",$AN266="",AND($AO266,$AP266=""))))</f>
        <v/>
      </c>
      <c r="BC266" s="137" t="str">
        <f aca="false">IF($BZ266&lt;&gt;Constants!$B$8,"",IF($AL266,Constants!$B$21*$AN266+Constants!$B$22*IF($AO266,$AP266,Constants!$B$23),Constants!$B$24))</f>
        <v/>
      </c>
      <c r="BD266" s="138" t="str">
        <f aca="false">IF($BZ266&lt;&gt;Constants!$B$8,"",Constants!$B$25*ABS($AD$9-IF($AL266,$AM266,0)))</f>
        <v/>
      </c>
      <c r="BE266" s="138" t="str">
        <f aca="false">IF($BZ266&lt;&gt;Constants!$B$8,"",IF(AND($AL266,$AQ266,$AO266),Constants!$B$27,0))</f>
        <v/>
      </c>
      <c r="BF266" s="138" t="str">
        <f aca="false">IF($BZ266&lt;&gt;Constants!$B$8,"",IF($AL266,($AI266-Constants!$B$29)*Constants!$B$28,0))</f>
        <v/>
      </c>
      <c r="BG266" s="138" t="str">
        <f aca="false">IF($BZ266&lt;&gt;Constants!$B$8,"",IF($AK266,0,Constants!$B$15)+IF($AJ266,0,Constants!$B$16)+IF($AH266,0,Constants!$B$17))</f>
        <v/>
      </c>
      <c r="BH266" s="139" t="str">
        <f aca="false">IF($BZ266&lt;&gt;Constants!$B$8,"",Constants!$B$20+SUM($BC266:$BG266))</f>
        <v/>
      </c>
      <c r="BI266" s="138" t="str">
        <f aca="false">IF($BZ266&lt;&gt;Constants!$B$8,"",$BC266)</f>
        <v/>
      </c>
      <c r="BJ266" s="138" t="str">
        <f aca="false">IF($BZ266&lt;&gt;Constants!$B$8,"",$BD266)</f>
        <v/>
      </c>
      <c r="BK266" s="138" t="str">
        <f aca="false">IF($BZ266&lt;&gt;Constants!$B$8,"",IF($AL266,$AN266,""))</f>
        <v/>
      </c>
      <c r="BL266" s="140" t="str">
        <f aca="false">IF($BZ266&lt;&gt;Constants!$B$8,"",$AI266)</f>
        <v/>
      </c>
      <c r="BM266" s="135" t="str">
        <f aca="false">IF($BZ266&lt;&gt;Constants!$B$8,"",IF(OR($BT266&lt;$BH266,AND($BT266=$BH266,OR($BU266&lt;$BI266,AND($BU266=$BI266,OR($BV266&lt;$BJ266,AND($BV266=$BJ266,OR(AND(ISNUMBER($BW266),OR(NOT(ISNUMBER($BK266)),$BW266&lt;$BK266)),AND(OR(AND($BW266="",$BK266=""),AND(ISNUMBER($BW266),ISNUMBER($BK266),$BW266=$BK266)),$BX266&lt;$BL266)))))))),"-&gt;","&lt;-"))</f>
        <v/>
      </c>
      <c r="BN266" s="134" t="str">
        <f aca="false">IF(ISBLANK($C266),"",AND($AT266,OR($AU266="",$AV266="",AND($AW266,$AX266=""))))</f>
        <v/>
      </c>
      <c r="BO266" s="137" t="str">
        <f aca="false">IF($BZ266&lt;&gt;Constants!$B$8,"",IF($AT266,Constants!$B$21*$AV266+Constants!$B$22*IF($AW266,$AX266,Constants!$B$23),Constants!$B$24))</f>
        <v/>
      </c>
      <c r="BP266" s="138" t="str">
        <f aca="false">IF($BZ266&lt;&gt;Constants!$B$8,"",Constants!$B$25*ABS($AD$9-IF($AT266,$AU266,0)))</f>
        <v/>
      </c>
      <c r="BQ266" s="138" t="str">
        <f aca="false">IF($BZ266&lt;&gt;Constants!$B$8,"",IF(AND($AT266,$AY266,$AW266),Constants!$B$27,0))</f>
        <v/>
      </c>
      <c r="BR266" s="138" t="str">
        <f aca="false">IF($BZ266&lt;&gt;Constants!$B$8,"",IF($AT266,($AI266-Constants!$B$29)*Constants!$B$28,0))</f>
        <v/>
      </c>
      <c r="BS266" s="138" t="str">
        <f aca="false">IF($BZ266&lt;&gt;Constants!$B$8,"",IF($AS266,0,Constants!$B$15)+IF($AR266,0,Constants!$B$16)+IF($AH266,0,Constants!$B$17))</f>
        <v/>
      </c>
      <c r="BT266" s="139" t="str">
        <f aca="false">IF($BZ266&lt;&gt;Constants!$B$8,"",Constants!$B$20+SUM($BO266:$BS266))</f>
        <v/>
      </c>
      <c r="BU266" s="138" t="str">
        <f aca="false">IF($BZ266&lt;&gt;Constants!$B$8,"",$BO266)</f>
        <v/>
      </c>
      <c r="BV266" s="138" t="str">
        <f aca="false">IF($BZ266&lt;&gt;Constants!$B$8,"",$BP266)</f>
        <v/>
      </c>
      <c r="BW266" s="138" t="str">
        <f aca="false">IF($BZ266&lt;&gt;Constants!$B$8,"",IF($AT266,$AV266,""))</f>
        <v/>
      </c>
      <c r="BX266" s="140" t="str">
        <f aca="false">IF($BZ266&lt;&gt;Constants!$B$8,"",$AI266)</f>
        <v/>
      </c>
      <c r="BY266" s="135" t="str">
        <f aca="false">IF(ISBLANK($C266),"",IF(ISBLANK($D$7),$BY$5,IF(NOT(ISNUMBER($D$7)),$BY$6,"")))</f>
        <v/>
      </c>
      <c r="BZ266" s="135" t="str">
        <f aca="false">IF(ISBLANK($C266),"",IF($BA266,Constants!$B$11,IF(COUNTA($E266:$AA266)=0,Constants!$B$10,IF(NOT($AG266),Constants!$B$9,IF(OR($BY266&lt;&gt;"",$BB266,$BN266),Constants!$B$12,Constants!$B$8)))))</f>
        <v/>
      </c>
      <c r="CA266" s="135" t="str">
        <f aca="false">IF(ISBLANK($C266),"",IF($BZ266&lt;&gt;Constants!$B$8,$BZ266,Constants!$B$13))</f>
        <v/>
      </c>
      <c r="CB266" s="138" t="str">
        <f aca="false">IF($BZ266&lt;&gt;Constants!$B$8,"",IF($BM266="-&gt;",$BT266,$BH266))</f>
        <v/>
      </c>
      <c r="CC266" s="138" t="str">
        <f aca="false">IF($BZ266&lt;&gt;Constants!$B$8,"",IF($AF266,0,Constants!$B$18))</f>
        <v/>
      </c>
      <c r="CD266" s="138" t="str">
        <f aca="false">IF($BZ266&lt;&gt;Constants!$B$8,"",((Constants!$B$31-$AZ266)-Constants!$B$31)/Constants!$B$32)</f>
        <v/>
      </c>
      <c r="CE266" s="138" t="str">
        <f aca="false">IF(ISBLANK($C266),"",IF($BZ266&lt;&gt;Constants!$B$8,$BZ266,SUM($CB266:$CD266)))</f>
        <v/>
      </c>
      <c r="CF266" s="135" t="str">
        <f aca="false">IF(ISBLANK($C266),"",IF($BZ266&lt;&gt;Constants!$B$8,$BZ266,RANK($CE266,$CE$9:$CE$508,1)))</f>
        <v/>
      </c>
      <c r="CG266" s="138" t="str">
        <f aca="false">IF($BZ266&lt;&gt;Constants!$B$8,"",IF($BM266="-&gt;",$BU266,$BI266))</f>
        <v/>
      </c>
      <c r="CH266" s="135" t="str">
        <f aca="false">IF(ISBLANK($C266),"",IF($BZ266&lt;&gt;Constants!$B$8,$BZ266,IF(ISNUMBER($CG266),RANK($CG266,$CG$9:$CG$508,1),COUNT($CG$9:$CG$508)+1)))</f>
        <v/>
      </c>
      <c r="CI266" s="138" t="str">
        <f aca="false">IF($BZ266&lt;&gt;Constants!$B$8,"",IF($BM266="-&gt;",$BV266,$BJ266))</f>
        <v/>
      </c>
      <c r="CJ266" s="135" t="str">
        <f aca="false">IF(ISBLANK($C266),"",IF($BZ266&lt;&gt;Constants!$B$8,$BZ266,IF(ISNUMBER($CI266),RANK($CI266,$CI$9:$CI$508,1),COUNT($CI$9:$CI$508)+1)))</f>
        <v/>
      </c>
      <c r="CK266" s="138" t="str">
        <f aca="false">IF($BZ266&lt;&gt;Constants!$B$8,"",IF($BM266="-&gt;",$BW266,$BK266))</f>
        <v/>
      </c>
      <c r="CL266" s="135" t="str">
        <f aca="false">IF(ISBLANK($C266),"",IF($BZ266&lt;&gt;Constants!$B$8,$BZ266,IF(ISNUMBER($CK266),RANK($CK266,$CK$9:$CK$508,1),COUNT($CK$9:$CK$508)+1)))</f>
        <v/>
      </c>
      <c r="CM266" s="138" t="str">
        <f aca="false">IF($BZ266&lt;&gt;Constants!$B$8,"",IF(AND(NOT($AL266),NOT($AT266),$AJ266,$AK266,$AR266,$AS266),"",IF($BM266="-&gt;",$BX266,$BL266)))</f>
        <v/>
      </c>
      <c r="CN266" s="135" t="str">
        <f aca="false">IF(ISBLANK($C266),"",IF($BZ266&lt;&gt;Constants!$B$8,$BZ266,IF(ISNUMBER($CM266),RANK($CM266,$CM$9:$CM$508,1),COUNT($CM$9:$CM$508)+1)))</f>
        <v/>
      </c>
      <c r="CO266" s="135" t="str">
        <f aca="false">IF(ISBLANK($C266),"",IF($BZ266&lt;&gt;Constants!$B$8,$BZ266,COUNTIFS($CF$9:$CF$508,"&lt;"&amp;$CF266)+COUNTIFS($CF$9:$CF$508,$CF266,$CH$9:$CH$508,"&lt;"&amp;$CH266)+COUNTIFS($CF$9:$CF$508,$CF266,$CH$9:$CH$508,$CH266,$CJ$9:$CJ$508,"&lt;"&amp;$CJ266)+COUNTIFS($CF$9:$CF$508,$CF266,$CH$9:$CH$508,$CH266,$CJ$9:$CJ$508,$CJ266,$CL$9:$CL$508,"&lt;"&amp;$CL266)+COUNTIFS($CF$9:$CF$508,$CF266,$CH$9:$CH$508,$CH266,$CJ$9:$CJ$508,$CJ266,$CL$9:$CL$508,$CL266,$CN$9:$CN$508,"&lt;"&amp;$CN266)+1))</f>
        <v/>
      </c>
      <c r="CP266" s="135" t="str">
        <f aca="false">IF(ISBLANK($C266),"",IF($BZ266&lt;&gt;Constants!$B$8,$BZ266,$CF266-$CO266))</f>
        <v/>
      </c>
      <c r="CQ266" s="141"/>
      <c r="CR266" s="142"/>
      <c r="CS266" s="143" t="str">
        <f aca="false">IF(ISBLANK($C266),"",IF($BZ266=Constants!$B$12,$BY266,""))</f>
        <v/>
      </c>
      <c r="CT266" s="142" t="str">
        <f aca="false">IF(ISBLANK($C266),"",IF($BZ266&lt;&gt;Constants!$B$8,"",IF($BM266="-&gt;",2,1)))</f>
        <v/>
      </c>
      <c r="CU266" s="144" t="str">
        <f aca="false">IF(ISBLANK($C266),"",IF($BZ266&lt;&gt;Constants!$B$8,"",IF($BM266="-&gt;",$BO266,$BC266)))</f>
        <v/>
      </c>
      <c r="CV266" s="144" t="str">
        <f aca="false">IF(ISBLANK($C266),"",IF($BZ266&lt;&gt;Constants!$B$8,"",IF($BM266="-&gt;",$BP266,$BD266)))</f>
        <v/>
      </c>
      <c r="CW266" s="144" t="str">
        <f aca="false">IF(ISBLANK($C266),"",IF($BZ266&lt;&gt;Constants!$B$8,"",IF($BM266="-&gt;",$BQ266+$BR266,$BE266+$BF266)+$CD266))</f>
        <v/>
      </c>
      <c r="CX266" s="144" t="str">
        <f aca="false">IF(ISBLANK($C266),"",IF($BZ266&lt;&gt;Constants!$B$8,"",IF($BM266="-&gt;",$BS266,$BG266)+$CC266))</f>
        <v/>
      </c>
      <c r="CY266" s="145" t="str">
        <f aca="false">IF(ISBLANK($C266),"",IF($BZ266&lt;&gt;Constants!$B$8,$BZ266,$CE266))</f>
        <v/>
      </c>
      <c r="CZ266" s="146" t="str">
        <f aca="false">IF(ISBLANK($C266),"",$CA266)</f>
        <v/>
      </c>
      <c r="DA266" s="147" t="str">
        <f aca="false">IF(ISBLANK($C266),"",$CP266)</f>
        <v/>
      </c>
      <c r="DB266" s="147" t="str">
        <f aca="false">IF(ISBLANK($C266),"",$CO266)</f>
        <v/>
      </c>
      <c r="DC266" s="148" t="str">
        <f aca="false">IF(ISBLANK($C266),"",IFERROR(_xlfn.SWITCH($DB266,Constants!$B$11,COUNTA($C$9:$C$508)+2,Constants!$B$10,COUNTA($C$9:$C$508)+1,Constants!$B$9,COUNTA($C$9:$C$508)),$DB266))</f>
        <v/>
      </c>
      <c r="DD266" s="9"/>
      <c r="DE266" s="149" t="n">
        <f aca="false">IF(OR(ISNUMBER($DB266),$DB266=Constants!$B$11,$DB266=Constants!$B$9,$DB266=Constants!$B$10),1,0)</f>
        <v>0</v>
      </c>
      <c r="DF266" s="149" t="n">
        <v>258</v>
      </c>
      <c r="DG266" s="149" t="str">
        <f aca="false">IF(ISBLANK($C266),"",IF(ISNUMBER($DC266),$DC266+ROW($B266)/1000,""))</f>
        <v/>
      </c>
      <c r="DH266" s="149" t="str">
        <f aca="false">IF(ISNUMBER($DG266),RANK($DG266,$DG$9:$DG$508,1),"")</f>
        <v/>
      </c>
      <c r="DI266" s="149" t="str">
        <f aca="false">IF(ISBLANK($C266),"",$B266)</f>
        <v/>
      </c>
      <c r="DJ266" s="149" t="str">
        <f aca="false">IF(ISBLANK($C266),"",$C266)</f>
        <v/>
      </c>
      <c r="DK266" s="149" t="str">
        <f aca="false">IF(ISBLANK($C266),"",$D266)</f>
        <v/>
      </c>
      <c r="DL266" s="150" t="str">
        <f aca="false">$CZ266</f>
        <v/>
      </c>
      <c r="DM266" s="151" t="str">
        <f aca="false">$CY266</f>
        <v/>
      </c>
      <c r="DN266" s="149" t="str">
        <f aca="false">IF(ISBLANK($C266),"",$DB266)</f>
        <v/>
      </c>
      <c r="DO266" s="152" t="str">
        <f aca="false">IF($DF266&gt;$DE$8,"",VLOOKUP($DF266,$DH$9:$DN$508,7,FALSE()))</f>
        <v/>
      </c>
      <c r="DP266" s="153" t="str">
        <f aca="false">IF($DF266&gt;$DE$8,"",VLOOKUP($DF266,$DH$9:$DN$508,2,FALSE()))</f>
        <v/>
      </c>
      <c r="DQ266" s="153" t="str">
        <f aca="false">IF($DF266&gt;$DE$8,"",VLOOKUP($DF266,$DH$9:$DN$508,3,FALSE()))</f>
        <v/>
      </c>
      <c r="DR266" s="153" t="str">
        <f aca="false">IF($DF266&gt;$DE$8,"",VLOOKUP($DF266,$DH$9:$DN$508,4,FALSE()))</f>
        <v/>
      </c>
      <c r="DS266" s="153" t="str">
        <f aca="false">IF($DF266&gt;$DE$8,"",VLOOKUP($DF266,$DH$9:$DN$508,5,FALSE()))</f>
        <v/>
      </c>
      <c r="DT266" s="154" t="str">
        <f aca="false">IF($DF266&gt;$DE$8,"",VLOOKUP($DF266,$DH$9:$DN$508,6,FALSE()))</f>
        <v/>
      </c>
      <c r="DU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IF(ISBLANK($C267),"",IF(E267=Constants!$B$3,TRUE(),IF(E267=Constants!$B$4,FALSE(),TRUE())))</f>
        <v/>
      </c>
      <c r="AG267" s="93" t="str">
        <f aca="false">IF(ISBLANK($C267),"",IF(F267=Constants!$B$3,TRUE(),IF(F267=Constants!$B$4,FALSE(),TRUE())))</f>
        <v/>
      </c>
      <c r="AH267" s="93" t="str">
        <f aca="false">IF(ISBLANK($C267),"",IF(G267=Constants!$B$3,TRUE(),IF(G267=Constants!$B$4,FALSE(),TRUE())))</f>
        <v/>
      </c>
      <c r="AI267" s="93" t="str">
        <f aca="false">IF(ISBLANK($C267),"",IF(AND(ISNUMBER(H267),H267&gt;=0),H267,Constants!$B$29))</f>
        <v/>
      </c>
      <c r="AJ267" s="93" t="str">
        <f aca="false">IF(ISBLANK($C267),"",IF(I267=Constants!$B$3,TRUE(),IF(I267=Constants!$B$4,FALSE(),TRUE())))</f>
        <v/>
      </c>
      <c r="AK267" s="93" t="str">
        <f aca="false">IF(ISBLANK($C267),"",IF(J267=Constants!$B$3,TRUE(),IF(J267=Constants!$B$4,FALSE(),TRUE())))</f>
        <v/>
      </c>
      <c r="AL267" s="93" t="str">
        <f aca="false">IF(ISBLANK($C267),"",IF(K267=Constants!$B$5,TRUE(),IF(K267=Constants!$B$6,FALSE(),COUNTA(L267:P267)&gt;0)))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IF(ISBLANK($C267),"",IF(N267=Constants!$B$3,TRUE(),IF(N267=Constants!$B$4,FALSE(),TRUE())))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IF(ISBLANK($C267),"",IF(P267=Constants!$B$3,TRUE(),IF(P267=Constants!$B$4,FALSE(),FALSE())))</f>
        <v/>
      </c>
      <c r="AR267" s="93" t="str">
        <f aca="false">IF(ISBLANK($C267),"",IF(Q267=Constants!$B$3,TRUE(),IF(Q267=Constants!$B$4,FALSE(),TRUE())))</f>
        <v/>
      </c>
      <c r="AS267" s="93" t="str">
        <f aca="false">IF(ISBLANK($C267),"",IF(R267=Constants!$B$3,TRUE(),IF(R267=Constants!$B$4,FALSE(),TRUE())))</f>
        <v/>
      </c>
      <c r="AT267" s="93" t="str">
        <f aca="false">IF(ISBLANK($C267),"",IF(S267=Constants!$B$5,TRUE(),IF(S267=Constants!$B$6,FALSE(),COUNTA(T267:X267)&gt;0)))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IF(ISBLANK($C267),"",IF(V267=Constants!$B$3,TRUE(),IF(V267=Constants!$B$4,FALSE(),TRUE())))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IF(ISBLANK($C267),"",IF(X267=Constants!$B$3,TRUE(),IF(X267=Constants!$B$4,FALSE(),FALSE())))</f>
        <v/>
      </c>
      <c r="AZ267" s="93" t="str">
        <f aca="false">IF(ISBLANK($C267),"",MIN(Constants!$B$31,MAX(0,IF(ISNUMBER(Y267),Y267*60,0)+IF(ISNUMBER(Z267),Z267,0))))</f>
        <v/>
      </c>
      <c r="BA267" s="93" t="str">
        <f aca="false">IF(ISBLANK($C267),"",IF(AA267=Constants!$B$3,TRUE(),IF(AA267=Constants!$B$4,FALSE(),FALSE())))</f>
        <v/>
      </c>
      <c r="BB267" s="92" t="str">
        <f aca="false">IF(ISBLANK($C267),"",AND($AL267,OR($AM267="",$AN267="",AND($AO267,$AP267=""))))</f>
        <v/>
      </c>
      <c r="BC267" s="94" t="str">
        <f aca="false">IF($BZ267&lt;&gt;Constants!$B$8,"",IF($AL267,Constants!$B$21*$AN267+Constants!$B$22*IF($AO267,$AP267,Constants!$B$23),Constants!$B$24))</f>
        <v/>
      </c>
      <c r="BD267" s="97" t="str">
        <f aca="false">IF($BZ267&lt;&gt;Constants!$B$8,"",Constants!$B$25*ABS($AD$9-IF($AL267,$AM267,0)))</f>
        <v/>
      </c>
      <c r="BE267" s="97" t="str">
        <f aca="false">IF($BZ267&lt;&gt;Constants!$B$8,"",IF(AND($AL267,$AQ267,$AO267),Constants!$B$27,0))</f>
        <v/>
      </c>
      <c r="BF267" s="97" t="str">
        <f aca="false">IF($BZ267&lt;&gt;Constants!$B$8,"",IF($AL267,($AI267-Constants!$B$29)*Constants!$B$28,0))</f>
        <v/>
      </c>
      <c r="BG267" s="97" t="str">
        <f aca="false">IF($BZ267&lt;&gt;Constants!$B$8,"",IF($AK267,0,Constants!$B$15)+IF($AJ267,0,Constants!$B$16)+IF($AH267,0,Constants!$B$17))</f>
        <v/>
      </c>
      <c r="BH267" s="98" t="str">
        <f aca="false">IF($BZ267&lt;&gt;Constants!$B$8,"",Constants!$B$20+SUM($BC267:$BG267))</f>
        <v/>
      </c>
      <c r="BI267" s="97" t="str">
        <f aca="false">IF($BZ267&lt;&gt;Constants!$B$8,"",$BC267)</f>
        <v/>
      </c>
      <c r="BJ267" s="97" t="str">
        <f aca="false">IF($BZ267&lt;&gt;Constants!$B$8,"",$BD267)</f>
        <v/>
      </c>
      <c r="BK267" s="97" t="str">
        <f aca="false">IF($BZ267&lt;&gt;Constants!$B$8,"",IF($AL267,$AN267,""))</f>
        <v/>
      </c>
      <c r="BL267" s="99" t="str">
        <f aca="false">IF($BZ267&lt;&gt;Constants!$B$8,"",$AI267)</f>
        <v/>
      </c>
      <c r="BM267" s="93" t="str">
        <f aca="false">IF($BZ267&lt;&gt;Constants!$B$8,"",IF(OR($BT267&lt;$BH267,AND($BT267=$BH267,OR($BU267&lt;$BI267,AND($BU267=$BI267,OR($BV267&lt;$BJ267,AND($BV267=$BJ267,OR(AND(ISNUMBER($BW267),OR(NOT(ISNUMBER($BK267)),$BW267&lt;$BK267)),AND(OR(AND($BW267="",$BK267=""),AND(ISNUMBER($BW267),ISNUMBER($BK267),$BW267=$BK267)),$BX267&lt;$BL267)))))))),"-&gt;","&lt;-"))</f>
        <v/>
      </c>
      <c r="BN267" s="92" t="str">
        <f aca="false">IF(ISBLANK($C267),"",AND($AT267,OR($AU267="",$AV267="",AND($AW267,$AX267=""))))</f>
        <v/>
      </c>
      <c r="BO267" s="94" t="str">
        <f aca="false">IF($BZ267&lt;&gt;Constants!$B$8,"",IF($AT267,Constants!$B$21*$AV267+Constants!$B$22*IF($AW267,$AX267,Constants!$B$23),Constants!$B$24))</f>
        <v/>
      </c>
      <c r="BP267" s="97" t="str">
        <f aca="false">IF($BZ267&lt;&gt;Constants!$B$8,"",Constants!$B$25*ABS($AD$9-IF($AT267,$AU267,0)))</f>
        <v/>
      </c>
      <c r="BQ267" s="97" t="str">
        <f aca="false">IF($BZ267&lt;&gt;Constants!$B$8,"",IF(AND($AT267,$AY267,$AW267),Constants!$B$27,0))</f>
        <v/>
      </c>
      <c r="BR267" s="97" t="str">
        <f aca="false">IF($BZ267&lt;&gt;Constants!$B$8,"",IF($AT267,($AI267-Constants!$B$29)*Constants!$B$28,0))</f>
        <v/>
      </c>
      <c r="BS267" s="97" t="str">
        <f aca="false">IF($BZ267&lt;&gt;Constants!$B$8,"",IF($AS267,0,Constants!$B$15)+IF($AR267,0,Constants!$B$16)+IF($AH267,0,Constants!$B$17))</f>
        <v/>
      </c>
      <c r="BT267" s="98" t="str">
        <f aca="false">IF($BZ267&lt;&gt;Constants!$B$8,"",Constants!$B$20+SUM($BO267:$BS267))</f>
        <v/>
      </c>
      <c r="BU267" s="97" t="str">
        <f aca="false">IF($BZ267&lt;&gt;Constants!$B$8,"",$BO267)</f>
        <v/>
      </c>
      <c r="BV267" s="97" t="str">
        <f aca="false">IF($BZ267&lt;&gt;Constants!$B$8,"",$BP267)</f>
        <v/>
      </c>
      <c r="BW267" s="97" t="str">
        <f aca="false">IF($BZ267&lt;&gt;Constants!$B$8,"",IF($AT267,$AV267,""))</f>
        <v/>
      </c>
      <c r="BX267" s="99" t="str">
        <f aca="false">IF($BZ267&lt;&gt;Constants!$B$8,"",$AI267)</f>
        <v/>
      </c>
      <c r="BY267" s="93" t="str">
        <f aca="false">IF(ISBLANK($C267),"",IF(ISBLANK($D$7),$BY$5,IF(NOT(ISNUMBER($D$7)),$BY$6,"")))</f>
        <v/>
      </c>
      <c r="BZ267" s="93" t="str">
        <f aca="false">IF(ISBLANK($C267),"",IF($BA267,Constants!$B$11,IF(COUNTA($E267:$AA267)=0,Constants!$B$10,IF(NOT($AG267),Constants!$B$9,IF(OR($BY267&lt;&gt;"",$BB267,$BN267),Constants!$B$12,Constants!$B$8)))))</f>
        <v/>
      </c>
      <c r="CA267" s="93" t="str">
        <f aca="false">IF(ISBLANK($C267),"",IF($BZ267&lt;&gt;Constants!$B$8,$BZ267,Constants!$B$13))</f>
        <v/>
      </c>
      <c r="CB267" s="97" t="str">
        <f aca="false">IF($BZ267&lt;&gt;Constants!$B$8,"",IF($BM267="-&gt;",$BT267,$BH267))</f>
        <v/>
      </c>
      <c r="CC267" s="97" t="str">
        <f aca="false">IF($BZ267&lt;&gt;Constants!$B$8,"",IF($AF267,0,Constants!$B$18))</f>
        <v/>
      </c>
      <c r="CD267" s="97" t="str">
        <f aca="false">IF($BZ267&lt;&gt;Constants!$B$8,"",((Constants!$B$31-$AZ267)-Constants!$B$31)/Constants!$B$32)</f>
        <v/>
      </c>
      <c r="CE267" s="97" t="str">
        <f aca="false">IF(ISBLANK($C267),"",IF($BZ267&lt;&gt;Constants!$B$8,$BZ267,SUM($CB267:$CD267)))</f>
        <v/>
      </c>
      <c r="CF267" s="93" t="str">
        <f aca="false">IF(ISBLANK($C267),"",IF($BZ267&lt;&gt;Constants!$B$8,$BZ267,RANK($CE267,$CE$9:$CE$508,1)))</f>
        <v/>
      </c>
      <c r="CG267" s="97" t="str">
        <f aca="false">IF($BZ267&lt;&gt;Constants!$B$8,"",IF($BM267="-&gt;",$BU267,$BI267))</f>
        <v/>
      </c>
      <c r="CH267" s="93" t="str">
        <f aca="false">IF(ISBLANK($C267),"",IF($BZ267&lt;&gt;Constants!$B$8,$BZ267,IF(ISNUMBER($CG267),RANK($CG267,$CG$9:$CG$508,1),COUNT($CG$9:$CG$508)+1)))</f>
        <v/>
      </c>
      <c r="CI267" s="97" t="str">
        <f aca="false">IF($BZ267&lt;&gt;Constants!$B$8,"",IF($BM267="-&gt;",$BV267,$BJ267))</f>
        <v/>
      </c>
      <c r="CJ267" s="93" t="str">
        <f aca="false">IF(ISBLANK($C267),"",IF($BZ267&lt;&gt;Constants!$B$8,$BZ267,IF(ISNUMBER($CI267),RANK($CI267,$CI$9:$CI$508,1),COUNT($CI$9:$CI$508)+1)))</f>
        <v/>
      </c>
      <c r="CK267" s="97" t="str">
        <f aca="false">IF($BZ267&lt;&gt;Constants!$B$8,"",IF($BM267="-&gt;",$BW267,$BK267))</f>
        <v/>
      </c>
      <c r="CL267" s="93" t="str">
        <f aca="false">IF(ISBLANK($C267),"",IF($BZ267&lt;&gt;Constants!$B$8,$BZ267,IF(ISNUMBER($CK267),RANK($CK267,$CK$9:$CK$508,1),COUNT($CK$9:$CK$508)+1)))</f>
        <v/>
      </c>
      <c r="CM267" s="97" t="str">
        <f aca="false">IF($BZ267&lt;&gt;Constants!$B$8,"",IF(AND(NOT($AL267),NOT($AT267),$AJ267,$AK267,$AR267,$AS267),"",IF($BM267="-&gt;",$BX267,$BL267)))</f>
        <v/>
      </c>
      <c r="CN267" s="93" t="str">
        <f aca="false">IF(ISBLANK($C267),"",IF($BZ267&lt;&gt;Constants!$B$8,$BZ267,IF(ISNUMBER($CM267),RANK($CM267,$CM$9:$CM$508,1),COUNT($CM$9:$CM$508)+1)))</f>
        <v/>
      </c>
      <c r="CO267" s="93" t="str">
        <f aca="false">IF(ISBLANK($C267),"",IF($BZ267&lt;&gt;Constants!$B$8,$BZ267,COUNTIFS($CF$9:$CF$508,"&lt;"&amp;$CF267)+COUNTIFS($CF$9:$CF$508,$CF267,$CH$9:$CH$508,"&lt;"&amp;$CH267)+COUNTIFS($CF$9:$CF$508,$CF267,$CH$9:$CH$508,$CH267,$CJ$9:$CJ$508,"&lt;"&amp;$CJ267)+COUNTIFS($CF$9:$CF$508,$CF267,$CH$9:$CH$508,$CH267,$CJ$9:$CJ$508,$CJ267,$CL$9:$CL$508,"&lt;"&amp;$CL267)+COUNTIFS($CF$9:$CF$508,$CF267,$CH$9:$CH$508,$CH267,$CJ$9:$CJ$508,$CJ267,$CL$9:$CL$508,$CL267,$CN$9:$CN$508,"&lt;"&amp;$CN267)+1))</f>
        <v/>
      </c>
      <c r="CP267" s="93" t="str">
        <f aca="false">IF(ISBLANK($C267),"",IF($BZ267&lt;&gt;Constants!$B$8,$BZ267,$CF267-$CO267))</f>
        <v/>
      </c>
      <c r="CQ267" s="100"/>
      <c r="CR267" s="101"/>
      <c r="CS267" s="102" t="str">
        <f aca="false">IF(ISBLANK($C267),"",IF($BZ267=Constants!$B$12,$BY267,""))</f>
        <v/>
      </c>
      <c r="CT267" s="101" t="str">
        <f aca="false">IF(ISBLANK($C267),"",IF($BZ267&lt;&gt;Constants!$B$8,"",IF($BM267="-&gt;",2,1)))</f>
        <v/>
      </c>
      <c r="CU267" s="103" t="str">
        <f aca="false">IF(ISBLANK($C267),"",IF($BZ267&lt;&gt;Constants!$B$8,"",IF($BM267="-&gt;",$BO267,$BC267)))</f>
        <v/>
      </c>
      <c r="CV267" s="103" t="str">
        <f aca="false">IF(ISBLANK($C267),"",IF($BZ267&lt;&gt;Constants!$B$8,"",IF($BM267="-&gt;",$BP267,$BD267)))</f>
        <v/>
      </c>
      <c r="CW267" s="103" t="str">
        <f aca="false">IF(ISBLANK($C267),"",IF($BZ267&lt;&gt;Constants!$B$8,"",IF($BM267="-&gt;",$BQ267+$BR267,$BE267+$BF267)+$CD267))</f>
        <v/>
      </c>
      <c r="CX267" s="103" t="str">
        <f aca="false">IF(ISBLANK($C267),"",IF($BZ267&lt;&gt;Constants!$B$8,"",IF($BM267="-&gt;",$BS267,$BG267)+$CC267))</f>
        <v/>
      </c>
      <c r="CY267" s="104" t="str">
        <f aca="false">IF(ISBLANK($C267),"",IF($BZ267&lt;&gt;Constants!$B$8,$BZ267,$CE267))</f>
        <v/>
      </c>
      <c r="CZ267" s="105" t="str">
        <f aca="false">IF(ISBLANK($C267),"",$CA267)</f>
        <v/>
      </c>
      <c r="DA267" s="106" t="str">
        <f aca="false">IF(ISBLANK($C267),"",$CP267)</f>
        <v/>
      </c>
      <c r="DB267" s="106" t="str">
        <f aca="false">IF(ISBLANK($C267),"",$CO267)</f>
        <v/>
      </c>
      <c r="DC267" s="107" t="str">
        <f aca="false">IF(ISBLANK($C267),"",IFERROR(_xlfn.SWITCH($DB267,Constants!$B$11,COUNTA($C$9:$C$508)+2,Constants!$B$10,COUNTA($C$9:$C$508)+1,Constants!$B$9,COUNTA($C$9:$C$508)),$DB267))</f>
        <v/>
      </c>
      <c r="DD267" s="9"/>
      <c r="DE267" s="108" t="n">
        <f aca="false">IF(OR(ISNUMBER($DB267),$DB267=Constants!$B$11,$DB267=Constants!$B$9,$DB267=Constants!$B$10),1,0)</f>
        <v>0</v>
      </c>
      <c r="DF267" s="108" t="n">
        <v>259</v>
      </c>
      <c r="DG267" s="108" t="str">
        <f aca="false">IF(ISBLANK($C267),"",IF(ISNUMBER($DC267),$DC267+ROW($B267)/1000,""))</f>
        <v/>
      </c>
      <c r="DH267" s="108" t="str">
        <f aca="false">IF(ISNUMBER($DG267),RANK($DG267,$DG$9:$DG$508,1),"")</f>
        <v/>
      </c>
      <c r="DI267" s="108" t="str">
        <f aca="false">IF(ISBLANK($C267),"",$B267)</f>
        <v/>
      </c>
      <c r="DJ267" s="108" t="str">
        <f aca="false">IF(ISBLANK($C267),"",$C267)</f>
        <v/>
      </c>
      <c r="DK267" s="108" t="str">
        <f aca="false">IF(ISBLANK($C267),"",$D267)</f>
        <v/>
      </c>
      <c r="DL267" s="109" t="str">
        <f aca="false">$CZ267</f>
        <v/>
      </c>
      <c r="DM267" s="110" t="str">
        <f aca="false">$CY267</f>
        <v/>
      </c>
      <c r="DN267" s="108" t="str">
        <f aca="false">IF(ISBLANK($C267),"",$DB267)</f>
        <v/>
      </c>
      <c r="DO267" s="111" t="str">
        <f aca="false">IF($DF267&gt;$DE$8,"",VLOOKUP($DF267,$DH$9:$DN$508,7,FALSE()))</f>
        <v/>
      </c>
      <c r="DP267" s="112" t="str">
        <f aca="false">IF($DF267&gt;$DE$8,"",VLOOKUP($DF267,$DH$9:$DN$508,2,FALSE()))</f>
        <v/>
      </c>
      <c r="DQ267" s="112" t="str">
        <f aca="false">IF($DF267&gt;$DE$8,"",VLOOKUP($DF267,$DH$9:$DN$508,3,FALSE()))</f>
        <v/>
      </c>
      <c r="DR267" s="112" t="str">
        <f aca="false">IF($DF267&gt;$DE$8,"",VLOOKUP($DF267,$DH$9:$DN$508,4,FALSE()))</f>
        <v/>
      </c>
      <c r="DS267" s="112" t="str">
        <f aca="false">IF($DF267&gt;$DE$8,"",VLOOKUP($DF267,$DH$9:$DN$508,5,FALSE()))</f>
        <v/>
      </c>
      <c r="DT267" s="113" t="str">
        <f aca="false">IF($DF267&gt;$DE$8,"",VLOOKUP($DF267,$DH$9:$DN$508,6,FALSE()))</f>
        <v/>
      </c>
      <c r="DU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IF(ISBLANK($C268),"",IF(E268=Constants!$B$3,TRUE(),IF(E268=Constants!$B$4,FALSE(),TRUE())))</f>
        <v/>
      </c>
      <c r="AG268" s="93" t="str">
        <f aca="false">IF(ISBLANK($C268),"",IF(F268=Constants!$B$3,TRUE(),IF(F268=Constants!$B$4,FALSE(),TRUE())))</f>
        <v/>
      </c>
      <c r="AH268" s="93" t="str">
        <f aca="false">IF(ISBLANK($C268),"",IF(G268=Constants!$B$3,TRUE(),IF(G268=Constants!$B$4,FALSE(),TRUE())))</f>
        <v/>
      </c>
      <c r="AI268" s="93" t="str">
        <f aca="false">IF(ISBLANK($C268),"",IF(AND(ISNUMBER(H268),H268&gt;=0),H268,Constants!$B$29))</f>
        <v/>
      </c>
      <c r="AJ268" s="93" t="str">
        <f aca="false">IF(ISBLANK($C268),"",IF(I268=Constants!$B$3,TRUE(),IF(I268=Constants!$B$4,FALSE(),TRUE())))</f>
        <v/>
      </c>
      <c r="AK268" s="93" t="str">
        <f aca="false">IF(ISBLANK($C268),"",IF(J268=Constants!$B$3,TRUE(),IF(J268=Constants!$B$4,FALSE(),TRUE())))</f>
        <v/>
      </c>
      <c r="AL268" s="93" t="str">
        <f aca="false">IF(ISBLANK($C268),"",IF(K268=Constants!$B$5,TRUE(),IF(K268=Constants!$B$6,FALSE(),COUNTA(L268:P268)&gt;0)))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IF(ISBLANK($C268),"",IF(N268=Constants!$B$3,TRUE(),IF(N268=Constants!$B$4,FALSE(),TRUE())))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IF(ISBLANK($C268),"",IF(P268=Constants!$B$3,TRUE(),IF(P268=Constants!$B$4,FALSE(),FALSE())))</f>
        <v/>
      </c>
      <c r="AR268" s="93" t="str">
        <f aca="false">IF(ISBLANK($C268),"",IF(Q268=Constants!$B$3,TRUE(),IF(Q268=Constants!$B$4,FALSE(),TRUE())))</f>
        <v/>
      </c>
      <c r="AS268" s="93" t="str">
        <f aca="false">IF(ISBLANK($C268),"",IF(R268=Constants!$B$3,TRUE(),IF(R268=Constants!$B$4,FALSE(),TRUE())))</f>
        <v/>
      </c>
      <c r="AT268" s="93" t="str">
        <f aca="false">IF(ISBLANK($C268),"",IF(S268=Constants!$B$5,TRUE(),IF(S268=Constants!$B$6,FALSE(),COUNTA(T268:X268)&gt;0)))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IF(ISBLANK($C268),"",IF(V268=Constants!$B$3,TRUE(),IF(V268=Constants!$B$4,FALSE(),TRUE())))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IF(ISBLANK($C268),"",IF(X268=Constants!$B$3,TRUE(),IF(X268=Constants!$B$4,FALSE(),FALSE())))</f>
        <v/>
      </c>
      <c r="AZ268" s="93" t="str">
        <f aca="false">IF(ISBLANK($C268),"",MIN(Constants!$B$31,MAX(0,IF(ISNUMBER(Y268),Y268*60,0)+IF(ISNUMBER(Z268),Z268,0))))</f>
        <v/>
      </c>
      <c r="BA268" s="93" t="str">
        <f aca="false">IF(ISBLANK($C268),"",IF(AA268=Constants!$B$3,TRUE(),IF(AA268=Constants!$B$4,FALSE(),FALSE())))</f>
        <v/>
      </c>
      <c r="BB268" s="92" t="str">
        <f aca="false">IF(ISBLANK($C268),"",AND($AL268,OR($AM268="",$AN268="",AND($AO268,$AP268=""))))</f>
        <v/>
      </c>
      <c r="BC268" s="94" t="str">
        <f aca="false">IF($BZ268&lt;&gt;Constants!$B$8,"",IF($AL268,Constants!$B$21*$AN268+Constants!$B$22*IF($AO268,$AP268,Constants!$B$23),Constants!$B$24))</f>
        <v/>
      </c>
      <c r="BD268" s="97" t="str">
        <f aca="false">IF($BZ268&lt;&gt;Constants!$B$8,"",Constants!$B$25*ABS($AD$9-IF($AL268,$AM268,0)))</f>
        <v/>
      </c>
      <c r="BE268" s="97" t="str">
        <f aca="false">IF($BZ268&lt;&gt;Constants!$B$8,"",IF(AND($AL268,$AQ268,$AO268),Constants!$B$27,0))</f>
        <v/>
      </c>
      <c r="BF268" s="97" t="str">
        <f aca="false">IF($BZ268&lt;&gt;Constants!$B$8,"",IF($AL268,($AI268-Constants!$B$29)*Constants!$B$28,0))</f>
        <v/>
      </c>
      <c r="BG268" s="97" t="str">
        <f aca="false">IF($BZ268&lt;&gt;Constants!$B$8,"",IF($AK268,0,Constants!$B$15)+IF($AJ268,0,Constants!$B$16)+IF($AH268,0,Constants!$B$17))</f>
        <v/>
      </c>
      <c r="BH268" s="98" t="str">
        <f aca="false">IF($BZ268&lt;&gt;Constants!$B$8,"",Constants!$B$20+SUM($BC268:$BG268))</f>
        <v/>
      </c>
      <c r="BI268" s="97" t="str">
        <f aca="false">IF($BZ268&lt;&gt;Constants!$B$8,"",$BC268)</f>
        <v/>
      </c>
      <c r="BJ268" s="97" t="str">
        <f aca="false">IF($BZ268&lt;&gt;Constants!$B$8,"",$BD268)</f>
        <v/>
      </c>
      <c r="BK268" s="97" t="str">
        <f aca="false">IF($BZ268&lt;&gt;Constants!$B$8,"",IF($AL268,$AN268,""))</f>
        <v/>
      </c>
      <c r="BL268" s="99" t="str">
        <f aca="false">IF($BZ268&lt;&gt;Constants!$B$8,"",$AI268)</f>
        <v/>
      </c>
      <c r="BM268" s="93" t="str">
        <f aca="false">IF($BZ268&lt;&gt;Constants!$B$8,"",IF(OR($BT268&lt;$BH268,AND($BT268=$BH268,OR($BU268&lt;$BI268,AND($BU268=$BI268,OR($BV268&lt;$BJ268,AND($BV268=$BJ268,OR(AND(ISNUMBER($BW268),OR(NOT(ISNUMBER($BK268)),$BW268&lt;$BK268)),AND(OR(AND($BW268="",$BK268=""),AND(ISNUMBER($BW268),ISNUMBER($BK268),$BW268=$BK268)),$BX268&lt;$BL268)))))))),"-&gt;","&lt;-"))</f>
        <v/>
      </c>
      <c r="BN268" s="92" t="str">
        <f aca="false">IF(ISBLANK($C268),"",AND($AT268,OR($AU268="",$AV268="",AND($AW268,$AX268=""))))</f>
        <v/>
      </c>
      <c r="BO268" s="94" t="str">
        <f aca="false">IF($BZ268&lt;&gt;Constants!$B$8,"",IF($AT268,Constants!$B$21*$AV268+Constants!$B$22*IF($AW268,$AX268,Constants!$B$23),Constants!$B$24))</f>
        <v/>
      </c>
      <c r="BP268" s="97" t="str">
        <f aca="false">IF($BZ268&lt;&gt;Constants!$B$8,"",Constants!$B$25*ABS($AD$9-IF($AT268,$AU268,0)))</f>
        <v/>
      </c>
      <c r="BQ268" s="97" t="str">
        <f aca="false">IF($BZ268&lt;&gt;Constants!$B$8,"",IF(AND($AT268,$AY268,$AW268),Constants!$B$27,0))</f>
        <v/>
      </c>
      <c r="BR268" s="97" t="str">
        <f aca="false">IF($BZ268&lt;&gt;Constants!$B$8,"",IF($AT268,($AI268-Constants!$B$29)*Constants!$B$28,0))</f>
        <v/>
      </c>
      <c r="BS268" s="97" t="str">
        <f aca="false">IF($BZ268&lt;&gt;Constants!$B$8,"",IF($AS268,0,Constants!$B$15)+IF($AR268,0,Constants!$B$16)+IF($AH268,0,Constants!$B$17))</f>
        <v/>
      </c>
      <c r="BT268" s="98" t="str">
        <f aca="false">IF($BZ268&lt;&gt;Constants!$B$8,"",Constants!$B$20+SUM($BO268:$BS268))</f>
        <v/>
      </c>
      <c r="BU268" s="97" t="str">
        <f aca="false">IF($BZ268&lt;&gt;Constants!$B$8,"",$BO268)</f>
        <v/>
      </c>
      <c r="BV268" s="97" t="str">
        <f aca="false">IF($BZ268&lt;&gt;Constants!$B$8,"",$BP268)</f>
        <v/>
      </c>
      <c r="BW268" s="97" t="str">
        <f aca="false">IF($BZ268&lt;&gt;Constants!$B$8,"",IF($AT268,$AV268,""))</f>
        <v/>
      </c>
      <c r="BX268" s="99" t="str">
        <f aca="false">IF($BZ268&lt;&gt;Constants!$B$8,"",$AI268)</f>
        <v/>
      </c>
      <c r="BY268" s="93" t="str">
        <f aca="false">IF(ISBLANK($C268),"",IF(ISBLANK($D$7),$BY$5,IF(NOT(ISNUMBER($D$7)),$BY$6,"")))</f>
        <v/>
      </c>
      <c r="BZ268" s="93" t="str">
        <f aca="false">IF(ISBLANK($C268),"",IF($BA268,Constants!$B$11,IF(COUNTA($E268:$AA268)=0,Constants!$B$10,IF(NOT($AG268),Constants!$B$9,IF(OR($BY268&lt;&gt;"",$BB268,$BN268),Constants!$B$12,Constants!$B$8)))))</f>
        <v/>
      </c>
      <c r="CA268" s="93" t="str">
        <f aca="false">IF(ISBLANK($C268),"",IF($BZ268&lt;&gt;Constants!$B$8,$BZ268,Constants!$B$13))</f>
        <v/>
      </c>
      <c r="CB268" s="97" t="str">
        <f aca="false">IF($BZ268&lt;&gt;Constants!$B$8,"",IF($BM268="-&gt;",$BT268,$BH268))</f>
        <v/>
      </c>
      <c r="CC268" s="97" t="str">
        <f aca="false">IF($BZ268&lt;&gt;Constants!$B$8,"",IF($AF268,0,Constants!$B$18))</f>
        <v/>
      </c>
      <c r="CD268" s="97" t="str">
        <f aca="false">IF($BZ268&lt;&gt;Constants!$B$8,"",((Constants!$B$31-$AZ268)-Constants!$B$31)/Constants!$B$32)</f>
        <v/>
      </c>
      <c r="CE268" s="97" t="str">
        <f aca="false">IF(ISBLANK($C268),"",IF($BZ268&lt;&gt;Constants!$B$8,$BZ268,SUM($CB268:$CD268)))</f>
        <v/>
      </c>
      <c r="CF268" s="93" t="str">
        <f aca="false">IF(ISBLANK($C268),"",IF($BZ268&lt;&gt;Constants!$B$8,$BZ268,RANK($CE268,$CE$9:$CE$508,1)))</f>
        <v/>
      </c>
      <c r="CG268" s="97" t="str">
        <f aca="false">IF($BZ268&lt;&gt;Constants!$B$8,"",IF($BM268="-&gt;",$BU268,$BI268))</f>
        <v/>
      </c>
      <c r="CH268" s="93" t="str">
        <f aca="false">IF(ISBLANK($C268),"",IF($BZ268&lt;&gt;Constants!$B$8,$BZ268,IF(ISNUMBER($CG268),RANK($CG268,$CG$9:$CG$508,1),COUNT($CG$9:$CG$508)+1)))</f>
        <v/>
      </c>
      <c r="CI268" s="97" t="str">
        <f aca="false">IF($BZ268&lt;&gt;Constants!$B$8,"",IF($BM268="-&gt;",$BV268,$BJ268))</f>
        <v/>
      </c>
      <c r="CJ268" s="93" t="str">
        <f aca="false">IF(ISBLANK($C268),"",IF($BZ268&lt;&gt;Constants!$B$8,$BZ268,IF(ISNUMBER($CI268),RANK($CI268,$CI$9:$CI$508,1),COUNT($CI$9:$CI$508)+1)))</f>
        <v/>
      </c>
      <c r="CK268" s="97" t="str">
        <f aca="false">IF($BZ268&lt;&gt;Constants!$B$8,"",IF($BM268="-&gt;",$BW268,$BK268))</f>
        <v/>
      </c>
      <c r="CL268" s="93" t="str">
        <f aca="false">IF(ISBLANK($C268),"",IF($BZ268&lt;&gt;Constants!$B$8,$BZ268,IF(ISNUMBER($CK268),RANK($CK268,$CK$9:$CK$508,1),COUNT($CK$9:$CK$508)+1)))</f>
        <v/>
      </c>
      <c r="CM268" s="97" t="str">
        <f aca="false">IF($BZ268&lt;&gt;Constants!$B$8,"",IF(AND(NOT($AL268),NOT($AT268),$AJ268,$AK268,$AR268,$AS268),"",IF($BM268="-&gt;",$BX268,$BL268)))</f>
        <v/>
      </c>
      <c r="CN268" s="93" t="str">
        <f aca="false">IF(ISBLANK($C268),"",IF($BZ268&lt;&gt;Constants!$B$8,$BZ268,IF(ISNUMBER($CM268),RANK($CM268,$CM$9:$CM$508,1),COUNT($CM$9:$CM$508)+1)))</f>
        <v/>
      </c>
      <c r="CO268" s="93" t="str">
        <f aca="false">IF(ISBLANK($C268),"",IF($BZ268&lt;&gt;Constants!$B$8,$BZ268,COUNTIFS($CF$9:$CF$508,"&lt;"&amp;$CF268)+COUNTIFS($CF$9:$CF$508,$CF268,$CH$9:$CH$508,"&lt;"&amp;$CH268)+COUNTIFS($CF$9:$CF$508,$CF268,$CH$9:$CH$508,$CH268,$CJ$9:$CJ$508,"&lt;"&amp;$CJ268)+COUNTIFS($CF$9:$CF$508,$CF268,$CH$9:$CH$508,$CH268,$CJ$9:$CJ$508,$CJ268,$CL$9:$CL$508,"&lt;"&amp;$CL268)+COUNTIFS($CF$9:$CF$508,$CF268,$CH$9:$CH$508,$CH268,$CJ$9:$CJ$508,$CJ268,$CL$9:$CL$508,$CL268,$CN$9:$CN$508,"&lt;"&amp;$CN268)+1))</f>
        <v/>
      </c>
      <c r="CP268" s="93" t="str">
        <f aca="false">IF(ISBLANK($C268),"",IF($BZ268&lt;&gt;Constants!$B$8,$BZ268,$CF268-$CO268))</f>
        <v/>
      </c>
      <c r="CQ268" s="100"/>
      <c r="CR268" s="101"/>
      <c r="CS268" s="102" t="str">
        <f aca="false">IF(ISBLANK($C268),"",IF($BZ268=Constants!$B$12,$BY268,""))</f>
        <v/>
      </c>
      <c r="CT268" s="101" t="str">
        <f aca="false">IF(ISBLANK($C268),"",IF($BZ268&lt;&gt;Constants!$B$8,"",IF($BM268="-&gt;",2,1)))</f>
        <v/>
      </c>
      <c r="CU268" s="103" t="str">
        <f aca="false">IF(ISBLANK($C268),"",IF($BZ268&lt;&gt;Constants!$B$8,"",IF($BM268="-&gt;",$BO268,$BC268)))</f>
        <v/>
      </c>
      <c r="CV268" s="103" t="str">
        <f aca="false">IF(ISBLANK($C268),"",IF($BZ268&lt;&gt;Constants!$B$8,"",IF($BM268="-&gt;",$BP268,$BD268)))</f>
        <v/>
      </c>
      <c r="CW268" s="103" t="str">
        <f aca="false">IF(ISBLANK($C268),"",IF($BZ268&lt;&gt;Constants!$B$8,"",IF($BM268="-&gt;",$BQ268+$BR268,$BE268+$BF268)+$CD268))</f>
        <v/>
      </c>
      <c r="CX268" s="103" t="str">
        <f aca="false">IF(ISBLANK($C268),"",IF($BZ268&lt;&gt;Constants!$B$8,"",IF($BM268="-&gt;",$BS268,$BG268)+$CC268))</f>
        <v/>
      </c>
      <c r="CY268" s="104" t="str">
        <f aca="false">IF(ISBLANK($C268),"",IF($BZ268&lt;&gt;Constants!$B$8,$BZ268,$CE268))</f>
        <v/>
      </c>
      <c r="CZ268" s="105" t="str">
        <f aca="false">IF(ISBLANK($C268),"",$CA268)</f>
        <v/>
      </c>
      <c r="DA268" s="106" t="str">
        <f aca="false">IF(ISBLANK($C268),"",$CP268)</f>
        <v/>
      </c>
      <c r="DB268" s="106" t="str">
        <f aca="false">IF(ISBLANK($C268),"",$CO268)</f>
        <v/>
      </c>
      <c r="DC268" s="107" t="str">
        <f aca="false">IF(ISBLANK($C268),"",IFERROR(_xlfn.SWITCH($DB268,Constants!$B$11,COUNTA($C$9:$C$508)+2,Constants!$B$10,COUNTA($C$9:$C$508)+1,Constants!$B$9,COUNTA($C$9:$C$508)),$DB268))</f>
        <v/>
      </c>
      <c r="DD268" s="9"/>
      <c r="DE268" s="108" t="n">
        <f aca="false">IF(OR(ISNUMBER($DB268),$DB268=Constants!$B$11,$DB268=Constants!$B$9,$DB268=Constants!$B$10),1,0)</f>
        <v>0</v>
      </c>
      <c r="DF268" s="108" t="n">
        <v>260</v>
      </c>
      <c r="DG268" s="108" t="str">
        <f aca="false">IF(ISBLANK($C268),"",IF(ISNUMBER($DC268),$DC268+ROW($B268)/1000,""))</f>
        <v/>
      </c>
      <c r="DH268" s="108" t="str">
        <f aca="false">IF(ISNUMBER($DG268),RANK($DG268,$DG$9:$DG$508,1),"")</f>
        <v/>
      </c>
      <c r="DI268" s="108" t="str">
        <f aca="false">IF(ISBLANK($C268),"",$B268)</f>
        <v/>
      </c>
      <c r="DJ268" s="108" t="str">
        <f aca="false">IF(ISBLANK($C268),"",$C268)</f>
        <v/>
      </c>
      <c r="DK268" s="108" t="str">
        <f aca="false">IF(ISBLANK($C268),"",$D268)</f>
        <v/>
      </c>
      <c r="DL268" s="109" t="str">
        <f aca="false">$CZ268</f>
        <v/>
      </c>
      <c r="DM268" s="110" t="str">
        <f aca="false">$CY268</f>
        <v/>
      </c>
      <c r="DN268" s="108" t="str">
        <f aca="false">IF(ISBLANK($C268),"",$DB268)</f>
        <v/>
      </c>
      <c r="DO268" s="111" t="str">
        <f aca="false">IF($DF268&gt;$DE$8,"",VLOOKUP($DF268,$DH$9:$DN$508,7,FALSE()))</f>
        <v/>
      </c>
      <c r="DP268" s="112" t="str">
        <f aca="false">IF($DF268&gt;$DE$8,"",VLOOKUP($DF268,$DH$9:$DN$508,2,FALSE()))</f>
        <v/>
      </c>
      <c r="DQ268" s="112" t="str">
        <f aca="false">IF($DF268&gt;$DE$8,"",VLOOKUP($DF268,$DH$9:$DN$508,3,FALSE()))</f>
        <v/>
      </c>
      <c r="DR268" s="112" t="str">
        <f aca="false">IF($DF268&gt;$DE$8,"",VLOOKUP($DF268,$DH$9:$DN$508,4,FALSE()))</f>
        <v/>
      </c>
      <c r="DS268" s="112" t="str">
        <f aca="false">IF($DF268&gt;$DE$8,"",VLOOKUP($DF268,$DH$9:$DN$508,5,FALSE()))</f>
        <v/>
      </c>
      <c r="DT268" s="113" t="str">
        <f aca="false">IF($DF268&gt;$DE$8,"",VLOOKUP($DF268,$DH$9:$DN$508,6,FALSE()))</f>
        <v/>
      </c>
      <c r="DU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IF(ISBLANK($C269),"",IF(E269=Constants!$B$3,TRUE(),IF(E269=Constants!$B$4,FALSE(),TRUE())))</f>
        <v/>
      </c>
      <c r="AG269" s="93" t="str">
        <f aca="false">IF(ISBLANK($C269),"",IF(F269=Constants!$B$3,TRUE(),IF(F269=Constants!$B$4,FALSE(),TRUE())))</f>
        <v/>
      </c>
      <c r="AH269" s="93" t="str">
        <f aca="false">IF(ISBLANK($C269),"",IF(G269=Constants!$B$3,TRUE(),IF(G269=Constants!$B$4,FALSE(),TRUE())))</f>
        <v/>
      </c>
      <c r="AI269" s="93" t="str">
        <f aca="false">IF(ISBLANK($C269),"",IF(AND(ISNUMBER(H269),H269&gt;=0),H269,Constants!$B$29))</f>
        <v/>
      </c>
      <c r="AJ269" s="93" t="str">
        <f aca="false">IF(ISBLANK($C269),"",IF(I269=Constants!$B$3,TRUE(),IF(I269=Constants!$B$4,FALSE(),TRUE())))</f>
        <v/>
      </c>
      <c r="AK269" s="93" t="str">
        <f aca="false">IF(ISBLANK($C269),"",IF(J269=Constants!$B$3,TRUE(),IF(J269=Constants!$B$4,FALSE(),TRUE())))</f>
        <v/>
      </c>
      <c r="AL269" s="93" t="str">
        <f aca="false">IF(ISBLANK($C269),"",IF(K269=Constants!$B$5,TRUE(),IF(K269=Constants!$B$6,FALSE(),COUNTA(L269:P269)&gt;0)))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IF(ISBLANK($C269),"",IF(N269=Constants!$B$3,TRUE(),IF(N269=Constants!$B$4,FALSE(),TRUE())))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IF(ISBLANK($C269),"",IF(P269=Constants!$B$3,TRUE(),IF(P269=Constants!$B$4,FALSE(),FALSE())))</f>
        <v/>
      </c>
      <c r="AR269" s="93" t="str">
        <f aca="false">IF(ISBLANK($C269),"",IF(Q269=Constants!$B$3,TRUE(),IF(Q269=Constants!$B$4,FALSE(),TRUE())))</f>
        <v/>
      </c>
      <c r="AS269" s="93" t="str">
        <f aca="false">IF(ISBLANK($C269),"",IF(R269=Constants!$B$3,TRUE(),IF(R269=Constants!$B$4,FALSE(),TRUE())))</f>
        <v/>
      </c>
      <c r="AT269" s="93" t="str">
        <f aca="false">IF(ISBLANK($C269),"",IF(S269=Constants!$B$5,TRUE(),IF(S269=Constants!$B$6,FALSE(),COUNTA(T269:X269)&gt;0)))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IF(ISBLANK($C269),"",IF(V269=Constants!$B$3,TRUE(),IF(V269=Constants!$B$4,FALSE(),TRUE())))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IF(ISBLANK($C269),"",IF(X269=Constants!$B$3,TRUE(),IF(X269=Constants!$B$4,FALSE(),FALSE())))</f>
        <v/>
      </c>
      <c r="AZ269" s="93" t="str">
        <f aca="false">IF(ISBLANK($C269),"",MIN(Constants!$B$31,MAX(0,IF(ISNUMBER(Y269),Y269*60,0)+IF(ISNUMBER(Z269),Z269,0))))</f>
        <v/>
      </c>
      <c r="BA269" s="93" t="str">
        <f aca="false">IF(ISBLANK($C269),"",IF(AA269=Constants!$B$3,TRUE(),IF(AA269=Constants!$B$4,FALSE(),FALSE())))</f>
        <v/>
      </c>
      <c r="BB269" s="92" t="str">
        <f aca="false">IF(ISBLANK($C269),"",AND($AL269,OR($AM269="",$AN269="",AND($AO269,$AP269=""))))</f>
        <v/>
      </c>
      <c r="BC269" s="94" t="str">
        <f aca="false">IF($BZ269&lt;&gt;Constants!$B$8,"",IF($AL269,Constants!$B$21*$AN269+Constants!$B$22*IF($AO269,$AP269,Constants!$B$23),Constants!$B$24))</f>
        <v/>
      </c>
      <c r="BD269" s="97" t="str">
        <f aca="false">IF($BZ269&lt;&gt;Constants!$B$8,"",Constants!$B$25*ABS($AD$9-IF($AL269,$AM269,0)))</f>
        <v/>
      </c>
      <c r="BE269" s="97" t="str">
        <f aca="false">IF($BZ269&lt;&gt;Constants!$B$8,"",IF(AND($AL269,$AQ269,$AO269),Constants!$B$27,0))</f>
        <v/>
      </c>
      <c r="BF269" s="97" t="str">
        <f aca="false">IF($BZ269&lt;&gt;Constants!$B$8,"",IF($AL269,($AI269-Constants!$B$29)*Constants!$B$28,0))</f>
        <v/>
      </c>
      <c r="BG269" s="97" t="str">
        <f aca="false">IF($BZ269&lt;&gt;Constants!$B$8,"",IF($AK269,0,Constants!$B$15)+IF($AJ269,0,Constants!$B$16)+IF($AH269,0,Constants!$B$17))</f>
        <v/>
      </c>
      <c r="BH269" s="98" t="str">
        <f aca="false">IF($BZ269&lt;&gt;Constants!$B$8,"",Constants!$B$20+SUM($BC269:$BG269))</f>
        <v/>
      </c>
      <c r="BI269" s="97" t="str">
        <f aca="false">IF($BZ269&lt;&gt;Constants!$B$8,"",$BC269)</f>
        <v/>
      </c>
      <c r="BJ269" s="97" t="str">
        <f aca="false">IF($BZ269&lt;&gt;Constants!$B$8,"",$BD269)</f>
        <v/>
      </c>
      <c r="BK269" s="97" t="str">
        <f aca="false">IF($BZ269&lt;&gt;Constants!$B$8,"",IF($AL269,$AN269,""))</f>
        <v/>
      </c>
      <c r="BL269" s="99" t="str">
        <f aca="false">IF($BZ269&lt;&gt;Constants!$B$8,"",$AI269)</f>
        <v/>
      </c>
      <c r="BM269" s="93" t="str">
        <f aca="false">IF($BZ269&lt;&gt;Constants!$B$8,"",IF(OR($BT269&lt;$BH269,AND($BT269=$BH269,OR($BU269&lt;$BI269,AND($BU269=$BI269,OR($BV269&lt;$BJ269,AND($BV269=$BJ269,OR(AND(ISNUMBER($BW269),OR(NOT(ISNUMBER($BK269)),$BW269&lt;$BK269)),AND(OR(AND($BW269="",$BK269=""),AND(ISNUMBER($BW269),ISNUMBER($BK269),$BW269=$BK269)),$BX269&lt;$BL269)))))))),"-&gt;","&lt;-"))</f>
        <v/>
      </c>
      <c r="BN269" s="92" t="str">
        <f aca="false">IF(ISBLANK($C269),"",AND($AT269,OR($AU269="",$AV269="",AND($AW269,$AX269=""))))</f>
        <v/>
      </c>
      <c r="BO269" s="94" t="str">
        <f aca="false">IF($BZ269&lt;&gt;Constants!$B$8,"",IF($AT269,Constants!$B$21*$AV269+Constants!$B$22*IF($AW269,$AX269,Constants!$B$23),Constants!$B$24))</f>
        <v/>
      </c>
      <c r="BP269" s="97" t="str">
        <f aca="false">IF($BZ269&lt;&gt;Constants!$B$8,"",Constants!$B$25*ABS($AD$9-IF($AT269,$AU269,0)))</f>
        <v/>
      </c>
      <c r="BQ269" s="97" t="str">
        <f aca="false">IF($BZ269&lt;&gt;Constants!$B$8,"",IF(AND($AT269,$AY269,$AW269),Constants!$B$27,0))</f>
        <v/>
      </c>
      <c r="BR269" s="97" t="str">
        <f aca="false">IF($BZ269&lt;&gt;Constants!$B$8,"",IF($AT269,($AI269-Constants!$B$29)*Constants!$B$28,0))</f>
        <v/>
      </c>
      <c r="BS269" s="97" t="str">
        <f aca="false">IF($BZ269&lt;&gt;Constants!$B$8,"",IF($AS269,0,Constants!$B$15)+IF($AR269,0,Constants!$B$16)+IF($AH269,0,Constants!$B$17))</f>
        <v/>
      </c>
      <c r="BT269" s="98" t="str">
        <f aca="false">IF($BZ269&lt;&gt;Constants!$B$8,"",Constants!$B$20+SUM($BO269:$BS269))</f>
        <v/>
      </c>
      <c r="BU269" s="97" t="str">
        <f aca="false">IF($BZ269&lt;&gt;Constants!$B$8,"",$BO269)</f>
        <v/>
      </c>
      <c r="BV269" s="97" t="str">
        <f aca="false">IF($BZ269&lt;&gt;Constants!$B$8,"",$BP269)</f>
        <v/>
      </c>
      <c r="BW269" s="97" t="str">
        <f aca="false">IF($BZ269&lt;&gt;Constants!$B$8,"",IF($AT269,$AV269,""))</f>
        <v/>
      </c>
      <c r="BX269" s="99" t="str">
        <f aca="false">IF($BZ269&lt;&gt;Constants!$B$8,"",$AI269)</f>
        <v/>
      </c>
      <c r="BY269" s="93" t="str">
        <f aca="false">IF(ISBLANK($C269),"",IF(ISBLANK($D$7),$BY$5,IF(NOT(ISNUMBER($D$7)),$BY$6,"")))</f>
        <v/>
      </c>
      <c r="BZ269" s="93" t="str">
        <f aca="false">IF(ISBLANK($C269),"",IF($BA269,Constants!$B$11,IF(COUNTA($E269:$AA269)=0,Constants!$B$10,IF(NOT($AG269),Constants!$B$9,IF(OR($BY269&lt;&gt;"",$BB269,$BN269),Constants!$B$12,Constants!$B$8)))))</f>
        <v/>
      </c>
      <c r="CA269" s="93" t="str">
        <f aca="false">IF(ISBLANK($C269),"",IF($BZ269&lt;&gt;Constants!$B$8,$BZ269,Constants!$B$13))</f>
        <v/>
      </c>
      <c r="CB269" s="97" t="str">
        <f aca="false">IF($BZ269&lt;&gt;Constants!$B$8,"",IF($BM269="-&gt;",$BT269,$BH269))</f>
        <v/>
      </c>
      <c r="CC269" s="97" t="str">
        <f aca="false">IF($BZ269&lt;&gt;Constants!$B$8,"",IF($AF269,0,Constants!$B$18))</f>
        <v/>
      </c>
      <c r="CD269" s="97" t="str">
        <f aca="false">IF($BZ269&lt;&gt;Constants!$B$8,"",((Constants!$B$31-$AZ269)-Constants!$B$31)/Constants!$B$32)</f>
        <v/>
      </c>
      <c r="CE269" s="97" t="str">
        <f aca="false">IF(ISBLANK($C269),"",IF($BZ269&lt;&gt;Constants!$B$8,$BZ269,SUM($CB269:$CD269)))</f>
        <v/>
      </c>
      <c r="CF269" s="93" t="str">
        <f aca="false">IF(ISBLANK($C269),"",IF($BZ269&lt;&gt;Constants!$B$8,$BZ269,RANK($CE269,$CE$9:$CE$508,1)))</f>
        <v/>
      </c>
      <c r="CG269" s="97" t="str">
        <f aca="false">IF($BZ269&lt;&gt;Constants!$B$8,"",IF($BM269="-&gt;",$BU269,$BI269))</f>
        <v/>
      </c>
      <c r="CH269" s="93" t="str">
        <f aca="false">IF(ISBLANK($C269),"",IF($BZ269&lt;&gt;Constants!$B$8,$BZ269,IF(ISNUMBER($CG269),RANK($CG269,$CG$9:$CG$508,1),COUNT($CG$9:$CG$508)+1)))</f>
        <v/>
      </c>
      <c r="CI269" s="97" t="str">
        <f aca="false">IF($BZ269&lt;&gt;Constants!$B$8,"",IF($BM269="-&gt;",$BV269,$BJ269))</f>
        <v/>
      </c>
      <c r="CJ269" s="93" t="str">
        <f aca="false">IF(ISBLANK($C269),"",IF($BZ269&lt;&gt;Constants!$B$8,$BZ269,IF(ISNUMBER($CI269),RANK($CI269,$CI$9:$CI$508,1),COUNT($CI$9:$CI$508)+1)))</f>
        <v/>
      </c>
      <c r="CK269" s="97" t="str">
        <f aca="false">IF($BZ269&lt;&gt;Constants!$B$8,"",IF($BM269="-&gt;",$BW269,$BK269))</f>
        <v/>
      </c>
      <c r="CL269" s="93" t="str">
        <f aca="false">IF(ISBLANK($C269),"",IF($BZ269&lt;&gt;Constants!$B$8,$BZ269,IF(ISNUMBER($CK269),RANK($CK269,$CK$9:$CK$508,1),COUNT($CK$9:$CK$508)+1)))</f>
        <v/>
      </c>
      <c r="CM269" s="97" t="str">
        <f aca="false">IF($BZ269&lt;&gt;Constants!$B$8,"",IF(AND(NOT($AL269),NOT($AT269),$AJ269,$AK269,$AR269,$AS269),"",IF($BM269="-&gt;",$BX269,$BL269)))</f>
        <v/>
      </c>
      <c r="CN269" s="93" t="str">
        <f aca="false">IF(ISBLANK($C269),"",IF($BZ269&lt;&gt;Constants!$B$8,$BZ269,IF(ISNUMBER($CM269),RANK($CM269,$CM$9:$CM$508,1),COUNT($CM$9:$CM$508)+1)))</f>
        <v/>
      </c>
      <c r="CO269" s="93" t="str">
        <f aca="false">IF(ISBLANK($C269),"",IF($BZ269&lt;&gt;Constants!$B$8,$BZ269,COUNTIFS($CF$9:$CF$508,"&lt;"&amp;$CF269)+COUNTIFS($CF$9:$CF$508,$CF269,$CH$9:$CH$508,"&lt;"&amp;$CH269)+COUNTIFS($CF$9:$CF$508,$CF269,$CH$9:$CH$508,$CH269,$CJ$9:$CJ$508,"&lt;"&amp;$CJ269)+COUNTIFS($CF$9:$CF$508,$CF269,$CH$9:$CH$508,$CH269,$CJ$9:$CJ$508,$CJ269,$CL$9:$CL$508,"&lt;"&amp;$CL269)+COUNTIFS($CF$9:$CF$508,$CF269,$CH$9:$CH$508,$CH269,$CJ$9:$CJ$508,$CJ269,$CL$9:$CL$508,$CL269,$CN$9:$CN$508,"&lt;"&amp;$CN269)+1))</f>
        <v/>
      </c>
      <c r="CP269" s="93" t="str">
        <f aca="false">IF(ISBLANK($C269),"",IF($BZ269&lt;&gt;Constants!$B$8,$BZ269,$CF269-$CO269))</f>
        <v/>
      </c>
      <c r="CQ269" s="100"/>
      <c r="CR269" s="101"/>
      <c r="CS269" s="102" t="str">
        <f aca="false">IF(ISBLANK($C269),"",IF($BZ269=Constants!$B$12,$BY269,""))</f>
        <v/>
      </c>
      <c r="CT269" s="101" t="str">
        <f aca="false">IF(ISBLANK($C269),"",IF($BZ269&lt;&gt;Constants!$B$8,"",IF($BM269="-&gt;",2,1)))</f>
        <v/>
      </c>
      <c r="CU269" s="103" t="str">
        <f aca="false">IF(ISBLANK($C269),"",IF($BZ269&lt;&gt;Constants!$B$8,"",IF($BM269="-&gt;",$BO269,$BC269)))</f>
        <v/>
      </c>
      <c r="CV269" s="103" t="str">
        <f aca="false">IF(ISBLANK($C269),"",IF($BZ269&lt;&gt;Constants!$B$8,"",IF($BM269="-&gt;",$BP269,$BD269)))</f>
        <v/>
      </c>
      <c r="CW269" s="103" t="str">
        <f aca="false">IF(ISBLANK($C269),"",IF($BZ269&lt;&gt;Constants!$B$8,"",IF($BM269="-&gt;",$BQ269+$BR269,$BE269+$BF269)+$CD269))</f>
        <v/>
      </c>
      <c r="CX269" s="103" t="str">
        <f aca="false">IF(ISBLANK($C269),"",IF($BZ269&lt;&gt;Constants!$B$8,"",IF($BM269="-&gt;",$BS269,$BG269)+$CC269))</f>
        <v/>
      </c>
      <c r="CY269" s="104" t="str">
        <f aca="false">IF(ISBLANK($C269),"",IF($BZ269&lt;&gt;Constants!$B$8,$BZ269,$CE269))</f>
        <v/>
      </c>
      <c r="CZ269" s="105" t="str">
        <f aca="false">IF(ISBLANK($C269),"",$CA269)</f>
        <v/>
      </c>
      <c r="DA269" s="106" t="str">
        <f aca="false">IF(ISBLANK($C269),"",$CP269)</f>
        <v/>
      </c>
      <c r="DB269" s="106" t="str">
        <f aca="false">IF(ISBLANK($C269),"",$CO269)</f>
        <v/>
      </c>
      <c r="DC269" s="107" t="str">
        <f aca="false">IF(ISBLANK($C269),"",IFERROR(_xlfn.SWITCH($DB269,Constants!$B$11,COUNTA($C$9:$C$508)+2,Constants!$B$10,COUNTA($C$9:$C$508)+1,Constants!$B$9,COUNTA($C$9:$C$508)),$DB269))</f>
        <v/>
      </c>
      <c r="DD269" s="9"/>
      <c r="DE269" s="108" t="n">
        <f aca="false">IF(OR(ISNUMBER($DB269),$DB269=Constants!$B$11,$DB269=Constants!$B$9,$DB269=Constants!$B$10),1,0)</f>
        <v>0</v>
      </c>
      <c r="DF269" s="108" t="n">
        <v>261</v>
      </c>
      <c r="DG269" s="108" t="str">
        <f aca="false">IF(ISBLANK($C269),"",IF(ISNUMBER($DC269),$DC269+ROW($B269)/1000,""))</f>
        <v/>
      </c>
      <c r="DH269" s="108" t="str">
        <f aca="false">IF(ISNUMBER($DG269),RANK($DG269,$DG$9:$DG$508,1),"")</f>
        <v/>
      </c>
      <c r="DI269" s="108" t="str">
        <f aca="false">IF(ISBLANK($C269),"",$B269)</f>
        <v/>
      </c>
      <c r="DJ269" s="108" t="str">
        <f aca="false">IF(ISBLANK($C269),"",$C269)</f>
        <v/>
      </c>
      <c r="DK269" s="108" t="str">
        <f aca="false">IF(ISBLANK($C269),"",$D269)</f>
        <v/>
      </c>
      <c r="DL269" s="109" t="str">
        <f aca="false">$CZ269</f>
        <v/>
      </c>
      <c r="DM269" s="110" t="str">
        <f aca="false">$CY269</f>
        <v/>
      </c>
      <c r="DN269" s="108" t="str">
        <f aca="false">IF(ISBLANK($C269),"",$DB269)</f>
        <v/>
      </c>
      <c r="DO269" s="111" t="str">
        <f aca="false">IF($DF269&gt;$DE$8,"",VLOOKUP($DF269,$DH$9:$DN$508,7,FALSE()))</f>
        <v/>
      </c>
      <c r="DP269" s="112" t="str">
        <f aca="false">IF($DF269&gt;$DE$8,"",VLOOKUP($DF269,$DH$9:$DN$508,2,FALSE()))</f>
        <v/>
      </c>
      <c r="DQ269" s="112" t="str">
        <f aca="false">IF($DF269&gt;$DE$8,"",VLOOKUP($DF269,$DH$9:$DN$508,3,FALSE()))</f>
        <v/>
      </c>
      <c r="DR269" s="112" t="str">
        <f aca="false">IF($DF269&gt;$DE$8,"",VLOOKUP($DF269,$DH$9:$DN$508,4,FALSE()))</f>
        <v/>
      </c>
      <c r="DS269" s="112" t="str">
        <f aca="false">IF($DF269&gt;$DE$8,"",VLOOKUP($DF269,$DH$9:$DN$508,5,FALSE()))</f>
        <v/>
      </c>
      <c r="DT269" s="113" t="str">
        <f aca="false">IF($DF269&gt;$DE$8,"",VLOOKUP($DF269,$DH$9:$DN$508,6,FALSE()))</f>
        <v/>
      </c>
      <c r="DU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IF(ISBLANK($C270),"",IF(E270=Constants!$B$3,TRUE(),IF(E270=Constants!$B$4,FALSE(),TRUE())))</f>
        <v/>
      </c>
      <c r="AG270" s="135" t="str">
        <f aca="false">IF(ISBLANK($C270),"",IF(F270=Constants!$B$3,TRUE(),IF(F270=Constants!$B$4,FALSE(),TRUE())))</f>
        <v/>
      </c>
      <c r="AH270" s="135" t="str">
        <f aca="false">IF(ISBLANK($C270),"",IF(G270=Constants!$B$3,TRUE(),IF(G270=Constants!$B$4,FALSE(),TRUE())))</f>
        <v/>
      </c>
      <c r="AI270" s="135" t="str">
        <f aca="false">IF(ISBLANK($C270),"",IF(AND(ISNUMBER(H270),H270&gt;=0),H270,Constants!$B$29))</f>
        <v/>
      </c>
      <c r="AJ270" s="135" t="str">
        <f aca="false">IF(ISBLANK($C270),"",IF(I270=Constants!$B$3,TRUE(),IF(I270=Constants!$B$4,FALSE(),TRUE())))</f>
        <v/>
      </c>
      <c r="AK270" s="135" t="str">
        <f aca="false">IF(ISBLANK($C270),"",IF(J270=Constants!$B$3,TRUE(),IF(J270=Constants!$B$4,FALSE(),TRUE())))</f>
        <v/>
      </c>
      <c r="AL270" s="135" t="str">
        <f aca="false">IF(ISBLANK($C270),"",IF(K270=Constants!$B$5,TRUE(),IF(K270=Constants!$B$6,FALSE(),COUNTA(L270:P270)&gt;0)))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IF(ISBLANK($C270),"",IF(N270=Constants!$B$3,TRUE(),IF(N270=Constants!$B$4,FALSE(),TRUE())))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IF(ISBLANK($C270),"",IF(P270=Constants!$B$3,TRUE(),IF(P270=Constants!$B$4,FALSE(),FALSE())))</f>
        <v/>
      </c>
      <c r="AR270" s="135" t="str">
        <f aca="false">IF(ISBLANK($C270),"",IF(Q270=Constants!$B$3,TRUE(),IF(Q270=Constants!$B$4,FALSE(),TRUE())))</f>
        <v/>
      </c>
      <c r="AS270" s="135" t="str">
        <f aca="false">IF(ISBLANK($C270),"",IF(R270=Constants!$B$3,TRUE(),IF(R270=Constants!$B$4,FALSE(),TRUE())))</f>
        <v/>
      </c>
      <c r="AT270" s="135" t="str">
        <f aca="false">IF(ISBLANK($C270),"",IF(S270=Constants!$B$5,TRUE(),IF(S270=Constants!$B$6,FALSE(),COUNTA(T270:X270)&gt;0)))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IF(ISBLANK($C270),"",IF(V270=Constants!$B$3,TRUE(),IF(V270=Constants!$B$4,FALSE(),TRUE())))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IF(ISBLANK($C270),"",IF(X270=Constants!$B$3,TRUE(),IF(X270=Constants!$B$4,FALSE(),FALSE())))</f>
        <v/>
      </c>
      <c r="AZ270" s="135" t="str">
        <f aca="false">IF(ISBLANK($C270),"",MIN(Constants!$B$31,MAX(0,IF(ISNUMBER(Y270),Y270*60,0)+IF(ISNUMBER(Z270),Z270,0))))</f>
        <v/>
      </c>
      <c r="BA270" s="135" t="str">
        <f aca="false">IF(ISBLANK($C270),"",IF(AA270=Constants!$B$3,TRUE(),IF(AA270=Constants!$B$4,FALSE(),FALSE())))</f>
        <v/>
      </c>
      <c r="BB270" s="134" t="str">
        <f aca="false">IF(ISBLANK($C270),"",AND($AL270,OR($AM270="",$AN270="",AND($AO270,$AP270=""))))</f>
        <v/>
      </c>
      <c r="BC270" s="137" t="str">
        <f aca="false">IF($BZ270&lt;&gt;Constants!$B$8,"",IF($AL270,Constants!$B$21*$AN270+Constants!$B$22*IF($AO270,$AP270,Constants!$B$23),Constants!$B$24))</f>
        <v/>
      </c>
      <c r="BD270" s="138" t="str">
        <f aca="false">IF($BZ270&lt;&gt;Constants!$B$8,"",Constants!$B$25*ABS($AD$9-IF($AL270,$AM270,0)))</f>
        <v/>
      </c>
      <c r="BE270" s="138" t="str">
        <f aca="false">IF($BZ270&lt;&gt;Constants!$B$8,"",IF(AND($AL270,$AQ270,$AO270),Constants!$B$27,0))</f>
        <v/>
      </c>
      <c r="BF270" s="138" t="str">
        <f aca="false">IF($BZ270&lt;&gt;Constants!$B$8,"",IF($AL270,($AI270-Constants!$B$29)*Constants!$B$28,0))</f>
        <v/>
      </c>
      <c r="BG270" s="138" t="str">
        <f aca="false">IF($BZ270&lt;&gt;Constants!$B$8,"",IF($AK270,0,Constants!$B$15)+IF($AJ270,0,Constants!$B$16)+IF($AH270,0,Constants!$B$17))</f>
        <v/>
      </c>
      <c r="BH270" s="139" t="str">
        <f aca="false">IF($BZ270&lt;&gt;Constants!$B$8,"",Constants!$B$20+SUM($BC270:$BG270))</f>
        <v/>
      </c>
      <c r="BI270" s="138" t="str">
        <f aca="false">IF($BZ270&lt;&gt;Constants!$B$8,"",$BC270)</f>
        <v/>
      </c>
      <c r="BJ270" s="138" t="str">
        <f aca="false">IF($BZ270&lt;&gt;Constants!$B$8,"",$BD270)</f>
        <v/>
      </c>
      <c r="BK270" s="138" t="str">
        <f aca="false">IF($BZ270&lt;&gt;Constants!$B$8,"",IF($AL270,$AN270,""))</f>
        <v/>
      </c>
      <c r="BL270" s="140" t="str">
        <f aca="false">IF($BZ270&lt;&gt;Constants!$B$8,"",$AI270)</f>
        <v/>
      </c>
      <c r="BM270" s="135" t="str">
        <f aca="false">IF($BZ270&lt;&gt;Constants!$B$8,"",IF(OR($BT270&lt;$BH270,AND($BT270=$BH270,OR($BU270&lt;$BI270,AND($BU270=$BI270,OR($BV270&lt;$BJ270,AND($BV270=$BJ270,OR(AND(ISNUMBER($BW270),OR(NOT(ISNUMBER($BK270)),$BW270&lt;$BK270)),AND(OR(AND($BW270="",$BK270=""),AND(ISNUMBER($BW270),ISNUMBER($BK270),$BW270=$BK270)),$BX270&lt;$BL270)))))))),"-&gt;","&lt;-"))</f>
        <v/>
      </c>
      <c r="BN270" s="134" t="str">
        <f aca="false">IF(ISBLANK($C270),"",AND($AT270,OR($AU270="",$AV270="",AND($AW270,$AX270=""))))</f>
        <v/>
      </c>
      <c r="BO270" s="137" t="str">
        <f aca="false">IF($BZ270&lt;&gt;Constants!$B$8,"",IF($AT270,Constants!$B$21*$AV270+Constants!$B$22*IF($AW270,$AX270,Constants!$B$23),Constants!$B$24))</f>
        <v/>
      </c>
      <c r="BP270" s="138" t="str">
        <f aca="false">IF($BZ270&lt;&gt;Constants!$B$8,"",Constants!$B$25*ABS($AD$9-IF($AT270,$AU270,0)))</f>
        <v/>
      </c>
      <c r="BQ270" s="138" t="str">
        <f aca="false">IF($BZ270&lt;&gt;Constants!$B$8,"",IF(AND($AT270,$AY270,$AW270),Constants!$B$27,0))</f>
        <v/>
      </c>
      <c r="BR270" s="138" t="str">
        <f aca="false">IF($BZ270&lt;&gt;Constants!$B$8,"",IF($AT270,($AI270-Constants!$B$29)*Constants!$B$28,0))</f>
        <v/>
      </c>
      <c r="BS270" s="138" t="str">
        <f aca="false">IF($BZ270&lt;&gt;Constants!$B$8,"",IF($AS270,0,Constants!$B$15)+IF($AR270,0,Constants!$B$16)+IF($AH270,0,Constants!$B$17))</f>
        <v/>
      </c>
      <c r="BT270" s="139" t="str">
        <f aca="false">IF($BZ270&lt;&gt;Constants!$B$8,"",Constants!$B$20+SUM($BO270:$BS270))</f>
        <v/>
      </c>
      <c r="BU270" s="138" t="str">
        <f aca="false">IF($BZ270&lt;&gt;Constants!$B$8,"",$BO270)</f>
        <v/>
      </c>
      <c r="BV270" s="138" t="str">
        <f aca="false">IF($BZ270&lt;&gt;Constants!$B$8,"",$BP270)</f>
        <v/>
      </c>
      <c r="BW270" s="138" t="str">
        <f aca="false">IF($BZ270&lt;&gt;Constants!$B$8,"",IF($AT270,$AV270,""))</f>
        <v/>
      </c>
      <c r="BX270" s="140" t="str">
        <f aca="false">IF($BZ270&lt;&gt;Constants!$B$8,"",$AI270)</f>
        <v/>
      </c>
      <c r="BY270" s="135" t="str">
        <f aca="false">IF(ISBLANK($C270),"",IF(ISBLANK($D$7),$BY$5,IF(NOT(ISNUMBER($D$7)),$BY$6,"")))</f>
        <v/>
      </c>
      <c r="BZ270" s="135" t="str">
        <f aca="false">IF(ISBLANK($C270),"",IF($BA270,Constants!$B$11,IF(COUNTA($E270:$AA270)=0,Constants!$B$10,IF(NOT($AG270),Constants!$B$9,IF(OR($BY270&lt;&gt;"",$BB270,$BN270),Constants!$B$12,Constants!$B$8)))))</f>
        <v/>
      </c>
      <c r="CA270" s="135" t="str">
        <f aca="false">IF(ISBLANK($C270),"",IF($BZ270&lt;&gt;Constants!$B$8,$BZ270,Constants!$B$13))</f>
        <v/>
      </c>
      <c r="CB270" s="138" t="str">
        <f aca="false">IF($BZ270&lt;&gt;Constants!$B$8,"",IF($BM270="-&gt;",$BT270,$BH270))</f>
        <v/>
      </c>
      <c r="CC270" s="138" t="str">
        <f aca="false">IF($BZ270&lt;&gt;Constants!$B$8,"",IF($AF270,0,Constants!$B$18))</f>
        <v/>
      </c>
      <c r="CD270" s="138" t="str">
        <f aca="false">IF($BZ270&lt;&gt;Constants!$B$8,"",((Constants!$B$31-$AZ270)-Constants!$B$31)/Constants!$B$32)</f>
        <v/>
      </c>
      <c r="CE270" s="138" t="str">
        <f aca="false">IF(ISBLANK($C270),"",IF($BZ270&lt;&gt;Constants!$B$8,$BZ270,SUM($CB270:$CD270)))</f>
        <v/>
      </c>
      <c r="CF270" s="135" t="str">
        <f aca="false">IF(ISBLANK($C270),"",IF($BZ270&lt;&gt;Constants!$B$8,$BZ270,RANK($CE270,$CE$9:$CE$508,1)))</f>
        <v/>
      </c>
      <c r="CG270" s="138" t="str">
        <f aca="false">IF($BZ270&lt;&gt;Constants!$B$8,"",IF($BM270="-&gt;",$BU270,$BI270))</f>
        <v/>
      </c>
      <c r="CH270" s="135" t="str">
        <f aca="false">IF(ISBLANK($C270),"",IF($BZ270&lt;&gt;Constants!$B$8,$BZ270,IF(ISNUMBER($CG270),RANK($CG270,$CG$9:$CG$508,1),COUNT($CG$9:$CG$508)+1)))</f>
        <v/>
      </c>
      <c r="CI270" s="138" t="str">
        <f aca="false">IF($BZ270&lt;&gt;Constants!$B$8,"",IF($BM270="-&gt;",$BV270,$BJ270))</f>
        <v/>
      </c>
      <c r="CJ270" s="135" t="str">
        <f aca="false">IF(ISBLANK($C270),"",IF($BZ270&lt;&gt;Constants!$B$8,$BZ270,IF(ISNUMBER($CI270),RANK($CI270,$CI$9:$CI$508,1),COUNT($CI$9:$CI$508)+1)))</f>
        <v/>
      </c>
      <c r="CK270" s="138" t="str">
        <f aca="false">IF($BZ270&lt;&gt;Constants!$B$8,"",IF($BM270="-&gt;",$BW270,$BK270))</f>
        <v/>
      </c>
      <c r="CL270" s="135" t="str">
        <f aca="false">IF(ISBLANK($C270),"",IF($BZ270&lt;&gt;Constants!$B$8,$BZ270,IF(ISNUMBER($CK270),RANK($CK270,$CK$9:$CK$508,1),COUNT($CK$9:$CK$508)+1)))</f>
        <v/>
      </c>
      <c r="CM270" s="138" t="str">
        <f aca="false">IF($BZ270&lt;&gt;Constants!$B$8,"",IF(AND(NOT($AL270),NOT($AT270),$AJ270,$AK270,$AR270,$AS270),"",IF($BM270="-&gt;",$BX270,$BL270)))</f>
        <v/>
      </c>
      <c r="CN270" s="135" t="str">
        <f aca="false">IF(ISBLANK($C270),"",IF($BZ270&lt;&gt;Constants!$B$8,$BZ270,IF(ISNUMBER($CM270),RANK($CM270,$CM$9:$CM$508,1),COUNT($CM$9:$CM$508)+1)))</f>
        <v/>
      </c>
      <c r="CO270" s="135" t="str">
        <f aca="false">IF(ISBLANK($C270),"",IF($BZ270&lt;&gt;Constants!$B$8,$BZ270,COUNTIFS($CF$9:$CF$508,"&lt;"&amp;$CF270)+COUNTIFS($CF$9:$CF$508,$CF270,$CH$9:$CH$508,"&lt;"&amp;$CH270)+COUNTIFS($CF$9:$CF$508,$CF270,$CH$9:$CH$508,$CH270,$CJ$9:$CJ$508,"&lt;"&amp;$CJ270)+COUNTIFS($CF$9:$CF$508,$CF270,$CH$9:$CH$508,$CH270,$CJ$9:$CJ$508,$CJ270,$CL$9:$CL$508,"&lt;"&amp;$CL270)+COUNTIFS($CF$9:$CF$508,$CF270,$CH$9:$CH$508,$CH270,$CJ$9:$CJ$508,$CJ270,$CL$9:$CL$508,$CL270,$CN$9:$CN$508,"&lt;"&amp;$CN270)+1))</f>
        <v/>
      </c>
      <c r="CP270" s="135" t="str">
        <f aca="false">IF(ISBLANK($C270),"",IF($BZ270&lt;&gt;Constants!$B$8,$BZ270,$CF270-$CO270))</f>
        <v/>
      </c>
      <c r="CQ270" s="141"/>
      <c r="CR270" s="142"/>
      <c r="CS270" s="143" t="str">
        <f aca="false">IF(ISBLANK($C270),"",IF($BZ270=Constants!$B$12,$BY270,""))</f>
        <v/>
      </c>
      <c r="CT270" s="142" t="str">
        <f aca="false">IF(ISBLANK($C270),"",IF($BZ270&lt;&gt;Constants!$B$8,"",IF($BM270="-&gt;",2,1)))</f>
        <v/>
      </c>
      <c r="CU270" s="144" t="str">
        <f aca="false">IF(ISBLANK($C270),"",IF($BZ270&lt;&gt;Constants!$B$8,"",IF($BM270="-&gt;",$BO270,$BC270)))</f>
        <v/>
      </c>
      <c r="CV270" s="144" t="str">
        <f aca="false">IF(ISBLANK($C270),"",IF($BZ270&lt;&gt;Constants!$B$8,"",IF($BM270="-&gt;",$BP270,$BD270)))</f>
        <v/>
      </c>
      <c r="CW270" s="144" t="str">
        <f aca="false">IF(ISBLANK($C270),"",IF($BZ270&lt;&gt;Constants!$B$8,"",IF($BM270="-&gt;",$BQ270+$BR270,$BE270+$BF270)+$CD270))</f>
        <v/>
      </c>
      <c r="CX270" s="144" t="str">
        <f aca="false">IF(ISBLANK($C270),"",IF($BZ270&lt;&gt;Constants!$B$8,"",IF($BM270="-&gt;",$BS270,$BG270)+$CC270))</f>
        <v/>
      </c>
      <c r="CY270" s="145" t="str">
        <f aca="false">IF(ISBLANK($C270),"",IF($BZ270&lt;&gt;Constants!$B$8,$BZ270,$CE270))</f>
        <v/>
      </c>
      <c r="CZ270" s="146" t="str">
        <f aca="false">IF(ISBLANK($C270),"",$CA270)</f>
        <v/>
      </c>
      <c r="DA270" s="147" t="str">
        <f aca="false">IF(ISBLANK($C270),"",$CP270)</f>
        <v/>
      </c>
      <c r="DB270" s="147" t="str">
        <f aca="false">IF(ISBLANK($C270),"",$CO270)</f>
        <v/>
      </c>
      <c r="DC270" s="148" t="str">
        <f aca="false">IF(ISBLANK($C270),"",IFERROR(_xlfn.SWITCH($DB270,Constants!$B$11,COUNTA($C$9:$C$508)+2,Constants!$B$10,COUNTA($C$9:$C$508)+1,Constants!$B$9,COUNTA($C$9:$C$508)),$DB270))</f>
        <v/>
      </c>
      <c r="DD270" s="9"/>
      <c r="DE270" s="149" t="n">
        <f aca="false">IF(OR(ISNUMBER($DB270),$DB270=Constants!$B$11,$DB270=Constants!$B$9,$DB270=Constants!$B$10),1,0)</f>
        <v>0</v>
      </c>
      <c r="DF270" s="149" t="n">
        <v>262</v>
      </c>
      <c r="DG270" s="149" t="str">
        <f aca="false">IF(ISBLANK($C270),"",IF(ISNUMBER($DC270),$DC270+ROW($B270)/1000,""))</f>
        <v/>
      </c>
      <c r="DH270" s="149" t="str">
        <f aca="false">IF(ISNUMBER($DG270),RANK($DG270,$DG$9:$DG$508,1),"")</f>
        <v/>
      </c>
      <c r="DI270" s="149" t="str">
        <f aca="false">IF(ISBLANK($C270),"",$B270)</f>
        <v/>
      </c>
      <c r="DJ270" s="149" t="str">
        <f aca="false">IF(ISBLANK($C270),"",$C270)</f>
        <v/>
      </c>
      <c r="DK270" s="149" t="str">
        <f aca="false">IF(ISBLANK($C270),"",$D270)</f>
        <v/>
      </c>
      <c r="DL270" s="150" t="str">
        <f aca="false">$CZ270</f>
        <v/>
      </c>
      <c r="DM270" s="151" t="str">
        <f aca="false">$CY270</f>
        <v/>
      </c>
      <c r="DN270" s="149" t="str">
        <f aca="false">IF(ISBLANK($C270),"",$DB270)</f>
        <v/>
      </c>
      <c r="DO270" s="152" t="str">
        <f aca="false">IF($DF270&gt;$DE$8,"",VLOOKUP($DF270,$DH$9:$DN$508,7,FALSE()))</f>
        <v/>
      </c>
      <c r="DP270" s="153" t="str">
        <f aca="false">IF($DF270&gt;$DE$8,"",VLOOKUP($DF270,$DH$9:$DN$508,2,FALSE()))</f>
        <v/>
      </c>
      <c r="DQ270" s="153" t="str">
        <f aca="false">IF($DF270&gt;$DE$8,"",VLOOKUP($DF270,$DH$9:$DN$508,3,FALSE()))</f>
        <v/>
      </c>
      <c r="DR270" s="153" t="str">
        <f aca="false">IF($DF270&gt;$DE$8,"",VLOOKUP($DF270,$DH$9:$DN$508,4,FALSE()))</f>
        <v/>
      </c>
      <c r="DS270" s="153" t="str">
        <f aca="false">IF($DF270&gt;$DE$8,"",VLOOKUP($DF270,$DH$9:$DN$508,5,FALSE()))</f>
        <v/>
      </c>
      <c r="DT270" s="154" t="str">
        <f aca="false">IF($DF270&gt;$DE$8,"",VLOOKUP($DF270,$DH$9:$DN$508,6,FALSE()))</f>
        <v/>
      </c>
      <c r="DU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IF(ISBLANK($C271),"",IF(E271=Constants!$B$3,TRUE(),IF(E271=Constants!$B$4,FALSE(),TRUE())))</f>
        <v/>
      </c>
      <c r="AG271" s="135" t="str">
        <f aca="false">IF(ISBLANK($C271),"",IF(F271=Constants!$B$3,TRUE(),IF(F271=Constants!$B$4,FALSE(),TRUE())))</f>
        <v/>
      </c>
      <c r="AH271" s="135" t="str">
        <f aca="false">IF(ISBLANK($C271),"",IF(G271=Constants!$B$3,TRUE(),IF(G271=Constants!$B$4,FALSE(),TRUE())))</f>
        <v/>
      </c>
      <c r="AI271" s="135" t="str">
        <f aca="false">IF(ISBLANK($C271),"",IF(AND(ISNUMBER(H271),H271&gt;=0),H271,Constants!$B$29))</f>
        <v/>
      </c>
      <c r="AJ271" s="135" t="str">
        <f aca="false">IF(ISBLANK($C271),"",IF(I271=Constants!$B$3,TRUE(),IF(I271=Constants!$B$4,FALSE(),TRUE())))</f>
        <v/>
      </c>
      <c r="AK271" s="135" t="str">
        <f aca="false">IF(ISBLANK($C271),"",IF(J271=Constants!$B$3,TRUE(),IF(J271=Constants!$B$4,FALSE(),TRUE())))</f>
        <v/>
      </c>
      <c r="AL271" s="135" t="str">
        <f aca="false">IF(ISBLANK($C271),"",IF(K271=Constants!$B$5,TRUE(),IF(K271=Constants!$B$6,FALSE(),COUNTA(L271:P271)&gt;0)))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IF(ISBLANK($C271),"",IF(N271=Constants!$B$3,TRUE(),IF(N271=Constants!$B$4,FALSE(),TRUE())))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IF(ISBLANK($C271),"",IF(P271=Constants!$B$3,TRUE(),IF(P271=Constants!$B$4,FALSE(),FALSE())))</f>
        <v/>
      </c>
      <c r="AR271" s="135" t="str">
        <f aca="false">IF(ISBLANK($C271),"",IF(Q271=Constants!$B$3,TRUE(),IF(Q271=Constants!$B$4,FALSE(),TRUE())))</f>
        <v/>
      </c>
      <c r="AS271" s="135" t="str">
        <f aca="false">IF(ISBLANK($C271),"",IF(R271=Constants!$B$3,TRUE(),IF(R271=Constants!$B$4,FALSE(),TRUE())))</f>
        <v/>
      </c>
      <c r="AT271" s="135" t="str">
        <f aca="false">IF(ISBLANK($C271),"",IF(S271=Constants!$B$5,TRUE(),IF(S271=Constants!$B$6,FALSE(),COUNTA(T271:X271)&gt;0)))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IF(ISBLANK($C271),"",IF(V271=Constants!$B$3,TRUE(),IF(V271=Constants!$B$4,FALSE(),TRUE())))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IF(ISBLANK($C271),"",IF(X271=Constants!$B$3,TRUE(),IF(X271=Constants!$B$4,FALSE(),FALSE())))</f>
        <v/>
      </c>
      <c r="AZ271" s="135" t="str">
        <f aca="false">IF(ISBLANK($C271),"",MIN(Constants!$B$31,MAX(0,IF(ISNUMBER(Y271),Y271*60,0)+IF(ISNUMBER(Z271),Z271,0))))</f>
        <v/>
      </c>
      <c r="BA271" s="135" t="str">
        <f aca="false">IF(ISBLANK($C271),"",IF(AA271=Constants!$B$3,TRUE(),IF(AA271=Constants!$B$4,FALSE(),FALSE())))</f>
        <v/>
      </c>
      <c r="BB271" s="134" t="str">
        <f aca="false">IF(ISBLANK($C271),"",AND($AL271,OR($AM271="",$AN271="",AND($AO271,$AP271=""))))</f>
        <v/>
      </c>
      <c r="BC271" s="137" t="str">
        <f aca="false">IF($BZ271&lt;&gt;Constants!$B$8,"",IF($AL271,Constants!$B$21*$AN271+Constants!$B$22*IF($AO271,$AP271,Constants!$B$23),Constants!$B$24))</f>
        <v/>
      </c>
      <c r="BD271" s="138" t="str">
        <f aca="false">IF($BZ271&lt;&gt;Constants!$B$8,"",Constants!$B$25*ABS($AD$9-IF($AL271,$AM271,0)))</f>
        <v/>
      </c>
      <c r="BE271" s="138" t="str">
        <f aca="false">IF($BZ271&lt;&gt;Constants!$B$8,"",IF(AND($AL271,$AQ271,$AO271),Constants!$B$27,0))</f>
        <v/>
      </c>
      <c r="BF271" s="138" t="str">
        <f aca="false">IF($BZ271&lt;&gt;Constants!$B$8,"",IF($AL271,($AI271-Constants!$B$29)*Constants!$B$28,0))</f>
        <v/>
      </c>
      <c r="BG271" s="138" t="str">
        <f aca="false">IF($BZ271&lt;&gt;Constants!$B$8,"",IF($AK271,0,Constants!$B$15)+IF($AJ271,0,Constants!$B$16)+IF($AH271,0,Constants!$B$17))</f>
        <v/>
      </c>
      <c r="BH271" s="139" t="str">
        <f aca="false">IF($BZ271&lt;&gt;Constants!$B$8,"",Constants!$B$20+SUM($BC271:$BG271))</f>
        <v/>
      </c>
      <c r="BI271" s="138" t="str">
        <f aca="false">IF($BZ271&lt;&gt;Constants!$B$8,"",$BC271)</f>
        <v/>
      </c>
      <c r="BJ271" s="138" t="str">
        <f aca="false">IF($BZ271&lt;&gt;Constants!$B$8,"",$BD271)</f>
        <v/>
      </c>
      <c r="BK271" s="138" t="str">
        <f aca="false">IF($BZ271&lt;&gt;Constants!$B$8,"",IF($AL271,$AN271,""))</f>
        <v/>
      </c>
      <c r="BL271" s="140" t="str">
        <f aca="false">IF($BZ271&lt;&gt;Constants!$B$8,"",$AI271)</f>
        <v/>
      </c>
      <c r="BM271" s="135" t="str">
        <f aca="false">IF($BZ271&lt;&gt;Constants!$B$8,"",IF(OR($BT271&lt;$BH271,AND($BT271=$BH271,OR($BU271&lt;$BI271,AND($BU271=$BI271,OR($BV271&lt;$BJ271,AND($BV271=$BJ271,OR(AND(ISNUMBER($BW271),OR(NOT(ISNUMBER($BK271)),$BW271&lt;$BK271)),AND(OR(AND($BW271="",$BK271=""),AND(ISNUMBER($BW271),ISNUMBER($BK271),$BW271=$BK271)),$BX271&lt;$BL271)))))))),"-&gt;","&lt;-"))</f>
        <v/>
      </c>
      <c r="BN271" s="134" t="str">
        <f aca="false">IF(ISBLANK($C271),"",AND($AT271,OR($AU271="",$AV271="",AND($AW271,$AX271=""))))</f>
        <v/>
      </c>
      <c r="BO271" s="137" t="str">
        <f aca="false">IF($BZ271&lt;&gt;Constants!$B$8,"",IF($AT271,Constants!$B$21*$AV271+Constants!$B$22*IF($AW271,$AX271,Constants!$B$23),Constants!$B$24))</f>
        <v/>
      </c>
      <c r="BP271" s="138" t="str">
        <f aca="false">IF($BZ271&lt;&gt;Constants!$B$8,"",Constants!$B$25*ABS($AD$9-IF($AT271,$AU271,0)))</f>
        <v/>
      </c>
      <c r="BQ271" s="138" t="str">
        <f aca="false">IF($BZ271&lt;&gt;Constants!$B$8,"",IF(AND($AT271,$AY271,$AW271),Constants!$B$27,0))</f>
        <v/>
      </c>
      <c r="BR271" s="138" t="str">
        <f aca="false">IF($BZ271&lt;&gt;Constants!$B$8,"",IF($AT271,($AI271-Constants!$B$29)*Constants!$B$28,0))</f>
        <v/>
      </c>
      <c r="BS271" s="138" t="str">
        <f aca="false">IF($BZ271&lt;&gt;Constants!$B$8,"",IF($AS271,0,Constants!$B$15)+IF($AR271,0,Constants!$B$16)+IF($AH271,0,Constants!$B$17))</f>
        <v/>
      </c>
      <c r="BT271" s="139" t="str">
        <f aca="false">IF($BZ271&lt;&gt;Constants!$B$8,"",Constants!$B$20+SUM($BO271:$BS271))</f>
        <v/>
      </c>
      <c r="BU271" s="138" t="str">
        <f aca="false">IF($BZ271&lt;&gt;Constants!$B$8,"",$BO271)</f>
        <v/>
      </c>
      <c r="BV271" s="138" t="str">
        <f aca="false">IF($BZ271&lt;&gt;Constants!$B$8,"",$BP271)</f>
        <v/>
      </c>
      <c r="BW271" s="138" t="str">
        <f aca="false">IF($BZ271&lt;&gt;Constants!$B$8,"",IF($AT271,$AV271,""))</f>
        <v/>
      </c>
      <c r="BX271" s="140" t="str">
        <f aca="false">IF($BZ271&lt;&gt;Constants!$B$8,"",$AI271)</f>
        <v/>
      </c>
      <c r="BY271" s="135" t="str">
        <f aca="false">IF(ISBLANK($C271),"",IF(ISBLANK($D$7),$BY$5,IF(NOT(ISNUMBER($D$7)),$BY$6,"")))</f>
        <v/>
      </c>
      <c r="BZ271" s="135" t="str">
        <f aca="false">IF(ISBLANK($C271),"",IF($BA271,Constants!$B$11,IF(COUNTA($E271:$AA271)=0,Constants!$B$10,IF(NOT($AG271),Constants!$B$9,IF(OR($BY271&lt;&gt;"",$BB271,$BN271),Constants!$B$12,Constants!$B$8)))))</f>
        <v/>
      </c>
      <c r="CA271" s="135" t="str">
        <f aca="false">IF(ISBLANK($C271),"",IF($BZ271&lt;&gt;Constants!$B$8,$BZ271,Constants!$B$13))</f>
        <v/>
      </c>
      <c r="CB271" s="138" t="str">
        <f aca="false">IF($BZ271&lt;&gt;Constants!$B$8,"",IF($BM271="-&gt;",$BT271,$BH271))</f>
        <v/>
      </c>
      <c r="CC271" s="138" t="str">
        <f aca="false">IF($BZ271&lt;&gt;Constants!$B$8,"",IF($AF271,0,Constants!$B$18))</f>
        <v/>
      </c>
      <c r="CD271" s="138" t="str">
        <f aca="false">IF($BZ271&lt;&gt;Constants!$B$8,"",((Constants!$B$31-$AZ271)-Constants!$B$31)/Constants!$B$32)</f>
        <v/>
      </c>
      <c r="CE271" s="138" t="str">
        <f aca="false">IF(ISBLANK($C271),"",IF($BZ271&lt;&gt;Constants!$B$8,$BZ271,SUM($CB271:$CD271)))</f>
        <v/>
      </c>
      <c r="CF271" s="135" t="str">
        <f aca="false">IF(ISBLANK($C271),"",IF($BZ271&lt;&gt;Constants!$B$8,$BZ271,RANK($CE271,$CE$9:$CE$508,1)))</f>
        <v/>
      </c>
      <c r="CG271" s="138" t="str">
        <f aca="false">IF($BZ271&lt;&gt;Constants!$B$8,"",IF($BM271="-&gt;",$BU271,$BI271))</f>
        <v/>
      </c>
      <c r="CH271" s="135" t="str">
        <f aca="false">IF(ISBLANK($C271),"",IF($BZ271&lt;&gt;Constants!$B$8,$BZ271,IF(ISNUMBER($CG271),RANK($CG271,$CG$9:$CG$508,1),COUNT($CG$9:$CG$508)+1)))</f>
        <v/>
      </c>
      <c r="CI271" s="138" t="str">
        <f aca="false">IF($BZ271&lt;&gt;Constants!$B$8,"",IF($BM271="-&gt;",$BV271,$BJ271))</f>
        <v/>
      </c>
      <c r="CJ271" s="135" t="str">
        <f aca="false">IF(ISBLANK($C271),"",IF($BZ271&lt;&gt;Constants!$B$8,$BZ271,IF(ISNUMBER($CI271),RANK($CI271,$CI$9:$CI$508,1),COUNT($CI$9:$CI$508)+1)))</f>
        <v/>
      </c>
      <c r="CK271" s="138" t="str">
        <f aca="false">IF($BZ271&lt;&gt;Constants!$B$8,"",IF($BM271="-&gt;",$BW271,$BK271))</f>
        <v/>
      </c>
      <c r="CL271" s="135" t="str">
        <f aca="false">IF(ISBLANK($C271),"",IF($BZ271&lt;&gt;Constants!$B$8,$BZ271,IF(ISNUMBER($CK271),RANK($CK271,$CK$9:$CK$508,1),COUNT($CK$9:$CK$508)+1)))</f>
        <v/>
      </c>
      <c r="CM271" s="138" t="str">
        <f aca="false">IF($BZ271&lt;&gt;Constants!$B$8,"",IF(AND(NOT($AL271),NOT($AT271),$AJ271,$AK271,$AR271,$AS271),"",IF($BM271="-&gt;",$BX271,$BL271)))</f>
        <v/>
      </c>
      <c r="CN271" s="135" t="str">
        <f aca="false">IF(ISBLANK($C271),"",IF($BZ271&lt;&gt;Constants!$B$8,$BZ271,IF(ISNUMBER($CM271),RANK($CM271,$CM$9:$CM$508,1),COUNT($CM$9:$CM$508)+1)))</f>
        <v/>
      </c>
      <c r="CO271" s="135" t="str">
        <f aca="false">IF(ISBLANK($C271),"",IF($BZ271&lt;&gt;Constants!$B$8,$BZ271,COUNTIFS($CF$9:$CF$508,"&lt;"&amp;$CF271)+COUNTIFS($CF$9:$CF$508,$CF271,$CH$9:$CH$508,"&lt;"&amp;$CH271)+COUNTIFS($CF$9:$CF$508,$CF271,$CH$9:$CH$508,$CH271,$CJ$9:$CJ$508,"&lt;"&amp;$CJ271)+COUNTIFS($CF$9:$CF$508,$CF271,$CH$9:$CH$508,$CH271,$CJ$9:$CJ$508,$CJ271,$CL$9:$CL$508,"&lt;"&amp;$CL271)+COUNTIFS($CF$9:$CF$508,$CF271,$CH$9:$CH$508,$CH271,$CJ$9:$CJ$508,$CJ271,$CL$9:$CL$508,$CL271,$CN$9:$CN$508,"&lt;"&amp;$CN271)+1))</f>
        <v/>
      </c>
      <c r="CP271" s="135" t="str">
        <f aca="false">IF(ISBLANK($C271),"",IF($BZ271&lt;&gt;Constants!$B$8,$BZ271,$CF271-$CO271))</f>
        <v/>
      </c>
      <c r="CQ271" s="141"/>
      <c r="CR271" s="142"/>
      <c r="CS271" s="143" t="str">
        <f aca="false">IF(ISBLANK($C271),"",IF($BZ271=Constants!$B$12,$BY271,""))</f>
        <v/>
      </c>
      <c r="CT271" s="142" t="str">
        <f aca="false">IF(ISBLANK($C271),"",IF($BZ271&lt;&gt;Constants!$B$8,"",IF($BM271="-&gt;",2,1)))</f>
        <v/>
      </c>
      <c r="CU271" s="144" t="str">
        <f aca="false">IF(ISBLANK($C271),"",IF($BZ271&lt;&gt;Constants!$B$8,"",IF($BM271="-&gt;",$BO271,$BC271)))</f>
        <v/>
      </c>
      <c r="CV271" s="144" t="str">
        <f aca="false">IF(ISBLANK($C271),"",IF($BZ271&lt;&gt;Constants!$B$8,"",IF($BM271="-&gt;",$BP271,$BD271)))</f>
        <v/>
      </c>
      <c r="CW271" s="144" t="str">
        <f aca="false">IF(ISBLANK($C271),"",IF($BZ271&lt;&gt;Constants!$B$8,"",IF($BM271="-&gt;",$BQ271+$BR271,$BE271+$BF271)+$CD271))</f>
        <v/>
      </c>
      <c r="CX271" s="144" t="str">
        <f aca="false">IF(ISBLANK($C271),"",IF($BZ271&lt;&gt;Constants!$B$8,"",IF($BM271="-&gt;",$BS271,$BG271)+$CC271))</f>
        <v/>
      </c>
      <c r="CY271" s="145" t="str">
        <f aca="false">IF(ISBLANK($C271),"",IF($BZ271&lt;&gt;Constants!$B$8,$BZ271,$CE271))</f>
        <v/>
      </c>
      <c r="CZ271" s="146" t="str">
        <f aca="false">IF(ISBLANK($C271),"",$CA271)</f>
        <v/>
      </c>
      <c r="DA271" s="147" t="str">
        <f aca="false">IF(ISBLANK($C271),"",$CP271)</f>
        <v/>
      </c>
      <c r="DB271" s="147" t="str">
        <f aca="false">IF(ISBLANK($C271),"",$CO271)</f>
        <v/>
      </c>
      <c r="DC271" s="148" t="str">
        <f aca="false">IF(ISBLANK($C271),"",IFERROR(_xlfn.SWITCH($DB271,Constants!$B$11,COUNTA($C$9:$C$508)+2,Constants!$B$10,COUNTA($C$9:$C$508)+1,Constants!$B$9,COUNTA($C$9:$C$508)),$DB271))</f>
        <v/>
      </c>
      <c r="DD271" s="9"/>
      <c r="DE271" s="149" t="n">
        <f aca="false">IF(OR(ISNUMBER($DB271),$DB271=Constants!$B$11,$DB271=Constants!$B$9,$DB271=Constants!$B$10),1,0)</f>
        <v>0</v>
      </c>
      <c r="DF271" s="149" t="n">
        <v>263</v>
      </c>
      <c r="DG271" s="149" t="str">
        <f aca="false">IF(ISBLANK($C271),"",IF(ISNUMBER($DC271),$DC271+ROW($B271)/1000,""))</f>
        <v/>
      </c>
      <c r="DH271" s="149" t="str">
        <f aca="false">IF(ISNUMBER($DG271),RANK($DG271,$DG$9:$DG$508,1),"")</f>
        <v/>
      </c>
      <c r="DI271" s="149" t="str">
        <f aca="false">IF(ISBLANK($C271),"",$B271)</f>
        <v/>
      </c>
      <c r="DJ271" s="149" t="str">
        <f aca="false">IF(ISBLANK($C271),"",$C271)</f>
        <v/>
      </c>
      <c r="DK271" s="149" t="str">
        <f aca="false">IF(ISBLANK($C271),"",$D271)</f>
        <v/>
      </c>
      <c r="DL271" s="150" t="str">
        <f aca="false">$CZ271</f>
        <v/>
      </c>
      <c r="DM271" s="151" t="str">
        <f aca="false">$CY271</f>
        <v/>
      </c>
      <c r="DN271" s="149" t="str">
        <f aca="false">IF(ISBLANK($C271),"",$DB271)</f>
        <v/>
      </c>
      <c r="DO271" s="152" t="str">
        <f aca="false">IF($DF271&gt;$DE$8,"",VLOOKUP($DF271,$DH$9:$DN$508,7,FALSE()))</f>
        <v/>
      </c>
      <c r="DP271" s="153" t="str">
        <f aca="false">IF($DF271&gt;$DE$8,"",VLOOKUP($DF271,$DH$9:$DN$508,2,FALSE()))</f>
        <v/>
      </c>
      <c r="DQ271" s="153" t="str">
        <f aca="false">IF($DF271&gt;$DE$8,"",VLOOKUP($DF271,$DH$9:$DN$508,3,FALSE()))</f>
        <v/>
      </c>
      <c r="DR271" s="153" t="str">
        <f aca="false">IF($DF271&gt;$DE$8,"",VLOOKUP($DF271,$DH$9:$DN$508,4,FALSE()))</f>
        <v/>
      </c>
      <c r="DS271" s="153" t="str">
        <f aca="false">IF($DF271&gt;$DE$8,"",VLOOKUP($DF271,$DH$9:$DN$508,5,FALSE()))</f>
        <v/>
      </c>
      <c r="DT271" s="154" t="str">
        <f aca="false">IF($DF271&gt;$DE$8,"",VLOOKUP($DF271,$DH$9:$DN$508,6,FALSE()))</f>
        <v/>
      </c>
      <c r="DU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IF(ISBLANK($C272),"",IF(E272=Constants!$B$3,TRUE(),IF(E272=Constants!$B$4,FALSE(),TRUE())))</f>
        <v/>
      </c>
      <c r="AG272" s="135" t="str">
        <f aca="false">IF(ISBLANK($C272),"",IF(F272=Constants!$B$3,TRUE(),IF(F272=Constants!$B$4,FALSE(),TRUE())))</f>
        <v/>
      </c>
      <c r="AH272" s="135" t="str">
        <f aca="false">IF(ISBLANK($C272),"",IF(G272=Constants!$B$3,TRUE(),IF(G272=Constants!$B$4,FALSE(),TRUE())))</f>
        <v/>
      </c>
      <c r="AI272" s="135" t="str">
        <f aca="false">IF(ISBLANK($C272),"",IF(AND(ISNUMBER(H272),H272&gt;=0),H272,Constants!$B$29))</f>
        <v/>
      </c>
      <c r="AJ272" s="135" t="str">
        <f aca="false">IF(ISBLANK($C272),"",IF(I272=Constants!$B$3,TRUE(),IF(I272=Constants!$B$4,FALSE(),TRUE())))</f>
        <v/>
      </c>
      <c r="AK272" s="135" t="str">
        <f aca="false">IF(ISBLANK($C272),"",IF(J272=Constants!$B$3,TRUE(),IF(J272=Constants!$B$4,FALSE(),TRUE())))</f>
        <v/>
      </c>
      <c r="AL272" s="135" t="str">
        <f aca="false">IF(ISBLANK($C272),"",IF(K272=Constants!$B$5,TRUE(),IF(K272=Constants!$B$6,FALSE(),COUNTA(L272:P272)&gt;0)))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IF(ISBLANK($C272),"",IF(N272=Constants!$B$3,TRUE(),IF(N272=Constants!$B$4,FALSE(),TRUE())))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IF(ISBLANK($C272),"",IF(P272=Constants!$B$3,TRUE(),IF(P272=Constants!$B$4,FALSE(),FALSE())))</f>
        <v/>
      </c>
      <c r="AR272" s="135" t="str">
        <f aca="false">IF(ISBLANK($C272),"",IF(Q272=Constants!$B$3,TRUE(),IF(Q272=Constants!$B$4,FALSE(),TRUE())))</f>
        <v/>
      </c>
      <c r="AS272" s="135" t="str">
        <f aca="false">IF(ISBLANK($C272),"",IF(R272=Constants!$B$3,TRUE(),IF(R272=Constants!$B$4,FALSE(),TRUE())))</f>
        <v/>
      </c>
      <c r="AT272" s="135" t="str">
        <f aca="false">IF(ISBLANK($C272),"",IF(S272=Constants!$B$5,TRUE(),IF(S272=Constants!$B$6,FALSE(),COUNTA(T272:X272)&gt;0)))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IF(ISBLANK($C272),"",IF(V272=Constants!$B$3,TRUE(),IF(V272=Constants!$B$4,FALSE(),TRUE())))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IF(ISBLANK($C272),"",IF(X272=Constants!$B$3,TRUE(),IF(X272=Constants!$B$4,FALSE(),FALSE())))</f>
        <v/>
      </c>
      <c r="AZ272" s="135" t="str">
        <f aca="false">IF(ISBLANK($C272),"",MIN(Constants!$B$31,MAX(0,IF(ISNUMBER(Y272),Y272*60,0)+IF(ISNUMBER(Z272),Z272,0))))</f>
        <v/>
      </c>
      <c r="BA272" s="135" t="str">
        <f aca="false">IF(ISBLANK($C272),"",IF(AA272=Constants!$B$3,TRUE(),IF(AA272=Constants!$B$4,FALSE(),FALSE())))</f>
        <v/>
      </c>
      <c r="BB272" s="134" t="str">
        <f aca="false">IF(ISBLANK($C272),"",AND($AL272,OR($AM272="",$AN272="",AND($AO272,$AP272=""))))</f>
        <v/>
      </c>
      <c r="BC272" s="137" t="str">
        <f aca="false">IF($BZ272&lt;&gt;Constants!$B$8,"",IF($AL272,Constants!$B$21*$AN272+Constants!$B$22*IF($AO272,$AP272,Constants!$B$23),Constants!$B$24))</f>
        <v/>
      </c>
      <c r="BD272" s="138" t="str">
        <f aca="false">IF($BZ272&lt;&gt;Constants!$B$8,"",Constants!$B$25*ABS($AD$9-IF($AL272,$AM272,0)))</f>
        <v/>
      </c>
      <c r="BE272" s="138" t="str">
        <f aca="false">IF($BZ272&lt;&gt;Constants!$B$8,"",IF(AND($AL272,$AQ272,$AO272),Constants!$B$27,0))</f>
        <v/>
      </c>
      <c r="BF272" s="138" t="str">
        <f aca="false">IF($BZ272&lt;&gt;Constants!$B$8,"",IF($AL272,($AI272-Constants!$B$29)*Constants!$B$28,0))</f>
        <v/>
      </c>
      <c r="BG272" s="138" t="str">
        <f aca="false">IF($BZ272&lt;&gt;Constants!$B$8,"",IF($AK272,0,Constants!$B$15)+IF($AJ272,0,Constants!$B$16)+IF($AH272,0,Constants!$B$17))</f>
        <v/>
      </c>
      <c r="BH272" s="139" t="str">
        <f aca="false">IF($BZ272&lt;&gt;Constants!$B$8,"",Constants!$B$20+SUM($BC272:$BG272))</f>
        <v/>
      </c>
      <c r="BI272" s="138" t="str">
        <f aca="false">IF($BZ272&lt;&gt;Constants!$B$8,"",$BC272)</f>
        <v/>
      </c>
      <c r="BJ272" s="138" t="str">
        <f aca="false">IF($BZ272&lt;&gt;Constants!$B$8,"",$BD272)</f>
        <v/>
      </c>
      <c r="BK272" s="138" t="str">
        <f aca="false">IF($BZ272&lt;&gt;Constants!$B$8,"",IF($AL272,$AN272,""))</f>
        <v/>
      </c>
      <c r="BL272" s="140" t="str">
        <f aca="false">IF($BZ272&lt;&gt;Constants!$B$8,"",$AI272)</f>
        <v/>
      </c>
      <c r="BM272" s="135" t="str">
        <f aca="false">IF($BZ272&lt;&gt;Constants!$B$8,"",IF(OR($BT272&lt;$BH272,AND($BT272=$BH272,OR($BU272&lt;$BI272,AND($BU272=$BI272,OR($BV272&lt;$BJ272,AND($BV272=$BJ272,OR(AND(ISNUMBER($BW272),OR(NOT(ISNUMBER($BK272)),$BW272&lt;$BK272)),AND(OR(AND($BW272="",$BK272=""),AND(ISNUMBER($BW272),ISNUMBER($BK272),$BW272=$BK272)),$BX272&lt;$BL272)))))))),"-&gt;","&lt;-"))</f>
        <v/>
      </c>
      <c r="BN272" s="134" t="str">
        <f aca="false">IF(ISBLANK($C272),"",AND($AT272,OR($AU272="",$AV272="",AND($AW272,$AX272=""))))</f>
        <v/>
      </c>
      <c r="BO272" s="137" t="str">
        <f aca="false">IF($BZ272&lt;&gt;Constants!$B$8,"",IF($AT272,Constants!$B$21*$AV272+Constants!$B$22*IF($AW272,$AX272,Constants!$B$23),Constants!$B$24))</f>
        <v/>
      </c>
      <c r="BP272" s="138" t="str">
        <f aca="false">IF($BZ272&lt;&gt;Constants!$B$8,"",Constants!$B$25*ABS($AD$9-IF($AT272,$AU272,0)))</f>
        <v/>
      </c>
      <c r="BQ272" s="138" t="str">
        <f aca="false">IF($BZ272&lt;&gt;Constants!$B$8,"",IF(AND($AT272,$AY272,$AW272),Constants!$B$27,0))</f>
        <v/>
      </c>
      <c r="BR272" s="138" t="str">
        <f aca="false">IF($BZ272&lt;&gt;Constants!$B$8,"",IF($AT272,($AI272-Constants!$B$29)*Constants!$B$28,0))</f>
        <v/>
      </c>
      <c r="BS272" s="138" t="str">
        <f aca="false">IF($BZ272&lt;&gt;Constants!$B$8,"",IF($AS272,0,Constants!$B$15)+IF($AR272,0,Constants!$B$16)+IF($AH272,0,Constants!$B$17))</f>
        <v/>
      </c>
      <c r="BT272" s="139" t="str">
        <f aca="false">IF($BZ272&lt;&gt;Constants!$B$8,"",Constants!$B$20+SUM($BO272:$BS272))</f>
        <v/>
      </c>
      <c r="BU272" s="138" t="str">
        <f aca="false">IF($BZ272&lt;&gt;Constants!$B$8,"",$BO272)</f>
        <v/>
      </c>
      <c r="BV272" s="138" t="str">
        <f aca="false">IF($BZ272&lt;&gt;Constants!$B$8,"",$BP272)</f>
        <v/>
      </c>
      <c r="BW272" s="138" t="str">
        <f aca="false">IF($BZ272&lt;&gt;Constants!$B$8,"",IF($AT272,$AV272,""))</f>
        <v/>
      </c>
      <c r="BX272" s="140" t="str">
        <f aca="false">IF($BZ272&lt;&gt;Constants!$B$8,"",$AI272)</f>
        <v/>
      </c>
      <c r="BY272" s="135" t="str">
        <f aca="false">IF(ISBLANK($C272),"",IF(ISBLANK($D$7),$BY$5,IF(NOT(ISNUMBER($D$7)),$BY$6,"")))</f>
        <v/>
      </c>
      <c r="BZ272" s="135" t="str">
        <f aca="false">IF(ISBLANK($C272),"",IF($BA272,Constants!$B$11,IF(COUNTA($E272:$AA272)=0,Constants!$B$10,IF(NOT($AG272),Constants!$B$9,IF(OR($BY272&lt;&gt;"",$BB272,$BN272),Constants!$B$12,Constants!$B$8)))))</f>
        <v/>
      </c>
      <c r="CA272" s="135" t="str">
        <f aca="false">IF(ISBLANK($C272),"",IF($BZ272&lt;&gt;Constants!$B$8,$BZ272,Constants!$B$13))</f>
        <v/>
      </c>
      <c r="CB272" s="138" t="str">
        <f aca="false">IF($BZ272&lt;&gt;Constants!$B$8,"",IF($BM272="-&gt;",$BT272,$BH272))</f>
        <v/>
      </c>
      <c r="CC272" s="138" t="str">
        <f aca="false">IF($BZ272&lt;&gt;Constants!$B$8,"",IF($AF272,0,Constants!$B$18))</f>
        <v/>
      </c>
      <c r="CD272" s="138" t="str">
        <f aca="false">IF($BZ272&lt;&gt;Constants!$B$8,"",((Constants!$B$31-$AZ272)-Constants!$B$31)/Constants!$B$32)</f>
        <v/>
      </c>
      <c r="CE272" s="138" t="str">
        <f aca="false">IF(ISBLANK($C272),"",IF($BZ272&lt;&gt;Constants!$B$8,$BZ272,SUM($CB272:$CD272)))</f>
        <v/>
      </c>
      <c r="CF272" s="135" t="str">
        <f aca="false">IF(ISBLANK($C272),"",IF($BZ272&lt;&gt;Constants!$B$8,$BZ272,RANK($CE272,$CE$9:$CE$508,1)))</f>
        <v/>
      </c>
      <c r="CG272" s="138" t="str">
        <f aca="false">IF($BZ272&lt;&gt;Constants!$B$8,"",IF($BM272="-&gt;",$BU272,$BI272))</f>
        <v/>
      </c>
      <c r="CH272" s="135" t="str">
        <f aca="false">IF(ISBLANK($C272),"",IF($BZ272&lt;&gt;Constants!$B$8,$BZ272,IF(ISNUMBER($CG272),RANK($CG272,$CG$9:$CG$508,1),COUNT($CG$9:$CG$508)+1)))</f>
        <v/>
      </c>
      <c r="CI272" s="138" t="str">
        <f aca="false">IF($BZ272&lt;&gt;Constants!$B$8,"",IF($BM272="-&gt;",$BV272,$BJ272))</f>
        <v/>
      </c>
      <c r="CJ272" s="135" t="str">
        <f aca="false">IF(ISBLANK($C272),"",IF($BZ272&lt;&gt;Constants!$B$8,$BZ272,IF(ISNUMBER($CI272),RANK($CI272,$CI$9:$CI$508,1),COUNT($CI$9:$CI$508)+1)))</f>
        <v/>
      </c>
      <c r="CK272" s="138" t="str">
        <f aca="false">IF($BZ272&lt;&gt;Constants!$B$8,"",IF($BM272="-&gt;",$BW272,$BK272))</f>
        <v/>
      </c>
      <c r="CL272" s="135" t="str">
        <f aca="false">IF(ISBLANK($C272),"",IF($BZ272&lt;&gt;Constants!$B$8,$BZ272,IF(ISNUMBER($CK272),RANK($CK272,$CK$9:$CK$508,1),COUNT($CK$9:$CK$508)+1)))</f>
        <v/>
      </c>
      <c r="CM272" s="138" t="str">
        <f aca="false">IF($BZ272&lt;&gt;Constants!$B$8,"",IF(AND(NOT($AL272),NOT($AT272),$AJ272,$AK272,$AR272,$AS272),"",IF($BM272="-&gt;",$BX272,$BL272)))</f>
        <v/>
      </c>
      <c r="CN272" s="135" t="str">
        <f aca="false">IF(ISBLANK($C272),"",IF($BZ272&lt;&gt;Constants!$B$8,$BZ272,IF(ISNUMBER($CM272),RANK($CM272,$CM$9:$CM$508,1),COUNT($CM$9:$CM$508)+1)))</f>
        <v/>
      </c>
      <c r="CO272" s="135" t="str">
        <f aca="false">IF(ISBLANK($C272),"",IF($BZ272&lt;&gt;Constants!$B$8,$BZ272,COUNTIFS($CF$9:$CF$508,"&lt;"&amp;$CF272)+COUNTIFS($CF$9:$CF$508,$CF272,$CH$9:$CH$508,"&lt;"&amp;$CH272)+COUNTIFS($CF$9:$CF$508,$CF272,$CH$9:$CH$508,$CH272,$CJ$9:$CJ$508,"&lt;"&amp;$CJ272)+COUNTIFS($CF$9:$CF$508,$CF272,$CH$9:$CH$508,$CH272,$CJ$9:$CJ$508,$CJ272,$CL$9:$CL$508,"&lt;"&amp;$CL272)+COUNTIFS($CF$9:$CF$508,$CF272,$CH$9:$CH$508,$CH272,$CJ$9:$CJ$508,$CJ272,$CL$9:$CL$508,$CL272,$CN$9:$CN$508,"&lt;"&amp;$CN272)+1))</f>
        <v/>
      </c>
      <c r="CP272" s="135" t="str">
        <f aca="false">IF(ISBLANK($C272),"",IF($BZ272&lt;&gt;Constants!$B$8,$BZ272,$CF272-$CO272))</f>
        <v/>
      </c>
      <c r="CQ272" s="141"/>
      <c r="CR272" s="142"/>
      <c r="CS272" s="143" t="str">
        <f aca="false">IF(ISBLANK($C272),"",IF($BZ272=Constants!$B$12,$BY272,""))</f>
        <v/>
      </c>
      <c r="CT272" s="142" t="str">
        <f aca="false">IF(ISBLANK($C272),"",IF($BZ272&lt;&gt;Constants!$B$8,"",IF($BM272="-&gt;",2,1)))</f>
        <v/>
      </c>
      <c r="CU272" s="144" t="str">
        <f aca="false">IF(ISBLANK($C272),"",IF($BZ272&lt;&gt;Constants!$B$8,"",IF($BM272="-&gt;",$BO272,$BC272)))</f>
        <v/>
      </c>
      <c r="CV272" s="144" t="str">
        <f aca="false">IF(ISBLANK($C272),"",IF($BZ272&lt;&gt;Constants!$B$8,"",IF($BM272="-&gt;",$BP272,$BD272)))</f>
        <v/>
      </c>
      <c r="CW272" s="144" t="str">
        <f aca="false">IF(ISBLANK($C272),"",IF($BZ272&lt;&gt;Constants!$B$8,"",IF($BM272="-&gt;",$BQ272+$BR272,$BE272+$BF272)+$CD272))</f>
        <v/>
      </c>
      <c r="CX272" s="144" t="str">
        <f aca="false">IF(ISBLANK($C272),"",IF($BZ272&lt;&gt;Constants!$B$8,"",IF($BM272="-&gt;",$BS272,$BG272)+$CC272))</f>
        <v/>
      </c>
      <c r="CY272" s="145" t="str">
        <f aca="false">IF(ISBLANK($C272),"",IF($BZ272&lt;&gt;Constants!$B$8,$BZ272,$CE272))</f>
        <v/>
      </c>
      <c r="CZ272" s="146" t="str">
        <f aca="false">IF(ISBLANK($C272),"",$CA272)</f>
        <v/>
      </c>
      <c r="DA272" s="147" t="str">
        <f aca="false">IF(ISBLANK($C272),"",$CP272)</f>
        <v/>
      </c>
      <c r="DB272" s="147" t="str">
        <f aca="false">IF(ISBLANK($C272),"",$CO272)</f>
        <v/>
      </c>
      <c r="DC272" s="148" t="str">
        <f aca="false">IF(ISBLANK($C272),"",IFERROR(_xlfn.SWITCH($DB272,Constants!$B$11,COUNTA($C$9:$C$508)+2,Constants!$B$10,COUNTA($C$9:$C$508)+1,Constants!$B$9,COUNTA($C$9:$C$508)),$DB272))</f>
        <v/>
      </c>
      <c r="DD272" s="9"/>
      <c r="DE272" s="149" t="n">
        <f aca="false">IF(OR(ISNUMBER($DB272),$DB272=Constants!$B$11,$DB272=Constants!$B$9,$DB272=Constants!$B$10),1,0)</f>
        <v>0</v>
      </c>
      <c r="DF272" s="149" t="n">
        <v>264</v>
      </c>
      <c r="DG272" s="149" t="str">
        <f aca="false">IF(ISBLANK($C272),"",IF(ISNUMBER($DC272),$DC272+ROW($B272)/1000,""))</f>
        <v/>
      </c>
      <c r="DH272" s="149" t="str">
        <f aca="false">IF(ISNUMBER($DG272),RANK($DG272,$DG$9:$DG$508,1),"")</f>
        <v/>
      </c>
      <c r="DI272" s="149" t="str">
        <f aca="false">IF(ISBLANK($C272),"",$B272)</f>
        <v/>
      </c>
      <c r="DJ272" s="149" t="str">
        <f aca="false">IF(ISBLANK($C272),"",$C272)</f>
        <v/>
      </c>
      <c r="DK272" s="149" t="str">
        <f aca="false">IF(ISBLANK($C272),"",$D272)</f>
        <v/>
      </c>
      <c r="DL272" s="150" t="str">
        <f aca="false">$CZ272</f>
        <v/>
      </c>
      <c r="DM272" s="151" t="str">
        <f aca="false">$CY272</f>
        <v/>
      </c>
      <c r="DN272" s="149" t="str">
        <f aca="false">IF(ISBLANK($C272),"",$DB272)</f>
        <v/>
      </c>
      <c r="DO272" s="152" t="str">
        <f aca="false">IF($DF272&gt;$DE$8,"",VLOOKUP($DF272,$DH$9:$DN$508,7,FALSE()))</f>
        <v/>
      </c>
      <c r="DP272" s="153" t="str">
        <f aca="false">IF($DF272&gt;$DE$8,"",VLOOKUP($DF272,$DH$9:$DN$508,2,FALSE()))</f>
        <v/>
      </c>
      <c r="DQ272" s="153" t="str">
        <f aca="false">IF($DF272&gt;$DE$8,"",VLOOKUP($DF272,$DH$9:$DN$508,3,FALSE()))</f>
        <v/>
      </c>
      <c r="DR272" s="153" t="str">
        <f aca="false">IF($DF272&gt;$DE$8,"",VLOOKUP($DF272,$DH$9:$DN$508,4,FALSE()))</f>
        <v/>
      </c>
      <c r="DS272" s="153" t="str">
        <f aca="false">IF($DF272&gt;$DE$8,"",VLOOKUP($DF272,$DH$9:$DN$508,5,FALSE()))</f>
        <v/>
      </c>
      <c r="DT272" s="154" t="str">
        <f aca="false">IF($DF272&gt;$DE$8,"",VLOOKUP($DF272,$DH$9:$DN$508,6,FALSE()))</f>
        <v/>
      </c>
      <c r="DU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IF(ISBLANK($C273),"",IF(E273=Constants!$B$3,TRUE(),IF(E273=Constants!$B$4,FALSE(),TRUE())))</f>
        <v/>
      </c>
      <c r="AG273" s="93" t="str">
        <f aca="false">IF(ISBLANK($C273),"",IF(F273=Constants!$B$3,TRUE(),IF(F273=Constants!$B$4,FALSE(),TRUE())))</f>
        <v/>
      </c>
      <c r="AH273" s="93" t="str">
        <f aca="false">IF(ISBLANK($C273),"",IF(G273=Constants!$B$3,TRUE(),IF(G273=Constants!$B$4,FALSE(),TRUE())))</f>
        <v/>
      </c>
      <c r="AI273" s="93" t="str">
        <f aca="false">IF(ISBLANK($C273),"",IF(AND(ISNUMBER(H273),H273&gt;=0),H273,Constants!$B$29))</f>
        <v/>
      </c>
      <c r="AJ273" s="93" t="str">
        <f aca="false">IF(ISBLANK($C273),"",IF(I273=Constants!$B$3,TRUE(),IF(I273=Constants!$B$4,FALSE(),TRUE())))</f>
        <v/>
      </c>
      <c r="AK273" s="93" t="str">
        <f aca="false">IF(ISBLANK($C273),"",IF(J273=Constants!$B$3,TRUE(),IF(J273=Constants!$B$4,FALSE(),TRUE())))</f>
        <v/>
      </c>
      <c r="AL273" s="93" t="str">
        <f aca="false">IF(ISBLANK($C273),"",IF(K273=Constants!$B$5,TRUE(),IF(K273=Constants!$B$6,FALSE(),COUNTA(L273:P273)&gt;0)))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IF(ISBLANK($C273),"",IF(N273=Constants!$B$3,TRUE(),IF(N273=Constants!$B$4,FALSE(),TRUE())))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IF(ISBLANK($C273),"",IF(P273=Constants!$B$3,TRUE(),IF(P273=Constants!$B$4,FALSE(),FALSE())))</f>
        <v/>
      </c>
      <c r="AR273" s="93" t="str">
        <f aca="false">IF(ISBLANK($C273),"",IF(Q273=Constants!$B$3,TRUE(),IF(Q273=Constants!$B$4,FALSE(),TRUE())))</f>
        <v/>
      </c>
      <c r="AS273" s="93" t="str">
        <f aca="false">IF(ISBLANK($C273),"",IF(R273=Constants!$B$3,TRUE(),IF(R273=Constants!$B$4,FALSE(),TRUE())))</f>
        <v/>
      </c>
      <c r="AT273" s="93" t="str">
        <f aca="false">IF(ISBLANK($C273),"",IF(S273=Constants!$B$5,TRUE(),IF(S273=Constants!$B$6,FALSE(),COUNTA(T273:X273)&gt;0)))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IF(ISBLANK($C273),"",IF(V273=Constants!$B$3,TRUE(),IF(V273=Constants!$B$4,FALSE(),TRUE())))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IF(ISBLANK($C273),"",IF(X273=Constants!$B$3,TRUE(),IF(X273=Constants!$B$4,FALSE(),FALSE())))</f>
        <v/>
      </c>
      <c r="AZ273" s="93" t="str">
        <f aca="false">IF(ISBLANK($C273),"",MIN(Constants!$B$31,MAX(0,IF(ISNUMBER(Y273),Y273*60,0)+IF(ISNUMBER(Z273),Z273,0))))</f>
        <v/>
      </c>
      <c r="BA273" s="93" t="str">
        <f aca="false">IF(ISBLANK($C273),"",IF(AA273=Constants!$B$3,TRUE(),IF(AA273=Constants!$B$4,FALSE(),FALSE())))</f>
        <v/>
      </c>
      <c r="BB273" s="92" t="str">
        <f aca="false">IF(ISBLANK($C273),"",AND($AL273,OR($AM273="",$AN273="",AND($AO273,$AP273=""))))</f>
        <v/>
      </c>
      <c r="BC273" s="94" t="str">
        <f aca="false">IF($BZ273&lt;&gt;Constants!$B$8,"",IF($AL273,Constants!$B$21*$AN273+Constants!$B$22*IF($AO273,$AP273,Constants!$B$23),Constants!$B$24))</f>
        <v/>
      </c>
      <c r="BD273" s="97" t="str">
        <f aca="false">IF($BZ273&lt;&gt;Constants!$B$8,"",Constants!$B$25*ABS($AD$9-IF($AL273,$AM273,0)))</f>
        <v/>
      </c>
      <c r="BE273" s="97" t="str">
        <f aca="false">IF($BZ273&lt;&gt;Constants!$B$8,"",IF(AND($AL273,$AQ273,$AO273),Constants!$B$27,0))</f>
        <v/>
      </c>
      <c r="BF273" s="97" t="str">
        <f aca="false">IF($BZ273&lt;&gt;Constants!$B$8,"",IF($AL273,($AI273-Constants!$B$29)*Constants!$B$28,0))</f>
        <v/>
      </c>
      <c r="BG273" s="97" t="str">
        <f aca="false">IF($BZ273&lt;&gt;Constants!$B$8,"",IF($AK273,0,Constants!$B$15)+IF($AJ273,0,Constants!$B$16)+IF($AH273,0,Constants!$B$17))</f>
        <v/>
      </c>
      <c r="BH273" s="98" t="str">
        <f aca="false">IF($BZ273&lt;&gt;Constants!$B$8,"",Constants!$B$20+SUM($BC273:$BG273))</f>
        <v/>
      </c>
      <c r="BI273" s="97" t="str">
        <f aca="false">IF($BZ273&lt;&gt;Constants!$B$8,"",$BC273)</f>
        <v/>
      </c>
      <c r="BJ273" s="97" t="str">
        <f aca="false">IF($BZ273&lt;&gt;Constants!$B$8,"",$BD273)</f>
        <v/>
      </c>
      <c r="BK273" s="97" t="str">
        <f aca="false">IF($BZ273&lt;&gt;Constants!$B$8,"",IF($AL273,$AN273,""))</f>
        <v/>
      </c>
      <c r="BL273" s="99" t="str">
        <f aca="false">IF($BZ273&lt;&gt;Constants!$B$8,"",$AI273)</f>
        <v/>
      </c>
      <c r="BM273" s="93" t="str">
        <f aca="false">IF($BZ273&lt;&gt;Constants!$B$8,"",IF(OR($BT273&lt;$BH273,AND($BT273=$BH273,OR($BU273&lt;$BI273,AND($BU273=$BI273,OR($BV273&lt;$BJ273,AND($BV273=$BJ273,OR(AND(ISNUMBER($BW273),OR(NOT(ISNUMBER($BK273)),$BW273&lt;$BK273)),AND(OR(AND($BW273="",$BK273=""),AND(ISNUMBER($BW273),ISNUMBER($BK273),$BW273=$BK273)),$BX273&lt;$BL273)))))))),"-&gt;","&lt;-"))</f>
        <v/>
      </c>
      <c r="BN273" s="92" t="str">
        <f aca="false">IF(ISBLANK($C273),"",AND($AT273,OR($AU273="",$AV273="",AND($AW273,$AX273=""))))</f>
        <v/>
      </c>
      <c r="BO273" s="94" t="str">
        <f aca="false">IF($BZ273&lt;&gt;Constants!$B$8,"",IF($AT273,Constants!$B$21*$AV273+Constants!$B$22*IF($AW273,$AX273,Constants!$B$23),Constants!$B$24))</f>
        <v/>
      </c>
      <c r="BP273" s="97" t="str">
        <f aca="false">IF($BZ273&lt;&gt;Constants!$B$8,"",Constants!$B$25*ABS($AD$9-IF($AT273,$AU273,0)))</f>
        <v/>
      </c>
      <c r="BQ273" s="97" t="str">
        <f aca="false">IF($BZ273&lt;&gt;Constants!$B$8,"",IF(AND($AT273,$AY273,$AW273),Constants!$B$27,0))</f>
        <v/>
      </c>
      <c r="BR273" s="97" t="str">
        <f aca="false">IF($BZ273&lt;&gt;Constants!$B$8,"",IF($AT273,($AI273-Constants!$B$29)*Constants!$B$28,0))</f>
        <v/>
      </c>
      <c r="BS273" s="97" t="str">
        <f aca="false">IF($BZ273&lt;&gt;Constants!$B$8,"",IF($AS273,0,Constants!$B$15)+IF($AR273,0,Constants!$B$16)+IF($AH273,0,Constants!$B$17))</f>
        <v/>
      </c>
      <c r="BT273" s="98" t="str">
        <f aca="false">IF($BZ273&lt;&gt;Constants!$B$8,"",Constants!$B$20+SUM($BO273:$BS273))</f>
        <v/>
      </c>
      <c r="BU273" s="97" t="str">
        <f aca="false">IF($BZ273&lt;&gt;Constants!$B$8,"",$BO273)</f>
        <v/>
      </c>
      <c r="BV273" s="97" t="str">
        <f aca="false">IF($BZ273&lt;&gt;Constants!$B$8,"",$BP273)</f>
        <v/>
      </c>
      <c r="BW273" s="97" t="str">
        <f aca="false">IF($BZ273&lt;&gt;Constants!$B$8,"",IF($AT273,$AV273,""))</f>
        <v/>
      </c>
      <c r="BX273" s="99" t="str">
        <f aca="false">IF($BZ273&lt;&gt;Constants!$B$8,"",$AI273)</f>
        <v/>
      </c>
      <c r="BY273" s="93" t="str">
        <f aca="false">IF(ISBLANK($C273),"",IF(ISBLANK($D$7),$BY$5,IF(NOT(ISNUMBER($D$7)),$BY$6,"")))</f>
        <v/>
      </c>
      <c r="BZ273" s="93" t="str">
        <f aca="false">IF(ISBLANK($C273),"",IF($BA273,Constants!$B$11,IF(COUNTA($E273:$AA273)=0,Constants!$B$10,IF(NOT($AG273),Constants!$B$9,IF(OR($BY273&lt;&gt;"",$BB273,$BN273),Constants!$B$12,Constants!$B$8)))))</f>
        <v/>
      </c>
      <c r="CA273" s="93" t="str">
        <f aca="false">IF(ISBLANK($C273),"",IF($BZ273&lt;&gt;Constants!$B$8,$BZ273,Constants!$B$13))</f>
        <v/>
      </c>
      <c r="CB273" s="97" t="str">
        <f aca="false">IF($BZ273&lt;&gt;Constants!$B$8,"",IF($BM273="-&gt;",$BT273,$BH273))</f>
        <v/>
      </c>
      <c r="CC273" s="97" t="str">
        <f aca="false">IF($BZ273&lt;&gt;Constants!$B$8,"",IF($AF273,0,Constants!$B$18))</f>
        <v/>
      </c>
      <c r="CD273" s="97" t="str">
        <f aca="false">IF($BZ273&lt;&gt;Constants!$B$8,"",((Constants!$B$31-$AZ273)-Constants!$B$31)/Constants!$B$32)</f>
        <v/>
      </c>
      <c r="CE273" s="97" t="str">
        <f aca="false">IF(ISBLANK($C273),"",IF($BZ273&lt;&gt;Constants!$B$8,$BZ273,SUM($CB273:$CD273)))</f>
        <v/>
      </c>
      <c r="CF273" s="93" t="str">
        <f aca="false">IF(ISBLANK($C273),"",IF($BZ273&lt;&gt;Constants!$B$8,$BZ273,RANK($CE273,$CE$9:$CE$508,1)))</f>
        <v/>
      </c>
      <c r="CG273" s="97" t="str">
        <f aca="false">IF($BZ273&lt;&gt;Constants!$B$8,"",IF($BM273="-&gt;",$BU273,$BI273))</f>
        <v/>
      </c>
      <c r="CH273" s="93" t="str">
        <f aca="false">IF(ISBLANK($C273),"",IF($BZ273&lt;&gt;Constants!$B$8,$BZ273,IF(ISNUMBER($CG273),RANK($CG273,$CG$9:$CG$508,1),COUNT($CG$9:$CG$508)+1)))</f>
        <v/>
      </c>
      <c r="CI273" s="97" t="str">
        <f aca="false">IF($BZ273&lt;&gt;Constants!$B$8,"",IF($BM273="-&gt;",$BV273,$BJ273))</f>
        <v/>
      </c>
      <c r="CJ273" s="93" t="str">
        <f aca="false">IF(ISBLANK($C273),"",IF($BZ273&lt;&gt;Constants!$B$8,$BZ273,IF(ISNUMBER($CI273),RANK($CI273,$CI$9:$CI$508,1),COUNT($CI$9:$CI$508)+1)))</f>
        <v/>
      </c>
      <c r="CK273" s="97" t="str">
        <f aca="false">IF($BZ273&lt;&gt;Constants!$B$8,"",IF($BM273="-&gt;",$BW273,$BK273))</f>
        <v/>
      </c>
      <c r="CL273" s="93" t="str">
        <f aca="false">IF(ISBLANK($C273),"",IF($BZ273&lt;&gt;Constants!$B$8,$BZ273,IF(ISNUMBER($CK273),RANK($CK273,$CK$9:$CK$508,1),COUNT($CK$9:$CK$508)+1)))</f>
        <v/>
      </c>
      <c r="CM273" s="97" t="str">
        <f aca="false">IF($BZ273&lt;&gt;Constants!$B$8,"",IF(AND(NOT($AL273),NOT($AT273),$AJ273,$AK273,$AR273,$AS273),"",IF($BM273="-&gt;",$BX273,$BL273)))</f>
        <v/>
      </c>
      <c r="CN273" s="93" t="str">
        <f aca="false">IF(ISBLANK($C273),"",IF($BZ273&lt;&gt;Constants!$B$8,$BZ273,IF(ISNUMBER($CM273),RANK($CM273,$CM$9:$CM$508,1),COUNT($CM$9:$CM$508)+1)))</f>
        <v/>
      </c>
      <c r="CO273" s="93" t="str">
        <f aca="false">IF(ISBLANK($C273),"",IF($BZ273&lt;&gt;Constants!$B$8,$BZ273,COUNTIFS($CF$9:$CF$508,"&lt;"&amp;$CF273)+COUNTIFS($CF$9:$CF$508,$CF273,$CH$9:$CH$508,"&lt;"&amp;$CH273)+COUNTIFS($CF$9:$CF$508,$CF273,$CH$9:$CH$508,$CH273,$CJ$9:$CJ$508,"&lt;"&amp;$CJ273)+COUNTIFS($CF$9:$CF$508,$CF273,$CH$9:$CH$508,$CH273,$CJ$9:$CJ$508,$CJ273,$CL$9:$CL$508,"&lt;"&amp;$CL273)+COUNTIFS($CF$9:$CF$508,$CF273,$CH$9:$CH$508,$CH273,$CJ$9:$CJ$508,$CJ273,$CL$9:$CL$508,$CL273,$CN$9:$CN$508,"&lt;"&amp;$CN273)+1))</f>
        <v/>
      </c>
      <c r="CP273" s="93" t="str">
        <f aca="false">IF(ISBLANK($C273),"",IF($BZ273&lt;&gt;Constants!$B$8,$BZ273,$CF273-$CO273))</f>
        <v/>
      </c>
      <c r="CQ273" s="100"/>
      <c r="CR273" s="101"/>
      <c r="CS273" s="102" t="str">
        <f aca="false">IF(ISBLANK($C273),"",IF($BZ273=Constants!$B$12,$BY273,""))</f>
        <v/>
      </c>
      <c r="CT273" s="101" t="str">
        <f aca="false">IF(ISBLANK($C273),"",IF($BZ273&lt;&gt;Constants!$B$8,"",IF($BM273="-&gt;",2,1)))</f>
        <v/>
      </c>
      <c r="CU273" s="103" t="str">
        <f aca="false">IF(ISBLANK($C273),"",IF($BZ273&lt;&gt;Constants!$B$8,"",IF($BM273="-&gt;",$BO273,$BC273)))</f>
        <v/>
      </c>
      <c r="CV273" s="103" t="str">
        <f aca="false">IF(ISBLANK($C273),"",IF($BZ273&lt;&gt;Constants!$B$8,"",IF($BM273="-&gt;",$BP273,$BD273)))</f>
        <v/>
      </c>
      <c r="CW273" s="103" t="str">
        <f aca="false">IF(ISBLANK($C273),"",IF($BZ273&lt;&gt;Constants!$B$8,"",IF($BM273="-&gt;",$BQ273+$BR273,$BE273+$BF273)+$CD273))</f>
        <v/>
      </c>
      <c r="CX273" s="103" t="str">
        <f aca="false">IF(ISBLANK($C273),"",IF($BZ273&lt;&gt;Constants!$B$8,"",IF($BM273="-&gt;",$BS273,$BG273)+$CC273))</f>
        <v/>
      </c>
      <c r="CY273" s="104" t="str">
        <f aca="false">IF(ISBLANK($C273),"",IF($BZ273&lt;&gt;Constants!$B$8,$BZ273,$CE273))</f>
        <v/>
      </c>
      <c r="CZ273" s="105" t="str">
        <f aca="false">IF(ISBLANK($C273),"",$CA273)</f>
        <v/>
      </c>
      <c r="DA273" s="106" t="str">
        <f aca="false">IF(ISBLANK($C273),"",$CP273)</f>
        <v/>
      </c>
      <c r="DB273" s="106" t="str">
        <f aca="false">IF(ISBLANK($C273),"",$CO273)</f>
        <v/>
      </c>
      <c r="DC273" s="107" t="str">
        <f aca="false">IF(ISBLANK($C273),"",IFERROR(_xlfn.SWITCH($DB273,Constants!$B$11,COUNTA($C$9:$C$508)+2,Constants!$B$10,COUNTA($C$9:$C$508)+1,Constants!$B$9,COUNTA($C$9:$C$508)),$DB273))</f>
        <v/>
      </c>
      <c r="DD273" s="9"/>
      <c r="DE273" s="108" t="n">
        <f aca="false">IF(OR(ISNUMBER($DB273),$DB273=Constants!$B$11,$DB273=Constants!$B$9,$DB273=Constants!$B$10),1,0)</f>
        <v>0</v>
      </c>
      <c r="DF273" s="108" t="n">
        <v>265</v>
      </c>
      <c r="DG273" s="108" t="str">
        <f aca="false">IF(ISBLANK($C273),"",IF(ISNUMBER($DC273),$DC273+ROW($B273)/1000,""))</f>
        <v/>
      </c>
      <c r="DH273" s="108" t="str">
        <f aca="false">IF(ISNUMBER($DG273),RANK($DG273,$DG$9:$DG$508,1),"")</f>
        <v/>
      </c>
      <c r="DI273" s="108" t="str">
        <f aca="false">IF(ISBLANK($C273),"",$B273)</f>
        <v/>
      </c>
      <c r="DJ273" s="108" t="str">
        <f aca="false">IF(ISBLANK($C273),"",$C273)</f>
        <v/>
      </c>
      <c r="DK273" s="108" t="str">
        <f aca="false">IF(ISBLANK($C273),"",$D273)</f>
        <v/>
      </c>
      <c r="DL273" s="109" t="str">
        <f aca="false">$CZ273</f>
        <v/>
      </c>
      <c r="DM273" s="110" t="str">
        <f aca="false">$CY273</f>
        <v/>
      </c>
      <c r="DN273" s="108" t="str">
        <f aca="false">IF(ISBLANK($C273),"",$DB273)</f>
        <v/>
      </c>
      <c r="DO273" s="111" t="str">
        <f aca="false">IF($DF273&gt;$DE$8,"",VLOOKUP($DF273,$DH$9:$DN$508,7,FALSE()))</f>
        <v/>
      </c>
      <c r="DP273" s="112" t="str">
        <f aca="false">IF($DF273&gt;$DE$8,"",VLOOKUP($DF273,$DH$9:$DN$508,2,FALSE()))</f>
        <v/>
      </c>
      <c r="DQ273" s="112" t="str">
        <f aca="false">IF($DF273&gt;$DE$8,"",VLOOKUP($DF273,$DH$9:$DN$508,3,FALSE()))</f>
        <v/>
      </c>
      <c r="DR273" s="112" t="str">
        <f aca="false">IF($DF273&gt;$DE$8,"",VLOOKUP($DF273,$DH$9:$DN$508,4,FALSE()))</f>
        <v/>
      </c>
      <c r="DS273" s="112" t="str">
        <f aca="false">IF($DF273&gt;$DE$8,"",VLOOKUP($DF273,$DH$9:$DN$508,5,FALSE()))</f>
        <v/>
      </c>
      <c r="DT273" s="113" t="str">
        <f aca="false">IF($DF273&gt;$DE$8,"",VLOOKUP($DF273,$DH$9:$DN$508,6,FALSE()))</f>
        <v/>
      </c>
      <c r="DU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IF(ISBLANK($C274),"",IF(E274=Constants!$B$3,TRUE(),IF(E274=Constants!$B$4,FALSE(),TRUE())))</f>
        <v/>
      </c>
      <c r="AG274" s="93" t="str">
        <f aca="false">IF(ISBLANK($C274),"",IF(F274=Constants!$B$3,TRUE(),IF(F274=Constants!$B$4,FALSE(),TRUE())))</f>
        <v/>
      </c>
      <c r="AH274" s="93" t="str">
        <f aca="false">IF(ISBLANK($C274),"",IF(G274=Constants!$B$3,TRUE(),IF(G274=Constants!$B$4,FALSE(),TRUE())))</f>
        <v/>
      </c>
      <c r="AI274" s="93" t="str">
        <f aca="false">IF(ISBLANK($C274),"",IF(AND(ISNUMBER(H274),H274&gt;=0),H274,Constants!$B$29))</f>
        <v/>
      </c>
      <c r="AJ274" s="93" t="str">
        <f aca="false">IF(ISBLANK($C274),"",IF(I274=Constants!$B$3,TRUE(),IF(I274=Constants!$B$4,FALSE(),TRUE())))</f>
        <v/>
      </c>
      <c r="AK274" s="93" t="str">
        <f aca="false">IF(ISBLANK($C274),"",IF(J274=Constants!$B$3,TRUE(),IF(J274=Constants!$B$4,FALSE(),TRUE())))</f>
        <v/>
      </c>
      <c r="AL274" s="93" t="str">
        <f aca="false">IF(ISBLANK($C274),"",IF(K274=Constants!$B$5,TRUE(),IF(K274=Constants!$B$6,FALSE(),COUNTA(L274:P274)&gt;0)))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IF(ISBLANK($C274),"",IF(N274=Constants!$B$3,TRUE(),IF(N274=Constants!$B$4,FALSE(),TRUE())))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IF(ISBLANK($C274),"",IF(P274=Constants!$B$3,TRUE(),IF(P274=Constants!$B$4,FALSE(),FALSE())))</f>
        <v/>
      </c>
      <c r="AR274" s="93" t="str">
        <f aca="false">IF(ISBLANK($C274),"",IF(Q274=Constants!$B$3,TRUE(),IF(Q274=Constants!$B$4,FALSE(),TRUE())))</f>
        <v/>
      </c>
      <c r="AS274" s="93" t="str">
        <f aca="false">IF(ISBLANK($C274),"",IF(R274=Constants!$B$3,TRUE(),IF(R274=Constants!$B$4,FALSE(),TRUE())))</f>
        <v/>
      </c>
      <c r="AT274" s="93" t="str">
        <f aca="false">IF(ISBLANK($C274),"",IF(S274=Constants!$B$5,TRUE(),IF(S274=Constants!$B$6,FALSE(),COUNTA(T274:X274)&gt;0)))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IF(ISBLANK($C274),"",IF(V274=Constants!$B$3,TRUE(),IF(V274=Constants!$B$4,FALSE(),TRUE())))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IF(ISBLANK($C274),"",IF(X274=Constants!$B$3,TRUE(),IF(X274=Constants!$B$4,FALSE(),FALSE())))</f>
        <v/>
      </c>
      <c r="AZ274" s="93" t="str">
        <f aca="false">IF(ISBLANK($C274),"",MIN(Constants!$B$31,MAX(0,IF(ISNUMBER(Y274),Y274*60,0)+IF(ISNUMBER(Z274),Z274,0))))</f>
        <v/>
      </c>
      <c r="BA274" s="93" t="str">
        <f aca="false">IF(ISBLANK($C274),"",IF(AA274=Constants!$B$3,TRUE(),IF(AA274=Constants!$B$4,FALSE(),FALSE())))</f>
        <v/>
      </c>
      <c r="BB274" s="92" t="str">
        <f aca="false">IF(ISBLANK($C274),"",AND($AL274,OR($AM274="",$AN274="",AND($AO274,$AP274=""))))</f>
        <v/>
      </c>
      <c r="BC274" s="94" t="str">
        <f aca="false">IF($BZ274&lt;&gt;Constants!$B$8,"",IF($AL274,Constants!$B$21*$AN274+Constants!$B$22*IF($AO274,$AP274,Constants!$B$23),Constants!$B$24))</f>
        <v/>
      </c>
      <c r="BD274" s="97" t="str">
        <f aca="false">IF($BZ274&lt;&gt;Constants!$B$8,"",Constants!$B$25*ABS($AD$9-IF($AL274,$AM274,0)))</f>
        <v/>
      </c>
      <c r="BE274" s="97" t="str">
        <f aca="false">IF($BZ274&lt;&gt;Constants!$B$8,"",IF(AND($AL274,$AQ274,$AO274),Constants!$B$27,0))</f>
        <v/>
      </c>
      <c r="BF274" s="97" t="str">
        <f aca="false">IF($BZ274&lt;&gt;Constants!$B$8,"",IF($AL274,($AI274-Constants!$B$29)*Constants!$B$28,0))</f>
        <v/>
      </c>
      <c r="BG274" s="97" t="str">
        <f aca="false">IF($BZ274&lt;&gt;Constants!$B$8,"",IF($AK274,0,Constants!$B$15)+IF($AJ274,0,Constants!$B$16)+IF($AH274,0,Constants!$B$17))</f>
        <v/>
      </c>
      <c r="BH274" s="98" t="str">
        <f aca="false">IF($BZ274&lt;&gt;Constants!$B$8,"",Constants!$B$20+SUM($BC274:$BG274))</f>
        <v/>
      </c>
      <c r="BI274" s="97" t="str">
        <f aca="false">IF($BZ274&lt;&gt;Constants!$B$8,"",$BC274)</f>
        <v/>
      </c>
      <c r="BJ274" s="97" t="str">
        <f aca="false">IF($BZ274&lt;&gt;Constants!$B$8,"",$BD274)</f>
        <v/>
      </c>
      <c r="BK274" s="97" t="str">
        <f aca="false">IF($BZ274&lt;&gt;Constants!$B$8,"",IF($AL274,$AN274,""))</f>
        <v/>
      </c>
      <c r="BL274" s="99" t="str">
        <f aca="false">IF($BZ274&lt;&gt;Constants!$B$8,"",$AI274)</f>
        <v/>
      </c>
      <c r="BM274" s="93" t="str">
        <f aca="false">IF($BZ274&lt;&gt;Constants!$B$8,"",IF(OR($BT274&lt;$BH274,AND($BT274=$BH274,OR($BU274&lt;$BI274,AND($BU274=$BI274,OR($BV274&lt;$BJ274,AND($BV274=$BJ274,OR(AND(ISNUMBER($BW274),OR(NOT(ISNUMBER($BK274)),$BW274&lt;$BK274)),AND(OR(AND($BW274="",$BK274=""),AND(ISNUMBER($BW274),ISNUMBER($BK274),$BW274=$BK274)),$BX274&lt;$BL274)))))))),"-&gt;","&lt;-"))</f>
        <v/>
      </c>
      <c r="BN274" s="92" t="str">
        <f aca="false">IF(ISBLANK($C274),"",AND($AT274,OR($AU274="",$AV274="",AND($AW274,$AX274=""))))</f>
        <v/>
      </c>
      <c r="BO274" s="94" t="str">
        <f aca="false">IF($BZ274&lt;&gt;Constants!$B$8,"",IF($AT274,Constants!$B$21*$AV274+Constants!$B$22*IF($AW274,$AX274,Constants!$B$23),Constants!$B$24))</f>
        <v/>
      </c>
      <c r="BP274" s="97" t="str">
        <f aca="false">IF($BZ274&lt;&gt;Constants!$B$8,"",Constants!$B$25*ABS($AD$9-IF($AT274,$AU274,0)))</f>
        <v/>
      </c>
      <c r="BQ274" s="97" t="str">
        <f aca="false">IF($BZ274&lt;&gt;Constants!$B$8,"",IF(AND($AT274,$AY274,$AW274),Constants!$B$27,0))</f>
        <v/>
      </c>
      <c r="BR274" s="97" t="str">
        <f aca="false">IF($BZ274&lt;&gt;Constants!$B$8,"",IF($AT274,($AI274-Constants!$B$29)*Constants!$B$28,0))</f>
        <v/>
      </c>
      <c r="BS274" s="97" t="str">
        <f aca="false">IF($BZ274&lt;&gt;Constants!$B$8,"",IF($AS274,0,Constants!$B$15)+IF($AR274,0,Constants!$B$16)+IF($AH274,0,Constants!$B$17))</f>
        <v/>
      </c>
      <c r="BT274" s="98" t="str">
        <f aca="false">IF($BZ274&lt;&gt;Constants!$B$8,"",Constants!$B$20+SUM($BO274:$BS274))</f>
        <v/>
      </c>
      <c r="BU274" s="97" t="str">
        <f aca="false">IF($BZ274&lt;&gt;Constants!$B$8,"",$BO274)</f>
        <v/>
      </c>
      <c r="BV274" s="97" t="str">
        <f aca="false">IF($BZ274&lt;&gt;Constants!$B$8,"",$BP274)</f>
        <v/>
      </c>
      <c r="BW274" s="97" t="str">
        <f aca="false">IF($BZ274&lt;&gt;Constants!$B$8,"",IF($AT274,$AV274,""))</f>
        <v/>
      </c>
      <c r="BX274" s="99" t="str">
        <f aca="false">IF($BZ274&lt;&gt;Constants!$B$8,"",$AI274)</f>
        <v/>
      </c>
      <c r="BY274" s="93" t="str">
        <f aca="false">IF(ISBLANK($C274),"",IF(ISBLANK($D$7),$BY$5,IF(NOT(ISNUMBER($D$7)),$BY$6,"")))</f>
        <v/>
      </c>
      <c r="BZ274" s="93" t="str">
        <f aca="false">IF(ISBLANK($C274),"",IF($BA274,Constants!$B$11,IF(COUNTA($E274:$AA274)=0,Constants!$B$10,IF(NOT($AG274),Constants!$B$9,IF(OR($BY274&lt;&gt;"",$BB274,$BN274),Constants!$B$12,Constants!$B$8)))))</f>
        <v/>
      </c>
      <c r="CA274" s="93" t="str">
        <f aca="false">IF(ISBLANK($C274),"",IF($BZ274&lt;&gt;Constants!$B$8,$BZ274,Constants!$B$13))</f>
        <v/>
      </c>
      <c r="CB274" s="97" t="str">
        <f aca="false">IF($BZ274&lt;&gt;Constants!$B$8,"",IF($BM274="-&gt;",$BT274,$BH274))</f>
        <v/>
      </c>
      <c r="CC274" s="97" t="str">
        <f aca="false">IF($BZ274&lt;&gt;Constants!$B$8,"",IF($AF274,0,Constants!$B$18))</f>
        <v/>
      </c>
      <c r="CD274" s="97" t="str">
        <f aca="false">IF($BZ274&lt;&gt;Constants!$B$8,"",((Constants!$B$31-$AZ274)-Constants!$B$31)/Constants!$B$32)</f>
        <v/>
      </c>
      <c r="CE274" s="97" t="str">
        <f aca="false">IF(ISBLANK($C274),"",IF($BZ274&lt;&gt;Constants!$B$8,$BZ274,SUM($CB274:$CD274)))</f>
        <v/>
      </c>
      <c r="CF274" s="93" t="str">
        <f aca="false">IF(ISBLANK($C274),"",IF($BZ274&lt;&gt;Constants!$B$8,$BZ274,RANK($CE274,$CE$9:$CE$508,1)))</f>
        <v/>
      </c>
      <c r="CG274" s="97" t="str">
        <f aca="false">IF($BZ274&lt;&gt;Constants!$B$8,"",IF($BM274="-&gt;",$BU274,$BI274))</f>
        <v/>
      </c>
      <c r="CH274" s="93" t="str">
        <f aca="false">IF(ISBLANK($C274),"",IF($BZ274&lt;&gt;Constants!$B$8,$BZ274,IF(ISNUMBER($CG274),RANK($CG274,$CG$9:$CG$508,1),COUNT($CG$9:$CG$508)+1)))</f>
        <v/>
      </c>
      <c r="CI274" s="97" t="str">
        <f aca="false">IF($BZ274&lt;&gt;Constants!$B$8,"",IF($BM274="-&gt;",$BV274,$BJ274))</f>
        <v/>
      </c>
      <c r="CJ274" s="93" t="str">
        <f aca="false">IF(ISBLANK($C274),"",IF($BZ274&lt;&gt;Constants!$B$8,$BZ274,IF(ISNUMBER($CI274),RANK($CI274,$CI$9:$CI$508,1),COUNT($CI$9:$CI$508)+1)))</f>
        <v/>
      </c>
      <c r="CK274" s="97" t="str">
        <f aca="false">IF($BZ274&lt;&gt;Constants!$B$8,"",IF($BM274="-&gt;",$BW274,$BK274))</f>
        <v/>
      </c>
      <c r="CL274" s="93" t="str">
        <f aca="false">IF(ISBLANK($C274),"",IF($BZ274&lt;&gt;Constants!$B$8,$BZ274,IF(ISNUMBER($CK274),RANK($CK274,$CK$9:$CK$508,1),COUNT($CK$9:$CK$508)+1)))</f>
        <v/>
      </c>
      <c r="CM274" s="97" t="str">
        <f aca="false">IF($BZ274&lt;&gt;Constants!$B$8,"",IF(AND(NOT($AL274),NOT($AT274),$AJ274,$AK274,$AR274,$AS274),"",IF($BM274="-&gt;",$BX274,$BL274)))</f>
        <v/>
      </c>
      <c r="CN274" s="93" t="str">
        <f aca="false">IF(ISBLANK($C274),"",IF($BZ274&lt;&gt;Constants!$B$8,$BZ274,IF(ISNUMBER($CM274),RANK($CM274,$CM$9:$CM$508,1),COUNT($CM$9:$CM$508)+1)))</f>
        <v/>
      </c>
      <c r="CO274" s="93" t="str">
        <f aca="false">IF(ISBLANK($C274),"",IF($BZ274&lt;&gt;Constants!$B$8,$BZ274,COUNTIFS($CF$9:$CF$508,"&lt;"&amp;$CF274)+COUNTIFS($CF$9:$CF$508,$CF274,$CH$9:$CH$508,"&lt;"&amp;$CH274)+COUNTIFS($CF$9:$CF$508,$CF274,$CH$9:$CH$508,$CH274,$CJ$9:$CJ$508,"&lt;"&amp;$CJ274)+COUNTIFS($CF$9:$CF$508,$CF274,$CH$9:$CH$508,$CH274,$CJ$9:$CJ$508,$CJ274,$CL$9:$CL$508,"&lt;"&amp;$CL274)+COUNTIFS($CF$9:$CF$508,$CF274,$CH$9:$CH$508,$CH274,$CJ$9:$CJ$508,$CJ274,$CL$9:$CL$508,$CL274,$CN$9:$CN$508,"&lt;"&amp;$CN274)+1))</f>
        <v/>
      </c>
      <c r="CP274" s="93" t="str">
        <f aca="false">IF(ISBLANK($C274),"",IF($BZ274&lt;&gt;Constants!$B$8,$BZ274,$CF274-$CO274))</f>
        <v/>
      </c>
      <c r="CQ274" s="100"/>
      <c r="CR274" s="101"/>
      <c r="CS274" s="102" t="str">
        <f aca="false">IF(ISBLANK($C274),"",IF($BZ274=Constants!$B$12,$BY274,""))</f>
        <v/>
      </c>
      <c r="CT274" s="101" t="str">
        <f aca="false">IF(ISBLANK($C274),"",IF($BZ274&lt;&gt;Constants!$B$8,"",IF($BM274="-&gt;",2,1)))</f>
        <v/>
      </c>
      <c r="CU274" s="103" t="str">
        <f aca="false">IF(ISBLANK($C274),"",IF($BZ274&lt;&gt;Constants!$B$8,"",IF($BM274="-&gt;",$BO274,$BC274)))</f>
        <v/>
      </c>
      <c r="CV274" s="103" t="str">
        <f aca="false">IF(ISBLANK($C274),"",IF($BZ274&lt;&gt;Constants!$B$8,"",IF($BM274="-&gt;",$BP274,$BD274)))</f>
        <v/>
      </c>
      <c r="CW274" s="103" t="str">
        <f aca="false">IF(ISBLANK($C274),"",IF($BZ274&lt;&gt;Constants!$B$8,"",IF($BM274="-&gt;",$BQ274+$BR274,$BE274+$BF274)+$CD274))</f>
        <v/>
      </c>
      <c r="CX274" s="103" t="str">
        <f aca="false">IF(ISBLANK($C274),"",IF($BZ274&lt;&gt;Constants!$B$8,"",IF($BM274="-&gt;",$BS274,$BG274)+$CC274))</f>
        <v/>
      </c>
      <c r="CY274" s="104" t="str">
        <f aca="false">IF(ISBLANK($C274),"",IF($BZ274&lt;&gt;Constants!$B$8,$BZ274,$CE274))</f>
        <v/>
      </c>
      <c r="CZ274" s="105" t="str">
        <f aca="false">IF(ISBLANK($C274),"",$CA274)</f>
        <v/>
      </c>
      <c r="DA274" s="106" t="str">
        <f aca="false">IF(ISBLANK($C274),"",$CP274)</f>
        <v/>
      </c>
      <c r="DB274" s="106" t="str">
        <f aca="false">IF(ISBLANK($C274),"",$CO274)</f>
        <v/>
      </c>
      <c r="DC274" s="107" t="str">
        <f aca="false">IF(ISBLANK($C274),"",IFERROR(_xlfn.SWITCH($DB274,Constants!$B$11,COUNTA($C$9:$C$508)+2,Constants!$B$10,COUNTA($C$9:$C$508)+1,Constants!$B$9,COUNTA($C$9:$C$508)),$DB274))</f>
        <v/>
      </c>
      <c r="DD274" s="9"/>
      <c r="DE274" s="108" t="n">
        <f aca="false">IF(OR(ISNUMBER($DB274),$DB274=Constants!$B$11,$DB274=Constants!$B$9,$DB274=Constants!$B$10),1,0)</f>
        <v>0</v>
      </c>
      <c r="DF274" s="108" t="n">
        <v>266</v>
      </c>
      <c r="DG274" s="108" t="str">
        <f aca="false">IF(ISBLANK($C274),"",IF(ISNUMBER($DC274),$DC274+ROW($B274)/1000,""))</f>
        <v/>
      </c>
      <c r="DH274" s="108" t="str">
        <f aca="false">IF(ISNUMBER($DG274),RANK($DG274,$DG$9:$DG$508,1),"")</f>
        <v/>
      </c>
      <c r="DI274" s="108" t="str">
        <f aca="false">IF(ISBLANK($C274),"",$B274)</f>
        <v/>
      </c>
      <c r="DJ274" s="108" t="str">
        <f aca="false">IF(ISBLANK($C274),"",$C274)</f>
        <v/>
      </c>
      <c r="DK274" s="108" t="str">
        <f aca="false">IF(ISBLANK($C274),"",$D274)</f>
        <v/>
      </c>
      <c r="DL274" s="109" t="str">
        <f aca="false">$CZ274</f>
        <v/>
      </c>
      <c r="DM274" s="110" t="str">
        <f aca="false">$CY274</f>
        <v/>
      </c>
      <c r="DN274" s="108" t="str">
        <f aca="false">IF(ISBLANK($C274),"",$DB274)</f>
        <v/>
      </c>
      <c r="DO274" s="111" t="str">
        <f aca="false">IF($DF274&gt;$DE$8,"",VLOOKUP($DF274,$DH$9:$DN$508,7,FALSE()))</f>
        <v/>
      </c>
      <c r="DP274" s="112" t="str">
        <f aca="false">IF($DF274&gt;$DE$8,"",VLOOKUP($DF274,$DH$9:$DN$508,2,FALSE()))</f>
        <v/>
      </c>
      <c r="DQ274" s="112" t="str">
        <f aca="false">IF($DF274&gt;$DE$8,"",VLOOKUP($DF274,$DH$9:$DN$508,3,FALSE()))</f>
        <v/>
      </c>
      <c r="DR274" s="112" t="str">
        <f aca="false">IF($DF274&gt;$DE$8,"",VLOOKUP($DF274,$DH$9:$DN$508,4,FALSE()))</f>
        <v/>
      </c>
      <c r="DS274" s="112" t="str">
        <f aca="false">IF($DF274&gt;$DE$8,"",VLOOKUP($DF274,$DH$9:$DN$508,5,FALSE()))</f>
        <v/>
      </c>
      <c r="DT274" s="113" t="str">
        <f aca="false">IF($DF274&gt;$DE$8,"",VLOOKUP($DF274,$DH$9:$DN$508,6,FALSE()))</f>
        <v/>
      </c>
      <c r="DU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IF(ISBLANK($C275),"",IF(E275=Constants!$B$3,TRUE(),IF(E275=Constants!$B$4,FALSE(),TRUE())))</f>
        <v/>
      </c>
      <c r="AG275" s="93" t="str">
        <f aca="false">IF(ISBLANK($C275),"",IF(F275=Constants!$B$3,TRUE(),IF(F275=Constants!$B$4,FALSE(),TRUE())))</f>
        <v/>
      </c>
      <c r="AH275" s="93" t="str">
        <f aca="false">IF(ISBLANK($C275),"",IF(G275=Constants!$B$3,TRUE(),IF(G275=Constants!$B$4,FALSE(),TRUE())))</f>
        <v/>
      </c>
      <c r="AI275" s="93" t="str">
        <f aca="false">IF(ISBLANK($C275),"",IF(AND(ISNUMBER(H275),H275&gt;=0),H275,Constants!$B$29))</f>
        <v/>
      </c>
      <c r="AJ275" s="93" t="str">
        <f aca="false">IF(ISBLANK($C275),"",IF(I275=Constants!$B$3,TRUE(),IF(I275=Constants!$B$4,FALSE(),TRUE())))</f>
        <v/>
      </c>
      <c r="AK275" s="93" t="str">
        <f aca="false">IF(ISBLANK($C275),"",IF(J275=Constants!$B$3,TRUE(),IF(J275=Constants!$B$4,FALSE(),TRUE())))</f>
        <v/>
      </c>
      <c r="AL275" s="93" t="str">
        <f aca="false">IF(ISBLANK($C275),"",IF(K275=Constants!$B$5,TRUE(),IF(K275=Constants!$B$6,FALSE(),COUNTA(L275:P275)&gt;0)))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IF(ISBLANK($C275),"",IF(N275=Constants!$B$3,TRUE(),IF(N275=Constants!$B$4,FALSE(),TRUE())))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IF(ISBLANK($C275),"",IF(P275=Constants!$B$3,TRUE(),IF(P275=Constants!$B$4,FALSE(),FALSE())))</f>
        <v/>
      </c>
      <c r="AR275" s="93" t="str">
        <f aca="false">IF(ISBLANK($C275),"",IF(Q275=Constants!$B$3,TRUE(),IF(Q275=Constants!$B$4,FALSE(),TRUE())))</f>
        <v/>
      </c>
      <c r="AS275" s="93" t="str">
        <f aca="false">IF(ISBLANK($C275),"",IF(R275=Constants!$B$3,TRUE(),IF(R275=Constants!$B$4,FALSE(),TRUE())))</f>
        <v/>
      </c>
      <c r="AT275" s="93" t="str">
        <f aca="false">IF(ISBLANK($C275),"",IF(S275=Constants!$B$5,TRUE(),IF(S275=Constants!$B$6,FALSE(),COUNTA(T275:X275)&gt;0)))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IF(ISBLANK($C275),"",IF(V275=Constants!$B$3,TRUE(),IF(V275=Constants!$B$4,FALSE(),TRUE())))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IF(ISBLANK($C275),"",IF(X275=Constants!$B$3,TRUE(),IF(X275=Constants!$B$4,FALSE(),FALSE())))</f>
        <v/>
      </c>
      <c r="AZ275" s="93" t="str">
        <f aca="false">IF(ISBLANK($C275),"",MIN(Constants!$B$31,MAX(0,IF(ISNUMBER(Y275),Y275*60,0)+IF(ISNUMBER(Z275),Z275,0))))</f>
        <v/>
      </c>
      <c r="BA275" s="93" t="str">
        <f aca="false">IF(ISBLANK($C275),"",IF(AA275=Constants!$B$3,TRUE(),IF(AA275=Constants!$B$4,FALSE(),FALSE())))</f>
        <v/>
      </c>
      <c r="BB275" s="92" t="str">
        <f aca="false">IF(ISBLANK($C275),"",AND($AL275,OR($AM275="",$AN275="",AND($AO275,$AP275=""))))</f>
        <v/>
      </c>
      <c r="BC275" s="94" t="str">
        <f aca="false">IF($BZ275&lt;&gt;Constants!$B$8,"",IF($AL275,Constants!$B$21*$AN275+Constants!$B$22*IF($AO275,$AP275,Constants!$B$23),Constants!$B$24))</f>
        <v/>
      </c>
      <c r="BD275" s="97" t="str">
        <f aca="false">IF($BZ275&lt;&gt;Constants!$B$8,"",Constants!$B$25*ABS($AD$9-IF($AL275,$AM275,0)))</f>
        <v/>
      </c>
      <c r="BE275" s="97" t="str">
        <f aca="false">IF($BZ275&lt;&gt;Constants!$B$8,"",IF(AND($AL275,$AQ275,$AO275),Constants!$B$27,0))</f>
        <v/>
      </c>
      <c r="BF275" s="97" t="str">
        <f aca="false">IF($BZ275&lt;&gt;Constants!$B$8,"",IF($AL275,($AI275-Constants!$B$29)*Constants!$B$28,0))</f>
        <v/>
      </c>
      <c r="BG275" s="97" t="str">
        <f aca="false">IF($BZ275&lt;&gt;Constants!$B$8,"",IF($AK275,0,Constants!$B$15)+IF($AJ275,0,Constants!$B$16)+IF($AH275,0,Constants!$B$17))</f>
        <v/>
      </c>
      <c r="BH275" s="98" t="str">
        <f aca="false">IF($BZ275&lt;&gt;Constants!$B$8,"",Constants!$B$20+SUM($BC275:$BG275))</f>
        <v/>
      </c>
      <c r="BI275" s="97" t="str">
        <f aca="false">IF($BZ275&lt;&gt;Constants!$B$8,"",$BC275)</f>
        <v/>
      </c>
      <c r="BJ275" s="97" t="str">
        <f aca="false">IF($BZ275&lt;&gt;Constants!$B$8,"",$BD275)</f>
        <v/>
      </c>
      <c r="BK275" s="97" t="str">
        <f aca="false">IF($BZ275&lt;&gt;Constants!$B$8,"",IF($AL275,$AN275,""))</f>
        <v/>
      </c>
      <c r="BL275" s="99" t="str">
        <f aca="false">IF($BZ275&lt;&gt;Constants!$B$8,"",$AI275)</f>
        <v/>
      </c>
      <c r="BM275" s="93" t="str">
        <f aca="false">IF($BZ275&lt;&gt;Constants!$B$8,"",IF(OR($BT275&lt;$BH275,AND($BT275=$BH275,OR($BU275&lt;$BI275,AND($BU275=$BI275,OR($BV275&lt;$BJ275,AND($BV275=$BJ275,OR(AND(ISNUMBER($BW275),OR(NOT(ISNUMBER($BK275)),$BW275&lt;$BK275)),AND(OR(AND($BW275="",$BK275=""),AND(ISNUMBER($BW275),ISNUMBER($BK275),$BW275=$BK275)),$BX275&lt;$BL275)))))))),"-&gt;","&lt;-"))</f>
        <v/>
      </c>
      <c r="BN275" s="92" t="str">
        <f aca="false">IF(ISBLANK($C275),"",AND($AT275,OR($AU275="",$AV275="",AND($AW275,$AX275=""))))</f>
        <v/>
      </c>
      <c r="BO275" s="94" t="str">
        <f aca="false">IF($BZ275&lt;&gt;Constants!$B$8,"",IF($AT275,Constants!$B$21*$AV275+Constants!$B$22*IF($AW275,$AX275,Constants!$B$23),Constants!$B$24))</f>
        <v/>
      </c>
      <c r="BP275" s="97" t="str">
        <f aca="false">IF($BZ275&lt;&gt;Constants!$B$8,"",Constants!$B$25*ABS($AD$9-IF($AT275,$AU275,0)))</f>
        <v/>
      </c>
      <c r="BQ275" s="97" t="str">
        <f aca="false">IF($BZ275&lt;&gt;Constants!$B$8,"",IF(AND($AT275,$AY275,$AW275),Constants!$B$27,0))</f>
        <v/>
      </c>
      <c r="BR275" s="97" t="str">
        <f aca="false">IF($BZ275&lt;&gt;Constants!$B$8,"",IF($AT275,($AI275-Constants!$B$29)*Constants!$B$28,0))</f>
        <v/>
      </c>
      <c r="BS275" s="97" t="str">
        <f aca="false">IF($BZ275&lt;&gt;Constants!$B$8,"",IF($AS275,0,Constants!$B$15)+IF($AR275,0,Constants!$B$16)+IF($AH275,0,Constants!$B$17))</f>
        <v/>
      </c>
      <c r="BT275" s="98" t="str">
        <f aca="false">IF($BZ275&lt;&gt;Constants!$B$8,"",Constants!$B$20+SUM($BO275:$BS275))</f>
        <v/>
      </c>
      <c r="BU275" s="97" t="str">
        <f aca="false">IF($BZ275&lt;&gt;Constants!$B$8,"",$BO275)</f>
        <v/>
      </c>
      <c r="BV275" s="97" t="str">
        <f aca="false">IF($BZ275&lt;&gt;Constants!$B$8,"",$BP275)</f>
        <v/>
      </c>
      <c r="BW275" s="97" t="str">
        <f aca="false">IF($BZ275&lt;&gt;Constants!$B$8,"",IF($AT275,$AV275,""))</f>
        <v/>
      </c>
      <c r="BX275" s="99" t="str">
        <f aca="false">IF($BZ275&lt;&gt;Constants!$B$8,"",$AI275)</f>
        <v/>
      </c>
      <c r="BY275" s="93" t="str">
        <f aca="false">IF(ISBLANK($C275),"",IF(ISBLANK($D$7),$BY$5,IF(NOT(ISNUMBER($D$7)),$BY$6,"")))</f>
        <v/>
      </c>
      <c r="BZ275" s="93" t="str">
        <f aca="false">IF(ISBLANK($C275),"",IF($BA275,Constants!$B$11,IF(COUNTA($E275:$AA275)=0,Constants!$B$10,IF(NOT($AG275),Constants!$B$9,IF(OR($BY275&lt;&gt;"",$BB275,$BN275),Constants!$B$12,Constants!$B$8)))))</f>
        <v/>
      </c>
      <c r="CA275" s="93" t="str">
        <f aca="false">IF(ISBLANK($C275),"",IF($BZ275&lt;&gt;Constants!$B$8,$BZ275,Constants!$B$13))</f>
        <v/>
      </c>
      <c r="CB275" s="97" t="str">
        <f aca="false">IF($BZ275&lt;&gt;Constants!$B$8,"",IF($BM275="-&gt;",$BT275,$BH275))</f>
        <v/>
      </c>
      <c r="CC275" s="97" t="str">
        <f aca="false">IF($BZ275&lt;&gt;Constants!$B$8,"",IF($AF275,0,Constants!$B$18))</f>
        <v/>
      </c>
      <c r="CD275" s="97" t="str">
        <f aca="false">IF($BZ275&lt;&gt;Constants!$B$8,"",((Constants!$B$31-$AZ275)-Constants!$B$31)/Constants!$B$32)</f>
        <v/>
      </c>
      <c r="CE275" s="97" t="str">
        <f aca="false">IF(ISBLANK($C275),"",IF($BZ275&lt;&gt;Constants!$B$8,$BZ275,SUM($CB275:$CD275)))</f>
        <v/>
      </c>
      <c r="CF275" s="93" t="str">
        <f aca="false">IF(ISBLANK($C275),"",IF($BZ275&lt;&gt;Constants!$B$8,$BZ275,RANK($CE275,$CE$9:$CE$508,1)))</f>
        <v/>
      </c>
      <c r="CG275" s="97" t="str">
        <f aca="false">IF($BZ275&lt;&gt;Constants!$B$8,"",IF($BM275="-&gt;",$BU275,$BI275))</f>
        <v/>
      </c>
      <c r="CH275" s="93" t="str">
        <f aca="false">IF(ISBLANK($C275),"",IF($BZ275&lt;&gt;Constants!$B$8,$BZ275,IF(ISNUMBER($CG275),RANK($CG275,$CG$9:$CG$508,1),COUNT($CG$9:$CG$508)+1)))</f>
        <v/>
      </c>
      <c r="CI275" s="97" t="str">
        <f aca="false">IF($BZ275&lt;&gt;Constants!$B$8,"",IF($BM275="-&gt;",$BV275,$BJ275))</f>
        <v/>
      </c>
      <c r="CJ275" s="93" t="str">
        <f aca="false">IF(ISBLANK($C275),"",IF($BZ275&lt;&gt;Constants!$B$8,$BZ275,IF(ISNUMBER($CI275),RANK($CI275,$CI$9:$CI$508,1),COUNT($CI$9:$CI$508)+1)))</f>
        <v/>
      </c>
      <c r="CK275" s="97" t="str">
        <f aca="false">IF($BZ275&lt;&gt;Constants!$B$8,"",IF($BM275="-&gt;",$BW275,$BK275))</f>
        <v/>
      </c>
      <c r="CL275" s="93" t="str">
        <f aca="false">IF(ISBLANK($C275),"",IF($BZ275&lt;&gt;Constants!$B$8,$BZ275,IF(ISNUMBER($CK275),RANK($CK275,$CK$9:$CK$508,1),COUNT($CK$9:$CK$508)+1)))</f>
        <v/>
      </c>
      <c r="CM275" s="97" t="str">
        <f aca="false">IF($BZ275&lt;&gt;Constants!$B$8,"",IF(AND(NOT($AL275),NOT($AT275),$AJ275,$AK275,$AR275,$AS275),"",IF($BM275="-&gt;",$BX275,$BL275)))</f>
        <v/>
      </c>
      <c r="CN275" s="93" t="str">
        <f aca="false">IF(ISBLANK($C275),"",IF($BZ275&lt;&gt;Constants!$B$8,$BZ275,IF(ISNUMBER($CM275),RANK($CM275,$CM$9:$CM$508,1),COUNT($CM$9:$CM$508)+1)))</f>
        <v/>
      </c>
      <c r="CO275" s="93" t="str">
        <f aca="false">IF(ISBLANK($C275),"",IF($BZ275&lt;&gt;Constants!$B$8,$BZ275,COUNTIFS($CF$9:$CF$508,"&lt;"&amp;$CF275)+COUNTIFS($CF$9:$CF$508,$CF275,$CH$9:$CH$508,"&lt;"&amp;$CH275)+COUNTIFS($CF$9:$CF$508,$CF275,$CH$9:$CH$508,$CH275,$CJ$9:$CJ$508,"&lt;"&amp;$CJ275)+COUNTIFS($CF$9:$CF$508,$CF275,$CH$9:$CH$508,$CH275,$CJ$9:$CJ$508,$CJ275,$CL$9:$CL$508,"&lt;"&amp;$CL275)+COUNTIFS($CF$9:$CF$508,$CF275,$CH$9:$CH$508,$CH275,$CJ$9:$CJ$508,$CJ275,$CL$9:$CL$508,$CL275,$CN$9:$CN$508,"&lt;"&amp;$CN275)+1))</f>
        <v/>
      </c>
      <c r="CP275" s="93" t="str">
        <f aca="false">IF(ISBLANK($C275),"",IF($BZ275&lt;&gt;Constants!$B$8,$BZ275,$CF275-$CO275))</f>
        <v/>
      </c>
      <c r="CQ275" s="100"/>
      <c r="CR275" s="101"/>
      <c r="CS275" s="102" t="str">
        <f aca="false">IF(ISBLANK($C275),"",IF($BZ275=Constants!$B$12,$BY275,""))</f>
        <v/>
      </c>
      <c r="CT275" s="101" t="str">
        <f aca="false">IF(ISBLANK($C275),"",IF($BZ275&lt;&gt;Constants!$B$8,"",IF($BM275="-&gt;",2,1)))</f>
        <v/>
      </c>
      <c r="CU275" s="103" t="str">
        <f aca="false">IF(ISBLANK($C275),"",IF($BZ275&lt;&gt;Constants!$B$8,"",IF($BM275="-&gt;",$BO275,$BC275)))</f>
        <v/>
      </c>
      <c r="CV275" s="103" t="str">
        <f aca="false">IF(ISBLANK($C275),"",IF($BZ275&lt;&gt;Constants!$B$8,"",IF($BM275="-&gt;",$BP275,$BD275)))</f>
        <v/>
      </c>
      <c r="CW275" s="103" t="str">
        <f aca="false">IF(ISBLANK($C275),"",IF($BZ275&lt;&gt;Constants!$B$8,"",IF($BM275="-&gt;",$BQ275+$BR275,$BE275+$BF275)+$CD275))</f>
        <v/>
      </c>
      <c r="CX275" s="103" t="str">
        <f aca="false">IF(ISBLANK($C275),"",IF($BZ275&lt;&gt;Constants!$B$8,"",IF($BM275="-&gt;",$BS275,$BG275)+$CC275))</f>
        <v/>
      </c>
      <c r="CY275" s="104" t="str">
        <f aca="false">IF(ISBLANK($C275),"",IF($BZ275&lt;&gt;Constants!$B$8,$BZ275,$CE275))</f>
        <v/>
      </c>
      <c r="CZ275" s="105" t="str">
        <f aca="false">IF(ISBLANK($C275),"",$CA275)</f>
        <v/>
      </c>
      <c r="DA275" s="106" t="str">
        <f aca="false">IF(ISBLANK($C275),"",$CP275)</f>
        <v/>
      </c>
      <c r="DB275" s="106" t="str">
        <f aca="false">IF(ISBLANK($C275),"",$CO275)</f>
        <v/>
      </c>
      <c r="DC275" s="107" t="str">
        <f aca="false">IF(ISBLANK($C275),"",IFERROR(_xlfn.SWITCH($DB275,Constants!$B$11,COUNTA($C$9:$C$508)+2,Constants!$B$10,COUNTA($C$9:$C$508)+1,Constants!$B$9,COUNTA($C$9:$C$508)),$DB275))</f>
        <v/>
      </c>
      <c r="DD275" s="9"/>
      <c r="DE275" s="108" t="n">
        <f aca="false">IF(OR(ISNUMBER($DB275),$DB275=Constants!$B$11,$DB275=Constants!$B$9,$DB275=Constants!$B$10),1,0)</f>
        <v>0</v>
      </c>
      <c r="DF275" s="108" t="n">
        <v>267</v>
      </c>
      <c r="DG275" s="108" t="str">
        <f aca="false">IF(ISBLANK($C275),"",IF(ISNUMBER($DC275),$DC275+ROW($B275)/1000,""))</f>
        <v/>
      </c>
      <c r="DH275" s="108" t="str">
        <f aca="false">IF(ISNUMBER($DG275),RANK($DG275,$DG$9:$DG$508,1),"")</f>
        <v/>
      </c>
      <c r="DI275" s="108" t="str">
        <f aca="false">IF(ISBLANK($C275),"",$B275)</f>
        <v/>
      </c>
      <c r="DJ275" s="108" t="str">
        <f aca="false">IF(ISBLANK($C275),"",$C275)</f>
        <v/>
      </c>
      <c r="DK275" s="108" t="str">
        <f aca="false">IF(ISBLANK($C275),"",$D275)</f>
        <v/>
      </c>
      <c r="DL275" s="109" t="str">
        <f aca="false">$CZ275</f>
        <v/>
      </c>
      <c r="DM275" s="110" t="str">
        <f aca="false">$CY275</f>
        <v/>
      </c>
      <c r="DN275" s="108" t="str">
        <f aca="false">IF(ISBLANK($C275),"",$DB275)</f>
        <v/>
      </c>
      <c r="DO275" s="111" t="str">
        <f aca="false">IF($DF275&gt;$DE$8,"",VLOOKUP($DF275,$DH$9:$DN$508,7,FALSE()))</f>
        <v/>
      </c>
      <c r="DP275" s="112" t="str">
        <f aca="false">IF($DF275&gt;$DE$8,"",VLOOKUP($DF275,$DH$9:$DN$508,2,FALSE()))</f>
        <v/>
      </c>
      <c r="DQ275" s="112" t="str">
        <f aca="false">IF($DF275&gt;$DE$8,"",VLOOKUP($DF275,$DH$9:$DN$508,3,FALSE()))</f>
        <v/>
      </c>
      <c r="DR275" s="112" t="str">
        <f aca="false">IF($DF275&gt;$DE$8,"",VLOOKUP($DF275,$DH$9:$DN$508,4,FALSE()))</f>
        <v/>
      </c>
      <c r="DS275" s="112" t="str">
        <f aca="false">IF($DF275&gt;$DE$8,"",VLOOKUP($DF275,$DH$9:$DN$508,5,FALSE()))</f>
        <v/>
      </c>
      <c r="DT275" s="113" t="str">
        <f aca="false">IF($DF275&gt;$DE$8,"",VLOOKUP($DF275,$DH$9:$DN$508,6,FALSE()))</f>
        <v/>
      </c>
      <c r="DU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IF(ISBLANK($C276),"",IF(E276=Constants!$B$3,TRUE(),IF(E276=Constants!$B$4,FALSE(),TRUE())))</f>
        <v/>
      </c>
      <c r="AG276" s="135" t="str">
        <f aca="false">IF(ISBLANK($C276),"",IF(F276=Constants!$B$3,TRUE(),IF(F276=Constants!$B$4,FALSE(),TRUE())))</f>
        <v/>
      </c>
      <c r="AH276" s="135" t="str">
        <f aca="false">IF(ISBLANK($C276),"",IF(G276=Constants!$B$3,TRUE(),IF(G276=Constants!$B$4,FALSE(),TRUE())))</f>
        <v/>
      </c>
      <c r="AI276" s="135" t="str">
        <f aca="false">IF(ISBLANK($C276),"",IF(AND(ISNUMBER(H276),H276&gt;=0),H276,Constants!$B$29))</f>
        <v/>
      </c>
      <c r="AJ276" s="135" t="str">
        <f aca="false">IF(ISBLANK($C276),"",IF(I276=Constants!$B$3,TRUE(),IF(I276=Constants!$B$4,FALSE(),TRUE())))</f>
        <v/>
      </c>
      <c r="AK276" s="135" t="str">
        <f aca="false">IF(ISBLANK($C276),"",IF(J276=Constants!$B$3,TRUE(),IF(J276=Constants!$B$4,FALSE(),TRUE())))</f>
        <v/>
      </c>
      <c r="AL276" s="135" t="str">
        <f aca="false">IF(ISBLANK($C276),"",IF(K276=Constants!$B$5,TRUE(),IF(K276=Constants!$B$6,FALSE(),COUNTA(L276:P276)&gt;0)))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IF(ISBLANK($C276),"",IF(N276=Constants!$B$3,TRUE(),IF(N276=Constants!$B$4,FALSE(),TRUE())))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IF(ISBLANK($C276),"",IF(P276=Constants!$B$3,TRUE(),IF(P276=Constants!$B$4,FALSE(),FALSE())))</f>
        <v/>
      </c>
      <c r="AR276" s="135" t="str">
        <f aca="false">IF(ISBLANK($C276),"",IF(Q276=Constants!$B$3,TRUE(),IF(Q276=Constants!$B$4,FALSE(),TRUE())))</f>
        <v/>
      </c>
      <c r="AS276" s="135" t="str">
        <f aca="false">IF(ISBLANK($C276),"",IF(R276=Constants!$B$3,TRUE(),IF(R276=Constants!$B$4,FALSE(),TRUE())))</f>
        <v/>
      </c>
      <c r="AT276" s="135" t="str">
        <f aca="false">IF(ISBLANK($C276),"",IF(S276=Constants!$B$5,TRUE(),IF(S276=Constants!$B$6,FALSE(),COUNTA(T276:X276)&gt;0)))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IF(ISBLANK($C276),"",IF(V276=Constants!$B$3,TRUE(),IF(V276=Constants!$B$4,FALSE(),TRUE())))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IF(ISBLANK($C276),"",IF(X276=Constants!$B$3,TRUE(),IF(X276=Constants!$B$4,FALSE(),FALSE())))</f>
        <v/>
      </c>
      <c r="AZ276" s="135" t="str">
        <f aca="false">IF(ISBLANK($C276),"",MIN(Constants!$B$31,MAX(0,IF(ISNUMBER(Y276),Y276*60,0)+IF(ISNUMBER(Z276),Z276,0))))</f>
        <v/>
      </c>
      <c r="BA276" s="135" t="str">
        <f aca="false">IF(ISBLANK($C276),"",IF(AA276=Constants!$B$3,TRUE(),IF(AA276=Constants!$B$4,FALSE(),FALSE())))</f>
        <v/>
      </c>
      <c r="BB276" s="134" t="str">
        <f aca="false">IF(ISBLANK($C276),"",AND($AL276,OR($AM276="",$AN276="",AND($AO276,$AP276=""))))</f>
        <v/>
      </c>
      <c r="BC276" s="137" t="str">
        <f aca="false">IF($BZ276&lt;&gt;Constants!$B$8,"",IF($AL276,Constants!$B$21*$AN276+Constants!$B$22*IF($AO276,$AP276,Constants!$B$23),Constants!$B$24))</f>
        <v/>
      </c>
      <c r="BD276" s="138" t="str">
        <f aca="false">IF($BZ276&lt;&gt;Constants!$B$8,"",Constants!$B$25*ABS($AD$9-IF($AL276,$AM276,0)))</f>
        <v/>
      </c>
      <c r="BE276" s="138" t="str">
        <f aca="false">IF($BZ276&lt;&gt;Constants!$B$8,"",IF(AND($AL276,$AQ276,$AO276),Constants!$B$27,0))</f>
        <v/>
      </c>
      <c r="BF276" s="138" t="str">
        <f aca="false">IF($BZ276&lt;&gt;Constants!$B$8,"",IF($AL276,($AI276-Constants!$B$29)*Constants!$B$28,0))</f>
        <v/>
      </c>
      <c r="BG276" s="138" t="str">
        <f aca="false">IF($BZ276&lt;&gt;Constants!$B$8,"",IF($AK276,0,Constants!$B$15)+IF($AJ276,0,Constants!$B$16)+IF($AH276,0,Constants!$B$17))</f>
        <v/>
      </c>
      <c r="BH276" s="139" t="str">
        <f aca="false">IF($BZ276&lt;&gt;Constants!$B$8,"",Constants!$B$20+SUM($BC276:$BG276))</f>
        <v/>
      </c>
      <c r="BI276" s="138" t="str">
        <f aca="false">IF($BZ276&lt;&gt;Constants!$B$8,"",$BC276)</f>
        <v/>
      </c>
      <c r="BJ276" s="138" t="str">
        <f aca="false">IF($BZ276&lt;&gt;Constants!$B$8,"",$BD276)</f>
        <v/>
      </c>
      <c r="BK276" s="138" t="str">
        <f aca="false">IF($BZ276&lt;&gt;Constants!$B$8,"",IF($AL276,$AN276,""))</f>
        <v/>
      </c>
      <c r="BL276" s="140" t="str">
        <f aca="false">IF($BZ276&lt;&gt;Constants!$B$8,"",$AI276)</f>
        <v/>
      </c>
      <c r="BM276" s="135" t="str">
        <f aca="false">IF($BZ276&lt;&gt;Constants!$B$8,"",IF(OR($BT276&lt;$BH276,AND($BT276=$BH276,OR($BU276&lt;$BI276,AND($BU276=$BI276,OR($BV276&lt;$BJ276,AND($BV276=$BJ276,OR(AND(ISNUMBER($BW276),OR(NOT(ISNUMBER($BK276)),$BW276&lt;$BK276)),AND(OR(AND($BW276="",$BK276=""),AND(ISNUMBER($BW276),ISNUMBER($BK276),$BW276=$BK276)),$BX276&lt;$BL276)))))))),"-&gt;","&lt;-"))</f>
        <v/>
      </c>
      <c r="BN276" s="134" t="str">
        <f aca="false">IF(ISBLANK($C276),"",AND($AT276,OR($AU276="",$AV276="",AND($AW276,$AX276=""))))</f>
        <v/>
      </c>
      <c r="BO276" s="137" t="str">
        <f aca="false">IF($BZ276&lt;&gt;Constants!$B$8,"",IF($AT276,Constants!$B$21*$AV276+Constants!$B$22*IF($AW276,$AX276,Constants!$B$23),Constants!$B$24))</f>
        <v/>
      </c>
      <c r="BP276" s="138" t="str">
        <f aca="false">IF($BZ276&lt;&gt;Constants!$B$8,"",Constants!$B$25*ABS($AD$9-IF($AT276,$AU276,0)))</f>
        <v/>
      </c>
      <c r="BQ276" s="138" t="str">
        <f aca="false">IF($BZ276&lt;&gt;Constants!$B$8,"",IF(AND($AT276,$AY276,$AW276),Constants!$B$27,0))</f>
        <v/>
      </c>
      <c r="BR276" s="138" t="str">
        <f aca="false">IF($BZ276&lt;&gt;Constants!$B$8,"",IF($AT276,($AI276-Constants!$B$29)*Constants!$B$28,0))</f>
        <v/>
      </c>
      <c r="BS276" s="138" t="str">
        <f aca="false">IF($BZ276&lt;&gt;Constants!$B$8,"",IF($AS276,0,Constants!$B$15)+IF($AR276,0,Constants!$B$16)+IF($AH276,0,Constants!$B$17))</f>
        <v/>
      </c>
      <c r="BT276" s="139" t="str">
        <f aca="false">IF($BZ276&lt;&gt;Constants!$B$8,"",Constants!$B$20+SUM($BO276:$BS276))</f>
        <v/>
      </c>
      <c r="BU276" s="138" t="str">
        <f aca="false">IF($BZ276&lt;&gt;Constants!$B$8,"",$BO276)</f>
        <v/>
      </c>
      <c r="BV276" s="138" t="str">
        <f aca="false">IF($BZ276&lt;&gt;Constants!$B$8,"",$BP276)</f>
        <v/>
      </c>
      <c r="BW276" s="138" t="str">
        <f aca="false">IF($BZ276&lt;&gt;Constants!$B$8,"",IF($AT276,$AV276,""))</f>
        <v/>
      </c>
      <c r="BX276" s="140" t="str">
        <f aca="false">IF($BZ276&lt;&gt;Constants!$B$8,"",$AI276)</f>
        <v/>
      </c>
      <c r="BY276" s="135" t="str">
        <f aca="false">IF(ISBLANK($C276),"",IF(ISBLANK($D$7),$BY$5,IF(NOT(ISNUMBER($D$7)),$BY$6,"")))</f>
        <v/>
      </c>
      <c r="BZ276" s="135" t="str">
        <f aca="false">IF(ISBLANK($C276),"",IF($BA276,Constants!$B$11,IF(COUNTA($E276:$AA276)=0,Constants!$B$10,IF(NOT($AG276),Constants!$B$9,IF(OR($BY276&lt;&gt;"",$BB276,$BN276),Constants!$B$12,Constants!$B$8)))))</f>
        <v/>
      </c>
      <c r="CA276" s="135" t="str">
        <f aca="false">IF(ISBLANK($C276),"",IF($BZ276&lt;&gt;Constants!$B$8,$BZ276,Constants!$B$13))</f>
        <v/>
      </c>
      <c r="CB276" s="138" t="str">
        <f aca="false">IF($BZ276&lt;&gt;Constants!$B$8,"",IF($BM276="-&gt;",$BT276,$BH276))</f>
        <v/>
      </c>
      <c r="CC276" s="138" t="str">
        <f aca="false">IF($BZ276&lt;&gt;Constants!$B$8,"",IF($AF276,0,Constants!$B$18))</f>
        <v/>
      </c>
      <c r="CD276" s="138" t="str">
        <f aca="false">IF($BZ276&lt;&gt;Constants!$B$8,"",((Constants!$B$31-$AZ276)-Constants!$B$31)/Constants!$B$32)</f>
        <v/>
      </c>
      <c r="CE276" s="138" t="str">
        <f aca="false">IF(ISBLANK($C276),"",IF($BZ276&lt;&gt;Constants!$B$8,$BZ276,SUM($CB276:$CD276)))</f>
        <v/>
      </c>
      <c r="CF276" s="135" t="str">
        <f aca="false">IF(ISBLANK($C276),"",IF($BZ276&lt;&gt;Constants!$B$8,$BZ276,RANK($CE276,$CE$9:$CE$508,1)))</f>
        <v/>
      </c>
      <c r="CG276" s="138" t="str">
        <f aca="false">IF($BZ276&lt;&gt;Constants!$B$8,"",IF($BM276="-&gt;",$BU276,$BI276))</f>
        <v/>
      </c>
      <c r="CH276" s="135" t="str">
        <f aca="false">IF(ISBLANK($C276),"",IF($BZ276&lt;&gt;Constants!$B$8,$BZ276,IF(ISNUMBER($CG276),RANK($CG276,$CG$9:$CG$508,1),COUNT($CG$9:$CG$508)+1)))</f>
        <v/>
      </c>
      <c r="CI276" s="138" t="str">
        <f aca="false">IF($BZ276&lt;&gt;Constants!$B$8,"",IF($BM276="-&gt;",$BV276,$BJ276))</f>
        <v/>
      </c>
      <c r="CJ276" s="135" t="str">
        <f aca="false">IF(ISBLANK($C276),"",IF($BZ276&lt;&gt;Constants!$B$8,$BZ276,IF(ISNUMBER($CI276),RANK($CI276,$CI$9:$CI$508,1),COUNT($CI$9:$CI$508)+1)))</f>
        <v/>
      </c>
      <c r="CK276" s="138" t="str">
        <f aca="false">IF($BZ276&lt;&gt;Constants!$B$8,"",IF($BM276="-&gt;",$BW276,$BK276))</f>
        <v/>
      </c>
      <c r="CL276" s="135" t="str">
        <f aca="false">IF(ISBLANK($C276),"",IF($BZ276&lt;&gt;Constants!$B$8,$BZ276,IF(ISNUMBER($CK276),RANK($CK276,$CK$9:$CK$508,1),COUNT($CK$9:$CK$508)+1)))</f>
        <v/>
      </c>
      <c r="CM276" s="138" t="str">
        <f aca="false">IF($BZ276&lt;&gt;Constants!$B$8,"",IF(AND(NOT($AL276),NOT($AT276),$AJ276,$AK276,$AR276,$AS276),"",IF($BM276="-&gt;",$BX276,$BL276)))</f>
        <v/>
      </c>
      <c r="CN276" s="135" t="str">
        <f aca="false">IF(ISBLANK($C276),"",IF($BZ276&lt;&gt;Constants!$B$8,$BZ276,IF(ISNUMBER($CM276),RANK($CM276,$CM$9:$CM$508,1),COUNT($CM$9:$CM$508)+1)))</f>
        <v/>
      </c>
      <c r="CO276" s="135" t="str">
        <f aca="false">IF(ISBLANK($C276),"",IF($BZ276&lt;&gt;Constants!$B$8,$BZ276,COUNTIFS($CF$9:$CF$508,"&lt;"&amp;$CF276)+COUNTIFS($CF$9:$CF$508,$CF276,$CH$9:$CH$508,"&lt;"&amp;$CH276)+COUNTIFS($CF$9:$CF$508,$CF276,$CH$9:$CH$508,$CH276,$CJ$9:$CJ$508,"&lt;"&amp;$CJ276)+COUNTIFS($CF$9:$CF$508,$CF276,$CH$9:$CH$508,$CH276,$CJ$9:$CJ$508,$CJ276,$CL$9:$CL$508,"&lt;"&amp;$CL276)+COUNTIFS($CF$9:$CF$508,$CF276,$CH$9:$CH$508,$CH276,$CJ$9:$CJ$508,$CJ276,$CL$9:$CL$508,$CL276,$CN$9:$CN$508,"&lt;"&amp;$CN276)+1))</f>
        <v/>
      </c>
      <c r="CP276" s="135" t="str">
        <f aca="false">IF(ISBLANK($C276),"",IF($BZ276&lt;&gt;Constants!$B$8,$BZ276,$CF276-$CO276))</f>
        <v/>
      </c>
      <c r="CQ276" s="141"/>
      <c r="CR276" s="142"/>
      <c r="CS276" s="143" t="str">
        <f aca="false">IF(ISBLANK($C276),"",IF($BZ276=Constants!$B$12,$BY276,""))</f>
        <v/>
      </c>
      <c r="CT276" s="142" t="str">
        <f aca="false">IF(ISBLANK($C276),"",IF($BZ276&lt;&gt;Constants!$B$8,"",IF($BM276="-&gt;",2,1)))</f>
        <v/>
      </c>
      <c r="CU276" s="144" t="str">
        <f aca="false">IF(ISBLANK($C276),"",IF($BZ276&lt;&gt;Constants!$B$8,"",IF($BM276="-&gt;",$BO276,$BC276)))</f>
        <v/>
      </c>
      <c r="CV276" s="144" t="str">
        <f aca="false">IF(ISBLANK($C276),"",IF($BZ276&lt;&gt;Constants!$B$8,"",IF($BM276="-&gt;",$BP276,$BD276)))</f>
        <v/>
      </c>
      <c r="CW276" s="144" t="str">
        <f aca="false">IF(ISBLANK($C276),"",IF($BZ276&lt;&gt;Constants!$B$8,"",IF($BM276="-&gt;",$BQ276+$BR276,$BE276+$BF276)+$CD276))</f>
        <v/>
      </c>
      <c r="CX276" s="144" t="str">
        <f aca="false">IF(ISBLANK($C276),"",IF($BZ276&lt;&gt;Constants!$B$8,"",IF($BM276="-&gt;",$BS276,$BG276)+$CC276))</f>
        <v/>
      </c>
      <c r="CY276" s="145" t="str">
        <f aca="false">IF(ISBLANK($C276),"",IF($BZ276&lt;&gt;Constants!$B$8,$BZ276,$CE276))</f>
        <v/>
      </c>
      <c r="CZ276" s="146" t="str">
        <f aca="false">IF(ISBLANK($C276),"",$CA276)</f>
        <v/>
      </c>
      <c r="DA276" s="147" t="str">
        <f aca="false">IF(ISBLANK($C276),"",$CP276)</f>
        <v/>
      </c>
      <c r="DB276" s="147" t="str">
        <f aca="false">IF(ISBLANK($C276),"",$CO276)</f>
        <v/>
      </c>
      <c r="DC276" s="148" t="str">
        <f aca="false">IF(ISBLANK($C276),"",IFERROR(_xlfn.SWITCH($DB276,Constants!$B$11,COUNTA($C$9:$C$508)+2,Constants!$B$10,COUNTA($C$9:$C$508)+1,Constants!$B$9,COUNTA($C$9:$C$508)),$DB276))</f>
        <v/>
      </c>
      <c r="DD276" s="9"/>
      <c r="DE276" s="149" t="n">
        <f aca="false">IF(OR(ISNUMBER($DB276),$DB276=Constants!$B$11,$DB276=Constants!$B$9,$DB276=Constants!$B$10),1,0)</f>
        <v>0</v>
      </c>
      <c r="DF276" s="149" t="n">
        <v>268</v>
      </c>
      <c r="DG276" s="149" t="str">
        <f aca="false">IF(ISBLANK($C276),"",IF(ISNUMBER($DC276),$DC276+ROW($B276)/1000,""))</f>
        <v/>
      </c>
      <c r="DH276" s="149" t="str">
        <f aca="false">IF(ISNUMBER($DG276),RANK($DG276,$DG$9:$DG$508,1),"")</f>
        <v/>
      </c>
      <c r="DI276" s="149" t="str">
        <f aca="false">IF(ISBLANK($C276),"",$B276)</f>
        <v/>
      </c>
      <c r="DJ276" s="149" t="str">
        <f aca="false">IF(ISBLANK($C276),"",$C276)</f>
        <v/>
      </c>
      <c r="DK276" s="149" t="str">
        <f aca="false">IF(ISBLANK($C276),"",$D276)</f>
        <v/>
      </c>
      <c r="DL276" s="150" t="str">
        <f aca="false">$CZ276</f>
        <v/>
      </c>
      <c r="DM276" s="151" t="str">
        <f aca="false">$CY276</f>
        <v/>
      </c>
      <c r="DN276" s="149" t="str">
        <f aca="false">IF(ISBLANK($C276),"",$DB276)</f>
        <v/>
      </c>
      <c r="DO276" s="152" t="str">
        <f aca="false">IF($DF276&gt;$DE$8,"",VLOOKUP($DF276,$DH$9:$DN$508,7,FALSE()))</f>
        <v/>
      </c>
      <c r="DP276" s="153" t="str">
        <f aca="false">IF($DF276&gt;$DE$8,"",VLOOKUP($DF276,$DH$9:$DN$508,2,FALSE()))</f>
        <v/>
      </c>
      <c r="DQ276" s="153" t="str">
        <f aca="false">IF($DF276&gt;$DE$8,"",VLOOKUP($DF276,$DH$9:$DN$508,3,FALSE()))</f>
        <v/>
      </c>
      <c r="DR276" s="153" t="str">
        <f aca="false">IF($DF276&gt;$DE$8,"",VLOOKUP($DF276,$DH$9:$DN$508,4,FALSE()))</f>
        <v/>
      </c>
      <c r="DS276" s="153" t="str">
        <f aca="false">IF($DF276&gt;$DE$8,"",VLOOKUP($DF276,$DH$9:$DN$508,5,FALSE()))</f>
        <v/>
      </c>
      <c r="DT276" s="154" t="str">
        <f aca="false">IF($DF276&gt;$DE$8,"",VLOOKUP($DF276,$DH$9:$DN$508,6,FALSE()))</f>
        <v/>
      </c>
      <c r="DU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IF(ISBLANK($C277),"",IF(E277=Constants!$B$3,TRUE(),IF(E277=Constants!$B$4,FALSE(),TRUE())))</f>
        <v/>
      </c>
      <c r="AG277" s="135" t="str">
        <f aca="false">IF(ISBLANK($C277),"",IF(F277=Constants!$B$3,TRUE(),IF(F277=Constants!$B$4,FALSE(),TRUE())))</f>
        <v/>
      </c>
      <c r="AH277" s="135" t="str">
        <f aca="false">IF(ISBLANK($C277),"",IF(G277=Constants!$B$3,TRUE(),IF(G277=Constants!$B$4,FALSE(),TRUE())))</f>
        <v/>
      </c>
      <c r="AI277" s="135" t="str">
        <f aca="false">IF(ISBLANK($C277),"",IF(AND(ISNUMBER(H277),H277&gt;=0),H277,Constants!$B$29))</f>
        <v/>
      </c>
      <c r="AJ277" s="135" t="str">
        <f aca="false">IF(ISBLANK($C277),"",IF(I277=Constants!$B$3,TRUE(),IF(I277=Constants!$B$4,FALSE(),TRUE())))</f>
        <v/>
      </c>
      <c r="AK277" s="135" t="str">
        <f aca="false">IF(ISBLANK($C277),"",IF(J277=Constants!$B$3,TRUE(),IF(J277=Constants!$B$4,FALSE(),TRUE())))</f>
        <v/>
      </c>
      <c r="AL277" s="135" t="str">
        <f aca="false">IF(ISBLANK($C277),"",IF(K277=Constants!$B$5,TRUE(),IF(K277=Constants!$B$6,FALSE(),COUNTA(L277:P277)&gt;0)))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IF(ISBLANK($C277),"",IF(N277=Constants!$B$3,TRUE(),IF(N277=Constants!$B$4,FALSE(),TRUE())))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IF(ISBLANK($C277),"",IF(P277=Constants!$B$3,TRUE(),IF(P277=Constants!$B$4,FALSE(),FALSE())))</f>
        <v/>
      </c>
      <c r="AR277" s="135" t="str">
        <f aca="false">IF(ISBLANK($C277),"",IF(Q277=Constants!$B$3,TRUE(),IF(Q277=Constants!$B$4,FALSE(),TRUE())))</f>
        <v/>
      </c>
      <c r="AS277" s="135" t="str">
        <f aca="false">IF(ISBLANK($C277),"",IF(R277=Constants!$B$3,TRUE(),IF(R277=Constants!$B$4,FALSE(),TRUE())))</f>
        <v/>
      </c>
      <c r="AT277" s="135" t="str">
        <f aca="false">IF(ISBLANK($C277),"",IF(S277=Constants!$B$5,TRUE(),IF(S277=Constants!$B$6,FALSE(),COUNTA(T277:X277)&gt;0)))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IF(ISBLANK($C277),"",IF(V277=Constants!$B$3,TRUE(),IF(V277=Constants!$B$4,FALSE(),TRUE())))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IF(ISBLANK($C277),"",IF(X277=Constants!$B$3,TRUE(),IF(X277=Constants!$B$4,FALSE(),FALSE())))</f>
        <v/>
      </c>
      <c r="AZ277" s="135" t="str">
        <f aca="false">IF(ISBLANK($C277),"",MIN(Constants!$B$31,MAX(0,IF(ISNUMBER(Y277),Y277*60,0)+IF(ISNUMBER(Z277),Z277,0))))</f>
        <v/>
      </c>
      <c r="BA277" s="135" t="str">
        <f aca="false">IF(ISBLANK($C277),"",IF(AA277=Constants!$B$3,TRUE(),IF(AA277=Constants!$B$4,FALSE(),FALSE())))</f>
        <v/>
      </c>
      <c r="BB277" s="134" t="str">
        <f aca="false">IF(ISBLANK($C277),"",AND($AL277,OR($AM277="",$AN277="",AND($AO277,$AP277=""))))</f>
        <v/>
      </c>
      <c r="BC277" s="137" t="str">
        <f aca="false">IF($BZ277&lt;&gt;Constants!$B$8,"",IF($AL277,Constants!$B$21*$AN277+Constants!$B$22*IF($AO277,$AP277,Constants!$B$23),Constants!$B$24))</f>
        <v/>
      </c>
      <c r="BD277" s="138" t="str">
        <f aca="false">IF($BZ277&lt;&gt;Constants!$B$8,"",Constants!$B$25*ABS($AD$9-IF($AL277,$AM277,0)))</f>
        <v/>
      </c>
      <c r="BE277" s="138" t="str">
        <f aca="false">IF($BZ277&lt;&gt;Constants!$B$8,"",IF(AND($AL277,$AQ277,$AO277),Constants!$B$27,0))</f>
        <v/>
      </c>
      <c r="BF277" s="138" t="str">
        <f aca="false">IF($BZ277&lt;&gt;Constants!$B$8,"",IF($AL277,($AI277-Constants!$B$29)*Constants!$B$28,0))</f>
        <v/>
      </c>
      <c r="BG277" s="138" t="str">
        <f aca="false">IF($BZ277&lt;&gt;Constants!$B$8,"",IF($AK277,0,Constants!$B$15)+IF($AJ277,0,Constants!$B$16)+IF($AH277,0,Constants!$B$17))</f>
        <v/>
      </c>
      <c r="BH277" s="139" t="str">
        <f aca="false">IF($BZ277&lt;&gt;Constants!$B$8,"",Constants!$B$20+SUM($BC277:$BG277))</f>
        <v/>
      </c>
      <c r="BI277" s="138" t="str">
        <f aca="false">IF($BZ277&lt;&gt;Constants!$B$8,"",$BC277)</f>
        <v/>
      </c>
      <c r="BJ277" s="138" t="str">
        <f aca="false">IF($BZ277&lt;&gt;Constants!$B$8,"",$BD277)</f>
        <v/>
      </c>
      <c r="BK277" s="138" t="str">
        <f aca="false">IF($BZ277&lt;&gt;Constants!$B$8,"",IF($AL277,$AN277,""))</f>
        <v/>
      </c>
      <c r="BL277" s="140" t="str">
        <f aca="false">IF($BZ277&lt;&gt;Constants!$B$8,"",$AI277)</f>
        <v/>
      </c>
      <c r="BM277" s="135" t="str">
        <f aca="false">IF($BZ277&lt;&gt;Constants!$B$8,"",IF(OR($BT277&lt;$BH277,AND($BT277=$BH277,OR($BU277&lt;$BI277,AND($BU277=$BI277,OR($BV277&lt;$BJ277,AND($BV277=$BJ277,OR(AND(ISNUMBER($BW277),OR(NOT(ISNUMBER($BK277)),$BW277&lt;$BK277)),AND(OR(AND($BW277="",$BK277=""),AND(ISNUMBER($BW277),ISNUMBER($BK277),$BW277=$BK277)),$BX277&lt;$BL277)))))))),"-&gt;","&lt;-"))</f>
        <v/>
      </c>
      <c r="BN277" s="134" t="str">
        <f aca="false">IF(ISBLANK($C277),"",AND($AT277,OR($AU277="",$AV277="",AND($AW277,$AX277=""))))</f>
        <v/>
      </c>
      <c r="BO277" s="137" t="str">
        <f aca="false">IF($BZ277&lt;&gt;Constants!$B$8,"",IF($AT277,Constants!$B$21*$AV277+Constants!$B$22*IF($AW277,$AX277,Constants!$B$23),Constants!$B$24))</f>
        <v/>
      </c>
      <c r="BP277" s="138" t="str">
        <f aca="false">IF($BZ277&lt;&gt;Constants!$B$8,"",Constants!$B$25*ABS($AD$9-IF($AT277,$AU277,0)))</f>
        <v/>
      </c>
      <c r="BQ277" s="138" t="str">
        <f aca="false">IF($BZ277&lt;&gt;Constants!$B$8,"",IF(AND($AT277,$AY277,$AW277),Constants!$B$27,0))</f>
        <v/>
      </c>
      <c r="BR277" s="138" t="str">
        <f aca="false">IF($BZ277&lt;&gt;Constants!$B$8,"",IF($AT277,($AI277-Constants!$B$29)*Constants!$B$28,0))</f>
        <v/>
      </c>
      <c r="BS277" s="138" t="str">
        <f aca="false">IF($BZ277&lt;&gt;Constants!$B$8,"",IF($AS277,0,Constants!$B$15)+IF($AR277,0,Constants!$B$16)+IF($AH277,0,Constants!$B$17))</f>
        <v/>
      </c>
      <c r="BT277" s="139" t="str">
        <f aca="false">IF($BZ277&lt;&gt;Constants!$B$8,"",Constants!$B$20+SUM($BO277:$BS277))</f>
        <v/>
      </c>
      <c r="BU277" s="138" t="str">
        <f aca="false">IF($BZ277&lt;&gt;Constants!$B$8,"",$BO277)</f>
        <v/>
      </c>
      <c r="BV277" s="138" t="str">
        <f aca="false">IF($BZ277&lt;&gt;Constants!$B$8,"",$BP277)</f>
        <v/>
      </c>
      <c r="BW277" s="138" t="str">
        <f aca="false">IF($BZ277&lt;&gt;Constants!$B$8,"",IF($AT277,$AV277,""))</f>
        <v/>
      </c>
      <c r="BX277" s="140" t="str">
        <f aca="false">IF($BZ277&lt;&gt;Constants!$B$8,"",$AI277)</f>
        <v/>
      </c>
      <c r="BY277" s="135" t="str">
        <f aca="false">IF(ISBLANK($C277),"",IF(ISBLANK($D$7),$BY$5,IF(NOT(ISNUMBER($D$7)),$BY$6,"")))</f>
        <v/>
      </c>
      <c r="BZ277" s="135" t="str">
        <f aca="false">IF(ISBLANK($C277),"",IF($BA277,Constants!$B$11,IF(COUNTA($E277:$AA277)=0,Constants!$B$10,IF(NOT($AG277),Constants!$B$9,IF(OR($BY277&lt;&gt;"",$BB277,$BN277),Constants!$B$12,Constants!$B$8)))))</f>
        <v/>
      </c>
      <c r="CA277" s="135" t="str">
        <f aca="false">IF(ISBLANK($C277),"",IF($BZ277&lt;&gt;Constants!$B$8,$BZ277,Constants!$B$13))</f>
        <v/>
      </c>
      <c r="CB277" s="138" t="str">
        <f aca="false">IF($BZ277&lt;&gt;Constants!$B$8,"",IF($BM277="-&gt;",$BT277,$BH277))</f>
        <v/>
      </c>
      <c r="CC277" s="138" t="str">
        <f aca="false">IF($BZ277&lt;&gt;Constants!$B$8,"",IF($AF277,0,Constants!$B$18))</f>
        <v/>
      </c>
      <c r="CD277" s="138" t="str">
        <f aca="false">IF($BZ277&lt;&gt;Constants!$B$8,"",((Constants!$B$31-$AZ277)-Constants!$B$31)/Constants!$B$32)</f>
        <v/>
      </c>
      <c r="CE277" s="138" t="str">
        <f aca="false">IF(ISBLANK($C277),"",IF($BZ277&lt;&gt;Constants!$B$8,$BZ277,SUM($CB277:$CD277)))</f>
        <v/>
      </c>
      <c r="CF277" s="135" t="str">
        <f aca="false">IF(ISBLANK($C277),"",IF($BZ277&lt;&gt;Constants!$B$8,$BZ277,RANK($CE277,$CE$9:$CE$508,1)))</f>
        <v/>
      </c>
      <c r="CG277" s="138" t="str">
        <f aca="false">IF($BZ277&lt;&gt;Constants!$B$8,"",IF($BM277="-&gt;",$BU277,$BI277))</f>
        <v/>
      </c>
      <c r="CH277" s="135" t="str">
        <f aca="false">IF(ISBLANK($C277),"",IF($BZ277&lt;&gt;Constants!$B$8,$BZ277,IF(ISNUMBER($CG277),RANK($CG277,$CG$9:$CG$508,1),COUNT($CG$9:$CG$508)+1)))</f>
        <v/>
      </c>
      <c r="CI277" s="138" t="str">
        <f aca="false">IF($BZ277&lt;&gt;Constants!$B$8,"",IF($BM277="-&gt;",$BV277,$BJ277))</f>
        <v/>
      </c>
      <c r="CJ277" s="135" t="str">
        <f aca="false">IF(ISBLANK($C277),"",IF($BZ277&lt;&gt;Constants!$B$8,$BZ277,IF(ISNUMBER($CI277),RANK($CI277,$CI$9:$CI$508,1),COUNT($CI$9:$CI$508)+1)))</f>
        <v/>
      </c>
      <c r="CK277" s="138" t="str">
        <f aca="false">IF($BZ277&lt;&gt;Constants!$B$8,"",IF($BM277="-&gt;",$BW277,$BK277))</f>
        <v/>
      </c>
      <c r="CL277" s="135" t="str">
        <f aca="false">IF(ISBLANK($C277),"",IF($BZ277&lt;&gt;Constants!$B$8,$BZ277,IF(ISNUMBER($CK277),RANK($CK277,$CK$9:$CK$508,1),COUNT($CK$9:$CK$508)+1)))</f>
        <v/>
      </c>
      <c r="CM277" s="138" t="str">
        <f aca="false">IF($BZ277&lt;&gt;Constants!$B$8,"",IF(AND(NOT($AL277),NOT($AT277),$AJ277,$AK277,$AR277,$AS277),"",IF($BM277="-&gt;",$BX277,$BL277)))</f>
        <v/>
      </c>
      <c r="CN277" s="135" t="str">
        <f aca="false">IF(ISBLANK($C277),"",IF($BZ277&lt;&gt;Constants!$B$8,$BZ277,IF(ISNUMBER($CM277),RANK($CM277,$CM$9:$CM$508,1),COUNT($CM$9:$CM$508)+1)))</f>
        <v/>
      </c>
      <c r="CO277" s="135" t="str">
        <f aca="false">IF(ISBLANK($C277),"",IF($BZ277&lt;&gt;Constants!$B$8,$BZ277,COUNTIFS($CF$9:$CF$508,"&lt;"&amp;$CF277)+COUNTIFS($CF$9:$CF$508,$CF277,$CH$9:$CH$508,"&lt;"&amp;$CH277)+COUNTIFS($CF$9:$CF$508,$CF277,$CH$9:$CH$508,$CH277,$CJ$9:$CJ$508,"&lt;"&amp;$CJ277)+COUNTIFS($CF$9:$CF$508,$CF277,$CH$9:$CH$508,$CH277,$CJ$9:$CJ$508,$CJ277,$CL$9:$CL$508,"&lt;"&amp;$CL277)+COUNTIFS($CF$9:$CF$508,$CF277,$CH$9:$CH$508,$CH277,$CJ$9:$CJ$508,$CJ277,$CL$9:$CL$508,$CL277,$CN$9:$CN$508,"&lt;"&amp;$CN277)+1))</f>
        <v/>
      </c>
      <c r="CP277" s="135" t="str">
        <f aca="false">IF(ISBLANK($C277),"",IF($BZ277&lt;&gt;Constants!$B$8,$BZ277,$CF277-$CO277))</f>
        <v/>
      </c>
      <c r="CQ277" s="141"/>
      <c r="CR277" s="142"/>
      <c r="CS277" s="143" t="str">
        <f aca="false">IF(ISBLANK($C277),"",IF($BZ277=Constants!$B$12,$BY277,""))</f>
        <v/>
      </c>
      <c r="CT277" s="142" t="str">
        <f aca="false">IF(ISBLANK($C277),"",IF($BZ277&lt;&gt;Constants!$B$8,"",IF($BM277="-&gt;",2,1)))</f>
        <v/>
      </c>
      <c r="CU277" s="144" t="str">
        <f aca="false">IF(ISBLANK($C277),"",IF($BZ277&lt;&gt;Constants!$B$8,"",IF($BM277="-&gt;",$BO277,$BC277)))</f>
        <v/>
      </c>
      <c r="CV277" s="144" t="str">
        <f aca="false">IF(ISBLANK($C277),"",IF($BZ277&lt;&gt;Constants!$B$8,"",IF($BM277="-&gt;",$BP277,$BD277)))</f>
        <v/>
      </c>
      <c r="CW277" s="144" t="str">
        <f aca="false">IF(ISBLANK($C277),"",IF($BZ277&lt;&gt;Constants!$B$8,"",IF($BM277="-&gt;",$BQ277+$BR277,$BE277+$BF277)+$CD277))</f>
        <v/>
      </c>
      <c r="CX277" s="144" t="str">
        <f aca="false">IF(ISBLANK($C277),"",IF($BZ277&lt;&gt;Constants!$B$8,"",IF($BM277="-&gt;",$BS277,$BG277)+$CC277))</f>
        <v/>
      </c>
      <c r="CY277" s="145" t="str">
        <f aca="false">IF(ISBLANK($C277),"",IF($BZ277&lt;&gt;Constants!$B$8,$BZ277,$CE277))</f>
        <v/>
      </c>
      <c r="CZ277" s="146" t="str">
        <f aca="false">IF(ISBLANK($C277),"",$CA277)</f>
        <v/>
      </c>
      <c r="DA277" s="147" t="str">
        <f aca="false">IF(ISBLANK($C277),"",$CP277)</f>
        <v/>
      </c>
      <c r="DB277" s="147" t="str">
        <f aca="false">IF(ISBLANK($C277),"",$CO277)</f>
        <v/>
      </c>
      <c r="DC277" s="148" t="str">
        <f aca="false">IF(ISBLANK($C277),"",IFERROR(_xlfn.SWITCH($DB277,Constants!$B$11,COUNTA($C$9:$C$508)+2,Constants!$B$10,COUNTA($C$9:$C$508)+1,Constants!$B$9,COUNTA($C$9:$C$508)),$DB277))</f>
        <v/>
      </c>
      <c r="DD277" s="9"/>
      <c r="DE277" s="149" t="n">
        <f aca="false">IF(OR(ISNUMBER($DB277),$DB277=Constants!$B$11,$DB277=Constants!$B$9,$DB277=Constants!$B$10),1,0)</f>
        <v>0</v>
      </c>
      <c r="DF277" s="149" t="n">
        <v>269</v>
      </c>
      <c r="DG277" s="149" t="str">
        <f aca="false">IF(ISBLANK($C277),"",IF(ISNUMBER($DC277),$DC277+ROW($B277)/1000,""))</f>
        <v/>
      </c>
      <c r="DH277" s="149" t="str">
        <f aca="false">IF(ISNUMBER($DG277),RANK($DG277,$DG$9:$DG$508,1),"")</f>
        <v/>
      </c>
      <c r="DI277" s="149" t="str">
        <f aca="false">IF(ISBLANK($C277),"",$B277)</f>
        <v/>
      </c>
      <c r="DJ277" s="149" t="str">
        <f aca="false">IF(ISBLANK($C277),"",$C277)</f>
        <v/>
      </c>
      <c r="DK277" s="149" t="str">
        <f aca="false">IF(ISBLANK($C277),"",$D277)</f>
        <v/>
      </c>
      <c r="DL277" s="150" t="str">
        <f aca="false">$CZ277</f>
        <v/>
      </c>
      <c r="DM277" s="151" t="str">
        <f aca="false">$CY277</f>
        <v/>
      </c>
      <c r="DN277" s="149" t="str">
        <f aca="false">IF(ISBLANK($C277),"",$DB277)</f>
        <v/>
      </c>
      <c r="DO277" s="152" t="str">
        <f aca="false">IF($DF277&gt;$DE$8,"",VLOOKUP($DF277,$DH$9:$DN$508,7,FALSE()))</f>
        <v/>
      </c>
      <c r="DP277" s="153" t="str">
        <f aca="false">IF($DF277&gt;$DE$8,"",VLOOKUP($DF277,$DH$9:$DN$508,2,FALSE()))</f>
        <v/>
      </c>
      <c r="DQ277" s="153" t="str">
        <f aca="false">IF($DF277&gt;$DE$8,"",VLOOKUP($DF277,$DH$9:$DN$508,3,FALSE()))</f>
        <v/>
      </c>
      <c r="DR277" s="153" t="str">
        <f aca="false">IF($DF277&gt;$DE$8,"",VLOOKUP($DF277,$DH$9:$DN$508,4,FALSE()))</f>
        <v/>
      </c>
      <c r="DS277" s="153" t="str">
        <f aca="false">IF($DF277&gt;$DE$8,"",VLOOKUP($DF277,$DH$9:$DN$508,5,FALSE()))</f>
        <v/>
      </c>
      <c r="DT277" s="154" t="str">
        <f aca="false">IF($DF277&gt;$DE$8,"",VLOOKUP($DF277,$DH$9:$DN$508,6,FALSE()))</f>
        <v/>
      </c>
      <c r="DU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IF(ISBLANK($C278),"",IF(E278=Constants!$B$3,TRUE(),IF(E278=Constants!$B$4,FALSE(),TRUE())))</f>
        <v/>
      </c>
      <c r="AG278" s="135" t="str">
        <f aca="false">IF(ISBLANK($C278),"",IF(F278=Constants!$B$3,TRUE(),IF(F278=Constants!$B$4,FALSE(),TRUE())))</f>
        <v/>
      </c>
      <c r="AH278" s="135" t="str">
        <f aca="false">IF(ISBLANK($C278),"",IF(G278=Constants!$B$3,TRUE(),IF(G278=Constants!$B$4,FALSE(),TRUE())))</f>
        <v/>
      </c>
      <c r="AI278" s="135" t="str">
        <f aca="false">IF(ISBLANK($C278),"",IF(AND(ISNUMBER(H278),H278&gt;=0),H278,Constants!$B$29))</f>
        <v/>
      </c>
      <c r="AJ278" s="135" t="str">
        <f aca="false">IF(ISBLANK($C278),"",IF(I278=Constants!$B$3,TRUE(),IF(I278=Constants!$B$4,FALSE(),TRUE())))</f>
        <v/>
      </c>
      <c r="AK278" s="135" t="str">
        <f aca="false">IF(ISBLANK($C278),"",IF(J278=Constants!$B$3,TRUE(),IF(J278=Constants!$B$4,FALSE(),TRUE())))</f>
        <v/>
      </c>
      <c r="AL278" s="135" t="str">
        <f aca="false">IF(ISBLANK($C278),"",IF(K278=Constants!$B$5,TRUE(),IF(K278=Constants!$B$6,FALSE(),COUNTA(L278:P278)&gt;0)))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IF(ISBLANK($C278),"",IF(N278=Constants!$B$3,TRUE(),IF(N278=Constants!$B$4,FALSE(),TRUE())))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IF(ISBLANK($C278),"",IF(P278=Constants!$B$3,TRUE(),IF(P278=Constants!$B$4,FALSE(),FALSE())))</f>
        <v/>
      </c>
      <c r="AR278" s="135" t="str">
        <f aca="false">IF(ISBLANK($C278),"",IF(Q278=Constants!$B$3,TRUE(),IF(Q278=Constants!$B$4,FALSE(),TRUE())))</f>
        <v/>
      </c>
      <c r="AS278" s="135" t="str">
        <f aca="false">IF(ISBLANK($C278),"",IF(R278=Constants!$B$3,TRUE(),IF(R278=Constants!$B$4,FALSE(),TRUE())))</f>
        <v/>
      </c>
      <c r="AT278" s="135" t="str">
        <f aca="false">IF(ISBLANK($C278),"",IF(S278=Constants!$B$5,TRUE(),IF(S278=Constants!$B$6,FALSE(),COUNTA(T278:X278)&gt;0)))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IF(ISBLANK($C278),"",IF(V278=Constants!$B$3,TRUE(),IF(V278=Constants!$B$4,FALSE(),TRUE())))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IF(ISBLANK($C278),"",IF(X278=Constants!$B$3,TRUE(),IF(X278=Constants!$B$4,FALSE(),FALSE())))</f>
        <v/>
      </c>
      <c r="AZ278" s="135" t="str">
        <f aca="false">IF(ISBLANK($C278),"",MIN(Constants!$B$31,MAX(0,IF(ISNUMBER(Y278),Y278*60,0)+IF(ISNUMBER(Z278),Z278,0))))</f>
        <v/>
      </c>
      <c r="BA278" s="135" t="str">
        <f aca="false">IF(ISBLANK($C278),"",IF(AA278=Constants!$B$3,TRUE(),IF(AA278=Constants!$B$4,FALSE(),FALSE())))</f>
        <v/>
      </c>
      <c r="BB278" s="134" t="str">
        <f aca="false">IF(ISBLANK($C278),"",AND($AL278,OR($AM278="",$AN278="",AND($AO278,$AP278=""))))</f>
        <v/>
      </c>
      <c r="BC278" s="137" t="str">
        <f aca="false">IF($BZ278&lt;&gt;Constants!$B$8,"",IF($AL278,Constants!$B$21*$AN278+Constants!$B$22*IF($AO278,$AP278,Constants!$B$23),Constants!$B$24))</f>
        <v/>
      </c>
      <c r="BD278" s="138" t="str">
        <f aca="false">IF($BZ278&lt;&gt;Constants!$B$8,"",Constants!$B$25*ABS($AD$9-IF($AL278,$AM278,0)))</f>
        <v/>
      </c>
      <c r="BE278" s="138" t="str">
        <f aca="false">IF($BZ278&lt;&gt;Constants!$B$8,"",IF(AND($AL278,$AQ278,$AO278),Constants!$B$27,0))</f>
        <v/>
      </c>
      <c r="BF278" s="138" t="str">
        <f aca="false">IF($BZ278&lt;&gt;Constants!$B$8,"",IF($AL278,($AI278-Constants!$B$29)*Constants!$B$28,0))</f>
        <v/>
      </c>
      <c r="BG278" s="138" t="str">
        <f aca="false">IF($BZ278&lt;&gt;Constants!$B$8,"",IF($AK278,0,Constants!$B$15)+IF($AJ278,0,Constants!$B$16)+IF($AH278,0,Constants!$B$17))</f>
        <v/>
      </c>
      <c r="BH278" s="139" t="str">
        <f aca="false">IF($BZ278&lt;&gt;Constants!$B$8,"",Constants!$B$20+SUM($BC278:$BG278))</f>
        <v/>
      </c>
      <c r="BI278" s="138" t="str">
        <f aca="false">IF($BZ278&lt;&gt;Constants!$B$8,"",$BC278)</f>
        <v/>
      </c>
      <c r="BJ278" s="138" t="str">
        <f aca="false">IF($BZ278&lt;&gt;Constants!$B$8,"",$BD278)</f>
        <v/>
      </c>
      <c r="BK278" s="138" t="str">
        <f aca="false">IF($BZ278&lt;&gt;Constants!$B$8,"",IF($AL278,$AN278,""))</f>
        <v/>
      </c>
      <c r="BL278" s="140" t="str">
        <f aca="false">IF($BZ278&lt;&gt;Constants!$B$8,"",$AI278)</f>
        <v/>
      </c>
      <c r="BM278" s="135" t="str">
        <f aca="false">IF($BZ278&lt;&gt;Constants!$B$8,"",IF(OR($BT278&lt;$BH278,AND($BT278=$BH278,OR($BU278&lt;$BI278,AND($BU278=$BI278,OR($BV278&lt;$BJ278,AND($BV278=$BJ278,OR(AND(ISNUMBER($BW278),OR(NOT(ISNUMBER($BK278)),$BW278&lt;$BK278)),AND(OR(AND($BW278="",$BK278=""),AND(ISNUMBER($BW278),ISNUMBER($BK278),$BW278=$BK278)),$BX278&lt;$BL278)))))))),"-&gt;","&lt;-"))</f>
        <v/>
      </c>
      <c r="BN278" s="134" t="str">
        <f aca="false">IF(ISBLANK($C278),"",AND($AT278,OR($AU278="",$AV278="",AND($AW278,$AX278=""))))</f>
        <v/>
      </c>
      <c r="BO278" s="137" t="str">
        <f aca="false">IF($BZ278&lt;&gt;Constants!$B$8,"",IF($AT278,Constants!$B$21*$AV278+Constants!$B$22*IF($AW278,$AX278,Constants!$B$23),Constants!$B$24))</f>
        <v/>
      </c>
      <c r="BP278" s="138" t="str">
        <f aca="false">IF($BZ278&lt;&gt;Constants!$B$8,"",Constants!$B$25*ABS($AD$9-IF($AT278,$AU278,0)))</f>
        <v/>
      </c>
      <c r="BQ278" s="138" t="str">
        <f aca="false">IF($BZ278&lt;&gt;Constants!$B$8,"",IF(AND($AT278,$AY278,$AW278),Constants!$B$27,0))</f>
        <v/>
      </c>
      <c r="BR278" s="138" t="str">
        <f aca="false">IF($BZ278&lt;&gt;Constants!$B$8,"",IF($AT278,($AI278-Constants!$B$29)*Constants!$B$28,0))</f>
        <v/>
      </c>
      <c r="BS278" s="138" t="str">
        <f aca="false">IF($BZ278&lt;&gt;Constants!$B$8,"",IF($AS278,0,Constants!$B$15)+IF($AR278,0,Constants!$B$16)+IF($AH278,0,Constants!$B$17))</f>
        <v/>
      </c>
      <c r="BT278" s="139" t="str">
        <f aca="false">IF($BZ278&lt;&gt;Constants!$B$8,"",Constants!$B$20+SUM($BO278:$BS278))</f>
        <v/>
      </c>
      <c r="BU278" s="138" t="str">
        <f aca="false">IF($BZ278&lt;&gt;Constants!$B$8,"",$BO278)</f>
        <v/>
      </c>
      <c r="BV278" s="138" t="str">
        <f aca="false">IF($BZ278&lt;&gt;Constants!$B$8,"",$BP278)</f>
        <v/>
      </c>
      <c r="BW278" s="138" t="str">
        <f aca="false">IF($BZ278&lt;&gt;Constants!$B$8,"",IF($AT278,$AV278,""))</f>
        <v/>
      </c>
      <c r="BX278" s="140" t="str">
        <f aca="false">IF($BZ278&lt;&gt;Constants!$B$8,"",$AI278)</f>
        <v/>
      </c>
      <c r="BY278" s="135" t="str">
        <f aca="false">IF(ISBLANK($C278),"",IF(ISBLANK($D$7),$BY$5,IF(NOT(ISNUMBER($D$7)),$BY$6,"")))</f>
        <v/>
      </c>
      <c r="BZ278" s="135" t="str">
        <f aca="false">IF(ISBLANK($C278),"",IF($BA278,Constants!$B$11,IF(COUNTA($E278:$AA278)=0,Constants!$B$10,IF(NOT($AG278),Constants!$B$9,IF(OR($BY278&lt;&gt;"",$BB278,$BN278),Constants!$B$12,Constants!$B$8)))))</f>
        <v/>
      </c>
      <c r="CA278" s="135" t="str">
        <f aca="false">IF(ISBLANK($C278),"",IF($BZ278&lt;&gt;Constants!$B$8,$BZ278,Constants!$B$13))</f>
        <v/>
      </c>
      <c r="CB278" s="138" t="str">
        <f aca="false">IF($BZ278&lt;&gt;Constants!$B$8,"",IF($BM278="-&gt;",$BT278,$BH278))</f>
        <v/>
      </c>
      <c r="CC278" s="138" t="str">
        <f aca="false">IF($BZ278&lt;&gt;Constants!$B$8,"",IF($AF278,0,Constants!$B$18))</f>
        <v/>
      </c>
      <c r="CD278" s="138" t="str">
        <f aca="false">IF($BZ278&lt;&gt;Constants!$B$8,"",((Constants!$B$31-$AZ278)-Constants!$B$31)/Constants!$B$32)</f>
        <v/>
      </c>
      <c r="CE278" s="138" t="str">
        <f aca="false">IF(ISBLANK($C278),"",IF($BZ278&lt;&gt;Constants!$B$8,$BZ278,SUM($CB278:$CD278)))</f>
        <v/>
      </c>
      <c r="CF278" s="135" t="str">
        <f aca="false">IF(ISBLANK($C278),"",IF($BZ278&lt;&gt;Constants!$B$8,$BZ278,RANK($CE278,$CE$9:$CE$508,1)))</f>
        <v/>
      </c>
      <c r="CG278" s="138" t="str">
        <f aca="false">IF($BZ278&lt;&gt;Constants!$B$8,"",IF($BM278="-&gt;",$BU278,$BI278))</f>
        <v/>
      </c>
      <c r="CH278" s="135" t="str">
        <f aca="false">IF(ISBLANK($C278),"",IF($BZ278&lt;&gt;Constants!$B$8,$BZ278,IF(ISNUMBER($CG278),RANK($CG278,$CG$9:$CG$508,1),COUNT($CG$9:$CG$508)+1)))</f>
        <v/>
      </c>
      <c r="CI278" s="138" t="str">
        <f aca="false">IF($BZ278&lt;&gt;Constants!$B$8,"",IF($BM278="-&gt;",$BV278,$BJ278))</f>
        <v/>
      </c>
      <c r="CJ278" s="135" t="str">
        <f aca="false">IF(ISBLANK($C278),"",IF($BZ278&lt;&gt;Constants!$B$8,$BZ278,IF(ISNUMBER($CI278),RANK($CI278,$CI$9:$CI$508,1),COUNT($CI$9:$CI$508)+1)))</f>
        <v/>
      </c>
      <c r="CK278" s="138" t="str">
        <f aca="false">IF($BZ278&lt;&gt;Constants!$B$8,"",IF($BM278="-&gt;",$BW278,$BK278))</f>
        <v/>
      </c>
      <c r="CL278" s="135" t="str">
        <f aca="false">IF(ISBLANK($C278),"",IF($BZ278&lt;&gt;Constants!$B$8,$BZ278,IF(ISNUMBER($CK278),RANK($CK278,$CK$9:$CK$508,1),COUNT($CK$9:$CK$508)+1)))</f>
        <v/>
      </c>
      <c r="CM278" s="138" t="str">
        <f aca="false">IF($BZ278&lt;&gt;Constants!$B$8,"",IF(AND(NOT($AL278),NOT($AT278),$AJ278,$AK278,$AR278,$AS278),"",IF($BM278="-&gt;",$BX278,$BL278)))</f>
        <v/>
      </c>
      <c r="CN278" s="135" t="str">
        <f aca="false">IF(ISBLANK($C278),"",IF($BZ278&lt;&gt;Constants!$B$8,$BZ278,IF(ISNUMBER($CM278),RANK($CM278,$CM$9:$CM$508,1),COUNT($CM$9:$CM$508)+1)))</f>
        <v/>
      </c>
      <c r="CO278" s="135" t="str">
        <f aca="false">IF(ISBLANK($C278),"",IF($BZ278&lt;&gt;Constants!$B$8,$BZ278,COUNTIFS($CF$9:$CF$508,"&lt;"&amp;$CF278)+COUNTIFS($CF$9:$CF$508,$CF278,$CH$9:$CH$508,"&lt;"&amp;$CH278)+COUNTIFS($CF$9:$CF$508,$CF278,$CH$9:$CH$508,$CH278,$CJ$9:$CJ$508,"&lt;"&amp;$CJ278)+COUNTIFS($CF$9:$CF$508,$CF278,$CH$9:$CH$508,$CH278,$CJ$9:$CJ$508,$CJ278,$CL$9:$CL$508,"&lt;"&amp;$CL278)+COUNTIFS($CF$9:$CF$508,$CF278,$CH$9:$CH$508,$CH278,$CJ$9:$CJ$508,$CJ278,$CL$9:$CL$508,$CL278,$CN$9:$CN$508,"&lt;"&amp;$CN278)+1))</f>
        <v/>
      </c>
      <c r="CP278" s="135" t="str">
        <f aca="false">IF(ISBLANK($C278),"",IF($BZ278&lt;&gt;Constants!$B$8,$BZ278,$CF278-$CO278))</f>
        <v/>
      </c>
      <c r="CQ278" s="141"/>
      <c r="CR278" s="142"/>
      <c r="CS278" s="143" t="str">
        <f aca="false">IF(ISBLANK($C278),"",IF($BZ278=Constants!$B$12,$BY278,""))</f>
        <v/>
      </c>
      <c r="CT278" s="142" t="str">
        <f aca="false">IF(ISBLANK($C278),"",IF($BZ278&lt;&gt;Constants!$B$8,"",IF($BM278="-&gt;",2,1)))</f>
        <v/>
      </c>
      <c r="CU278" s="144" t="str">
        <f aca="false">IF(ISBLANK($C278),"",IF($BZ278&lt;&gt;Constants!$B$8,"",IF($BM278="-&gt;",$BO278,$BC278)))</f>
        <v/>
      </c>
      <c r="CV278" s="144" t="str">
        <f aca="false">IF(ISBLANK($C278),"",IF($BZ278&lt;&gt;Constants!$B$8,"",IF($BM278="-&gt;",$BP278,$BD278)))</f>
        <v/>
      </c>
      <c r="CW278" s="144" t="str">
        <f aca="false">IF(ISBLANK($C278),"",IF($BZ278&lt;&gt;Constants!$B$8,"",IF($BM278="-&gt;",$BQ278+$BR278,$BE278+$BF278)+$CD278))</f>
        <v/>
      </c>
      <c r="CX278" s="144" t="str">
        <f aca="false">IF(ISBLANK($C278),"",IF($BZ278&lt;&gt;Constants!$B$8,"",IF($BM278="-&gt;",$BS278,$BG278)+$CC278))</f>
        <v/>
      </c>
      <c r="CY278" s="145" t="str">
        <f aca="false">IF(ISBLANK($C278),"",IF($BZ278&lt;&gt;Constants!$B$8,$BZ278,$CE278))</f>
        <v/>
      </c>
      <c r="CZ278" s="146" t="str">
        <f aca="false">IF(ISBLANK($C278),"",$CA278)</f>
        <v/>
      </c>
      <c r="DA278" s="147" t="str">
        <f aca="false">IF(ISBLANK($C278),"",$CP278)</f>
        <v/>
      </c>
      <c r="DB278" s="147" t="str">
        <f aca="false">IF(ISBLANK($C278),"",$CO278)</f>
        <v/>
      </c>
      <c r="DC278" s="148" t="str">
        <f aca="false">IF(ISBLANK($C278),"",IFERROR(_xlfn.SWITCH($DB278,Constants!$B$11,COUNTA($C$9:$C$508)+2,Constants!$B$10,COUNTA($C$9:$C$508)+1,Constants!$B$9,COUNTA($C$9:$C$508)),$DB278))</f>
        <v/>
      </c>
      <c r="DD278" s="9"/>
      <c r="DE278" s="149" t="n">
        <f aca="false">IF(OR(ISNUMBER($DB278),$DB278=Constants!$B$11,$DB278=Constants!$B$9,$DB278=Constants!$B$10),1,0)</f>
        <v>0</v>
      </c>
      <c r="DF278" s="149" t="n">
        <v>270</v>
      </c>
      <c r="DG278" s="149" t="str">
        <f aca="false">IF(ISBLANK($C278),"",IF(ISNUMBER($DC278),$DC278+ROW($B278)/1000,""))</f>
        <v/>
      </c>
      <c r="DH278" s="149" t="str">
        <f aca="false">IF(ISNUMBER($DG278),RANK($DG278,$DG$9:$DG$508,1),"")</f>
        <v/>
      </c>
      <c r="DI278" s="149" t="str">
        <f aca="false">IF(ISBLANK($C278),"",$B278)</f>
        <v/>
      </c>
      <c r="DJ278" s="149" t="str">
        <f aca="false">IF(ISBLANK($C278),"",$C278)</f>
        <v/>
      </c>
      <c r="DK278" s="149" t="str">
        <f aca="false">IF(ISBLANK($C278),"",$D278)</f>
        <v/>
      </c>
      <c r="DL278" s="150" t="str">
        <f aca="false">$CZ278</f>
        <v/>
      </c>
      <c r="DM278" s="151" t="str">
        <f aca="false">$CY278</f>
        <v/>
      </c>
      <c r="DN278" s="149" t="str">
        <f aca="false">IF(ISBLANK($C278),"",$DB278)</f>
        <v/>
      </c>
      <c r="DO278" s="152" t="str">
        <f aca="false">IF($DF278&gt;$DE$8,"",VLOOKUP($DF278,$DH$9:$DN$508,7,FALSE()))</f>
        <v/>
      </c>
      <c r="DP278" s="153" t="str">
        <f aca="false">IF($DF278&gt;$DE$8,"",VLOOKUP($DF278,$DH$9:$DN$508,2,FALSE()))</f>
        <v/>
      </c>
      <c r="DQ278" s="153" t="str">
        <f aca="false">IF($DF278&gt;$DE$8,"",VLOOKUP($DF278,$DH$9:$DN$508,3,FALSE()))</f>
        <v/>
      </c>
      <c r="DR278" s="153" t="str">
        <f aca="false">IF($DF278&gt;$DE$8,"",VLOOKUP($DF278,$DH$9:$DN$508,4,FALSE()))</f>
        <v/>
      </c>
      <c r="DS278" s="153" t="str">
        <f aca="false">IF($DF278&gt;$DE$8,"",VLOOKUP($DF278,$DH$9:$DN$508,5,FALSE()))</f>
        <v/>
      </c>
      <c r="DT278" s="154" t="str">
        <f aca="false">IF($DF278&gt;$DE$8,"",VLOOKUP($DF278,$DH$9:$DN$508,6,FALSE()))</f>
        <v/>
      </c>
      <c r="DU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IF(ISBLANK($C279),"",IF(E279=Constants!$B$3,TRUE(),IF(E279=Constants!$B$4,FALSE(),TRUE())))</f>
        <v/>
      </c>
      <c r="AG279" s="93" t="str">
        <f aca="false">IF(ISBLANK($C279),"",IF(F279=Constants!$B$3,TRUE(),IF(F279=Constants!$B$4,FALSE(),TRUE())))</f>
        <v/>
      </c>
      <c r="AH279" s="93" t="str">
        <f aca="false">IF(ISBLANK($C279),"",IF(G279=Constants!$B$3,TRUE(),IF(G279=Constants!$B$4,FALSE(),TRUE())))</f>
        <v/>
      </c>
      <c r="AI279" s="93" t="str">
        <f aca="false">IF(ISBLANK($C279),"",IF(AND(ISNUMBER(H279),H279&gt;=0),H279,Constants!$B$29))</f>
        <v/>
      </c>
      <c r="AJ279" s="93" t="str">
        <f aca="false">IF(ISBLANK($C279),"",IF(I279=Constants!$B$3,TRUE(),IF(I279=Constants!$B$4,FALSE(),TRUE())))</f>
        <v/>
      </c>
      <c r="AK279" s="93" t="str">
        <f aca="false">IF(ISBLANK($C279),"",IF(J279=Constants!$B$3,TRUE(),IF(J279=Constants!$B$4,FALSE(),TRUE())))</f>
        <v/>
      </c>
      <c r="AL279" s="93" t="str">
        <f aca="false">IF(ISBLANK($C279),"",IF(K279=Constants!$B$5,TRUE(),IF(K279=Constants!$B$6,FALSE(),COUNTA(L279:P279)&gt;0)))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IF(ISBLANK($C279),"",IF(N279=Constants!$B$3,TRUE(),IF(N279=Constants!$B$4,FALSE(),TRUE())))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IF(ISBLANK($C279),"",IF(P279=Constants!$B$3,TRUE(),IF(P279=Constants!$B$4,FALSE(),FALSE())))</f>
        <v/>
      </c>
      <c r="AR279" s="93" t="str">
        <f aca="false">IF(ISBLANK($C279),"",IF(Q279=Constants!$B$3,TRUE(),IF(Q279=Constants!$B$4,FALSE(),TRUE())))</f>
        <v/>
      </c>
      <c r="AS279" s="93" t="str">
        <f aca="false">IF(ISBLANK($C279),"",IF(R279=Constants!$B$3,TRUE(),IF(R279=Constants!$B$4,FALSE(),TRUE())))</f>
        <v/>
      </c>
      <c r="AT279" s="93" t="str">
        <f aca="false">IF(ISBLANK($C279),"",IF(S279=Constants!$B$5,TRUE(),IF(S279=Constants!$B$6,FALSE(),COUNTA(T279:X279)&gt;0)))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IF(ISBLANK($C279),"",IF(V279=Constants!$B$3,TRUE(),IF(V279=Constants!$B$4,FALSE(),TRUE())))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IF(ISBLANK($C279),"",IF(X279=Constants!$B$3,TRUE(),IF(X279=Constants!$B$4,FALSE(),FALSE())))</f>
        <v/>
      </c>
      <c r="AZ279" s="93" t="str">
        <f aca="false">IF(ISBLANK($C279),"",MIN(Constants!$B$31,MAX(0,IF(ISNUMBER(Y279),Y279*60,0)+IF(ISNUMBER(Z279),Z279,0))))</f>
        <v/>
      </c>
      <c r="BA279" s="93" t="str">
        <f aca="false">IF(ISBLANK($C279),"",IF(AA279=Constants!$B$3,TRUE(),IF(AA279=Constants!$B$4,FALSE(),FALSE())))</f>
        <v/>
      </c>
      <c r="BB279" s="92" t="str">
        <f aca="false">IF(ISBLANK($C279),"",AND($AL279,OR($AM279="",$AN279="",AND($AO279,$AP279=""))))</f>
        <v/>
      </c>
      <c r="BC279" s="94" t="str">
        <f aca="false">IF($BZ279&lt;&gt;Constants!$B$8,"",IF($AL279,Constants!$B$21*$AN279+Constants!$B$22*IF($AO279,$AP279,Constants!$B$23),Constants!$B$24))</f>
        <v/>
      </c>
      <c r="BD279" s="97" t="str">
        <f aca="false">IF($BZ279&lt;&gt;Constants!$B$8,"",Constants!$B$25*ABS($AD$9-IF($AL279,$AM279,0)))</f>
        <v/>
      </c>
      <c r="BE279" s="97" t="str">
        <f aca="false">IF($BZ279&lt;&gt;Constants!$B$8,"",IF(AND($AL279,$AQ279,$AO279),Constants!$B$27,0))</f>
        <v/>
      </c>
      <c r="BF279" s="97" t="str">
        <f aca="false">IF($BZ279&lt;&gt;Constants!$B$8,"",IF($AL279,($AI279-Constants!$B$29)*Constants!$B$28,0))</f>
        <v/>
      </c>
      <c r="BG279" s="97" t="str">
        <f aca="false">IF($BZ279&lt;&gt;Constants!$B$8,"",IF($AK279,0,Constants!$B$15)+IF($AJ279,0,Constants!$B$16)+IF($AH279,0,Constants!$B$17))</f>
        <v/>
      </c>
      <c r="BH279" s="98" t="str">
        <f aca="false">IF($BZ279&lt;&gt;Constants!$B$8,"",Constants!$B$20+SUM($BC279:$BG279))</f>
        <v/>
      </c>
      <c r="BI279" s="97" t="str">
        <f aca="false">IF($BZ279&lt;&gt;Constants!$B$8,"",$BC279)</f>
        <v/>
      </c>
      <c r="BJ279" s="97" t="str">
        <f aca="false">IF($BZ279&lt;&gt;Constants!$B$8,"",$BD279)</f>
        <v/>
      </c>
      <c r="BK279" s="97" t="str">
        <f aca="false">IF($BZ279&lt;&gt;Constants!$B$8,"",IF($AL279,$AN279,""))</f>
        <v/>
      </c>
      <c r="BL279" s="99" t="str">
        <f aca="false">IF($BZ279&lt;&gt;Constants!$B$8,"",$AI279)</f>
        <v/>
      </c>
      <c r="BM279" s="93" t="str">
        <f aca="false">IF($BZ279&lt;&gt;Constants!$B$8,"",IF(OR($BT279&lt;$BH279,AND($BT279=$BH279,OR($BU279&lt;$BI279,AND($BU279=$BI279,OR($BV279&lt;$BJ279,AND($BV279=$BJ279,OR(AND(ISNUMBER($BW279),OR(NOT(ISNUMBER($BK279)),$BW279&lt;$BK279)),AND(OR(AND($BW279="",$BK279=""),AND(ISNUMBER($BW279),ISNUMBER($BK279),$BW279=$BK279)),$BX279&lt;$BL279)))))))),"-&gt;","&lt;-"))</f>
        <v/>
      </c>
      <c r="BN279" s="92" t="str">
        <f aca="false">IF(ISBLANK($C279),"",AND($AT279,OR($AU279="",$AV279="",AND($AW279,$AX279=""))))</f>
        <v/>
      </c>
      <c r="BO279" s="94" t="str">
        <f aca="false">IF($BZ279&lt;&gt;Constants!$B$8,"",IF($AT279,Constants!$B$21*$AV279+Constants!$B$22*IF($AW279,$AX279,Constants!$B$23),Constants!$B$24))</f>
        <v/>
      </c>
      <c r="BP279" s="97" t="str">
        <f aca="false">IF($BZ279&lt;&gt;Constants!$B$8,"",Constants!$B$25*ABS($AD$9-IF($AT279,$AU279,0)))</f>
        <v/>
      </c>
      <c r="BQ279" s="97" t="str">
        <f aca="false">IF($BZ279&lt;&gt;Constants!$B$8,"",IF(AND($AT279,$AY279,$AW279),Constants!$B$27,0))</f>
        <v/>
      </c>
      <c r="BR279" s="97" t="str">
        <f aca="false">IF($BZ279&lt;&gt;Constants!$B$8,"",IF($AT279,($AI279-Constants!$B$29)*Constants!$B$28,0))</f>
        <v/>
      </c>
      <c r="BS279" s="97" t="str">
        <f aca="false">IF($BZ279&lt;&gt;Constants!$B$8,"",IF($AS279,0,Constants!$B$15)+IF($AR279,0,Constants!$B$16)+IF($AH279,0,Constants!$B$17))</f>
        <v/>
      </c>
      <c r="BT279" s="98" t="str">
        <f aca="false">IF($BZ279&lt;&gt;Constants!$B$8,"",Constants!$B$20+SUM($BO279:$BS279))</f>
        <v/>
      </c>
      <c r="BU279" s="97" t="str">
        <f aca="false">IF($BZ279&lt;&gt;Constants!$B$8,"",$BO279)</f>
        <v/>
      </c>
      <c r="BV279" s="97" t="str">
        <f aca="false">IF($BZ279&lt;&gt;Constants!$B$8,"",$BP279)</f>
        <v/>
      </c>
      <c r="BW279" s="97" t="str">
        <f aca="false">IF($BZ279&lt;&gt;Constants!$B$8,"",IF($AT279,$AV279,""))</f>
        <v/>
      </c>
      <c r="BX279" s="99" t="str">
        <f aca="false">IF($BZ279&lt;&gt;Constants!$B$8,"",$AI279)</f>
        <v/>
      </c>
      <c r="BY279" s="93" t="str">
        <f aca="false">IF(ISBLANK($C279),"",IF(ISBLANK($D$7),$BY$5,IF(NOT(ISNUMBER($D$7)),$BY$6,"")))</f>
        <v/>
      </c>
      <c r="BZ279" s="93" t="str">
        <f aca="false">IF(ISBLANK($C279),"",IF($BA279,Constants!$B$11,IF(COUNTA($E279:$AA279)=0,Constants!$B$10,IF(NOT($AG279),Constants!$B$9,IF(OR($BY279&lt;&gt;"",$BB279,$BN279),Constants!$B$12,Constants!$B$8)))))</f>
        <v/>
      </c>
      <c r="CA279" s="93" t="str">
        <f aca="false">IF(ISBLANK($C279),"",IF($BZ279&lt;&gt;Constants!$B$8,$BZ279,Constants!$B$13))</f>
        <v/>
      </c>
      <c r="CB279" s="97" t="str">
        <f aca="false">IF($BZ279&lt;&gt;Constants!$B$8,"",IF($BM279="-&gt;",$BT279,$BH279))</f>
        <v/>
      </c>
      <c r="CC279" s="97" t="str">
        <f aca="false">IF($BZ279&lt;&gt;Constants!$B$8,"",IF($AF279,0,Constants!$B$18))</f>
        <v/>
      </c>
      <c r="CD279" s="97" t="str">
        <f aca="false">IF($BZ279&lt;&gt;Constants!$B$8,"",((Constants!$B$31-$AZ279)-Constants!$B$31)/Constants!$B$32)</f>
        <v/>
      </c>
      <c r="CE279" s="97" t="str">
        <f aca="false">IF(ISBLANK($C279),"",IF($BZ279&lt;&gt;Constants!$B$8,$BZ279,SUM($CB279:$CD279)))</f>
        <v/>
      </c>
      <c r="CF279" s="93" t="str">
        <f aca="false">IF(ISBLANK($C279),"",IF($BZ279&lt;&gt;Constants!$B$8,$BZ279,RANK($CE279,$CE$9:$CE$508,1)))</f>
        <v/>
      </c>
      <c r="CG279" s="97" t="str">
        <f aca="false">IF($BZ279&lt;&gt;Constants!$B$8,"",IF($BM279="-&gt;",$BU279,$BI279))</f>
        <v/>
      </c>
      <c r="CH279" s="93" t="str">
        <f aca="false">IF(ISBLANK($C279),"",IF($BZ279&lt;&gt;Constants!$B$8,$BZ279,IF(ISNUMBER($CG279),RANK($CG279,$CG$9:$CG$508,1),COUNT($CG$9:$CG$508)+1)))</f>
        <v/>
      </c>
      <c r="CI279" s="97" t="str">
        <f aca="false">IF($BZ279&lt;&gt;Constants!$B$8,"",IF($BM279="-&gt;",$BV279,$BJ279))</f>
        <v/>
      </c>
      <c r="CJ279" s="93" t="str">
        <f aca="false">IF(ISBLANK($C279),"",IF($BZ279&lt;&gt;Constants!$B$8,$BZ279,IF(ISNUMBER($CI279),RANK($CI279,$CI$9:$CI$508,1),COUNT($CI$9:$CI$508)+1)))</f>
        <v/>
      </c>
      <c r="CK279" s="97" t="str">
        <f aca="false">IF($BZ279&lt;&gt;Constants!$B$8,"",IF($BM279="-&gt;",$BW279,$BK279))</f>
        <v/>
      </c>
      <c r="CL279" s="93" t="str">
        <f aca="false">IF(ISBLANK($C279),"",IF($BZ279&lt;&gt;Constants!$B$8,$BZ279,IF(ISNUMBER($CK279),RANK($CK279,$CK$9:$CK$508,1),COUNT($CK$9:$CK$508)+1)))</f>
        <v/>
      </c>
      <c r="CM279" s="97" t="str">
        <f aca="false">IF($BZ279&lt;&gt;Constants!$B$8,"",IF(AND(NOT($AL279),NOT($AT279),$AJ279,$AK279,$AR279,$AS279),"",IF($BM279="-&gt;",$BX279,$BL279)))</f>
        <v/>
      </c>
      <c r="CN279" s="93" t="str">
        <f aca="false">IF(ISBLANK($C279),"",IF($BZ279&lt;&gt;Constants!$B$8,$BZ279,IF(ISNUMBER($CM279),RANK($CM279,$CM$9:$CM$508,1),COUNT($CM$9:$CM$508)+1)))</f>
        <v/>
      </c>
      <c r="CO279" s="93" t="str">
        <f aca="false">IF(ISBLANK($C279),"",IF($BZ279&lt;&gt;Constants!$B$8,$BZ279,COUNTIFS($CF$9:$CF$508,"&lt;"&amp;$CF279)+COUNTIFS($CF$9:$CF$508,$CF279,$CH$9:$CH$508,"&lt;"&amp;$CH279)+COUNTIFS($CF$9:$CF$508,$CF279,$CH$9:$CH$508,$CH279,$CJ$9:$CJ$508,"&lt;"&amp;$CJ279)+COUNTIFS($CF$9:$CF$508,$CF279,$CH$9:$CH$508,$CH279,$CJ$9:$CJ$508,$CJ279,$CL$9:$CL$508,"&lt;"&amp;$CL279)+COUNTIFS($CF$9:$CF$508,$CF279,$CH$9:$CH$508,$CH279,$CJ$9:$CJ$508,$CJ279,$CL$9:$CL$508,$CL279,$CN$9:$CN$508,"&lt;"&amp;$CN279)+1))</f>
        <v/>
      </c>
      <c r="CP279" s="93" t="str">
        <f aca="false">IF(ISBLANK($C279),"",IF($BZ279&lt;&gt;Constants!$B$8,$BZ279,$CF279-$CO279))</f>
        <v/>
      </c>
      <c r="CQ279" s="100"/>
      <c r="CR279" s="101"/>
      <c r="CS279" s="102" t="str">
        <f aca="false">IF(ISBLANK($C279),"",IF($BZ279=Constants!$B$12,$BY279,""))</f>
        <v/>
      </c>
      <c r="CT279" s="101" t="str">
        <f aca="false">IF(ISBLANK($C279),"",IF($BZ279&lt;&gt;Constants!$B$8,"",IF($BM279="-&gt;",2,1)))</f>
        <v/>
      </c>
      <c r="CU279" s="103" t="str">
        <f aca="false">IF(ISBLANK($C279),"",IF($BZ279&lt;&gt;Constants!$B$8,"",IF($BM279="-&gt;",$BO279,$BC279)))</f>
        <v/>
      </c>
      <c r="CV279" s="103" t="str">
        <f aca="false">IF(ISBLANK($C279),"",IF($BZ279&lt;&gt;Constants!$B$8,"",IF($BM279="-&gt;",$BP279,$BD279)))</f>
        <v/>
      </c>
      <c r="CW279" s="103" t="str">
        <f aca="false">IF(ISBLANK($C279),"",IF($BZ279&lt;&gt;Constants!$B$8,"",IF($BM279="-&gt;",$BQ279+$BR279,$BE279+$BF279)+$CD279))</f>
        <v/>
      </c>
      <c r="CX279" s="103" t="str">
        <f aca="false">IF(ISBLANK($C279),"",IF($BZ279&lt;&gt;Constants!$B$8,"",IF($BM279="-&gt;",$BS279,$BG279)+$CC279))</f>
        <v/>
      </c>
      <c r="CY279" s="104" t="str">
        <f aca="false">IF(ISBLANK($C279),"",IF($BZ279&lt;&gt;Constants!$B$8,$BZ279,$CE279))</f>
        <v/>
      </c>
      <c r="CZ279" s="105" t="str">
        <f aca="false">IF(ISBLANK($C279),"",$CA279)</f>
        <v/>
      </c>
      <c r="DA279" s="106" t="str">
        <f aca="false">IF(ISBLANK($C279),"",$CP279)</f>
        <v/>
      </c>
      <c r="DB279" s="106" t="str">
        <f aca="false">IF(ISBLANK($C279),"",$CO279)</f>
        <v/>
      </c>
      <c r="DC279" s="107" t="str">
        <f aca="false">IF(ISBLANK($C279),"",IFERROR(_xlfn.SWITCH($DB279,Constants!$B$11,COUNTA($C$9:$C$508)+2,Constants!$B$10,COUNTA($C$9:$C$508)+1,Constants!$B$9,COUNTA($C$9:$C$508)),$DB279))</f>
        <v/>
      </c>
      <c r="DD279" s="9"/>
      <c r="DE279" s="108" t="n">
        <f aca="false">IF(OR(ISNUMBER($DB279),$DB279=Constants!$B$11,$DB279=Constants!$B$9,$DB279=Constants!$B$10),1,0)</f>
        <v>0</v>
      </c>
      <c r="DF279" s="108" t="n">
        <v>271</v>
      </c>
      <c r="DG279" s="108" t="str">
        <f aca="false">IF(ISBLANK($C279),"",IF(ISNUMBER($DC279),$DC279+ROW($B279)/1000,""))</f>
        <v/>
      </c>
      <c r="DH279" s="108" t="str">
        <f aca="false">IF(ISNUMBER($DG279),RANK($DG279,$DG$9:$DG$508,1),"")</f>
        <v/>
      </c>
      <c r="DI279" s="108" t="str">
        <f aca="false">IF(ISBLANK($C279),"",$B279)</f>
        <v/>
      </c>
      <c r="DJ279" s="108" t="str">
        <f aca="false">IF(ISBLANK($C279),"",$C279)</f>
        <v/>
      </c>
      <c r="DK279" s="108" t="str">
        <f aca="false">IF(ISBLANK($C279),"",$D279)</f>
        <v/>
      </c>
      <c r="DL279" s="109" t="str">
        <f aca="false">$CZ279</f>
        <v/>
      </c>
      <c r="DM279" s="110" t="str">
        <f aca="false">$CY279</f>
        <v/>
      </c>
      <c r="DN279" s="108" t="str">
        <f aca="false">IF(ISBLANK($C279),"",$DB279)</f>
        <v/>
      </c>
      <c r="DO279" s="111" t="str">
        <f aca="false">IF($DF279&gt;$DE$8,"",VLOOKUP($DF279,$DH$9:$DN$508,7,FALSE()))</f>
        <v/>
      </c>
      <c r="DP279" s="112" t="str">
        <f aca="false">IF($DF279&gt;$DE$8,"",VLOOKUP($DF279,$DH$9:$DN$508,2,FALSE()))</f>
        <v/>
      </c>
      <c r="DQ279" s="112" t="str">
        <f aca="false">IF($DF279&gt;$DE$8,"",VLOOKUP($DF279,$DH$9:$DN$508,3,FALSE()))</f>
        <v/>
      </c>
      <c r="DR279" s="112" t="str">
        <f aca="false">IF($DF279&gt;$DE$8,"",VLOOKUP($DF279,$DH$9:$DN$508,4,FALSE()))</f>
        <v/>
      </c>
      <c r="DS279" s="112" t="str">
        <f aca="false">IF($DF279&gt;$DE$8,"",VLOOKUP($DF279,$DH$9:$DN$508,5,FALSE()))</f>
        <v/>
      </c>
      <c r="DT279" s="113" t="str">
        <f aca="false">IF($DF279&gt;$DE$8,"",VLOOKUP($DF279,$DH$9:$DN$508,6,FALSE()))</f>
        <v/>
      </c>
      <c r="DU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IF(ISBLANK($C280),"",IF(E280=Constants!$B$3,TRUE(),IF(E280=Constants!$B$4,FALSE(),TRUE())))</f>
        <v/>
      </c>
      <c r="AG280" s="93" t="str">
        <f aca="false">IF(ISBLANK($C280),"",IF(F280=Constants!$B$3,TRUE(),IF(F280=Constants!$B$4,FALSE(),TRUE())))</f>
        <v/>
      </c>
      <c r="AH280" s="93" t="str">
        <f aca="false">IF(ISBLANK($C280),"",IF(G280=Constants!$B$3,TRUE(),IF(G280=Constants!$B$4,FALSE(),TRUE())))</f>
        <v/>
      </c>
      <c r="AI280" s="93" t="str">
        <f aca="false">IF(ISBLANK($C280),"",IF(AND(ISNUMBER(H280),H280&gt;=0),H280,Constants!$B$29))</f>
        <v/>
      </c>
      <c r="AJ280" s="93" t="str">
        <f aca="false">IF(ISBLANK($C280),"",IF(I280=Constants!$B$3,TRUE(),IF(I280=Constants!$B$4,FALSE(),TRUE())))</f>
        <v/>
      </c>
      <c r="AK280" s="93" t="str">
        <f aca="false">IF(ISBLANK($C280),"",IF(J280=Constants!$B$3,TRUE(),IF(J280=Constants!$B$4,FALSE(),TRUE())))</f>
        <v/>
      </c>
      <c r="AL280" s="93" t="str">
        <f aca="false">IF(ISBLANK($C280),"",IF(K280=Constants!$B$5,TRUE(),IF(K280=Constants!$B$6,FALSE(),COUNTA(L280:P280)&gt;0)))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IF(ISBLANK($C280),"",IF(N280=Constants!$B$3,TRUE(),IF(N280=Constants!$B$4,FALSE(),TRUE())))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IF(ISBLANK($C280),"",IF(P280=Constants!$B$3,TRUE(),IF(P280=Constants!$B$4,FALSE(),FALSE())))</f>
        <v/>
      </c>
      <c r="AR280" s="93" t="str">
        <f aca="false">IF(ISBLANK($C280),"",IF(Q280=Constants!$B$3,TRUE(),IF(Q280=Constants!$B$4,FALSE(),TRUE())))</f>
        <v/>
      </c>
      <c r="AS280" s="93" t="str">
        <f aca="false">IF(ISBLANK($C280),"",IF(R280=Constants!$B$3,TRUE(),IF(R280=Constants!$B$4,FALSE(),TRUE())))</f>
        <v/>
      </c>
      <c r="AT280" s="93" t="str">
        <f aca="false">IF(ISBLANK($C280),"",IF(S280=Constants!$B$5,TRUE(),IF(S280=Constants!$B$6,FALSE(),COUNTA(T280:X280)&gt;0)))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IF(ISBLANK($C280),"",IF(V280=Constants!$B$3,TRUE(),IF(V280=Constants!$B$4,FALSE(),TRUE())))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IF(ISBLANK($C280),"",IF(X280=Constants!$B$3,TRUE(),IF(X280=Constants!$B$4,FALSE(),FALSE())))</f>
        <v/>
      </c>
      <c r="AZ280" s="93" t="str">
        <f aca="false">IF(ISBLANK($C280),"",MIN(Constants!$B$31,MAX(0,IF(ISNUMBER(Y280),Y280*60,0)+IF(ISNUMBER(Z280),Z280,0))))</f>
        <v/>
      </c>
      <c r="BA280" s="93" t="str">
        <f aca="false">IF(ISBLANK($C280),"",IF(AA280=Constants!$B$3,TRUE(),IF(AA280=Constants!$B$4,FALSE(),FALSE())))</f>
        <v/>
      </c>
      <c r="BB280" s="92" t="str">
        <f aca="false">IF(ISBLANK($C280),"",AND($AL280,OR($AM280="",$AN280="",AND($AO280,$AP280=""))))</f>
        <v/>
      </c>
      <c r="BC280" s="94" t="str">
        <f aca="false">IF($BZ280&lt;&gt;Constants!$B$8,"",IF($AL280,Constants!$B$21*$AN280+Constants!$B$22*IF($AO280,$AP280,Constants!$B$23),Constants!$B$24))</f>
        <v/>
      </c>
      <c r="BD280" s="97" t="str">
        <f aca="false">IF($BZ280&lt;&gt;Constants!$B$8,"",Constants!$B$25*ABS($AD$9-IF($AL280,$AM280,0)))</f>
        <v/>
      </c>
      <c r="BE280" s="97" t="str">
        <f aca="false">IF($BZ280&lt;&gt;Constants!$B$8,"",IF(AND($AL280,$AQ280,$AO280),Constants!$B$27,0))</f>
        <v/>
      </c>
      <c r="BF280" s="97" t="str">
        <f aca="false">IF($BZ280&lt;&gt;Constants!$B$8,"",IF($AL280,($AI280-Constants!$B$29)*Constants!$B$28,0))</f>
        <v/>
      </c>
      <c r="BG280" s="97" t="str">
        <f aca="false">IF($BZ280&lt;&gt;Constants!$B$8,"",IF($AK280,0,Constants!$B$15)+IF($AJ280,0,Constants!$B$16)+IF($AH280,0,Constants!$B$17))</f>
        <v/>
      </c>
      <c r="BH280" s="98" t="str">
        <f aca="false">IF($BZ280&lt;&gt;Constants!$B$8,"",Constants!$B$20+SUM($BC280:$BG280))</f>
        <v/>
      </c>
      <c r="BI280" s="97" t="str">
        <f aca="false">IF($BZ280&lt;&gt;Constants!$B$8,"",$BC280)</f>
        <v/>
      </c>
      <c r="BJ280" s="97" t="str">
        <f aca="false">IF($BZ280&lt;&gt;Constants!$B$8,"",$BD280)</f>
        <v/>
      </c>
      <c r="BK280" s="97" t="str">
        <f aca="false">IF($BZ280&lt;&gt;Constants!$B$8,"",IF($AL280,$AN280,""))</f>
        <v/>
      </c>
      <c r="BL280" s="99" t="str">
        <f aca="false">IF($BZ280&lt;&gt;Constants!$B$8,"",$AI280)</f>
        <v/>
      </c>
      <c r="BM280" s="93" t="str">
        <f aca="false">IF($BZ280&lt;&gt;Constants!$B$8,"",IF(OR($BT280&lt;$BH280,AND($BT280=$BH280,OR($BU280&lt;$BI280,AND($BU280=$BI280,OR($BV280&lt;$BJ280,AND($BV280=$BJ280,OR(AND(ISNUMBER($BW280),OR(NOT(ISNUMBER($BK280)),$BW280&lt;$BK280)),AND(OR(AND($BW280="",$BK280=""),AND(ISNUMBER($BW280),ISNUMBER($BK280),$BW280=$BK280)),$BX280&lt;$BL280)))))))),"-&gt;","&lt;-"))</f>
        <v/>
      </c>
      <c r="BN280" s="92" t="str">
        <f aca="false">IF(ISBLANK($C280),"",AND($AT280,OR($AU280="",$AV280="",AND($AW280,$AX280=""))))</f>
        <v/>
      </c>
      <c r="BO280" s="94" t="str">
        <f aca="false">IF($BZ280&lt;&gt;Constants!$B$8,"",IF($AT280,Constants!$B$21*$AV280+Constants!$B$22*IF($AW280,$AX280,Constants!$B$23),Constants!$B$24))</f>
        <v/>
      </c>
      <c r="BP280" s="97" t="str">
        <f aca="false">IF($BZ280&lt;&gt;Constants!$B$8,"",Constants!$B$25*ABS($AD$9-IF($AT280,$AU280,0)))</f>
        <v/>
      </c>
      <c r="BQ280" s="97" t="str">
        <f aca="false">IF($BZ280&lt;&gt;Constants!$B$8,"",IF(AND($AT280,$AY280,$AW280),Constants!$B$27,0))</f>
        <v/>
      </c>
      <c r="BR280" s="97" t="str">
        <f aca="false">IF($BZ280&lt;&gt;Constants!$B$8,"",IF($AT280,($AI280-Constants!$B$29)*Constants!$B$28,0))</f>
        <v/>
      </c>
      <c r="BS280" s="97" t="str">
        <f aca="false">IF($BZ280&lt;&gt;Constants!$B$8,"",IF($AS280,0,Constants!$B$15)+IF($AR280,0,Constants!$B$16)+IF($AH280,0,Constants!$B$17))</f>
        <v/>
      </c>
      <c r="BT280" s="98" t="str">
        <f aca="false">IF($BZ280&lt;&gt;Constants!$B$8,"",Constants!$B$20+SUM($BO280:$BS280))</f>
        <v/>
      </c>
      <c r="BU280" s="97" t="str">
        <f aca="false">IF($BZ280&lt;&gt;Constants!$B$8,"",$BO280)</f>
        <v/>
      </c>
      <c r="BV280" s="97" t="str">
        <f aca="false">IF($BZ280&lt;&gt;Constants!$B$8,"",$BP280)</f>
        <v/>
      </c>
      <c r="BW280" s="97" t="str">
        <f aca="false">IF($BZ280&lt;&gt;Constants!$B$8,"",IF($AT280,$AV280,""))</f>
        <v/>
      </c>
      <c r="BX280" s="99" t="str">
        <f aca="false">IF($BZ280&lt;&gt;Constants!$B$8,"",$AI280)</f>
        <v/>
      </c>
      <c r="BY280" s="93" t="str">
        <f aca="false">IF(ISBLANK($C280),"",IF(ISBLANK($D$7),$BY$5,IF(NOT(ISNUMBER($D$7)),$BY$6,"")))</f>
        <v/>
      </c>
      <c r="BZ280" s="93" t="str">
        <f aca="false">IF(ISBLANK($C280),"",IF($BA280,Constants!$B$11,IF(COUNTA($E280:$AA280)=0,Constants!$B$10,IF(NOT($AG280),Constants!$B$9,IF(OR($BY280&lt;&gt;"",$BB280,$BN280),Constants!$B$12,Constants!$B$8)))))</f>
        <v/>
      </c>
      <c r="CA280" s="93" t="str">
        <f aca="false">IF(ISBLANK($C280),"",IF($BZ280&lt;&gt;Constants!$B$8,$BZ280,Constants!$B$13))</f>
        <v/>
      </c>
      <c r="CB280" s="97" t="str">
        <f aca="false">IF($BZ280&lt;&gt;Constants!$B$8,"",IF($BM280="-&gt;",$BT280,$BH280))</f>
        <v/>
      </c>
      <c r="CC280" s="97" t="str">
        <f aca="false">IF($BZ280&lt;&gt;Constants!$B$8,"",IF($AF280,0,Constants!$B$18))</f>
        <v/>
      </c>
      <c r="CD280" s="97" t="str">
        <f aca="false">IF($BZ280&lt;&gt;Constants!$B$8,"",((Constants!$B$31-$AZ280)-Constants!$B$31)/Constants!$B$32)</f>
        <v/>
      </c>
      <c r="CE280" s="97" t="str">
        <f aca="false">IF(ISBLANK($C280),"",IF($BZ280&lt;&gt;Constants!$B$8,$BZ280,SUM($CB280:$CD280)))</f>
        <v/>
      </c>
      <c r="CF280" s="93" t="str">
        <f aca="false">IF(ISBLANK($C280),"",IF($BZ280&lt;&gt;Constants!$B$8,$BZ280,RANK($CE280,$CE$9:$CE$508,1)))</f>
        <v/>
      </c>
      <c r="CG280" s="97" t="str">
        <f aca="false">IF($BZ280&lt;&gt;Constants!$B$8,"",IF($BM280="-&gt;",$BU280,$BI280))</f>
        <v/>
      </c>
      <c r="CH280" s="93" t="str">
        <f aca="false">IF(ISBLANK($C280),"",IF($BZ280&lt;&gt;Constants!$B$8,$BZ280,IF(ISNUMBER($CG280),RANK($CG280,$CG$9:$CG$508,1),COUNT($CG$9:$CG$508)+1)))</f>
        <v/>
      </c>
      <c r="CI280" s="97" t="str">
        <f aca="false">IF($BZ280&lt;&gt;Constants!$B$8,"",IF($BM280="-&gt;",$BV280,$BJ280))</f>
        <v/>
      </c>
      <c r="CJ280" s="93" t="str">
        <f aca="false">IF(ISBLANK($C280),"",IF($BZ280&lt;&gt;Constants!$B$8,$BZ280,IF(ISNUMBER($CI280),RANK($CI280,$CI$9:$CI$508,1),COUNT($CI$9:$CI$508)+1)))</f>
        <v/>
      </c>
      <c r="CK280" s="97" t="str">
        <f aca="false">IF($BZ280&lt;&gt;Constants!$B$8,"",IF($BM280="-&gt;",$BW280,$BK280))</f>
        <v/>
      </c>
      <c r="CL280" s="93" t="str">
        <f aca="false">IF(ISBLANK($C280),"",IF($BZ280&lt;&gt;Constants!$B$8,$BZ280,IF(ISNUMBER($CK280),RANK($CK280,$CK$9:$CK$508,1),COUNT($CK$9:$CK$508)+1)))</f>
        <v/>
      </c>
      <c r="CM280" s="97" t="str">
        <f aca="false">IF($BZ280&lt;&gt;Constants!$B$8,"",IF(AND(NOT($AL280),NOT($AT280),$AJ280,$AK280,$AR280,$AS280),"",IF($BM280="-&gt;",$BX280,$BL280)))</f>
        <v/>
      </c>
      <c r="CN280" s="93" t="str">
        <f aca="false">IF(ISBLANK($C280),"",IF($BZ280&lt;&gt;Constants!$B$8,$BZ280,IF(ISNUMBER($CM280),RANK($CM280,$CM$9:$CM$508,1),COUNT($CM$9:$CM$508)+1)))</f>
        <v/>
      </c>
      <c r="CO280" s="93" t="str">
        <f aca="false">IF(ISBLANK($C280),"",IF($BZ280&lt;&gt;Constants!$B$8,$BZ280,COUNTIFS($CF$9:$CF$508,"&lt;"&amp;$CF280)+COUNTIFS($CF$9:$CF$508,$CF280,$CH$9:$CH$508,"&lt;"&amp;$CH280)+COUNTIFS($CF$9:$CF$508,$CF280,$CH$9:$CH$508,$CH280,$CJ$9:$CJ$508,"&lt;"&amp;$CJ280)+COUNTIFS($CF$9:$CF$508,$CF280,$CH$9:$CH$508,$CH280,$CJ$9:$CJ$508,$CJ280,$CL$9:$CL$508,"&lt;"&amp;$CL280)+COUNTIFS($CF$9:$CF$508,$CF280,$CH$9:$CH$508,$CH280,$CJ$9:$CJ$508,$CJ280,$CL$9:$CL$508,$CL280,$CN$9:$CN$508,"&lt;"&amp;$CN280)+1))</f>
        <v/>
      </c>
      <c r="CP280" s="93" t="str">
        <f aca="false">IF(ISBLANK($C280),"",IF($BZ280&lt;&gt;Constants!$B$8,$BZ280,$CF280-$CO280))</f>
        <v/>
      </c>
      <c r="CQ280" s="100"/>
      <c r="CR280" s="101"/>
      <c r="CS280" s="102" t="str">
        <f aca="false">IF(ISBLANK($C280),"",IF($BZ280=Constants!$B$12,$BY280,""))</f>
        <v/>
      </c>
      <c r="CT280" s="101" t="str">
        <f aca="false">IF(ISBLANK($C280),"",IF($BZ280&lt;&gt;Constants!$B$8,"",IF($BM280="-&gt;",2,1)))</f>
        <v/>
      </c>
      <c r="CU280" s="103" t="str">
        <f aca="false">IF(ISBLANK($C280),"",IF($BZ280&lt;&gt;Constants!$B$8,"",IF($BM280="-&gt;",$BO280,$BC280)))</f>
        <v/>
      </c>
      <c r="CV280" s="103" t="str">
        <f aca="false">IF(ISBLANK($C280),"",IF($BZ280&lt;&gt;Constants!$B$8,"",IF($BM280="-&gt;",$BP280,$BD280)))</f>
        <v/>
      </c>
      <c r="CW280" s="103" t="str">
        <f aca="false">IF(ISBLANK($C280),"",IF($BZ280&lt;&gt;Constants!$B$8,"",IF($BM280="-&gt;",$BQ280+$BR280,$BE280+$BF280)+$CD280))</f>
        <v/>
      </c>
      <c r="CX280" s="103" t="str">
        <f aca="false">IF(ISBLANK($C280),"",IF($BZ280&lt;&gt;Constants!$B$8,"",IF($BM280="-&gt;",$BS280,$BG280)+$CC280))</f>
        <v/>
      </c>
      <c r="CY280" s="104" t="str">
        <f aca="false">IF(ISBLANK($C280),"",IF($BZ280&lt;&gt;Constants!$B$8,$BZ280,$CE280))</f>
        <v/>
      </c>
      <c r="CZ280" s="105" t="str">
        <f aca="false">IF(ISBLANK($C280),"",$CA280)</f>
        <v/>
      </c>
      <c r="DA280" s="106" t="str">
        <f aca="false">IF(ISBLANK($C280),"",$CP280)</f>
        <v/>
      </c>
      <c r="DB280" s="106" t="str">
        <f aca="false">IF(ISBLANK($C280),"",$CO280)</f>
        <v/>
      </c>
      <c r="DC280" s="107" t="str">
        <f aca="false">IF(ISBLANK($C280),"",IFERROR(_xlfn.SWITCH($DB280,Constants!$B$11,COUNTA($C$9:$C$508)+2,Constants!$B$10,COUNTA($C$9:$C$508)+1,Constants!$B$9,COUNTA($C$9:$C$508)),$DB280))</f>
        <v/>
      </c>
      <c r="DD280" s="9"/>
      <c r="DE280" s="108" t="n">
        <f aca="false">IF(OR(ISNUMBER($DB280),$DB280=Constants!$B$11,$DB280=Constants!$B$9,$DB280=Constants!$B$10),1,0)</f>
        <v>0</v>
      </c>
      <c r="DF280" s="108" t="n">
        <v>272</v>
      </c>
      <c r="DG280" s="108" t="str">
        <f aca="false">IF(ISBLANK($C280),"",IF(ISNUMBER($DC280),$DC280+ROW($B280)/1000,""))</f>
        <v/>
      </c>
      <c r="DH280" s="108" t="str">
        <f aca="false">IF(ISNUMBER($DG280),RANK($DG280,$DG$9:$DG$508,1),"")</f>
        <v/>
      </c>
      <c r="DI280" s="108" t="str">
        <f aca="false">IF(ISBLANK($C280),"",$B280)</f>
        <v/>
      </c>
      <c r="DJ280" s="108" t="str">
        <f aca="false">IF(ISBLANK($C280),"",$C280)</f>
        <v/>
      </c>
      <c r="DK280" s="108" t="str">
        <f aca="false">IF(ISBLANK($C280),"",$D280)</f>
        <v/>
      </c>
      <c r="DL280" s="109" t="str">
        <f aca="false">$CZ280</f>
        <v/>
      </c>
      <c r="DM280" s="110" t="str">
        <f aca="false">$CY280</f>
        <v/>
      </c>
      <c r="DN280" s="108" t="str">
        <f aca="false">IF(ISBLANK($C280),"",$DB280)</f>
        <v/>
      </c>
      <c r="DO280" s="111" t="str">
        <f aca="false">IF($DF280&gt;$DE$8,"",VLOOKUP($DF280,$DH$9:$DN$508,7,FALSE()))</f>
        <v/>
      </c>
      <c r="DP280" s="112" t="str">
        <f aca="false">IF($DF280&gt;$DE$8,"",VLOOKUP($DF280,$DH$9:$DN$508,2,FALSE()))</f>
        <v/>
      </c>
      <c r="DQ280" s="112" t="str">
        <f aca="false">IF($DF280&gt;$DE$8,"",VLOOKUP($DF280,$DH$9:$DN$508,3,FALSE()))</f>
        <v/>
      </c>
      <c r="DR280" s="112" t="str">
        <f aca="false">IF($DF280&gt;$DE$8,"",VLOOKUP($DF280,$DH$9:$DN$508,4,FALSE()))</f>
        <v/>
      </c>
      <c r="DS280" s="112" t="str">
        <f aca="false">IF($DF280&gt;$DE$8,"",VLOOKUP($DF280,$DH$9:$DN$508,5,FALSE()))</f>
        <v/>
      </c>
      <c r="DT280" s="113" t="str">
        <f aca="false">IF($DF280&gt;$DE$8,"",VLOOKUP($DF280,$DH$9:$DN$508,6,FALSE()))</f>
        <v/>
      </c>
      <c r="DU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IF(ISBLANK($C281),"",IF(E281=Constants!$B$3,TRUE(),IF(E281=Constants!$B$4,FALSE(),TRUE())))</f>
        <v/>
      </c>
      <c r="AG281" s="93" t="str">
        <f aca="false">IF(ISBLANK($C281),"",IF(F281=Constants!$B$3,TRUE(),IF(F281=Constants!$B$4,FALSE(),TRUE())))</f>
        <v/>
      </c>
      <c r="AH281" s="93" t="str">
        <f aca="false">IF(ISBLANK($C281),"",IF(G281=Constants!$B$3,TRUE(),IF(G281=Constants!$B$4,FALSE(),TRUE())))</f>
        <v/>
      </c>
      <c r="AI281" s="93" t="str">
        <f aca="false">IF(ISBLANK($C281),"",IF(AND(ISNUMBER(H281),H281&gt;=0),H281,Constants!$B$29))</f>
        <v/>
      </c>
      <c r="AJ281" s="93" t="str">
        <f aca="false">IF(ISBLANK($C281),"",IF(I281=Constants!$B$3,TRUE(),IF(I281=Constants!$B$4,FALSE(),TRUE())))</f>
        <v/>
      </c>
      <c r="AK281" s="93" t="str">
        <f aca="false">IF(ISBLANK($C281),"",IF(J281=Constants!$B$3,TRUE(),IF(J281=Constants!$B$4,FALSE(),TRUE())))</f>
        <v/>
      </c>
      <c r="AL281" s="93" t="str">
        <f aca="false">IF(ISBLANK($C281),"",IF(K281=Constants!$B$5,TRUE(),IF(K281=Constants!$B$6,FALSE(),COUNTA(L281:P281)&gt;0)))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IF(ISBLANK($C281),"",IF(N281=Constants!$B$3,TRUE(),IF(N281=Constants!$B$4,FALSE(),TRUE())))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IF(ISBLANK($C281),"",IF(P281=Constants!$B$3,TRUE(),IF(P281=Constants!$B$4,FALSE(),FALSE())))</f>
        <v/>
      </c>
      <c r="AR281" s="93" t="str">
        <f aca="false">IF(ISBLANK($C281),"",IF(Q281=Constants!$B$3,TRUE(),IF(Q281=Constants!$B$4,FALSE(),TRUE())))</f>
        <v/>
      </c>
      <c r="AS281" s="93" t="str">
        <f aca="false">IF(ISBLANK($C281),"",IF(R281=Constants!$B$3,TRUE(),IF(R281=Constants!$B$4,FALSE(),TRUE())))</f>
        <v/>
      </c>
      <c r="AT281" s="93" t="str">
        <f aca="false">IF(ISBLANK($C281),"",IF(S281=Constants!$B$5,TRUE(),IF(S281=Constants!$B$6,FALSE(),COUNTA(T281:X281)&gt;0)))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IF(ISBLANK($C281),"",IF(V281=Constants!$B$3,TRUE(),IF(V281=Constants!$B$4,FALSE(),TRUE())))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IF(ISBLANK($C281),"",IF(X281=Constants!$B$3,TRUE(),IF(X281=Constants!$B$4,FALSE(),FALSE())))</f>
        <v/>
      </c>
      <c r="AZ281" s="93" t="str">
        <f aca="false">IF(ISBLANK($C281),"",MIN(Constants!$B$31,MAX(0,IF(ISNUMBER(Y281),Y281*60,0)+IF(ISNUMBER(Z281),Z281,0))))</f>
        <v/>
      </c>
      <c r="BA281" s="93" t="str">
        <f aca="false">IF(ISBLANK($C281),"",IF(AA281=Constants!$B$3,TRUE(),IF(AA281=Constants!$B$4,FALSE(),FALSE())))</f>
        <v/>
      </c>
      <c r="BB281" s="92" t="str">
        <f aca="false">IF(ISBLANK($C281),"",AND($AL281,OR($AM281="",$AN281="",AND($AO281,$AP281=""))))</f>
        <v/>
      </c>
      <c r="BC281" s="94" t="str">
        <f aca="false">IF($BZ281&lt;&gt;Constants!$B$8,"",IF($AL281,Constants!$B$21*$AN281+Constants!$B$22*IF($AO281,$AP281,Constants!$B$23),Constants!$B$24))</f>
        <v/>
      </c>
      <c r="BD281" s="97" t="str">
        <f aca="false">IF($BZ281&lt;&gt;Constants!$B$8,"",Constants!$B$25*ABS($AD$9-IF($AL281,$AM281,0)))</f>
        <v/>
      </c>
      <c r="BE281" s="97" t="str">
        <f aca="false">IF($BZ281&lt;&gt;Constants!$B$8,"",IF(AND($AL281,$AQ281,$AO281),Constants!$B$27,0))</f>
        <v/>
      </c>
      <c r="BF281" s="97" t="str">
        <f aca="false">IF($BZ281&lt;&gt;Constants!$B$8,"",IF($AL281,($AI281-Constants!$B$29)*Constants!$B$28,0))</f>
        <v/>
      </c>
      <c r="BG281" s="97" t="str">
        <f aca="false">IF($BZ281&lt;&gt;Constants!$B$8,"",IF($AK281,0,Constants!$B$15)+IF($AJ281,0,Constants!$B$16)+IF($AH281,0,Constants!$B$17))</f>
        <v/>
      </c>
      <c r="BH281" s="98" t="str">
        <f aca="false">IF($BZ281&lt;&gt;Constants!$B$8,"",Constants!$B$20+SUM($BC281:$BG281))</f>
        <v/>
      </c>
      <c r="BI281" s="97" t="str">
        <f aca="false">IF($BZ281&lt;&gt;Constants!$B$8,"",$BC281)</f>
        <v/>
      </c>
      <c r="BJ281" s="97" t="str">
        <f aca="false">IF($BZ281&lt;&gt;Constants!$B$8,"",$BD281)</f>
        <v/>
      </c>
      <c r="BK281" s="97" t="str">
        <f aca="false">IF($BZ281&lt;&gt;Constants!$B$8,"",IF($AL281,$AN281,""))</f>
        <v/>
      </c>
      <c r="BL281" s="99" t="str">
        <f aca="false">IF($BZ281&lt;&gt;Constants!$B$8,"",$AI281)</f>
        <v/>
      </c>
      <c r="BM281" s="93" t="str">
        <f aca="false">IF($BZ281&lt;&gt;Constants!$B$8,"",IF(OR($BT281&lt;$BH281,AND($BT281=$BH281,OR($BU281&lt;$BI281,AND($BU281=$BI281,OR($BV281&lt;$BJ281,AND($BV281=$BJ281,OR(AND(ISNUMBER($BW281),OR(NOT(ISNUMBER($BK281)),$BW281&lt;$BK281)),AND(OR(AND($BW281="",$BK281=""),AND(ISNUMBER($BW281),ISNUMBER($BK281),$BW281=$BK281)),$BX281&lt;$BL281)))))))),"-&gt;","&lt;-"))</f>
        <v/>
      </c>
      <c r="BN281" s="92" t="str">
        <f aca="false">IF(ISBLANK($C281),"",AND($AT281,OR($AU281="",$AV281="",AND($AW281,$AX281=""))))</f>
        <v/>
      </c>
      <c r="BO281" s="94" t="str">
        <f aca="false">IF($BZ281&lt;&gt;Constants!$B$8,"",IF($AT281,Constants!$B$21*$AV281+Constants!$B$22*IF($AW281,$AX281,Constants!$B$23),Constants!$B$24))</f>
        <v/>
      </c>
      <c r="BP281" s="97" t="str">
        <f aca="false">IF($BZ281&lt;&gt;Constants!$B$8,"",Constants!$B$25*ABS($AD$9-IF($AT281,$AU281,0)))</f>
        <v/>
      </c>
      <c r="BQ281" s="97" t="str">
        <f aca="false">IF($BZ281&lt;&gt;Constants!$B$8,"",IF(AND($AT281,$AY281,$AW281),Constants!$B$27,0))</f>
        <v/>
      </c>
      <c r="BR281" s="97" t="str">
        <f aca="false">IF($BZ281&lt;&gt;Constants!$B$8,"",IF($AT281,($AI281-Constants!$B$29)*Constants!$B$28,0))</f>
        <v/>
      </c>
      <c r="BS281" s="97" t="str">
        <f aca="false">IF($BZ281&lt;&gt;Constants!$B$8,"",IF($AS281,0,Constants!$B$15)+IF($AR281,0,Constants!$B$16)+IF($AH281,0,Constants!$B$17))</f>
        <v/>
      </c>
      <c r="BT281" s="98" t="str">
        <f aca="false">IF($BZ281&lt;&gt;Constants!$B$8,"",Constants!$B$20+SUM($BO281:$BS281))</f>
        <v/>
      </c>
      <c r="BU281" s="97" t="str">
        <f aca="false">IF($BZ281&lt;&gt;Constants!$B$8,"",$BO281)</f>
        <v/>
      </c>
      <c r="BV281" s="97" t="str">
        <f aca="false">IF($BZ281&lt;&gt;Constants!$B$8,"",$BP281)</f>
        <v/>
      </c>
      <c r="BW281" s="97" t="str">
        <f aca="false">IF($BZ281&lt;&gt;Constants!$B$8,"",IF($AT281,$AV281,""))</f>
        <v/>
      </c>
      <c r="BX281" s="99" t="str">
        <f aca="false">IF($BZ281&lt;&gt;Constants!$B$8,"",$AI281)</f>
        <v/>
      </c>
      <c r="BY281" s="93" t="str">
        <f aca="false">IF(ISBLANK($C281),"",IF(ISBLANK($D$7),$BY$5,IF(NOT(ISNUMBER($D$7)),$BY$6,"")))</f>
        <v/>
      </c>
      <c r="BZ281" s="93" t="str">
        <f aca="false">IF(ISBLANK($C281),"",IF($BA281,Constants!$B$11,IF(COUNTA($E281:$AA281)=0,Constants!$B$10,IF(NOT($AG281),Constants!$B$9,IF(OR($BY281&lt;&gt;"",$BB281,$BN281),Constants!$B$12,Constants!$B$8)))))</f>
        <v/>
      </c>
      <c r="CA281" s="93" t="str">
        <f aca="false">IF(ISBLANK($C281),"",IF($BZ281&lt;&gt;Constants!$B$8,$BZ281,Constants!$B$13))</f>
        <v/>
      </c>
      <c r="CB281" s="97" t="str">
        <f aca="false">IF($BZ281&lt;&gt;Constants!$B$8,"",IF($BM281="-&gt;",$BT281,$BH281))</f>
        <v/>
      </c>
      <c r="CC281" s="97" t="str">
        <f aca="false">IF($BZ281&lt;&gt;Constants!$B$8,"",IF($AF281,0,Constants!$B$18))</f>
        <v/>
      </c>
      <c r="CD281" s="97" t="str">
        <f aca="false">IF($BZ281&lt;&gt;Constants!$B$8,"",((Constants!$B$31-$AZ281)-Constants!$B$31)/Constants!$B$32)</f>
        <v/>
      </c>
      <c r="CE281" s="97" t="str">
        <f aca="false">IF(ISBLANK($C281),"",IF($BZ281&lt;&gt;Constants!$B$8,$BZ281,SUM($CB281:$CD281)))</f>
        <v/>
      </c>
      <c r="CF281" s="93" t="str">
        <f aca="false">IF(ISBLANK($C281),"",IF($BZ281&lt;&gt;Constants!$B$8,$BZ281,RANK($CE281,$CE$9:$CE$508,1)))</f>
        <v/>
      </c>
      <c r="CG281" s="97" t="str">
        <f aca="false">IF($BZ281&lt;&gt;Constants!$B$8,"",IF($BM281="-&gt;",$BU281,$BI281))</f>
        <v/>
      </c>
      <c r="CH281" s="93" t="str">
        <f aca="false">IF(ISBLANK($C281),"",IF($BZ281&lt;&gt;Constants!$B$8,$BZ281,IF(ISNUMBER($CG281),RANK($CG281,$CG$9:$CG$508,1),COUNT($CG$9:$CG$508)+1)))</f>
        <v/>
      </c>
      <c r="CI281" s="97" t="str">
        <f aca="false">IF($BZ281&lt;&gt;Constants!$B$8,"",IF($BM281="-&gt;",$BV281,$BJ281))</f>
        <v/>
      </c>
      <c r="CJ281" s="93" t="str">
        <f aca="false">IF(ISBLANK($C281),"",IF($BZ281&lt;&gt;Constants!$B$8,$BZ281,IF(ISNUMBER($CI281),RANK($CI281,$CI$9:$CI$508,1),COUNT($CI$9:$CI$508)+1)))</f>
        <v/>
      </c>
      <c r="CK281" s="97" t="str">
        <f aca="false">IF($BZ281&lt;&gt;Constants!$B$8,"",IF($BM281="-&gt;",$BW281,$BK281))</f>
        <v/>
      </c>
      <c r="CL281" s="93" t="str">
        <f aca="false">IF(ISBLANK($C281),"",IF($BZ281&lt;&gt;Constants!$B$8,$BZ281,IF(ISNUMBER($CK281),RANK($CK281,$CK$9:$CK$508,1),COUNT($CK$9:$CK$508)+1)))</f>
        <v/>
      </c>
      <c r="CM281" s="97" t="str">
        <f aca="false">IF($BZ281&lt;&gt;Constants!$B$8,"",IF(AND(NOT($AL281),NOT($AT281),$AJ281,$AK281,$AR281,$AS281),"",IF($BM281="-&gt;",$BX281,$BL281)))</f>
        <v/>
      </c>
      <c r="CN281" s="93" t="str">
        <f aca="false">IF(ISBLANK($C281),"",IF($BZ281&lt;&gt;Constants!$B$8,$BZ281,IF(ISNUMBER($CM281),RANK($CM281,$CM$9:$CM$508,1),COUNT($CM$9:$CM$508)+1)))</f>
        <v/>
      </c>
      <c r="CO281" s="93" t="str">
        <f aca="false">IF(ISBLANK($C281),"",IF($BZ281&lt;&gt;Constants!$B$8,$BZ281,COUNTIFS($CF$9:$CF$508,"&lt;"&amp;$CF281)+COUNTIFS($CF$9:$CF$508,$CF281,$CH$9:$CH$508,"&lt;"&amp;$CH281)+COUNTIFS($CF$9:$CF$508,$CF281,$CH$9:$CH$508,$CH281,$CJ$9:$CJ$508,"&lt;"&amp;$CJ281)+COUNTIFS($CF$9:$CF$508,$CF281,$CH$9:$CH$508,$CH281,$CJ$9:$CJ$508,$CJ281,$CL$9:$CL$508,"&lt;"&amp;$CL281)+COUNTIFS($CF$9:$CF$508,$CF281,$CH$9:$CH$508,$CH281,$CJ$9:$CJ$508,$CJ281,$CL$9:$CL$508,$CL281,$CN$9:$CN$508,"&lt;"&amp;$CN281)+1))</f>
        <v/>
      </c>
      <c r="CP281" s="93" t="str">
        <f aca="false">IF(ISBLANK($C281),"",IF($BZ281&lt;&gt;Constants!$B$8,$BZ281,$CF281-$CO281))</f>
        <v/>
      </c>
      <c r="CQ281" s="100"/>
      <c r="CR281" s="101"/>
      <c r="CS281" s="102" t="str">
        <f aca="false">IF(ISBLANK($C281),"",IF($BZ281=Constants!$B$12,$BY281,""))</f>
        <v/>
      </c>
      <c r="CT281" s="101" t="str">
        <f aca="false">IF(ISBLANK($C281),"",IF($BZ281&lt;&gt;Constants!$B$8,"",IF($BM281="-&gt;",2,1)))</f>
        <v/>
      </c>
      <c r="CU281" s="103" t="str">
        <f aca="false">IF(ISBLANK($C281),"",IF($BZ281&lt;&gt;Constants!$B$8,"",IF($BM281="-&gt;",$BO281,$BC281)))</f>
        <v/>
      </c>
      <c r="CV281" s="103" t="str">
        <f aca="false">IF(ISBLANK($C281),"",IF($BZ281&lt;&gt;Constants!$B$8,"",IF($BM281="-&gt;",$BP281,$BD281)))</f>
        <v/>
      </c>
      <c r="CW281" s="103" t="str">
        <f aca="false">IF(ISBLANK($C281),"",IF($BZ281&lt;&gt;Constants!$B$8,"",IF($BM281="-&gt;",$BQ281+$BR281,$BE281+$BF281)+$CD281))</f>
        <v/>
      </c>
      <c r="CX281" s="103" t="str">
        <f aca="false">IF(ISBLANK($C281),"",IF($BZ281&lt;&gt;Constants!$B$8,"",IF($BM281="-&gt;",$BS281,$BG281)+$CC281))</f>
        <v/>
      </c>
      <c r="CY281" s="104" t="str">
        <f aca="false">IF(ISBLANK($C281),"",IF($BZ281&lt;&gt;Constants!$B$8,$BZ281,$CE281))</f>
        <v/>
      </c>
      <c r="CZ281" s="105" t="str">
        <f aca="false">IF(ISBLANK($C281),"",$CA281)</f>
        <v/>
      </c>
      <c r="DA281" s="106" t="str">
        <f aca="false">IF(ISBLANK($C281),"",$CP281)</f>
        <v/>
      </c>
      <c r="DB281" s="106" t="str">
        <f aca="false">IF(ISBLANK($C281),"",$CO281)</f>
        <v/>
      </c>
      <c r="DC281" s="107" t="str">
        <f aca="false">IF(ISBLANK($C281),"",IFERROR(_xlfn.SWITCH($DB281,Constants!$B$11,COUNTA($C$9:$C$508)+2,Constants!$B$10,COUNTA($C$9:$C$508)+1,Constants!$B$9,COUNTA($C$9:$C$508)),$DB281))</f>
        <v/>
      </c>
      <c r="DD281" s="9"/>
      <c r="DE281" s="108" t="n">
        <f aca="false">IF(OR(ISNUMBER($DB281),$DB281=Constants!$B$11,$DB281=Constants!$B$9,$DB281=Constants!$B$10),1,0)</f>
        <v>0</v>
      </c>
      <c r="DF281" s="108" t="n">
        <v>273</v>
      </c>
      <c r="DG281" s="108" t="str">
        <f aca="false">IF(ISBLANK($C281),"",IF(ISNUMBER($DC281),$DC281+ROW($B281)/1000,""))</f>
        <v/>
      </c>
      <c r="DH281" s="108" t="str">
        <f aca="false">IF(ISNUMBER($DG281),RANK($DG281,$DG$9:$DG$508,1),"")</f>
        <v/>
      </c>
      <c r="DI281" s="108" t="str">
        <f aca="false">IF(ISBLANK($C281),"",$B281)</f>
        <v/>
      </c>
      <c r="DJ281" s="108" t="str">
        <f aca="false">IF(ISBLANK($C281),"",$C281)</f>
        <v/>
      </c>
      <c r="DK281" s="108" t="str">
        <f aca="false">IF(ISBLANK($C281),"",$D281)</f>
        <v/>
      </c>
      <c r="DL281" s="109" t="str">
        <f aca="false">$CZ281</f>
        <v/>
      </c>
      <c r="DM281" s="110" t="str">
        <f aca="false">$CY281</f>
        <v/>
      </c>
      <c r="DN281" s="108" t="str">
        <f aca="false">IF(ISBLANK($C281),"",$DB281)</f>
        <v/>
      </c>
      <c r="DO281" s="111" t="str">
        <f aca="false">IF($DF281&gt;$DE$8,"",VLOOKUP($DF281,$DH$9:$DN$508,7,FALSE()))</f>
        <v/>
      </c>
      <c r="DP281" s="112" t="str">
        <f aca="false">IF($DF281&gt;$DE$8,"",VLOOKUP($DF281,$DH$9:$DN$508,2,FALSE()))</f>
        <v/>
      </c>
      <c r="DQ281" s="112" t="str">
        <f aca="false">IF($DF281&gt;$DE$8,"",VLOOKUP($DF281,$DH$9:$DN$508,3,FALSE()))</f>
        <v/>
      </c>
      <c r="DR281" s="112" t="str">
        <f aca="false">IF($DF281&gt;$DE$8,"",VLOOKUP($DF281,$DH$9:$DN$508,4,FALSE()))</f>
        <v/>
      </c>
      <c r="DS281" s="112" t="str">
        <f aca="false">IF($DF281&gt;$DE$8,"",VLOOKUP($DF281,$DH$9:$DN$508,5,FALSE()))</f>
        <v/>
      </c>
      <c r="DT281" s="113" t="str">
        <f aca="false">IF($DF281&gt;$DE$8,"",VLOOKUP($DF281,$DH$9:$DN$508,6,FALSE()))</f>
        <v/>
      </c>
      <c r="DU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IF(ISBLANK($C282),"",IF(E282=Constants!$B$3,TRUE(),IF(E282=Constants!$B$4,FALSE(),TRUE())))</f>
        <v/>
      </c>
      <c r="AG282" s="135" t="str">
        <f aca="false">IF(ISBLANK($C282),"",IF(F282=Constants!$B$3,TRUE(),IF(F282=Constants!$B$4,FALSE(),TRUE())))</f>
        <v/>
      </c>
      <c r="AH282" s="135" t="str">
        <f aca="false">IF(ISBLANK($C282),"",IF(G282=Constants!$B$3,TRUE(),IF(G282=Constants!$B$4,FALSE(),TRUE())))</f>
        <v/>
      </c>
      <c r="AI282" s="135" t="str">
        <f aca="false">IF(ISBLANK($C282),"",IF(AND(ISNUMBER(H282),H282&gt;=0),H282,Constants!$B$29))</f>
        <v/>
      </c>
      <c r="AJ282" s="135" t="str">
        <f aca="false">IF(ISBLANK($C282),"",IF(I282=Constants!$B$3,TRUE(),IF(I282=Constants!$B$4,FALSE(),TRUE())))</f>
        <v/>
      </c>
      <c r="AK282" s="135" t="str">
        <f aca="false">IF(ISBLANK($C282),"",IF(J282=Constants!$B$3,TRUE(),IF(J282=Constants!$B$4,FALSE(),TRUE())))</f>
        <v/>
      </c>
      <c r="AL282" s="135" t="str">
        <f aca="false">IF(ISBLANK($C282),"",IF(K282=Constants!$B$5,TRUE(),IF(K282=Constants!$B$6,FALSE(),COUNTA(L282:P282)&gt;0)))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IF(ISBLANK($C282),"",IF(N282=Constants!$B$3,TRUE(),IF(N282=Constants!$B$4,FALSE(),TRUE())))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IF(ISBLANK($C282),"",IF(P282=Constants!$B$3,TRUE(),IF(P282=Constants!$B$4,FALSE(),FALSE())))</f>
        <v/>
      </c>
      <c r="AR282" s="135" t="str">
        <f aca="false">IF(ISBLANK($C282),"",IF(Q282=Constants!$B$3,TRUE(),IF(Q282=Constants!$B$4,FALSE(),TRUE())))</f>
        <v/>
      </c>
      <c r="AS282" s="135" t="str">
        <f aca="false">IF(ISBLANK($C282),"",IF(R282=Constants!$B$3,TRUE(),IF(R282=Constants!$B$4,FALSE(),TRUE())))</f>
        <v/>
      </c>
      <c r="AT282" s="135" t="str">
        <f aca="false">IF(ISBLANK($C282),"",IF(S282=Constants!$B$5,TRUE(),IF(S282=Constants!$B$6,FALSE(),COUNTA(T282:X282)&gt;0)))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IF(ISBLANK($C282),"",IF(V282=Constants!$B$3,TRUE(),IF(V282=Constants!$B$4,FALSE(),TRUE())))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IF(ISBLANK($C282),"",IF(X282=Constants!$B$3,TRUE(),IF(X282=Constants!$B$4,FALSE(),FALSE())))</f>
        <v/>
      </c>
      <c r="AZ282" s="135" t="str">
        <f aca="false">IF(ISBLANK($C282),"",MIN(Constants!$B$31,MAX(0,IF(ISNUMBER(Y282),Y282*60,0)+IF(ISNUMBER(Z282),Z282,0))))</f>
        <v/>
      </c>
      <c r="BA282" s="135" t="str">
        <f aca="false">IF(ISBLANK($C282),"",IF(AA282=Constants!$B$3,TRUE(),IF(AA282=Constants!$B$4,FALSE(),FALSE())))</f>
        <v/>
      </c>
      <c r="BB282" s="134" t="str">
        <f aca="false">IF(ISBLANK($C282),"",AND($AL282,OR($AM282="",$AN282="",AND($AO282,$AP282=""))))</f>
        <v/>
      </c>
      <c r="BC282" s="137" t="str">
        <f aca="false">IF($BZ282&lt;&gt;Constants!$B$8,"",IF($AL282,Constants!$B$21*$AN282+Constants!$B$22*IF($AO282,$AP282,Constants!$B$23),Constants!$B$24))</f>
        <v/>
      </c>
      <c r="BD282" s="138" t="str">
        <f aca="false">IF($BZ282&lt;&gt;Constants!$B$8,"",Constants!$B$25*ABS($AD$9-IF($AL282,$AM282,0)))</f>
        <v/>
      </c>
      <c r="BE282" s="138" t="str">
        <f aca="false">IF($BZ282&lt;&gt;Constants!$B$8,"",IF(AND($AL282,$AQ282,$AO282),Constants!$B$27,0))</f>
        <v/>
      </c>
      <c r="BF282" s="138" t="str">
        <f aca="false">IF($BZ282&lt;&gt;Constants!$B$8,"",IF($AL282,($AI282-Constants!$B$29)*Constants!$B$28,0))</f>
        <v/>
      </c>
      <c r="BG282" s="138" t="str">
        <f aca="false">IF($BZ282&lt;&gt;Constants!$B$8,"",IF($AK282,0,Constants!$B$15)+IF($AJ282,0,Constants!$B$16)+IF($AH282,0,Constants!$B$17))</f>
        <v/>
      </c>
      <c r="BH282" s="139" t="str">
        <f aca="false">IF($BZ282&lt;&gt;Constants!$B$8,"",Constants!$B$20+SUM($BC282:$BG282))</f>
        <v/>
      </c>
      <c r="BI282" s="138" t="str">
        <f aca="false">IF($BZ282&lt;&gt;Constants!$B$8,"",$BC282)</f>
        <v/>
      </c>
      <c r="BJ282" s="138" t="str">
        <f aca="false">IF($BZ282&lt;&gt;Constants!$B$8,"",$BD282)</f>
        <v/>
      </c>
      <c r="BK282" s="138" t="str">
        <f aca="false">IF($BZ282&lt;&gt;Constants!$B$8,"",IF($AL282,$AN282,""))</f>
        <v/>
      </c>
      <c r="BL282" s="140" t="str">
        <f aca="false">IF($BZ282&lt;&gt;Constants!$B$8,"",$AI282)</f>
        <v/>
      </c>
      <c r="BM282" s="135" t="str">
        <f aca="false">IF($BZ282&lt;&gt;Constants!$B$8,"",IF(OR($BT282&lt;$BH282,AND($BT282=$BH282,OR($BU282&lt;$BI282,AND($BU282=$BI282,OR($BV282&lt;$BJ282,AND($BV282=$BJ282,OR(AND(ISNUMBER($BW282),OR(NOT(ISNUMBER($BK282)),$BW282&lt;$BK282)),AND(OR(AND($BW282="",$BK282=""),AND(ISNUMBER($BW282),ISNUMBER($BK282),$BW282=$BK282)),$BX282&lt;$BL282)))))))),"-&gt;","&lt;-"))</f>
        <v/>
      </c>
      <c r="BN282" s="134" t="str">
        <f aca="false">IF(ISBLANK($C282),"",AND($AT282,OR($AU282="",$AV282="",AND($AW282,$AX282=""))))</f>
        <v/>
      </c>
      <c r="BO282" s="137" t="str">
        <f aca="false">IF($BZ282&lt;&gt;Constants!$B$8,"",IF($AT282,Constants!$B$21*$AV282+Constants!$B$22*IF($AW282,$AX282,Constants!$B$23),Constants!$B$24))</f>
        <v/>
      </c>
      <c r="BP282" s="138" t="str">
        <f aca="false">IF($BZ282&lt;&gt;Constants!$B$8,"",Constants!$B$25*ABS($AD$9-IF($AT282,$AU282,0)))</f>
        <v/>
      </c>
      <c r="BQ282" s="138" t="str">
        <f aca="false">IF($BZ282&lt;&gt;Constants!$B$8,"",IF(AND($AT282,$AY282,$AW282),Constants!$B$27,0))</f>
        <v/>
      </c>
      <c r="BR282" s="138" t="str">
        <f aca="false">IF($BZ282&lt;&gt;Constants!$B$8,"",IF($AT282,($AI282-Constants!$B$29)*Constants!$B$28,0))</f>
        <v/>
      </c>
      <c r="BS282" s="138" t="str">
        <f aca="false">IF($BZ282&lt;&gt;Constants!$B$8,"",IF($AS282,0,Constants!$B$15)+IF($AR282,0,Constants!$B$16)+IF($AH282,0,Constants!$B$17))</f>
        <v/>
      </c>
      <c r="BT282" s="139" t="str">
        <f aca="false">IF($BZ282&lt;&gt;Constants!$B$8,"",Constants!$B$20+SUM($BO282:$BS282))</f>
        <v/>
      </c>
      <c r="BU282" s="138" t="str">
        <f aca="false">IF($BZ282&lt;&gt;Constants!$B$8,"",$BO282)</f>
        <v/>
      </c>
      <c r="BV282" s="138" t="str">
        <f aca="false">IF($BZ282&lt;&gt;Constants!$B$8,"",$BP282)</f>
        <v/>
      </c>
      <c r="BW282" s="138" t="str">
        <f aca="false">IF($BZ282&lt;&gt;Constants!$B$8,"",IF($AT282,$AV282,""))</f>
        <v/>
      </c>
      <c r="BX282" s="140" t="str">
        <f aca="false">IF($BZ282&lt;&gt;Constants!$B$8,"",$AI282)</f>
        <v/>
      </c>
      <c r="BY282" s="135" t="str">
        <f aca="false">IF(ISBLANK($C282),"",IF(ISBLANK($D$7),$BY$5,IF(NOT(ISNUMBER($D$7)),$BY$6,"")))</f>
        <v/>
      </c>
      <c r="BZ282" s="135" t="str">
        <f aca="false">IF(ISBLANK($C282),"",IF($BA282,Constants!$B$11,IF(COUNTA($E282:$AA282)=0,Constants!$B$10,IF(NOT($AG282),Constants!$B$9,IF(OR($BY282&lt;&gt;"",$BB282,$BN282),Constants!$B$12,Constants!$B$8)))))</f>
        <v/>
      </c>
      <c r="CA282" s="135" t="str">
        <f aca="false">IF(ISBLANK($C282),"",IF($BZ282&lt;&gt;Constants!$B$8,$BZ282,Constants!$B$13))</f>
        <v/>
      </c>
      <c r="CB282" s="138" t="str">
        <f aca="false">IF($BZ282&lt;&gt;Constants!$B$8,"",IF($BM282="-&gt;",$BT282,$BH282))</f>
        <v/>
      </c>
      <c r="CC282" s="138" t="str">
        <f aca="false">IF($BZ282&lt;&gt;Constants!$B$8,"",IF($AF282,0,Constants!$B$18))</f>
        <v/>
      </c>
      <c r="CD282" s="138" t="str">
        <f aca="false">IF($BZ282&lt;&gt;Constants!$B$8,"",((Constants!$B$31-$AZ282)-Constants!$B$31)/Constants!$B$32)</f>
        <v/>
      </c>
      <c r="CE282" s="138" t="str">
        <f aca="false">IF(ISBLANK($C282),"",IF($BZ282&lt;&gt;Constants!$B$8,$BZ282,SUM($CB282:$CD282)))</f>
        <v/>
      </c>
      <c r="CF282" s="135" t="str">
        <f aca="false">IF(ISBLANK($C282),"",IF($BZ282&lt;&gt;Constants!$B$8,$BZ282,RANK($CE282,$CE$9:$CE$508,1)))</f>
        <v/>
      </c>
      <c r="CG282" s="138" t="str">
        <f aca="false">IF($BZ282&lt;&gt;Constants!$B$8,"",IF($BM282="-&gt;",$BU282,$BI282))</f>
        <v/>
      </c>
      <c r="CH282" s="135" t="str">
        <f aca="false">IF(ISBLANK($C282),"",IF($BZ282&lt;&gt;Constants!$B$8,$BZ282,IF(ISNUMBER($CG282),RANK($CG282,$CG$9:$CG$508,1),COUNT($CG$9:$CG$508)+1)))</f>
        <v/>
      </c>
      <c r="CI282" s="138" t="str">
        <f aca="false">IF($BZ282&lt;&gt;Constants!$B$8,"",IF($BM282="-&gt;",$BV282,$BJ282))</f>
        <v/>
      </c>
      <c r="CJ282" s="135" t="str">
        <f aca="false">IF(ISBLANK($C282),"",IF($BZ282&lt;&gt;Constants!$B$8,$BZ282,IF(ISNUMBER($CI282),RANK($CI282,$CI$9:$CI$508,1),COUNT($CI$9:$CI$508)+1)))</f>
        <v/>
      </c>
      <c r="CK282" s="138" t="str">
        <f aca="false">IF($BZ282&lt;&gt;Constants!$B$8,"",IF($BM282="-&gt;",$BW282,$BK282))</f>
        <v/>
      </c>
      <c r="CL282" s="135" t="str">
        <f aca="false">IF(ISBLANK($C282),"",IF($BZ282&lt;&gt;Constants!$B$8,$BZ282,IF(ISNUMBER($CK282),RANK($CK282,$CK$9:$CK$508,1),COUNT($CK$9:$CK$508)+1)))</f>
        <v/>
      </c>
      <c r="CM282" s="138" t="str">
        <f aca="false">IF($BZ282&lt;&gt;Constants!$B$8,"",IF(AND(NOT($AL282),NOT($AT282),$AJ282,$AK282,$AR282,$AS282),"",IF($BM282="-&gt;",$BX282,$BL282)))</f>
        <v/>
      </c>
      <c r="CN282" s="135" t="str">
        <f aca="false">IF(ISBLANK($C282),"",IF($BZ282&lt;&gt;Constants!$B$8,$BZ282,IF(ISNUMBER($CM282),RANK($CM282,$CM$9:$CM$508,1),COUNT($CM$9:$CM$508)+1)))</f>
        <v/>
      </c>
      <c r="CO282" s="135" t="str">
        <f aca="false">IF(ISBLANK($C282),"",IF($BZ282&lt;&gt;Constants!$B$8,$BZ282,COUNTIFS($CF$9:$CF$508,"&lt;"&amp;$CF282)+COUNTIFS($CF$9:$CF$508,$CF282,$CH$9:$CH$508,"&lt;"&amp;$CH282)+COUNTIFS($CF$9:$CF$508,$CF282,$CH$9:$CH$508,$CH282,$CJ$9:$CJ$508,"&lt;"&amp;$CJ282)+COUNTIFS($CF$9:$CF$508,$CF282,$CH$9:$CH$508,$CH282,$CJ$9:$CJ$508,$CJ282,$CL$9:$CL$508,"&lt;"&amp;$CL282)+COUNTIFS($CF$9:$CF$508,$CF282,$CH$9:$CH$508,$CH282,$CJ$9:$CJ$508,$CJ282,$CL$9:$CL$508,$CL282,$CN$9:$CN$508,"&lt;"&amp;$CN282)+1))</f>
        <v/>
      </c>
      <c r="CP282" s="135" t="str">
        <f aca="false">IF(ISBLANK($C282),"",IF($BZ282&lt;&gt;Constants!$B$8,$BZ282,$CF282-$CO282))</f>
        <v/>
      </c>
      <c r="CQ282" s="141"/>
      <c r="CR282" s="142"/>
      <c r="CS282" s="143" t="str">
        <f aca="false">IF(ISBLANK($C282),"",IF($BZ282=Constants!$B$12,$BY282,""))</f>
        <v/>
      </c>
      <c r="CT282" s="142" t="str">
        <f aca="false">IF(ISBLANK($C282),"",IF($BZ282&lt;&gt;Constants!$B$8,"",IF($BM282="-&gt;",2,1)))</f>
        <v/>
      </c>
      <c r="CU282" s="144" t="str">
        <f aca="false">IF(ISBLANK($C282),"",IF($BZ282&lt;&gt;Constants!$B$8,"",IF($BM282="-&gt;",$BO282,$BC282)))</f>
        <v/>
      </c>
      <c r="CV282" s="144" t="str">
        <f aca="false">IF(ISBLANK($C282),"",IF($BZ282&lt;&gt;Constants!$B$8,"",IF($BM282="-&gt;",$BP282,$BD282)))</f>
        <v/>
      </c>
      <c r="CW282" s="144" t="str">
        <f aca="false">IF(ISBLANK($C282),"",IF($BZ282&lt;&gt;Constants!$B$8,"",IF($BM282="-&gt;",$BQ282+$BR282,$BE282+$BF282)+$CD282))</f>
        <v/>
      </c>
      <c r="CX282" s="144" t="str">
        <f aca="false">IF(ISBLANK($C282),"",IF($BZ282&lt;&gt;Constants!$B$8,"",IF($BM282="-&gt;",$BS282,$BG282)+$CC282))</f>
        <v/>
      </c>
      <c r="CY282" s="145" t="str">
        <f aca="false">IF(ISBLANK($C282),"",IF($BZ282&lt;&gt;Constants!$B$8,$BZ282,$CE282))</f>
        <v/>
      </c>
      <c r="CZ282" s="146" t="str">
        <f aca="false">IF(ISBLANK($C282),"",$CA282)</f>
        <v/>
      </c>
      <c r="DA282" s="147" t="str">
        <f aca="false">IF(ISBLANK($C282),"",$CP282)</f>
        <v/>
      </c>
      <c r="DB282" s="147" t="str">
        <f aca="false">IF(ISBLANK($C282),"",$CO282)</f>
        <v/>
      </c>
      <c r="DC282" s="148" t="str">
        <f aca="false">IF(ISBLANK($C282),"",IFERROR(_xlfn.SWITCH($DB282,Constants!$B$11,COUNTA($C$9:$C$508)+2,Constants!$B$10,COUNTA($C$9:$C$508)+1,Constants!$B$9,COUNTA($C$9:$C$508)),$DB282))</f>
        <v/>
      </c>
      <c r="DD282" s="9"/>
      <c r="DE282" s="149" t="n">
        <f aca="false">IF(OR(ISNUMBER($DB282),$DB282=Constants!$B$11,$DB282=Constants!$B$9,$DB282=Constants!$B$10),1,0)</f>
        <v>0</v>
      </c>
      <c r="DF282" s="149" t="n">
        <v>274</v>
      </c>
      <c r="DG282" s="149" t="str">
        <f aca="false">IF(ISBLANK($C282),"",IF(ISNUMBER($DC282),$DC282+ROW($B282)/1000,""))</f>
        <v/>
      </c>
      <c r="DH282" s="149" t="str">
        <f aca="false">IF(ISNUMBER($DG282),RANK($DG282,$DG$9:$DG$508,1),"")</f>
        <v/>
      </c>
      <c r="DI282" s="149" t="str">
        <f aca="false">IF(ISBLANK($C282),"",$B282)</f>
        <v/>
      </c>
      <c r="DJ282" s="149" t="str">
        <f aca="false">IF(ISBLANK($C282),"",$C282)</f>
        <v/>
      </c>
      <c r="DK282" s="149" t="str">
        <f aca="false">IF(ISBLANK($C282),"",$D282)</f>
        <v/>
      </c>
      <c r="DL282" s="150" t="str">
        <f aca="false">$CZ282</f>
        <v/>
      </c>
      <c r="DM282" s="151" t="str">
        <f aca="false">$CY282</f>
        <v/>
      </c>
      <c r="DN282" s="149" t="str">
        <f aca="false">IF(ISBLANK($C282),"",$DB282)</f>
        <v/>
      </c>
      <c r="DO282" s="152" t="str">
        <f aca="false">IF($DF282&gt;$DE$8,"",VLOOKUP($DF282,$DH$9:$DN$508,7,FALSE()))</f>
        <v/>
      </c>
      <c r="DP282" s="153" t="str">
        <f aca="false">IF($DF282&gt;$DE$8,"",VLOOKUP($DF282,$DH$9:$DN$508,2,FALSE()))</f>
        <v/>
      </c>
      <c r="DQ282" s="153" t="str">
        <f aca="false">IF($DF282&gt;$DE$8,"",VLOOKUP($DF282,$DH$9:$DN$508,3,FALSE()))</f>
        <v/>
      </c>
      <c r="DR282" s="153" t="str">
        <f aca="false">IF($DF282&gt;$DE$8,"",VLOOKUP($DF282,$DH$9:$DN$508,4,FALSE()))</f>
        <v/>
      </c>
      <c r="DS282" s="153" t="str">
        <f aca="false">IF($DF282&gt;$DE$8,"",VLOOKUP($DF282,$DH$9:$DN$508,5,FALSE()))</f>
        <v/>
      </c>
      <c r="DT282" s="154" t="str">
        <f aca="false">IF($DF282&gt;$DE$8,"",VLOOKUP($DF282,$DH$9:$DN$508,6,FALSE()))</f>
        <v/>
      </c>
      <c r="DU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IF(ISBLANK($C283),"",IF(E283=Constants!$B$3,TRUE(),IF(E283=Constants!$B$4,FALSE(),TRUE())))</f>
        <v/>
      </c>
      <c r="AG283" s="135" t="str">
        <f aca="false">IF(ISBLANK($C283),"",IF(F283=Constants!$B$3,TRUE(),IF(F283=Constants!$B$4,FALSE(),TRUE())))</f>
        <v/>
      </c>
      <c r="AH283" s="135" t="str">
        <f aca="false">IF(ISBLANK($C283),"",IF(G283=Constants!$B$3,TRUE(),IF(G283=Constants!$B$4,FALSE(),TRUE())))</f>
        <v/>
      </c>
      <c r="AI283" s="135" t="str">
        <f aca="false">IF(ISBLANK($C283),"",IF(AND(ISNUMBER(H283),H283&gt;=0),H283,Constants!$B$29))</f>
        <v/>
      </c>
      <c r="AJ283" s="135" t="str">
        <f aca="false">IF(ISBLANK($C283),"",IF(I283=Constants!$B$3,TRUE(),IF(I283=Constants!$B$4,FALSE(),TRUE())))</f>
        <v/>
      </c>
      <c r="AK283" s="135" t="str">
        <f aca="false">IF(ISBLANK($C283),"",IF(J283=Constants!$B$3,TRUE(),IF(J283=Constants!$B$4,FALSE(),TRUE())))</f>
        <v/>
      </c>
      <c r="AL283" s="135" t="str">
        <f aca="false">IF(ISBLANK($C283),"",IF(K283=Constants!$B$5,TRUE(),IF(K283=Constants!$B$6,FALSE(),COUNTA(L283:P283)&gt;0)))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IF(ISBLANK($C283),"",IF(N283=Constants!$B$3,TRUE(),IF(N283=Constants!$B$4,FALSE(),TRUE())))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IF(ISBLANK($C283),"",IF(P283=Constants!$B$3,TRUE(),IF(P283=Constants!$B$4,FALSE(),FALSE())))</f>
        <v/>
      </c>
      <c r="AR283" s="135" t="str">
        <f aca="false">IF(ISBLANK($C283),"",IF(Q283=Constants!$B$3,TRUE(),IF(Q283=Constants!$B$4,FALSE(),TRUE())))</f>
        <v/>
      </c>
      <c r="AS283" s="135" t="str">
        <f aca="false">IF(ISBLANK($C283),"",IF(R283=Constants!$B$3,TRUE(),IF(R283=Constants!$B$4,FALSE(),TRUE())))</f>
        <v/>
      </c>
      <c r="AT283" s="135" t="str">
        <f aca="false">IF(ISBLANK($C283),"",IF(S283=Constants!$B$5,TRUE(),IF(S283=Constants!$B$6,FALSE(),COUNTA(T283:X283)&gt;0)))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IF(ISBLANK($C283),"",IF(V283=Constants!$B$3,TRUE(),IF(V283=Constants!$B$4,FALSE(),TRUE())))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IF(ISBLANK($C283),"",IF(X283=Constants!$B$3,TRUE(),IF(X283=Constants!$B$4,FALSE(),FALSE())))</f>
        <v/>
      </c>
      <c r="AZ283" s="135" t="str">
        <f aca="false">IF(ISBLANK($C283),"",MIN(Constants!$B$31,MAX(0,IF(ISNUMBER(Y283),Y283*60,0)+IF(ISNUMBER(Z283),Z283,0))))</f>
        <v/>
      </c>
      <c r="BA283" s="135" t="str">
        <f aca="false">IF(ISBLANK($C283),"",IF(AA283=Constants!$B$3,TRUE(),IF(AA283=Constants!$B$4,FALSE(),FALSE())))</f>
        <v/>
      </c>
      <c r="BB283" s="134" t="str">
        <f aca="false">IF(ISBLANK($C283),"",AND($AL283,OR($AM283="",$AN283="",AND($AO283,$AP283=""))))</f>
        <v/>
      </c>
      <c r="BC283" s="137" t="str">
        <f aca="false">IF($BZ283&lt;&gt;Constants!$B$8,"",IF($AL283,Constants!$B$21*$AN283+Constants!$B$22*IF($AO283,$AP283,Constants!$B$23),Constants!$B$24))</f>
        <v/>
      </c>
      <c r="BD283" s="138" t="str">
        <f aca="false">IF($BZ283&lt;&gt;Constants!$B$8,"",Constants!$B$25*ABS($AD$9-IF($AL283,$AM283,0)))</f>
        <v/>
      </c>
      <c r="BE283" s="138" t="str">
        <f aca="false">IF($BZ283&lt;&gt;Constants!$B$8,"",IF(AND($AL283,$AQ283,$AO283),Constants!$B$27,0))</f>
        <v/>
      </c>
      <c r="BF283" s="138" t="str">
        <f aca="false">IF($BZ283&lt;&gt;Constants!$B$8,"",IF($AL283,($AI283-Constants!$B$29)*Constants!$B$28,0))</f>
        <v/>
      </c>
      <c r="BG283" s="138" t="str">
        <f aca="false">IF($BZ283&lt;&gt;Constants!$B$8,"",IF($AK283,0,Constants!$B$15)+IF($AJ283,0,Constants!$B$16)+IF($AH283,0,Constants!$B$17))</f>
        <v/>
      </c>
      <c r="BH283" s="139" t="str">
        <f aca="false">IF($BZ283&lt;&gt;Constants!$B$8,"",Constants!$B$20+SUM($BC283:$BG283))</f>
        <v/>
      </c>
      <c r="BI283" s="138" t="str">
        <f aca="false">IF($BZ283&lt;&gt;Constants!$B$8,"",$BC283)</f>
        <v/>
      </c>
      <c r="BJ283" s="138" t="str">
        <f aca="false">IF($BZ283&lt;&gt;Constants!$B$8,"",$BD283)</f>
        <v/>
      </c>
      <c r="BK283" s="138" t="str">
        <f aca="false">IF($BZ283&lt;&gt;Constants!$B$8,"",IF($AL283,$AN283,""))</f>
        <v/>
      </c>
      <c r="BL283" s="140" t="str">
        <f aca="false">IF($BZ283&lt;&gt;Constants!$B$8,"",$AI283)</f>
        <v/>
      </c>
      <c r="BM283" s="135" t="str">
        <f aca="false">IF($BZ283&lt;&gt;Constants!$B$8,"",IF(OR($BT283&lt;$BH283,AND($BT283=$BH283,OR($BU283&lt;$BI283,AND($BU283=$BI283,OR($BV283&lt;$BJ283,AND($BV283=$BJ283,OR(AND(ISNUMBER($BW283),OR(NOT(ISNUMBER($BK283)),$BW283&lt;$BK283)),AND(OR(AND($BW283="",$BK283=""),AND(ISNUMBER($BW283),ISNUMBER($BK283),$BW283=$BK283)),$BX283&lt;$BL283)))))))),"-&gt;","&lt;-"))</f>
        <v/>
      </c>
      <c r="BN283" s="134" t="str">
        <f aca="false">IF(ISBLANK($C283),"",AND($AT283,OR($AU283="",$AV283="",AND($AW283,$AX283=""))))</f>
        <v/>
      </c>
      <c r="BO283" s="137" t="str">
        <f aca="false">IF($BZ283&lt;&gt;Constants!$B$8,"",IF($AT283,Constants!$B$21*$AV283+Constants!$B$22*IF($AW283,$AX283,Constants!$B$23),Constants!$B$24))</f>
        <v/>
      </c>
      <c r="BP283" s="138" t="str">
        <f aca="false">IF($BZ283&lt;&gt;Constants!$B$8,"",Constants!$B$25*ABS($AD$9-IF($AT283,$AU283,0)))</f>
        <v/>
      </c>
      <c r="BQ283" s="138" t="str">
        <f aca="false">IF($BZ283&lt;&gt;Constants!$B$8,"",IF(AND($AT283,$AY283,$AW283),Constants!$B$27,0))</f>
        <v/>
      </c>
      <c r="BR283" s="138" t="str">
        <f aca="false">IF($BZ283&lt;&gt;Constants!$B$8,"",IF($AT283,($AI283-Constants!$B$29)*Constants!$B$28,0))</f>
        <v/>
      </c>
      <c r="BS283" s="138" t="str">
        <f aca="false">IF($BZ283&lt;&gt;Constants!$B$8,"",IF($AS283,0,Constants!$B$15)+IF($AR283,0,Constants!$B$16)+IF($AH283,0,Constants!$B$17))</f>
        <v/>
      </c>
      <c r="BT283" s="139" t="str">
        <f aca="false">IF($BZ283&lt;&gt;Constants!$B$8,"",Constants!$B$20+SUM($BO283:$BS283))</f>
        <v/>
      </c>
      <c r="BU283" s="138" t="str">
        <f aca="false">IF($BZ283&lt;&gt;Constants!$B$8,"",$BO283)</f>
        <v/>
      </c>
      <c r="BV283" s="138" t="str">
        <f aca="false">IF($BZ283&lt;&gt;Constants!$B$8,"",$BP283)</f>
        <v/>
      </c>
      <c r="BW283" s="138" t="str">
        <f aca="false">IF($BZ283&lt;&gt;Constants!$B$8,"",IF($AT283,$AV283,""))</f>
        <v/>
      </c>
      <c r="BX283" s="140" t="str">
        <f aca="false">IF($BZ283&lt;&gt;Constants!$B$8,"",$AI283)</f>
        <v/>
      </c>
      <c r="BY283" s="135" t="str">
        <f aca="false">IF(ISBLANK($C283),"",IF(ISBLANK($D$7),$BY$5,IF(NOT(ISNUMBER($D$7)),$BY$6,"")))</f>
        <v/>
      </c>
      <c r="BZ283" s="135" t="str">
        <f aca="false">IF(ISBLANK($C283),"",IF($BA283,Constants!$B$11,IF(COUNTA($E283:$AA283)=0,Constants!$B$10,IF(NOT($AG283),Constants!$B$9,IF(OR($BY283&lt;&gt;"",$BB283,$BN283),Constants!$B$12,Constants!$B$8)))))</f>
        <v/>
      </c>
      <c r="CA283" s="135" t="str">
        <f aca="false">IF(ISBLANK($C283),"",IF($BZ283&lt;&gt;Constants!$B$8,$BZ283,Constants!$B$13))</f>
        <v/>
      </c>
      <c r="CB283" s="138" t="str">
        <f aca="false">IF($BZ283&lt;&gt;Constants!$B$8,"",IF($BM283="-&gt;",$BT283,$BH283))</f>
        <v/>
      </c>
      <c r="CC283" s="138" t="str">
        <f aca="false">IF($BZ283&lt;&gt;Constants!$B$8,"",IF($AF283,0,Constants!$B$18))</f>
        <v/>
      </c>
      <c r="CD283" s="138" t="str">
        <f aca="false">IF($BZ283&lt;&gt;Constants!$B$8,"",((Constants!$B$31-$AZ283)-Constants!$B$31)/Constants!$B$32)</f>
        <v/>
      </c>
      <c r="CE283" s="138" t="str">
        <f aca="false">IF(ISBLANK($C283),"",IF($BZ283&lt;&gt;Constants!$B$8,$BZ283,SUM($CB283:$CD283)))</f>
        <v/>
      </c>
      <c r="CF283" s="135" t="str">
        <f aca="false">IF(ISBLANK($C283),"",IF($BZ283&lt;&gt;Constants!$B$8,$BZ283,RANK($CE283,$CE$9:$CE$508,1)))</f>
        <v/>
      </c>
      <c r="CG283" s="138" t="str">
        <f aca="false">IF($BZ283&lt;&gt;Constants!$B$8,"",IF($BM283="-&gt;",$BU283,$BI283))</f>
        <v/>
      </c>
      <c r="CH283" s="135" t="str">
        <f aca="false">IF(ISBLANK($C283),"",IF($BZ283&lt;&gt;Constants!$B$8,$BZ283,IF(ISNUMBER($CG283),RANK($CG283,$CG$9:$CG$508,1),COUNT($CG$9:$CG$508)+1)))</f>
        <v/>
      </c>
      <c r="CI283" s="138" t="str">
        <f aca="false">IF($BZ283&lt;&gt;Constants!$B$8,"",IF($BM283="-&gt;",$BV283,$BJ283))</f>
        <v/>
      </c>
      <c r="CJ283" s="135" t="str">
        <f aca="false">IF(ISBLANK($C283),"",IF($BZ283&lt;&gt;Constants!$B$8,$BZ283,IF(ISNUMBER($CI283),RANK($CI283,$CI$9:$CI$508,1),COUNT($CI$9:$CI$508)+1)))</f>
        <v/>
      </c>
      <c r="CK283" s="138" t="str">
        <f aca="false">IF($BZ283&lt;&gt;Constants!$B$8,"",IF($BM283="-&gt;",$BW283,$BK283))</f>
        <v/>
      </c>
      <c r="CL283" s="135" t="str">
        <f aca="false">IF(ISBLANK($C283),"",IF($BZ283&lt;&gt;Constants!$B$8,$BZ283,IF(ISNUMBER($CK283),RANK($CK283,$CK$9:$CK$508,1),COUNT($CK$9:$CK$508)+1)))</f>
        <v/>
      </c>
      <c r="CM283" s="138" t="str">
        <f aca="false">IF($BZ283&lt;&gt;Constants!$B$8,"",IF(AND(NOT($AL283),NOT($AT283),$AJ283,$AK283,$AR283,$AS283),"",IF($BM283="-&gt;",$BX283,$BL283)))</f>
        <v/>
      </c>
      <c r="CN283" s="135" t="str">
        <f aca="false">IF(ISBLANK($C283),"",IF($BZ283&lt;&gt;Constants!$B$8,$BZ283,IF(ISNUMBER($CM283),RANK($CM283,$CM$9:$CM$508,1),COUNT($CM$9:$CM$508)+1)))</f>
        <v/>
      </c>
      <c r="CO283" s="135" t="str">
        <f aca="false">IF(ISBLANK($C283),"",IF($BZ283&lt;&gt;Constants!$B$8,$BZ283,COUNTIFS($CF$9:$CF$508,"&lt;"&amp;$CF283)+COUNTIFS($CF$9:$CF$508,$CF283,$CH$9:$CH$508,"&lt;"&amp;$CH283)+COUNTIFS($CF$9:$CF$508,$CF283,$CH$9:$CH$508,$CH283,$CJ$9:$CJ$508,"&lt;"&amp;$CJ283)+COUNTIFS($CF$9:$CF$508,$CF283,$CH$9:$CH$508,$CH283,$CJ$9:$CJ$508,$CJ283,$CL$9:$CL$508,"&lt;"&amp;$CL283)+COUNTIFS($CF$9:$CF$508,$CF283,$CH$9:$CH$508,$CH283,$CJ$9:$CJ$508,$CJ283,$CL$9:$CL$508,$CL283,$CN$9:$CN$508,"&lt;"&amp;$CN283)+1))</f>
        <v/>
      </c>
      <c r="CP283" s="135" t="str">
        <f aca="false">IF(ISBLANK($C283),"",IF($BZ283&lt;&gt;Constants!$B$8,$BZ283,$CF283-$CO283))</f>
        <v/>
      </c>
      <c r="CQ283" s="141"/>
      <c r="CR283" s="142"/>
      <c r="CS283" s="143" t="str">
        <f aca="false">IF(ISBLANK($C283),"",IF($BZ283=Constants!$B$12,$BY283,""))</f>
        <v/>
      </c>
      <c r="CT283" s="142" t="str">
        <f aca="false">IF(ISBLANK($C283),"",IF($BZ283&lt;&gt;Constants!$B$8,"",IF($BM283="-&gt;",2,1)))</f>
        <v/>
      </c>
      <c r="CU283" s="144" t="str">
        <f aca="false">IF(ISBLANK($C283),"",IF($BZ283&lt;&gt;Constants!$B$8,"",IF($BM283="-&gt;",$BO283,$BC283)))</f>
        <v/>
      </c>
      <c r="CV283" s="144" t="str">
        <f aca="false">IF(ISBLANK($C283),"",IF($BZ283&lt;&gt;Constants!$B$8,"",IF($BM283="-&gt;",$BP283,$BD283)))</f>
        <v/>
      </c>
      <c r="CW283" s="144" t="str">
        <f aca="false">IF(ISBLANK($C283),"",IF($BZ283&lt;&gt;Constants!$B$8,"",IF($BM283="-&gt;",$BQ283+$BR283,$BE283+$BF283)+$CD283))</f>
        <v/>
      </c>
      <c r="CX283" s="144" t="str">
        <f aca="false">IF(ISBLANK($C283),"",IF($BZ283&lt;&gt;Constants!$B$8,"",IF($BM283="-&gt;",$BS283,$BG283)+$CC283))</f>
        <v/>
      </c>
      <c r="CY283" s="145" t="str">
        <f aca="false">IF(ISBLANK($C283),"",IF($BZ283&lt;&gt;Constants!$B$8,$BZ283,$CE283))</f>
        <v/>
      </c>
      <c r="CZ283" s="146" t="str">
        <f aca="false">IF(ISBLANK($C283),"",$CA283)</f>
        <v/>
      </c>
      <c r="DA283" s="147" t="str">
        <f aca="false">IF(ISBLANK($C283),"",$CP283)</f>
        <v/>
      </c>
      <c r="DB283" s="147" t="str">
        <f aca="false">IF(ISBLANK($C283),"",$CO283)</f>
        <v/>
      </c>
      <c r="DC283" s="148" t="str">
        <f aca="false">IF(ISBLANK($C283),"",IFERROR(_xlfn.SWITCH($DB283,Constants!$B$11,COUNTA($C$9:$C$508)+2,Constants!$B$10,COUNTA($C$9:$C$508)+1,Constants!$B$9,COUNTA($C$9:$C$508)),$DB283))</f>
        <v/>
      </c>
      <c r="DD283" s="9"/>
      <c r="DE283" s="149" t="n">
        <f aca="false">IF(OR(ISNUMBER($DB283),$DB283=Constants!$B$11,$DB283=Constants!$B$9,$DB283=Constants!$B$10),1,0)</f>
        <v>0</v>
      </c>
      <c r="DF283" s="149" t="n">
        <v>275</v>
      </c>
      <c r="DG283" s="149" t="str">
        <f aca="false">IF(ISBLANK($C283),"",IF(ISNUMBER($DC283),$DC283+ROW($B283)/1000,""))</f>
        <v/>
      </c>
      <c r="DH283" s="149" t="str">
        <f aca="false">IF(ISNUMBER($DG283),RANK($DG283,$DG$9:$DG$508,1),"")</f>
        <v/>
      </c>
      <c r="DI283" s="149" t="str">
        <f aca="false">IF(ISBLANK($C283),"",$B283)</f>
        <v/>
      </c>
      <c r="DJ283" s="149" t="str">
        <f aca="false">IF(ISBLANK($C283),"",$C283)</f>
        <v/>
      </c>
      <c r="DK283" s="149" t="str">
        <f aca="false">IF(ISBLANK($C283),"",$D283)</f>
        <v/>
      </c>
      <c r="DL283" s="150" t="str">
        <f aca="false">$CZ283</f>
        <v/>
      </c>
      <c r="DM283" s="151" t="str">
        <f aca="false">$CY283</f>
        <v/>
      </c>
      <c r="DN283" s="149" t="str">
        <f aca="false">IF(ISBLANK($C283),"",$DB283)</f>
        <v/>
      </c>
      <c r="DO283" s="152" t="str">
        <f aca="false">IF($DF283&gt;$DE$8,"",VLOOKUP($DF283,$DH$9:$DN$508,7,FALSE()))</f>
        <v/>
      </c>
      <c r="DP283" s="153" t="str">
        <f aca="false">IF($DF283&gt;$DE$8,"",VLOOKUP($DF283,$DH$9:$DN$508,2,FALSE()))</f>
        <v/>
      </c>
      <c r="DQ283" s="153" t="str">
        <f aca="false">IF($DF283&gt;$DE$8,"",VLOOKUP($DF283,$DH$9:$DN$508,3,FALSE()))</f>
        <v/>
      </c>
      <c r="DR283" s="153" t="str">
        <f aca="false">IF($DF283&gt;$DE$8,"",VLOOKUP($DF283,$DH$9:$DN$508,4,FALSE()))</f>
        <v/>
      </c>
      <c r="DS283" s="153" t="str">
        <f aca="false">IF($DF283&gt;$DE$8,"",VLOOKUP($DF283,$DH$9:$DN$508,5,FALSE()))</f>
        <v/>
      </c>
      <c r="DT283" s="154" t="str">
        <f aca="false">IF($DF283&gt;$DE$8,"",VLOOKUP($DF283,$DH$9:$DN$508,6,FALSE()))</f>
        <v/>
      </c>
      <c r="DU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IF(ISBLANK($C284),"",IF(E284=Constants!$B$3,TRUE(),IF(E284=Constants!$B$4,FALSE(),TRUE())))</f>
        <v/>
      </c>
      <c r="AG284" s="135" t="str">
        <f aca="false">IF(ISBLANK($C284),"",IF(F284=Constants!$B$3,TRUE(),IF(F284=Constants!$B$4,FALSE(),TRUE())))</f>
        <v/>
      </c>
      <c r="AH284" s="135" t="str">
        <f aca="false">IF(ISBLANK($C284),"",IF(G284=Constants!$B$3,TRUE(),IF(G284=Constants!$B$4,FALSE(),TRUE())))</f>
        <v/>
      </c>
      <c r="AI284" s="135" t="str">
        <f aca="false">IF(ISBLANK($C284),"",IF(AND(ISNUMBER(H284),H284&gt;=0),H284,Constants!$B$29))</f>
        <v/>
      </c>
      <c r="AJ284" s="135" t="str">
        <f aca="false">IF(ISBLANK($C284),"",IF(I284=Constants!$B$3,TRUE(),IF(I284=Constants!$B$4,FALSE(),TRUE())))</f>
        <v/>
      </c>
      <c r="AK284" s="135" t="str">
        <f aca="false">IF(ISBLANK($C284),"",IF(J284=Constants!$B$3,TRUE(),IF(J284=Constants!$B$4,FALSE(),TRUE())))</f>
        <v/>
      </c>
      <c r="AL284" s="135" t="str">
        <f aca="false">IF(ISBLANK($C284),"",IF(K284=Constants!$B$5,TRUE(),IF(K284=Constants!$B$6,FALSE(),COUNTA(L284:P284)&gt;0)))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IF(ISBLANK($C284),"",IF(N284=Constants!$B$3,TRUE(),IF(N284=Constants!$B$4,FALSE(),TRUE())))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IF(ISBLANK($C284),"",IF(P284=Constants!$B$3,TRUE(),IF(P284=Constants!$B$4,FALSE(),FALSE())))</f>
        <v/>
      </c>
      <c r="AR284" s="135" t="str">
        <f aca="false">IF(ISBLANK($C284),"",IF(Q284=Constants!$B$3,TRUE(),IF(Q284=Constants!$B$4,FALSE(),TRUE())))</f>
        <v/>
      </c>
      <c r="AS284" s="135" t="str">
        <f aca="false">IF(ISBLANK($C284),"",IF(R284=Constants!$B$3,TRUE(),IF(R284=Constants!$B$4,FALSE(),TRUE())))</f>
        <v/>
      </c>
      <c r="AT284" s="135" t="str">
        <f aca="false">IF(ISBLANK($C284),"",IF(S284=Constants!$B$5,TRUE(),IF(S284=Constants!$B$6,FALSE(),COUNTA(T284:X284)&gt;0)))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IF(ISBLANK($C284),"",IF(V284=Constants!$B$3,TRUE(),IF(V284=Constants!$B$4,FALSE(),TRUE())))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IF(ISBLANK($C284),"",IF(X284=Constants!$B$3,TRUE(),IF(X284=Constants!$B$4,FALSE(),FALSE())))</f>
        <v/>
      </c>
      <c r="AZ284" s="135" t="str">
        <f aca="false">IF(ISBLANK($C284),"",MIN(Constants!$B$31,MAX(0,IF(ISNUMBER(Y284),Y284*60,0)+IF(ISNUMBER(Z284),Z284,0))))</f>
        <v/>
      </c>
      <c r="BA284" s="135" t="str">
        <f aca="false">IF(ISBLANK($C284),"",IF(AA284=Constants!$B$3,TRUE(),IF(AA284=Constants!$B$4,FALSE(),FALSE())))</f>
        <v/>
      </c>
      <c r="BB284" s="134" t="str">
        <f aca="false">IF(ISBLANK($C284),"",AND($AL284,OR($AM284="",$AN284="",AND($AO284,$AP284=""))))</f>
        <v/>
      </c>
      <c r="BC284" s="137" t="str">
        <f aca="false">IF($BZ284&lt;&gt;Constants!$B$8,"",IF($AL284,Constants!$B$21*$AN284+Constants!$B$22*IF($AO284,$AP284,Constants!$B$23),Constants!$B$24))</f>
        <v/>
      </c>
      <c r="BD284" s="138" t="str">
        <f aca="false">IF($BZ284&lt;&gt;Constants!$B$8,"",Constants!$B$25*ABS($AD$9-IF($AL284,$AM284,0)))</f>
        <v/>
      </c>
      <c r="BE284" s="138" t="str">
        <f aca="false">IF($BZ284&lt;&gt;Constants!$B$8,"",IF(AND($AL284,$AQ284,$AO284),Constants!$B$27,0))</f>
        <v/>
      </c>
      <c r="BF284" s="138" t="str">
        <f aca="false">IF($BZ284&lt;&gt;Constants!$B$8,"",IF($AL284,($AI284-Constants!$B$29)*Constants!$B$28,0))</f>
        <v/>
      </c>
      <c r="BG284" s="138" t="str">
        <f aca="false">IF($BZ284&lt;&gt;Constants!$B$8,"",IF($AK284,0,Constants!$B$15)+IF($AJ284,0,Constants!$B$16)+IF($AH284,0,Constants!$B$17))</f>
        <v/>
      </c>
      <c r="BH284" s="139" t="str">
        <f aca="false">IF($BZ284&lt;&gt;Constants!$B$8,"",Constants!$B$20+SUM($BC284:$BG284))</f>
        <v/>
      </c>
      <c r="BI284" s="138" t="str">
        <f aca="false">IF($BZ284&lt;&gt;Constants!$B$8,"",$BC284)</f>
        <v/>
      </c>
      <c r="BJ284" s="138" t="str">
        <f aca="false">IF($BZ284&lt;&gt;Constants!$B$8,"",$BD284)</f>
        <v/>
      </c>
      <c r="BK284" s="138" t="str">
        <f aca="false">IF($BZ284&lt;&gt;Constants!$B$8,"",IF($AL284,$AN284,""))</f>
        <v/>
      </c>
      <c r="BL284" s="140" t="str">
        <f aca="false">IF($BZ284&lt;&gt;Constants!$B$8,"",$AI284)</f>
        <v/>
      </c>
      <c r="BM284" s="135" t="str">
        <f aca="false">IF($BZ284&lt;&gt;Constants!$B$8,"",IF(OR($BT284&lt;$BH284,AND($BT284=$BH284,OR($BU284&lt;$BI284,AND($BU284=$BI284,OR($BV284&lt;$BJ284,AND($BV284=$BJ284,OR(AND(ISNUMBER($BW284),OR(NOT(ISNUMBER($BK284)),$BW284&lt;$BK284)),AND(OR(AND($BW284="",$BK284=""),AND(ISNUMBER($BW284),ISNUMBER($BK284),$BW284=$BK284)),$BX284&lt;$BL284)))))))),"-&gt;","&lt;-"))</f>
        <v/>
      </c>
      <c r="BN284" s="134" t="str">
        <f aca="false">IF(ISBLANK($C284),"",AND($AT284,OR($AU284="",$AV284="",AND($AW284,$AX284=""))))</f>
        <v/>
      </c>
      <c r="BO284" s="137" t="str">
        <f aca="false">IF($BZ284&lt;&gt;Constants!$B$8,"",IF($AT284,Constants!$B$21*$AV284+Constants!$B$22*IF($AW284,$AX284,Constants!$B$23),Constants!$B$24))</f>
        <v/>
      </c>
      <c r="BP284" s="138" t="str">
        <f aca="false">IF($BZ284&lt;&gt;Constants!$B$8,"",Constants!$B$25*ABS($AD$9-IF($AT284,$AU284,0)))</f>
        <v/>
      </c>
      <c r="BQ284" s="138" t="str">
        <f aca="false">IF($BZ284&lt;&gt;Constants!$B$8,"",IF(AND($AT284,$AY284,$AW284),Constants!$B$27,0))</f>
        <v/>
      </c>
      <c r="BR284" s="138" t="str">
        <f aca="false">IF($BZ284&lt;&gt;Constants!$B$8,"",IF($AT284,($AI284-Constants!$B$29)*Constants!$B$28,0))</f>
        <v/>
      </c>
      <c r="BS284" s="138" t="str">
        <f aca="false">IF($BZ284&lt;&gt;Constants!$B$8,"",IF($AS284,0,Constants!$B$15)+IF($AR284,0,Constants!$B$16)+IF($AH284,0,Constants!$B$17))</f>
        <v/>
      </c>
      <c r="BT284" s="139" t="str">
        <f aca="false">IF($BZ284&lt;&gt;Constants!$B$8,"",Constants!$B$20+SUM($BO284:$BS284))</f>
        <v/>
      </c>
      <c r="BU284" s="138" t="str">
        <f aca="false">IF($BZ284&lt;&gt;Constants!$B$8,"",$BO284)</f>
        <v/>
      </c>
      <c r="BV284" s="138" t="str">
        <f aca="false">IF($BZ284&lt;&gt;Constants!$B$8,"",$BP284)</f>
        <v/>
      </c>
      <c r="BW284" s="138" t="str">
        <f aca="false">IF($BZ284&lt;&gt;Constants!$B$8,"",IF($AT284,$AV284,""))</f>
        <v/>
      </c>
      <c r="BX284" s="140" t="str">
        <f aca="false">IF($BZ284&lt;&gt;Constants!$B$8,"",$AI284)</f>
        <v/>
      </c>
      <c r="BY284" s="135" t="str">
        <f aca="false">IF(ISBLANK($C284),"",IF(ISBLANK($D$7),$BY$5,IF(NOT(ISNUMBER($D$7)),$BY$6,"")))</f>
        <v/>
      </c>
      <c r="BZ284" s="135" t="str">
        <f aca="false">IF(ISBLANK($C284),"",IF($BA284,Constants!$B$11,IF(COUNTA($E284:$AA284)=0,Constants!$B$10,IF(NOT($AG284),Constants!$B$9,IF(OR($BY284&lt;&gt;"",$BB284,$BN284),Constants!$B$12,Constants!$B$8)))))</f>
        <v/>
      </c>
      <c r="CA284" s="135" t="str">
        <f aca="false">IF(ISBLANK($C284),"",IF($BZ284&lt;&gt;Constants!$B$8,$BZ284,Constants!$B$13))</f>
        <v/>
      </c>
      <c r="CB284" s="138" t="str">
        <f aca="false">IF($BZ284&lt;&gt;Constants!$B$8,"",IF($BM284="-&gt;",$BT284,$BH284))</f>
        <v/>
      </c>
      <c r="CC284" s="138" t="str">
        <f aca="false">IF($BZ284&lt;&gt;Constants!$B$8,"",IF($AF284,0,Constants!$B$18))</f>
        <v/>
      </c>
      <c r="CD284" s="138" t="str">
        <f aca="false">IF($BZ284&lt;&gt;Constants!$B$8,"",((Constants!$B$31-$AZ284)-Constants!$B$31)/Constants!$B$32)</f>
        <v/>
      </c>
      <c r="CE284" s="138" t="str">
        <f aca="false">IF(ISBLANK($C284),"",IF($BZ284&lt;&gt;Constants!$B$8,$BZ284,SUM($CB284:$CD284)))</f>
        <v/>
      </c>
      <c r="CF284" s="135" t="str">
        <f aca="false">IF(ISBLANK($C284),"",IF($BZ284&lt;&gt;Constants!$B$8,$BZ284,RANK($CE284,$CE$9:$CE$508,1)))</f>
        <v/>
      </c>
      <c r="CG284" s="138" t="str">
        <f aca="false">IF($BZ284&lt;&gt;Constants!$B$8,"",IF($BM284="-&gt;",$BU284,$BI284))</f>
        <v/>
      </c>
      <c r="CH284" s="135" t="str">
        <f aca="false">IF(ISBLANK($C284),"",IF($BZ284&lt;&gt;Constants!$B$8,$BZ284,IF(ISNUMBER($CG284),RANK($CG284,$CG$9:$CG$508,1),COUNT($CG$9:$CG$508)+1)))</f>
        <v/>
      </c>
      <c r="CI284" s="138" t="str">
        <f aca="false">IF($BZ284&lt;&gt;Constants!$B$8,"",IF($BM284="-&gt;",$BV284,$BJ284))</f>
        <v/>
      </c>
      <c r="CJ284" s="135" t="str">
        <f aca="false">IF(ISBLANK($C284),"",IF($BZ284&lt;&gt;Constants!$B$8,$BZ284,IF(ISNUMBER($CI284),RANK($CI284,$CI$9:$CI$508,1),COUNT($CI$9:$CI$508)+1)))</f>
        <v/>
      </c>
      <c r="CK284" s="138" t="str">
        <f aca="false">IF($BZ284&lt;&gt;Constants!$B$8,"",IF($BM284="-&gt;",$BW284,$BK284))</f>
        <v/>
      </c>
      <c r="CL284" s="135" t="str">
        <f aca="false">IF(ISBLANK($C284),"",IF($BZ284&lt;&gt;Constants!$B$8,$BZ284,IF(ISNUMBER($CK284),RANK($CK284,$CK$9:$CK$508,1),COUNT($CK$9:$CK$508)+1)))</f>
        <v/>
      </c>
      <c r="CM284" s="138" t="str">
        <f aca="false">IF($BZ284&lt;&gt;Constants!$B$8,"",IF(AND(NOT($AL284),NOT($AT284),$AJ284,$AK284,$AR284,$AS284),"",IF($BM284="-&gt;",$BX284,$BL284)))</f>
        <v/>
      </c>
      <c r="CN284" s="135" t="str">
        <f aca="false">IF(ISBLANK($C284),"",IF($BZ284&lt;&gt;Constants!$B$8,$BZ284,IF(ISNUMBER($CM284),RANK($CM284,$CM$9:$CM$508,1),COUNT($CM$9:$CM$508)+1)))</f>
        <v/>
      </c>
      <c r="CO284" s="135" t="str">
        <f aca="false">IF(ISBLANK($C284),"",IF($BZ284&lt;&gt;Constants!$B$8,$BZ284,COUNTIFS($CF$9:$CF$508,"&lt;"&amp;$CF284)+COUNTIFS($CF$9:$CF$508,$CF284,$CH$9:$CH$508,"&lt;"&amp;$CH284)+COUNTIFS($CF$9:$CF$508,$CF284,$CH$9:$CH$508,$CH284,$CJ$9:$CJ$508,"&lt;"&amp;$CJ284)+COUNTIFS($CF$9:$CF$508,$CF284,$CH$9:$CH$508,$CH284,$CJ$9:$CJ$508,$CJ284,$CL$9:$CL$508,"&lt;"&amp;$CL284)+COUNTIFS($CF$9:$CF$508,$CF284,$CH$9:$CH$508,$CH284,$CJ$9:$CJ$508,$CJ284,$CL$9:$CL$508,$CL284,$CN$9:$CN$508,"&lt;"&amp;$CN284)+1))</f>
        <v/>
      </c>
      <c r="CP284" s="135" t="str">
        <f aca="false">IF(ISBLANK($C284),"",IF($BZ284&lt;&gt;Constants!$B$8,$BZ284,$CF284-$CO284))</f>
        <v/>
      </c>
      <c r="CQ284" s="141"/>
      <c r="CR284" s="142"/>
      <c r="CS284" s="143" t="str">
        <f aca="false">IF(ISBLANK($C284),"",IF($BZ284=Constants!$B$12,$BY284,""))</f>
        <v/>
      </c>
      <c r="CT284" s="142" t="str">
        <f aca="false">IF(ISBLANK($C284),"",IF($BZ284&lt;&gt;Constants!$B$8,"",IF($BM284="-&gt;",2,1)))</f>
        <v/>
      </c>
      <c r="CU284" s="144" t="str">
        <f aca="false">IF(ISBLANK($C284),"",IF($BZ284&lt;&gt;Constants!$B$8,"",IF($BM284="-&gt;",$BO284,$BC284)))</f>
        <v/>
      </c>
      <c r="CV284" s="144" t="str">
        <f aca="false">IF(ISBLANK($C284),"",IF($BZ284&lt;&gt;Constants!$B$8,"",IF($BM284="-&gt;",$BP284,$BD284)))</f>
        <v/>
      </c>
      <c r="CW284" s="144" t="str">
        <f aca="false">IF(ISBLANK($C284),"",IF($BZ284&lt;&gt;Constants!$B$8,"",IF($BM284="-&gt;",$BQ284+$BR284,$BE284+$BF284)+$CD284))</f>
        <v/>
      </c>
      <c r="CX284" s="144" t="str">
        <f aca="false">IF(ISBLANK($C284),"",IF($BZ284&lt;&gt;Constants!$B$8,"",IF($BM284="-&gt;",$BS284,$BG284)+$CC284))</f>
        <v/>
      </c>
      <c r="CY284" s="145" t="str">
        <f aca="false">IF(ISBLANK($C284),"",IF($BZ284&lt;&gt;Constants!$B$8,$BZ284,$CE284))</f>
        <v/>
      </c>
      <c r="CZ284" s="146" t="str">
        <f aca="false">IF(ISBLANK($C284),"",$CA284)</f>
        <v/>
      </c>
      <c r="DA284" s="147" t="str">
        <f aca="false">IF(ISBLANK($C284),"",$CP284)</f>
        <v/>
      </c>
      <c r="DB284" s="147" t="str">
        <f aca="false">IF(ISBLANK($C284),"",$CO284)</f>
        <v/>
      </c>
      <c r="DC284" s="148" t="str">
        <f aca="false">IF(ISBLANK($C284),"",IFERROR(_xlfn.SWITCH($DB284,Constants!$B$11,COUNTA($C$9:$C$508)+2,Constants!$B$10,COUNTA($C$9:$C$508)+1,Constants!$B$9,COUNTA($C$9:$C$508)),$DB284))</f>
        <v/>
      </c>
      <c r="DD284" s="9"/>
      <c r="DE284" s="149" t="n">
        <f aca="false">IF(OR(ISNUMBER($DB284),$DB284=Constants!$B$11,$DB284=Constants!$B$9,$DB284=Constants!$B$10),1,0)</f>
        <v>0</v>
      </c>
      <c r="DF284" s="149" t="n">
        <v>276</v>
      </c>
      <c r="DG284" s="149" t="str">
        <f aca="false">IF(ISBLANK($C284),"",IF(ISNUMBER($DC284),$DC284+ROW($B284)/1000,""))</f>
        <v/>
      </c>
      <c r="DH284" s="149" t="str">
        <f aca="false">IF(ISNUMBER($DG284),RANK($DG284,$DG$9:$DG$508,1),"")</f>
        <v/>
      </c>
      <c r="DI284" s="149" t="str">
        <f aca="false">IF(ISBLANK($C284),"",$B284)</f>
        <v/>
      </c>
      <c r="DJ284" s="149" t="str">
        <f aca="false">IF(ISBLANK($C284),"",$C284)</f>
        <v/>
      </c>
      <c r="DK284" s="149" t="str">
        <f aca="false">IF(ISBLANK($C284),"",$D284)</f>
        <v/>
      </c>
      <c r="DL284" s="150" t="str">
        <f aca="false">$CZ284</f>
        <v/>
      </c>
      <c r="DM284" s="151" t="str">
        <f aca="false">$CY284</f>
        <v/>
      </c>
      <c r="DN284" s="149" t="str">
        <f aca="false">IF(ISBLANK($C284),"",$DB284)</f>
        <v/>
      </c>
      <c r="DO284" s="152" t="str">
        <f aca="false">IF($DF284&gt;$DE$8,"",VLOOKUP($DF284,$DH$9:$DN$508,7,FALSE()))</f>
        <v/>
      </c>
      <c r="DP284" s="153" t="str">
        <f aca="false">IF($DF284&gt;$DE$8,"",VLOOKUP($DF284,$DH$9:$DN$508,2,FALSE()))</f>
        <v/>
      </c>
      <c r="DQ284" s="153" t="str">
        <f aca="false">IF($DF284&gt;$DE$8,"",VLOOKUP($DF284,$DH$9:$DN$508,3,FALSE()))</f>
        <v/>
      </c>
      <c r="DR284" s="153" t="str">
        <f aca="false">IF($DF284&gt;$DE$8,"",VLOOKUP($DF284,$DH$9:$DN$508,4,FALSE()))</f>
        <v/>
      </c>
      <c r="DS284" s="153" t="str">
        <f aca="false">IF($DF284&gt;$DE$8,"",VLOOKUP($DF284,$DH$9:$DN$508,5,FALSE()))</f>
        <v/>
      </c>
      <c r="DT284" s="154" t="str">
        <f aca="false">IF($DF284&gt;$DE$8,"",VLOOKUP($DF284,$DH$9:$DN$508,6,FALSE()))</f>
        <v/>
      </c>
      <c r="DU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IF(ISBLANK($C285),"",IF(E285=Constants!$B$3,TRUE(),IF(E285=Constants!$B$4,FALSE(),TRUE())))</f>
        <v/>
      </c>
      <c r="AG285" s="93" t="str">
        <f aca="false">IF(ISBLANK($C285),"",IF(F285=Constants!$B$3,TRUE(),IF(F285=Constants!$B$4,FALSE(),TRUE())))</f>
        <v/>
      </c>
      <c r="AH285" s="93" t="str">
        <f aca="false">IF(ISBLANK($C285),"",IF(G285=Constants!$B$3,TRUE(),IF(G285=Constants!$B$4,FALSE(),TRUE())))</f>
        <v/>
      </c>
      <c r="AI285" s="93" t="str">
        <f aca="false">IF(ISBLANK($C285),"",IF(AND(ISNUMBER(H285),H285&gt;=0),H285,Constants!$B$29))</f>
        <v/>
      </c>
      <c r="AJ285" s="93" t="str">
        <f aca="false">IF(ISBLANK($C285),"",IF(I285=Constants!$B$3,TRUE(),IF(I285=Constants!$B$4,FALSE(),TRUE())))</f>
        <v/>
      </c>
      <c r="AK285" s="93" t="str">
        <f aca="false">IF(ISBLANK($C285),"",IF(J285=Constants!$B$3,TRUE(),IF(J285=Constants!$B$4,FALSE(),TRUE())))</f>
        <v/>
      </c>
      <c r="AL285" s="93" t="str">
        <f aca="false">IF(ISBLANK($C285),"",IF(K285=Constants!$B$5,TRUE(),IF(K285=Constants!$B$6,FALSE(),COUNTA(L285:P285)&gt;0)))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IF(ISBLANK($C285),"",IF(N285=Constants!$B$3,TRUE(),IF(N285=Constants!$B$4,FALSE(),TRUE())))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IF(ISBLANK($C285),"",IF(P285=Constants!$B$3,TRUE(),IF(P285=Constants!$B$4,FALSE(),FALSE())))</f>
        <v/>
      </c>
      <c r="AR285" s="93" t="str">
        <f aca="false">IF(ISBLANK($C285),"",IF(Q285=Constants!$B$3,TRUE(),IF(Q285=Constants!$B$4,FALSE(),TRUE())))</f>
        <v/>
      </c>
      <c r="AS285" s="93" t="str">
        <f aca="false">IF(ISBLANK($C285),"",IF(R285=Constants!$B$3,TRUE(),IF(R285=Constants!$B$4,FALSE(),TRUE())))</f>
        <v/>
      </c>
      <c r="AT285" s="93" t="str">
        <f aca="false">IF(ISBLANK($C285),"",IF(S285=Constants!$B$5,TRUE(),IF(S285=Constants!$B$6,FALSE(),COUNTA(T285:X285)&gt;0)))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IF(ISBLANK($C285),"",IF(V285=Constants!$B$3,TRUE(),IF(V285=Constants!$B$4,FALSE(),TRUE())))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IF(ISBLANK($C285),"",IF(X285=Constants!$B$3,TRUE(),IF(X285=Constants!$B$4,FALSE(),FALSE())))</f>
        <v/>
      </c>
      <c r="AZ285" s="93" t="str">
        <f aca="false">IF(ISBLANK($C285),"",MIN(Constants!$B$31,MAX(0,IF(ISNUMBER(Y285),Y285*60,0)+IF(ISNUMBER(Z285),Z285,0))))</f>
        <v/>
      </c>
      <c r="BA285" s="93" t="str">
        <f aca="false">IF(ISBLANK($C285),"",IF(AA285=Constants!$B$3,TRUE(),IF(AA285=Constants!$B$4,FALSE(),FALSE())))</f>
        <v/>
      </c>
      <c r="BB285" s="92" t="str">
        <f aca="false">IF(ISBLANK($C285),"",AND($AL285,OR($AM285="",$AN285="",AND($AO285,$AP285=""))))</f>
        <v/>
      </c>
      <c r="BC285" s="94" t="str">
        <f aca="false">IF($BZ285&lt;&gt;Constants!$B$8,"",IF($AL285,Constants!$B$21*$AN285+Constants!$B$22*IF($AO285,$AP285,Constants!$B$23),Constants!$B$24))</f>
        <v/>
      </c>
      <c r="BD285" s="97" t="str">
        <f aca="false">IF($BZ285&lt;&gt;Constants!$B$8,"",Constants!$B$25*ABS($AD$9-IF($AL285,$AM285,0)))</f>
        <v/>
      </c>
      <c r="BE285" s="97" t="str">
        <f aca="false">IF($BZ285&lt;&gt;Constants!$B$8,"",IF(AND($AL285,$AQ285,$AO285),Constants!$B$27,0))</f>
        <v/>
      </c>
      <c r="BF285" s="97" t="str">
        <f aca="false">IF($BZ285&lt;&gt;Constants!$B$8,"",IF($AL285,($AI285-Constants!$B$29)*Constants!$B$28,0))</f>
        <v/>
      </c>
      <c r="BG285" s="97" t="str">
        <f aca="false">IF($BZ285&lt;&gt;Constants!$B$8,"",IF($AK285,0,Constants!$B$15)+IF($AJ285,0,Constants!$B$16)+IF($AH285,0,Constants!$B$17))</f>
        <v/>
      </c>
      <c r="BH285" s="98" t="str">
        <f aca="false">IF($BZ285&lt;&gt;Constants!$B$8,"",Constants!$B$20+SUM($BC285:$BG285))</f>
        <v/>
      </c>
      <c r="BI285" s="97" t="str">
        <f aca="false">IF($BZ285&lt;&gt;Constants!$B$8,"",$BC285)</f>
        <v/>
      </c>
      <c r="BJ285" s="97" t="str">
        <f aca="false">IF($BZ285&lt;&gt;Constants!$B$8,"",$BD285)</f>
        <v/>
      </c>
      <c r="BK285" s="97" t="str">
        <f aca="false">IF($BZ285&lt;&gt;Constants!$B$8,"",IF($AL285,$AN285,""))</f>
        <v/>
      </c>
      <c r="BL285" s="99" t="str">
        <f aca="false">IF($BZ285&lt;&gt;Constants!$B$8,"",$AI285)</f>
        <v/>
      </c>
      <c r="BM285" s="93" t="str">
        <f aca="false">IF($BZ285&lt;&gt;Constants!$B$8,"",IF(OR($BT285&lt;$BH285,AND($BT285=$BH285,OR($BU285&lt;$BI285,AND($BU285=$BI285,OR($BV285&lt;$BJ285,AND($BV285=$BJ285,OR(AND(ISNUMBER($BW285),OR(NOT(ISNUMBER($BK285)),$BW285&lt;$BK285)),AND(OR(AND($BW285="",$BK285=""),AND(ISNUMBER($BW285),ISNUMBER($BK285),$BW285=$BK285)),$BX285&lt;$BL285)))))))),"-&gt;","&lt;-"))</f>
        <v/>
      </c>
      <c r="BN285" s="92" t="str">
        <f aca="false">IF(ISBLANK($C285),"",AND($AT285,OR($AU285="",$AV285="",AND($AW285,$AX285=""))))</f>
        <v/>
      </c>
      <c r="BO285" s="94" t="str">
        <f aca="false">IF($BZ285&lt;&gt;Constants!$B$8,"",IF($AT285,Constants!$B$21*$AV285+Constants!$B$22*IF($AW285,$AX285,Constants!$B$23),Constants!$B$24))</f>
        <v/>
      </c>
      <c r="BP285" s="97" t="str">
        <f aca="false">IF($BZ285&lt;&gt;Constants!$B$8,"",Constants!$B$25*ABS($AD$9-IF($AT285,$AU285,0)))</f>
        <v/>
      </c>
      <c r="BQ285" s="97" t="str">
        <f aca="false">IF($BZ285&lt;&gt;Constants!$B$8,"",IF(AND($AT285,$AY285,$AW285),Constants!$B$27,0))</f>
        <v/>
      </c>
      <c r="BR285" s="97" t="str">
        <f aca="false">IF($BZ285&lt;&gt;Constants!$B$8,"",IF($AT285,($AI285-Constants!$B$29)*Constants!$B$28,0))</f>
        <v/>
      </c>
      <c r="BS285" s="97" t="str">
        <f aca="false">IF($BZ285&lt;&gt;Constants!$B$8,"",IF($AS285,0,Constants!$B$15)+IF($AR285,0,Constants!$B$16)+IF($AH285,0,Constants!$B$17))</f>
        <v/>
      </c>
      <c r="BT285" s="98" t="str">
        <f aca="false">IF($BZ285&lt;&gt;Constants!$B$8,"",Constants!$B$20+SUM($BO285:$BS285))</f>
        <v/>
      </c>
      <c r="BU285" s="97" t="str">
        <f aca="false">IF($BZ285&lt;&gt;Constants!$B$8,"",$BO285)</f>
        <v/>
      </c>
      <c r="BV285" s="97" t="str">
        <f aca="false">IF($BZ285&lt;&gt;Constants!$B$8,"",$BP285)</f>
        <v/>
      </c>
      <c r="BW285" s="97" t="str">
        <f aca="false">IF($BZ285&lt;&gt;Constants!$B$8,"",IF($AT285,$AV285,""))</f>
        <v/>
      </c>
      <c r="BX285" s="99" t="str">
        <f aca="false">IF($BZ285&lt;&gt;Constants!$B$8,"",$AI285)</f>
        <v/>
      </c>
      <c r="BY285" s="93" t="str">
        <f aca="false">IF(ISBLANK($C285),"",IF(ISBLANK($D$7),$BY$5,IF(NOT(ISNUMBER($D$7)),$BY$6,"")))</f>
        <v/>
      </c>
      <c r="BZ285" s="93" t="str">
        <f aca="false">IF(ISBLANK($C285),"",IF($BA285,Constants!$B$11,IF(COUNTA($E285:$AA285)=0,Constants!$B$10,IF(NOT($AG285),Constants!$B$9,IF(OR($BY285&lt;&gt;"",$BB285,$BN285),Constants!$B$12,Constants!$B$8)))))</f>
        <v/>
      </c>
      <c r="CA285" s="93" t="str">
        <f aca="false">IF(ISBLANK($C285),"",IF($BZ285&lt;&gt;Constants!$B$8,$BZ285,Constants!$B$13))</f>
        <v/>
      </c>
      <c r="CB285" s="97" t="str">
        <f aca="false">IF($BZ285&lt;&gt;Constants!$B$8,"",IF($BM285="-&gt;",$BT285,$BH285))</f>
        <v/>
      </c>
      <c r="CC285" s="97" t="str">
        <f aca="false">IF($BZ285&lt;&gt;Constants!$B$8,"",IF($AF285,0,Constants!$B$18))</f>
        <v/>
      </c>
      <c r="CD285" s="97" t="str">
        <f aca="false">IF($BZ285&lt;&gt;Constants!$B$8,"",((Constants!$B$31-$AZ285)-Constants!$B$31)/Constants!$B$32)</f>
        <v/>
      </c>
      <c r="CE285" s="97" t="str">
        <f aca="false">IF(ISBLANK($C285),"",IF($BZ285&lt;&gt;Constants!$B$8,$BZ285,SUM($CB285:$CD285)))</f>
        <v/>
      </c>
      <c r="CF285" s="93" t="str">
        <f aca="false">IF(ISBLANK($C285),"",IF($BZ285&lt;&gt;Constants!$B$8,$BZ285,RANK($CE285,$CE$9:$CE$508,1)))</f>
        <v/>
      </c>
      <c r="CG285" s="97" t="str">
        <f aca="false">IF($BZ285&lt;&gt;Constants!$B$8,"",IF($BM285="-&gt;",$BU285,$BI285))</f>
        <v/>
      </c>
      <c r="CH285" s="93" t="str">
        <f aca="false">IF(ISBLANK($C285),"",IF($BZ285&lt;&gt;Constants!$B$8,$BZ285,IF(ISNUMBER($CG285),RANK($CG285,$CG$9:$CG$508,1),COUNT($CG$9:$CG$508)+1)))</f>
        <v/>
      </c>
      <c r="CI285" s="97" t="str">
        <f aca="false">IF($BZ285&lt;&gt;Constants!$B$8,"",IF($BM285="-&gt;",$BV285,$BJ285))</f>
        <v/>
      </c>
      <c r="CJ285" s="93" t="str">
        <f aca="false">IF(ISBLANK($C285),"",IF($BZ285&lt;&gt;Constants!$B$8,$BZ285,IF(ISNUMBER($CI285),RANK($CI285,$CI$9:$CI$508,1),COUNT($CI$9:$CI$508)+1)))</f>
        <v/>
      </c>
      <c r="CK285" s="97" t="str">
        <f aca="false">IF($BZ285&lt;&gt;Constants!$B$8,"",IF($BM285="-&gt;",$BW285,$BK285))</f>
        <v/>
      </c>
      <c r="CL285" s="93" t="str">
        <f aca="false">IF(ISBLANK($C285),"",IF($BZ285&lt;&gt;Constants!$B$8,$BZ285,IF(ISNUMBER($CK285),RANK($CK285,$CK$9:$CK$508,1),COUNT($CK$9:$CK$508)+1)))</f>
        <v/>
      </c>
      <c r="CM285" s="97" t="str">
        <f aca="false">IF($BZ285&lt;&gt;Constants!$B$8,"",IF(AND(NOT($AL285),NOT($AT285),$AJ285,$AK285,$AR285,$AS285),"",IF($BM285="-&gt;",$BX285,$BL285)))</f>
        <v/>
      </c>
      <c r="CN285" s="93" t="str">
        <f aca="false">IF(ISBLANK($C285),"",IF($BZ285&lt;&gt;Constants!$B$8,$BZ285,IF(ISNUMBER($CM285),RANK($CM285,$CM$9:$CM$508,1),COUNT($CM$9:$CM$508)+1)))</f>
        <v/>
      </c>
      <c r="CO285" s="93" t="str">
        <f aca="false">IF(ISBLANK($C285),"",IF($BZ285&lt;&gt;Constants!$B$8,$BZ285,COUNTIFS($CF$9:$CF$508,"&lt;"&amp;$CF285)+COUNTIFS($CF$9:$CF$508,$CF285,$CH$9:$CH$508,"&lt;"&amp;$CH285)+COUNTIFS($CF$9:$CF$508,$CF285,$CH$9:$CH$508,$CH285,$CJ$9:$CJ$508,"&lt;"&amp;$CJ285)+COUNTIFS($CF$9:$CF$508,$CF285,$CH$9:$CH$508,$CH285,$CJ$9:$CJ$508,$CJ285,$CL$9:$CL$508,"&lt;"&amp;$CL285)+COUNTIFS($CF$9:$CF$508,$CF285,$CH$9:$CH$508,$CH285,$CJ$9:$CJ$508,$CJ285,$CL$9:$CL$508,$CL285,$CN$9:$CN$508,"&lt;"&amp;$CN285)+1))</f>
        <v/>
      </c>
      <c r="CP285" s="93" t="str">
        <f aca="false">IF(ISBLANK($C285),"",IF($BZ285&lt;&gt;Constants!$B$8,$BZ285,$CF285-$CO285))</f>
        <v/>
      </c>
      <c r="CQ285" s="100"/>
      <c r="CR285" s="101"/>
      <c r="CS285" s="102" t="str">
        <f aca="false">IF(ISBLANK($C285),"",IF($BZ285=Constants!$B$12,$BY285,""))</f>
        <v/>
      </c>
      <c r="CT285" s="101" t="str">
        <f aca="false">IF(ISBLANK($C285),"",IF($BZ285&lt;&gt;Constants!$B$8,"",IF($BM285="-&gt;",2,1)))</f>
        <v/>
      </c>
      <c r="CU285" s="103" t="str">
        <f aca="false">IF(ISBLANK($C285),"",IF($BZ285&lt;&gt;Constants!$B$8,"",IF($BM285="-&gt;",$BO285,$BC285)))</f>
        <v/>
      </c>
      <c r="CV285" s="103" t="str">
        <f aca="false">IF(ISBLANK($C285),"",IF($BZ285&lt;&gt;Constants!$B$8,"",IF($BM285="-&gt;",$BP285,$BD285)))</f>
        <v/>
      </c>
      <c r="CW285" s="103" t="str">
        <f aca="false">IF(ISBLANK($C285),"",IF($BZ285&lt;&gt;Constants!$B$8,"",IF($BM285="-&gt;",$BQ285+$BR285,$BE285+$BF285)+$CD285))</f>
        <v/>
      </c>
      <c r="CX285" s="103" t="str">
        <f aca="false">IF(ISBLANK($C285),"",IF($BZ285&lt;&gt;Constants!$B$8,"",IF($BM285="-&gt;",$BS285,$BG285)+$CC285))</f>
        <v/>
      </c>
      <c r="CY285" s="104" t="str">
        <f aca="false">IF(ISBLANK($C285),"",IF($BZ285&lt;&gt;Constants!$B$8,$BZ285,$CE285))</f>
        <v/>
      </c>
      <c r="CZ285" s="105" t="str">
        <f aca="false">IF(ISBLANK($C285),"",$CA285)</f>
        <v/>
      </c>
      <c r="DA285" s="106" t="str">
        <f aca="false">IF(ISBLANK($C285),"",$CP285)</f>
        <v/>
      </c>
      <c r="DB285" s="106" t="str">
        <f aca="false">IF(ISBLANK($C285),"",$CO285)</f>
        <v/>
      </c>
      <c r="DC285" s="107" t="str">
        <f aca="false">IF(ISBLANK($C285),"",IFERROR(_xlfn.SWITCH($DB285,Constants!$B$11,COUNTA($C$9:$C$508)+2,Constants!$B$10,COUNTA($C$9:$C$508)+1,Constants!$B$9,COUNTA($C$9:$C$508)),$DB285))</f>
        <v/>
      </c>
      <c r="DD285" s="9"/>
      <c r="DE285" s="108" t="n">
        <f aca="false">IF(OR(ISNUMBER($DB285),$DB285=Constants!$B$11,$DB285=Constants!$B$9,$DB285=Constants!$B$10),1,0)</f>
        <v>0</v>
      </c>
      <c r="DF285" s="108" t="n">
        <v>277</v>
      </c>
      <c r="DG285" s="108" t="str">
        <f aca="false">IF(ISBLANK($C285),"",IF(ISNUMBER($DC285),$DC285+ROW($B285)/1000,""))</f>
        <v/>
      </c>
      <c r="DH285" s="108" t="str">
        <f aca="false">IF(ISNUMBER($DG285),RANK($DG285,$DG$9:$DG$508,1),"")</f>
        <v/>
      </c>
      <c r="DI285" s="108" t="str">
        <f aca="false">IF(ISBLANK($C285),"",$B285)</f>
        <v/>
      </c>
      <c r="DJ285" s="108" t="str">
        <f aca="false">IF(ISBLANK($C285),"",$C285)</f>
        <v/>
      </c>
      <c r="DK285" s="108" t="str">
        <f aca="false">IF(ISBLANK($C285),"",$D285)</f>
        <v/>
      </c>
      <c r="DL285" s="109" t="str">
        <f aca="false">$CZ285</f>
        <v/>
      </c>
      <c r="DM285" s="110" t="str">
        <f aca="false">$CY285</f>
        <v/>
      </c>
      <c r="DN285" s="108" t="str">
        <f aca="false">IF(ISBLANK($C285),"",$DB285)</f>
        <v/>
      </c>
      <c r="DO285" s="111" t="str">
        <f aca="false">IF($DF285&gt;$DE$8,"",VLOOKUP($DF285,$DH$9:$DN$508,7,FALSE()))</f>
        <v/>
      </c>
      <c r="DP285" s="112" t="str">
        <f aca="false">IF($DF285&gt;$DE$8,"",VLOOKUP($DF285,$DH$9:$DN$508,2,FALSE()))</f>
        <v/>
      </c>
      <c r="DQ285" s="112" t="str">
        <f aca="false">IF($DF285&gt;$DE$8,"",VLOOKUP($DF285,$DH$9:$DN$508,3,FALSE()))</f>
        <v/>
      </c>
      <c r="DR285" s="112" t="str">
        <f aca="false">IF($DF285&gt;$DE$8,"",VLOOKUP($DF285,$DH$9:$DN$508,4,FALSE()))</f>
        <v/>
      </c>
      <c r="DS285" s="112" t="str">
        <f aca="false">IF($DF285&gt;$DE$8,"",VLOOKUP($DF285,$DH$9:$DN$508,5,FALSE()))</f>
        <v/>
      </c>
      <c r="DT285" s="113" t="str">
        <f aca="false">IF($DF285&gt;$DE$8,"",VLOOKUP($DF285,$DH$9:$DN$508,6,FALSE()))</f>
        <v/>
      </c>
      <c r="DU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IF(ISBLANK($C286),"",IF(E286=Constants!$B$3,TRUE(),IF(E286=Constants!$B$4,FALSE(),TRUE())))</f>
        <v/>
      </c>
      <c r="AG286" s="93" t="str">
        <f aca="false">IF(ISBLANK($C286),"",IF(F286=Constants!$B$3,TRUE(),IF(F286=Constants!$B$4,FALSE(),TRUE())))</f>
        <v/>
      </c>
      <c r="AH286" s="93" t="str">
        <f aca="false">IF(ISBLANK($C286),"",IF(G286=Constants!$B$3,TRUE(),IF(G286=Constants!$B$4,FALSE(),TRUE())))</f>
        <v/>
      </c>
      <c r="AI286" s="93" t="str">
        <f aca="false">IF(ISBLANK($C286),"",IF(AND(ISNUMBER(H286),H286&gt;=0),H286,Constants!$B$29))</f>
        <v/>
      </c>
      <c r="AJ286" s="93" t="str">
        <f aca="false">IF(ISBLANK($C286),"",IF(I286=Constants!$B$3,TRUE(),IF(I286=Constants!$B$4,FALSE(),TRUE())))</f>
        <v/>
      </c>
      <c r="AK286" s="93" t="str">
        <f aca="false">IF(ISBLANK($C286),"",IF(J286=Constants!$B$3,TRUE(),IF(J286=Constants!$B$4,FALSE(),TRUE())))</f>
        <v/>
      </c>
      <c r="AL286" s="93" t="str">
        <f aca="false">IF(ISBLANK($C286),"",IF(K286=Constants!$B$5,TRUE(),IF(K286=Constants!$B$6,FALSE(),COUNTA(L286:P286)&gt;0)))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IF(ISBLANK($C286),"",IF(N286=Constants!$B$3,TRUE(),IF(N286=Constants!$B$4,FALSE(),TRUE())))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IF(ISBLANK($C286),"",IF(P286=Constants!$B$3,TRUE(),IF(P286=Constants!$B$4,FALSE(),FALSE())))</f>
        <v/>
      </c>
      <c r="AR286" s="93" t="str">
        <f aca="false">IF(ISBLANK($C286),"",IF(Q286=Constants!$B$3,TRUE(),IF(Q286=Constants!$B$4,FALSE(),TRUE())))</f>
        <v/>
      </c>
      <c r="AS286" s="93" t="str">
        <f aca="false">IF(ISBLANK($C286),"",IF(R286=Constants!$B$3,TRUE(),IF(R286=Constants!$B$4,FALSE(),TRUE())))</f>
        <v/>
      </c>
      <c r="AT286" s="93" t="str">
        <f aca="false">IF(ISBLANK($C286),"",IF(S286=Constants!$B$5,TRUE(),IF(S286=Constants!$B$6,FALSE(),COUNTA(T286:X286)&gt;0)))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IF(ISBLANK($C286),"",IF(V286=Constants!$B$3,TRUE(),IF(V286=Constants!$B$4,FALSE(),TRUE())))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IF(ISBLANK($C286),"",IF(X286=Constants!$B$3,TRUE(),IF(X286=Constants!$B$4,FALSE(),FALSE())))</f>
        <v/>
      </c>
      <c r="AZ286" s="93" t="str">
        <f aca="false">IF(ISBLANK($C286),"",MIN(Constants!$B$31,MAX(0,IF(ISNUMBER(Y286),Y286*60,0)+IF(ISNUMBER(Z286),Z286,0))))</f>
        <v/>
      </c>
      <c r="BA286" s="93" t="str">
        <f aca="false">IF(ISBLANK($C286),"",IF(AA286=Constants!$B$3,TRUE(),IF(AA286=Constants!$B$4,FALSE(),FALSE())))</f>
        <v/>
      </c>
      <c r="BB286" s="92" t="str">
        <f aca="false">IF(ISBLANK($C286),"",AND($AL286,OR($AM286="",$AN286="",AND($AO286,$AP286=""))))</f>
        <v/>
      </c>
      <c r="BC286" s="94" t="str">
        <f aca="false">IF($BZ286&lt;&gt;Constants!$B$8,"",IF($AL286,Constants!$B$21*$AN286+Constants!$B$22*IF($AO286,$AP286,Constants!$B$23),Constants!$B$24))</f>
        <v/>
      </c>
      <c r="BD286" s="97" t="str">
        <f aca="false">IF($BZ286&lt;&gt;Constants!$B$8,"",Constants!$B$25*ABS($AD$9-IF($AL286,$AM286,0)))</f>
        <v/>
      </c>
      <c r="BE286" s="97" t="str">
        <f aca="false">IF($BZ286&lt;&gt;Constants!$B$8,"",IF(AND($AL286,$AQ286,$AO286),Constants!$B$27,0))</f>
        <v/>
      </c>
      <c r="BF286" s="97" t="str">
        <f aca="false">IF($BZ286&lt;&gt;Constants!$B$8,"",IF($AL286,($AI286-Constants!$B$29)*Constants!$B$28,0))</f>
        <v/>
      </c>
      <c r="BG286" s="97" t="str">
        <f aca="false">IF($BZ286&lt;&gt;Constants!$B$8,"",IF($AK286,0,Constants!$B$15)+IF($AJ286,0,Constants!$B$16)+IF($AH286,0,Constants!$B$17))</f>
        <v/>
      </c>
      <c r="BH286" s="98" t="str">
        <f aca="false">IF($BZ286&lt;&gt;Constants!$B$8,"",Constants!$B$20+SUM($BC286:$BG286))</f>
        <v/>
      </c>
      <c r="BI286" s="97" t="str">
        <f aca="false">IF($BZ286&lt;&gt;Constants!$B$8,"",$BC286)</f>
        <v/>
      </c>
      <c r="BJ286" s="97" t="str">
        <f aca="false">IF($BZ286&lt;&gt;Constants!$B$8,"",$BD286)</f>
        <v/>
      </c>
      <c r="BK286" s="97" t="str">
        <f aca="false">IF($BZ286&lt;&gt;Constants!$B$8,"",IF($AL286,$AN286,""))</f>
        <v/>
      </c>
      <c r="BL286" s="99" t="str">
        <f aca="false">IF($BZ286&lt;&gt;Constants!$B$8,"",$AI286)</f>
        <v/>
      </c>
      <c r="BM286" s="93" t="str">
        <f aca="false">IF($BZ286&lt;&gt;Constants!$B$8,"",IF(OR($BT286&lt;$BH286,AND($BT286=$BH286,OR($BU286&lt;$BI286,AND($BU286=$BI286,OR($BV286&lt;$BJ286,AND($BV286=$BJ286,OR(AND(ISNUMBER($BW286),OR(NOT(ISNUMBER($BK286)),$BW286&lt;$BK286)),AND(OR(AND($BW286="",$BK286=""),AND(ISNUMBER($BW286),ISNUMBER($BK286),$BW286=$BK286)),$BX286&lt;$BL286)))))))),"-&gt;","&lt;-"))</f>
        <v/>
      </c>
      <c r="BN286" s="92" t="str">
        <f aca="false">IF(ISBLANK($C286),"",AND($AT286,OR($AU286="",$AV286="",AND($AW286,$AX286=""))))</f>
        <v/>
      </c>
      <c r="BO286" s="94" t="str">
        <f aca="false">IF($BZ286&lt;&gt;Constants!$B$8,"",IF($AT286,Constants!$B$21*$AV286+Constants!$B$22*IF($AW286,$AX286,Constants!$B$23),Constants!$B$24))</f>
        <v/>
      </c>
      <c r="BP286" s="97" t="str">
        <f aca="false">IF($BZ286&lt;&gt;Constants!$B$8,"",Constants!$B$25*ABS($AD$9-IF($AT286,$AU286,0)))</f>
        <v/>
      </c>
      <c r="BQ286" s="97" t="str">
        <f aca="false">IF($BZ286&lt;&gt;Constants!$B$8,"",IF(AND($AT286,$AY286,$AW286),Constants!$B$27,0))</f>
        <v/>
      </c>
      <c r="BR286" s="97" t="str">
        <f aca="false">IF($BZ286&lt;&gt;Constants!$B$8,"",IF($AT286,($AI286-Constants!$B$29)*Constants!$B$28,0))</f>
        <v/>
      </c>
      <c r="BS286" s="97" t="str">
        <f aca="false">IF($BZ286&lt;&gt;Constants!$B$8,"",IF($AS286,0,Constants!$B$15)+IF($AR286,0,Constants!$B$16)+IF($AH286,0,Constants!$B$17))</f>
        <v/>
      </c>
      <c r="BT286" s="98" t="str">
        <f aca="false">IF($BZ286&lt;&gt;Constants!$B$8,"",Constants!$B$20+SUM($BO286:$BS286))</f>
        <v/>
      </c>
      <c r="BU286" s="97" t="str">
        <f aca="false">IF($BZ286&lt;&gt;Constants!$B$8,"",$BO286)</f>
        <v/>
      </c>
      <c r="BV286" s="97" t="str">
        <f aca="false">IF($BZ286&lt;&gt;Constants!$B$8,"",$BP286)</f>
        <v/>
      </c>
      <c r="BW286" s="97" t="str">
        <f aca="false">IF($BZ286&lt;&gt;Constants!$B$8,"",IF($AT286,$AV286,""))</f>
        <v/>
      </c>
      <c r="BX286" s="99" t="str">
        <f aca="false">IF($BZ286&lt;&gt;Constants!$B$8,"",$AI286)</f>
        <v/>
      </c>
      <c r="BY286" s="93" t="str">
        <f aca="false">IF(ISBLANK($C286),"",IF(ISBLANK($D$7),$BY$5,IF(NOT(ISNUMBER($D$7)),$BY$6,"")))</f>
        <v/>
      </c>
      <c r="BZ286" s="93" t="str">
        <f aca="false">IF(ISBLANK($C286),"",IF($BA286,Constants!$B$11,IF(COUNTA($E286:$AA286)=0,Constants!$B$10,IF(NOT($AG286),Constants!$B$9,IF(OR($BY286&lt;&gt;"",$BB286,$BN286),Constants!$B$12,Constants!$B$8)))))</f>
        <v/>
      </c>
      <c r="CA286" s="93" t="str">
        <f aca="false">IF(ISBLANK($C286),"",IF($BZ286&lt;&gt;Constants!$B$8,$BZ286,Constants!$B$13))</f>
        <v/>
      </c>
      <c r="CB286" s="97" t="str">
        <f aca="false">IF($BZ286&lt;&gt;Constants!$B$8,"",IF($BM286="-&gt;",$BT286,$BH286))</f>
        <v/>
      </c>
      <c r="CC286" s="97" t="str">
        <f aca="false">IF($BZ286&lt;&gt;Constants!$B$8,"",IF($AF286,0,Constants!$B$18))</f>
        <v/>
      </c>
      <c r="CD286" s="97" t="str">
        <f aca="false">IF($BZ286&lt;&gt;Constants!$B$8,"",((Constants!$B$31-$AZ286)-Constants!$B$31)/Constants!$B$32)</f>
        <v/>
      </c>
      <c r="CE286" s="97" t="str">
        <f aca="false">IF(ISBLANK($C286),"",IF($BZ286&lt;&gt;Constants!$B$8,$BZ286,SUM($CB286:$CD286)))</f>
        <v/>
      </c>
      <c r="CF286" s="93" t="str">
        <f aca="false">IF(ISBLANK($C286),"",IF($BZ286&lt;&gt;Constants!$B$8,$BZ286,RANK($CE286,$CE$9:$CE$508,1)))</f>
        <v/>
      </c>
      <c r="CG286" s="97" t="str">
        <f aca="false">IF($BZ286&lt;&gt;Constants!$B$8,"",IF($BM286="-&gt;",$BU286,$BI286))</f>
        <v/>
      </c>
      <c r="CH286" s="93" t="str">
        <f aca="false">IF(ISBLANK($C286),"",IF($BZ286&lt;&gt;Constants!$B$8,$BZ286,IF(ISNUMBER($CG286),RANK($CG286,$CG$9:$CG$508,1),COUNT($CG$9:$CG$508)+1)))</f>
        <v/>
      </c>
      <c r="CI286" s="97" t="str">
        <f aca="false">IF($BZ286&lt;&gt;Constants!$B$8,"",IF($BM286="-&gt;",$BV286,$BJ286))</f>
        <v/>
      </c>
      <c r="CJ286" s="93" t="str">
        <f aca="false">IF(ISBLANK($C286),"",IF($BZ286&lt;&gt;Constants!$B$8,$BZ286,IF(ISNUMBER($CI286),RANK($CI286,$CI$9:$CI$508,1),COUNT($CI$9:$CI$508)+1)))</f>
        <v/>
      </c>
      <c r="CK286" s="97" t="str">
        <f aca="false">IF($BZ286&lt;&gt;Constants!$B$8,"",IF($BM286="-&gt;",$BW286,$BK286))</f>
        <v/>
      </c>
      <c r="CL286" s="93" t="str">
        <f aca="false">IF(ISBLANK($C286),"",IF($BZ286&lt;&gt;Constants!$B$8,$BZ286,IF(ISNUMBER($CK286),RANK($CK286,$CK$9:$CK$508,1),COUNT($CK$9:$CK$508)+1)))</f>
        <v/>
      </c>
      <c r="CM286" s="97" t="str">
        <f aca="false">IF($BZ286&lt;&gt;Constants!$B$8,"",IF(AND(NOT($AL286),NOT($AT286),$AJ286,$AK286,$AR286,$AS286),"",IF($BM286="-&gt;",$BX286,$BL286)))</f>
        <v/>
      </c>
      <c r="CN286" s="93" t="str">
        <f aca="false">IF(ISBLANK($C286),"",IF($BZ286&lt;&gt;Constants!$B$8,$BZ286,IF(ISNUMBER($CM286),RANK($CM286,$CM$9:$CM$508,1),COUNT($CM$9:$CM$508)+1)))</f>
        <v/>
      </c>
      <c r="CO286" s="93" t="str">
        <f aca="false">IF(ISBLANK($C286),"",IF($BZ286&lt;&gt;Constants!$B$8,$BZ286,COUNTIFS($CF$9:$CF$508,"&lt;"&amp;$CF286)+COUNTIFS($CF$9:$CF$508,$CF286,$CH$9:$CH$508,"&lt;"&amp;$CH286)+COUNTIFS($CF$9:$CF$508,$CF286,$CH$9:$CH$508,$CH286,$CJ$9:$CJ$508,"&lt;"&amp;$CJ286)+COUNTIFS($CF$9:$CF$508,$CF286,$CH$9:$CH$508,$CH286,$CJ$9:$CJ$508,$CJ286,$CL$9:$CL$508,"&lt;"&amp;$CL286)+COUNTIFS($CF$9:$CF$508,$CF286,$CH$9:$CH$508,$CH286,$CJ$9:$CJ$508,$CJ286,$CL$9:$CL$508,$CL286,$CN$9:$CN$508,"&lt;"&amp;$CN286)+1))</f>
        <v/>
      </c>
      <c r="CP286" s="93" t="str">
        <f aca="false">IF(ISBLANK($C286),"",IF($BZ286&lt;&gt;Constants!$B$8,$BZ286,$CF286-$CO286))</f>
        <v/>
      </c>
      <c r="CQ286" s="100"/>
      <c r="CR286" s="101"/>
      <c r="CS286" s="102" t="str">
        <f aca="false">IF(ISBLANK($C286),"",IF($BZ286=Constants!$B$12,$BY286,""))</f>
        <v/>
      </c>
      <c r="CT286" s="101" t="str">
        <f aca="false">IF(ISBLANK($C286),"",IF($BZ286&lt;&gt;Constants!$B$8,"",IF($BM286="-&gt;",2,1)))</f>
        <v/>
      </c>
      <c r="CU286" s="103" t="str">
        <f aca="false">IF(ISBLANK($C286),"",IF($BZ286&lt;&gt;Constants!$B$8,"",IF($BM286="-&gt;",$BO286,$BC286)))</f>
        <v/>
      </c>
      <c r="CV286" s="103" t="str">
        <f aca="false">IF(ISBLANK($C286),"",IF($BZ286&lt;&gt;Constants!$B$8,"",IF($BM286="-&gt;",$BP286,$BD286)))</f>
        <v/>
      </c>
      <c r="CW286" s="103" t="str">
        <f aca="false">IF(ISBLANK($C286),"",IF($BZ286&lt;&gt;Constants!$B$8,"",IF($BM286="-&gt;",$BQ286+$BR286,$BE286+$BF286)+$CD286))</f>
        <v/>
      </c>
      <c r="CX286" s="103" t="str">
        <f aca="false">IF(ISBLANK($C286),"",IF($BZ286&lt;&gt;Constants!$B$8,"",IF($BM286="-&gt;",$BS286,$BG286)+$CC286))</f>
        <v/>
      </c>
      <c r="CY286" s="104" t="str">
        <f aca="false">IF(ISBLANK($C286),"",IF($BZ286&lt;&gt;Constants!$B$8,$BZ286,$CE286))</f>
        <v/>
      </c>
      <c r="CZ286" s="105" t="str">
        <f aca="false">IF(ISBLANK($C286),"",$CA286)</f>
        <v/>
      </c>
      <c r="DA286" s="106" t="str">
        <f aca="false">IF(ISBLANK($C286),"",$CP286)</f>
        <v/>
      </c>
      <c r="DB286" s="106" t="str">
        <f aca="false">IF(ISBLANK($C286),"",$CO286)</f>
        <v/>
      </c>
      <c r="DC286" s="107" t="str">
        <f aca="false">IF(ISBLANK($C286),"",IFERROR(_xlfn.SWITCH($DB286,Constants!$B$11,COUNTA($C$9:$C$508)+2,Constants!$B$10,COUNTA($C$9:$C$508)+1,Constants!$B$9,COUNTA($C$9:$C$508)),$DB286))</f>
        <v/>
      </c>
      <c r="DD286" s="9"/>
      <c r="DE286" s="108" t="n">
        <f aca="false">IF(OR(ISNUMBER($DB286),$DB286=Constants!$B$11,$DB286=Constants!$B$9,$DB286=Constants!$B$10),1,0)</f>
        <v>0</v>
      </c>
      <c r="DF286" s="108" t="n">
        <v>278</v>
      </c>
      <c r="DG286" s="108" t="str">
        <f aca="false">IF(ISBLANK($C286),"",IF(ISNUMBER($DC286),$DC286+ROW($B286)/1000,""))</f>
        <v/>
      </c>
      <c r="DH286" s="108" t="str">
        <f aca="false">IF(ISNUMBER($DG286),RANK($DG286,$DG$9:$DG$508,1),"")</f>
        <v/>
      </c>
      <c r="DI286" s="108" t="str">
        <f aca="false">IF(ISBLANK($C286),"",$B286)</f>
        <v/>
      </c>
      <c r="DJ286" s="108" t="str">
        <f aca="false">IF(ISBLANK($C286),"",$C286)</f>
        <v/>
      </c>
      <c r="DK286" s="108" t="str">
        <f aca="false">IF(ISBLANK($C286),"",$D286)</f>
        <v/>
      </c>
      <c r="DL286" s="109" t="str">
        <f aca="false">$CZ286</f>
        <v/>
      </c>
      <c r="DM286" s="110" t="str">
        <f aca="false">$CY286</f>
        <v/>
      </c>
      <c r="DN286" s="108" t="str">
        <f aca="false">IF(ISBLANK($C286),"",$DB286)</f>
        <v/>
      </c>
      <c r="DO286" s="111" t="str">
        <f aca="false">IF($DF286&gt;$DE$8,"",VLOOKUP($DF286,$DH$9:$DN$508,7,FALSE()))</f>
        <v/>
      </c>
      <c r="DP286" s="112" t="str">
        <f aca="false">IF($DF286&gt;$DE$8,"",VLOOKUP($DF286,$DH$9:$DN$508,2,FALSE()))</f>
        <v/>
      </c>
      <c r="DQ286" s="112" t="str">
        <f aca="false">IF($DF286&gt;$DE$8,"",VLOOKUP($DF286,$DH$9:$DN$508,3,FALSE()))</f>
        <v/>
      </c>
      <c r="DR286" s="112" t="str">
        <f aca="false">IF($DF286&gt;$DE$8,"",VLOOKUP($DF286,$DH$9:$DN$508,4,FALSE()))</f>
        <v/>
      </c>
      <c r="DS286" s="112" t="str">
        <f aca="false">IF($DF286&gt;$DE$8,"",VLOOKUP($DF286,$DH$9:$DN$508,5,FALSE()))</f>
        <v/>
      </c>
      <c r="DT286" s="113" t="str">
        <f aca="false">IF($DF286&gt;$DE$8,"",VLOOKUP($DF286,$DH$9:$DN$508,6,FALSE()))</f>
        <v/>
      </c>
      <c r="DU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IF(ISBLANK($C287),"",IF(E287=Constants!$B$3,TRUE(),IF(E287=Constants!$B$4,FALSE(),TRUE())))</f>
        <v/>
      </c>
      <c r="AG287" s="93" t="str">
        <f aca="false">IF(ISBLANK($C287),"",IF(F287=Constants!$B$3,TRUE(),IF(F287=Constants!$B$4,FALSE(),TRUE())))</f>
        <v/>
      </c>
      <c r="AH287" s="93" t="str">
        <f aca="false">IF(ISBLANK($C287),"",IF(G287=Constants!$B$3,TRUE(),IF(G287=Constants!$B$4,FALSE(),TRUE())))</f>
        <v/>
      </c>
      <c r="AI287" s="93" t="str">
        <f aca="false">IF(ISBLANK($C287),"",IF(AND(ISNUMBER(H287),H287&gt;=0),H287,Constants!$B$29))</f>
        <v/>
      </c>
      <c r="AJ287" s="93" t="str">
        <f aca="false">IF(ISBLANK($C287),"",IF(I287=Constants!$B$3,TRUE(),IF(I287=Constants!$B$4,FALSE(),TRUE())))</f>
        <v/>
      </c>
      <c r="AK287" s="93" t="str">
        <f aca="false">IF(ISBLANK($C287),"",IF(J287=Constants!$B$3,TRUE(),IF(J287=Constants!$B$4,FALSE(),TRUE())))</f>
        <v/>
      </c>
      <c r="AL287" s="93" t="str">
        <f aca="false">IF(ISBLANK($C287),"",IF(K287=Constants!$B$5,TRUE(),IF(K287=Constants!$B$6,FALSE(),COUNTA(L287:P287)&gt;0)))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IF(ISBLANK($C287),"",IF(N287=Constants!$B$3,TRUE(),IF(N287=Constants!$B$4,FALSE(),TRUE())))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IF(ISBLANK($C287),"",IF(P287=Constants!$B$3,TRUE(),IF(P287=Constants!$B$4,FALSE(),FALSE())))</f>
        <v/>
      </c>
      <c r="AR287" s="93" t="str">
        <f aca="false">IF(ISBLANK($C287),"",IF(Q287=Constants!$B$3,TRUE(),IF(Q287=Constants!$B$4,FALSE(),TRUE())))</f>
        <v/>
      </c>
      <c r="AS287" s="93" t="str">
        <f aca="false">IF(ISBLANK($C287),"",IF(R287=Constants!$B$3,TRUE(),IF(R287=Constants!$B$4,FALSE(),TRUE())))</f>
        <v/>
      </c>
      <c r="AT287" s="93" t="str">
        <f aca="false">IF(ISBLANK($C287),"",IF(S287=Constants!$B$5,TRUE(),IF(S287=Constants!$B$6,FALSE(),COUNTA(T287:X287)&gt;0)))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IF(ISBLANK($C287),"",IF(V287=Constants!$B$3,TRUE(),IF(V287=Constants!$B$4,FALSE(),TRUE())))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IF(ISBLANK($C287),"",IF(X287=Constants!$B$3,TRUE(),IF(X287=Constants!$B$4,FALSE(),FALSE())))</f>
        <v/>
      </c>
      <c r="AZ287" s="93" t="str">
        <f aca="false">IF(ISBLANK($C287),"",MIN(Constants!$B$31,MAX(0,IF(ISNUMBER(Y287),Y287*60,0)+IF(ISNUMBER(Z287),Z287,0))))</f>
        <v/>
      </c>
      <c r="BA287" s="93" t="str">
        <f aca="false">IF(ISBLANK($C287),"",IF(AA287=Constants!$B$3,TRUE(),IF(AA287=Constants!$B$4,FALSE(),FALSE())))</f>
        <v/>
      </c>
      <c r="BB287" s="92" t="str">
        <f aca="false">IF(ISBLANK($C287),"",AND($AL287,OR($AM287="",$AN287="",AND($AO287,$AP287=""))))</f>
        <v/>
      </c>
      <c r="BC287" s="94" t="str">
        <f aca="false">IF($BZ287&lt;&gt;Constants!$B$8,"",IF($AL287,Constants!$B$21*$AN287+Constants!$B$22*IF($AO287,$AP287,Constants!$B$23),Constants!$B$24))</f>
        <v/>
      </c>
      <c r="BD287" s="97" t="str">
        <f aca="false">IF($BZ287&lt;&gt;Constants!$B$8,"",Constants!$B$25*ABS($AD$9-IF($AL287,$AM287,0)))</f>
        <v/>
      </c>
      <c r="BE287" s="97" t="str">
        <f aca="false">IF($BZ287&lt;&gt;Constants!$B$8,"",IF(AND($AL287,$AQ287,$AO287),Constants!$B$27,0))</f>
        <v/>
      </c>
      <c r="BF287" s="97" t="str">
        <f aca="false">IF($BZ287&lt;&gt;Constants!$B$8,"",IF($AL287,($AI287-Constants!$B$29)*Constants!$B$28,0))</f>
        <v/>
      </c>
      <c r="BG287" s="97" t="str">
        <f aca="false">IF($BZ287&lt;&gt;Constants!$B$8,"",IF($AK287,0,Constants!$B$15)+IF($AJ287,0,Constants!$B$16)+IF($AH287,0,Constants!$B$17))</f>
        <v/>
      </c>
      <c r="BH287" s="98" t="str">
        <f aca="false">IF($BZ287&lt;&gt;Constants!$B$8,"",Constants!$B$20+SUM($BC287:$BG287))</f>
        <v/>
      </c>
      <c r="BI287" s="97" t="str">
        <f aca="false">IF($BZ287&lt;&gt;Constants!$B$8,"",$BC287)</f>
        <v/>
      </c>
      <c r="BJ287" s="97" t="str">
        <f aca="false">IF($BZ287&lt;&gt;Constants!$B$8,"",$BD287)</f>
        <v/>
      </c>
      <c r="BK287" s="97" t="str">
        <f aca="false">IF($BZ287&lt;&gt;Constants!$B$8,"",IF($AL287,$AN287,""))</f>
        <v/>
      </c>
      <c r="BL287" s="99" t="str">
        <f aca="false">IF($BZ287&lt;&gt;Constants!$B$8,"",$AI287)</f>
        <v/>
      </c>
      <c r="BM287" s="93" t="str">
        <f aca="false">IF($BZ287&lt;&gt;Constants!$B$8,"",IF(OR($BT287&lt;$BH287,AND($BT287=$BH287,OR($BU287&lt;$BI287,AND($BU287=$BI287,OR($BV287&lt;$BJ287,AND($BV287=$BJ287,OR(AND(ISNUMBER($BW287),OR(NOT(ISNUMBER($BK287)),$BW287&lt;$BK287)),AND(OR(AND($BW287="",$BK287=""),AND(ISNUMBER($BW287),ISNUMBER($BK287),$BW287=$BK287)),$BX287&lt;$BL287)))))))),"-&gt;","&lt;-"))</f>
        <v/>
      </c>
      <c r="BN287" s="92" t="str">
        <f aca="false">IF(ISBLANK($C287),"",AND($AT287,OR($AU287="",$AV287="",AND($AW287,$AX287=""))))</f>
        <v/>
      </c>
      <c r="BO287" s="94" t="str">
        <f aca="false">IF($BZ287&lt;&gt;Constants!$B$8,"",IF($AT287,Constants!$B$21*$AV287+Constants!$B$22*IF($AW287,$AX287,Constants!$B$23),Constants!$B$24))</f>
        <v/>
      </c>
      <c r="BP287" s="97" t="str">
        <f aca="false">IF($BZ287&lt;&gt;Constants!$B$8,"",Constants!$B$25*ABS($AD$9-IF($AT287,$AU287,0)))</f>
        <v/>
      </c>
      <c r="BQ287" s="97" t="str">
        <f aca="false">IF($BZ287&lt;&gt;Constants!$B$8,"",IF(AND($AT287,$AY287,$AW287),Constants!$B$27,0))</f>
        <v/>
      </c>
      <c r="BR287" s="97" t="str">
        <f aca="false">IF($BZ287&lt;&gt;Constants!$B$8,"",IF($AT287,($AI287-Constants!$B$29)*Constants!$B$28,0))</f>
        <v/>
      </c>
      <c r="BS287" s="97" t="str">
        <f aca="false">IF($BZ287&lt;&gt;Constants!$B$8,"",IF($AS287,0,Constants!$B$15)+IF($AR287,0,Constants!$B$16)+IF($AH287,0,Constants!$B$17))</f>
        <v/>
      </c>
      <c r="BT287" s="98" t="str">
        <f aca="false">IF($BZ287&lt;&gt;Constants!$B$8,"",Constants!$B$20+SUM($BO287:$BS287))</f>
        <v/>
      </c>
      <c r="BU287" s="97" t="str">
        <f aca="false">IF($BZ287&lt;&gt;Constants!$B$8,"",$BO287)</f>
        <v/>
      </c>
      <c r="BV287" s="97" t="str">
        <f aca="false">IF($BZ287&lt;&gt;Constants!$B$8,"",$BP287)</f>
        <v/>
      </c>
      <c r="BW287" s="97" t="str">
        <f aca="false">IF($BZ287&lt;&gt;Constants!$B$8,"",IF($AT287,$AV287,""))</f>
        <v/>
      </c>
      <c r="BX287" s="99" t="str">
        <f aca="false">IF($BZ287&lt;&gt;Constants!$B$8,"",$AI287)</f>
        <v/>
      </c>
      <c r="BY287" s="93" t="str">
        <f aca="false">IF(ISBLANK($C287),"",IF(ISBLANK($D$7),$BY$5,IF(NOT(ISNUMBER($D$7)),$BY$6,"")))</f>
        <v/>
      </c>
      <c r="BZ287" s="93" t="str">
        <f aca="false">IF(ISBLANK($C287),"",IF($BA287,Constants!$B$11,IF(COUNTA($E287:$AA287)=0,Constants!$B$10,IF(NOT($AG287),Constants!$B$9,IF(OR($BY287&lt;&gt;"",$BB287,$BN287),Constants!$B$12,Constants!$B$8)))))</f>
        <v/>
      </c>
      <c r="CA287" s="93" t="str">
        <f aca="false">IF(ISBLANK($C287),"",IF($BZ287&lt;&gt;Constants!$B$8,$BZ287,Constants!$B$13))</f>
        <v/>
      </c>
      <c r="CB287" s="97" t="str">
        <f aca="false">IF($BZ287&lt;&gt;Constants!$B$8,"",IF($BM287="-&gt;",$BT287,$BH287))</f>
        <v/>
      </c>
      <c r="CC287" s="97" t="str">
        <f aca="false">IF($BZ287&lt;&gt;Constants!$B$8,"",IF($AF287,0,Constants!$B$18))</f>
        <v/>
      </c>
      <c r="CD287" s="97" t="str">
        <f aca="false">IF($BZ287&lt;&gt;Constants!$B$8,"",((Constants!$B$31-$AZ287)-Constants!$B$31)/Constants!$B$32)</f>
        <v/>
      </c>
      <c r="CE287" s="97" t="str">
        <f aca="false">IF(ISBLANK($C287),"",IF($BZ287&lt;&gt;Constants!$B$8,$BZ287,SUM($CB287:$CD287)))</f>
        <v/>
      </c>
      <c r="CF287" s="93" t="str">
        <f aca="false">IF(ISBLANK($C287),"",IF($BZ287&lt;&gt;Constants!$B$8,$BZ287,RANK($CE287,$CE$9:$CE$508,1)))</f>
        <v/>
      </c>
      <c r="CG287" s="97" t="str">
        <f aca="false">IF($BZ287&lt;&gt;Constants!$B$8,"",IF($BM287="-&gt;",$BU287,$BI287))</f>
        <v/>
      </c>
      <c r="CH287" s="93" t="str">
        <f aca="false">IF(ISBLANK($C287),"",IF($BZ287&lt;&gt;Constants!$B$8,$BZ287,IF(ISNUMBER($CG287),RANK($CG287,$CG$9:$CG$508,1),COUNT($CG$9:$CG$508)+1)))</f>
        <v/>
      </c>
      <c r="CI287" s="97" t="str">
        <f aca="false">IF($BZ287&lt;&gt;Constants!$B$8,"",IF($BM287="-&gt;",$BV287,$BJ287))</f>
        <v/>
      </c>
      <c r="CJ287" s="93" t="str">
        <f aca="false">IF(ISBLANK($C287),"",IF($BZ287&lt;&gt;Constants!$B$8,$BZ287,IF(ISNUMBER($CI287),RANK($CI287,$CI$9:$CI$508,1),COUNT($CI$9:$CI$508)+1)))</f>
        <v/>
      </c>
      <c r="CK287" s="97" t="str">
        <f aca="false">IF($BZ287&lt;&gt;Constants!$B$8,"",IF($BM287="-&gt;",$BW287,$BK287))</f>
        <v/>
      </c>
      <c r="CL287" s="93" t="str">
        <f aca="false">IF(ISBLANK($C287),"",IF($BZ287&lt;&gt;Constants!$B$8,$BZ287,IF(ISNUMBER($CK287),RANK($CK287,$CK$9:$CK$508,1),COUNT($CK$9:$CK$508)+1)))</f>
        <v/>
      </c>
      <c r="CM287" s="97" t="str">
        <f aca="false">IF($BZ287&lt;&gt;Constants!$B$8,"",IF(AND(NOT($AL287),NOT($AT287),$AJ287,$AK287,$AR287,$AS287),"",IF($BM287="-&gt;",$BX287,$BL287)))</f>
        <v/>
      </c>
      <c r="CN287" s="93" t="str">
        <f aca="false">IF(ISBLANK($C287),"",IF($BZ287&lt;&gt;Constants!$B$8,$BZ287,IF(ISNUMBER($CM287),RANK($CM287,$CM$9:$CM$508,1),COUNT($CM$9:$CM$508)+1)))</f>
        <v/>
      </c>
      <c r="CO287" s="93" t="str">
        <f aca="false">IF(ISBLANK($C287),"",IF($BZ287&lt;&gt;Constants!$B$8,$BZ287,COUNTIFS($CF$9:$CF$508,"&lt;"&amp;$CF287)+COUNTIFS($CF$9:$CF$508,$CF287,$CH$9:$CH$508,"&lt;"&amp;$CH287)+COUNTIFS($CF$9:$CF$508,$CF287,$CH$9:$CH$508,$CH287,$CJ$9:$CJ$508,"&lt;"&amp;$CJ287)+COUNTIFS($CF$9:$CF$508,$CF287,$CH$9:$CH$508,$CH287,$CJ$9:$CJ$508,$CJ287,$CL$9:$CL$508,"&lt;"&amp;$CL287)+COUNTIFS($CF$9:$CF$508,$CF287,$CH$9:$CH$508,$CH287,$CJ$9:$CJ$508,$CJ287,$CL$9:$CL$508,$CL287,$CN$9:$CN$508,"&lt;"&amp;$CN287)+1))</f>
        <v/>
      </c>
      <c r="CP287" s="93" t="str">
        <f aca="false">IF(ISBLANK($C287),"",IF($BZ287&lt;&gt;Constants!$B$8,$BZ287,$CF287-$CO287))</f>
        <v/>
      </c>
      <c r="CQ287" s="100"/>
      <c r="CR287" s="101"/>
      <c r="CS287" s="102" t="str">
        <f aca="false">IF(ISBLANK($C287),"",IF($BZ287=Constants!$B$12,$BY287,""))</f>
        <v/>
      </c>
      <c r="CT287" s="101" t="str">
        <f aca="false">IF(ISBLANK($C287),"",IF($BZ287&lt;&gt;Constants!$B$8,"",IF($BM287="-&gt;",2,1)))</f>
        <v/>
      </c>
      <c r="CU287" s="103" t="str">
        <f aca="false">IF(ISBLANK($C287),"",IF($BZ287&lt;&gt;Constants!$B$8,"",IF($BM287="-&gt;",$BO287,$BC287)))</f>
        <v/>
      </c>
      <c r="CV287" s="103" t="str">
        <f aca="false">IF(ISBLANK($C287),"",IF($BZ287&lt;&gt;Constants!$B$8,"",IF($BM287="-&gt;",$BP287,$BD287)))</f>
        <v/>
      </c>
      <c r="CW287" s="103" t="str">
        <f aca="false">IF(ISBLANK($C287),"",IF($BZ287&lt;&gt;Constants!$B$8,"",IF($BM287="-&gt;",$BQ287+$BR287,$BE287+$BF287)+$CD287))</f>
        <v/>
      </c>
      <c r="CX287" s="103" t="str">
        <f aca="false">IF(ISBLANK($C287),"",IF($BZ287&lt;&gt;Constants!$B$8,"",IF($BM287="-&gt;",$BS287,$BG287)+$CC287))</f>
        <v/>
      </c>
      <c r="CY287" s="104" t="str">
        <f aca="false">IF(ISBLANK($C287),"",IF($BZ287&lt;&gt;Constants!$B$8,$BZ287,$CE287))</f>
        <v/>
      </c>
      <c r="CZ287" s="105" t="str">
        <f aca="false">IF(ISBLANK($C287),"",$CA287)</f>
        <v/>
      </c>
      <c r="DA287" s="106" t="str">
        <f aca="false">IF(ISBLANK($C287),"",$CP287)</f>
        <v/>
      </c>
      <c r="DB287" s="106" t="str">
        <f aca="false">IF(ISBLANK($C287),"",$CO287)</f>
        <v/>
      </c>
      <c r="DC287" s="107" t="str">
        <f aca="false">IF(ISBLANK($C287),"",IFERROR(_xlfn.SWITCH($DB287,Constants!$B$11,COUNTA($C$9:$C$508)+2,Constants!$B$10,COUNTA($C$9:$C$508)+1,Constants!$B$9,COUNTA($C$9:$C$508)),$DB287))</f>
        <v/>
      </c>
      <c r="DD287" s="9"/>
      <c r="DE287" s="108" t="n">
        <f aca="false">IF(OR(ISNUMBER($DB287),$DB287=Constants!$B$11,$DB287=Constants!$B$9,$DB287=Constants!$B$10),1,0)</f>
        <v>0</v>
      </c>
      <c r="DF287" s="108" t="n">
        <v>279</v>
      </c>
      <c r="DG287" s="108" t="str">
        <f aca="false">IF(ISBLANK($C287),"",IF(ISNUMBER($DC287),$DC287+ROW($B287)/1000,""))</f>
        <v/>
      </c>
      <c r="DH287" s="108" t="str">
        <f aca="false">IF(ISNUMBER($DG287),RANK($DG287,$DG$9:$DG$508,1),"")</f>
        <v/>
      </c>
      <c r="DI287" s="108" t="str">
        <f aca="false">IF(ISBLANK($C287),"",$B287)</f>
        <v/>
      </c>
      <c r="DJ287" s="108" t="str">
        <f aca="false">IF(ISBLANK($C287),"",$C287)</f>
        <v/>
      </c>
      <c r="DK287" s="108" t="str">
        <f aca="false">IF(ISBLANK($C287),"",$D287)</f>
        <v/>
      </c>
      <c r="DL287" s="109" t="str">
        <f aca="false">$CZ287</f>
        <v/>
      </c>
      <c r="DM287" s="110" t="str">
        <f aca="false">$CY287</f>
        <v/>
      </c>
      <c r="DN287" s="108" t="str">
        <f aca="false">IF(ISBLANK($C287),"",$DB287)</f>
        <v/>
      </c>
      <c r="DO287" s="111" t="str">
        <f aca="false">IF($DF287&gt;$DE$8,"",VLOOKUP($DF287,$DH$9:$DN$508,7,FALSE()))</f>
        <v/>
      </c>
      <c r="DP287" s="112" t="str">
        <f aca="false">IF($DF287&gt;$DE$8,"",VLOOKUP($DF287,$DH$9:$DN$508,2,FALSE()))</f>
        <v/>
      </c>
      <c r="DQ287" s="112" t="str">
        <f aca="false">IF($DF287&gt;$DE$8,"",VLOOKUP($DF287,$DH$9:$DN$508,3,FALSE()))</f>
        <v/>
      </c>
      <c r="DR287" s="112" t="str">
        <f aca="false">IF($DF287&gt;$DE$8,"",VLOOKUP($DF287,$DH$9:$DN$508,4,FALSE()))</f>
        <v/>
      </c>
      <c r="DS287" s="112" t="str">
        <f aca="false">IF($DF287&gt;$DE$8,"",VLOOKUP($DF287,$DH$9:$DN$508,5,FALSE()))</f>
        <v/>
      </c>
      <c r="DT287" s="113" t="str">
        <f aca="false">IF($DF287&gt;$DE$8,"",VLOOKUP($DF287,$DH$9:$DN$508,6,FALSE()))</f>
        <v/>
      </c>
      <c r="DU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IF(ISBLANK($C288),"",IF(E288=Constants!$B$3,TRUE(),IF(E288=Constants!$B$4,FALSE(),TRUE())))</f>
        <v/>
      </c>
      <c r="AG288" s="135" t="str">
        <f aca="false">IF(ISBLANK($C288),"",IF(F288=Constants!$B$3,TRUE(),IF(F288=Constants!$B$4,FALSE(),TRUE())))</f>
        <v/>
      </c>
      <c r="AH288" s="135" t="str">
        <f aca="false">IF(ISBLANK($C288),"",IF(G288=Constants!$B$3,TRUE(),IF(G288=Constants!$B$4,FALSE(),TRUE())))</f>
        <v/>
      </c>
      <c r="AI288" s="135" t="str">
        <f aca="false">IF(ISBLANK($C288),"",IF(AND(ISNUMBER(H288),H288&gt;=0),H288,Constants!$B$29))</f>
        <v/>
      </c>
      <c r="AJ288" s="135" t="str">
        <f aca="false">IF(ISBLANK($C288),"",IF(I288=Constants!$B$3,TRUE(),IF(I288=Constants!$B$4,FALSE(),TRUE())))</f>
        <v/>
      </c>
      <c r="AK288" s="135" t="str">
        <f aca="false">IF(ISBLANK($C288),"",IF(J288=Constants!$B$3,TRUE(),IF(J288=Constants!$B$4,FALSE(),TRUE())))</f>
        <v/>
      </c>
      <c r="AL288" s="135" t="str">
        <f aca="false">IF(ISBLANK($C288),"",IF(K288=Constants!$B$5,TRUE(),IF(K288=Constants!$B$6,FALSE(),COUNTA(L288:P288)&gt;0)))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IF(ISBLANK($C288),"",IF(N288=Constants!$B$3,TRUE(),IF(N288=Constants!$B$4,FALSE(),TRUE())))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IF(ISBLANK($C288),"",IF(P288=Constants!$B$3,TRUE(),IF(P288=Constants!$B$4,FALSE(),FALSE())))</f>
        <v/>
      </c>
      <c r="AR288" s="135" t="str">
        <f aca="false">IF(ISBLANK($C288),"",IF(Q288=Constants!$B$3,TRUE(),IF(Q288=Constants!$B$4,FALSE(),TRUE())))</f>
        <v/>
      </c>
      <c r="AS288" s="135" t="str">
        <f aca="false">IF(ISBLANK($C288),"",IF(R288=Constants!$B$3,TRUE(),IF(R288=Constants!$B$4,FALSE(),TRUE())))</f>
        <v/>
      </c>
      <c r="AT288" s="135" t="str">
        <f aca="false">IF(ISBLANK($C288),"",IF(S288=Constants!$B$5,TRUE(),IF(S288=Constants!$B$6,FALSE(),COUNTA(T288:X288)&gt;0)))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IF(ISBLANK($C288),"",IF(V288=Constants!$B$3,TRUE(),IF(V288=Constants!$B$4,FALSE(),TRUE())))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IF(ISBLANK($C288),"",IF(X288=Constants!$B$3,TRUE(),IF(X288=Constants!$B$4,FALSE(),FALSE())))</f>
        <v/>
      </c>
      <c r="AZ288" s="135" t="str">
        <f aca="false">IF(ISBLANK($C288),"",MIN(Constants!$B$31,MAX(0,IF(ISNUMBER(Y288),Y288*60,0)+IF(ISNUMBER(Z288),Z288,0))))</f>
        <v/>
      </c>
      <c r="BA288" s="135" t="str">
        <f aca="false">IF(ISBLANK($C288),"",IF(AA288=Constants!$B$3,TRUE(),IF(AA288=Constants!$B$4,FALSE(),FALSE())))</f>
        <v/>
      </c>
      <c r="BB288" s="134" t="str">
        <f aca="false">IF(ISBLANK($C288),"",AND($AL288,OR($AM288="",$AN288="",AND($AO288,$AP288=""))))</f>
        <v/>
      </c>
      <c r="BC288" s="137" t="str">
        <f aca="false">IF($BZ288&lt;&gt;Constants!$B$8,"",IF($AL288,Constants!$B$21*$AN288+Constants!$B$22*IF($AO288,$AP288,Constants!$B$23),Constants!$B$24))</f>
        <v/>
      </c>
      <c r="BD288" s="138" t="str">
        <f aca="false">IF($BZ288&lt;&gt;Constants!$B$8,"",Constants!$B$25*ABS($AD$9-IF($AL288,$AM288,0)))</f>
        <v/>
      </c>
      <c r="BE288" s="138" t="str">
        <f aca="false">IF($BZ288&lt;&gt;Constants!$B$8,"",IF(AND($AL288,$AQ288,$AO288),Constants!$B$27,0))</f>
        <v/>
      </c>
      <c r="BF288" s="138" t="str">
        <f aca="false">IF($BZ288&lt;&gt;Constants!$B$8,"",IF($AL288,($AI288-Constants!$B$29)*Constants!$B$28,0))</f>
        <v/>
      </c>
      <c r="BG288" s="138" t="str">
        <f aca="false">IF($BZ288&lt;&gt;Constants!$B$8,"",IF($AK288,0,Constants!$B$15)+IF($AJ288,0,Constants!$B$16)+IF($AH288,0,Constants!$B$17))</f>
        <v/>
      </c>
      <c r="BH288" s="139" t="str">
        <f aca="false">IF($BZ288&lt;&gt;Constants!$B$8,"",Constants!$B$20+SUM($BC288:$BG288))</f>
        <v/>
      </c>
      <c r="BI288" s="138" t="str">
        <f aca="false">IF($BZ288&lt;&gt;Constants!$B$8,"",$BC288)</f>
        <v/>
      </c>
      <c r="BJ288" s="138" t="str">
        <f aca="false">IF($BZ288&lt;&gt;Constants!$B$8,"",$BD288)</f>
        <v/>
      </c>
      <c r="BK288" s="138" t="str">
        <f aca="false">IF($BZ288&lt;&gt;Constants!$B$8,"",IF($AL288,$AN288,""))</f>
        <v/>
      </c>
      <c r="BL288" s="140" t="str">
        <f aca="false">IF($BZ288&lt;&gt;Constants!$B$8,"",$AI288)</f>
        <v/>
      </c>
      <c r="BM288" s="135" t="str">
        <f aca="false">IF($BZ288&lt;&gt;Constants!$B$8,"",IF(OR($BT288&lt;$BH288,AND($BT288=$BH288,OR($BU288&lt;$BI288,AND($BU288=$BI288,OR($BV288&lt;$BJ288,AND($BV288=$BJ288,OR(AND(ISNUMBER($BW288),OR(NOT(ISNUMBER($BK288)),$BW288&lt;$BK288)),AND(OR(AND($BW288="",$BK288=""),AND(ISNUMBER($BW288),ISNUMBER($BK288),$BW288=$BK288)),$BX288&lt;$BL288)))))))),"-&gt;","&lt;-"))</f>
        <v/>
      </c>
      <c r="BN288" s="134" t="str">
        <f aca="false">IF(ISBLANK($C288),"",AND($AT288,OR($AU288="",$AV288="",AND($AW288,$AX288=""))))</f>
        <v/>
      </c>
      <c r="BO288" s="137" t="str">
        <f aca="false">IF($BZ288&lt;&gt;Constants!$B$8,"",IF($AT288,Constants!$B$21*$AV288+Constants!$B$22*IF($AW288,$AX288,Constants!$B$23),Constants!$B$24))</f>
        <v/>
      </c>
      <c r="BP288" s="138" t="str">
        <f aca="false">IF($BZ288&lt;&gt;Constants!$B$8,"",Constants!$B$25*ABS($AD$9-IF($AT288,$AU288,0)))</f>
        <v/>
      </c>
      <c r="BQ288" s="138" t="str">
        <f aca="false">IF($BZ288&lt;&gt;Constants!$B$8,"",IF(AND($AT288,$AY288,$AW288),Constants!$B$27,0))</f>
        <v/>
      </c>
      <c r="BR288" s="138" t="str">
        <f aca="false">IF($BZ288&lt;&gt;Constants!$B$8,"",IF($AT288,($AI288-Constants!$B$29)*Constants!$B$28,0))</f>
        <v/>
      </c>
      <c r="BS288" s="138" t="str">
        <f aca="false">IF($BZ288&lt;&gt;Constants!$B$8,"",IF($AS288,0,Constants!$B$15)+IF($AR288,0,Constants!$B$16)+IF($AH288,0,Constants!$B$17))</f>
        <v/>
      </c>
      <c r="BT288" s="139" t="str">
        <f aca="false">IF($BZ288&lt;&gt;Constants!$B$8,"",Constants!$B$20+SUM($BO288:$BS288))</f>
        <v/>
      </c>
      <c r="BU288" s="138" t="str">
        <f aca="false">IF($BZ288&lt;&gt;Constants!$B$8,"",$BO288)</f>
        <v/>
      </c>
      <c r="BV288" s="138" t="str">
        <f aca="false">IF($BZ288&lt;&gt;Constants!$B$8,"",$BP288)</f>
        <v/>
      </c>
      <c r="BW288" s="138" t="str">
        <f aca="false">IF($BZ288&lt;&gt;Constants!$B$8,"",IF($AT288,$AV288,""))</f>
        <v/>
      </c>
      <c r="BX288" s="140" t="str">
        <f aca="false">IF($BZ288&lt;&gt;Constants!$B$8,"",$AI288)</f>
        <v/>
      </c>
      <c r="BY288" s="135" t="str">
        <f aca="false">IF(ISBLANK($C288),"",IF(ISBLANK($D$7),$BY$5,IF(NOT(ISNUMBER($D$7)),$BY$6,"")))</f>
        <v/>
      </c>
      <c r="BZ288" s="135" t="str">
        <f aca="false">IF(ISBLANK($C288),"",IF($BA288,Constants!$B$11,IF(COUNTA($E288:$AA288)=0,Constants!$B$10,IF(NOT($AG288),Constants!$B$9,IF(OR($BY288&lt;&gt;"",$BB288,$BN288),Constants!$B$12,Constants!$B$8)))))</f>
        <v/>
      </c>
      <c r="CA288" s="135" t="str">
        <f aca="false">IF(ISBLANK($C288),"",IF($BZ288&lt;&gt;Constants!$B$8,$BZ288,Constants!$B$13))</f>
        <v/>
      </c>
      <c r="CB288" s="138" t="str">
        <f aca="false">IF($BZ288&lt;&gt;Constants!$B$8,"",IF($BM288="-&gt;",$BT288,$BH288))</f>
        <v/>
      </c>
      <c r="CC288" s="138" t="str">
        <f aca="false">IF($BZ288&lt;&gt;Constants!$B$8,"",IF($AF288,0,Constants!$B$18))</f>
        <v/>
      </c>
      <c r="CD288" s="138" t="str">
        <f aca="false">IF($BZ288&lt;&gt;Constants!$B$8,"",((Constants!$B$31-$AZ288)-Constants!$B$31)/Constants!$B$32)</f>
        <v/>
      </c>
      <c r="CE288" s="138" t="str">
        <f aca="false">IF(ISBLANK($C288),"",IF($BZ288&lt;&gt;Constants!$B$8,$BZ288,SUM($CB288:$CD288)))</f>
        <v/>
      </c>
      <c r="CF288" s="135" t="str">
        <f aca="false">IF(ISBLANK($C288),"",IF($BZ288&lt;&gt;Constants!$B$8,$BZ288,RANK($CE288,$CE$9:$CE$508,1)))</f>
        <v/>
      </c>
      <c r="CG288" s="138" t="str">
        <f aca="false">IF($BZ288&lt;&gt;Constants!$B$8,"",IF($BM288="-&gt;",$BU288,$BI288))</f>
        <v/>
      </c>
      <c r="CH288" s="135" t="str">
        <f aca="false">IF(ISBLANK($C288),"",IF($BZ288&lt;&gt;Constants!$B$8,$BZ288,IF(ISNUMBER($CG288),RANK($CG288,$CG$9:$CG$508,1),COUNT($CG$9:$CG$508)+1)))</f>
        <v/>
      </c>
      <c r="CI288" s="138" t="str">
        <f aca="false">IF($BZ288&lt;&gt;Constants!$B$8,"",IF($BM288="-&gt;",$BV288,$BJ288))</f>
        <v/>
      </c>
      <c r="CJ288" s="135" t="str">
        <f aca="false">IF(ISBLANK($C288),"",IF($BZ288&lt;&gt;Constants!$B$8,$BZ288,IF(ISNUMBER($CI288),RANK($CI288,$CI$9:$CI$508,1),COUNT($CI$9:$CI$508)+1)))</f>
        <v/>
      </c>
      <c r="CK288" s="138" t="str">
        <f aca="false">IF($BZ288&lt;&gt;Constants!$B$8,"",IF($BM288="-&gt;",$BW288,$BK288))</f>
        <v/>
      </c>
      <c r="CL288" s="135" t="str">
        <f aca="false">IF(ISBLANK($C288),"",IF($BZ288&lt;&gt;Constants!$B$8,$BZ288,IF(ISNUMBER($CK288),RANK($CK288,$CK$9:$CK$508,1),COUNT($CK$9:$CK$508)+1)))</f>
        <v/>
      </c>
      <c r="CM288" s="138" t="str">
        <f aca="false">IF($BZ288&lt;&gt;Constants!$B$8,"",IF(AND(NOT($AL288),NOT($AT288),$AJ288,$AK288,$AR288,$AS288),"",IF($BM288="-&gt;",$BX288,$BL288)))</f>
        <v/>
      </c>
      <c r="CN288" s="135" t="str">
        <f aca="false">IF(ISBLANK($C288),"",IF($BZ288&lt;&gt;Constants!$B$8,$BZ288,IF(ISNUMBER($CM288),RANK($CM288,$CM$9:$CM$508,1),COUNT($CM$9:$CM$508)+1)))</f>
        <v/>
      </c>
      <c r="CO288" s="135" t="str">
        <f aca="false">IF(ISBLANK($C288),"",IF($BZ288&lt;&gt;Constants!$B$8,$BZ288,COUNTIFS($CF$9:$CF$508,"&lt;"&amp;$CF288)+COUNTIFS($CF$9:$CF$508,$CF288,$CH$9:$CH$508,"&lt;"&amp;$CH288)+COUNTIFS($CF$9:$CF$508,$CF288,$CH$9:$CH$508,$CH288,$CJ$9:$CJ$508,"&lt;"&amp;$CJ288)+COUNTIFS($CF$9:$CF$508,$CF288,$CH$9:$CH$508,$CH288,$CJ$9:$CJ$508,$CJ288,$CL$9:$CL$508,"&lt;"&amp;$CL288)+COUNTIFS($CF$9:$CF$508,$CF288,$CH$9:$CH$508,$CH288,$CJ$9:$CJ$508,$CJ288,$CL$9:$CL$508,$CL288,$CN$9:$CN$508,"&lt;"&amp;$CN288)+1))</f>
        <v/>
      </c>
      <c r="CP288" s="135" t="str">
        <f aca="false">IF(ISBLANK($C288),"",IF($BZ288&lt;&gt;Constants!$B$8,$BZ288,$CF288-$CO288))</f>
        <v/>
      </c>
      <c r="CQ288" s="141"/>
      <c r="CR288" s="142"/>
      <c r="CS288" s="143" t="str">
        <f aca="false">IF(ISBLANK($C288),"",IF($BZ288=Constants!$B$12,$BY288,""))</f>
        <v/>
      </c>
      <c r="CT288" s="142" t="str">
        <f aca="false">IF(ISBLANK($C288),"",IF($BZ288&lt;&gt;Constants!$B$8,"",IF($BM288="-&gt;",2,1)))</f>
        <v/>
      </c>
      <c r="CU288" s="144" t="str">
        <f aca="false">IF(ISBLANK($C288),"",IF($BZ288&lt;&gt;Constants!$B$8,"",IF($BM288="-&gt;",$BO288,$BC288)))</f>
        <v/>
      </c>
      <c r="CV288" s="144" t="str">
        <f aca="false">IF(ISBLANK($C288),"",IF($BZ288&lt;&gt;Constants!$B$8,"",IF($BM288="-&gt;",$BP288,$BD288)))</f>
        <v/>
      </c>
      <c r="CW288" s="144" t="str">
        <f aca="false">IF(ISBLANK($C288),"",IF($BZ288&lt;&gt;Constants!$B$8,"",IF($BM288="-&gt;",$BQ288+$BR288,$BE288+$BF288)+$CD288))</f>
        <v/>
      </c>
      <c r="CX288" s="144" t="str">
        <f aca="false">IF(ISBLANK($C288),"",IF($BZ288&lt;&gt;Constants!$B$8,"",IF($BM288="-&gt;",$BS288,$BG288)+$CC288))</f>
        <v/>
      </c>
      <c r="CY288" s="145" t="str">
        <f aca="false">IF(ISBLANK($C288),"",IF($BZ288&lt;&gt;Constants!$B$8,$BZ288,$CE288))</f>
        <v/>
      </c>
      <c r="CZ288" s="146" t="str">
        <f aca="false">IF(ISBLANK($C288),"",$CA288)</f>
        <v/>
      </c>
      <c r="DA288" s="147" t="str">
        <f aca="false">IF(ISBLANK($C288),"",$CP288)</f>
        <v/>
      </c>
      <c r="DB288" s="147" t="str">
        <f aca="false">IF(ISBLANK($C288),"",$CO288)</f>
        <v/>
      </c>
      <c r="DC288" s="148" t="str">
        <f aca="false">IF(ISBLANK($C288),"",IFERROR(_xlfn.SWITCH($DB288,Constants!$B$11,COUNTA($C$9:$C$508)+2,Constants!$B$10,COUNTA($C$9:$C$508)+1,Constants!$B$9,COUNTA($C$9:$C$508)),$DB288))</f>
        <v/>
      </c>
      <c r="DD288" s="9"/>
      <c r="DE288" s="149" t="n">
        <f aca="false">IF(OR(ISNUMBER($DB288),$DB288=Constants!$B$11,$DB288=Constants!$B$9,$DB288=Constants!$B$10),1,0)</f>
        <v>0</v>
      </c>
      <c r="DF288" s="149" t="n">
        <v>280</v>
      </c>
      <c r="DG288" s="149" t="str">
        <f aca="false">IF(ISBLANK($C288),"",IF(ISNUMBER($DC288),$DC288+ROW($B288)/1000,""))</f>
        <v/>
      </c>
      <c r="DH288" s="149" t="str">
        <f aca="false">IF(ISNUMBER($DG288),RANK($DG288,$DG$9:$DG$508,1),"")</f>
        <v/>
      </c>
      <c r="DI288" s="149" t="str">
        <f aca="false">IF(ISBLANK($C288),"",$B288)</f>
        <v/>
      </c>
      <c r="DJ288" s="149" t="str">
        <f aca="false">IF(ISBLANK($C288),"",$C288)</f>
        <v/>
      </c>
      <c r="DK288" s="149" t="str">
        <f aca="false">IF(ISBLANK($C288),"",$D288)</f>
        <v/>
      </c>
      <c r="DL288" s="150" t="str">
        <f aca="false">$CZ288</f>
        <v/>
      </c>
      <c r="DM288" s="151" t="str">
        <f aca="false">$CY288</f>
        <v/>
      </c>
      <c r="DN288" s="149" t="str">
        <f aca="false">IF(ISBLANK($C288),"",$DB288)</f>
        <v/>
      </c>
      <c r="DO288" s="152" t="str">
        <f aca="false">IF($DF288&gt;$DE$8,"",VLOOKUP($DF288,$DH$9:$DN$508,7,FALSE()))</f>
        <v/>
      </c>
      <c r="DP288" s="153" t="str">
        <f aca="false">IF($DF288&gt;$DE$8,"",VLOOKUP($DF288,$DH$9:$DN$508,2,FALSE()))</f>
        <v/>
      </c>
      <c r="DQ288" s="153" t="str">
        <f aca="false">IF($DF288&gt;$DE$8,"",VLOOKUP($DF288,$DH$9:$DN$508,3,FALSE()))</f>
        <v/>
      </c>
      <c r="DR288" s="153" t="str">
        <f aca="false">IF($DF288&gt;$DE$8,"",VLOOKUP($DF288,$DH$9:$DN$508,4,FALSE()))</f>
        <v/>
      </c>
      <c r="DS288" s="153" t="str">
        <f aca="false">IF($DF288&gt;$DE$8,"",VLOOKUP($DF288,$DH$9:$DN$508,5,FALSE()))</f>
        <v/>
      </c>
      <c r="DT288" s="154" t="str">
        <f aca="false">IF($DF288&gt;$DE$8,"",VLOOKUP($DF288,$DH$9:$DN$508,6,FALSE()))</f>
        <v/>
      </c>
      <c r="DU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IF(ISBLANK($C289),"",IF(E289=Constants!$B$3,TRUE(),IF(E289=Constants!$B$4,FALSE(),TRUE())))</f>
        <v/>
      </c>
      <c r="AG289" s="135" t="str">
        <f aca="false">IF(ISBLANK($C289),"",IF(F289=Constants!$B$3,TRUE(),IF(F289=Constants!$B$4,FALSE(),TRUE())))</f>
        <v/>
      </c>
      <c r="AH289" s="135" t="str">
        <f aca="false">IF(ISBLANK($C289),"",IF(G289=Constants!$B$3,TRUE(),IF(G289=Constants!$B$4,FALSE(),TRUE())))</f>
        <v/>
      </c>
      <c r="AI289" s="135" t="str">
        <f aca="false">IF(ISBLANK($C289),"",IF(AND(ISNUMBER(H289),H289&gt;=0),H289,Constants!$B$29))</f>
        <v/>
      </c>
      <c r="AJ289" s="135" t="str">
        <f aca="false">IF(ISBLANK($C289),"",IF(I289=Constants!$B$3,TRUE(),IF(I289=Constants!$B$4,FALSE(),TRUE())))</f>
        <v/>
      </c>
      <c r="AK289" s="135" t="str">
        <f aca="false">IF(ISBLANK($C289),"",IF(J289=Constants!$B$3,TRUE(),IF(J289=Constants!$B$4,FALSE(),TRUE())))</f>
        <v/>
      </c>
      <c r="AL289" s="135" t="str">
        <f aca="false">IF(ISBLANK($C289),"",IF(K289=Constants!$B$5,TRUE(),IF(K289=Constants!$B$6,FALSE(),COUNTA(L289:P289)&gt;0)))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IF(ISBLANK($C289),"",IF(N289=Constants!$B$3,TRUE(),IF(N289=Constants!$B$4,FALSE(),TRUE())))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IF(ISBLANK($C289),"",IF(P289=Constants!$B$3,TRUE(),IF(P289=Constants!$B$4,FALSE(),FALSE())))</f>
        <v/>
      </c>
      <c r="AR289" s="135" t="str">
        <f aca="false">IF(ISBLANK($C289),"",IF(Q289=Constants!$B$3,TRUE(),IF(Q289=Constants!$B$4,FALSE(),TRUE())))</f>
        <v/>
      </c>
      <c r="AS289" s="135" t="str">
        <f aca="false">IF(ISBLANK($C289),"",IF(R289=Constants!$B$3,TRUE(),IF(R289=Constants!$B$4,FALSE(),TRUE())))</f>
        <v/>
      </c>
      <c r="AT289" s="135" t="str">
        <f aca="false">IF(ISBLANK($C289),"",IF(S289=Constants!$B$5,TRUE(),IF(S289=Constants!$B$6,FALSE(),COUNTA(T289:X289)&gt;0)))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IF(ISBLANK($C289),"",IF(V289=Constants!$B$3,TRUE(),IF(V289=Constants!$B$4,FALSE(),TRUE())))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IF(ISBLANK($C289),"",IF(X289=Constants!$B$3,TRUE(),IF(X289=Constants!$B$4,FALSE(),FALSE())))</f>
        <v/>
      </c>
      <c r="AZ289" s="135" t="str">
        <f aca="false">IF(ISBLANK($C289),"",MIN(Constants!$B$31,MAX(0,IF(ISNUMBER(Y289),Y289*60,0)+IF(ISNUMBER(Z289),Z289,0))))</f>
        <v/>
      </c>
      <c r="BA289" s="135" t="str">
        <f aca="false">IF(ISBLANK($C289),"",IF(AA289=Constants!$B$3,TRUE(),IF(AA289=Constants!$B$4,FALSE(),FALSE())))</f>
        <v/>
      </c>
      <c r="BB289" s="134" t="str">
        <f aca="false">IF(ISBLANK($C289),"",AND($AL289,OR($AM289="",$AN289="",AND($AO289,$AP289=""))))</f>
        <v/>
      </c>
      <c r="BC289" s="137" t="str">
        <f aca="false">IF($BZ289&lt;&gt;Constants!$B$8,"",IF($AL289,Constants!$B$21*$AN289+Constants!$B$22*IF($AO289,$AP289,Constants!$B$23),Constants!$B$24))</f>
        <v/>
      </c>
      <c r="BD289" s="138" t="str">
        <f aca="false">IF($BZ289&lt;&gt;Constants!$B$8,"",Constants!$B$25*ABS($AD$9-IF($AL289,$AM289,0)))</f>
        <v/>
      </c>
      <c r="BE289" s="138" t="str">
        <f aca="false">IF($BZ289&lt;&gt;Constants!$B$8,"",IF(AND($AL289,$AQ289,$AO289),Constants!$B$27,0))</f>
        <v/>
      </c>
      <c r="BF289" s="138" t="str">
        <f aca="false">IF($BZ289&lt;&gt;Constants!$B$8,"",IF($AL289,($AI289-Constants!$B$29)*Constants!$B$28,0))</f>
        <v/>
      </c>
      <c r="BG289" s="138" t="str">
        <f aca="false">IF($BZ289&lt;&gt;Constants!$B$8,"",IF($AK289,0,Constants!$B$15)+IF($AJ289,0,Constants!$B$16)+IF($AH289,0,Constants!$B$17))</f>
        <v/>
      </c>
      <c r="BH289" s="139" t="str">
        <f aca="false">IF($BZ289&lt;&gt;Constants!$B$8,"",Constants!$B$20+SUM($BC289:$BG289))</f>
        <v/>
      </c>
      <c r="BI289" s="138" t="str">
        <f aca="false">IF($BZ289&lt;&gt;Constants!$B$8,"",$BC289)</f>
        <v/>
      </c>
      <c r="BJ289" s="138" t="str">
        <f aca="false">IF($BZ289&lt;&gt;Constants!$B$8,"",$BD289)</f>
        <v/>
      </c>
      <c r="BK289" s="138" t="str">
        <f aca="false">IF($BZ289&lt;&gt;Constants!$B$8,"",IF($AL289,$AN289,""))</f>
        <v/>
      </c>
      <c r="BL289" s="140" t="str">
        <f aca="false">IF($BZ289&lt;&gt;Constants!$B$8,"",$AI289)</f>
        <v/>
      </c>
      <c r="BM289" s="135" t="str">
        <f aca="false">IF($BZ289&lt;&gt;Constants!$B$8,"",IF(OR($BT289&lt;$BH289,AND($BT289=$BH289,OR($BU289&lt;$BI289,AND($BU289=$BI289,OR($BV289&lt;$BJ289,AND($BV289=$BJ289,OR(AND(ISNUMBER($BW289),OR(NOT(ISNUMBER($BK289)),$BW289&lt;$BK289)),AND(OR(AND($BW289="",$BK289=""),AND(ISNUMBER($BW289),ISNUMBER($BK289),$BW289=$BK289)),$BX289&lt;$BL289)))))))),"-&gt;","&lt;-"))</f>
        <v/>
      </c>
      <c r="BN289" s="134" t="str">
        <f aca="false">IF(ISBLANK($C289),"",AND($AT289,OR($AU289="",$AV289="",AND($AW289,$AX289=""))))</f>
        <v/>
      </c>
      <c r="BO289" s="137" t="str">
        <f aca="false">IF($BZ289&lt;&gt;Constants!$B$8,"",IF($AT289,Constants!$B$21*$AV289+Constants!$B$22*IF($AW289,$AX289,Constants!$B$23),Constants!$B$24))</f>
        <v/>
      </c>
      <c r="BP289" s="138" t="str">
        <f aca="false">IF($BZ289&lt;&gt;Constants!$B$8,"",Constants!$B$25*ABS($AD$9-IF($AT289,$AU289,0)))</f>
        <v/>
      </c>
      <c r="BQ289" s="138" t="str">
        <f aca="false">IF($BZ289&lt;&gt;Constants!$B$8,"",IF(AND($AT289,$AY289,$AW289),Constants!$B$27,0))</f>
        <v/>
      </c>
      <c r="BR289" s="138" t="str">
        <f aca="false">IF($BZ289&lt;&gt;Constants!$B$8,"",IF($AT289,($AI289-Constants!$B$29)*Constants!$B$28,0))</f>
        <v/>
      </c>
      <c r="BS289" s="138" t="str">
        <f aca="false">IF($BZ289&lt;&gt;Constants!$B$8,"",IF($AS289,0,Constants!$B$15)+IF($AR289,0,Constants!$B$16)+IF($AH289,0,Constants!$B$17))</f>
        <v/>
      </c>
      <c r="BT289" s="139" t="str">
        <f aca="false">IF($BZ289&lt;&gt;Constants!$B$8,"",Constants!$B$20+SUM($BO289:$BS289))</f>
        <v/>
      </c>
      <c r="BU289" s="138" t="str">
        <f aca="false">IF($BZ289&lt;&gt;Constants!$B$8,"",$BO289)</f>
        <v/>
      </c>
      <c r="BV289" s="138" t="str">
        <f aca="false">IF($BZ289&lt;&gt;Constants!$B$8,"",$BP289)</f>
        <v/>
      </c>
      <c r="BW289" s="138" t="str">
        <f aca="false">IF($BZ289&lt;&gt;Constants!$B$8,"",IF($AT289,$AV289,""))</f>
        <v/>
      </c>
      <c r="BX289" s="140" t="str">
        <f aca="false">IF($BZ289&lt;&gt;Constants!$B$8,"",$AI289)</f>
        <v/>
      </c>
      <c r="BY289" s="135" t="str">
        <f aca="false">IF(ISBLANK($C289),"",IF(ISBLANK($D$7),$BY$5,IF(NOT(ISNUMBER($D$7)),$BY$6,"")))</f>
        <v/>
      </c>
      <c r="BZ289" s="135" t="str">
        <f aca="false">IF(ISBLANK($C289),"",IF($BA289,Constants!$B$11,IF(COUNTA($E289:$AA289)=0,Constants!$B$10,IF(NOT($AG289),Constants!$B$9,IF(OR($BY289&lt;&gt;"",$BB289,$BN289),Constants!$B$12,Constants!$B$8)))))</f>
        <v/>
      </c>
      <c r="CA289" s="135" t="str">
        <f aca="false">IF(ISBLANK($C289),"",IF($BZ289&lt;&gt;Constants!$B$8,$BZ289,Constants!$B$13))</f>
        <v/>
      </c>
      <c r="CB289" s="138" t="str">
        <f aca="false">IF($BZ289&lt;&gt;Constants!$B$8,"",IF($BM289="-&gt;",$BT289,$BH289))</f>
        <v/>
      </c>
      <c r="CC289" s="138" t="str">
        <f aca="false">IF($BZ289&lt;&gt;Constants!$B$8,"",IF($AF289,0,Constants!$B$18))</f>
        <v/>
      </c>
      <c r="CD289" s="138" t="str">
        <f aca="false">IF($BZ289&lt;&gt;Constants!$B$8,"",((Constants!$B$31-$AZ289)-Constants!$B$31)/Constants!$B$32)</f>
        <v/>
      </c>
      <c r="CE289" s="138" t="str">
        <f aca="false">IF(ISBLANK($C289),"",IF($BZ289&lt;&gt;Constants!$B$8,$BZ289,SUM($CB289:$CD289)))</f>
        <v/>
      </c>
      <c r="CF289" s="135" t="str">
        <f aca="false">IF(ISBLANK($C289),"",IF($BZ289&lt;&gt;Constants!$B$8,$BZ289,RANK($CE289,$CE$9:$CE$508,1)))</f>
        <v/>
      </c>
      <c r="CG289" s="138" t="str">
        <f aca="false">IF($BZ289&lt;&gt;Constants!$B$8,"",IF($BM289="-&gt;",$BU289,$BI289))</f>
        <v/>
      </c>
      <c r="CH289" s="135" t="str">
        <f aca="false">IF(ISBLANK($C289),"",IF($BZ289&lt;&gt;Constants!$B$8,$BZ289,IF(ISNUMBER($CG289),RANK($CG289,$CG$9:$CG$508,1),COUNT($CG$9:$CG$508)+1)))</f>
        <v/>
      </c>
      <c r="CI289" s="138" t="str">
        <f aca="false">IF($BZ289&lt;&gt;Constants!$B$8,"",IF($BM289="-&gt;",$BV289,$BJ289))</f>
        <v/>
      </c>
      <c r="CJ289" s="135" t="str">
        <f aca="false">IF(ISBLANK($C289),"",IF($BZ289&lt;&gt;Constants!$B$8,$BZ289,IF(ISNUMBER($CI289),RANK($CI289,$CI$9:$CI$508,1),COUNT($CI$9:$CI$508)+1)))</f>
        <v/>
      </c>
      <c r="CK289" s="138" t="str">
        <f aca="false">IF($BZ289&lt;&gt;Constants!$B$8,"",IF($BM289="-&gt;",$BW289,$BK289))</f>
        <v/>
      </c>
      <c r="CL289" s="135" t="str">
        <f aca="false">IF(ISBLANK($C289),"",IF($BZ289&lt;&gt;Constants!$B$8,$BZ289,IF(ISNUMBER($CK289),RANK($CK289,$CK$9:$CK$508,1),COUNT($CK$9:$CK$508)+1)))</f>
        <v/>
      </c>
      <c r="CM289" s="138" t="str">
        <f aca="false">IF($BZ289&lt;&gt;Constants!$B$8,"",IF(AND(NOT($AL289),NOT($AT289),$AJ289,$AK289,$AR289,$AS289),"",IF($BM289="-&gt;",$BX289,$BL289)))</f>
        <v/>
      </c>
      <c r="CN289" s="135" t="str">
        <f aca="false">IF(ISBLANK($C289),"",IF($BZ289&lt;&gt;Constants!$B$8,$BZ289,IF(ISNUMBER($CM289),RANK($CM289,$CM$9:$CM$508,1),COUNT($CM$9:$CM$508)+1)))</f>
        <v/>
      </c>
      <c r="CO289" s="135" t="str">
        <f aca="false">IF(ISBLANK($C289),"",IF($BZ289&lt;&gt;Constants!$B$8,$BZ289,COUNTIFS($CF$9:$CF$508,"&lt;"&amp;$CF289)+COUNTIFS($CF$9:$CF$508,$CF289,$CH$9:$CH$508,"&lt;"&amp;$CH289)+COUNTIFS($CF$9:$CF$508,$CF289,$CH$9:$CH$508,$CH289,$CJ$9:$CJ$508,"&lt;"&amp;$CJ289)+COUNTIFS($CF$9:$CF$508,$CF289,$CH$9:$CH$508,$CH289,$CJ$9:$CJ$508,$CJ289,$CL$9:$CL$508,"&lt;"&amp;$CL289)+COUNTIFS($CF$9:$CF$508,$CF289,$CH$9:$CH$508,$CH289,$CJ$9:$CJ$508,$CJ289,$CL$9:$CL$508,$CL289,$CN$9:$CN$508,"&lt;"&amp;$CN289)+1))</f>
        <v/>
      </c>
      <c r="CP289" s="135" t="str">
        <f aca="false">IF(ISBLANK($C289),"",IF($BZ289&lt;&gt;Constants!$B$8,$BZ289,$CF289-$CO289))</f>
        <v/>
      </c>
      <c r="CQ289" s="141"/>
      <c r="CR289" s="142"/>
      <c r="CS289" s="143" t="str">
        <f aca="false">IF(ISBLANK($C289),"",IF($BZ289=Constants!$B$12,$BY289,""))</f>
        <v/>
      </c>
      <c r="CT289" s="142" t="str">
        <f aca="false">IF(ISBLANK($C289),"",IF($BZ289&lt;&gt;Constants!$B$8,"",IF($BM289="-&gt;",2,1)))</f>
        <v/>
      </c>
      <c r="CU289" s="144" t="str">
        <f aca="false">IF(ISBLANK($C289),"",IF($BZ289&lt;&gt;Constants!$B$8,"",IF($BM289="-&gt;",$BO289,$BC289)))</f>
        <v/>
      </c>
      <c r="CV289" s="144" t="str">
        <f aca="false">IF(ISBLANK($C289),"",IF($BZ289&lt;&gt;Constants!$B$8,"",IF($BM289="-&gt;",$BP289,$BD289)))</f>
        <v/>
      </c>
      <c r="CW289" s="144" t="str">
        <f aca="false">IF(ISBLANK($C289),"",IF($BZ289&lt;&gt;Constants!$B$8,"",IF($BM289="-&gt;",$BQ289+$BR289,$BE289+$BF289)+$CD289))</f>
        <v/>
      </c>
      <c r="CX289" s="144" t="str">
        <f aca="false">IF(ISBLANK($C289),"",IF($BZ289&lt;&gt;Constants!$B$8,"",IF($BM289="-&gt;",$BS289,$BG289)+$CC289))</f>
        <v/>
      </c>
      <c r="CY289" s="145" t="str">
        <f aca="false">IF(ISBLANK($C289),"",IF($BZ289&lt;&gt;Constants!$B$8,$BZ289,$CE289))</f>
        <v/>
      </c>
      <c r="CZ289" s="146" t="str">
        <f aca="false">IF(ISBLANK($C289),"",$CA289)</f>
        <v/>
      </c>
      <c r="DA289" s="147" t="str">
        <f aca="false">IF(ISBLANK($C289),"",$CP289)</f>
        <v/>
      </c>
      <c r="DB289" s="147" t="str">
        <f aca="false">IF(ISBLANK($C289),"",$CO289)</f>
        <v/>
      </c>
      <c r="DC289" s="148" t="str">
        <f aca="false">IF(ISBLANK($C289),"",IFERROR(_xlfn.SWITCH($DB289,Constants!$B$11,COUNTA($C$9:$C$508)+2,Constants!$B$10,COUNTA($C$9:$C$508)+1,Constants!$B$9,COUNTA($C$9:$C$508)),$DB289))</f>
        <v/>
      </c>
      <c r="DD289" s="9"/>
      <c r="DE289" s="149" t="n">
        <f aca="false">IF(OR(ISNUMBER($DB289),$DB289=Constants!$B$11,$DB289=Constants!$B$9,$DB289=Constants!$B$10),1,0)</f>
        <v>0</v>
      </c>
      <c r="DF289" s="149" t="n">
        <v>281</v>
      </c>
      <c r="DG289" s="149" t="str">
        <f aca="false">IF(ISBLANK($C289),"",IF(ISNUMBER($DC289),$DC289+ROW($B289)/1000,""))</f>
        <v/>
      </c>
      <c r="DH289" s="149" t="str">
        <f aca="false">IF(ISNUMBER($DG289),RANK($DG289,$DG$9:$DG$508,1),"")</f>
        <v/>
      </c>
      <c r="DI289" s="149" t="str">
        <f aca="false">IF(ISBLANK($C289),"",$B289)</f>
        <v/>
      </c>
      <c r="DJ289" s="149" t="str">
        <f aca="false">IF(ISBLANK($C289),"",$C289)</f>
        <v/>
      </c>
      <c r="DK289" s="149" t="str">
        <f aca="false">IF(ISBLANK($C289),"",$D289)</f>
        <v/>
      </c>
      <c r="DL289" s="150" t="str">
        <f aca="false">$CZ289</f>
        <v/>
      </c>
      <c r="DM289" s="151" t="str">
        <f aca="false">$CY289</f>
        <v/>
      </c>
      <c r="DN289" s="149" t="str">
        <f aca="false">IF(ISBLANK($C289),"",$DB289)</f>
        <v/>
      </c>
      <c r="DO289" s="152" t="str">
        <f aca="false">IF($DF289&gt;$DE$8,"",VLOOKUP($DF289,$DH$9:$DN$508,7,FALSE()))</f>
        <v/>
      </c>
      <c r="DP289" s="153" t="str">
        <f aca="false">IF($DF289&gt;$DE$8,"",VLOOKUP($DF289,$DH$9:$DN$508,2,FALSE()))</f>
        <v/>
      </c>
      <c r="DQ289" s="153" t="str">
        <f aca="false">IF($DF289&gt;$DE$8,"",VLOOKUP($DF289,$DH$9:$DN$508,3,FALSE()))</f>
        <v/>
      </c>
      <c r="DR289" s="153" t="str">
        <f aca="false">IF($DF289&gt;$DE$8,"",VLOOKUP($DF289,$DH$9:$DN$508,4,FALSE()))</f>
        <v/>
      </c>
      <c r="DS289" s="153" t="str">
        <f aca="false">IF($DF289&gt;$DE$8,"",VLOOKUP($DF289,$DH$9:$DN$508,5,FALSE()))</f>
        <v/>
      </c>
      <c r="DT289" s="154" t="str">
        <f aca="false">IF($DF289&gt;$DE$8,"",VLOOKUP($DF289,$DH$9:$DN$508,6,FALSE()))</f>
        <v/>
      </c>
      <c r="DU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IF(ISBLANK($C290),"",IF(E290=Constants!$B$3,TRUE(),IF(E290=Constants!$B$4,FALSE(),TRUE())))</f>
        <v/>
      </c>
      <c r="AG290" s="135" t="str">
        <f aca="false">IF(ISBLANK($C290),"",IF(F290=Constants!$B$3,TRUE(),IF(F290=Constants!$B$4,FALSE(),TRUE())))</f>
        <v/>
      </c>
      <c r="AH290" s="135" t="str">
        <f aca="false">IF(ISBLANK($C290),"",IF(G290=Constants!$B$3,TRUE(),IF(G290=Constants!$B$4,FALSE(),TRUE())))</f>
        <v/>
      </c>
      <c r="AI290" s="135" t="str">
        <f aca="false">IF(ISBLANK($C290),"",IF(AND(ISNUMBER(H290),H290&gt;=0),H290,Constants!$B$29))</f>
        <v/>
      </c>
      <c r="AJ290" s="135" t="str">
        <f aca="false">IF(ISBLANK($C290),"",IF(I290=Constants!$B$3,TRUE(),IF(I290=Constants!$B$4,FALSE(),TRUE())))</f>
        <v/>
      </c>
      <c r="AK290" s="135" t="str">
        <f aca="false">IF(ISBLANK($C290),"",IF(J290=Constants!$B$3,TRUE(),IF(J290=Constants!$B$4,FALSE(),TRUE())))</f>
        <v/>
      </c>
      <c r="AL290" s="135" t="str">
        <f aca="false">IF(ISBLANK($C290),"",IF(K290=Constants!$B$5,TRUE(),IF(K290=Constants!$B$6,FALSE(),COUNTA(L290:P290)&gt;0)))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IF(ISBLANK($C290),"",IF(N290=Constants!$B$3,TRUE(),IF(N290=Constants!$B$4,FALSE(),TRUE())))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IF(ISBLANK($C290),"",IF(P290=Constants!$B$3,TRUE(),IF(P290=Constants!$B$4,FALSE(),FALSE())))</f>
        <v/>
      </c>
      <c r="AR290" s="135" t="str">
        <f aca="false">IF(ISBLANK($C290),"",IF(Q290=Constants!$B$3,TRUE(),IF(Q290=Constants!$B$4,FALSE(),TRUE())))</f>
        <v/>
      </c>
      <c r="AS290" s="135" t="str">
        <f aca="false">IF(ISBLANK($C290),"",IF(R290=Constants!$B$3,TRUE(),IF(R290=Constants!$B$4,FALSE(),TRUE())))</f>
        <v/>
      </c>
      <c r="AT290" s="135" t="str">
        <f aca="false">IF(ISBLANK($C290),"",IF(S290=Constants!$B$5,TRUE(),IF(S290=Constants!$B$6,FALSE(),COUNTA(T290:X290)&gt;0)))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IF(ISBLANK($C290),"",IF(V290=Constants!$B$3,TRUE(),IF(V290=Constants!$B$4,FALSE(),TRUE())))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IF(ISBLANK($C290),"",IF(X290=Constants!$B$3,TRUE(),IF(X290=Constants!$B$4,FALSE(),FALSE())))</f>
        <v/>
      </c>
      <c r="AZ290" s="135" t="str">
        <f aca="false">IF(ISBLANK($C290),"",MIN(Constants!$B$31,MAX(0,IF(ISNUMBER(Y290),Y290*60,0)+IF(ISNUMBER(Z290),Z290,0))))</f>
        <v/>
      </c>
      <c r="BA290" s="135" t="str">
        <f aca="false">IF(ISBLANK($C290),"",IF(AA290=Constants!$B$3,TRUE(),IF(AA290=Constants!$B$4,FALSE(),FALSE())))</f>
        <v/>
      </c>
      <c r="BB290" s="134" t="str">
        <f aca="false">IF(ISBLANK($C290),"",AND($AL290,OR($AM290="",$AN290="",AND($AO290,$AP290=""))))</f>
        <v/>
      </c>
      <c r="BC290" s="137" t="str">
        <f aca="false">IF($BZ290&lt;&gt;Constants!$B$8,"",IF($AL290,Constants!$B$21*$AN290+Constants!$B$22*IF($AO290,$AP290,Constants!$B$23),Constants!$B$24))</f>
        <v/>
      </c>
      <c r="BD290" s="138" t="str">
        <f aca="false">IF($BZ290&lt;&gt;Constants!$B$8,"",Constants!$B$25*ABS($AD$9-IF($AL290,$AM290,0)))</f>
        <v/>
      </c>
      <c r="BE290" s="138" t="str">
        <f aca="false">IF($BZ290&lt;&gt;Constants!$B$8,"",IF(AND($AL290,$AQ290,$AO290),Constants!$B$27,0))</f>
        <v/>
      </c>
      <c r="BF290" s="138" t="str">
        <f aca="false">IF($BZ290&lt;&gt;Constants!$B$8,"",IF($AL290,($AI290-Constants!$B$29)*Constants!$B$28,0))</f>
        <v/>
      </c>
      <c r="BG290" s="138" t="str">
        <f aca="false">IF($BZ290&lt;&gt;Constants!$B$8,"",IF($AK290,0,Constants!$B$15)+IF($AJ290,0,Constants!$B$16)+IF($AH290,0,Constants!$B$17))</f>
        <v/>
      </c>
      <c r="BH290" s="139" t="str">
        <f aca="false">IF($BZ290&lt;&gt;Constants!$B$8,"",Constants!$B$20+SUM($BC290:$BG290))</f>
        <v/>
      </c>
      <c r="BI290" s="138" t="str">
        <f aca="false">IF($BZ290&lt;&gt;Constants!$B$8,"",$BC290)</f>
        <v/>
      </c>
      <c r="BJ290" s="138" t="str">
        <f aca="false">IF($BZ290&lt;&gt;Constants!$B$8,"",$BD290)</f>
        <v/>
      </c>
      <c r="BK290" s="138" t="str">
        <f aca="false">IF($BZ290&lt;&gt;Constants!$B$8,"",IF($AL290,$AN290,""))</f>
        <v/>
      </c>
      <c r="BL290" s="140" t="str">
        <f aca="false">IF($BZ290&lt;&gt;Constants!$B$8,"",$AI290)</f>
        <v/>
      </c>
      <c r="BM290" s="135" t="str">
        <f aca="false">IF($BZ290&lt;&gt;Constants!$B$8,"",IF(OR($BT290&lt;$BH290,AND($BT290=$BH290,OR($BU290&lt;$BI290,AND($BU290=$BI290,OR($BV290&lt;$BJ290,AND($BV290=$BJ290,OR(AND(ISNUMBER($BW290),OR(NOT(ISNUMBER($BK290)),$BW290&lt;$BK290)),AND(OR(AND($BW290="",$BK290=""),AND(ISNUMBER($BW290),ISNUMBER($BK290),$BW290=$BK290)),$BX290&lt;$BL290)))))))),"-&gt;","&lt;-"))</f>
        <v/>
      </c>
      <c r="BN290" s="134" t="str">
        <f aca="false">IF(ISBLANK($C290),"",AND($AT290,OR($AU290="",$AV290="",AND($AW290,$AX290=""))))</f>
        <v/>
      </c>
      <c r="BO290" s="137" t="str">
        <f aca="false">IF($BZ290&lt;&gt;Constants!$B$8,"",IF($AT290,Constants!$B$21*$AV290+Constants!$B$22*IF($AW290,$AX290,Constants!$B$23),Constants!$B$24))</f>
        <v/>
      </c>
      <c r="BP290" s="138" t="str">
        <f aca="false">IF($BZ290&lt;&gt;Constants!$B$8,"",Constants!$B$25*ABS($AD$9-IF($AT290,$AU290,0)))</f>
        <v/>
      </c>
      <c r="BQ290" s="138" t="str">
        <f aca="false">IF($BZ290&lt;&gt;Constants!$B$8,"",IF(AND($AT290,$AY290,$AW290),Constants!$B$27,0))</f>
        <v/>
      </c>
      <c r="BR290" s="138" t="str">
        <f aca="false">IF($BZ290&lt;&gt;Constants!$B$8,"",IF($AT290,($AI290-Constants!$B$29)*Constants!$B$28,0))</f>
        <v/>
      </c>
      <c r="BS290" s="138" t="str">
        <f aca="false">IF($BZ290&lt;&gt;Constants!$B$8,"",IF($AS290,0,Constants!$B$15)+IF($AR290,0,Constants!$B$16)+IF($AH290,0,Constants!$B$17))</f>
        <v/>
      </c>
      <c r="BT290" s="139" t="str">
        <f aca="false">IF($BZ290&lt;&gt;Constants!$B$8,"",Constants!$B$20+SUM($BO290:$BS290))</f>
        <v/>
      </c>
      <c r="BU290" s="138" t="str">
        <f aca="false">IF($BZ290&lt;&gt;Constants!$B$8,"",$BO290)</f>
        <v/>
      </c>
      <c r="BV290" s="138" t="str">
        <f aca="false">IF($BZ290&lt;&gt;Constants!$B$8,"",$BP290)</f>
        <v/>
      </c>
      <c r="BW290" s="138" t="str">
        <f aca="false">IF($BZ290&lt;&gt;Constants!$B$8,"",IF($AT290,$AV290,""))</f>
        <v/>
      </c>
      <c r="BX290" s="140" t="str">
        <f aca="false">IF($BZ290&lt;&gt;Constants!$B$8,"",$AI290)</f>
        <v/>
      </c>
      <c r="BY290" s="135" t="str">
        <f aca="false">IF(ISBLANK($C290),"",IF(ISBLANK($D$7),$BY$5,IF(NOT(ISNUMBER($D$7)),$BY$6,"")))</f>
        <v/>
      </c>
      <c r="BZ290" s="135" t="str">
        <f aca="false">IF(ISBLANK($C290),"",IF($BA290,Constants!$B$11,IF(COUNTA($E290:$AA290)=0,Constants!$B$10,IF(NOT($AG290),Constants!$B$9,IF(OR($BY290&lt;&gt;"",$BB290,$BN290),Constants!$B$12,Constants!$B$8)))))</f>
        <v/>
      </c>
      <c r="CA290" s="135" t="str">
        <f aca="false">IF(ISBLANK($C290),"",IF($BZ290&lt;&gt;Constants!$B$8,$BZ290,Constants!$B$13))</f>
        <v/>
      </c>
      <c r="CB290" s="138" t="str">
        <f aca="false">IF($BZ290&lt;&gt;Constants!$B$8,"",IF($BM290="-&gt;",$BT290,$BH290))</f>
        <v/>
      </c>
      <c r="CC290" s="138" t="str">
        <f aca="false">IF($BZ290&lt;&gt;Constants!$B$8,"",IF($AF290,0,Constants!$B$18))</f>
        <v/>
      </c>
      <c r="CD290" s="138" t="str">
        <f aca="false">IF($BZ290&lt;&gt;Constants!$B$8,"",((Constants!$B$31-$AZ290)-Constants!$B$31)/Constants!$B$32)</f>
        <v/>
      </c>
      <c r="CE290" s="138" t="str">
        <f aca="false">IF(ISBLANK($C290),"",IF($BZ290&lt;&gt;Constants!$B$8,$BZ290,SUM($CB290:$CD290)))</f>
        <v/>
      </c>
      <c r="CF290" s="135" t="str">
        <f aca="false">IF(ISBLANK($C290),"",IF($BZ290&lt;&gt;Constants!$B$8,$BZ290,RANK($CE290,$CE$9:$CE$508,1)))</f>
        <v/>
      </c>
      <c r="CG290" s="138" t="str">
        <f aca="false">IF($BZ290&lt;&gt;Constants!$B$8,"",IF($BM290="-&gt;",$BU290,$BI290))</f>
        <v/>
      </c>
      <c r="CH290" s="135" t="str">
        <f aca="false">IF(ISBLANK($C290),"",IF($BZ290&lt;&gt;Constants!$B$8,$BZ290,IF(ISNUMBER($CG290),RANK($CG290,$CG$9:$CG$508,1),COUNT($CG$9:$CG$508)+1)))</f>
        <v/>
      </c>
      <c r="CI290" s="138" t="str">
        <f aca="false">IF($BZ290&lt;&gt;Constants!$B$8,"",IF($BM290="-&gt;",$BV290,$BJ290))</f>
        <v/>
      </c>
      <c r="CJ290" s="135" t="str">
        <f aca="false">IF(ISBLANK($C290),"",IF($BZ290&lt;&gt;Constants!$B$8,$BZ290,IF(ISNUMBER($CI290),RANK($CI290,$CI$9:$CI$508,1),COUNT($CI$9:$CI$508)+1)))</f>
        <v/>
      </c>
      <c r="CK290" s="138" t="str">
        <f aca="false">IF($BZ290&lt;&gt;Constants!$B$8,"",IF($BM290="-&gt;",$BW290,$BK290))</f>
        <v/>
      </c>
      <c r="CL290" s="135" t="str">
        <f aca="false">IF(ISBLANK($C290),"",IF($BZ290&lt;&gt;Constants!$B$8,$BZ290,IF(ISNUMBER($CK290),RANK($CK290,$CK$9:$CK$508,1),COUNT($CK$9:$CK$508)+1)))</f>
        <v/>
      </c>
      <c r="CM290" s="138" t="str">
        <f aca="false">IF($BZ290&lt;&gt;Constants!$B$8,"",IF(AND(NOT($AL290),NOT($AT290),$AJ290,$AK290,$AR290,$AS290),"",IF($BM290="-&gt;",$BX290,$BL290)))</f>
        <v/>
      </c>
      <c r="CN290" s="135" t="str">
        <f aca="false">IF(ISBLANK($C290),"",IF($BZ290&lt;&gt;Constants!$B$8,$BZ290,IF(ISNUMBER($CM290),RANK($CM290,$CM$9:$CM$508,1),COUNT($CM$9:$CM$508)+1)))</f>
        <v/>
      </c>
      <c r="CO290" s="135" t="str">
        <f aca="false">IF(ISBLANK($C290),"",IF($BZ290&lt;&gt;Constants!$B$8,$BZ290,COUNTIFS($CF$9:$CF$508,"&lt;"&amp;$CF290)+COUNTIFS($CF$9:$CF$508,$CF290,$CH$9:$CH$508,"&lt;"&amp;$CH290)+COUNTIFS($CF$9:$CF$508,$CF290,$CH$9:$CH$508,$CH290,$CJ$9:$CJ$508,"&lt;"&amp;$CJ290)+COUNTIFS($CF$9:$CF$508,$CF290,$CH$9:$CH$508,$CH290,$CJ$9:$CJ$508,$CJ290,$CL$9:$CL$508,"&lt;"&amp;$CL290)+COUNTIFS($CF$9:$CF$508,$CF290,$CH$9:$CH$508,$CH290,$CJ$9:$CJ$508,$CJ290,$CL$9:$CL$508,$CL290,$CN$9:$CN$508,"&lt;"&amp;$CN290)+1))</f>
        <v/>
      </c>
      <c r="CP290" s="135" t="str">
        <f aca="false">IF(ISBLANK($C290),"",IF($BZ290&lt;&gt;Constants!$B$8,$BZ290,$CF290-$CO290))</f>
        <v/>
      </c>
      <c r="CQ290" s="141"/>
      <c r="CR290" s="142"/>
      <c r="CS290" s="143" t="str">
        <f aca="false">IF(ISBLANK($C290),"",IF($BZ290=Constants!$B$12,$BY290,""))</f>
        <v/>
      </c>
      <c r="CT290" s="142" t="str">
        <f aca="false">IF(ISBLANK($C290),"",IF($BZ290&lt;&gt;Constants!$B$8,"",IF($BM290="-&gt;",2,1)))</f>
        <v/>
      </c>
      <c r="CU290" s="144" t="str">
        <f aca="false">IF(ISBLANK($C290),"",IF($BZ290&lt;&gt;Constants!$B$8,"",IF($BM290="-&gt;",$BO290,$BC290)))</f>
        <v/>
      </c>
      <c r="CV290" s="144" t="str">
        <f aca="false">IF(ISBLANK($C290),"",IF($BZ290&lt;&gt;Constants!$B$8,"",IF($BM290="-&gt;",$BP290,$BD290)))</f>
        <v/>
      </c>
      <c r="CW290" s="144" t="str">
        <f aca="false">IF(ISBLANK($C290),"",IF($BZ290&lt;&gt;Constants!$B$8,"",IF($BM290="-&gt;",$BQ290+$BR290,$BE290+$BF290)+$CD290))</f>
        <v/>
      </c>
      <c r="CX290" s="144" t="str">
        <f aca="false">IF(ISBLANK($C290),"",IF($BZ290&lt;&gt;Constants!$B$8,"",IF($BM290="-&gt;",$BS290,$BG290)+$CC290))</f>
        <v/>
      </c>
      <c r="CY290" s="145" t="str">
        <f aca="false">IF(ISBLANK($C290),"",IF($BZ290&lt;&gt;Constants!$B$8,$BZ290,$CE290))</f>
        <v/>
      </c>
      <c r="CZ290" s="146" t="str">
        <f aca="false">IF(ISBLANK($C290),"",$CA290)</f>
        <v/>
      </c>
      <c r="DA290" s="147" t="str">
        <f aca="false">IF(ISBLANK($C290),"",$CP290)</f>
        <v/>
      </c>
      <c r="DB290" s="147" t="str">
        <f aca="false">IF(ISBLANK($C290),"",$CO290)</f>
        <v/>
      </c>
      <c r="DC290" s="148" t="str">
        <f aca="false">IF(ISBLANK($C290),"",IFERROR(_xlfn.SWITCH($DB290,Constants!$B$11,COUNTA($C$9:$C$508)+2,Constants!$B$10,COUNTA($C$9:$C$508)+1,Constants!$B$9,COUNTA($C$9:$C$508)),$DB290))</f>
        <v/>
      </c>
      <c r="DD290" s="9"/>
      <c r="DE290" s="149" t="n">
        <f aca="false">IF(OR(ISNUMBER($DB290),$DB290=Constants!$B$11,$DB290=Constants!$B$9,$DB290=Constants!$B$10),1,0)</f>
        <v>0</v>
      </c>
      <c r="DF290" s="149" t="n">
        <v>282</v>
      </c>
      <c r="DG290" s="149" t="str">
        <f aca="false">IF(ISBLANK($C290),"",IF(ISNUMBER($DC290),$DC290+ROW($B290)/1000,""))</f>
        <v/>
      </c>
      <c r="DH290" s="149" t="str">
        <f aca="false">IF(ISNUMBER($DG290),RANK($DG290,$DG$9:$DG$508,1),"")</f>
        <v/>
      </c>
      <c r="DI290" s="149" t="str">
        <f aca="false">IF(ISBLANK($C290),"",$B290)</f>
        <v/>
      </c>
      <c r="DJ290" s="149" t="str">
        <f aca="false">IF(ISBLANK($C290),"",$C290)</f>
        <v/>
      </c>
      <c r="DK290" s="149" t="str">
        <f aca="false">IF(ISBLANK($C290),"",$D290)</f>
        <v/>
      </c>
      <c r="DL290" s="150" t="str">
        <f aca="false">$CZ290</f>
        <v/>
      </c>
      <c r="DM290" s="151" t="str">
        <f aca="false">$CY290</f>
        <v/>
      </c>
      <c r="DN290" s="149" t="str">
        <f aca="false">IF(ISBLANK($C290),"",$DB290)</f>
        <v/>
      </c>
      <c r="DO290" s="152" t="str">
        <f aca="false">IF($DF290&gt;$DE$8,"",VLOOKUP($DF290,$DH$9:$DN$508,7,FALSE()))</f>
        <v/>
      </c>
      <c r="DP290" s="153" t="str">
        <f aca="false">IF($DF290&gt;$DE$8,"",VLOOKUP($DF290,$DH$9:$DN$508,2,FALSE()))</f>
        <v/>
      </c>
      <c r="DQ290" s="153" t="str">
        <f aca="false">IF($DF290&gt;$DE$8,"",VLOOKUP($DF290,$DH$9:$DN$508,3,FALSE()))</f>
        <v/>
      </c>
      <c r="DR290" s="153" t="str">
        <f aca="false">IF($DF290&gt;$DE$8,"",VLOOKUP($DF290,$DH$9:$DN$508,4,FALSE()))</f>
        <v/>
      </c>
      <c r="DS290" s="153" t="str">
        <f aca="false">IF($DF290&gt;$DE$8,"",VLOOKUP($DF290,$DH$9:$DN$508,5,FALSE()))</f>
        <v/>
      </c>
      <c r="DT290" s="154" t="str">
        <f aca="false">IF($DF290&gt;$DE$8,"",VLOOKUP($DF290,$DH$9:$DN$508,6,FALSE()))</f>
        <v/>
      </c>
      <c r="DU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IF(ISBLANK($C291),"",IF(E291=Constants!$B$3,TRUE(),IF(E291=Constants!$B$4,FALSE(),TRUE())))</f>
        <v/>
      </c>
      <c r="AG291" s="93" t="str">
        <f aca="false">IF(ISBLANK($C291),"",IF(F291=Constants!$B$3,TRUE(),IF(F291=Constants!$B$4,FALSE(),TRUE())))</f>
        <v/>
      </c>
      <c r="AH291" s="93" t="str">
        <f aca="false">IF(ISBLANK($C291),"",IF(G291=Constants!$B$3,TRUE(),IF(G291=Constants!$B$4,FALSE(),TRUE())))</f>
        <v/>
      </c>
      <c r="AI291" s="93" t="str">
        <f aca="false">IF(ISBLANK($C291),"",IF(AND(ISNUMBER(H291),H291&gt;=0),H291,Constants!$B$29))</f>
        <v/>
      </c>
      <c r="AJ291" s="93" t="str">
        <f aca="false">IF(ISBLANK($C291),"",IF(I291=Constants!$B$3,TRUE(),IF(I291=Constants!$B$4,FALSE(),TRUE())))</f>
        <v/>
      </c>
      <c r="AK291" s="93" t="str">
        <f aca="false">IF(ISBLANK($C291),"",IF(J291=Constants!$B$3,TRUE(),IF(J291=Constants!$B$4,FALSE(),TRUE())))</f>
        <v/>
      </c>
      <c r="AL291" s="93" t="str">
        <f aca="false">IF(ISBLANK($C291),"",IF(K291=Constants!$B$5,TRUE(),IF(K291=Constants!$B$6,FALSE(),COUNTA(L291:P291)&gt;0)))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IF(ISBLANK($C291),"",IF(N291=Constants!$B$3,TRUE(),IF(N291=Constants!$B$4,FALSE(),TRUE())))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IF(ISBLANK($C291),"",IF(P291=Constants!$B$3,TRUE(),IF(P291=Constants!$B$4,FALSE(),FALSE())))</f>
        <v/>
      </c>
      <c r="AR291" s="93" t="str">
        <f aca="false">IF(ISBLANK($C291),"",IF(Q291=Constants!$B$3,TRUE(),IF(Q291=Constants!$B$4,FALSE(),TRUE())))</f>
        <v/>
      </c>
      <c r="AS291" s="93" t="str">
        <f aca="false">IF(ISBLANK($C291),"",IF(R291=Constants!$B$3,TRUE(),IF(R291=Constants!$B$4,FALSE(),TRUE())))</f>
        <v/>
      </c>
      <c r="AT291" s="93" t="str">
        <f aca="false">IF(ISBLANK($C291),"",IF(S291=Constants!$B$5,TRUE(),IF(S291=Constants!$B$6,FALSE(),COUNTA(T291:X291)&gt;0)))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IF(ISBLANK($C291),"",IF(V291=Constants!$B$3,TRUE(),IF(V291=Constants!$B$4,FALSE(),TRUE())))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IF(ISBLANK($C291),"",IF(X291=Constants!$B$3,TRUE(),IF(X291=Constants!$B$4,FALSE(),FALSE())))</f>
        <v/>
      </c>
      <c r="AZ291" s="93" t="str">
        <f aca="false">IF(ISBLANK($C291),"",MIN(Constants!$B$31,MAX(0,IF(ISNUMBER(Y291),Y291*60,0)+IF(ISNUMBER(Z291),Z291,0))))</f>
        <v/>
      </c>
      <c r="BA291" s="93" t="str">
        <f aca="false">IF(ISBLANK($C291),"",IF(AA291=Constants!$B$3,TRUE(),IF(AA291=Constants!$B$4,FALSE(),FALSE())))</f>
        <v/>
      </c>
      <c r="BB291" s="92" t="str">
        <f aca="false">IF(ISBLANK($C291),"",AND($AL291,OR($AM291="",$AN291="",AND($AO291,$AP291=""))))</f>
        <v/>
      </c>
      <c r="BC291" s="94" t="str">
        <f aca="false">IF($BZ291&lt;&gt;Constants!$B$8,"",IF($AL291,Constants!$B$21*$AN291+Constants!$B$22*IF($AO291,$AP291,Constants!$B$23),Constants!$B$24))</f>
        <v/>
      </c>
      <c r="BD291" s="97" t="str">
        <f aca="false">IF($BZ291&lt;&gt;Constants!$B$8,"",Constants!$B$25*ABS($AD$9-IF($AL291,$AM291,0)))</f>
        <v/>
      </c>
      <c r="BE291" s="97" t="str">
        <f aca="false">IF($BZ291&lt;&gt;Constants!$B$8,"",IF(AND($AL291,$AQ291,$AO291),Constants!$B$27,0))</f>
        <v/>
      </c>
      <c r="BF291" s="97" t="str">
        <f aca="false">IF($BZ291&lt;&gt;Constants!$B$8,"",IF($AL291,($AI291-Constants!$B$29)*Constants!$B$28,0))</f>
        <v/>
      </c>
      <c r="BG291" s="97" t="str">
        <f aca="false">IF($BZ291&lt;&gt;Constants!$B$8,"",IF($AK291,0,Constants!$B$15)+IF($AJ291,0,Constants!$B$16)+IF($AH291,0,Constants!$B$17))</f>
        <v/>
      </c>
      <c r="BH291" s="98" t="str">
        <f aca="false">IF($BZ291&lt;&gt;Constants!$B$8,"",Constants!$B$20+SUM($BC291:$BG291))</f>
        <v/>
      </c>
      <c r="BI291" s="97" t="str">
        <f aca="false">IF($BZ291&lt;&gt;Constants!$B$8,"",$BC291)</f>
        <v/>
      </c>
      <c r="BJ291" s="97" t="str">
        <f aca="false">IF($BZ291&lt;&gt;Constants!$B$8,"",$BD291)</f>
        <v/>
      </c>
      <c r="BK291" s="97" t="str">
        <f aca="false">IF($BZ291&lt;&gt;Constants!$B$8,"",IF($AL291,$AN291,""))</f>
        <v/>
      </c>
      <c r="BL291" s="99" t="str">
        <f aca="false">IF($BZ291&lt;&gt;Constants!$B$8,"",$AI291)</f>
        <v/>
      </c>
      <c r="BM291" s="93" t="str">
        <f aca="false">IF($BZ291&lt;&gt;Constants!$B$8,"",IF(OR($BT291&lt;$BH291,AND($BT291=$BH291,OR($BU291&lt;$BI291,AND($BU291=$BI291,OR($BV291&lt;$BJ291,AND($BV291=$BJ291,OR(AND(ISNUMBER($BW291),OR(NOT(ISNUMBER($BK291)),$BW291&lt;$BK291)),AND(OR(AND($BW291="",$BK291=""),AND(ISNUMBER($BW291),ISNUMBER($BK291),$BW291=$BK291)),$BX291&lt;$BL291)))))))),"-&gt;","&lt;-"))</f>
        <v/>
      </c>
      <c r="BN291" s="92" t="str">
        <f aca="false">IF(ISBLANK($C291),"",AND($AT291,OR($AU291="",$AV291="",AND($AW291,$AX291=""))))</f>
        <v/>
      </c>
      <c r="BO291" s="94" t="str">
        <f aca="false">IF($BZ291&lt;&gt;Constants!$B$8,"",IF($AT291,Constants!$B$21*$AV291+Constants!$B$22*IF($AW291,$AX291,Constants!$B$23),Constants!$B$24))</f>
        <v/>
      </c>
      <c r="BP291" s="97" t="str">
        <f aca="false">IF($BZ291&lt;&gt;Constants!$B$8,"",Constants!$B$25*ABS($AD$9-IF($AT291,$AU291,0)))</f>
        <v/>
      </c>
      <c r="BQ291" s="97" t="str">
        <f aca="false">IF($BZ291&lt;&gt;Constants!$B$8,"",IF(AND($AT291,$AY291,$AW291),Constants!$B$27,0))</f>
        <v/>
      </c>
      <c r="BR291" s="97" t="str">
        <f aca="false">IF($BZ291&lt;&gt;Constants!$B$8,"",IF($AT291,($AI291-Constants!$B$29)*Constants!$B$28,0))</f>
        <v/>
      </c>
      <c r="BS291" s="97" t="str">
        <f aca="false">IF($BZ291&lt;&gt;Constants!$B$8,"",IF($AS291,0,Constants!$B$15)+IF($AR291,0,Constants!$B$16)+IF($AH291,0,Constants!$B$17))</f>
        <v/>
      </c>
      <c r="BT291" s="98" t="str">
        <f aca="false">IF($BZ291&lt;&gt;Constants!$B$8,"",Constants!$B$20+SUM($BO291:$BS291))</f>
        <v/>
      </c>
      <c r="BU291" s="97" t="str">
        <f aca="false">IF($BZ291&lt;&gt;Constants!$B$8,"",$BO291)</f>
        <v/>
      </c>
      <c r="BV291" s="97" t="str">
        <f aca="false">IF($BZ291&lt;&gt;Constants!$B$8,"",$BP291)</f>
        <v/>
      </c>
      <c r="BW291" s="97" t="str">
        <f aca="false">IF($BZ291&lt;&gt;Constants!$B$8,"",IF($AT291,$AV291,""))</f>
        <v/>
      </c>
      <c r="BX291" s="99" t="str">
        <f aca="false">IF($BZ291&lt;&gt;Constants!$B$8,"",$AI291)</f>
        <v/>
      </c>
      <c r="BY291" s="93" t="str">
        <f aca="false">IF(ISBLANK($C291),"",IF(ISBLANK($D$7),$BY$5,IF(NOT(ISNUMBER($D$7)),$BY$6,"")))</f>
        <v/>
      </c>
      <c r="BZ291" s="93" t="str">
        <f aca="false">IF(ISBLANK($C291),"",IF($BA291,Constants!$B$11,IF(COUNTA($E291:$AA291)=0,Constants!$B$10,IF(NOT($AG291),Constants!$B$9,IF(OR($BY291&lt;&gt;"",$BB291,$BN291),Constants!$B$12,Constants!$B$8)))))</f>
        <v/>
      </c>
      <c r="CA291" s="93" t="str">
        <f aca="false">IF(ISBLANK($C291),"",IF($BZ291&lt;&gt;Constants!$B$8,$BZ291,Constants!$B$13))</f>
        <v/>
      </c>
      <c r="CB291" s="97" t="str">
        <f aca="false">IF($BZ291&lt;&gt;Constants!$B$8,"",IF($BM291="-&gt;",$BT291,$BH291))</f>
        <v/>
      </c>
      <c r="CC291" s="97" t="str">
        <f aca="false">IF($BZ291&lt;&gt;Constants!$B$8,"",IF($AF291,0,Constants!$B$18))</f>
        <v/>
      </c>
      <c r="CD291" s="97" t="str">
        <f aca="false">IF($BZ291&lt;&gt;Constants!$B$8,"",((Constants!$B$31-$AZ291)-Constants!$B$31)/Constants!$B$32)</f>
        <v/>
      </c>
      <c r="CE291" s="97" t="str">
        <f aca="false">IF(ISBLANK($C291),"",IF($BZ291&lt;&gt;Constants!$B$8,$BZ291,SUM($CB291:$CD291)))</f>
        <v/>
      </c>
      <c r="CF291" s="93" t="str">
        <f aca="false">IF(ISBLANK($C291),"",IF($BZ291&lt;&gt;Constants!$B$8,$BZ291,RANK($CE291,$CE$9:$CE$508,1)))</f>
        <v/>
      </c>
      <c r="CG291" s="97" t="str">
        <f aca="false">IF($BZ291&lt;&gt;Constants!$B$8,"",IF($BM291="-&gt;",$BU291,$BI291))</f>
        <v/>
      </c>
      <c r="CH291" s="93" t="str">
        <f aca="false">IF(ISBLANK($C291),"",IF($BZ291&lt;&gt;Constants!$B$8,$BZ291,IF(ISNUMBER($CG291),RANK($CG291,$CG$9:$CG$508,1),COUNT($CG$9:$CG$508)+1)))</f>
        <v/>
      </c>
      <c r="CI291" s="97" t="str">
        <f aca="false">IF($BZ291&lt;&gt;Constants!$B$8,"",IF($BM291="-&gt;",$BV291,$BJ291))</f>
        <v/>
      </c>
      <c r="CJ291" s="93" t="str">
        <f aca="false">IF(ISBLANK($C291),"",IF($BZ291&lt;&gt;Constants!$B$8,$BZ291,IF(ISNUMBER($CI291),RANK($CI291,$CI$9:$CI$508,1),COUNT($CI$9:$CI$508)+1)))</f>
        <v/>
      </c>
      <c r="CK291" s="97" t="str">
        <f aca="false">IF($BZ291&lt;&gt;Constants!$B$8,"",IF($BM291="-&gt;",$BW291,$BK291))</f>
        <v/>
      </c>
      <c r="CL291" s="93" t="str">
        <f aca="false">IF(ISBLANK($C291),"",IF($BZ291&lt;&gt;Constants!$B$8,$BZ291,IF(ISNUMBER($CK291),RANK($CK291,$CK$9:$CK$508,1),COUNT($CK$9:$CK$508)+1)))</f>
        <v/>
      </c>
      <c r="CM291" s="97" t="str">
        <f aca="false">IF($BZ291&lt;&gt;Constants!$B$8,"",IF(AND(NOT($AL291),NOT($AT291),$AJ291,$AK291,$AR291,$AS291),"",IF($BM291="-&gt;",$BX291,$BL291)))</f>
        <v/>
      </c>
      <c r="CN291" s="93" t="str">
        <f aca="false">IF(ISBLANK($C291),"",IF($BZ291&lt;&gt;Constants!$B$8,$BZ291,IF(ISNUMBER($CM291),RANK($CM291,$CM$9:$CM$508,1),COUNT($CM$9:$CM$508)+1)))</f>
        <v/>
      </c>
      <c r="CO291" s="93" t="str">
        <f aca="false">IF(ISBLANK($C291),"",IF($BZ291&lt;&gt;Constants!$B$8,$BZ291,COUNTIFS($CF$9:$CF$508,"&lt;"&amp;$CF291)+COUNTIFS($CF$9:$CF$508,$CF291,$CH$9:$CH$508,"&lt;"&amp;$CH291)+COUNTIFS($CF$9:$CF$508,$CF291,$CH$9:$CH$508,$CH291,$CJ$9:$CJ$508,"&lt;"&amp;$CJ291)+COUNTIFS($CF$9:$CF$508,$CF291,$CH$9:$CH$508,$CH291,$CJ$9:$CJ$508,$CJ291,$CL$9:$CL$508,"&lt;"&amp;$CL291)+COUNTIFS($CF$9:$CF$508,$CF291,$CH$9:$CH$508,$CH291,$CJ$9:$CJ$508,$CJ291,$CL$9:$CL$508,$CL291,$CN$9:$CN$508,"&lt;"&amp;$CN291)+1))</f>
        <v/>
      </c>
      <c r="CP291" s="93" t="str">
        <f aca="false">IF(ISBLANK($C291),"",IF($BZ291&lt;&gt;Constants!$B$8,$BZ291,$CF291-$CO291))</f>
        <v/>
      </c>
      <c r="CQ291" s="100"/>
      <c r="CR291" s="101"/>
      <c r="CS291" s="102" t="str">
        <f aca="false">IF(ISBLANK($C291),"",IF($BZ291=Constants!$B$12,$BY291,""))</f>
        <v/>
      </c>
      <c r="CT291" s="101" t="str">
        <f aca="false">IF(ISBLANK($C291),"",IF($BZ291&lt;&gt;Constants!$B$8,"",IF($BM291="-&gt;",2,1)))</f>
        <v/>
      </c>
      <c r="CU291" s="103" t="str">
        <f aca="false">IF(ISBLANK($C291),"",IF($BZ291&lt;&gt;Constants!$B$8,"",IF($BM291="-&gt;",$BO291,$BC291)))</f>
        <v/>
      </c>
      <c r="CV291" s="103" t="str">
        <f aca="false">IF(ISBLANK($C291),"",IF($BZ291&lt;&gt;Constants!$B$8,"",IF($BM291="-&gt;",$BP291,$BD291)))</f>
        <v/>
      </c>
      <c r="CW291" s="103" t="str">
        <f aca="false">IF(ISBLANK($C291),"",IF($BZ291&lt;&gt;Constants!$B$8,"",IF($BM291="-&gt;",$BQ291+$BR291,$BE291+$BF291)+$CD291))</f>
        <v/>
      </c>
      <c r="CX291" s="103" t="str">
        <f aca="false">IF(ISBLANK($C291),"",IF($BZ291&lt;&gt;Constants!$B$8,"",IF($BM291="-&gt;",$BS291,$BG291)+$CC291))</f>
        <v/>
      </c>
      <c r="CY291" s="104" t="str">
        <f aca="false">IF(ISBLANK($C291),"",IF($BZ291&lt;&gt;Constants!$B$8,$BZ291,$CE291))</f>
        <v/>
      </c>
      <c r="CZ291" s="105" t="str">
        <f aca="false">IF(ISBLANK($C291),"",$CA291)</f>
        <v/>
      </c>
      <c r="DA291" s="106" t="str">
        <f aca="false">IF(ISBLANK($C291),"",$CP291)</f>
        <v/>
      </c>
      <c r="DB291" s="106" t="str">
        <f aca="false">IF(ISBLANK($C291),"",$CO291)</f>
        <v/>
      </c>
      <c r="DC291" s="107" t="str">
        <f aca="false">IF(ISBLANK($C291),"",IFERROR(_xlfn.SWITCH($DB291,Constants!$B$11,COUNTA($C$9:$C$508)+2,Constants!$B$10,COUNTA($C$9:$C$508)+1,Constants!$B$9,COUNTA($C$9:$C$508)),$DB291))</f>
        <v/>
      </c>
      <c r="DD291" s="9"/>
      <c r="DE291" s="108" t="n">
        <f aca="false">IF(OR(ISNUMBER($DB291),$DB291=Constants!$B$11,$DB291=Constants!$B$9,$DB291=Constants!$B$10),1,0)</f>
        <v>0</v>
      </c>
      <c r="DF291" s="108" t="n">
        <v>283</v>
      </c>
      <c r="DG291" s="108" t="str">
        <f aca="false">IF(ISBLANK($C291),"",IF(ISNUMBER($DC291),$DC291+ROW($B291)/1000,""))</f>
        <v/>
      </c>
      <c r="DH291" s="108" t="str">
        <f aca="false">IF(ISNUMBER($DG291),RANK($DG291,$DG$9:$DG$508,1),"")</f>
        <v/>
      </c>
      <c r="DI291" s="108" t="str">
        <f aca="false">IF(ISBLANK($C291),"",$B291)</f>
        <v/>
      </c>
      <c r="DJ291" s="108" t="str">
        <f aca="false">IF(ISBLANK($C291),"",$C291)</f>
        <v/>
      </c>
      <c r="DK291" s="108" t="str">
        <f aca="false">IF(ISBLANK($C291),"",$D291)</f>
        <v/>
      </c>
      <c r="DL291" s="109" t="str">
        <f aca="false">$CZ291</f>
        <v/>
      </c>
      <c r="DM291" s="110" t="str">
        <f aca="false">$CY291</f>
        <v/>
      </c>
      <c r="DN291" s="108" t="str">
        <f aca="false">IF(ISBLANK($C291),"",$DB291)</f>
        <v/>
      </c>
      <c r="DO291" s="111" t="str">
        <f aca="false">IF($DF291&gt;$DE$8,"",VLOOKUP($DF291,$DH$9:$DN$508,7,FALSE()))</f>
        <v/>
      </c>
      <c r="DP291" s="112" t="str">
        <f aca="false">IF($DF291&gt;$DE$8,"",VLOOKUP($DF291,$DH$9:$DN$508,2,FALSE()))</f>
        <v/>
      </c>
      <c r="DQ291" s="112" t="str">
        <f aca="false">IF($DF291&gt;$DE$8,"",VLOOKUP($DF291,$DH$9:$DN$508,3,FALSE()))</f>
        <v/>
      </c>
      <c r="DR291" s="112" t="str">
        <f aca="false">IF($DF291&gt;$DE$8,"",VLOOKUP($DF291,$DH$9:$DN$508,4,FALSE()))</f>
        <v/>
      </c>
      <c r="DS291" s="112" t="str">
        <f aca="false">IF($DF291&gt;$DE$8,"",VLOOKUP($DF291,$DH$9:$DN$508,5,FALSE()))</f>
        <v/>
      </c>
      <c r="DT291" s="113" t="str">
        <f aca="false">IF($DF291&gt;$DE$8,"",VLOOKUP($DF291,$DH$9:$DN$508,6,FALSE()))</f>
        <v/>
      </c>
      <c r="DU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IF(ISBLANK($C292),"",IF(E292=Constants!$B$3,TRUE(),IF(E292=Constants!$B$4,FALSE(),TRUE())))</f>
        <v/>
      </c>
      <c r="AG292" s="93" t="str">
        <f aca="false">IF(ISBLANK($C292),"",IF(F292=Constants!$B$3,TRUE(),IF(F292=Constants!$B$4,FALSE(),TRUE())))</f>
        <v/>
      </c>
      <c r="AH292" s="93" t="str">
        <f aca="false">IF(ISBLANK($C292),"",IF(G292=Constants!$B$3,TRUE(),IF(G292=Constants!$B$4,FALSE(),TRUE())))</f>
        <v/>
      </c>
      <c r="AI292" s="93" t="str">
        <f aca="false">IF(ISBLANK($C292),"",IF(AND(ISNUMBER(H292),H292&gt;=0),H292,Constants!$B$29))</f>
        <v/>
      </c>
      <c r="AJ292" s="93" t="str">
        <f aca="false">IF(ISBLANK($C292),"",IF(I292=Constants!$B$3,TRUE(),IF(I292=Constants!$B$4,FALSE(),TRUE())))</f>
        <v/>
      </c>
      <c r="AK292" s="93" t="str">
        <f aca="false">IF(ISBLANK($C292),"",IF(J292=Constants!$B$3,TRUE(),IF(J292=Constants!$B$4,FALSE(),TRUE())))</f>
        <v/>
      </c>
      <c r="AL292" s="93" t="str">
        <f aca="false">IF(ISBLANK($C292),"",IF(K292=Constants!$B$5,TRUE(),IF(K292=Constants!$B$6,FALSE(),COUNTA(L292:P292)&gt;0)))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IF(ISBLANK($C292),"",IF(N292=Constants!$B$3,TRUE(),IF(N292=Constants!$B$4,FALSE(),TRUE())))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IF(ISBLANK($C292),"",IF(P292=Constants!$B$3,TRUE(),IF(P292=Constants!$B$4,FALSE(),FALSE())))</f>
        <v/>
      </c>
      <c r="AR292" s="93" t="str">
        <f aca="false">IF(ISBLANK($C292),"",IF(Q292=Constants!$B$3,TRUE(),IF(Q292=Constants!$B$4,FALSE(),TRUE())))</f>
        <v/>
      </c>
      <c r="AS292" s="93" t="str">
        <f aca="false">IF(ISBLANK($C292),"",IF(R292=Constants!$B$3,TRUE(),IF(R292=Constants!$B$4,FALSE(),TRUE())))</f>
        <v/>
      </c>
      <c r="AT292" s="93" t="str">
        <f aca="false">IF(ISBLANK($C292),"",IF(S292=Constants!$B$5,TRUE(),IF(S292=Constants!$B$6,FALSE(),COUNTA(T292:X292)&gt;0)))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IF(ISBLANK($C292),"",IF(V292=Constants!$B$3,TRUE(),IF(V292=Constants!$B$4,FALSE(),TRUE())))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IF(ISBLANK($C292),"",IF(X292=Constants!$B$3,TRUE(),IF(X292=Constants!$B$4,FALSE(),FALSE())))</f>
        <v/>
      </c>
      <c r="AZ292" s="93" t="str">
        <f aca="false">IF(ISBLANK($C292),"",MIN(Constants!$B$31,MAX(0,IF(ISNUMBER(Y292),Y292*60,0)+IF(ISNUMBER(Z292),Z292,0))))</f>
        <v/>
      </c>
      <c r="BA292" s="93" t="str">
        <f aca="false">IF(ISBLANK($C292),"",IF(AA292=Constants!$B$3,TRUE(),IF(AA292=Constants!$B$4,FALSE(),FALSE())))</f>
        <v/>
      </c>
      <c r="BB292" s="92" t="str">
        <f aca="false">IF(ISBLANK($C292),"",AND($AL292,OR($AM292="",$AN292="",AND($AO292,$AP292=""))))</f>
        <v/>
      </c>
      <c r="BC292" s="94" t="str">
        <f aca="false">IF($BZ292&lt;&gt;Constants!$B$8,"",IF($AL292,Constants!$B$21*$AN292+Constants!$B$22*IF($AO292,$AP292,Constants!$B$23),Constants!$B$24))</f>
        <v/>
      </c>
      <c r="BD292" s="97" t="str">
        <f aca="false">IF($BZ292&lt;&gt;Constants!$B$8,"",Constants!$B$25*ABS($AD$9-IF($AL292,$AM292,0)))</f>
        <v/>
      </c>
      <c r="BE292" s="97" t="str">
        <f aca="false">IF($BZ292&lt;&gt;Constants!$B$8,"",IF(AND($AL292,$AQ292,$AO292),Constants!$B$27,0))</f>
        <v/>
      </c>
      <c r="BF292" s="97" t="str">
        <f aca="false">IF($BZ292&lt;&gt;Constants!$B$8,"",IF($AL292,($AI292-Constants!$B$29)*Constants!$B$28,0))</f>
        <v/>
      </c>
      <c r="BG292" s="97" t="str">
        <f aca="false">IF($BZ292&lt;&gt;Constants!$B$8,"",IF($AK292,0,Constants!$B$15)+IF($AJ292,0,Constants!$B$16)+IF($AH292,0,Constants!$B$17))</f>
        <v/>
      </c>
      <c r="BH292" s="98" t="str">
        <f aca="false">IF($BZ292&lt;&gt;Constants!$B$8,"",Constants!$B$20+SUM($BC292:$BG292))</f>
        <v/>
      </c>
      <c r="BI292" s="97" t="str">
        <f aca="false">IF($BZ292&lt;&gt;Constants!$B$8,"",$BC292)</f>
        <v/>
      </c>
      <c r="BJ292" s="97" t="str">
        <f aca="false">IF($BZ292&lt;&gt;Constants!$B$8,"",$BD292)</f>
        <v/>
      </c>
      <c r="BK292" s="97" t="str">
        <f aca="false">IF($BZ292&lt;&gt;Constants!$B$8,"",IF($AL292,$AN292,""))</f>
        <v/>
      </c>
      <c r="BL292" s="99" t="str">
        <f aca="false">IF($BZ292&lt;&gt;Constants!$B$8,"",$AI292)</f>
        <v/>
      </c>
      <c r="BM292" s="93" t="str">
        <f aca="false">IF($BZ292&lt;&gt;Constants!$B$8,"",IF(OR($BT292&lt;$BH292,AND($BT292=$BH292,OR($BU292&lt;$BI292,AND($BU292=$BI292,OR($BV292&lt;$BJ292,AND($BV292=$BJ292,OR(AND(ISNUMBER($BW292),OR(NOT(ISNUMBER($BK292)),$BW292&lt;$BK292)),AND(OR(AND($BW292="",$BK292=""),AND(ISNUMBER($BW292),ISNUMBER($BK292),$BW292=$BK292)),$BX292&lt;$BL292)))))))),"-&gt;","&lt;-"))</f>
        <v/>
      </c>
      <c r="BN292" s="92" t="str">
        <f aca="false">IF(ISBLANK($C292),"",AND($AT292,OR($AU292="",$AV292="",AND($AW292,$AX292=""))))</f>
        <v/>
      </c>
      <c r="BO292" s="94" t="str">
        <f aca="false">IF($BZ292&lt;&gt;Constants!$B$8,"",IF($AT292,Constants!$B$21*$AV292+Constants!$B$22*IF($AW292,$AX292,Constants!$B$23),Constants!$B$24))</f>
        <v/>
      </c>
      <c r="BP292" s="97" t="str">
        <f aca="false">IF($BZ292&lt;&gt;Constants!$B$8,"",Constants!$B$25*ABS($AD$9-IF($AT292,$AU292,0)))</f>
        <v/>
      </c>
      <c r="BQ292" s="97" t="str">
        <f aca="false">IF($BZ292&lt;&gt;Constants!$B$8,"",IF(AND($AT292,$AY292,$AW292),Constants!$B$27,0))</f>
        <v/>
      </c>
      <c r="BR292" s="97" t="str">
        <f aca="false">IF($BZ292&lt;&gt;Constants!$B$8,"",IF($AT292,($AI292-Constants!$B$29)*Constants!$B$28,0))</f>
        <v/>
      </c>
      <c r="BS292" s="97" t="str">
        <f aca="false">IF($BZ292&lt;&gt;Constants!$B$8,"",IF($AS292,0,Constants!$B$15)+IF($AR292,0,Constants!$B$16)+IF($AH292,0,Constants!$B$17))</f>
        <v/>
      </c>
      <c r="BT292" s="98" t="str">
        <f aca="false">IF($BZ292&lt;&gt;Constants!$B$8,"",Constants!$B$20+SUM($BO292:$BS292))</f>
        <v/>
      </c>
      <c r="BU292" s="97" t="str">
        <f aca="false">IF($BZ292&lt;&gt;Constants!$B$8,"",$BO292)</f>
        <v/>
      </c>
      <c r="BV292" s="97" t="str">
        <f aca="false">IF($BZ292&lt;&gt;Constants!$B$8,"",$BP292)</f>
        <v/>
      </c>
      <c r="BW292" s="97" t="str">
        <f aca="false">IF($BZ292&lt;&gt;Constants!$B$8,"",IF($AT292,$AV292,""))</f>
        <v/>
      </c>
      <c r="BX292" s="99" t="str">
        <f aca="false">IF($BZ292&lt;&gt;Constants!$B$8,"",$AI292)</f>
        <v/>
      </c>
      <c r="BY292" s="93" t="str">
        <f aca="false">IF(ISBLANK($C292),"",IF(ISBLANK($D$7),$BY$5,IF(NOT(ISNUMBER($D$7)),$BY$6,"")))</f>
        <v/>
      </c>
      <c r="BZ292" s="93" t="str">
        <f aca="false">IF(ISBLANK($C292),"",IF($BA292,Constants!$B$11,IF(COUNTA($E292:$AA292)=0,Constants!$B$10,IF(NOT($AG292),Constants!$B$9,IF(OR($BY292&lt;&gt;"",$BB292,$BN292),Constants!$B$12,Constants!$B$8)))))</f>
        <v/>
      </c>
      <c r="CA292" s="93" t="str">
        <f aca="false">IF(ISBLANK($C292),"",IF($BZ292&lt;&gt;Constants!$B$8,$BZ292,Constants!$B$13))</f>
        <v/>
      </c>
      <c r="CB292" s="97" t="str">
        <f aca="false">IF($BZ292&lt;&gt;Constants!$B$8,"",IF($BM292="-&gt;",$BT292,$BH292))</f>
        <v/>
      </c>
      <c r="CC292" s="97" t="str">
        <f aca="false">IF($BZ292&lt;&gt;Constants!$B$8,"",IF($AF292,0,Constants!$B$18))</f>
        <v/>
      </c>
      <c r="CD292" s="97" t="str">
        <f aca="false">IF($BZ292&lt;&gt;Constants!$B$8,"",((Constants!$B$31-$AZ292)-Constants!$B$31)/Constants!$B$32)</f>
        <v/>
      </c>
      <c r="CE292" s="97" t="str">
        <f aca="false">IF(ISBLANK($C292),"",IF($BZ292&lt;&gt;Constants!$B$8,$BZ292,SUM($CB292:$CD292)))</f>
        <v/>
      </c>
      <c r="CF292" s="93" t="str">
        <f aca="false">IF(ISBLANK($C292),"",IF($BZ292&lt;&gt;Constants!$B$8,$BZ292,RANK($CE292,$CE$9:$CE$508,1)))</f>
        <v/>
      </c>
      <c r="CG292" s="97" t="str">
        <f aca="false">IF($BZ292&lt;&gt;Constants!$B$8,"",IF($BM292="-&gt;",$BU292,$BI292))</f>
        <v/>
      </c>
      <c r="CH292" s="93" t="str">
        <f aca="false">IF(ISBLANK($C292),"",IF($BZ292&lt;&gt;Constants!$B$8,$BZ292,IF(ISNUMBER($CG292),RANK($CG292,$CG$9:$CG$508,1),COUNT($CG$9:$CG$508)+1)))</f>
        <v/>
      </c>
      <c r="CI292" s="97" t="str">
        <f aca="false">IF($BZ292&lt;&gt;Constants!$B$8,"",IF($BM292="-&gt;",$BV292,$BJ292))</f>
        <v/>
      </c>
      <c r="CJ292" s="93" t="str">
        <f aca="false">IF(ISBLANK($C292),"",IF($BZ292&lt;&gt;Constants!$B$8,$BZ292,IF(ISNUMBER($CI292),RANK($CI292,$CI$9:$CI$508,1),COUNT($CI$9:$CI$508)+1)))</f>
        <v/>
      </c>
      <c r="CK292" s="97" t="str">
        <f aca="false">IF($BZ292&lt;&gt;Constants!$B$8,"",IF($BM292="-&gt;",$BW292,$BK292))</f>
        <v/>
      </c>
      <c r="CL292" s="93" t="str">
        <f aca="false">IF(ISBLANK($C292),"",IF($BZ292&lt;&gt;Constants!$B$8,$BZ292,IF(ISNUMBER($CK292),RANK($CK292,$CK$9:$CK$508,1),COUNT($CK$9:$CK$508)+1)))</f>
        <v/>
      </c>
      <c r="CM292" s="97" t="str">
        <f aca="false">IF($BZ292&lt;&gt;Constants!$B$8,"",IF(AND(NOT($AL292),NOT($AT292),$AJ292,$AK292,$AR292,$AS292),"",IF($BM292="-&gt;",$BX292,$BL292)))</f>
        <v/>
      </c>
      <c r="CN292" s="93" t="str">
        <f aca="false">IF(ISBLANK($C292),"",IF($BZ292&lt;&gt;Constants!$B$8,$BZ292,IF(ISNUMBER($CM292),RANK($CM292,$CM$9:$CM$508,1),COUNT($CM$9:$CM$508)+1)))</f>
        <v/>
      </c>
      <c r="CO292" s="93" t="str">
        <f aca="false">IF(ISBLANK($C292),"",IF($BZ292&lt;&gt;Constants!$B$8,$BZ292,COUNTIFS($CF$9:$CF$508,"&lt;"&amp;$CF292)+COUNTIFS($CF$9:$CF$508,$CF292,$CH$9:$CH$508,"&lt;"&amp;$CH292)+COUNTIFS($CF$9:$CF$508,$CF292,$CH$9:$CH$508,$CH292,$CJ$9:$CJ$508,"&lt;"&amp;$CJ292)+COUNTIFS($CF$9:$CF$508,$CF292,$CH$9:$CH$508,$CH292,$CJ$9:$CJ$508,$CJ292,$CL$9:$CL$508,"&lt;"&amp;$CL292)+COUNTIFS($CF$9:$CF$508,$CF292,$CH$9:$CH$508,$CH292,$CJ$9:$CJ$508,$CJ292,$CL$9:$CL$508,$CL292,$CN$9:$CN$508,"&lt;"&amp;$CN292)+1))</f>
        <v/>
      </c>
      <c r="CP292" s="93" t="str">
        <f aca="false">IF(ISBLANK($C292),"",IF($BZ292&lt;&gt;Constants!$B$8,$BZ292,$CF292-$CO292))</f>
        <v/>
      </c>
      <c r="CQ292" s="100"/>
      <c r="CR292" s="101"/>
      <c r="CS292" s="102" t="str">
        <f aca="false">IF(ISBLANK($C292),"",IF($BZ292=Constants!$B$12,$BY292,""))</f>
        <v/>
      </c>
      <c r="CT292" s="101" t="str">
        <f aca="false">IF(ISBLANK($C292),"",IF($BZ292&lt;&gt;Constants!$B$8,"",IF($BM292="-&gt;",2,1)))</f>
        <v/>
      </c>
      <c r="CU292" s="103" t="str">
        <f aca="false">IF(ISBLANK($C292),"",IF($BZ292&lt;&gt;Constants!$B$8,"",IF($BM292="-&gt;",$BO292,$BC292)))</f>
        <v/>
      </c>
      <c r="CV292" s="103" t="str">
        <f aca="false">IF(ISBLANK($C292),"",IF($BZ292&lt;&gt;Constants!$B$8,"",IF($BM292="-&gt;",$BP292,$BD292)))</f>
        <v/>
      </c>
      <c r="CW292" s="103" t="str">
        <f aca="false">IF(ISBLANK($C292),"",IF($BZ292&lt;&gt;Constants!$B$8,"",IF($BM292="-&gt;",$BQ292+$BR292,$BE292+$BF292)+$CD292))</f>
        <v/>
      </c>
      <c r="CX292" s="103" t="str">
        <f aca="false">IF(ISBLANK($C292),"",IF($BZ292&lt;&gt;Constants!$B$8,"",IF($BM292="-&gt;",$BS292,$BG292)+$CC292))</f>
        <v/>
      </c>
      <c r="CY292" s="104" t="str">
        <f aca="false">IF(ISBLANK($C292),"",IF($BZ292&lt;&gt;Constants!$B$8,$BZ292,$CE292))</f>
        <v/>
      </c>
      <c r="CZ292" s="105" t="str">
        <f aca="false">IF(ISBLANK($C292),"",$CA292)</f>
        <v/>
      </c>
      <c r="DA292" s="106" t="str">
        <f aca="false">IF(ISBLANK($C292),"",$CP292)</f>
        <v/>
      </c>
      <c r="DB292" s="106" t="str">
        <f aca="false">IF(ISBLANK($C292),"",$CO292)</f>
        <v/>
      </c>
      <c r="DC292" s="107" t="str">
        <f aca="false">IF(ISBLANK($C292),"",IFERROR(_xlfn.SWITCH($DB292,Constants!$B$11,COUNTA($C$9:$C$508)+2,Constants!$B$10,COUNTA($C$9:$C$508)+1,Constants!$B$9,COUNTA($C$9:$C$508)),$DB292))</f>
        <v/>
      </c>
      <c r="DD292" s="9"/>
      <c r="DE292" s="108" t="n">
        <f aca="false">IF(OR(ISNUMBER($DB292),$DB292=Constants!$B$11,$DB292=Constants!$B$9,$DB292=Constants!$B$10),1,0)</f>
        <v>0</v>
      </c>
      <c r="DF292" s="108" t="n">
        <v>284</v>
      </c>
      <c r="DG292" s="108" t="str">
        <f aca="false">IF(ISBLANK($C292),"",IF(ISNUMBER($DC292),$DC292+ROW($B292)/1000,""))</f>
        <v/>
      </c>
      <c r="DH292" s="108" t="str">
        <f aca="false">IF(ISNUMBER($DG292),RANK($DG292,$DG$9:$DG$508,1),"")</f>
        <v/>
      </c>
      <c r="DI292" s="108" t="str">
        <f aca="false">IF(ISBLANK($C292),"",$B292)</f>
        <v/>
      </c>
      <c r="DJ292" s="108" t="str">
        <f aca="false">IF(ISBLANK($C292),"",$C292)</f>
        <v/>
      </c>
      <c r="DK292" s="108" t="str">
        <f aca="false">IF(ISBLANK($C292),"",$D292)</f>
        <v/>
      </c>
      <c r="DL292" s="109" t="str">
        <f aca="false">$CZ292</f>
        <v/>
      </c>
      <c r="DM292" s="110" t="str">
        <f aca="false">$CY292</f>
        <v/>
      </c>
      <c r="DN292" s="108" t="str">
        <f aca="false">IF(ISBLANK($C292),"",$DB292)</f>
        <v/>
      </c>
      <c r="DO292" s="111" t="str">
        <f aca="false">IF($DF292&gt;$DE$8,"",VLOOKUP($DF292,$DH$9:$DN$508,7,FALSE()))</f>
        <v/>
      </c>
      <c r="DP292" s="112" t="str">
        <f aca="false">IF($DF292&gt;$DE$8,"",VLOOKUP($DF292,$DH$9:$DN$508,2,FALSE()))</f>
        <v/>
      </c>
      <c r="DQ292" s="112" t="str">
        <f aca="false">IF($DF292&gt;$DE$8,"",VLOOKUP($DF292,$DH$9:$DN$508,3,FALSE()))</f>
        <v/>
      </c>
      <c r="DR292" s="112" t="str">
        <f aca="false">IF($DF292&gt;$DE$8,"",VLOOKUP($DF292,$DH$9:$DN$508,4,FALSE()))</f>
        <v/>
      </c>
      <c r="DS292" s="112" t="str">
        <f aca="false">IF($DF292&gt;$DE$8,"",VLOOKUP($DF292,$DH$9:$DN$508,5,FALSE()))</f>
        <v/>
      </c>
      <c r="DT292" s="113" t="str">
        <f aca="false">IF($DF292&gt;$DE$8,"",VLOOKUP($DF292,$DH$9:$DN$508,6,FALSE()))</f>
        <v/>
      </c>
      <c r="DU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IF(ISBLANK($C293),"",IF(E293=Constants!$B$3,TRUE(),IF(E293=Constants!$B$4,FALSE(),TRUE())))</f>
        <v/>
      </c>
      <c r="AG293" s="93" t="str">
        <f aca="false">IF(ISBLANK($C293),"",IF(F293=Constants!$B$3,TRUE(),IF(F293=Constants!$B$4,FALSE(),TRUE())))</f>
        <v/>
      </c>
      <c r="AH293" s="93" t="str">
        <f aca="false">IF(ISBLANK($C293),"",IF(G293=Constants!$B$3,TRUE(),IF(G293=Constants!$B$4,FALSE(),TRUE())))</f>
        <v/>
      </c>
      <c r="AI293" s="93" t="str">
        <f aca="false">IF(ISBLANK($C293),"",IF(AND(ISNUMBER(H293),H293&gt;=0),H293,Constants!$B$29))</f>
        <v/>
      </c>
      <c r="AJ293" s="93" t="str">
        <f aca="false">IF(ISBLANK($C293),"",IF(I293=Constants!$B$3,TRUE(),IF(I293=Constants!$B$4,FALSE(),TRUE())))</f>
        <v/>
      </c>
      <c r="AK293" s="93" t="str">
        <f aca="false">IF(ISBLANK($C293),"",IF(J293=Constants!$B$3,TRUE(),IF(J293=Constants!$B$4,FALSE(),TRUE())))</f>
        <v/>
      </c>
      <c r="AL293" s="93" t="str">
        <f aca="false">IF(ISBLANK($C293),"",IF(K293=Constants!$B$5,TRUE(),IF(K293=Constants!$B$6,FALSE(),COUNTA(L293:P293)&gt;0)))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IF(ISBLANK($C293),"",IF(N293=Constants!$B$3,TRUE(),IF(N293=Constants!$B$4,FALSE(),TRUE())))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IF(ISBLANK($C293),"",IF(P293=Constants!$B$3,TRUE(),IF(P293=Constants!$B$4,FALSE(),FALSE())))</f>
        <v/>
      </c>
      <c r="AR293" s="93" t="str">
        <f aca="false">IF(ISBLANK($C293),"",IF(Q293=Constants!$B$3,TRUE(),IF(Q293=Constants!$B$4,FALSE(),TRUE())))</f>
        <v/>
      </c>
      <c r="AS293" s="93" t="str">
        <f aca="false">IF(ISBLANK($C293),"",IF(R293=Constants!$B$3,TRUE(),IF(R293=Constants!$B$4,FALSE(),TRUE())))</f>
        <v/>
      </c>
      <c r="AT293" s="93" t="str">
        <f aca="false">IF(ISBLANK($C293),"",IF(S293=Constants!$B$5,TRUE(),IF(S293=Constants!$B$6,FALSE(),COUNTA(T293:X293)&gt;0)))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IF(ISBLANK($C293),"",IF(V293=Constants!$B$3,TRUE(),IF(V293=Constants!$B$4,FALSE(),TRUE())))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IF(ISBLANK($C293),"",IF(X293=Constants!$B$3,TRUE(),IF(X293=Constants!$B$4,FALSE(),FALSE())))</f>
        <v/>
      </c>
      <c r="AZ293" s="93" t="str">
        <f aca="false">IF(ISBLANK($C293),"",MIN(Constants!$B$31,MAX(0,IF(ISNUMBER(Y293),Y293*60,0)+IF(ISNUMBER(Z293),Z293,0))))</f>
        <v/>
      </c>
      <c r="BA293" s="93" t="str">
        <f aca="false">IF(ISBLANK($C293),"",IF(AA293=Constants!$B$3,TRUE(),IF(AA293=Constants!$B$4,FALSE(),FALSE())))</f>
        <v/>
      </c>
      <c r="BB293" s="92" t="str">
        <f aca="false">IF(ISBLANK($C293),"",AND($AL293,OR($AM293="",$AN293="",AND($AO293,$AP293=""))))</f>
        <v/>
      </c>
      <c r="BC293" s="94" t="str">
        <f aca="false">IF($BZ293&lt;&gt;Constants!$B$8,"",IF($AL293,Constants!$B$21*$AN293+Constants!$B$22*IF($AO293,$AP293,Constants!$B$23),Constants!$B$24))</f>
        <v/>
      </c>
      <c r="BD293" s="97" t="str">
        <f aca="false">IF($BZ293&lt;&gt;Constants!$B$8,"",Constants!$B$25*ABS($AD$9-IF($AL293,$AM293,0)))</f>
        <v/>
      </c>
      <c r="BE293" s="97" t="str">
        <f aca="false">IF($BZ293&lt;&gt;Constants!$B$8,"",IF(AND($AL293,$AQ293,$AO293),Constants!$B$27,0))</f>
        <v/>
      </c>
      <c r="BF293" s="97" t="str">
        <f aca="false">IF($BZ293&lt;&gt;Constants!$B$8,"",IF($AL293,($AI293-Constants!$B$29)*Constants!$B$28,0))</f>
        <v/>
      </c>
      <c r="BG293" s="97" t="str">
        <f aca="false">IF($BZ293&lt;&gt;Constants!$B$8,"",IF($AK293,0,Constants!$B$15)+IF($AJ293,0,Constants!$B$16)+IF($AH293,0,Constants!$B$17))</f>
        <v/>
      </c>
      <c r="BH293" s="98" t="str">
        <f aca="false">IF($BZ293&lt;&gt;Constants!$B$8,"",Constants!$B$20+SUM($BC293:$BG293))</f>
        <v/>
      </c>
      <c r="BI293" s="97" t="str">
        <f aca="false">IF($BZ293&lt;&gt;Constants!$B$8,"",$BC293)</f>
        <v/>
      </c>
      <c r="BJ293" s="97" t="str">
        <f aca="false">IF($BZ293&lt;&gt;Constants!$B$8,"",$BD293)</f>
        <v/>
      </c>
      <c r="BK293" s="97" t="str">
        <f aca="false">IF($BZ293&lt;&gt;Constants!$B$8,"",IF($AL293,$AN293,""))</f>
        <v/>
      </c>
      <c r="BL293" s="99" t="str">
        <f aca="false">IF($BZ293&lt;&gt;Constants!$B$8,"",$AI293)</f>
        <v/>
      </c>
      <c r="BM293" s="93" t="str">
        <f aca="false">IF($BZ293&lt;&gt;Constants!$B$8,"",IF(OR($BT293&lt;$BH293,AND($BT293=$BH293,OR($BU293&lt;$BI293,AND($BU293=$BI293,OR($BV293&lt;$BJ293,AND($BV293=$BJ293,OR(AND(ISNUMBER($BW293),OR(NOT(ISNUMBER($BK293)),$BW293&lt;$BK293)),AND(OR(AND($BW293="",$BK293=""),AND(ISNUMBER($BW293),ISNUMBER($BK293),$BW293=$BK293)),$BX293&lt;$BL293)))))))),"-&gt;","&lt;-"))</f>
        <v/>
      </c>
      <c r="BN293" s="92" t="str">
        <f aca="false">IF(ISBLANK($C293),"",AND($AT293,OR($AU293="",$AV293="",AND($AW293,$AX293=""))))</f>
        <v/>
      </c>
      <c r="BO293" s="94" t="str">
        <f aca="false">IF($BZ293&lt;&gt;Constants!$B$8,"",IF($AT293,Constants!$B$21*$AV293+Constants!$B$22*IF($AW293,$AX293,Constants!$B$23),Constants!$B$24))</f>
        <v/>
      </c>
      <c r="BP293" s="97" t="str">
        <f aca="false">IF($BZ293&lt;&gt;Constants!$B$8,"",Constants!$B$25*ABS($AD$9-IF($AT293,$AU293,0)))</f>
        <v/>
      </c>
      <c r="BQ293" s="97" t="str">
        <f aca="false">IF($BZ293&lt;&gt;Constants!$B$8,"",IF(AND($AT293,$AY293,$AW293),Constants!$B$27,0))</f>
        <v/>
      </c>
      <c r="BR293" s="97" t="str">
        <f aca="false">IF($BZ293&lt;&gt;Constants!$B$8,"",IF($AT293,($AI293-Constants!$B$29)*Constants!$B$28,0))</f>
        <v/>
      </c>
      <c r="BS293" s="97" t="str">
        <f aca="false">IF($BZ293&lt;&gt;Constants!$B$8,"",IF($AS293,0,Constants!$B$15)+IF($AR293,0,Constants!$B$16)+IF($AH293,0,Constants!$B$17))</f>
        <v/>
      </c>
      <c r="BT293" s="98" t="str">
        <f aca="false">IF($BZ293&lt;&gt;Constants!$B$8,"",Constants!$B$20+SUM($BO293:$BS293))</f>
        <v/>
      </c>
      <c r="BU293" s="97" t="str">
        <f aca="false">IF($BZ293&lt;&gt;Constants!$B$8,"",$BO293)</f>
        <v/>
      </c>
      <c r="BV293" s="97" t="str">
        <f aca="false">IF($BZ293&lt;&gt;Constants!$B$8,"",$BP293)</f>
        <v/>
      </c>
      <c r="BW293" s="97" t="str">
        <f aca="false">IF($BZ293&lt;&gt;Constants!$B$8,"",IF($AT293,$AV293,""))</f>
        <v/>
      </c>
      <c r="BX293" s="99" t="str">
        <f aca="false">IF($BZ293&lt;&gt;Constants!$B$8,"",$AI293)</f>
        <v/>
      </c>
      <c r="BY293" s="93" t="str">
        <f aca="false">IF(ISBLANK($C293),"",IF(ISBLANK($D$7),$BY$5,IF(NOT(ISNUMBER($D$7)),$BY$6,"")))</f>
        <v/>
      </c>
      <c r="BZ293" s="93" t="str">
        <f aca="false">IF(ISBLANK($C293),"",IF($BA293,Constants!$B$11,IF(COUNTA($E293:$AA293)=0,Constants!$B$10,IF(NOT($AG293),Constants!$B$9,IF(OR($BY293&lt;&gt;"",$BB293,$BN293),Constants!$B$12,Constants!$B$8)))))</f>
        <v/>
      </c>
      <c r="CA293" s="93" t="str">
        <f aca="false">IF(ISBLANK($C293),"",IF($BZ293&lt;&gt;Constants!$B$8,$BZ293,Constants!$B$13))</f>
        <v/>
      </c>
      <c r="CB293" s="97" t="str">
        <f aca="false">IF($BZ293&lt;&gt;Constants!$B$8,"",IF($BM293="-&gt;",$BT293,$BH293))</f>
        <v/>
      </c>
      <c r="CC293" s="97" t="str">
        <f aca="false">IF($BZ293&lt;&gt;Constants!$B$8,"",IF($AF293,0,Constants!$B$18))</f>
        <v/>
      </c>
      <c r="CD293" s="97" t="str">
        <f aca="false">IF($BZ293&lt;&gt;Constants!$B$8,"",((Constants!$B$31-$AZ293)-Constants!$B$31)/Constants!$B$32)</f>
        <v/>
      </c>
      <c r="CE293" s="97" t="str">
        <f aca="false">IF(ISBLANK($C293),"",IF($BZ293&lt;&gt;Constants!$B$8,$BZ293,SUM($CB293:$CD293)))</f>
        <v/>
      </c>
      <c r="CF293" s="93" t="str">
        <f aca="false">IF(ISBLANK($C293),"",IF($BZ293&lt;&gt;Constants!$B$8,$BZ293,RANK($CE293,$CE$9:$CE$508,1)))</f>
        <v/>
      </c>
      <c r="CG293" s="97" t="str">
        <f aca="false">IF($BZ293&lt;&gt;Constants!$B$8,"",IF($BM293="-&gt;",$BU293,$BI293))</f>
        <v/>
      </c>
      <c r="CH293" s="93" t="str">
        <f aca="false">IF(ISBLANK($C293),"",IF($BZ293&lt;&gt;Constants!$B$8,$BZ293,IF(ISNUMBER($CG293),RANK($CG293,$CG$9:$CG$508,1),COUNT($CG$9:$CG$508)+1)))</f>
        <v/>
      </c>
      <c r="CI293" s="97" t="str">
        <f aca="false">IF($BZ293&lt;&gt;Constants!$B$8,"",IF($BM293="-&gt;",$BV293,$BJ293))</f>
        <v/>
      </c>
      <c r="CJ293" s="93" t="str">
        <f aca="false">IF(ISBLANK($C293),"",IF($BZ293&lt;&gt;Constants!$B$8,$BZ293,IF(ISNUMBER($CI293),RANK($CI293,$CI$9:$CI$508,1),COUNT($CI$9:$CI$508)+1)))</f>
        <v/>
      </c>
      <c r="CK293" s="97" t="str">
        <f aca="false">IF($BZ293&lt;&gt;Constants!$B$8,"",IF($BM293="-&gt;",$BW293,$BK293))</f>
        <v/>
      </c>
      <c r="CL293" s="93" t="str">
        <f aca="false">IF(ISBLANK($C293),"",IF($BZ293&lt;&gt;Constants!$B$8,$BZ293,IF(ISNUMBER($CK293),RANK($CK293,$CK$9:$CK$508,1),COUNT($CK$9:$CK$508)+1)))</f>
        <v/>
      </c>
      <c r="CM293" s="97" t="str">
        <f aca="false">IF($BZ293&lt;&gt;Constants!$B$8,"",IF(AND(NOT($AL293),NOT($AT293),$AJ293,$AK293,$AR293,$AS293),"",IF($BM293="-&gt;",$BX293,$BL293)))</f>
        <v/>
      </c>
      <c r="CN293" s="93" t="str">
        <f aca="false">IF(ISBLANK($C293),"",IF($BZ293&lt;&gt;Constants!$B$8,$BZ293,IF(ISNUMBER($CM293),RANK($CM293,$CM$9:$CM$508,1),COUNT($CM$9:$CM$508)+1)))</f>
        <v/>
      </c>
      <c r="CO293" s="93" t="str">
        <f aca="false">IF(ISBLANK($C293),"",IF($BZ293&lt;&gt;Constants!$B$8,$BZ293,COUNTIFS($CF$9:$CF$508,"&lt;"&amp;$CF293)+COUNTIFS($CF$9:$CF$508,$CF293,$CH$9:$CH$508,"&lt;"&amp;$CH293)+COUNTIFS($CF$9:$CF$508,$CF293,$CH$9:$CH$508,$CH293,$CJ$9:$CJ$508,"&lt;"&amp;$CJ293)+COUNTIFS($CF$9:$CF$508,$CF293,$CH$9:$CH$508,$CH293,$CJ$9:$CJ$508,$CJ293,$CL$9:$CL$508,"&lt;"&amp;$CL293)+COUNTIFS($CF$9:$CF$508,$CF293,$CH$9:$CH$508,$CH293,$CJ$9:$CJ$508,$CJ293,$CL$9:$CL$508,$CL293,$CN$9:$CN$508,"&lt;"&amp;$CN293)+1))</f>
        <v/>
      </c>
      <c r="CP293" s="93" t="str">
        <f aca="false">IF(ISBLANK($C293),"",IF($BZ293&lt;&gt;Constants!$B$8,$BZ293,$CF293-$CO293))</f>
        <v/>
      </c>
      <c r="CQ293" s="100"/>
      <c r="CR293" s="101"/>
      <c r="CS293" s="102" t="str">
        <f aca="false">IF(ISBLANK($C293),"",IF($BZ293=Constants!$B$12,$BY293,""))</f>
        <v/>
      </c>
      <c r="CT293" s="101" t="str">
        <f aca="false">IF(ISBLANK($C293),"",IF($BZ293&lt;&gt;Constants!$B$8,"",IF($BM293="-&gt;",2,1)))</f>
        <v/>
      </c>
      <c r="CU293" s="103" t="str">
        <f aca="false">IF(ISBLANK($C293),"",IF($BZ293&lt;&gt;Constants!$B$8,"",IF($BM293="-&gt;",$BO293,$BC293)))</f>
        <v/>
      </c>
      <c r="CV293" s="103" t="str">
        <f aca="false">IF(ISBLANK($C293),"",IF($BZ293&lt;&gt;Constants!$B$8,"",IF($BM293="-&gt;",$BP293,$BD293)))</f>
        <v/>
      </c>
      <c r="CW293" s="103" t="str">
        <f aca="false">IF(ISBLANK($C293),"",IF($BZ293&lt;&gt;Constants!$B$8,"",IF($BM293="-&gt;",$BQ293+$BR293,$BE293+$BF293)+$CD293))</f>
        <v/>
      </c>
      <c r="CX293" s="103" t="str">
        <f aca="false">IF(ISBLANK($C293),"",IF($BZ293&lt;&gt;Constants!$B$8,"",IF($BM293="-&gt;",$BS293,$BG293)+$CC293))</f>
        <v/>
      </c>
      <c r="CY293" s="104" t="str">
        <f aca="false">IF(ISBLANK($C293),"",IF($BZ293&lt;&gt;Constants!$B$8,$BZ293,$CE293))</f>
        <v/>
      </c>
      <c r="CZ293" s="105" t="str">
        <f aca="false">IF(ISBLANK($C293),"",$CA293)</f>
        <v/>
      </c>
      <c r="DA293" s="106" t="str">
        <f aca="false">IF(ISBLANK($C293),"",$CP293)</f>
        <v/>
      </c>
      <c r="DB293" s="106" t="str">
        <f aca="false">IF(ISBLANK($C293),"",$CO293)</f>
        <v/>
      </c>
      <c r="DC293" s="107" t="str">
        <f aca="false">IF(ISBLANK($C293),"",IFERROR(_xlfn.SWITCH($DB293,Constants!$B$11,COUNTA($C$9:$C$508)+2,Constants!$B$10,COUNTA($C$9:$C$508)+1,Constants!$B$9,COUNTA($C$9:$C$508)),$DB293))</f>
        <v/>
      </c>
      <c r="DD293" s="9"/>
      <c r="DE293" s="108" t="n">
        <f aca="false">IF(OR(ISNUMBER($DB293),$DB293=Constants!$B$11,$DB293=Constants!$B$9,$DB293=Constants!$B$10),1,0)</f>
        <v>0</v>
      </c>
      <c r="DF293" s="108" t="n">
        <v>285</v>
      </c>
      <c r="DG293" s="108" t="str">
        <f aca="false">IF(ISBLANK($C293),"",IF(ISNUMBER($DC293),$DC293+ROW($B293)/1000,""))</f>
        <v/>
      </c>
      <c r="DH293" s="108" t="str">
        <f aca="false">IF(ISNUMBER($DG293),RANK($DG293,$DG$9:$DG$508,1),"")</f>
        <v/>
      </c>
      <c r="DI293" s="108" t="str">
        <f aca="false">IF(ISBLANK($C293),"",$B293)</f>
        <v/>
      </c>
      <c r="DJ293" s="108" t="str">
        <f aca="false">IF(ISBLANK($C293),"",$C293)</f>
        <v/>
      </c>
      <c r="DK293" s="108" t="str">
        <f aca="false">IF(ISBLANK($C293),"",$D293)</f>
        <v/>
      </c>
      <c r="DL293" s="109" t="str">
        <f aca="false">$CZ293</f>
        <v/>
      </c>
      <c r="DM293" s="110" t="str">
        <f aca="false">$CY293</f>
        <v/>
      </c>
      <c r="DN293" s="108" t="str">
        <f aca="false">IF(ISBLANK($C293),"",$DB293)</f>
        <v/>
      </c>
      <c r="DO293" s="111" t="str">
        <f aca="false">IF($DF293&gt;$DE$8,"",VLOOKUP($DF293,$DH$9:$DN$508,7,FALSE()))</f>
        <v/>
      </c>
      <c r="DP293" s="112" t="str">
        <f aca="false">IF($DF293&gt;$DE$8,"",VLOOKUP($DF293,$DH$9:$DN$508,2,FALSE()))</f>
        <v/>
      </c>
      <c r="DQ293" s="112" t="str">
        <f aca="false">IF($DF293&gt;$DE$8,"",VLOOKUP($DF293,$DH$9:$DN$508,3,FALSE()))</f>
        <v/>
      </c>
      <c r="DR293" s="112" t="str">
        <f aca="false">IF($DF293&gt;$DE$8,"",VLOOKUP($DF293,$DH$9:$DN$508,4,FALSE()))</f>
        <v/>
      </c>
      <c r="DS293" s="112" t="str">
        <f aca="false">IF($DF293&gt;$DE$8,"",VLOOKUP($DF293,$DH$9:$DN$508,5,FALSE()))</f>
        <v/>
      </c>
      <c r="DT293" s="113" t="str">
        <f aca="false">IF($DF293&gt;$DE$8,"",VLOOKUP($DF293,$DH$9:$DN$508,6,FALSE()))</f>
        <v/>
      </c>
      <c r="DU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IF(ISBLANK($C294),"",IF(E294=Constants!$B$3,TRUE(),IF(E294=Constants!$B$4,FALSE(),TRUE())))</f>
        <v/>
      </c>
      <c r="AG294" s="135" t="str">
        <f aca="false">IF(ISBLANK($C294),"",IF(F294=Constants!$B$3,TRUE(),IF(F294=Constants!$B$4,FALSE(),TRUE())))</f>
        <v/>
      </c>
      <c r="AH294" s="135" t="str">
        <f aca="false">IF(ISBLANK($C294),"",IF(G294=Constants!$B$3,TRUE(),IF(G294=Constants!$B$4,FALSE(),TRUE())))</f>
        <v/>
      </c>
      <c r="AI294" s="135" t="str">
        <f aca="false">IF(ISBLANK($C294),"",IF(AND(ISNUMBER(H294),H294&gt;=0),H294,Constants!$B$29))</f>
        <v/>
      </c>
      <c r="AJ294" s="135" t="str">
        <f aca="false">IF(ISBLANK($C294),"",IF(I294=Constants!$B$3,TRUE(),IF(I294=Constants!$B$4,FALSE(),TRUE())))</f>
        <v/>
      </c>
      <c r="AK294" s="135" t="str">
        <f aca="false">IF(ISBLANK($C294),"",IF(J294=Constants!$B$3,TRUE(),IF(J294=Constants!$B$4,FALSE(),TRUE())))</f>
        <v/>
      </c>
      <c r="AL294" s="135" t="str">
        <f aca="false">IF(ISBLANK($C294),"",IF(K294=Constants!$B$5,TRUE(),IF(K294=Constants!$B$6,FALSE(),COUNTA(L294:P294)&gt;0)))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IF(ISBLANK($C294),"",IF(N294=Constants!$B$3,TRUE(),IF(N294=Constants!$B$4,FALSE(),TRUE())))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IF(ISBLANK($C294),"",IF(P294=Constants!$B$3,TRUE(),IF(P294=Constants!$B$4,FALSE(),FALSE())))</f>
        <v/>
      </c>
      <c r="AR294" s="135" t="str">
        <f aca="false">IF(ISBLANK($C294),"",IF(Q294=Constants!$B$3,TRUE(),IF(Q294=Constants!$B$4,FALSE(),TRUE())))</f>
        <v/>
      </c>
      <c r="AS294" s="135" t="str">
        <f aca="false">IF(ISBLANK($C294),"",IF(R294=Constants!$B$3,TRUE(),IF(R294=Constants!$B$4,FALSE(),TRUE())))</f>
        <v/>
      </c>
      <c r="AT294" s="135" t="str">
        <f aca="false">IF(ISBLANK($C294),"",IF(S294=Constants!$B$5,TRUE(),IF(S294=Constants!$B$6,FALSE(),COUNTA(T294:X294)&gt;0)))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IF(ISBLANK($C294),"",IF(V294=Constants!$B$3,TRUE(),IF(V294=Constants!$B$4,FALSE(),TRUE())))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IF(ISBLANK($C294),"",IF(X294=Constants!$B$3,TRUE(),IF(X294=Constants!$B$4,FALSE(),FALSE())))</f>
        <v/>
      </c>
      <c r="AZ294" s="135" t="str">
        <f aca="false">IF(ISBLANK($C294),"",MIN(Constants!$B$31,MAX(0,IF(ISNUMBER(Y294),Y294*60,0)+IF(ISNUMBER(Z294),Z294,0))))</f>
        <v/>
      </c>
      <c r="BA294" s="135" t="str">
        <f aca="false">IF(ISBLANK($C294),"",IF(AA294=Constants!$B$3,TRUE(),IF(AA294=Constants!$B$4,FALSE(),FALSE())))</f>
        <v/>
      </c>
      <c r="BB294" s="134" t="str">
        <f aca="false">IF(ISBLANK($C294),"",AND($AL294,OR($AM294="",$AN294="",AND($AO294,$AP294=""))))</f>
        <v/>
      </c>
      <c r="BC294" s="137" t="str">
        <f aca="false">IF($BZ294&lt;&gt;Constants!$B$8,"",IF($AL294,Constants!$B$21*$AN294+Constants!$B$22*IF($AO294,$AP294,Constants!$B$23),Constants!$B$24))</f>
        <v/>
      </c>
      <c r="BD294" s="138" t="str">
        <f aca="false">IF($BZ294&lt;&gt;Constants!$B$8,"",Constants!$B$25*ABS($AD$9-IF($AL294,$AM294,0)))</f>
        <v/>
      </c>
      <c r="BE294" s="138" t="str">
        <f aca="false">IF($BZ294&lt;&gt;Constants!$B$8,"",IF(AND($AL294,$AQ294,$AO294),Constants!$B$27,0))</f>
        <v/>
      </c>
      <c r="BF294" s="138" t="str">
        <f aca="false">IF($BZ294&lt;&gt;Constants!$B$8,"",IF($AL294,($AI294-Constants!$B$29)*Constants!$B$28,0))</f>
        <v/>
      </c>
      <c r="BG294" s="138" t="str">
        <f aca="false">IF($BZ294&lt;&gt;Constants!$B$8,"",IF($AK294,0,Constants!$B$15)+IF($AJ294,0,Constants!$B$16)+IF($AH294,0,Constants!$B$17))</f>
        <v/>
      </c>
      <c r="BH294" s="139" t="str">
        <f aca="false">IF($BZ294&lt;&gt;Constants!$B$8,"",Constants!$B$20+SUM($BC294:$BG294))</f>
        <v/>
      </c>
      <c r="BI294" s="138" t="str">
        <f aca="false">IF($BZ294&lt;&gt;Constants!$B$8,"",$BC294)</f>
        <v/>
      </c>
      <c r="BJ294" s="138" t="str">
        <f aca="false">IF($BZ294&lt;&gt;Constants!$B$8,"",$BD294)</f>
        <v/>
      </c>
      <c r="BK294" s="138" t="str">
        <f aca="false">IF($BZ294&lt;&gt;Constants!$B$8,"",IF($AL294,$AN294,""))</f>
        <v/>
      </c>
      <c r="BL294" s="140" t="str">
        <f aca="false">IF($BZ294&lt;&gt;Constants!$B$8,"",$AI294)</f>
        <v/>
      </c>
      <c r="BM294" s="135" t="str">
        <f aca="false">IF($BZ294&lt;&gt;Constants!$B$8,"",IF(OR($BT294&lt;$BH294,AND($BT294=$BH294,OR($BU294&lt;$BI294,AND($BU294=$BI294,OR($BV294&lt;$BJ294,AND($BV294=$BJ294,OR(AND(ISNUMBER($BW294),OR(NOT(ISNUMBER($BK294)),$BW294&lt;$BK294)),AND(OR(AND($BW294="",$BK294=""),AND(ISNUMBER($BW294),ISNUMBER($BK294),$BW294=$BK294)),$BX294&lt;$BL294)))))))),"-&gt;","&lt;-"))</f>
        <v/>
      </c>
      <c r="BN294" s="134" t="str">
        <f aca="false">IF(ISBLANK($C294),"",AND($AT294,OR($AU294="",$AV294="",AND($AW294,$AX294=""))))</f>
        <v/>
      </c>
      <c r="BO294" s="137" t="str">
        <f aca="false">IF($BZ294&lt;&gt;Constants!$B$8,"",IF($AT294,Constants!$B$21*$AV294+Constants!$B$22*IF($AW294,$AX294,Constants!$B$23),Constants!$B$24))</f>
        <v/>
      </c>
      <c r="BP294" s="138" t="str">
        <f aca="false">IF($BZ294&lt;&gt;Constants!$B$8,"",Constants!$B$25*ABS($AD$9-IF($AT294,$AU294,0)))</f>
        <v/>
      </c>
      <c r="BQ294" s="138" t="str">
        <f aca="false">IF($BZ294&lt;&gt;Constants!$B$8,"",IF(AND($AT294,$AY294,$AW294),Constants!$B$27,0))</f>
        <v/>
      </c>
      <c r="BR294" s="138" t="str">
        <f aca="false">IF($BZ294&lt;&gt;Constants!$B$8,"",IF($AT294,($AI294-Constants!$B$29)*Constants!$B$28,0))</f>
        <v/>
      </c>
      <c r="BS294" s="138" t="str">
        <f aca="false">IF($BZ294&lt;&gt;Constants!$B$8,"",IF($AS294,0,Constants!$B$15)+IF($AR294,0,Constants!$B$16)+IF($AH294,0,Constants!$B$17))</f>
        <v/>
      </c>
      <c r="BT294" s="139" t="str">
        <f aca="false">IF($BZ294&lt;&gt;Constants!$B$8,"",Constants!$B$20+SUM($BO294:$BS294))</f>
        <v/>
      </c>
      <c r="BU294" s="138" t="str">
        <f aca="false">IF($BZ294&lt;&gt;Constants!$B$8,"",$BO294)</f>
        <v/>
      </c>
      <c r="BV294" s="138" t="str">
        <f aca="false">IF($BZ294&lt;&gt;Constants!$B$8,"",$BP294)</f>
        <v/>
      </c>
      <c r="BW294" s="138" t="str">
        <f aca="false">IF($BZ294&lt;&gt;Constants!$B$8,"",IF($AT294,$AV294,""))</f>
        <v/>
      </c>
      <c r="BX294" s="140" t="str">
        <f aca="false">IF($BZ294&lt;&gt;Constants!$B$8,"",$AI294)</f>
        <v/>
      </c>
      <c r="BY294" s="135" t="str">
        <f aca="false">IF(ISBLANK($C294),"",IF(ISBLANK($D$7),$BY$5,IF(NOT(ISNUMBER($D$7)),$BY$6,"")))</f>
        <v/>
      </c>
      <c r="BZ294" s="135" t="str">
        <f aca="false">IF(ISBLANK($C294),"",IF($BA294,Constants!$B$11,IF(COUNTA($E294:$AA294)=0,Constants!$B$10,IF(NOT($AG294),Constants!$B$9,IF(OR($BY294&lt;&gt;"",$BB294,$BN294),Constants!$B$12,Constants!$B$8)))))</f>
        <v/>
      </c>
      <c r="CA294" s="135" t="str">
        <f aca="false">IF(ISBLANK($C294),"",IF($BZ294&lt;&gt;Constants!$B$8,$BZ294,Constants!$B$13))</f>
        <v/>
      </c>
      <c r="CB294" s="138" t="str">
        <f aca="false">IF($BZ294&lt;&gt;Constants!$B$8,"",IF($BM294="-&gt;",$BT294,$BH294))</f>
        <v/>
      </c>
      <c r="CC294" s="138" t="str">
        <f aca="false">IF($BZ294&lt;&gt;Constants!$B$8,"",IF($AF294,0,Constants!$B$18))</f>
        <v/>
      </c>
      <c r="CD294" s="138" t="str">
        <f aca="false">IF($BZ294&lt;&gt;Constants!$B$8,"",((Constants!$B$31-$AZ294)-Constants!$B$31)/Constants!$B$32)</f>
        <v/>
      </c>
      <c r="CE294" s="138" t="str">
        <f aca="false">IF(ISBLANK($C294),"",IF($BZ294&lt;&gt;Constants!$B$8,$BZ294,SUM($CB294:$CD294)))</f>
        <v/>
      </c>
      <c r="CF294" s="135" t="str">
        <f aca="false">IF(ISBLANK($C294),"",IF($BZ294&lt;&gt;Constants!$B$8,$BZ294,RANK($CE294,$CE$9:$CE$508,1)))</f>
        <v/>
      </c>
      <c r="CG294" s="138" t="str">
        <f aca="false">IF($BZ294&lt;&gt;Constants!$B$8,"",IF($BM294="-&gt;",$BU294,$BI294))</f>
        <v/>
      </c>
      <c r="CH294" s="135" t="str">
        <f aca="false">IF(ISBLANK($C294),"",IF($BZ294&lt;&gt;Constants!$B$8,$BZ294,IF(ISNUMBER($CG294),RANK($CG294,$CG$9:$CG$508,1),COUNT($CG$9:$CG$508)+1)))</f>
        <v/>
      </c>
      <c r="CI294" s="138" t="str">
        <f aca="false">IF($BZ294&lt;&gt;Constants!$B$8,"",IF($BM294="-&gt;",$BV294,$BJ294))</f>
        <v/>
      </c>
      <c r="CJ294" s="135" t="str">
        <f aca="false">IF(ISBLANK($C294),"",IF($BZ294&lt;&gt;Constants!$B$8,$BZ294,IF(ISNUMBER($CI294),RANK($CI294,$CI$9:$CI$508,1),COUNT($CI$9:$CI$508)+1)))</f>
        <v/>
      </c>
      <c r="CK294" s="138" t="str">
        <f aca="false">IF($BZ294&lt;&gt;Constants!$B$8,"",IF($BM294="-&gt;",$BW294,$BK294))</f>
        <v/>
      </c>
      <c r="CL294" s="135" t="str">
        <f aca="false">IF(ISBLANK($C294),"",IF($BZ294&lt;&gt;Constants!$B$8,$BZ294,IF(ISNUMBER($CK294),RANK($CK294,$CK$9:$CK$508,1),COUNT($CK$9:$CK$508)+1)))</f>
        <v/>
      </c>
      <c r="CM294" s="138" t="str">
        <f aca="false">IF($BZ294&lt;&gt;Constants!$B$8,"",IF(AND(NOT($AL294),NOT($AT294),$AJ294,$AK294,$AR294,$AS294),"",IF($BM294="-&gt;",$BX294,$BL294)))</f>
        <v/>
      </c>
      <c r="CN294" s="135" t="str">
        <f aca="false">IF(ISBLANK($C294),"",IF($BZ294&lt;&gt;Constants!$B$8,$BZ294,IF(ISNUMBER($CM294),RANK($CM294,$CM$9:$CM$508,1),COUNT($CM$9:$CM$508)+1)))</f>
        <v/>
      </c>
      <c r="CO294" s="135" t="str">
        <f aca="false">IF(ISBLANK($C294),"",IF($BZ294&lt;&gt;Constants!$B$8,$BZ294,COUNTIFS($CF$9:$CF$508,"&lt;"&amp;$CF294)+COUNTIFS($CF$9:$CF$508,$CF294,$CH$9:$CH$508,"&lt;"&amp;$CH294)+COUNTIFS($CF$9:$CF$508,$CF294,$CH$9:$CH$508,$CH294,$CJ$9:$CJ$508,"&lt;"&amp;$CJ294)+COUNTIFS($CF$9:$CF$508,$CF294,$CH$9:$CH$508,$CH294,$CJ$9:$CJ$508,$CJ294,$CL$9:$CL$508,"&lt;"&amp;$CL294)+COUNTIFS($CF$9:$CF$508,$CF294,$CH$9:$CH$508,$CH294,$CJ$9:$CJ$508,$CJ294,$CL$9:$CL$508,$CL294,$CN$9:$CN$508,"&lt;"&amp;$CN294)+1))</f>
        <v/>
      </c>
      <c r="CP294" s="135" t="str">
        <f aca="false">IF(ISBLANK($C294),"",IF($BZ294&lt;&gt;Constants!$B$8,$BZ294,$CF294-$CO294))</f>
        <v/>
      </c>
      <c r="CQ294" s="141"/>
      <c r="CR294" s="142"/>
      <c r="CS294" s="143" t="str">
        <f aca="false">IF(ISBLANK($C294),"",IF($BZ294=Constants!$B$12,$BY294,""))</f>
        <v/>
      </c>
      <c r="CT294" s="142" t="str">
        <f aca="false">IF(ISBLANK($C294),"",IF($BZ294&lt;&gt;Constants!$B$8,"",IF($BM294="-&gt;",2,1)))</f>
        <v/>
      </c>
      <c r="CU294" s="144" t="str">
        <f aca="false">IF(ISBLANK($C294),"",IF($BZ294&lt;&gt;Constants!$B$8,"",IF($BM294="-&gt;",$BO294,$BC294)))</f>
        <v/>
      </c>
      <c r="CV294" s="144" t="str">
        <f aca="false">IF(ISBLANK($C294),"",IF($BZ294&lt;&gt;Constants!$B$8,"",IF($BM294="-&gt;",$BP294,$BD294)))</f>
        <v/>
      </c>
      <c r="CW294" s="144" t="str">
        <f aca="false">IF(ISBLANK($C294),"",IF($BZ294&lt;&gt;Constants!$B$8,"",IF($BM294="-&gt;",$BQ294+$BR294,$BE294+$BF294)+$CD294))</f>
        <v/>
      </c>
      <c r="CX294" s="144" t="str">
        <f aca="false">IF(ISBLANK($C294),"",IF($BZ294&lt;&gt;Constants!$B$8,"",IF($BM294="-&gt;",$BS294,$BG294)+$CC294))</f>
        <v/>
      </c>
      <c r="CY294" s="145" t="str">
        <f aca="false">IF(ISBLANK($C294),"",IF($BZ294&lt;&gt;Constants!$B$8,$BZ294,$CE294))</f>
        <v/>
      </c>
      <c r="CZ294" s="146" t="str">
        <f aca="false">IF(ISBLANK($C294),"",$CA294)</f>
        <v/>
      </c>
      <c r="DA294" s="147" t="str">
        <f aca="false">IF(ISBLANK($C294),"",$CP294)</f>
        <v/>
      </c>
      <c r="DB294" s="147" t="str">
        <f aca="false">IF(ISBLANK($C294),"",$CO294)</f>
        <v/>
      </c>
      <c r="DC294" s="148" t="str">
        <f aca="false">IF(ISBLANK($C294),"",IFERROR(_xlfn.SWITCH($DB294,Constants!$B$11,COUNTA($C$9:$C$508)+2,Constants!$B$10,COUNTA($C$9:$C$508)+1,Constants!$B$9,COUNTA($C$9:$C$508)),$DB294))</f>
        <v/>
      </c>
      <c r="DD294" s="9"/>
      <c r="DE294" s="149" t="n">
        <f aca="false">IF(OR(ISNUMBER($DB294),$DB294=Constants!$B$11,$DB294=Constants!$B$9,$DB294=Constants!$B$10),1,0)</f>
        <v>0</v>
      </c>
      <c r="DF294" s="149" t="n">
        <v>286</v>
      </c>
      <c r="DG294" s="149" t="str">
        <f aca="false">IF(ISBLANK($C294),"",IF(ISNUMBER($DC294),$DC294+ROW($B294)/1000,""))</f>
        <v/>
      </c>
      <c r="DH294" s="149" t="str">
        <f aca="false">IF(ISNUMBER($DG294),RANK($DG294,$DG$9:$DG$508,1),"")</f>
        <v/>
      </c>
      <c r="DI294" s="149" t="str">
        <f aca="false">IF(ISBLANK($C294),"",$B294)</f>
        <v/>
      </c>
      <c r="DJ294" s="149" t="str">
        <f aca="false">IF(ISBLANK($C294),"",$C294)</f>
        <v/>
      </c>
      <c r="DK294" s="149" t="str">
        <f aca="false">IF(ISBLANK($C294),"",$D294)</f>
        <v/>
      </c>
      <c r="DL294" s="150" t="str">
        <f aca="false">$CZ294</f>
        <v/>
      </c>
      <c r="DM294" s="151" t="str">
        <f aca="false">$CY294</f>
        <v/>
      </c>
      <c r="DN294" s="149" t="str">
        <f aca="false">IF(ISBLANK($C294),"",$DB294)</f>
        <v/>
      </c>
      <c r="DO294" s="152" t="str">
        <f aca="false">IF($DF294&gt;$DE$8,"",VLOOKUP($DF294,$DH$9:$DN$508,7,FALSE()))</f>
        <v/>
      </c>
      <c r="DP294" s="153" t="str">
        <f aca="false">IF($DF294&gt;$DE$8,"",VLOOKUP($DF294,$DH$9:$DN$508,2,FALSE()))</f>
        <v/>
      </c>
      <c r="DQ294" s="153" t="str">
        <f aca="false">IF($DF294&gt;$DE$8,"",VLOOKUP($DF294,$DH$9:$DN$508,3,FALSE()))</f>
        <v/>
      </c>
      <c r="DR294" s="153" t="str">
        <f aca="false">IF($DF294&gt;$DE$8,"",VLOOKUP($DF294,$DH$9:$DN$508,4,FALSE()))</f>
        <v/>
      </c>
      <c r="DS294" s="153" t="str">
        <f aca="false">IF($DF294&gt;$DE$8,"",VLOOKUP($DF294,$DH$9:$DN$508,5,FALSE()))</f>
        <v/>
      </c>
      <c r="DT294" s="154" t="str">
        <f aca="false">IF($DF294&gt;$DE$8,"",VLOOKUP($DF294,$DH$9:$DN$508,6,FALSE()))</f>
        <v/>
      </c>
      <c r="DU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IF(ISBLANK($C295),"",IF(E295=Constants!$B$3,TRUE(),IF(E295=Constants!$B$4,FALSE(),TRUE())))</f>
        <v/>
      </c>
      <c r="AG295" s="135" t="str">
        <f aca="false">IF(ISBLANK($C295),"",IF(F295=Constants!$B$3,TRUE(),IF(F295=Constants!$B$4,FALSE(),TRUE())))</f>
        <v/>
      </c>
      <c r="AH295" s="135" t="str">
        <f aca="false">IF(ISBLANK($C295),"",IF(G295=Constants!$B$3,TRUE(),IF(G295=Constants!$B$4,FALSE(),TRUE())))</f>
        <v/>
      </c>
      <c r="AI295" s="135" t="str">
        <f aca="false">IF(ISBLANK($C295),"",IF(AND(ISNUMBER(H295),H295&gt;=0),H295,Constants!$B$29))</f>
        <v/>
      </c>
      <c r="AJ295" s="135" t="str">
        <f aca="false">IF(ISBLANK($C295),"",IF(I295=Constants!$B$3,TRUE(),IF(I295=Constants!$B$4,FALSE(),TRUE())))</f>
        <v/>
      </c>
      <c r="AK295" s="135" t="str">
        <f aca="false">IF(ISBLANK($C295),"",IF(J295=Constants!$B$3,TRUE(),IF(J295=Constants!$B$4,FALSE(),TRUE())))</f>
        <v/>
      </c>
      <c r="AL295" s="135" t="str">
        <f aca="false">IF(ISBLANK($C295),"",IF(K295=Constants!$B$5,TRUE(),IF(K295=Constants!$B$6,FALSE(),COUNTA(L295:P295)&gt;0)))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IF(ISBLANK($C295),"",IF(N295=Constants!$B$3,TRUE(),IF(N295=Constants!$B$4,FALSE(),TRUE())))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IF(ISBLANK($C295),"",IF(P295=Constants!$B$3,TRUE(),IF(P295=Constants!$B$4,FALSE(),FALSE())))</f>
        <v/>
      </c>
      <c r="AR295" s="135" t="str">
        <f aca="false">IF(ISBLANK($C295),"",IF(Q295=Constants!$B$3,TRUE(),IF(Q295=Constants!$B$4,FALSE(),TRUE())))</f>
        <v/>
      </c>
      <c r="AS295" s="135" t="str">
        <f aca="false">IF(ISBLANK($C295),"",IF(R295=Constants!$B$3,TRUE(),IF(R295=Constants!$B$4,FALSE(),TRUE())))</f>
        <v/>
      </c>
      <c r="AT295" s="135" t="str">
        <f aca="false">IF(ISBLANK($C295),"",IF(S295=Constants!$B$5,TRUE(),IF(S295=Constants!$B$6,FALSE(),COUNTA(T295:X295)&gt;0)))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IF(ISBLANK($C295),"",IF(V295=Constants!$B$3,TRUE(),IF(V295=Constants!$B$4,FALSE(),TRUE())))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IF(ISBLANK($C295),"",IF(X295=Constants!$B$3,TRUE(),IF(X295=Constants!$B$4,FALSE(),FALSE())))</f>
        <v/>
      </c>
      <c r="AZ295" s="135" t="str">
        <f aca="false">IF(ISBLANK($C295),"",MIN(Constants!$B$31,MAX(0,IF(ISNUMBER(Y295),Y295*60,0)+IF(ISNUMBER(Z295),Z295,0))))</f>
        <v/>
      </c>
      <c r="BA295" s="135" t="str">
        <f aca="false">IF(ISBLANK($C295),"",IF(AA295=Constants!$B$3,TRUE(),IF(AA295=Constants!$B$4,FALSE(),FALSE())))</f>
        <v/>
      </c>
      <c r="BB295" s="134" t="str">
        <f aca="false">IF(ISBLANK($C295),"",AND($AL295,OR($AM295="",$AN295="",AND($AO295,$AP295=""))))</f>
        <v/>
      </c>
      <c r="BC295" s="137" t="str">
        <f aca="false">IF($BZ295&lt;&gt;Constants!$B$8,"",IF($AL295,Constants!$B$21*$AN295+Constants!$B$22*IF($AO295,$AP295,Constants!$B$23),Constants!$B$24))</f>
        <v/>
      </c>
      <c r="BD295" s="138" t="str">
        <f aca="false">IF($BZ295&lt;&gt;Constants!$B$8,"",Constants!$B$25*ABS($AD$9-IF($AL295,$AM295,0)))</f>
        <v/>
      </c>
      <c r="BE295" s="138" t="str">
        <f aca="false">IF($BZ295&lt;&gt;Constants!$B$8,"",IF(AND($AL295,$AQ295,$AO295),Constants!$B$27,0))</f>
        <v/>
      </c>
      <c r="BF295" s="138" t="str">
        <f aca="false">IF($BZ295&lt;&gt;Constants!$B$8,"",IF($AL295,($AI295-Constants!$B$29)*Constants!$B$28,0))</f>
        <v/>
      </c>
      <c r="BG295" s="138" t="str">
        <f aca="false">IF($BZ295&lt;&gt;Constants!$B$8,"",IF($AK295,0,Constants!$B$15)+IF($AJ295,0,Constants!$B$16)+IF($AH295,0,Constants!$B$17))</f>
        <v/>
      </c>
      <c r="BH295" s="139" t="str">
        <f aca="false">IF($BZ295&lt;&gt;Constants!$B$8,"",Constants!$B$20+SUM($BC295:$BG295))</f>
        <v/>
      </c>
      <c r="BI295" s="138" t="str">
        <f aca="false">IF($BZ295&lt;&gt;Constants!$B$8,"",$BC295)</f>
        <v/>
      </c>
      <c r="BJ295" s="138" t="str">
        <f aca="false">IF($BZ295&lt;&gt;Constants!$B$8,"",$BD295)</f>
        <v/>
      </c>
      <c r="BK295" s="138" t="str">
        <f aca="false">IF($BZ295&lt;&gt;Constants!$B$8,"",IF($AL295,$AN295,""))</f>
        <v/>
      </c>
      <c r="BL295" s="140" t="str">
        <f aca="false">IF($BZ295&lt;&gt;Constants!$B$8,"",$AI295)</f>
        <v/>
      </c>
      <c r="BM295" s="135" t="str">
        <f aca="false">IF($BZ295&lt;&gt;Constants!$B$8,"",IF(OR($BT295&lt;$BH295,AND($BT295=$BH295,OR($BU295&lt;$BI295,AND($BU295=$BI295,OR($BV295&lt;$BJ295,AND($BV295=$BJ295,OR(AND(ISNUMBER($BW295),OR(NOT(ISNUMBER($BK295)),$BW295&lt;$BK295)),AND(OR(AND($BW295="",$BK295=""),AND(ISNUMBER($BW295),ISNUMBER($BK295),$BW295=$BK295)),$BX295&lt;$BL295)))))))),"-&gt;","&lt;-"))</f>
        <v/>
      </c>
      <c r="BN295" s="134" t="str">
        <f aca="false">IF(ISBLANK($C295),"",AND($AT295,OR($AU295="",$AV295="",AND($AW295,$AX295=""))))</f>
        <v/>
      </c>
      <c r="BO295" s="137" t="str">
        <f aca="false">IF($BZ295&lt;&gt;Constants!$B$8,"",IF($AT295,Constants!$B$21*$AV295+Constants!$B$22*IF($AW295,$AX295,Constants!$B$23),Constants!$B$24))</f>
        <v/>
      </c>
      <c r="BP295" s="138" t="str">
        <f aca="false">IF($BZ295&lt;&gt;Constants!$B$8,"",Constants!$B$25*ABS($AD$9-IF($AT295,$AU295,0)))</f>
        <v/>
      </c>
      <c r="BQ295" s="138" t="str">
        <f aca="false">IF($BZ295&lt;&gt;Constants!$B$8,"",IF(AND($AT295,$AY295,$AW295),Constants!$B$27,0))</f>
        <v/>
      </c>
      <c r="BR295" s="138" t="str">
        <f aca="false">IF($BZ295&lt;&gt;Constants!$B$8,"",IF($AT295,($AI295-Constants!$B$29)*Constants!$B$28,0))</f>
        <v/>
      </c>
      <c r="BS295" s="138" t="str">
        <f aca="false">IF($BZ295&lt;&gt;Constants!$B$8,"",IF($AS295,0,Constants!$B$15)+IF($AR295,0,Constants!$B$16)+IF($AH295,0,Constants!$B$17))</f>
        <v/>
      </c>
      <c r="BT295" s="139" t="str">
        <f aca="false">IF($BZ295&lt;&gt;Constants!$B$8,"",Constants!$B$20+SUM($BO295:$BS295))</f>
        <v/>
      </c>
      <c r="BU295" s="138" t="str">
        <f aca="false">IF($BZ295&lt;&gt;Constants!$B$8,"",$BO295)</f>
        <v/>
      </c>
      <c r="BV295" s="138" t="str">
        <f aca="false">IF($BZ295&lt;&gt;Constants!$B$8,"",$BP295)</f>
        <v/>
      </c>
      <c r="BW295" s="138" t="str">
        <f aca="false">IF($BZ295&lt;&gt;Constants!$B$8,"",IF($AT295,$AV295,""))</f>
        <v/>
      </c>
      <c r="BX295" s="140" t="str">
        <f aca="false">IF($BZ295&lt;&gt;Constants!$B$8,"",$AI295)</f>
        <v/>
      </c>
      <c r="BY295" s="135" t="str">
        <f aca="false">IF(ISBLANK($C295),"",IF(ISBLANK($D$7),$BY$5,IF(NOT(ISNUMBER($D$7)),$BY$6,"")))</f>
        <v/>
      </c>
      <c r="BZ295" s="135" t="str">
        <f aca="false">IF(ISBLANK($C295),"",IF($BA295,Constants!$B$11,IF(COUNTA($E295:$AA295)=0,Constants!$B$10,IF(NOT($AG295),Constants!$B$9,IF(OR($BY295&lt;&gt;"",$BB295,$BN295),Constants!$B$12,Constants!$B$8)))))</f>
        <v/>
      </c>
      <c r="CA295" s="135" t="str">
        <f aca="false">IF(ISBLANK($C295),"",IF($BZ295&lt;&gt;Constants!$B$8,$BZ295,Constants!$B$13))</f>
        <v/>
      </c>
      <c r="CB295" s="138" t="str">
        <f aca="false">IF($BZ295&lt;&gt;Constants!$B$8,"",IF($BM295="-&gt;",$BT295,$BH295))</f>
        <v/>
      </c>
      <c r="CC295" s="138" t="str">
        <f aca="false">IF($BZ295&lt;&gt;Constants!$B$8,"",IF($AF295,0,Constants!$B$18))</f>
        <v/>
      </c>
      <c r="CD295" s="138" t="str">
        <f aca="false">IF($BZ295&lt;&gt;Constants!$B$8,"",((Constants!$B$31-$AZ295)-Constants!$B$31)/Constants!$B$32)</f>
        <v/>
      </c>
      <c r="CE295" s="138" t="str">
        <f aca="false">IF(ISBLANK($C295),"",IF($BZ295&lt;&gt;Constants!$B$8,$BZ295,SUM($CB295:$CD295)))</f>
        <v/>
      </c>
      <c r="CF295" s="135" t="str">
        <f aca="false">IF(ISBLANK($C295),"",IF($BZ295&lt;&gt;Constants!$B$8,$BZ295,RANK($CE295,$CE$9:$CE$508,1)))</f>
        <v/>
      </c>
      <c r="CG295" s="138" t="str">
        <f aca="false">IF($BZ295&lt;&gt;Constants!$B$8,"",IF($BM295="-&gt;",$BU295,$BI295))</f>
        <v/>
      </c>
      <c r="CH295" s="135" t="str">
        <f aca="false">IF(ISBLANK($C295),"",IF($BZ295&lt;&gt;Constants!$B$8,$BZ295,IF(ISNUMBER($CG295),RANK($CG295,$CG$9:$CG$508,1),COUNT($CG$9:$CG$508)+1)))</f>
        <v/>
      </c>
      <c r="CI295" s="138" t="str">
        <f aca="false">IF($BZ295&lt;&gt;Constants!$B$8,"",IF($BM295="-&gt;",$BV295,$BJ295))</f>
        <v/>
      </c>
      <c r="CJ295" s="135" t="str">
        <f aca="false">IF(ISBLANK($C295),"",IF($BZ295&lt;&gt;Constants!$B$8,$BZ295,IF(ISNUMBER($CI295),RANK($CI295,$CI$9:$CI$508,1),COUNT($CI$9:$CI$508)+1)))</f>
        <v/>
      </c>
      <c r="CK295" s="138" t="str">
        <f aca="false">IF($BZ295&lt;&gt;Constants!$B$8,"",IF($BM295="-&gt;",$BW295,$BK295))</f>
        <v/>
      </c>
      <c r="CL295" s="135" t="str">
        <f aca="false">IF(ISBLANK($C295),"",IF($BZ295&lt;&gt;Constants!$B$8,$BZ295,IF(ISNUMBER($CK295),RANK($CK295,$CK$9:$CK$508,1),COUNT($CK$9:$CK$508)+1)))</f>
        <v/>
      </c>
      <c r="CM295" s="138" t="str">
        <f aca="false">IF($BZ295&lt;&gt;Constants!$B$8,"",IF(AND(NOT($AL295),NOT($AT295),$AJ295,$AK295,$AR295,$AS295),"",IF($BM295="-&gt;",$BX295,$BL295)))</f>
        <v/>
      </c>
      <c r="CN295" s="135" t="str">
        <f aca="false">IF(ISBLANK($C295),"",IF($BZ295&lt;&gt;Constants!$B$8,$BZ295,IF(ISNUMBER($CM295),RANK($CM295,$CM$9:$CM$508,1),COUNT($CM$9:$CM$508)+1)))</f>
        <v/>
      </c>
      <c r="CO295" s="135" t="str">
        <f aca="false">IF(ISBLANK($C295),"",IF($BZ295&lt;&gt;Constants!$B$8,$BZ295,COUNTIFS($CF$9:$CF$508,"&lt;"&amp;$CF295)+COUNTIFS($CF$9:$CF$508,$CF295,$CH$9:$CH$508,"&lt;"&amp;$CH295)+COUNTIFS($CF$9:$CF$508,$CF295,$CH$9:$CH$508,$CH295,$CJ$9:$CJ$508,"&lt;"&amp;$CJ295)+COUNTIFS($CF$9:$CF$508,$CF295,$CH$9:$CH$508,$CH295,$CJ$9:$CJ$508,$CJ295,$CL$9:$CL$508,"&lt;"&amp;$CL295)+COUNTIFS($CF$9:$CF$508,$CF295,$CH$9:$CH$508,$CH295,$CJ$9:$CJ$508,$CJ295,$CL$9:$CL$508,$CL295,$CN$9:$CN$508,"&lt;"&amp;$CN295)+1))</f>
        <v/>
      </c>
      <c r="CP295" s="135" t="str">
        <f aca="false">IF(ISBLANK($C295),"",IF($BZ295&lt;&gt;Constants!$B$8,$BZ295,$CF295-$CO295))</f>
        <v/>
      </c>
      <c r="CQ295" s="141"/>
      <c r="CR295" s="142"/>
      <c r="CS295" s="143" t="str">
        <f aca="false">IF(ISBLANK($C295),"",IF($BZ295=Constants!$B$12,$BY295,""))</f>
        <v/>
      </c>
      <c r="CT295" s="142" t="str">
        <f aca="false">IF(ISBLANK($C295),"",IF($BZ295&lt;&gt;Constants!$B$8,"",IF($BM295="-&gt;",2,1)))</f>
        <v/>
      </c>
      <c r="CU295" s="144" t="str">
        <f aca="false">IF(ISBLANK($C295),"",IF($BZ295&lt;&gt;Constants!$B$8,"",IF($BM295="-&gt;",$BO295,$BC295)))</f>
        <v/>
      </c>
      <c r="CV295" s="144" t="str">
        <f aca="false">IF(ISBLANK($C295),"",IF($BZ295&lt;&gt;Constants!$B$8,"",IF($BM295="-&gt;",$BP295,$BD295)))</f>
        <v/>
      </c>
      <c r="CW295" s="144" t="str">
        <f aca="false">IF(ISBLANK($C295),"",IF($BZ295&lt;&gt;Constants!$B$8,"",IF($BM295="-&gt;",$BQ295+$BR295,$BE295+$BF295)+$CD295))</f>
        <v/>
      </c>
      <c r="CX295" s="144" t="str">
        <f aca="false">IF(ISBLANK($C295),"",IF($BZ295&lt;&gt;Constants!$B$8,"",IF($BM295="-&gt;",$BS295,$BG295)+$CC295))</f>
        <v/>
      </c>
      <c r="CY295" s="145" t="str">
        <f aca="false">IF(ISBLANK($C295),"",IF($BZ295&lt;&gt;Constants!$B$8,$BZ295,$CE295))</f>
        <v/>
      </c>
      <c r="CZ295" s="146" t="str">
        <f aca="false">IF(ISBLANK($C295),"",$CA295)</f>
        <v/>
      </c>
      <c r="DA295" s="147" t="str">
        <f aca="false">IF(ISBLANK($C295),"",$CP295)</f>
        <v/>
      </c>
      <c r="DB295" s="147" t="str">
        <f aca="false">IF(ISBLANK($C295),"",$CO295)</f>
        <v/>
      </c>
      <c r="DC295" s="148" t="str">
        <f aca="false">IF(ISBLANK($C295),"",IFERROR(_xlfn.SWITCH($DB295,Constants!$B$11,COUNTA($C$9:$C$508)+2,Constants!$B$10,COUNTA($C$9:$C$508)+1,Constants!$B$9,COUNTA($C$9:$C$508)),$DB295))</f>
        <v/>
      </c>
      <c r="DD295" s="9"/>
      <c r="DE295" s="149" t="n">
        <f aca="false">IF(OR(ISNUMBER($DB295),$DB295=Constants!$B$11,$DB295=Constants!$B$9,$DB295=Constants!$B$10),1,0)</f>
        <v>0</v>
      </c>
      <c r="DF295" s="149" t="n">
        <v>287</v>
      </c>
      <c r="DG295" s="149" t="str">
        <f aca="false">IF(ISBLANK($C295),"",IF(ISNUMBER($DC295),$DC295+ROW($B295)/1000,""))</f>
        <v/>
      </c>
      <c r="DH295" s="149" t="str">
        <f aca="false">IF(ISNUMBER($DG295),RANK($DG295,$DG$9:$DG$508,1),"")</f>
        <v/>
      </c>
      <c r="DI295" s="149" t="str">
        <f aca="false">IF(ISBLANK($C295),"",$B295)</f>
        <v/>
      </c>
      <c r="DJ295" s="149" t="str">
        <f aca="false">IF(ISBLANK($C295),"",$C295)</f>
        <v/>
      </c>
      <c r="DK295" s="149" t="str">
        <f aca="false">IF(ISBLANK($C295),"",$D295)</f>
        <v/>
      </c>
      <c r="DL295" s="150" t="str">
        <f aca="false">$CZ295</f>
        <v/>
      </c>
      <c r="DM295" s="151" t="str">
        <f aca="false">$CY295</f>
        <v/>
      </c>
      <c r="DN295" s="149" t="str">
        <f aca="false">IF(ISBLANK($C295),"",$DB295)</f>
        <v/>
      </c>
      <c r="DO295" s="152" t="str">
        <f aca="false">IF($DF295&gt;$DE$8,"",VLOOKUP($DF295,$DH$9:$DN$508,7,FALSE()))</f>
        <v/>
      </c>
      <c r="DP295" s="153" t="str">
        <f aca="false">IF($DF295&gt;$DE$8,"",VLOOKUP($DF295,$DH$9:$DN$508,2,FALSE()))</f>
        <v/>
      </c>
      <c r="DQ295" s="153" t="str">
        <f aca="false">IF($DF295&gt;$DE$8,"",VLOOKUP($DF295,$DH$9:$DN$508,3,FALSE()))</f>
        <v/>
      </c>
      <c r="DR295" s="153" t="str">
        <f aca="false">IF($DF295&gt;$DE$8,"",VLOOKUP($DF295,$DH$9:$DN$508,4,FALSE()))</f>
        <v/>
      </c>
      <c r="DS295" s="153" t="str">
        <f aca="false">IF($DF295&gt;$DE$8,"",VLOOKUP($DF295,$DH$9:$DN$508,5,FALSE()))</f>
        <v/>
      </c>
      <c r="DT295" s="154" t="str">
        <f aca="false">IF($DF295&gt;$DE$8,"",VLOOKUP($DF295,$DH$9:$DN$508,6,FALSE()))</f>
        <v/>
      </c>
      <c r="DU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IF(ISBLANK($C296),"",IF(E296=Constants!$B$3,TRUE(),IF(E296=Constants!$B$4,FALSE(),TRUE())))</f>
        <v/>
      </c>
      <c r="AG296" s="135" t="str">
        <f aca="false">IF(ISBLANK($C296),"",IF(F296=Constants!$B$3,TRUE(),IF(F296=Constants!$B$4,FALSE(),TRUE())))</f>
        <v/>
      </c>
      <c r="AH296" s="135" t="str">
        <f aca="false">IF(ISBLANK($C296),"",IF(G296=Constants!$B$3,TRUE(),IF(G296=Constants!$B$4,FALSE(),TRUE())))</f>
        <v/>
      </c>
      <c r="AI296" s="135" t="str">
        <f aca="false">IF(ISBLANK($C296),"",IF(AND(ISNUMBER(H296),H296&gt;=0),H296,Constants!$B$29))</f>
        <v/>
      </c>
      <c r="AJ296" s="135" t="str">
        <f aca="false">IF(ISBLANK($C296),"",IF(I296=Constants!$B$3,TRUE(),IF(I296=Constants!$B$4,FALSE(),TRUE())))</f>
        <v/>
      </c>
      <c r="AK296" s="135" t="str">
        <f aca="false">IF(ISBLANK($C296),"",IF(J296=Constants!$B$3,TRUE(),IF(J296=Constants!$B$4,FALSE(),TRUE())))</f>
        <v/>
      </c>
      <c r="AL296" s="135" t="str">
        <f aca="false">IF(ISBLANK($C296),"",IF(K296=Constants!$B$5,TRUE(),IF(K296=Constants!$B$6,FALSE(),COUNTA(L296:P296)&gt;0)))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IF(ISBLANK($C296),"",IF(N296=Constants!$B$3,TRUE(),IF(N296=Constants!$B$4,FALSE(),TRUE())))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IF(ISBLANK($C296),"",IF(P296=Constants!$B$3,TRUE(),IF(P296=Constants!$B$4,FALSE(),FALSE())))</f>
        <v/>
      </c>
      <c r="AR296" s="135" t="str">
        <f aca="false">IF(ISBLANK($C296),"",IF(Q296=Constants!$B$3,TRUE(),IF(Q296=Constants!$B$4,FALSE(),TRUE())))</f>
        <v/>
      </c>
      <c r="AS296" s="135" t="str">
        <f aca="false">IF(ISBLANK($C296),"",IF(R296=Constants!$B$3,TRUE(),IF(R296=Constants!$B$4,FALSE(),TRUE())))</f>
        <v/>
      </c>
      <c r="AT296" s="135" t="str">
        <f aca="false">IF(ISBLANK($C296),"",IF(S296=Constants!$B$5,TRUE(),IF(S296=Constants!$B$6,FALSE(),COUNTA(T296:X296)&gt;0)))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IF(ISBLANK($C296),"",IF(V296=Constants!$B$3,TRUE(),IF(V296=Constants!$B$4,FALSE(),TRUE())))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IF(ISBLANK($C296),"",IF(X296=Constants!$B$3,TRUE(),IF(X296=Constants!$B$4,FALSE(),FALSE())))</f>
        <v/>
      </c>
      <c r="AZ296" s="135" t="str">
        <f aca="false">IF(ISBLANK($C296),"",MIN(Constants!$B$31,MAX(0,IF(ISNUMBER(Y296),Y296*60,0)+IF(ISNUMBER(Z296),Z296,0))))</f>
        <v/>
      </c>
      <c r="BA296" s="135" t="str">
        <f aca="false">IF(ISBLANK($C296),"",IF(AA296=Constants!$B$3,TRUE(),IF(AA296=Constants!$B$4,FALSE(),FALSE())))</f>
        <v/>
      </c>
      <c r="BB296" s="134" t="str">
        <f aca="false">IF(ISBLANK($C296),"",AND($AL296,OR($AM296="",$AN296="",AND($AO296,$AP296=""))))</f>
        <v/>
      </c>
      <c r="BC296" s="137" t="str">
        <f aca="false">IF($BZ296&lt;&gt;Constants!$B$8,"",IF($AL296,Constants!$B$21*$AN296+Constants!$B$22*IF($AO296,$AP296,Constants!$B$23),Constants!$B$24))</f>
        <v/>
      </c>
      <c r="BD296" s="138" t="str">
        <f aca="false">IF($BZ296&lt;&gt;Constants!$B$8,"",Constants!$B$25*ABS($AD$9-IF($AL296,$AM296,0)))</f>
        <v/>
      </c>
      <c r="BE296" s="138" t="str">
        <f aca="false">IF($BZ296&lt;&gt;Constants!$B$8,"",IF(AND($AL296,$AQ296,$AO296),Constants!$B$27,0))</f>
        <v/>
      </c>
      <c r="BF296" s="138" t="str">
        <f aca="false">IF($BZ296&lt;&gt;Constants!$B$8,"",IF($AL296,($AI296-Constants!$B$29)*Constants!$B$28,0))</f>
        <v/>
      </c>
      <c r="BG296" s="138" t="str">
        <f aca="false">IF($BZ296&lt;&gt;Constants!$B$8,"",IF($AK296,0,Constants!$B$15)+IF($AJ296,0,Constants!$B$16)+IF($AH296,0,Constants!$B$17))</f>
        <v/>
      </c>
      <c r="BH296" s="139" t="str">
        <f aca="false">IF($BZ296&lt;&gt;Constants!$B$8,"",Constants!$B$20+SUM($BC296:$BG296))</f>
        <v/>
      </c>
      <c r="BI296" s="138" t="str">
        <f aca="false">IF($BZ296&lt;&gt;Constants!$B$8,"",$BC296)</f>
        <v/>
      </c>
      <c r="BJ296" s="138" t="str">
        <f aca="false">IF($BZ296&lt;&gt;Constants!$B$8,"",$BD296)</f>
        <v/>
      </c>
      <c r="BK296" s="138" t="str">
        <f aca="false">IF($BZ296&lt;&gt;Constants!$B$8,"",IF($AL296,$AN296,""))</f>
        <v/>
      </c>
      <c r="BL296" s="140" t="str">
        <f aca="false">IF($BZ296&lt;&gt;Constants!$B$8,"",$AI296)</f>
        <v/>
      </c>
      <c r="BM296" s="135" t="str">
        <f aca="false">IF($BZ296&lt;&gt;Constants!$B$8,"",IF(OR($BT296&lt;$BH296,AND($BT296=$BH296,OR($BU296&lt;$BI296,AND($BU296=$BI296,OR($BV296&lt;$BJ296,AND($BV296=$BJ296,OR(AND(ISNUMBER($BW296),OR(NOT(ISNUMBER($BK296)),$BW296&lt;$BK296)),AND(OR(AND($BW296="",$BK296=""),AND(ISNUMBER($BW296),ISNUMBER($BK296),$BW296=$BK296)),$BX296&lt;$BL296)))))))),"-&gt;","&lt;-"))</f>
        <v/>
      </c>
      <c r="BN296" s="134" t="str">
        <f aca="false">IF(ISBLANK($C296),"",AND($AT296,OR($AU296="",$AV296="",AND($AW296,$AX296=""))))</f>
        <v/>
      </c>
      <c r="BO296" s="137" t="str">
        <f aca="false">IF($BZ296&lt;&gt;Constants!$B$8,"",IF($AT296,Constants!$B$21*$AV296+Constants!$B$22*IF($AW296,$AX296,Constants!$B$23),Constants!$B$24))</f>
        <v/>
      </c>
      <c r="BP296" s="138" t="str">
        <f aca="false">IF($BZ296&lt;&gt;Constants!$B$8,"",Constants!$B$25*ABS($AD$9-IF($AT296,$AU296,0)))</f>
        <v/>
      </c>
      <c r="BQ296" s="138" t="str">
        <f aca="false">IF($BZ296&lt;&gt;Constants!$B$8,"",IF(AND($AT296,$AY296,$AW296),Constants!$B$27,0))</f>
        <v/>
      </c>
      <c r="BR296" s="138" t="str">
        <f aca="false">IF($BZ296&lt;&gt;Constants!$B$8,"",IF($AT296,($AI296-Constants!$B$29)*Constants!$B$28,0))</f>
        <v/>
      </c>
      <c r="BS296" s="138" t="str">
        <f aca="false">IF($BZ296&lt;&gt;Constants!$B$8,"",IF($AS296,0,Constants!$B$15)+IF($AR296,0,Constants!$B$16)+IF($AH296,0,Constants!$B$17))</f>
        <v/>
      </c>
      <c r="BT296" s="139" t="str">
        <f aca="false">IF($BZ296&lt;&gt;Constants!$B$8,"",Constants!$B$20+SUM($BO296:$BS296))</f>
        <v/>
      </c>
      <c r="BU296" s="138" t="str">
        <f aca="false">IF($BZ296&lt;&gt;Constants!$B$8,"",$BO296)</f>
        <v/>
      </c>
      <c r="BV296" s="138" t="str">
        <f aca="false">IF($BZ296&lt;&gt;Constants!$B$8,"",$BP296)</f>
        <v/>
      </c>
      <c r="BW296" s="138" t="str">
        <f aca="false">IF($BZ296&lt;&gt;Constants!$B$8,"",IF($AT296,$AV296,""))</f>
        <v/>
      </c>
      <c r="BX296" s="140" t="str">
        <f aca="false">IF($BZ296&lt;&gt;Constants!$B$8,"",$AI296)</f>
        <v/>
      </c>
      <c r="BY296" s="135" t="str">
        <f aca="false">IF(ISBLANK($C296),"",IF(ISBLANK($D$7),$BY$5,IF(NOT(ISNUMBER($D$7)),$BY$6,"")))</f>
        <v/>
      </c>
      <c r="BZ296" s="135" t="str">
        <f aca="false">IF(ISBLANK($C296),"",IF($BA296,Constants!$B$11,IF(COUNTA($E296:$AA296)=0,Constants!$B$10,IF(NOT($AG296),Constants!$B$9,IF(OR($BY296&lt;&gt;"",$BB296,$BN296),Constants!$B$12,Constants!$B$8)))))</f>
        <v/>
      </c>
      <c r="CA296" s="135" t="str">
        <f aca="false">IF(ISBLANK($C296),"",IF($BZ296&lt;&gt;Constants!$B$8,$BZ296,Constants!$B$13))</f>
        <v/>
      </c>
      <c r="CB296" s="138" t="str">
        <f aca="false">IF($BZ296&lt;&gt;Constants!$B$8,"",IF($BM296="-&gt;",$BT296,$BH296))</f>
        <v/>
      </c>
      <c r="CC296" s="138" t="str">
        <f aca="false">IF($BZ296&lt;&gt;Constants!$B$8,"",IF($AF296,0,Constants!$B$18))</f>
        <v/>
      </c>
      <c r="CD296" s="138" t="str">
        <f aca="false">IF($BZ296&lt;&gt;Constants!$B$8,"",((Constants!$B$31-$AZ296)-Constants!$B$31)/Constants!$B$32)</f>
        <v/>
      </c>
      <c r="CE296" s="138" t="str">
        <f aca="false">IF(ISBLANK($C296),"",IF($BZ296&lt;&gt;Constants!$B$8,$BZ296,SUM($CB296:$CD296)))</f>
        <v/>
      </c>
      <c r="CF296" s="135" t="str">
        <f aca="false">IF(ISBLANK($C296),"",IF($BZ296&lt;&gt;Constants!$B$8,$BZ296,RANK($CE296,$CE$9:$CE$508,1)))</f>
        <v/>
      </c>
      <c r="CG296" s="138" t="str">
        <f aca="false">IF($BZ296&lt;&gt;Constants!$B$8,"",IF($BM296="-&gt;",$BU296,$BI296))</f>
        <v/>
      </c>
      <c r="CH296" s="135" t="str">
        <f aca="false">IF(ISBLANK($C296),"",IF($BZ296&lt;&gt;Constants!$B$8,$BZ296,IF(ISNUMBER($CG296),RANK($CG296,$CG$9:$CG$508,1),COUNT($CG$9:$CG$508)+1)))</f>
        <v/>
      </c>
      <c r="CI296" s="138" t="str">
        <f aca="false">IF($BZ296&lt;&gt;Constants!$B$8,"",IF($BM296="-&gt;",$BV296,$BJ296))</f>
        <v/>
      </c>
      <c r="CJ296" s="135" t="str">
        <f aca="false">IF(ISBLANK($C296),"",IF($BZ296&lt;&gt;Constants!$B$8,$BZ296,IF(ISNUMBER($CI296),RANK($CI296,$CI$9:$CI$508,1),COUNT($CI$9:$CI$508)+1)))</f>
        <v/>
      </c>
      <c r="CK296" s="138" t="str">
        <f aca="false">IF($BZ296&lt;&gt;Constants!$B$8,"",IF($BM296="-&gt;",$BW296,$BK296))</f>
        <v/>
      </c>
      <c r="CL296" s="135" t="str">
        <f aca="false">IF(ISBLANK($C296),"",IF($BZ296&lt;&gt;Constants!$B$8,$BZ296,IF(ISNUMBER($CK296),RANK($CK296,$CK$9:$CK$508,1),COUNT($CK$9:$CK$508)+1)))</f>
        <v/>
      </c>
      <c r="CM296" s="138" t="str">
        <f aca="false">IF($BZ296&lt;&gt;Constants!$B$8,"",IF(AND(NOT($AL296),NOT($AT296),$AJ296,$AK296,$AR296,$AS296),"",IF($BM296="-&gt;",$BX296,$BL296)))</f>
        <v/>
      </c>
      <c r="CN296" s="135" t="str">
        <f aca="false">IF(ISBLANK($C296),"",IF($BZ296&lt;&gt;Constants!$B$8,$BZ296,IF(ISNUMBER($CM296),RANK($CM296,$CM$9:$CM$508,1),COUNT($CM$9:$CM$508)+1)))</f>
        <v/>
      </c>
      <c r="CO296" s="135" t="str">
        <f aca="false">IF(ISBLANK($C296),"",IF($BZ296&lt;&gt;Constants!$B$8,$BZ296,COUNTIFS($CF$9:$CF$508,"&lt;"&amp;$CF296)+COUNTIFS($CF$9:$CF$508,$CF296,$CH$9:$CH$508,"&lt;"&amp;$CH296)+COUNTIFS($CF$9:$CF$508,$CF296,$CH$9:$CH$508,$CH296,$CJ$9:$CJ$508,"&lt;"&amp;$CJ296)+COUNTIFS($CF$9:$CF$508,$CF296,$CH$9:$CH$508,$CH296,$CJ$9:$CJ$508,$CJ296,$CL$9:$CL$508,"&lt;"&amp;$CL296)+COUNTIFS($CF$9:$CF$508,$CF296,$CH$9:$CH$508,$CH296,$CJ$9:$CJ$508,$CJ296,$CL$9:$CL$508,$CL296,$CN$9:$CN$508,"&lt;"&amp;$CN296)+1))</f>
        <v/>
      </c>
      <c r="CP296" s="135" t="str">
        <f aca="false">IF(ISBLANK($C296),"",IF($BZ296&lt;&gt;Constants!$B$8,$BZ296,$CF296-$CO296))</f>
        <v/>
      </c>
      <c r="CQ296" s="141"/>
      <c r="CR296" s="142"/>
      <c r="CS296" s="143" t="str">
        <f aca="false">IF(ISBLANK($C296),"",IF($BZ296=Constants!$B$12,$BY296,""))</f>
        <v/>
      </c>
      <c r="CT296" s="142" t="str">
        <f aca="false">IF(ISBLANK($C296),"",IF($BZ296&lt;&gt;Constants!$B$8,"",IF($BM296="-&gt;",2,1)))</f>
        <v/>
      </c>
      <c r="CU296" s="144" t="str">
        <f aca="false">IF(ISBLANK($C296),"",IF($BZ296&lt;&gt;Constants!$B$8,"",IF($BM296="-&gt;",$BO296,$BC296)))</f>
        <v/>
      </c>
      <c r="CV296" s="144" t="str">
        <f aca="false">IF(ISBLANK($C296),"",IF($BZ296&lt;&gt;Constants!$B$8,"",IF($BM296="-&gt;",$BP296,$BD296)))</f>
        <v/>
      </c>
      <c r="CW296" s="144" t="str">
        <f aca="false">IF(ISBLANK($C296),"",IF($BZ296&lt;&gt;Constants!$B$8,"",IF($BM296="-&gt;",$BQ296+$BR296,$BE296+$BF296)+$CD296))</f>
        <v/>
      </c>
      <c r="CX296" s="144" t="str">
        <f aca="false">IF(ISBLANK($C296),"",IF($BZ296&lt;&gt;Constants!$B$8,"",IF($BM296="-&gt;",$BS296,$BG296)+$CC296))</f>
        <v/>
      </c>
      <c r="CY296" s="145" t="str">
        <f aca="false">IF(ISBLANK($C296),"",IF($BZ296&lt;&gt;Constants!$B$8,$BZ296,$CE296))</f>
        <v/>
      </c>
      <c r="CZ296" s="146" t="str">
        <f aca="false">IF(ISBLANK($C296),"",$CA296)</f>
        <v/>
      </c>
      <c r="DA296" s="147" t="str">
        <f aca="false">IF(ISBLANK($C296),"",$CP296)</f>
        <v/>
      </c>
      <c r="DB296" s="147" t="str">
        <f aca="false">IF(ISBLANK($C296),"",$CO296)</f>
        <v/>
      </c>
      <c r="DC296" s="148" t="str">
        <f aca="false">IF(ISBLANK($C296),"",IFERROR(_xlfn.SWITCH($DB296,Constants!$B$11,COUNTA($C$9:$C$508)+2,Constants!$B$10,COUNTA($C$9:$C$508)+1,Constants!$B$9,COUNTA($C$9:$C$508)),$DB296))</f>
        <v/>
      </c>
      <c r="DD296" s="9"/>
      <c r="DE296" s="149" t="n">
        <f aca="false">IF(OR(ISNUMBER($DB296),$DB296=Constants!$B$11,$DB296=Constants!$B$9,$DB296=Constants!$B$10),1,0)</f>
        <v>0</v>
      </c>
      <c r="DF296" s="149" t="n">
        <v>288</v>
      </c>
      <c r="DG296" s="149" t="str">
        <f aca="false">IF(ISBLANK($C296),"",IF(ISNUMBER($DC296),$DC296+ROW($B296)/1000,""))</f>
        <v/>
      </c>
      <c r="DH296" s="149" t="str">
        <f aca="false">IF(ISNUMBER($DG296),RANK($DG296,$DG$9:$DG$508,1),"")</f>
        <v/>
      </c>
      <c r="DI296" s="149" t="str">
        <f aca="false">IF(ISBLANK($C296),"",$B296)</f>
        <v/>
      </c>
      <c r="DJ296" s="149" t="str">
        <f aca="false">IF(ISBLANK($C296),"",$C296)</f>
        <v/>
      </c>
      <c r="DK296" s="149" t="str">
        <f aca="false">IF(ISBLANK($C296),"",$D296)</f>
        <v/>
      </c>
      <c r="DL296" s="150" t="str">
        <f aca="false">$CZ296</f>
        <v/>
      </c>
      <c r="DM296" s="151" t="str">
        <f aca="false">$CY296</f>
        <v/>
      </c>
      <c r="DN296" s="149" t="str">
        <f aca="false">IF(ISBLANK($C296),"",$DB296)</f>
        <v/>
      </c>
      <c r="DO296" s="152" t="str">
        <f aca="false">IF($DF296&gt;$DE$8,"",VLOOKUP($DF296,$DH$9:$DN$508,7,FALSE()))</f>
        <v/>
      </c>
      <c r="DP296" s="153" t="str">
        <f aca="false">IF($DF296&gt;$DE$8,"",VLOOKUP($DF296,$DH$9:$DN$508,2,FALSE()))</f>
        <v/>
      </c>
      <c r="DQ296" s="153" t="str">
        <f aca="false">IF($DF296&gt;$DE$8,"",VLOOKUP($DF296,$DH$9:$DN$508,3,FALSE()))</f>
        <v/>
      </c>
      <c r="DR296" s="153" t="str">
        <f aca="false">IF($DF296&gt;$DE$8,"",VLOOKUP($DF296,$DH$9:$DN$508,4,FALSE()))</f>
        <v/>
      </c>
      <c r="DS296" s="153" t="str">
        <f aca="false">IF($DF296&gt;$DE$8,"",VLOOKUP($DF296,$DH$9:$DN$508,5,FALSE()))</f>
        <v/>
      </c>
      <c r="DT296" s="154" t="str">
        <f aca="false">IF($DF296&gt;$DE$8,"",VLOOKUP($DF296,$DH$9:$DN$508,6,FALSE()))</f>
        <v/>
      </c>
      <c r="DU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IF(ISBLANK($C297),"",IF(E297=Constants!$B$3,TRUE(),IF(E297=Constants!$B$4,FALSE(),TRUE())))</f>
        <v/>
      </c>
      <c r="AG297" s="93" t="str">
        <f aca="false">IF(ISBLANK($C297),"",IF(F297=Constants!$B$3,TRUE(),IF(F297=Constants!$B$4,FALSE(),TRUE())))</f>
        <v/>
      </c>
      <c r="AH297" s="93" t="str">
        <f aca="false">IF(ISBLANK($C297),"",IF(G297=Constants!$B$3,TRUE(),IF(G297=Constants!$B$4,FALSE(),TRUE())))</f>
        <v/>
      </c>
      <c r="AI297" s="93" t="str">
        <f aca="false">IF(ISBLANK($C297),"",IF(AND(ISNUMBER(H297),H297&gt;=0),H297,Constants!$B$29))</f>
        <v/>
      </c>
      <c r="AJ297" s="93" t="str">
        <f aca="false">IF(ISBLANK($C297),"",IF(I297=Constants!$B$3,TRUE(),IF(I297=Constants!$B$4,FALSE(),TRUE())))</f>
        <v/>
      </c>
      <c r="AK297" s="93" t="str">
        <f aca="false">IF(ISBLANK($C297),"",IF(J297=Constants!$B$3,TRUE(),IF(J297=Constants!$B$4,FALSE(),TRUE())))</f>
        <v/>
      </c>
      <c r="AL297" s="93" t="str">
        <f aca="false">IF(ISBLANK($C297),"",IF(K297=Constants!$B$5,TRUE(),IF(K297=Constants!$B$6,FALSE(),COUNTA(L297:P297)&gt;0)))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IF(ISBLANK($C297),"",IF(N297=Constants!$B$3,TRUE(),IF(N297=Constants!$B$4,FALSE(),TRUE())))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IF(ISBLANK($C297),"",IF(P297=Constants!$B$3,TRUE(),IF(P297=Constants!$B$4,FALSE(),FALSE())))</f>
        <v/>
      </c>
      <c r="AR297" s="93" t="str">
        <f aca="false">IF(ISBLANK($C297),"",IF(Q297=Constants!$B$3,TRUE(),IF(Q297=Constants!$B$4,FALSE(),TRUE())))</f>
        <v/>
      </c>
      <c r="AS297" s="93" t="str">
        <f aca="false">IF(ISBLANK($C297),"",IF(R297=Constants!$B$3,TRUE(),IF(R297=Constants!$B$4,FALSE(),TRUE())))</f>
        <v/>
      </c>
      <c r="AT297" s="93" t="str">
        <f aca="false">IF(ISBLANK($C297),"",IF(S297=Constants!$B$5,TRUE(),IF(S297=Constants!$B$6,FALSE(),COUNTA(T297:X297)&gt;0)))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IF(ISBLANK($C297),"",IF(V297=Constants!$B$3,TRUE(),IF(V297=Constants!$B$4,FALSE(),TRUE())))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IF(ISBLANK($C297),"",IF(X297=Constants!$B$3,TRUE(),IF(X297=Constants!$B$4,FALSE(),FALSE())))</f>
        <v/>
      </c>
      <c r="AZ297" s="93" t="str">
        <f aca="false">IF(ISBLANK($C297),"",MIN(Constants!$B$31,MAX(0,IF(ISNUMBER(Y297),Y297*60,0)+IF(ISNUMBER(Z297),Z297,0))))</f>
        <v/>
      </c>
      <c r="BA297" s="93" t="str">
        <f aca="false">IF(ISBLANK($C297),"",IF(AA297=Constants!$B$3,TRUE(),IF(AA297=Constants!$B$4,FALSE(),FALSE())))</f>
        <v/>
      </c>
      <c r="BB297" s="92" t="str">
        <f aca="false">IF(ISBLANK($C297),"",AND($AL297,OR($AM297="",$AN297="",AND($AO297,$AP297=""))))</f>
        <v/>
      </c>
      <c r="BC297" s="94" t="str">
        <f aca="false">IF($BZ297&lt;&gt;Constants!$B$8,"",IF($AL297,Constants!$B$21*$AN297+Constants!$B$22*IF($AO297,$AP297,Constants!$B$23),Constants!$B$24))</f>
        <v/>
      </c>
      <c r="BD297" s="97" t="str">
        <f aca="false">IF($BZ297&lt;&gt;Constants!$B$8,"",Constants!$B$25*ABS($AD$9-IF($AL297,$AM297,0)))</f>
        <v/>
      </c>
      <c r="BE297" s="97" t="str">
        <f aca="false">IF($BZ297&lt;&gt;Constants!$B$8,"",IF(AND($AL297,$AQ297,$AO297),Constants!$B$27,0))</f>
        <v/>
      </c>
      <c r="BF297" s="97" t="str">
        <f aca="false">IF($BZ297&lt;&gt;Constants!$B$8,"",IF($AL297,($AI297-Constants!$B$29)*Constants!$B$28,0))</f>
        <v/>
      </c>
      <c r="BG297" s="97" t="str">
        <f aca="false">IF($BZ297&lt;&gt;Constants!$B$8,"",IF($AK297,0,Constants!$B$15)+IF($AJ297,0,Constants!$B$16)+IF($AH297,0,Constants!$B$17))</f>
        <v/>
      </c>
      <c r="BH297" s="98" t="str">
        <f aca="false">IF($BZ297&lt;&gt;Constants!$B$8,"",Constants!$B$20+SUM($BC297:$BG297))</f>
        <v/>
      </c>
      <c r="BI297" s="97" t="str">
        <f aca="false">IF($BZ297&lt;&gt;Constants!$B$8,"",$BC297)</f>
        <v/>
      </c>
      <c r="BJ297" s="97" t="str">
        <f aca="false">IF($BZ297&lt;&gt;Constants!$B$8,"",$BD297)</f>
        <v/>
      </c>
      <c r="BK297" s="97" t="str">
        <f aca="false">IF($BZ297&lt;&gt;Constants!$B$8,"",IF($AL297,$AN297,""))</f>
        <v/>
      </c>
      <c r="BL297" s="99" t="str">
        <f aca="false">IF($BZ297&lt;&gt;Constants!$B$8,"",$AI297)</f>
        <v/>
      </c>
      <c r="BM297" s="93" t="str">
        <f aca="false">IF($BZ297&lt;&gt;Constants!$B$8,"",IF(OR($BT297&lt;$BH297,AND($BT297=$BH297,OR($BU297&lt;$BI297,AND($BU297=$BI297,OR($BV297&lt;$BJ297,AND($BV297=$BJ297,OR(AND(ISNUMBER($BW297),OR(NOT(ISNUMBER($BK297)),$BW297&lt;$BK297)),AND(OR(AND($BW297="",$BK297=""),AND(ISNUMBER($BW297),ISNUMBER($BK297),$BW297=$BK297)),$BX297&lt;$BL297)))))))),"-&gt;","&lt;-"))</f>
        <v/>
      </c>
      <c r="BN297" s="92" t="str">
        <f aca="false">IF(ISBLANK($C297),"",AND($AT297,OR($AU297="",$AV297="",AND($AW297,$AX297=""))))</f>
        <v/>
      </c>
      <c r="BO297" s="94" t="str">
        <f aca="false">IF($BZ297&lt;&gt;Constants!$B$8,"",IF($AT297,Constants!$B$21*$AV297+Constants!$B$22*IF($AW297,$AX297,Constants!$B$23),Constants!$B$24))</f>
        <v/>
      </c>
      <c r="BP297" s="97" t="str">
        <f aca="false">IF($BZ297&lt;&gt;Constants!$B$8,"",Constants!$B$25*ABS($AD$9-IF($AT297,$AU297,0)))</f>
        <v/>
      </c>
      <c r="BQ297" s="97" t="str">
        <f aca="false">IF($BZ297&lt;&gt;Constants!$B$8,"",IF(AND($AT297,$AY297,$AW297),Constants!$B$27,0))</f>
        <v/>
      </c>
      <c r="BR297" s="97" t="str">
        <f aca="false">IF($BZ297&lt;&gt;Constants!$B$8,"",IF($AT297,($AI297-Constants!$B$29)*Constants!$B$28,0))</f>
        <v/>
      </c>
      <c r="BS297" s="97" t="str">
        <f aca="false">IF($BZ297&lt;&gt;Constants!$B$8,"",IF($AS297,0,Constants!$B$15)+IF($AR297,0,Constants!$B$16)+IF($AH297,0,Constants!$B$17))</f>
        <v/>
      </c>
      <c r="BT297" s="98" t="str">
        <f aca="false">IF($BZ297&lt;&gt;Constants!$B$8,"",Constants!$B$20+SUM($BO297:$BS297))</f>
        <v/>
      </c>
      <c r="BU297" s="97" t="str">
        <f aca="false">IF($BZ297&lt;&gt;Constants!$B$8,"",$BO297)</f>
        <v/>
      </c>
      <c r="BV297" s="97" t="str">
        <f aca="false">IF($BZ297&lt;&gt;Constants!$B$8,"",$BP297)</f>
        <v/>
      </c>
      <c r="BW297" s="97" t="str">
        <f aca="false">IF($BZ297&lt;&gt;Constants!$B$8,"",IF($AT297,$AV297,""))</f>
        <v/>
      </c>
      <c r="BX297" s="99" t="str">
        <f aca="false">IF($BZ297&lt;&gt;Constants!$B$8,"",$AI297)</f>
        <v/>
      </c>
      <c r="BY297" s="93" t="str">
        <f aca="false">IF(ISBLANK($C297),"",IF(ISBLANK($D$7),$BY$5,IF(NOT(ISNUMBER($D$7)),$BY$6,"")))</f>
        <v/>
      </c>
      <c r="BZ297" s="93" t="str">
        <f aca="false">IF(ISBLANK($C297),"",IF($BA297,Constants!$B$11,IF(COUNTA($E297:$AA297)=0,Constants!$B$10,IF(NOT($AG297),Constants!$B$9,IF(OR($BY297&lt;&gt;"",$BB297,$BN297),Constants!$B$12,Constants!$B$8)))))</f>
        <v/>
      </c>
      <c r="CA297" s="93" t="str">
        <f aca="false">IF(ISBLANK($C297),"",IF($BZ297&lt;&gt;Constants!$B$8,$BZ297,Constants!$B$13))</f>
        <v/>
      </c>
      <c r="CB297" s="97" t="str">
        <f aca="false">IF($BZ297&lt;&gt;Constants!$B$8,"",IF($BM297="-&gt;",$BT297,$BH297))</f>
        <v/>
      </c>
      <c r="CC297" s="97" t="str">
        <f aca="false">IF($BZ297&lt;&gt;Constants!$B$8,"",IF($AF297,0,Constants!$B$18))</f>
        <v/>
      </c>
      <c r="CD297" s="97" t="str">
        <f aca="false">IF($BZ297&lt;&gt;Constants!$B$8,"",((Constants!$B$31-$AZ297)-Constants!$B$31)/Constants!$B$32)</f>
        <v/>
      </c>
      <c r="CE297" s="97" t="str">
        <f aca="false">IF(ISBLANK($C297),"",IF($BZ297&lt;&gt;Constants!$B$8,$BZ297,SUM($CB297:$CD297)))</f>
        <v/>
      </c>
      <c r="CF297" s="93" t="str">
        <f aca="false">IF(ISBLANK($C297),"",IF($BZ297&lt;&gt;Constants!$B$8,$BZ297,RANK($CE297,$CE$9:$CE$508,1)))</f>
        <v/>
      </c>
      <c r="CG297" s="97" t="str">
        <f aca="false">IF($BZ297&lt;&gt;Constants!$B$8,"",IF($BM297="-&gt;",$BU297,$BI297))</f>
        <v/>
      </c>
      <c r="CH297" s="93" t="str">
        <f aca="false">IF(ISBLANK($C297),"",IF($BZ297&lt;&gt;Constants!$B$8,$BZ297,IF(ISNUMBER($CG297),RANK($CG297,$CG$9:$CG$508,1),COUNT($CG$9:$CG$508)+1)))</f>
        <v/>
      </c>
      <c r="CI297" s="97" t="str">
        <f aca="false">IF($BZ297&lt;&gt;Constants!$B$8,"",IF($BM297="-&gt;",$BV297,$BJ297))</f>
        <v/>
      </c>
      <c r="CJ297" s="93" t="str">
        <f aca="false">IF(ISBLANK($C297),"",IF($BZ297&lt;&gt;Constants!$B$8,$BZ297,IF(ISNUMBER($CI297),RANK($CI297,$CI$9:$CI$508,1),COUNT($CI$9:$CI$508)+1)))</f>
        <v/>
      </c>
      <c r="CK297" s="97" t="str">
        <f aca="false">IF($BZ297&lt;&gt;Constants!$B$8,"",IF($BM297="-&gt;",$BW297,$BK297))</f>
        <v/>
      </c>
      <c r="CL297" s="93" t="str">
        <f aca="false">IF(ISBLANK($C297),"",IF($BZ297&lt;&gt;Constants!$B$8,$BZ297,IF(ISNUMBER($CK297),RANK($CK297,$CK$9:$CK$508,1),COUNT($CK$9:$CK$508)+1)))</f>
        <v/>
      </c>
      <c r="CM297" s="97" t="str">
        <f aca="false">IF($BZ297&lt;&gt;Constants!$B$8,"",IF(AND(NOT($AL297),NOT($AT297),$AJ297,$AK297,$AR297,$AS297),"",IF($BM297="-&gt;",$BX297,$BL297)))</f>
        <v/>
      </c>
      <c r="CN297" s="93" t="str">
        <f aca="false">IF(ISBLANK($C297),"",IF($BZ297&lt;&gt;Constants!$B$8,$BZ297,IF(ISNUMBER($CM297),RANK($CM297,$CM$9:$CM$508,1),COUNT($CM$9:$CM$508)+1)))</f>
        <v/>
      </c>
      <c r="CO297" s="93" t="str">
        <f aca="false">IF(ISBLANK($C297),"",IF($BZ297&lt;&gt;Constants!$B$8,$BZ297,COUNTIFS($CF$9:$CF$508,"&lt;"&amp;$CF297)+COUNTIFS($CF$9:$CF$508,$CF297,$CH$9:$CH$508,"&lt;"&amp;$CH297)+COUNTIFS($CF$9:$CF$508,$CF297,$CH$9:$CH$508,$CH297,$CJ$9:$CJ$508,"&lt;"&amp;$CJ297)+COUNTIFS($CF$9:$CF$508,$CF297,$CH$9:$CH$508,$CH297,$CJ$9:$CJ$508,$CJ297,$CL$9:$CL$508,"&lt;"&amp;$CL297)+COUNTIFS($CF$9:$CF$508,$CF297,$CH$9:$CH$508,$CH297,$CJ$9:$CJ$508,$CJ297,$CL$9:$CL$508,$CL297,$CN$9:$CN$508,"&lt;"&amp;$CN297)+1))</f>
        <v/>
      </c>
      <c r="CP297" s="93" t="str">
        <f aca="false">IF(ISBLANK($C297),"",IF($BZ297&lt;&gt;Constants!$B$8,$BZ297,$CF297-$CO297))</f>
        <v/>
      </c>
      <c r="CQ297" s="100"/>
      <c r="CR297" s="101"/>
      <c r="CS297" s="102" t="str">
        <f aca="false">IF(ISBLANK($C297),"",IF($BZ297=Constants!$B$12,$BY297,""))</f>
        <v/>
      </c>
      <c r="CT297" s="101" t="str">
        <f aca="false">IF(ISBLANK($C297),"",IF($BZ297&lt;&gt;Constants!$B$8,"",IF($BM297="-&gt;",2,1)))</f>
        <v/>
      </c>
      <c r="CU297" s="103" t="str">
        <f aca="false">IF(ISBLANK($C297),"",IF($BZ297&lt;&gt;Constants!$B$8,"",IF($BM297="-&gt;",$BO297,$BC297)))</f>
        <v/>
      </c>
      <c r="CV297" s="103" t="str">
        <f aca="false">IF(ISBLANK($C297),"",IF($BZ297&lt;&gt;Constants!$B$8,"",IF($BM297="-&gt;",$BP297,$BD297)))</f>
        <v/>
      </c>
      <c r="CW297" s="103" t="str">
        <f aca="false">IF(ISBLANK($C297),"",IF($BZ297&lt;&gt;Constants!$B$8,"",IF($BM297="-&gt;",$BQ297+$BR297,$BE297+$BF297)+$CD297))</f>
        <v/>
      </c>
      <c r="CX297" s="103" t="str">
        <f aca="false">IF(ISBLANK($C297),"",IF($BZ297&lt;&gt;Constants!$B$8,"",IF($BM297="-&gt;",$BS297,$BG297)+$CC297))</f>
        <v/>
      </c>
      <c r="CY297" s="104" t="str">
        <f aca="false">IF(ISBLANK($C297),"",IF($BZ297&lt;&gt;Constants!$B$8,$BZ297,$CE297))</f>
        <v/>
      </c>
      <c r="CZ297" s="105" t="str">
        <f aca="false">IF(ISBLANK($C297),"",$CA297)</f>
        <v/>
      </c>
      <c r="DA297" s="106" t="str">
        <f aca="false">IF(ISBLANK($C297),"",$CP297)</f>
        <v/>
      </c>
      <c r="DB297" s="106" t="str">
        <f aca="false">IF(ISBLANK($C297),"",$CO297)</f>
        <v/>
      </c>
      <c r="DC297" s="107" t="str">
        <f aca="false">IF(ISBLANK($C297),"",IFERROR(_xlfn.SWITCH($DB297,Constants!$B$11,COUNTA($C$9:$C$508)+2,Constants!$B$10,COUNTA($C$9:$C$508)+1,Constants!$B$9,COUNTA($C$9:$C$508)),$DB297))</f>
        <v/>
      </c>
      <c r="DD297" s="9"/>
      <c r="DE297" s="108" t="n">
        <f aca="false">IF(OR(ISNUMBER($DB297),$DB297=Constants!$B$11,$DB297=Constants!$B$9,$DB297=Constants!$B$10),1,0)</f>
        <v>0</v>
      </c>
      <c r="DF297" s="108" t="n">
        <v>289</v>
      </c>
      <c r="DG297" s="108" t="str">
        <f aca="false">IF(ISBLANK($C297),"",IF(ISNUMBER($DC297),$DC297+ROW($B297)/1000,""))</f>
        <v/>
      </c>
      <c r="DH297" s="108" t="str">
        <f aca="false">IF(ISNUMBER($DG297),RANK($DG297,$DG$9:$DG$508,1),"")</f>
        <v/>
      </c>
      <c r="DI297" s="108" t="str">
        <f aca="false">IF(ISBLANK($C297),"",$B297)</f>
        <v/>
      </c>
      <c r="DJ297" s="108" t="str">
        <f aca="false">IF(ISBLANK($C297),"",$C297)</f>
        <v/>
      </c>
      <c r="DK297" s="108" t="str">
        <f aca="false">IF(ISBLANK($C297),"",$D297)</f>
        <v/>
      </c>
      <c r="DL297" s="109" t="str">
        <f aca="false">$CZ297</f>
        <v/>
      </c>
      <c r="DM297" s="110" t="str">
        <f aca="false">$CY297</f>
        <v/>
      </c>
      <c r="DN297" s="108" t="str">
        <f aca="false">IF(ISBLANK($C297),"",$DB297)</f>
        <v/>
      </c>
      <c r="DO297" s="111" t="str">
        <f aca="false">IF($DF297&gt;$DE$8,"",VLOOKUP($DF297,$DH$9:$DN$508,7,FALSE()))</f>
        <v/>
      </c>
      <c r="DP297" s="112" t="str">
        <f aca="false">IF($DF297&gt;$DE$8,"",VLOOKUP($DF297,$DH$9:$DN$508,2,FALSE()))</f>
        <v/>
      </c>
      <c r="DQ297" s="112" t="str">
        <f aca="false">IF($DF297&gt;$DE$8,"",VLOOKUP($DF297,$DH$9:$DN$508,3,FALSE()))</f>
        <v/>
      </c>
      <c r="DR297" s="112" t="str">
        <f aca="false">IF($DF297&gt;$DE$8,"",VLOOKUP($DF297,$DH$9:$DN$508,4,FALSE()))</f>
        <v/>
      </c>
      <c r="DS297" s="112" t="str">
        <f aca="false">IF($DF297&gt;$DE$8,"",VLOOKUP($DF297,$DH$9:$DN$508,5,FALSE()))</f>
        <v/>
      </c>
      <c r="DT297" s="113" t="str">
        <f aca="false">IF($DF297&gt;$DE$8,"",VLOOKUP($DF297,$DH$9:$DN$508,6,FALSE()))</f>
        <v/>
      </c>
      <c r="DU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IF(ISBLANK($C298),"",IF(E298=Constants!$B$3,TRUE(),IF(E298=Constants!$B$4,FALSE(),TRUE())))</f>
        <v/>
      </c>
      <c r="AG298" s="93" t="str">
        <f aca="false">IF(ISBLANK($C298),"",IF(F298=Constants!$B$3,TRUE(),IF(F298=Constants!$B$4,FALSE(),TRUE())))</f>
        <v/>
      </c>
      <c r="AH298" s="93" t="str">
        <f aca="false">IF(ISBLANK($C298),"",IF(G298=Constants!$B$3,TRUE(),IF(G298=Constants!$B$4,FALSE(),TRUE())))</f>
        <v/>
      </c>
      <c r="AI298" s="93" t="str">
        <f aca="false">IF(ISBLANK($C298),"",IF(AND(ISNUMBER(H298),H298&gt;=0),H298,Constants!$B$29))</f>
        <v/>
      </c>
      <c r="AJ298" s="93" t="str">
        <f aca="false">IF(ISBLANK($C298),"",IF(I298=Constants!$B$3,TRUE(),IF(I298=Constants!$B$4,FALSE(),TRUE())))</f>
        <v/>
      </c>
      <c r="AK298" s="93" t="str">
        <f aca="false">IF(ISBLANK($C298),"",IF(J298=Constants!$B$3,TRUE(),IF(J298=Constants!$B$4,FALSE(),TRUE())))</f>
        <v/>
      </c>
      <c r="AL298" s="93" t="str">
        <f aca="false">IF(ISBLANK($C298),"",IF(K298=Constants!$B$5,TRUE(),IF(K298=Constants!$B$6,FALSE(),COUNTA(L298:P298)&gt;0)))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IF(ISBLANK($C298),"",IF(N298=Constants!$B$3,TRUE(),IF(N298=Constants!$B$4,FALSE(),TRUE())))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IF(ISBLANK($C298),"",IF(P298=Constants!$B$3,TRUE(),IF(P298=Constants!$B$4,FALSE(),FALSE())))</f>
        <v/>
      </c>
      <c r="AR298" s="93" t="str">
        <f aca="false">IF(ISBLANK($C298),"",IF(Q298=Constants!$B$3,TRUE(),IF(Q298=Constants!$B$4,FALSE(),TRUE())))</f>
        <v/>
      </c>
      <c r="AS298" s="93" t="str">
        <f aca="false">IF(ISBLANK($C298),"",IF(R298=Constants!$B$3,TRUE(),IF(R298=Constants!$B$4,FALSE(),TRUE())))</f>
        <v/>
      </c>
      <c r="AT298" s="93" t="str">
        <f aca="false">IF(ISBLANK($C298),"",IF(S298=Constants!$B$5,TRUE(),IF(S298=Constants!$B$6,FALSE(),COUNTA(T298:X298)&gt;0)))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IF(ISBLANK($C298),"",IF(V298=Constants!$B$3,TRUE(),IF(V298=Constants!$B$4,FALSE(),TRUE())))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IF(ISBLANK($C298),"",IF(X298=Constants!$B$3,TRUE(),IF(X298=Constants!$B$4,FALSE(),FALSE())))</f>
        <v/>
      </c>
      <c r="AZ298" s="93" t="str">
        <f aca="false">IF(ISBLANK($C298),"",MIN(Constants!$B$31,MAX(0,IF(ISNUMBER(Y298),Y298*60,0)+IF(ISNUMBER(Z298),Z298,0))))</f>
        <v/>
      </c>
      <c r="BA298" s="93" t="str">
        <f aca="false">IF(ISBLANK($C298),"",IF(AA298=Constants!$B$3,TRUE(),IF(AA298=Constants!$B$4,FALSE(),FALSE())))</f>
        <v/>
      </c>
      <c r="BB298" s="92" t="str">
        <f aca="false">IF(ISBLANK($C298),"",AND($AL298,OR($AM298="",$AN298="",AND($AO298,$AP298=""))))</f>
        <v/>
      </c>
      <c r="BC298" s="94" t="str">
        <f aca="false">IF($BZ298&lt;&gt;Constants!$B$8,"",IF($AL298,Constants!$B$21*$AN298+Constants!$B$22*IF($AO298,$AP298,Constants!$B$23),Constants!$B$24))</f>
        <v/>
      </c>
      <c r="BD298" s="97" t="str">
        <f aca="false">IF($BZ298&lt;&gt;Constants!$B$8,"",Constants!$B$25*ABS($AD$9-IF($AL298,$AM298,0)))</f>
        <v/>
      </c>
      <c r="BE298" s="97" t="str">
        <f aca="false">IF($BZ298&lt;&gt;Constants!$B$8,"",IF(AND($AL298,$AQ298,$AO298),Constants!$B$27,0))</f>
        <v/>
      </c>
      <c r="BF298" s="97" t="str">
        <f aca="false">IF($BZ298&lt;&gt;Constants!$B$8,"",IF($AL298,($AI298-Constants!$B$29)*Constants!$B$28,0))</f>
        <v/>
      </c>
      <c r="BG298" s="97" t="str">
        <f aca="false">IF($BZ298&lt;&gt;Constants!$B$8,"",IF($AK298,0,Constants!$B$15)+IF($AJ298,0,Constants!$B$16)+IF($AH298,0,Constants!$B$17))</f>
        <v/>
      </c>
      <c r="BH298" s="98" t="str">
        <f aca="false">IF($BZ298&lt;&gt;Constants!$B$8,"",Constants!$B$20+SUM($BC298:$BG298))</f>
        <v/>
      </c>
      <c r="BI298" s="97" t="str">
        <f aca="false">IF($BZ298&lt;&gt;Constants!$B$8,"",$BC298)</f>
        <v/>
      </c>
      <c r="BJ298" s="97" t="str">
        <f aca="false">IF($BZ298&lt;&gt;Constants!$B$8,"",$BD298)</f>
        <v/>
      </c>
      <c r="BK298" s="97" t="str">
        <f aca="false">IF($BZ298&lt;&gt;Constants!$B$8,"",IF($AL298,$AN298,""))</f>
        <v/>
      </c>
      <c r="BL298" s="99" t="str">
        <f aca="false">IF($BZ298&lt;&gt;Constants!$B$8,"",$AI298)</f>
        <v/>
      </c>
      <c r="BM298" s="93" t="str">
        <f aca="false">IF($BZ298&lt;&gt;Constants!$B$8,"",IF(OR($BT298&lt;$BH298,AND($BT298=$BH298,OR($BU298&lt;$BI298,AND($BU298=$BI298,OR($BV298&lt;$BJ298,AND($BV298=$BJ298,OR(AND(ISNUMBER($BW298),OR(NOT(ISNUMBER($BK298)),$BW298&lt;$BK298)),AND(OR(AND($BW298="",$BK298=""),AND(ISNUMBER($BW298),ISNUMBER($BK298),$BW298=$BK298)),$BX298&lt;$BL298)))))))),"-&gt;","&lt;-"))</f>
        <v/>
      </c>
      <c r="BN298" s="92" t="str">
        <f aca="false">IF(ISBLANK($C298),"",AND($AT298,OR($AU298="",$AV298="",AND($AW298,$AX298=""))))</f>
        <v/>
      </c>
      <c r="BO298" s="94" t="str">
        <f aca="false">IF($BZ298&lt;&gt;Constants!$B$8,"",IF($AT298,Constants!$B$21*$AV298+Constants!$B$22*IF($AW298,$AX298,Constants!$B$23),Constants!$B$24))</f>
        <v/>
      </c>
      <c r="BP298" s="97" t="str">
        <f aca="false">IF($BZ298&lt;&gt;Constants!$B$8,"",Constants!$B$25*ABS($AD$9-IF($AT298,$AU298,0)))</f>
        <v/>
      </c>
      <c r="BQ298" s="97" t="str">
        <f aca="false">IF($BZ298&lt;&gt;Constants!$B$8,"",IF(AND($AT298,$AY298,$AW298),Constants!$B$27,0))</f>
        <v/>
      </c>
      <c r="BR298" s="97" t="str">
        <f aca="false">IF($BZ298&lt;&gt;Constants!$B$8,"",IF($AT298,($AI298-Constants!$B$29)*Constants!$B$28,0))</f>
        <v/>
      </c>
      <c r="BS298" s="97" t="str">
        <f aca="false">IF($BZ298&lt;&gt;Constants!$B$8,"",IF($AS298,0,Constants!$B$15)+IF($AR298,0,Constants!$B$16)+IF($AH298,0,Constants!$B$17))</f>
        <v/>
      </c>
      <c r="BT298" s="98" t="str">
        <f aca="false">IF($BZ298&lt;&gt;Constants!$B$8,"",Constants!$B$20+SUM($BO298:$BS298))</f>
        <v/>
      </c>
      <c r="BU298" s="97" t="str">
        <f aca="false">IF($BZ298&lt;&gt;Constants!$B$8,"",$BO298)</f>
        <v/>
      </c>
      <c r="BV298" s="97" t="str">
        <f aca="false">IF($BZ298&lt;&gt;Constants!$B$8,"",$BP298)</f>
        <v/>
      </c>
      <c r="BW298" s="97" t="str">
        <f aca="false">IF($BZ298&lt;&gt;Constants!$B$8,"",IF($AT298,$AV298,""))</f>
        <v/>
      </c>
      <c r="BX298" s="99" t="str">
        <f aca="false">IF($BZ298&lt;&gt;Constants!$B$8,"",$AI298)</f>
        <v/>
      </c>
      <c r="BY298" s="93" t="str">
        <f aca="false">IF(ISBLANK($C298),"",IF(ISBLANK($D$7),$BY$5,IF(NOT(ISNUMBER($D$7)),$BY$6,"")))</f>
        <v/>
      </c>
      <c r="BZ298" s="93" t="str">
        <f aca="false">IF(ISBLANK($C298),"",IF($BA298,Constants!$B$11,IF(COUNTA($E298:$AA298)=0,Constants!$B$10,IF(NOT($AG298),Constants!$B$9,IF(OR($BY298&lt;&gt;"",$BB298,$BN298),Constants!$B$12,Constants!$B$8)))))</f>
        <v/>
      </c>
      <c r="CA298" s="93" t="str">
        <f aca="false">IF(ISBLANK($C298),"",IF($BZ298&lt;&gt;Constants!$B$8,$BZ298,Constants!$B$13))</f>
        <v/>
      </c>
      <c r="CB298" s="97" t="str">
        <f aca="false">IF($BZ298&lt;&gt;Constants!$B$8,"",IF($BM298="-&gt;",$BT298,$BH298))</f>
        <v/>
      </c>
      <c r="CC298" s="97" t="str">
        <f aca="false">IF($BZ298&lt;&gt;Constants!$B$8,"",IF($AF298,0,Constants!$B$18))</f>
        <v/>
      </c>
      <c r="CD298" s="97" t="str">
        <f aca="false">IF($BZ298&lt;&gt;Constants!$B$8,"",((Constants!$B$31-$AZ298)-Constants!$B$31)/Constants!$B$32)</f>
        <v/>
      </c>
      <c r="CE298" s="97" t="str">
        <f aca="false">IF(ISBLANK($C298),"",IF($BZ298&lt;&gt;Constants!$B$8,$BZ298,SUM($CB298:$CD298)))</f>
        <v/>
      </c>
      <c r="CF298" s="93" t="str">
        <f aca="false">IF(ISBLANK($C298),"",IF($BZ298&lt;&gt;Constants!$B$8,$BZ298,RANK($CE298,$CE$9:$CE$508,1)))</f>
        <v/>
      </c>
      <c r="CG298" s="97" t="str">
        <f aca="false">IF($BZ298&lt;&gt;Constants!$B$8,"",IF($BM298="-&gt;",$BU298,$BI298))</f>
        <v/>
      </c>
      <c r="CH298" s="93" t="str">
        <f aca="false">IF(ISBLANK($C298),"",IF($BZ298&lt;&gt;Constants!$B$8,$BZ298,IF(ISNUMBER($CG298),RANK($CG298,$CG$9:$CG$508,1),COUNT($CG$9:$CG$508)+1)))</f>
        <v/>
      </c>
      <c r="CI298" s="97" t="str">
        <f aca="false">IF($BZ298&lt;&gt;Constants!$B$8,"",IF($BM298="-&gt;",$BV298,$BJ298))</f>
        <v/>
      </c>
      <c r="CJ298" s="93" t="str">
        <f aca="false">IF(ISBLANK($C298),"",IF($BZ298&lt;&gt;Constants!$B$8,$BZ298,IF(ISNUMBER($CI298),RANK($CI298,$CI$9:$CI$508,1),COUNT($CI$9:$CI$508)+1)))</f>
        <v/>
      </c>
      <c r="CK298" s="97" t="str">
        <f aca="false">IF($BZ298&lt;&gt;Constants!$B$8,"",IF($BM298="-&gt;",$BW298,$BK298))</f>
        <v/>
      </c>
      <c r="CL298" s="93" t="str">
        <f aca="false">IF(ISBLANK($C298),"",IF($BZ298&lt;&gt;Constants!$B$8,$BZ298,IF(ISNUMBER($CK298),RANK($CK298,$CK$9:$CK$508,1),COUNT($CK$9:$CK$508)+1)))</f>
        <v/>
      </c>
      <c r="CM298" s="97" t="str">
        <f aca="false">IF($BZ298&lt;&gt;Constants!$B$8,"",IF(AND(NOT($AL298),NOT($AT298),$AJ298,$AK298,$AR298,$AS298),"",IF($BM298="-&gt;",$BX298,$BL298)))</f>
        <v/>
      </c>
      <c r="CN298" s="93" t="str">
        <f aca="false">IF(ISBLANK($C298),"",IF($BZ298&lt;&gt;Constants!$B$8,$BZ298,IF(ISNUMBER($CM298),RANK($CM298,$CM$9:$CM$508,1),COUNT($CM$9:$CM$508)+1)))</f>
        <v/>
      </c>
      <c r="CO298" s="93" t="str">
        <f aca="false">IF(ISBLANK($C298),"",IF($BZ298&lt;&gt;Constants!$B$8,$BZ298,COUNTIFS($CF$9:$CF$508,"&lt;"&amp;$CF298)+COUNTIFS($CF$9:$CF$508,$CF298,$CH$9:$CH$508,"&lt;"&amp;$CH298)+COUNTIFS($CF$9:$CF$508,$CF298,$CH$9:$CH$508,$CH298,$CJ$9:$CJ$508,"&lt;"&amp;$CJ298)+COUNTIFS($CF$9:$CF$508,$CF298,$CH$9:$CH$508,$CH298,$CJ$9:$CJ$508,$CJ298,$CL$9:$CL$508,"&lt;"&amp;$CL298)+COUNTIFS($CF$9:$CF$508,$CF298,$CH$9:$CH$508,$CH298,$CJ$9:$CJ$508,$CJ298,$CL$9:$CL$508,$CL298,$CN$9:$CN$508,"&lt;"&amp;$CN298)+1))</f>
        <v/>
      </c>
      <c r="CP298" s="93" t="str">
        <f aca="false">IF(ISBLANK($C298),"",IF($BZ298&lt;&gt;Constants!$B$8,$BZ298,$CF298-$CO298))</f>
        <v/>
      </c>
      <c r="CQ298" s="100"/>
      <c r="CR298" s="101"/>
      <c r="CS298" s="102" t="str">
        <f aca="false">IF(ISBLANK($C298),"",IF($BZ298=Constants!$B$12,$BY298,""))</f>
        <v/>
      </c>
      <c r="CT298" s="101" t="str">
        <f aca="false">IF(ISBLANK($C298),"",IF($BZ298&lt;&gt;Constants!$B$8,"",IF($BM298="-&gt;",2,1)))</f>
        <v/>
      </c>
      <c r="CU298" s="103" t="str">
        <f aca="false">IF(ISBLANK($C298),"",IF($BZ298&lt;&gt;Constants!$B$8,"",IF($BM298="-&gt;",$BO298,$BC298)))</f>
        <v/>
      </c>
      <c r="CV298" s="103" t="str">
        <f aca="false">IF(ISBLANK($C298),"",IF($BZ298&lt;&gt;Constants!$B$8,"",IF($BM298="-&gt;",$BP298,$BD298)))</f>
        <v/>
      </c>
      <c r="CW298" s="103" t="str">
        <f aca="false">IF(ISBLANK($C298),"",IF($BZ298&lt;&gt;Constants!$B$8,"",IF($BM298="-&gt;",$BQ298+$BR298,$BE298+$BF298)+$CD298))</f>
        <v/>
      </c>
      <c r="CX298" s="103" t="str">
        <f aca="false">IF(ISBLANK($C298),"",IF($BZ298&lt;&gt;Constants!$B$8,"",IF($BM298="-&gt;",$BS298,$BG298)+$CC298))</f>
        <v/>
      </c>
      <c r="CY298" s="104" t="str">
        <f aca="false">IF(ISBLANK($C298),"",IF($BZ298&lt;&gt;Constants!$B$8,$BZ298,$CE298))</f>
        <v/>
      </c>
      <c r="CZ298" s="105" t="str">
        <f aca="false">IF(ISBLANK($C298),"",$CA298)</f>
        <v/>
      </c>
      <c r="DA298" s="106" t="str">
        <f aca="false">IF(ISBLANK($C298),"",$CP298)</f>
        <v/>
      </c>
      <c r="DB298" s="106" t="str">
        <f aca="false">IF(ISBLANK($C298),"",$CO298)</f>
        <v/>
      </c>
      <c r="DC298" s="107" t="str">
        <f aca="false">IF(ISBLANK($C298),"",IFERROR(_xlfn.SWITCH($DB298,Constants!$B$11,COUNTA($C$9:$C$508)+2,Constants!$B$10,COUNTA($C$9:$C$508)+1,Constants!$B$9,COUNTA($C$9:$C$508)),$DB298))</f>
        <v/>
      </c>
      <c r="DD298" s="9"/>
      <c r="DE298" s="108" t="n">
        <f aca="false">IF(OR(ISNUMBER($DB298),$DB298=Constants!$B$11,$DB298=Constants!$B$9,$DB298=Constants!$B$10),1,0)</f>
        <v>0</v>
      </c>
      <c r="DF298" s="108" t="n">
        <v>290</v>
      </c>
      <c r="DG298" s="108" t="str">
        <f aca="false">IF(ISBLANK($C298),"",IF(ISNUMBER($DC298),$DC298+ROW($B298)/1000,""))</f>
        <v/>
      </c>
      <c r="DH298" s="108" t="str">
        <f aca="false">IF(ISNUMBER($DG298),RANK($DG298,$DG$9:$DG$508,1),"")</f>
        <v/>
      </c>
      <c r="DI298" s="108" t="str">
        <f aca="false">IF(ISBLANK($C298),"",$B298)</f>
        <v/>
      </c>
      <c r="DJ298" s="108" t="str">
        <f aca="false">IF(ISBLANK($C298),"",$C298)</f>
        <v/>
      </c>
      <c r="DK298" s="108" t="str">
        <f aca="false">IF(ISBLANK($C298),"",$D298)</f>
        <v/>
      </c>
      <c r="DL298" s="109" t="str">
        <f aca="false">$CZ298</f>
        <v/>
      </c>
      <c r="DM298" s="110" t="str">
        <f aca="false">$CY298</f>
        <v/>
      </c>
      <c r="DN298" s="108" t="str">
        <f aca="false">IF(ISBLANK($C298),"",$DB298)</f>
        <v/>
      </c>
      <c r="DO298" s="111" t="str">
        <f aca="false">IF($DF298&gt;$DE$8,"",VLOOKUP($DF298,$DH$9:$DN$508,7,FALSE()))</f>
        <v/>
      </c>
      <c r="DP298" s="112" t="str">
        <f aca="false">IF($DF298&gt;$DE$8,"",VLOOKUP($DF298,$DH$9:$DN$508,2,FALSE()))</f>
        <v/>
      </c>
      <c r="DQ298" s="112" t="str">
        <f aca="false">IF($DF298&gt;$DE$8,"",VLOOKUP($DF298,$DH$9:$DN$508,3,FALSE()))</f>
        <v/>
      </c>
      <c r="DR298" s="112" t="str">
        <f aca="false">IF($DF298&gt;$DE$8,"",VLOOKUP($DF298,$DH$9:$DN$508,4,FALSE()))</f>
        <v/>
      </c>
      <c r="DS298" s="112" t="str">
        <f aca="false">IF($DF298&gt;$DE$8,"",VLOOKUP($DF298,$DH$9:$DN$508,5,FALSE()))</f>
        <v/>
      </c>
      <c r="DT298" s="113" t="str">
        <f aca="false">IF($DF298&gt;$DE$8,"",VLOOKUP($DF298,$DH$9:$DN$508,6,FALSE()))</f>
        <v/>
      </c>
      <c r="DU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IF(ISBLANK($C299),"",IF(E299=Constants!$B$3,TRUE(),IF(E299=Constants!$B$4,FALSE(),TRUE())))</f>
        <v/>
      </c>
      <c r="AG299" s="93" t="str">
        <f aca="false">IF(ISBLANK($C299),"",IF(F299=Constants!$B$3,TRUE(),IF(F299=Constants!$B$4,FALSE(),TRUE())))</f>
        <v/>
      </c>
      <c r="AH299" s="93" t="str">
        <f aca="false">IF(ISBLANK($C299),"",IF(G299=Constants!$B$3,TRUE(),IF(G299=Constants!$B$4,FALSE(),TRUE())))</f>
        <v/>
      </c>
      <c r="AI299" s="93" t="str">
        <f aca="false">IF(ISBLANK($C299),"",IF(AND(ISNUMBER(H299),H299&gt;=0),H299,Constants!$B$29))</f>
        <v/>
      </c>
      <c r="AJ299" s="93" t="str">
        <f aca="false">IF(ISBLANK($C299),"",IF(I299=Constants!$B$3,TRUE(),IF(I299=Constants!$B$4,FALSE(),TRUE())))</f>
        <v/>
      </c>
      <c r="AK299" s="93" t="str">
        <f aca="false">IF(ISBLANK($C299),"",IF(J299=Constants!$B$3,TRUE(),IF(J299=Constants!$B$4,FALSE(),TRUE())))</f>
        <v/>
      </c>
      <c r="AL299" s="93" t="str">
        <f aca="false">IF(ISBLANK($C299),"",IF(K299=Constants!$B$5,TRUE(),IF(K299=Constants!$B$6,FALSE(),COUNTA(L299:P299)&gt;0)))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IF(ISBLANK($C299),"",IF(N299=Constants!$B$3,TRUE(),IF(N299=Constants!$B$4,FALSE(),TRUE())))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IF(ISBLANK($C299),"",IF(P299=Constants!$B$3,TRUE(),IF(P299=Constants!$B$4,FALSE(),FALSE())))</f>
        <v/>
      </c>
      <c r="AR299" s="93" t="str">
        <f aca="false">IF(ISBLANK($C299),"",IF(Q299=Constants!$B$3,TRUE(),IF(Q299=Constants!$B$4,FALSE(),TRUE())))</f>
        <v/>
      </c>
      <c r="AS299" s="93" t="str">
        <f aca="false">IF(ISBLANK($C299),"",IF(R299=Constants!$B$3,TRUE(),IF(R299=Constants!$B$4,FALSE(),TRUE())))</f>
        <v/>
      </c>
      <c r="AT299" s="93" t="str">
        <f aca="false">IF(ISBLANK($C299),"",IF(S299=Constants!$B$5,TRUE(),IF(S299=Constants!$B$6,FALSE(),COUNTA(T299:X299)&gt;0)))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IF(ISBLANK($C299),"",IF(V299=Constants!$B$3,TRUE(),IF(V299=Constants!$B$4,FALSE(),TRUE())))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IF(ISBLANK($C299),"",IF(X299=Constants!$B$3,TRUE(),IF(X299=Constants!$B$4,FALSE(),FALSE())))</f>
        <v/>
      </c>
      <c r="AZ299" s="93" t="str">
        <f aca="false">IF(ISBLANK($C299),"",MIN(Constants!$B$31,MAX(0,IF(ISNUMBER(Y299),Y299*60,0)+IF(ISNUMBER(Z299),Z299,0))))</f>
        <v/>
      </c>
      <c r="BA299" s="93" t="str">
        <f aca="false">IF(ISBLANK($C299),"",IF(AA299=Constants!$B$3,TRUE(),IF(AA299=Constants!$B$4,FALSE(),FALSE())))</f>
        <v/>
      </c>
      <c r="BB299" s="92" t="str">
        <f aca="false">IF(ISBLANK($C299),"",AND($AL299,OR($AM299="",$AN299="",AND($AO299,$AP299=""))))</f>
        <v/>
      </c>
      <c r="BC299" s="94" t="str">
        <f aca="false">IF($BZ299&lt;&gt;Constants!$B$8,"",IF($AL299,Constants!$B$21*$AN299+Constants!$B$22*IF($AO299,$AP299,Constants!$B$23),Constants!$B$24))</f>
        <v/>
      </c>
      <c r="BD299" s="97" t="str">
        <f aca="false">IF($BZ299&lt;&gt;Constants!$B$8,"",Constants!$B$25*ABS($AD$9-IF($AL299,$AM299,0)))</f>
        <v/>
      </c>
      <c r="BE299" s="97" t="str">
        <f aca="false">IF($BZ299&lt;&gt;Constants!$B$8,"",IF(AND($AL299,$AQ299,$AO299),Constants!$B$27,0))</f>
        <v/>
      </c>
      <c r="BF299" s="97" t="str">
        <f aca="false">IF($BZ299&lt;&gt;Constants!$B$8,"",IF($AL299,($AI299-Constants!$B$29)*Constants!$B$28,0))</f>
        <v/>
      </c>
      <c r="BG299" s="97" t="str">
        <f aca="false">IF($BZ299&lt;&gt;Constants!$B$8,"",IF($AK299,0,Constants!$B$15)+IF($AJ299,0,Constants!$B$16)+IF($AH299,0,Constants!$B$17))</f>
        <v/>
      </c>
      <c r="BH299" s="98" t="str">
        <f aca="false">IF($BZ299&lt;&gt;Constants!$B$8,"",Constants!$B$20+SUM($BC299:$BG299))</f>
        <v/>
      </c>
      <c r="BI299" s="97" t="str">
        <f aca="false">IF($BZ299&lt;&gt;Constants!$B$8,"",$BC299)</f>
        <v/>
      </c>
      <c r="BJ299" s="97" t="str">
        <f aca="false">IF($BZ299&lt;&gt;Constants!$B$8,"",$BD299)</f>
        <v/>
      </c>
      <c r="BK299" s="97" t="str">
        <f aca="false">IF($BZ299&lt;&gt;Constants!$B$8,"",IF($AL299,$AN299,""))</f>
        <v/>
      </c>
      <c r="BL299" s="99" t="str">
        <f aca="false">IF($BZ299&lt;&gt;Constants!$B$8,"",$AI299)</f>
        <v/>
      </c>
      <c r="BM299" s="93" t="str">
        <f aca="false">IF($BZ299&lt;&gt;Constants!$B$8,"",IF(OR($BT299&lt;$BH299,AND($BT299=$BH299,OR($BU299&lt;$BI299,AND($BU299=$BI299,OR($BV299&lt;$BJ299,AND($BV299=$BJ299,OR(AND(ISNUMBER($BW299),OR(NOT(ISNUMBER($BK299)),$BW299&lt;$BK299)),AND(OR(AND($BW299="",$BK299=""),AND(ISNUMBER($BW299),ISNUMBER($BK299),$BW299=$BK299)),$BX299&lt;$BL299)))))))),"-&gt;","&lt;-"))</f>
        <v/>
      </c>
      <c r="BN299" s="92" t="str">
        <f aca="false">IF(ISBLANK($C299),"",AND($AT299,OR($AU299="",$AV299="",AND($AW299,$AX299=""))))</f>
        <v/>
      </c>
      <c r="BO299" s="94" t="str">
        <f aca="false">IF($BZ299&lt;&gt;Constants!$B$8,"",IF($AT299,Constants!$B$21*$AV299+Constants!$B$22*IF($AW299,$AX299,Constants!$B$23),Constants!$B$24))</f>
        <v/>
      </c>
      <c r="BP299" s="97" t="str">
        <f aca="false">IF($BZ299&lt;&gt;Constants!$B$8,"",Constants!$B$25*ABS($AD$9-IF($AT299,$AU299,0)))</f>
        <v/>
      </c>
      <c r="BQ299" s="97" t="str">
        <f aca="false">IF($BZ299&lt;&gt;Constants!$B$8,"",IF(AND($AT299,$AY299,$AW299),Constants!$B$27,0))</f>
        <v/>
      </c>
      <c r="BR299" s="97" t="str">
        <f aca="false">IF($BZ299&lt;&gt;Constants!$B$8,"",IF($AT299,($AI299-Constants!$B$29)*Constants!$B$28,0))</f>
        <v/>
      </c>
      <c r="BS299" s="97" t="str">
        <f aca="false">IF($BZ299&lt;&gt;Constants!$B$8,"",IF($AS299,0,Constants!$B$15)+IF($AR299,0,Constants!$B$16)+IF($AH299,0,Constants!$B$17))</f>
        <v/>
      </c>
      <c r="BT299" s="98" t="str">
        <f aca="false">IF($BZ299&lt;&gt;Constants!$B$8,"",Constants!$B$20+SUM($BO299:$BS299))</f>
        <v/>
      </c>
      <c r="BU299" s="97" t="str">
        <f aca="false">IF($BZ299&lt;&gt;Constants!$B$8,"",$BO299)</f>
        <v/>
      </c>
      <c r="BV299" s="97" t="str">
        <f aca="false">IF($BZ299&lt;&gt;Constants!$B$8,"",$BP299)</f>
        <v/>
      </c>
      <c r="BW299" s="97" t="str">
        <f aca="false">IF($BZ299&lt;&gt;Constants!$B$8,"",IF($AT299,$AV299,""))</f>
        <v/>
      </c>
      <c r="BX299" s="99" t="str">
        <f aca="false">IF($BZ299&lt;&gt;Constants!$B$8,"",$AI299)</f>
        <v/>
      </c>
      <c r="BY299" s="93" t="str">
        <f aca="false">IF(ISBLANK($C299),"",IF(ISBLANK($D$7),$BY$5,IF(NOT(ISNUMBER($D$7)),$BY$6,"")))</f>
        <v/>
      </c>
      <c r="BZ299" s="93" t="str">
        <f aca="false">IF(ISBLANK($C299),"",IF($BA299,Constants!$B$11,IF(COUNTA($E299:$AA299)=0,Constants!$B$10,IF(NOT($AG299),Constants!$B$9,IF(OR($BY299&lt;&gt;"",$BB299,$BN299),Constants!$B$12,Constants!$B$8)))))</f>
        <v/>
      </c>
      <c r="CA299" s="93" t="str">
        <f aca="false">IF(ISBLANK($C299),"",IF($BZ299&lt;&gt;Constants!$B$8,$BZ299,Constants!$B$13))</f>
        <v/>
      </c>
      <c r="CB299" s="97" t="str">
        <f aca="false">IF($BZ299&lt;&gt;Constants!$B$8,"",IF($BM299="-&gt;",$BT299,$BH299))</f>
        <v/>
      </c>
      <c r="CC299" s="97" t="str">
        <f aca="false">IF($BZ299&lt;&gt;Constants!$B$8,"",IF($AF299,0,Constants!$B$18))</f>
        <v/>
      </c>
      <c r="CD299" s="97" t="str">
        <f aca="false">IF($BZ299&lt;&gt;Constants!$B$8,"",((Constants!$B$31-$AZ299)-Constants!$B$31)/Constants!$B$32)</f>
        <v/>
      </c>
      <c r="CE299" s="97" t="str">
        <f aca="false">IF(ISBLANK($C299),"",IF($BZ299&lt;&gt;Constants!$B$8,$BZ299,SUM($CB299:$CD299)))</f>
        <v/>
      </c>
      <c r="CF299" s="93" t="str">
        <f aca="false">IF(ISBLANK($C299),"",IF($BZ299&lt;&gt;Constants!$B$8,$BZ299,RANK($CE299,$CE$9:$CE$508,1)))</f>
        <v/>
      </c>
      <c r="CG299" s="97" t="str">
        <f aca="false">IF($BZ299&lt;&gt;Constants!$B$8,"",IF($BM299="-&gt;",$BU299,$BI299))</f>
        <v/>
      </c>
      <c r="CH299" s="93" t="str">
        <f aca="false">IF(ISBLANK($C299),"",IF($BZ299&lt;&gt;Constants!$B$8,$BZ299,IF(ISNUMBER($CG299),RANK($CG299,$CG$9:$CG$508,1),COUNT($CG$9:$CG$508)+1)))</f>
        <v/>
      </c>
      <c r="CI299" s="97" t="str">
        <f aca="false">IF($BZ299&lt;&gt;Constants!$B$8,"",IF($BM299="-&gt;",$BV299,$BJ299))</f>
        <v/>
      </c>
      <c r="CJ299" s="93" t="str">
        <f aca="false">IF(ISBLANK($C299),"",IF($BZ299&lt;&gt;Constants!$B$8,$BZ299,IF(ISNUMBER($CI299),RANK($CI299,$CI$9:$CI$508,1),COUNT($CI$9:$CI$508)+1)))</f>
        <v/>
      </c>
      <c r="CK299" s="97" t="str">
        <f aca="false">IF($BZ299&lt;&gt;Constants!$B$8,"",IF($BM299="-&gt;",$BW299,$BK299))</f>
        <v/>
      </c>
      <c r="CL299" s="93" t="str">
        <f aca="false">IF(ISBLANK($C299),"",IF($BZ299&lt;&gt;Constants!$B$8,$BZ299,IF(ISNUMBER($CK299),RANK($CK299,$CK$9:$CK$508,1),COUNT($CK$9:$CK$508)+1)))</f>
        <v/>
      </c>
      <c r="CM299" s="97" t="str">
        <f aca="false">IF($BZ299&lt;&gt;Constants!$B$8,"",IF(AND(NOT($AL299),NOT($AT299),$AJ299,$AK299,$AR299,$AS299),"",IF($BM299="-&gt;",$BX299,$BL299)))</f>
        <v/>
      </c>
      <c r="CN299" s="93" t="str">
        <f aca="false">IF(ISBLANK($C299),"",IF($BZ299&lt;&gt;Constants!$B$8,$BZ299,IF(ISNUMBER($CM299),RANK($CM299,$CM$9:$CM$508,1),COUNT($CM$9:$CM$508)+1)))</f>
        <v/>
      </c>
      <c r="CO299" s="93" t="str">
        <f aca="false">IF(ISBLANK($C299),"",IF($BZ299&lt;&gt;Constants!$B$8,$BZ299,COUNTIFS($CF$9:$CF$508,"&lt;"&amp;$CF299)+COUNTIFS($CF$9:$CF$508,$CF299,$CH$9:$CH$508,"&lt;"&amp;$CH299)+COUNTIFS($CF$9:$CF$508,$CF299,$CH$9:$CH$508,$CH299,$CJ$9:$CJ$508,"&lt;"&amp;$CJ299)+COUNTIFS($CF$9:$CF$508,$CF299,$CH$9:$CH$508,$CH299,$CJ$9:$CJ$508,$CJ299,$CL$9:$CL$508,"&lt;"&amp;$CL299)+COUNTIFS($CF$9:$CF$508,$CF299,$CH$9:$CH$508,$CH299,$CJ$9:$CJ$508,$CJ299,$CL$9:$CL$508,$CL299,$CN$9:$CN$508,"&lt;"&amp;$CN299)+1))</f>
        <v/>
      </c>
      <c r="CP299" s="93" t="str">
        <f aca="false">IF(ISBLANK($C299),"",IF($BZ299&lt;&gt;Constants!$B$8,$BZ299,$CF299-$CO299))</f>
        <v/>
      </c>
      <c r="CQ299" s="100"/>
      <c r="CR299" s="101"/>
      <c r="CS299" s="102" t="str">
        <f aca="false">IF(ISBLANK($C299),"",IF($BZ299=Constants!$B$12,$BY299,""))</f>
        <v/>
      </c>
      <c r="CT299" s="101" t="str">
        <f aca="false">IF(ISBLANK($C299),"",IF($BZ299&lt;&gt;Constants!$B$8,"",IF($BM299="-&gt;",2,1)))</f>
        <v/>
      </c>
      <c r="CU299" s="103" t="str">
        <f aca="false">IF(ISBLANK($C299),"",IF($BZ299&lt;&gt;Constants!$B$8,"",IF($BM299="-&gt;",$BO299,$BC299)))</f>
        <v/>
      </c>
      <c r="CV299" s="103" t="str">
        <f aca="false">IF(ISBLANK($C299),"",IF($BZ299&lt;&gt;Constants!$B$8,"",IF($BM299="-&gt;",$BP299,$BD299)))</f>
        <v/>
      </c>
      <c r="CW299" s="103" t="str">
        <f aca="false">IF(ISBLANK($C299),"",IF($BZ299&lt;&gt;Constants!$B$8,"",IF($BM299="-&gt;",$BQ299+$BR299,$BE299+$BF299)+$CD299))</f>
        <v/>
      </c>
      <c r="CX299" s="103" t="str">
        <f aca="false">IF(ISBLANK($C299),"",IF($BZ299&lt;&gt;Constants!$B$8,"",IF($BM299="-&gt;",$BS299,$BG299)+$CC299))</f>
        <v/>
      </c>
      <c r="CY299" s="104" t="str">
        <f aca="false">IF(ISBLANK($C299),"",IF($BZ299&lt;&gt;Constants!$B$8,$BZ299,$CE299))</f>
        <v/>
      </c>
      <c r="CZ299" s="105" t="str">
        <f aca="false">IF(ISBLANK($C299),"",$CA299)</f>
        <v/>
      </c>
      <c r="DA299" s="106" t="str">
        <f aca="false">IF(ISBLANK($C299),"",$CP299)</f>
        <v/>
      </c>
      <c r="DB299" s="106" t="str">
        <f aca="false">IF(ISBLANK($C299),"",$CO299)</f>
        <v/>
      </c>
      <c r="DC299" s="107" t="str">
        <f aca="false">IF(ISBLANK($C299),"",IFERROR(_xlfn.SWITCH($DB299,Constants!$B$11,COUNTA($C$9:$C$508)+2,Constants!$B$10,COUNTA($C$9:$C$508)+1,Constants!$B$9,COUNTA($C$9:$C$508)),$DB299))</f>
        <v/>
      </c>
      <c r="DD299" s="9"/>
      <c r="DE299" s="108" t="n">
        <f aca="false">IF(OR(ISNUMBER($DB299),$DB299=Constants!$B$11,$DB299=Constants!$B$9,$DB299=Constants!$B$10),1,0)</f>
        <v>0</v>
      </c>
      <c r="DF299" s="108" t="n">
        <v>291</v>
      </c>
      <c r="DG299" s="108" t="str">
        <f aca="false">IF(ISBLANK($C299),"",IF(ISNUMBER($DC299),$DC299+ROW($B299)/1000,""))</f>
        <v/>
      </c>
      <c r="DH299" s="108" t="str">
        <f aca="false">IF(ISNUMBER($DG299),RANK($DG299,$DG$9:$DG$508,1),"")</f>
        <v/>
      </c>
      <c r="DI299" s="108" t="str">
        <f aca="false">IF(ISBLANK($C299),"",$B299)</f>
        <v/>
      </c>
      <c r="DJ299" s="108" t="str">
        <f aca="false">IF(ISBLANK($C299),"",$C299)</f>
        <v/>
      </c>
      <c r="DK299" s="108" t="str">
        <f aca="false">IF(ISBLANK($C299),"",$D299)</f>
        <v/>
      </c>
      <c r="DL299" s="109" t="str">
        <f aca="false">$CZ299</f>
        <v/>
      </c>
      <c r="DM299" s="110" t="str">
        <f aca="false">$CY299</f>
        <v/>
      </c>
      <c r="DN299" s="108" t="str">
        <f aca="false">IF(ISBLANK($C299),"",$DB299)</f>
        <v/>
      </c>
      <c r="DO299" s="111" t="str">
        <f aca="false">IF($DF299&gt;$DE$8,"",VLOOKUP($DF299,$DH$9:$DN$508,7,FALSE()))</f>
        <v/>
      </c>
      <c r="DP299" s="112" t="str">
        <f aca="false">IF($DF299&gt;$DE$8,"",VLOOKUP($DF299,$DH$9:$DN$508,2,FALSE()))</f>
        <v/>
      </c>
      <c r="DQ299" s="112" t="str">
        <f aca="false">IF($DF299&gt;$DE$8,"",VLOOKUP($DF299,$DH$9:$DN$508,3,FALSE()))</f>
        <v/>
      </c>
      <c r="DR299" s="112" t="str">
        <f aca="false">IF($DF299&gt;$DE$8,"",VLOOKUP($DF299,$DH$9:$DN$508,4,FALSE()))</f>
        <v/>
      </c>
      <c r="DS299" s="112" t="str">
        <f aca="false">IF($DF299&gt;$DE$8,"",VLOOKUP($DF299,$DH$9:$DN$508,5,FALSE()))</f>
        <v/>
      </c>
      <c r="DT299" s="113" t="str">
        <f aca="false">IF($DF299&gt;$DE$8,"",VLOOKUP($DF299,$DH$9:$DN$508,6,FALSE()))</f>
        <v/>
      </c>
      <c r="DU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IF(ISBLANK($C300),"",IF(E300=Constants!$B$3,TRUE(),IF(E300=Constants!$B$4,FALSE(),TRUE())))</f>
        <v/>
      </c>
      <c r="AG300" s="135" t="str">
        <f aca="false">IF(ISBLANK($C300),"",IF(F300=Constants!$B$3,TRUE(),IF(F300=Constants!$B$4,FALSE(),TRUE())))</f>
        <v/>
      </c>
      <c r="AH300" s="135" t="str">
        <f aca="false">IF(ISBLANK($C300),"",IF(G300=Constants!$B$3,TRUE(),IF(G300=Constants!$B$4,FALSE(),TRUE())))</f>
        <v/>
      </c>
      <c r="AI300" s="135" t="str">
        <f aca="false">IF(ISBLANK($C300),"",IF(AND(ISNUMBER(H300),H300&gt;=0),H300,Constants!$B$29))</f>
        <v/>
      </c>
      <c r="AJ300" s="135" t="str">
        <f aca="false">IF(ISBLANK($C300),"",IF(I300=Constants!$B$3,TRUE(),IF(I300=Constants!$B$4,FALSE(),TRUE())))</f>
        <v/>
      </c>
      <c r="AK300" s="135" t="str">
        <f aca="false">IF(ISBLANK($C300),"",IF(J300=Constants!$B$3,TRUE(),IF(J300=Constants!$B$4,FALSE(),TRUE())))</f>
        <v/>
      </c>
      <c r="AL300" s="135" t="str">
        <f aca="false">IF(ISBLANK($C300),"",IF(K300=Constants!$B$5,TRUE(),IF(K300=Constants!$B$6,FALSE(),COUNTA(L300:P300)&gt;0)))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IF(ISBLANK($C300),"",IF(N300=Constants!$B$3,TRUE(),IF(N300=Constants!$B$4,FALSE(),TRUE())))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IF(ISBLANK($C300),"",IF(P300=Constants!$B$3,TRUE(),IF(P300=Constants!$B$4,FALSE(),FALSE())))</f>
        <v/>
      </c>
      <c r="AR300" s="135" t="str">
        <f aca="false">IF(ISBLANK($C300),"",IF(Q300=Constants!$B$3,TRUE(),IF(Q300=Constants!$B$4,FALSE(),TRUE())))</f>
        <v/>
      </c>
      <c r="AS300" s="135" t="str">
        <f aca="false">IF(ISBLANK($C300),"",IF(R300=Constants!$B$3,TRUE(),IF(R300=Constants!$B$4,FALSE(),TRUE())))</f>
        <v/>
      </c>
      <c r="AT300" s="135" t="str">
        <f aca="false">IF(ISBLANK($C300),"",IF(S300=Constants!$B$5,TRUE(),IF(S300=Constants!$B$6,FALSE(),COUNTA(T300:X300)&gt;0)))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IF(ISBLANK($C300),"",IF(V300=Constants!$B$3,TRUE(),IF(V300=Constants!$B$4,FALSE(),TRUE())))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IF(ISBLANK($C300),"",IF(X300=Constants!$B$3,TRUE(),IF(X300=Constants!$B$4,FALSE(),FALSE())))</f>
        <v/>
      </c>
      <c r="AZ300" s="135" t="str">
        <f aca="false">IF(ISBLANK($C300),"",MIN(Constants!$B$31,MAX(0,IF(ISNUMBER(Y300),Y300*60,0)+IF(ISNUMBER(Z300),Z300,0))))</f>
        <v/>
      </c>
      <c r="BA300" s="135" t="str">
        <f aca="false">IF(ISBLANK($C300),"",IF(AA300=Constants!$B$3,TRUE(),IF(AA300=Constants!$B$4,FALSE(),FALSE())))</f>
        <v/>
      </c>
      <c r="BB300" s="134" t="str">
        <f aca="false">IF(ISBLANK($C300),"",AND($AL300,OR($AM300="",$AN300="",AND($AO300,$AP300=""))))</f>
        <v/>
      </c>
      <c r="BC300" s="137" t="str">
        <f aca="false">IF($BZ300&lt;&gt;Constants!$B$8,"",IF($AL300,Constants!$B$21*$AN300+Constants!$B$22*IF($AO300,$AP300,Constants!$B$23),Constants!$B$24))</f>
        <v/>
      </c>
      <c r="BD300" s="138" t="str">
        <f aca="false">IF($BZ300&lt;&gt;Constants!$B$8,"",Constants!$B$25*ABS($AD$9-IF($AL300,$AM300,0)))</f>
        <v/>
      </c>
      <c r="BE300" s="138" t="str">
        <f aca="false">IF($BZ300&lt;&gt;Constants!$B$8,"",IF(AND($AL300,$AQ300,$AO300),Constants!$B$27,0))</f>
        <v/>
      </c>
      <c r="BF300" s="138" t="str">
        <f aca="false">IF($BZ300&lt;&gt;Constants!$B$8,"",IF($AL300,($AI300-Constants!$B$29)*Constants!$B$28,0))</f>
        <v/>
      </c>
      <c r="BG300" s="138" t="str">
        <f aca="false">IF($BZ300&lt;&gt;Constants!$B$8,"",IF($AK300,0,Constants!$B$15)+IF($AJ300,0,Constants!$B$16)+IF($AH300,0,Constants!$B$17))</f>
        <v/>
      </c>
      <c r="BH300" s="139" t="str">
        <f aca="false">IF($BZ300&lt;&gt;Constants!$B$8,"",Constants!$B$20+SUM($BC300:$BG300))</f>
        <v/>
      </c>
      <c r="BI300" s="138" t="str">
        <f aca="false">IF($BZ300&lt;&gt;Constants!$B$8,"",$BC300)</f>
        <v/>
      </c>
      <c r="BJ300" s="138" t="str">
        <f aca="false">IF($BZ300&lt;&gt;Constants!$B$8,"",$BD300)</f>
        <v/>
      </c>
      <c r="BK300" s="138" t="str">
        <f aca="false">IF($BZ300&lt;&gt;Constants!$B$8,"",IF($AL300,$AN300,""))</f>
        <v/>
      </c>
      <c r="BL300" s="140" t="str">
        <f aca="false">IF($BZ300&lt;&gt;Constants!$B$8,"",$AI300)</f>
        <v/>
      </c>
      <c r="BM300" s="135" t="str">
        <f aca="false">IF($BZ300&lt;&gt;Constants!$B$8,"",IF(OR($BT300&lt;$BH300,AND($BT300=$BH300,OR($BU300&lt;$BI300,AND($BU300=$BI300,OR($BV300&lt;$BJ300,AND($BV300=$BJ300,OR(AND(ISNUMBER($BW300),OR(NOT(ISNUMBER($BK300)),$BW300&lt;$BK300)),AND(OR(AND($BW300="",$BK300=""),AND(ISNUMBER($BW300),ISNUMBER($BK300),$BW300=$BK300)),$BX300&lt;$BL300)))))))),"-&gt;","&lt;-"))</f>
        <v/>
      </c>
      <c r="BN300" s="134" t="str">
        <f aca="false">IF(ISBLANK($C300),"",AND($AT300,OR($AU300="",$AV300="",AND($AW300,$AX300=""))))</f>
        <v/>
      </c>
      <c r="BO300" s="137" t="str">
        <f aca="false">IF($BZ300&lt;&gt;Constants!$B$8,"",IF($AT300,Constants!$B$21*$AV300+Constants!$B$22*IF($AW300,$AX300,Constants!$B$23),Constants!$B$24))</f>
        <v/>
      </c>
      <c r="BP300" s="138" t="str">
        <f aca="false">IF($BZ300&lt;&gt;Constants!$B$8,"",Constants!$B$25*ABS($AD$9-IF($AT300,$AU300,0)))</f>
        <v/>
      </c>
      <c r="BQ300" s="138" t="str">
        <f aca="false">IF($BZ300&lt;&gt;Constants!$B$8,"",IF(AND($AT300,$AY300,$AW300),Constants!$B$27,0))</f>
        <v/>
      </c>
      <c r="BR300" s="138" t="str">
        <f aca="false">IF($BZ300&lt;&gt;Constants!$B$8,"",IF($AT300,($AI300-Constants!$B$29)*Constants!$B$28,0))</f>
        <v/>
      </c>
      <c r="BS300" s="138" t="str">
        <f aca="false">IF($BZ300&lt;&gt;Constants!$B$8,"",IF($AS300,0,Constants!$B$15)+IF($AR300,0,Constants!$B$16)+IF($AH300,0,Constants!$B$17))</f>
        <v/>
      </c>
      <c r="BT300" s="139" t="str">
        <f aca="false">IF($BZ300&lt;&gt;Constants!$B$8,"",Constants!$B$20+SUM($BO300:$BS300))</f>
        <v/>
      </c>
      <c r="BU300" s="138" t="str">
        <f aca="false">IF($BZ300&lt;&gt;Constants!$B$8,"",$BO300)</f>
        <v/>
      </c>
      <c r="BV300" s="138" t="str">
        <f aca="false">IF($BZ300&lt;&gt;Constants!$B$8,"",$BP300)</f>
        <v/>
      </c>
      <c r="BW300" s="138" t="str">
        <f aca="false">IF($BZ300&lt;&gt;Constants!$B$8,"",IF($AT300,$AV300,""))</f>
        <v/>
      </c>
      <c r="BX300" s="140" t="str">
        <f aca="false">IF($BZ300&lt;&gt;Constants!$B$8,"",$AI300)</f>
        <v/>
      </c>
      <c r="BY300" s="135" t="str">
        <f aca="false">IF(ISBLANK($C300),"",IF(ISBLANK($D$7),$BY$5,IF(NOT(ISNUMBER($D$7)),$BY$6,"")))</f>
        <v/>
      </c>
      <c r="BZ300" s="135" t="str">
        <f aca="false">IF(ISBLANK($C300),"",IF($BA300,Constants!$B$11,IF(COUNTA($E300:$AA300)=0,Constants!$B$10,IF(NOT($AG300),Constants!$B$9,IF(OR($BY300&lt;&gt;"",$BB300,$BN300),Constants!$B$12,Constants!$B$8)))))</f>
        <v/>
      </c>
      <c r="CA300" s="135" t="str">
        <f aca="false">IF(ISBLANK($C300),"",IF($BZ300&lt;&gt;Constants!$B$8,$BZ300,Constants!$B$13))</f>
        <v/>
      </c>
      <c r="CB300" s="138" t="str">
        <f aca="false">IF($BZ300&lt;&gt;Constants!$B$8,"",IF($BM300="-&gt;",$BT300,$BH300))</f>
        <v/>
      </c>
      <c r="CC300" s="138" t="str">
        <f aca="false">IF($BZ300&lt;&gt;Constants!$B$8,"",IF($AF300,0,Constants!$B$18))</f>
        <v/>
      </c>
      <c r="CD300" s="138" t="str">
        <f aca="false">IF($BZ300&lt;&gt;Constants!$B$8,"",((Constants!$B$31-$AZ300)-Constants!$B$31)/Constants!$B$32)</f>
        <v/>
      </c>
      <c r="CE300" s="138" t="str">
        <f aca="false">IF(ISBLANK($C300),"",IF($BZ300&lt;&gt;Constants!$B$8,$BZ300,SUM($CB300:$CD300)))</f>
        <v/>
      </c>
      <c r="CF300" s="135" t="str">
        <f aca="false">IF(ISBLANK($C300),"",IF($BZ300&lt;&gt;Constants!$B$8,$BZ300,RANK($CE300,$CE$9:$CE$508,1)))</f>
        <v/>
      </c>
      <c r="CG300" s="138" t="str">
        <f aca="false">IF($BZ300&lt;&gt;Constants!$B$8,"",IF($BM300="-&gt;",$BU300,$BI300))</f>
        <v/>
      </c>
      <c r="CH300" s="135" t="str">
        <f aca="false">IF(ISBLANK($C300),"",IF($BZ300&lt;&gt;Constants!$B$8,$BZ300,IF(ISNUMBER($CG300),RANK($CG300,$CG$9:$CG$508,1),COUNT($CG$9:$CG$508)+1)))</f>
        <v/>
      </c>
      <c r="CI300" s="138" t="str">
        <f aca="false">IF($BZ300&lt;&gt;Constants!$B$8,"",IF($BM300="-&gt;",$BV300,$BJ300))</f>
        <v/>
      </c>
      <c r="CJ300" s="135" t="str">
        <f aca="false">IF(ISBLANK($C300),"",IF($BZ300&lt;&gt;Constants!$B$8,$BZ300,IF(ISNUMBER($CI300),RANK($CI300,$CI$9:$CI$508,1),COUNT($CI$9:$CI$508)+1)))</f>
        <v/>
      </c>
      <c r="CK300" s="138" t="str">
        <f aca="false">IF($BZ300&lt;&gt;Constants!$B$8,"",IF($BM300="-&gt;",$BW300,$BK300))</f>
        <v/>
      </c>
      <c r="CL300" s="135" t="str">
        <f aca="false">IF(ISBLANK($C300),"",IF($BZ300&lt;&gt;Constants!$B$8,$BZ300,IF(ISNUMBER($CK300),RANK($CK300,$CK$9:$CK$508,1),COUNT($CK$9:$CK$508)+1)))</f>
        <v/>
      </c>
      <c r="CM300" s="138" t="str">
        <f aca="false">IF($BZ300&lt;&gt;Constants!$B$8,"",IF(AND(NOT($AL300),NOT($AT300),$AJ300,$AK300,$AR300,$AS300),"",IF($BM300="-&gt;",$BX300,$BL300)))</f>
        <v/>
      </c>
      <c r="CN300" s="135" t="str">
        <f aca="false">IF(ISBLANK($C300),"",IF($BZ300&lt;&gt;Constants!$B$8,$BZ300,IF(ISNUMBER($CM300),RANK($CM300,$CM$9:$CM$508,1),COUNT($CM$9:$CM$508)+1)))</f>
        <v/>
      </c>
      <c r="CO300" s="135" t="str">
        <f aca="false">IF(ISBLANK($C300),"",IF($BZ300&lt;&gt;Constants!$B$8,$BZ300,COUNTIFS($CF$9:$CF$508,"&lt;"&amp;$CF300)+COUNTIFS($CF$9:$CF$508,$CF300,$CH$9:$CH$508,"&lt;"&amp;$CH300)+COUNTIFS($CF$9:$CF$508,$CF300,$CH$9:$CH$508,$CH300,$CJ$9:$CJ$508,"&lt;"&amp;$CJ300)+COUNTIFS($CF$9:$CF$508,$CF300,$CH$9:$CH$508,$CH300,$CJ$9:$CJ$508,$CJ300,$CL$9:$CL$508,"&lt;"&amp;$CL300)+COUNTIFS($CF$9:$CF$508,$CF300,$CH$9:$CH$508,$CH300,$CJ$9:$CJ$508,$CJ300,$CL$9:$CL$508,$CL300,$CN$9:$CN$508,"&lt;"&amp;$CN300)+1))</f>
        <v/>
      </c>
      <c r="CP300" s="135" t="str">
        <f aca="false">IF(ISBLANK($C300),"",IF($BZ300&lt;&gt;Constants!$B$8,$BZ300,$CF300-$CO300))</f>
        <v/>
      </c>
      <c r="CQ300" s="141"/>
      <c r="CR300" s="142"/>
      <c r="CS300" s="143" t="str">
        <f aca="false">IF(ISBLANK($C300),"",IF($BZ300=Constants!$B$12,$BY300,""))</f>
        <v/>
      </c>
      <c r="CT300" s="142" t="str">
        <f aca="false">IF(ISBLANK($C300),"",IF($BZ300&lt;&gt;Constants!$B$8,"",IF($BM300="-&gt;",2,1)))</f>
        <v/>
      </c>
      <c r="CU300" s="144" t="str">
        <f aca="false">IF(ISBLANK($C300),"",IF($BZ300&lt;&gt;Constants!$B$8,"",IF($BM300="-&gt;",$BO300,$BC300)))</f>
        <v/>
      </c>
      <c r="CV300" s="144" t="str">
        <f aca="false">IF(ISBLANK($C300),"",IF($BZ300&lt;&gt;Constants!$B$8,"",IF($BM300="-&gt;",$BP300,$BD300)))</f>
        <v/>
      </c>
      <c r="CW300" s="144" t="str">
        <f aca="false">IF(ISBLANK($C300),"",IF($BZ300&lt;&gt;Constants!$B$8,"",IF($BM300="-&gt;",$BQ300+$BR300,$BE300+$BF300)+$CD300))</f>
        <v/>
      </c>
      <c r="CX300" s="144" t="str">
        <f aca="false">IF(ISBLANK($C300),"",IF($BZ300&lt;&gt;Constants!$B$8,"",IF($BM300="-&gt;",$BS300,$BG300)+$CC300))</f>
        <v/>
      </c>
      <c r="CY300" s="145" t="str">
        <f aca="false">IF(ISBLANK($C300),"",IF($BZ300&lt;&gt;Constants!$B$8,$BZ300,$CE300))</f>
        <v/>
      </c>
      <c r="CZ300" s="146" t="str">
        <f aca="false">IF(ISBLANK($C300),"",$CA300)</f>
        <v/>
      </c>
      <c r="DA300" s="147" t="str">
        <f aca="false">IF(ISBLANK($C300),"",$CP300)</f>
        <v/>
      </c>
      <c r="DB300" s="147" t="str">
        <f aca="false">IF(ISBLANK($C300),"",$CO300)</f>
        <v/>
      </c>
      <c r="DC300" s="148" t="str">
        <f aca="false">IF(ISBLANK($C300),"",IFERROR(_xlfn.SWITCH($DB300,Constants!$B$11,COUNTA($C$9:$C$508)+2,Constants!$B$10,COUNTA($C$9:$C$508)+1,Constants!$B$9,COUNTA($C$9:$C$508)),$DB300))</f>
        <v/>
      </c>
      <c r="DD300" s="9"/>
      <c r="DE300" s="149" t="n">
        <f aca="false">IF(OR(ISNUMBER($DB300),$DB300=Constants!$B$11,$DB300=Constants!$B$9,$DB300=Constants!$B$10),1,0)</f>
        <v>0</v>
      </c>
      <c r="DF300" s="149" t="n">
        <v>292</v>
      </c>
      <c r="DG300" s="149" t="str">
        <f aca="false">IF(ISBLANK($C300),"",IF(ISNUMBER($DC300),$DC300+ROW($B300)/1000,""))</f>
        <v/>
      </c>
      <c r="DH300" s="149" t="str">
        <f aca="false">IF(ISNUMBER($DG300),RANK($DG300,$DG$9:$DG$508,1),"")</f>
        <v/>
      </c>
      <c r="DI300" s="149" t="str">
        <f aca="false">IF(ISBLANK($C300),"",$B300)</f>
        <v/>
      </c>
      <c r="DJ300" s="149" t="str">
        <f aca="false">IF(ISBLANK($C300),"",$C300)</f>
        <v/>
      </c>
      <c r="DK300" s="149" t="str">
        <f aca="false">IF(ISBLANK($C300),"",$D300)</f>
        <v/>
      </c>
      <c r="DL300" s="150" t="str">
        <f aca="false">$CZ300</f>
        <v/>
      </c>
      <c r="DM300" s="151" t="str">
        <f aca="false">$CY300</f>
        <v/>
      </c>
      <c r="DN300" s="149" t="str">
        <f aca="false">IF(ISBLANK($C300),"",$DB300)</f>
        <v/>
      </c>
      <c r="DO300" s="152" t="str">
        <f aca="false">IF($DF300&gt;$DE$8,"",VLOOKUP($DF300,$DH$9:$DN$508,7,FALSE()))</f>
        <v/>
      </c>
      <c r="DP300" s="153" t="str">
        <f aca="false">IF($DF300&gt;$DE$8,"",VLOOKUP($DF300,$DH$9:$DN$508,2,FALSE()))</f>
        <v/>
      </c>
      <c r="DQ300" s="153" t="str">
        <f aca="false">IF($DF300&gt;$DE$8,"",VLOOKUP($DF300,$DH$9:$DN$508,3,FALSE()))</f>
        <v/>
      </c>
      <c r="DR300" s="153" t="str">
        <f aca="false">IF($DF300&gt;$DE$8,"",VLOOKUP($DF300,$DH$9:$DN$508,4,FALSE()))</f>
        <v/>
      </c>
      <c r="DS300" s="153" t="str">
        <f aca="false">IF($DF300&gt;$DE$8,"",VLOOKUP($DF300,$DH$9:$DN$508,5,FALSE()))</f>
        <v/>
      </c>
      <c r="DT300" s="154" t="str">
        <f aca="false">IF($DF300&gt;$DE$8,"",VLOOKUP($DF300,$DH$9:$DN$508,6,FALSE()))</f>
        <v/>
      </c>
      <c r="DU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IF(ISBLANK($C301),"",IF(E301=Constants!$B$3,TRUE(),IF(E301=Constants!$B$4,FALSE(),TRUE())))</f>
        <v/>
      </c>
      <c r="AG301" s="135" t="str">
        <f aca="false">IF(ISBLANK($C301),"",IF(F301=Constants!$B$3,TRUE(),IF(F301=Constants!$B$4,FALSE(),TRUE())))</f>
        <v/>
      </c>
      <c r="AH301" s="135" t="str">
        <f aca="false">IF(ISBLANK($C301),"",IF(G301=Constants!$B$3,TRUE(),IF(G301=Constants!$B$4,FALSE(),TRUE())))</f>
        <v/>
      </c>
      <c r="AI301" s="135" t="str">
        <f aca="false">IF(ISBLANK($C301),"",IF(AND(ISNUMBER(H301),H301&gt;=0),H301,Constants!$B$29))</f>
        <v/>
      </c>
      <c r="AJ301" s="135" t="str">
        <f aca="false">IF(ISBLANK($C301),"",IF(I301=Constants!$B$3,TRUE(),IF(I301=Constants!$B$4,FALSE(),TRUE())))</f>
        <v/>
      </c>
      <c r="AK301" s="135" t="str">
        <f aca="false">IF(ISBLANK($C301),"",IF(J301=Constants!$B$3,TRUE(),IF(J301=Constants!$B$4,FALSE(),TRUE())))</f>
        <v/>
      </c>
      <c r="AL301" s="135" t="str">
        <f aca="false">IF(ISBLANK($C301),"",IF(K301=Constants!$B$5,TRUE(),IF(K301=Constants!$B$6,FALSE(),COUNTA(L301:P301)&gt;0)))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IF(ISBLANK($C301),"",IF(N301=Constants!$B$3,TRUE(),IF(N301=Constants!$B$4,FALSE(),TRUE())))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IF(ISBLANK($C301),"",IF(P301=Constants!$B$3,TRUE(),IF(P301=Constants!$B$4,FALSE(),FALSE())))</f>
        <v/>
      </c>
      <c r="AR301" s="135" t="str">
        <f aca="false">IF(ISBLANK($C301),"",IF(Q301=Constants!$B$3,TRUE(),IF(Q301=Constants!$B$4,FALSE(),TRUE())))</f>
        <v/>
      </c>
      <c r="AS301" s="135" t="str">
        <f aca="false">IF(ISBLANK($C301),"",IF(R301=Constants!$B$3,TRUE(),IF(R301=Constants!$B$4,FALSE(),TRUE())))</f>
        <v/>
      </c>
      <c r="AT301" s="135" t="str">
        <f aca="false">IF(ISBLANK($C301),"",IF(S301=Constants!$B$5,TRUE(),IF(S301=Constants!$B$6,FALSE(),COUNTA(T301:X301)&gt;0)))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IF(ISBLANK($C301),"",IF(V301=Constants!$B$3,TRUE(),IF(V301=Constants!$B$4,FALSE(),TRUE())))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IF(ISBLANK($C301),"",IF(X301=Constants!$B$3,TRUE(),IF(X301=Constants!$B$4,FALSE(),FALSE())))</f>
        <v/>
      </c>
      <c r="AZ301" s="135" t="str">
        <f aca="false">IF(ISBLANK($C301),"",MIN(Constants!$B$31,MAX(0,IF(ISNUMBER(Y301),Y301*60,0)+IF(ISNUMBER(Z301),Z301,0))))</f>
        <v/>
      </c>
      <c r="BA301" s="135" t="str">
        <f aca="false">IF(ISBLANK($C301),"",IF(AA301=Constants!$B$3,TRUE(),IF(AA301=Constants!$B$4,FALSE(),FALSE())))</f>
        <v/>
      </c>
      <c r="BB301" s="134" t="str">
        <f aca="false">IF(ISBLANK($C301),"",AND($AL301,OR($AM301="",$AN301="",AND($AO301,$AP301=""))))</f>
        <v/>
      </c>
      <c r="BC301" s="137" t="str">
        <f aca="false">IF($BZ301&lt;&gt;Constants!$B$8,"",IF($AL301,Constants!$B$21*$AN301+Constants!$B$22*IF($AO301,$AP301,Constants!$B$23),Constants!$B$24))</f>
        <v/>
      </c>
      <c r="BD301" s="138" t="str">
        <f aca="false">IF($BZ301&lt;&gt;Constants!$B$8,"",Constants!$B$25*ABS($AD$9-IF($AL301,$AM301,0)))</f>
        <v/>
      </c>
      <c r="BE301" s="138" t="str">
        <f aca="false">IF($BZ301&lt;&gt;Constants!$B$8,"",IF(AND($AL301,$AQ301,$AO301),Constants!$B$27,0))</f>
        <v/>
      </c>
      <c r="BF301" s="138" t="str">
        <f aca="false">IF($BZ301&lt;&gt;Constants!$B$8,"",IF($AL301,($AI301-Constants!$B$29)*Constants!$B$28,0))</f>
        <v/>
      </c>
      <c r="BG301" s="138" t="str">
        <f aca="false">IF($BZ301&lt;&gt;Constants!$B$8,"",IF($AK301,0,Constants!$B$15)+IF($AJ301,0,Constants!$B$16)+IF($AH301,0,Constants!$B$17))</f>
        <v/>
      </c>
      <c r="BH301" s="139" t="str">
        <f aca="false">IF($BZ301&lt;&gt;Constants!$B$8,"",Constants!$B$20+SUM($BC301:$BG301))</f>
        <v/>
      </c>
      <c r="BI301" s="138" t="str">
        <f aca="false">IF($BZ301&lt;&gt;Constants!$B$8,"",$BC301)</f>
        <v/>
      </c>
      <c r="BJ301" s="138" t="str">
        <f aca="false">IF($BZ301&lt;&gt;Constants!$B$8,"",$BD301)</f>
        <v/>
      </c>
      <c r="BK301" s="138" t="str">
        <f aca="false">IF($BZ301&lt;&gt;Constants!$B$8,"",IF($AL301,$AN301,""))</f>
        <v/>
      </c>
      <c r="BL301" s="140" t="str">
        <f aca="false">IF($BZ301&lt;&gt;Constants!$B$8,"",$AI301)</f>
        <v/>
      </c>
      <c r="BM301" s="135" t="str">
        <f aca="false">IF($BZ301&lt;&gt;Constants!$B$8,"",IF(OR($BT301&lt;$BH301,AND($BT301=$BH301,OR($BU301&lt;$BI301,AND($BU301=$BI301,OR($BV301&lt;$BJ301,AND($BV301=$BJ301,OR(AND(ISNUMBER($BW301),OR(NOT(ISNUMBER($BK301)),$BW301&lt;$BK301)),AND(OR(AND($BW301="",$BK301=""),AND(ISNUMBER($BW301),ISNUMBER($BK301),$BW301=$BK301)),$BX301&lt;$BL301)))))))),"-&gt;","&lt;-"))</f>
        <v/>
      </c>
      <c r="BN301" s="134" t="str">
        <f aca="false">IF(ISBLANK($C301),"",AND($AT301,OR($AU301="",$AV301="",AND($AW301,$AX301=""))))</f>
        <v/>
      </c>
      <c r="BO301" s="137" t="str">
        <f aca="false">IF($BZ301&lt;&gt;Constants!$B$8,"",IF($AT301,Constants!$B$21*$AV301+Constants!$B$22*IF($AW301,$AX301,Constants!$B$23),Constants!$B$24))</f>
        <v/>
      </c>
      <c r="BP301" s="138" t="str">
        <f aca="false">IF($BZ301&lt;&gt;Constants!$B$8,"",Constants!$B$25*ABS($AD$9-IF($AT301,$AU301,0)))</f>
        <v/>
      </c>
      <c r="BQ301" s="138" t="str">
        <f aca="false">IF($BZ301&lt;&gt;Constants!$B$8,"",IF(AND($AT301,$AY301,$AW301),Constants!$B$27,0))</f>
        <v/>
      </c>
      <c r="BR301" s="138" t="str">
        <f aca="false">IF($BZ301&lt;&gt;Constants!$B$8,"",IF($AT301,($AI301-Constants!$B$29)*Constants!$B$28,0))</f>
        <v/>
      </c>
      <c r="BS301" s="138" t="str">
        <f aca="false">IF($BZ301&lt;&gt;Constants!$B$8,"",IF($AS301,0,Constants!$B$15)+IF($AR301,0,Constants!$B$16)+IF($AH301,0,Constants!$B$17))</f>
        <v/>
      </c>
      <c r="BT301" s="139" t="str">
        <f aca="false">IF($BZ301&lt;&gt;Constants!$B$8,"",Constants!$B$20+SUM($BO301:$BS301))</f>
        <v/>
      </c>
      <c r="BU301" s="138" t="str">
        <f aca="false">IF($BZ301&lt;&gt;Constants!$B$8,"",$BO301)</f>
        <v/>
      </c>
      <c r="BV301" s="138" t="str">
        <f aca="false">IF($BZ301&lt;&gt;Constants!$B$8,"",$BP301)</f>
        <v/>
      </c>
      <c r="BW301" s="138" t="str">
        <f aca="false">IF($BZ301&lt;&gt;Constants!$B$8,"",IF($AT301,$AV301,""))</f>
        <v/>
      </c>
      <c r="BX301" s="140" t="str">
        <f aca="false">IF($BZ301&lt;&gt;Constants!$B$8,"",$AI301)</f>
        <v/>
      </c>
      <c r="BY301" s="135" t="str">
        <f aca="false">IF(ISBLANK($C301),"",IF(ISBLANK($D$7),$BY$5,IF(NOT(ISNUMBER($D$7)),$BY$6,"")))</f>
        <v/>
      </c>
      <c r="BZ301" s="135" t="str">
        <f aca="false">IF(ISBLANK($C301),"",IF($BA301,Constants!$B$11,IF(COUNTA($E301:$AA301)=0,Constants!$B$10,IF(NOT($AG301),Constants!$B$9,IF(OR($BY301&lt;&gt;"",$BB301,$BN301),Constants!$B$12,Constants!$B$8)))))</f>
        <v/>
      </c>
      <c r="CA301" s="135" t="str">
        <f aca="false">IF(ISBLANK($C301),"",IF($BZ301&lt;&gt;Constants!$B$8,$BZ301,Constants!$B$13))</f>
        <v/>
      </c>
      <c r="CB301" s="138" t="str">
        <f aca="false">IF($BZ301&lt;&gt;Constants!$B$8,"",IF($BM301="-&gt;",$BT301,$BH301))</f>
        <v/>
      </c>
      <c r="CC301" s="138" t="str">
        <f aca="false">IF($BZ301&lt;&gt;Constants!$B$8,"",IF($AF301,0,Constants!$B$18))</f>
        <v/>
      </c>
      <c r="CD301" s="138" t="str">
        <f aca="false">IF($BZ301&lt;&gt;Constants!$B$8,"",((Constants!$B$31-$AZ301)-Constants!$B$31)/Constants!$B$32)</f>
        <v/>
      </c>
      <c r="CE301" s="138" t="str">
        <f aca="false">IF(ISBLANK($C301),"",IF($BZ301&lt;&gt;Constants!$B$8,$BZ301,SUM($CB301:$CD301)))</f>
        <v/>
      </c>
      <c r="CF301" s="135" t="str">
        <f aca="false">IF(ISBLANK($C301),"",IF($BZ301&lt;&gt;Constants!$B$8,$BZ301,RANK($CE301,$CE$9:$CE$508,1)))</f>
        <v/>
      </c>
      <c r="CG301" s="138" t="str">
        <f aca="false">IF($BZ301&lt;&gt;Constants!$B$8,"",IF($BM301="-&gt;",$BU301,$BI301))</f>
        <v/>
      </c>
      <c r="CH301" s="135" t="str">
        <f aca="false">IF(ISBLANK($C301),"",IF($BZ301&lt;&gt;Constants!$B$8,$BZ301,IF(ISNUMBER($CG301),RANK($CG301,$CG$9:$CG$508,1),COUNT($CG$9:$CG$508)+1)))</f>
        <v/>
      </c>
      <c r="CI301" s="138" t="str">
        <f aca="false">IF($BZ301&lt;&gt;Constants!$B$8,"",IF($BM301="-&gt;",$BV301,$BJ301))</f>
        <v/>
      </c>
      <c r="CJ301" s="135" t="str">
        <f aca="false">IF(ISBLANK($C301),"",IF($BZ301&lt;&gt;Constants!$B$8,$BZ301,IF(ISNUMBER($CI301),RANK($CI301,$CI$9:$CI$508,1),COUNT($CI$9:$CI$508)+1)))</f>
        <v/>
      </c>
      <c r="CK301" s="138" t="str">
        <f aca="false">IF($BZ301&lt;&gt;Constants!$B$8,"",IF($BM301="-&gt;",$BW301,$BK301))</f>
        <v/>
      </c>
      <c r="CL301" s="135" t="str">
        <f aca="false">IF(ISBLANK($C301),"",IF($BZ301&lt;&gt;Constants!$B$8,$BZ301,IF(ISNUMBER($CK301),RANK($CK301,$CK$9:$CK$508,1),COUNT($CK$9:$CK$508)+1)))</f>
        <v/>
      </c>
      <c r="CM301" s="138" t="str">
        <f aca="false">IF($BZ301&lt;&gt;Constants!$B$8,"",IF(AND(NOT($AL301),NOT($AT301),$AJ301,$AK301,$AR301,$AS301),"",IF($BM301="-&gt;",$BX301,$BL301)))</f>
        <v/>
      </c>
      <c r="CN301" s="135" t="str">
        <f aca="false">IF(ISBLANK($C301),"",IF($BZ301&lt;&gt;Constants!$B$8,$BZ301,IF(ISNUMBER($CM301),RANK($CM301,$CM$9:$CM$508,1),COUNT($CM$9:$CM$508)+1)))</f>
        <v/>
      </c>
      <c r="CO301" s="135" t="str">
        <f aca="false">IF(ISBLANK($C301),"",IF($BZ301&lt;&gt;Constants!$B$8,$BZ301,COUNTIFS($CF$9:$CF$508,"&lt;"&amp;$CF301)+COUNTIFS($CF$9:$CF$508,$CF301,$CH$9:$CH$508,"&lt;"&amp;$CH301)+COUNTIFS($CF$9:$CF$508,$CF301,$CH$9:$CH$508,$CH301,$CJ$9:$CJ$508,"&lt;"&amp;$CJ301)+COUNTIFS($CF$9:$CF$508,$CF301,$CH$9:$CH$508,$CH301,$CJ$9:$CJ$508,$CJ301,$CL$9:$CL$508,"&lt;"&amp;$CL301)+COUNTIFS($CF$9:$CF$508,$CF301,$CH$9:$CH$508,$CH301,$CJ$9:$CJ$508,$CJ301,$CL$9:$CL$508,$CL301,$CN$9:$CN$508,"&lt;"&amp;$CN301)+1))</f>
        <v/>
      </c>
      <c r="CP301" s="135" t="str">
        <f aca="false">IF(ISBLANK($C301),"",IF($BZ301&lt;&gt;Constants!$B$8,$BZ301,$CF301-$CO301))</f>
        <v/>
      </c>
      <c r="CQ301" s="141"/>
      <c r="CR301" s="142"/>
      <c r="CS301" s="143" t="str">
        <f aca="false">IF(ISBLANK($C301),"",IF($BZ301=Constants!$B$12,$BY301,""))</f>
        <v/>
      </c>
      <c r="CT301" s="142" t="str">
        <f aca="false">IF(ISBLANK($C301),"",IF($BZ301&lt;&gt;Constants!$B$8,"",IF($BM301="-&gt;",2,1)))</f>
        <v/>
      </c>
      <c r="CU301" s="144" t="str">
        <f aca="false">IF(ISBLANK($C301),"",IF($BZ301&lt;&gt;Constants!$B$8,"",IF($BM301="-&gt;",$BO301,$BC301)))</f>
        <v/>
      </c>
      <c r="CV301" s="144" t="str">
        <f aca="false">IF(ISBLANK($C301),"",IF($BZ301&lt;&gt;Constants!$B$8,"",IF($BM301="-&gt;",$BP301,$BD301)))</f>
        <v/>
      </c>
      <c r="CW301" s="144" t="str">
        <f aca="false">IF(ISBLANK($C301),"",IF($BZ301&lt;&gt;Constants!$B$8,"",IF($BM301="-&gt;",$BQ301+$BR301,$BE301+$BF301)+$CD301))</f>
        <v/>
      </c>
      <c r="CX301" s="144" t="str">
        <f aca="false">IF(ISBLANK($C301),"",IF($BZ301&lt;&gt;Constants!$B$8,"",IF($BM301="-&gt;",$BS301,$BG301)+$CC301))</f>
        <v/>
      </c>
      <c r="CY301" s="145" t="str">
        <f aca="false">IF(ISBLANK($C301),"",IF($BZ301&lt;&gt;Constants!$B$8,$BZ301,$CE301))</f>
        <v/>
      </c>
      <c r="CZ301" s="146" t="str">
        <f aca="false">IF(ISBLANK($C301),"",$CA301)</f>
        <v/>
      </c>
      <c r="DA301" s="147" t="str">
        <f aca="false">IF(ISBLANK($C301),"",$CP301)</f>
        <v/>
      </c>
      <c r="DB301" s="147" t="str">
        <f aca="false">IF(ISBLANK($C301),"",$CO301)</f>
        <v/>
      </c>
      <c r="DC301" s="148" t="str">
        <f aca="false">IF(ISBLANK($C301),"",IFERROR(_xlfn.SWITCH($DB301,Constants!$B$11,COUNTA($C$9:$C$508)+2,Constants!$B$10,COUNTA($C$9:$C$508)+1,Constants!$B$9,COUNTA($C$9:$C$508)),$DB301))</f>
        <v/>
      </c>
      <c r="DD301" s="9"/>
      <c r="DE301" s="149" t="n">
        <f aca="false">IF(OR(ISNUMBER($DB301),$DB301=Constants!$B$11,$DB301=Constants!$B$9,$DB301=Constants!$B$10),1,0)</f>
        <v>0</v>
      </c>
      <c r="DF301" s="149" t="n">
        <v>293</v>
      </c>
      <c r="DG301" s="149" t="str">
        <f aca="false">IF(ISBLANK($C301),"",IF(ISNUMBER($DC301),$DC301+ROW($B301)/1000,""))</f>
        <v/>
      </c>
      <c r="DH301" s="149" t="str">
        <f aca="false">IF(ISNUMBER($DG301),RANK($DG301,$DG$9:$DG$508,1),"")</f>
        <v/>
      </c>
      <c r="DI301" s="149" t="str">
        <f aca="false">IF(ISBLANK($C301),"",$B301)</f>
        <v/>
      </c>
      <c r="DJ301" s="149" t="str">
        <f aca="false">IF(ISBLANK($C301),"",$C301)</f>
        <v/>
      </c>
      <c r="DK301" s="149" t="str">
        <f aca="false">IF(ISBLANK($C301),"",$D301)</f>
        <v/>
      </c>
      <c r="DL301" s="150" t="str">
        <f aca="false">$CZ301</f>
        <v/>
      </c>
      <c r="DM301" s="151" t="str">
        <f aca="false">$CY301</f>
        <v/>
      </c>
      <c r="DN301" s="149" t="str">
        <f aca="false">IF(ISBLANK($C301),"",$DB301)</f>
        <v/>
      </c>
      <c r="DO301" s="152" t="str">
        <f aca="false">IF($DF301&gt;$DE$8,"",VLOOKUP($DF301,$DH$9:$DN$508,7,FALSE()))</f>
        <v/>
      </c>
      <c r="DP301" s="153" t="str">
        <f aca="false">IF($DF301&gt;$DE$8,"",VLOOKUP($DF301,$DH$9:$DN$508,2,FALSE()))</f>
        <v/>
      </c>
      <c r="DQ301" s="153" t="str">
        <f aca="false">IF($DF301&gt;$DE$8,"",VLOOKUP($DF301,$DH$9:$DN$508,3,FALSE()))</f>
        <v/>
      </c>
      <c r="DR301" s="153" t="str">
        <f aca="false">IF($DF301&gt;$DE$8,"",VLOOKUP($DF301,$DH$9:$DN$508,4,FALSE()))</f>
        <v/>
      </c>
      <c r="DS301" s="153" t="str">
        <f aca="false">IF($DF301&gt;$DE$8,"",VLOOKUP($DF301,$DH$9:$DN$508,5,FALSE()))</f>
        <v/>
      </c>
      <c r="DT301" s="154" t="str">
        <f aca="false">IF($DF301&gt;$DE$8,"",VLOOKUP($DF301,$DH$9:$DN$508,6,FALSE()))</f>
        <v/>
      </c>
      <c r="DU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IF(ISBLANK($C302),"",IF(E302=Constants!$B$3,TRUE(),IF(E302=Constants!$B$4,FALSE(),TRUE())))</f>
        <v/>
      </c>
      <c r="AG302" s="135" t="str">
        <f aca="false">IF(ISBLANK($C302),"",IF(F302=Constants!$B$3,TRUE(),IF(F302=Constants!$B$4,FALSE(),TRUE())))</f>
        <v/>
      </c>
      <c r="AH302" s="135" t="str">
        <f aca="false">IF(ISBLANK($C302),"",IF(G302=Constants!$B$3,TRUE(),IF(G302=Constants!$B$4,FALSE(),TRUE())))</f>
        <v/>
      </c>
      <c r="AI302" s="135" t="str">
        <f aca="false">IF(ISBLANK($C302),"",IF(AND(ISNUMBER(H302),H302&gt;=0),H302,Constants!$B$29))</f>
        <v/>
      </c>
      <c r="AJ302" s="135" t="str">
        <f aca="false">IF(ISBLANK($C302),"",IF(I302=Constants!$B$3,TRUE(),IF(I302=Constants!$B$4,FALSE(),TRUE())))</f>
        <v/>
      </c>
      <c r="AK302" s="135" t="str">
        <f aca="false">IF(ISBLANK($C302),"",IF(J302=Constants!$B$3,TRUE(),IF(J302=Constants!$B$4,FALSE(),TRUE())))</f>
        <v/>
      </c>
      <c r="AL302" s="135" t="str">
        <f aca="false">IF(ISBLANK($C302),"",IF(K302=Constants!$B$5,TRUE(),IF(K302=Constants!$B$6,FALSE(),COUNTA(L302:P302)&gt;0)))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IF(ISBLANK($C302),"",IF(N302=Constants!$B$3,TRUE(),IF(N302=Constants!$B$4,FALSE(),TRUE())))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IF(ISBLANK($C302),"",IF(P302=Constants!$B$3,TRUE(),IF(P302=Constants!$B$4,FALSE(),FALSE())))</f>
        <v/>
      </c>
      <c r="AR302" s="135" t="str">
        <f aca="false">IF(ISBLANK($C302),"",IF(Q302=Constants!$B$3,TRUE(),IF(Q302=Constants!$B$4,FALSE(),TRUE())))</f>
        <v/>
      </c>
      <c r="AS302" s="135" t="str">
        <f aca="false">IF(ISBLANK($C302),"",IF(R302=Constants!$B$3,TRUE(),IF(R302=Constants!$B$4,FALSE(),TRUE())))</f>
        <v/>
      </c>
      <c r="AT302" s="135" t="str">
        <f aca="false">IF(ISBLANK($C302),"",IF(S302=Constants!$B$5,TRUE(),IF(S302=Constants!$B$6,FALSE(),COUNTA(T302:X302)&gt;0)))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IF(ISBLANK($C302),"",IF(V302=Constants!$B$3,TRUE(),IF(V302=Constants!$B$4,FALSE(),TRUE())))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IF(ISBLANK($C302),"",IF(X302=Constants!$B$3,TRUE(),IF(X302=Constants!$B$4,FALSE(),FALSE())))</f>
        <v/>
      </c>
      <c r="AZ302" s="135" t="str">
        <f aca="false">IF(ISBLANK($C302),"",MIN(Constants!$B$31,MAX(0,IF(ISNUMBER(Y302),Y302*60,0)+IF(ISNUMBER(Z302),Z302,0))))</f>
        <v/>
      </c>
      <c r="BA302" s="135" t="str">
        <f aca="false">IF(ISBLANK($C302),"",IF(AA302=Constants!$B$3,TRUE(),IF(AA302=Constants!$B$4,FALSE(),FALSE())))</f>
        <v/>
      </c>
      <c r="BB302" s="134" t="str">
        <f aca="false">IF(ISBLANK($C302),"",AND($AL302,OR($AM302="",$AN302="",AND($AO302,$AP302=""))))</f>
        <v/>
      </c>
      <c r="BC302" s="137" t="str">
        <f aca="false">IF($BZ302&lt;&gt;Constants!$B$8,"",IF($AL302,Constants!$B$21*$AN302+Constants!$B$22*IF($AO302,$AP302,Constants!$B$23),Constants!$B$24))</f>
        <v/>
      </c>
      <c r="BD302" s="138" t="str">
        <f aca="false">IF($BZ302&lt;&gt;Constants!$B$8,"",Constants!$B$25*ABS($AD$9-IF($AL302,$AM302,0)))</f>
        <v/>
      </c>
      <c r="BE302" s="138" t="str">
        <f aca="false">IF($BZ302&lt;&gt;Constants!$B$8,"",IF(AND($AL302,$AQ302,$AO302),Constants!$B$27,0))</f>
        <v/>
      </c>
      <c r="BF302" s="138" t="str">
        <f aca="false">IF($BZ302&lt;&gt;Constants!$B$8,"",IF($AL302,($AI302-Constants!$B$29)*Constants!$B$28,0))</f>
        <v/>
      </c>
      <c r="BG302" s="138" t="str">
        <f aca="false">IF($BZ302&lt;&gt;Constants!$B$8,"",IF($AK302,0,Constants!$B$15)+IF($AJ302,0,Constants!$B$16)+IF($AH302,0,Constants!$B$17))</f>
        <v/>
      </c>
      <c r="BH302" s="139" t="str">
        <f aca="false">IF($BZ302&lt;&gt;Constants!$B$8,"",Constants!$B$20+SUM($BC302:$BG302))</f>
        <v/>
      </c>
      <c r="BI302" s="138" t="str">
        <f aca="false">IF($BZ302&lt;&gt;Constants!$B$8,"",$BC302)</f>
        <v/>
      </c>
      <c r="BJ302" s="138" t="str">
        <f aca="false">IF($BZ302&lt;&gt;Constants!$B$8,"",$BD302)</f>
        <v/>
      </c>
      <c r="BK302" s="138" t="str">
        <f aca="false">IF($BZ302&lt;&gt;Constants!$B$8,"",IF($AL302,$AN302,""))</f>
        <v/>
      </c>
      <c r="BL302" s="140" t="str">
        <f aca="false">IF($BZ302&lt;&gt;Constants!$B$8,"",$AI302)</f>
        <v/>
      </c>
      <c r="BM302" s="135" t="str">
        <f aca="false">IF($BZ302&lt;&gt;Constants!$B$8,"",IF(OR($BT302&lt;$BH302,AND($BT302=$BH302,OR($BU302&lt;$BI302,AND($BU302=$BI302,OR($BV302&lt;$BJ302,AND($BV302=$BJ302,OR(AND(ISNUMBER($BW302),OR(NOT(ISNUMBER($BK302)),$BW302&lt;$BK302)),AND(OR(AND($BW302="",$BK302=""),AND(ISNUMBER($BW302),ISNUMBER($BK302),$BW302=$BK302)),$BX302&lt;$BL302)))))))),"-&gt;","&lt;-"))</f>
        <v/>
      </c>
      <c r="BN302" s="134" t="str">
        <f aca="false">IF(ISBLANK($C302),"",AND($AT302,OR($AU302="",$AV302="",AND($AW302,$AX302=""))))</f>
        <v/>
      </c>
      <c r="BO302" s="137" t="str">
        <f aca="false">IF($BZ302&lt;&gt;Constants!$B$8,"",IF($AT302,Constants!$B$21*$AV302+Constants!$B$22*IF($AW302,$AX302,Constants!$B$23),Constants!$B$24))</f>
        <v/>
      </c>
      <c r="BP302" s="138" t="str">
        <f aca="false">IF($BZ302&lt;&gt;Constants!$B$8,"",Constants!$B$25*ABS($AD$9-IF($AT302,$AU302,0)))</f>
        <v/>
      </c>
      <c r="BQ302" s="138" t="str">
        <f aca="false">IF($BZ302&lt;&gt;Constants!$B$8,"",IF(AND($AT302,$AY302,$AW302),Constants!$B$27,0))</f>
        <v/>
      </c>
      <c r="BR302" s="138" t="str">
        <f aca="false">IF($BZ302&lt;&gt;Constants!$B$8,"",IF($AT302,($AI302-Constants!$B$29)*Constants!$B$28,0))</f>
        <v/>
      </c>
      <c r="BS302" s="138" t="str">
        <f aca="false">IF($BZ302&lt;&gt;Constants!$B$8,"",IF($AS302,0,Constants!$B$15)+IF($AR302,0,Constants!$B$16)+IF($AH302,0,Constants!$B$17))</f>
        <v/>
      </c>
      <c r="BT302" s="139" t="str">
        <f aca="false">IF($BZ302&lt;&gt;Constants!$B$8,"",Constants!$B$20+SUM($BO302:$BS302))</f>
        <v/>
      </c>
      <c r="BU302" s="138" t="str">
        <f aca="false">IF($BZ302&lt;&gt;Constants!$B$8,"",$BO302)</f>
        <v/>
      </c>
      <c r="BV302" s="138" t="str">
        <f aca="false">IF($BZ302&lt;&gt;Constants!$B$8,"",$BP302)</f>
        <v/>
      </c>
      <c r="BW302" s="138" t="str">
        <f aca="false">IF($BZ302&lt;&gt;Constants!$B$8,"",IF($AT302,$AV302,""))</f>
        <v/>
      </c>
      <c r="BX302" s="140" t="str">
        <f aca="false">IF($BZ302&lt;&gt;Constants!$B$8,"",$AI302)</f>
        <v/>
      </c>
      <c r="BY302" s="135" t="str">
        <f aca="false">IF(ISBLANK($C302),"",IF(ISBLANK($D$7),$BY$5,IF(NOT(ISNUMBER($D$7)),$BY$6,"")))</f>
        <v/>
      </c>
      <c r="BZ302" s="135" t="str">
        <f aca="false">IF(ISBLANK($C302),"",IF($BA302,Constants!$B$11,IF(COUNTA($E302:$AA302)=0,Constants!$B$10,IF(NOT($AG302),Constants!$B$9,IF(OR($BY302&lt;&gt;"",$BB302,$BN302),Constants!$B$12,Constants!$B$8)))))</f>
        <v/>
      </c>
      <c r="CA302" s="135" t="str">
        <f aca="false">IF(ISBLANK($C302),"",IF($BZ302&lt;&gt;Constants!$B$8,$BZ302,Constants!$B$13))</f>
        <v/>
      </c>
      <c r="CB302" s="138" t="str">
        <f aca="false">IF($BZ302&lt;&gt;Constants!$B$8,"",IF($BM302="-&gt;",$BT302,$BH302))</f>
        <v/>
      </c>
      <c r="CC302" s="138" t="str">
        <f aca="false">IF($BZ302&lt;&gt;Constants!$B$8,"",IF($AF302,0,Constants!$B$18))</f>
        <v/>
      </c>
      <c r="CD302" s="138" t="str">
        <f aca="false">IF($BZ302&lt;&gt;Constants!$B$8,"",((Constants!$B$31-$AZ302)-Constants!$B$31)/Constants!$B$32)</f>
        <v/>
      </c>
      <c r="CE302" s="138" t="str">
        <f aca="false">IF(ISBLANK($C302),"",IF($BZ302&lt;&gt;Constants!$B$8,$BZ302,SUM($CB302:$CD302)))</f>
        <v/>
      </c>
      <c r="CF302" s="135" t="str">
        <f aca="false">IF(ISBLANK($C302),"",IF($BZ302&lt;&gt;Constants!$B$8,$BZ302,RANK($CE302,$CE$9:$CE$508,1)))</f>
        <v/>
      </c>
      <c r="CG302" s="138" t="str">
        <f aca="false">IF($BZ302&lt;&gt;Constants!$B$8,"",IF($BM302="-&gt;",$BU302,$BI302))</f>
        <v/>
      </c>
      <c r="CH302" s="135" t="str">
        <f aca="false">IF(ISBLANK($C302),"",IF($BZ302&lt;&gt;Constants!$B$8,$BZ302,IF(ISNUMBER($CG302),RANK($CG302,$CG$9:$CG$508,1),COUNT($CG$9:$CG$508)+1)))</f>
        <v/>
      </c>
      <c r="CI302" s="138" t="str">
        <f aca="false">IF($BZ302&lt;&gt;Constants!$B$8,"",IF($BM302="-&gt;",$BV302,$BJ302))</f>
        <v/>
      </c>
      <c r="CJ302" s="135" t="str">
        <f aca="false">IF(ISBLANK($C302),"",IF($BZ302&lt;&gt;Constants!$B$8,$BZ302,IF(ISNUMBER($CI302),RANK($CI302,$CI$9:$CI$508,1),COUNT($CI$9:$CI$508)+1)))</f>
        <v/>
      </c>
      <c r="CK302" s="138" t="str">
        <f aca="false">IF($BZ302&lt;&gt;Constants!$B$8,"",IF($BM302="-&gt;",$BW302,$BK302))</f>
        <v/>
      </c>
      <c r="CL302" s="135" t="str">
        <f aca="false">IF(ISBLANK($C302),"",IF($BZ302&lt;&gt;Constants!$B$8,$BZ302,IF(ISNUMBER($CK302),RANK($CK302,$CK$9:$CK$508,1),COUNT($CK$9:$CK$508)+1)))</f>
        <v/>
      </c>
      <c r="CM302" s="138" t="str">
        <f aca="false">IF($BZ302&lt;&gt;Constants!$B$8,"",IF(AND(NOT($AL302),NOT($AT302),$AJ302,$AK302,$AR302,$AS302),"",IF($BM302="-&gt;",$BX302,$BL302)))</f>
        <v/>
      </c>
      <c r="CN302" s="135" t="str">
        <f aca="false">IF(ISBLANK($C302),"",IF($BZ302&lt;&gt;Constants!$B$8,$BZ302,IF(ISNUMBER($CM302),RANK($CM302,$CM$9:$CM$508,1),COUNT($CM$9:$CM$508)+1)))</f>
        <v/>
      </c>
      <c r="CO302" s="135" t="str">
        <f aca="false">IF(ISBLANK($C302),"",IF($BZ302&lt;&gt;Constants!$B$8,$BZ302,COUNTIFS($CF$9:$CF$508,"&lt;"&amp;$CF302)+COUNTIFS($CF$9:$CF$508,$CF302,$CH$9:$CH$508,"&lt;"&amp;$CH302)+COUNTIFS($CF$9:$CF$508,$CF302,$CH$9:$CH$508,$CH302,$CJ$9:$CJ$508,"&lt;"&amp;$CJ302)+COUNTIFS($CF$9:$CF$508,$CF302,$CH$9:$CH$508,$CH302,$CJ$9:$CJ$508,$CJ302,$CL$9:$CL$508,"&lt;"&amp;$CL302)+COUNTIFS($CF$9:$CF$508,$CF302,$CH$9:$CH$508,$CH302,$CJ$9:$CJ$508,$CJ302,$CL$9:$CL$508,$CL302,$CN$9:$CN$508,"&lt;"&amp;$CN302)+1))</f>
        <v/>
      </c>
      <c r="CP302" s="135" t="str">
        <f aca="false">IF(ISBLANK($C302),"",IF($BZ302&lt;&gt;Constants!$B$8,$BZ302,$CF302-$CO302))</f>
        <v/>
      </c>
      <c r="CQ302" s="141"/>
      <c r="CR302" s="142"/>
      <c r="CS302" s="143" t="str">
        <f aca="false">IF(ISBLANK($C302),"",IF($BZ302=Constants!$B$12,$BY302,""))</f>
        <v/>
      </c>
      <c r="CT302" s="142" t="str">
        <f aca="false">IF(ISBLANK($C302),"",IF($BZ302&lt;&gt;Constants!$B$8,"",IF($BM302="-&gt;",2,1)))</f>
        <v/>
      </c>
      <c r="CU302" s="144" t="str">
        <f aca="false">IF(ISBLANK($C302),"",IF($BZ302&lt;&gt;Constants!$B$8,"",IF($BM302="-&gt;",$BO302,$BC302)))</f>
        <v/>
      </c>
      <c r="CV302" s="144" t="str">
        <f aca="false">IF(ISBLANK($C302),"",IF($BZ302&lt;&gt;Constants!$B$8,"",IF($BM302="-&gt;",$BP302,$BD302)))</f>
        <v/>
      </c>
      <c r="CW302" s="144" t="str">
        <f aca="false">IF(ISBLANK($C302),"",IF($BZ302&lt;&gt;Constants!$B$8,"",IF($BM302="-&gt;",$BQ302+$BR302,$BE302+$BF302)+$CD302))</f>
        <v/>
      </c>
      <c r="CX302" s="144" t="str">
        <f aca="false">IF(ISBLANK($C302),"",IF($BZ302&lt;&gt;Constants!$B$8,"",IF($BM302="-&gt;",$BS302,$BG302)+$CC302))</f>
        <v/>
      </c>
      <c r="CY302" s="145" t="str">
        <f aca="false">IF(ISBLANK($C302),"",IF($BZ302&lt;&gt;Constants!$B$8,$BZ302,$CE302))</f>
        <v/>
      </c>
      <c r="CZ302" s="146" t="str">
        <f aca="false">IF(ISBLANK($C302),"",$CA302)</f>
        <v/>
      </c>
      <c r="DA302" s="147" t="str">
        <f aca="false">IF(ISBLANK($C302),"",$CP302)</f>
        <v/>
      </c>
      <c r="DB302" s="147" t="str">
        <f aca="false">IF(ISBLANK($C302),"",$CO302)</f>
        <v/>
      </c>
      <c r="DC302" s="148" t="str">
        <f aca="false">IF(ISBLANK($C302),"",IFERROR(_xlfn.SWITCH($DB302,Constants!$B$11,COUNTA($C$9:$C$508)+2,Constants!$B$10,COUNTA($C$9:$C$508)+1,Constants!$B$9,COUNTA($C$9:$C$508)),$DB302))</f>
        <v/>
      </c>
      <c r="DD302" s="9"/>
      <c r="DE302" s="149" t="n">
        <f aca="false">IF(OR(ISNUMBER($DB302),$DB302=Constants!$B$11,$DB302=Constants!$B$9,$DB302=Constants!$B$10),1,0)</f>
        <v>0</v>
      </c>
      <c r="DF302" s="149" t="n">
        <v>294</v>
      </c>
      <c r="DG302" s="149" t="str">
        <f aca="false">IF(ISBLANK($C302),"",IF(ISNUMBER($DC302),$DC302+ROW($B302)/1000,""))</f>
        <v/>
      </c>
      <c r="DH302" s="149" t="str">
        <f aca="false">IF(ISNUMBER($DG302),RANK($DG302,$DG$9:$DG$508,1),"")</f>
        <v/>
      </c>
      <c r="DI302" s="149" t="str">
        <f aca="false">IF(ISBLANK($C302),"",$B302)</f>
        <v/>
      </c>
      <c r="DJ302" s="149" t="str">
        <f aca="false">IF(ISBLANK($C302),"",$C302)</f>
        <v/>
      </c>
      <c r="DK302" s="149" t="str">
        <f aca="false">IF(ISBLANK($C302),"",$D302)</f>
        <v/>
      </c>
      <c r="DL302" s="150" t="str">
        <f aca="false">$CZ302</f>
        <v/>
      </c>
      <c r="DM302" s="151" t="str">
        <f aca="false">$CY302</f>
        <v/>
      </c>
      <c r="DN302" s="149" t="str">
        <f aca="false">IF(ISBLANK($C302),"",$DB302)</f>
        <v/>
      </c>
      <c r="DO302" s="152" t="str">
        <f aca="false">IF($DF302&gt;$DE$8,"",VLOOKUP($DF302,$DH$9:$DN$508,7,FALSE()))</f>
        <v/>
      </c>
      <c r="DP302" s="153" t="str">
        <f aca="false">IF($DF302&gt;$DE$8,"",VLOOKUP($DF302,$DH$9:$DN$508,2,FALSE()))</f>
        <v/>
      </c>
      <c r="DQ302" s="153" t="str">
        <f aca="false">IF($DF302&gt;$DE$8,"",VLOOKUP($DF302,$DH$9:$DN$508,3,FALSE()))</f>
        <v/>
      </c>
      <c r="DR302" s="153" t="str">
        <f aca="false">IF($DF302&gt;$DE$8,"",VLOOKUP($DF302,$DH$9:$DN$508,4,FALSE()))</f>
        <v/>
      </c>
      <c r="DS302" s="153" t="str">
        <f aca="false">IF($DF302&gt;$DE$8,"",VLOOKUP($DF302,$DH$9:$DN$508,5,FALSE()))</f>
        <v/>
      </c>
      <c r="DT302" s="154" t="str">
        <f aca="false">IF($DF302&gt;$DE$8,"",VLOOKUP($DF302,$DH$9:$DN$508,6,FALSE()))</f>
        <v/>
      </c>
      <c r="DU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IF(ISBLANK($C303),"",IF(E303=Constants!$B$3,TRUE(),IF(E303=Constants!$B$4,FALSE(),TRUE())))</f>
        <v/>
      </c>
      <c r="AG303" s="93" t="str">
        <f aca="false">IF(ISBLANK($C303),"",IF(F303=Constants!$B$3,TRUE(),IF(F303=Constants!$B$4,FALSE(),TRUE())))</f>
        <v/>
      </c>
      <c r="AH303" s="93" t="str">
        <f aca="false">IF(ISBLANK($C303),"",IF(G303=Constants!$B$3,TRUE(),IF(G303=Constants!$B$4,FALSE(),TRUE())))</f>
        <v/>
      </c>
      <c r="AI303" s="93" t="str">
        <f aca="false">IF(ISBLANK($C303),"",IF(AND(ISNUMBER(H303),H303&gt;=0),H303,Constants!$B$29))</f>
        <v/>
      </c>
      <c r="AJ303" s="93" t="str">
        <f aca="false">IF(ISBLANK($C303),"",IF(I303=Constants!$B$3,TRUE(),IF(I303=Constants!$B$4,FALSE(),TRUE())))</f>
        <v/>
      </c>
      <c r="AK303" s="93" t="str">
        <f aca="false">IF(ISBLANK($C303),"",IF(J303=Constants!$B$3,TRUE(),IF(J303=Constants!$B$4,FALSE(),TRUE())))</f>
        <v/>
      </c>
      <c r="AL303" s="93" t="str">
        <f aca="false">IF(ISBLANK($C303),"",IF(K303=Constants!$B$5,TRUE(),IF(K303=Constants!$B$6,FALSE(),COUNTA(L303:P303)&gt;0)))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IF(ISBLANK($C303),"",IF(N303=Constants!$B$3,TRUE(),IF(N303=Constants!$B$4,FALSE(),TRUE())))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IF(ISBLANK($C303),"",IF(P303=Constants!$B$3,TRUE(),IF(P303=Constants!$B$4,FALSE(),FALSE())))</f>
        <v/>
      </c>
      <c r="AR303" s="93" t="str">
        <f aca="false">IF(ISBLANK($C303),"",IF(Q303=Constants!$B$3,TRUE(),IF(Q303=Constants!$B$4,FALSE(),TRUE())))</f>
        <v/>
      </c>
      <c r="AS303" s="93" t="str">
        <f aca="false">IF(ISBLANK($C303),"",IF(R303=Constants!$B$3,TRUE(),IF(R303=Constants!$B$4,FALSE(),TRUE())))</f>
        <v/>
      </c>
      <c r="AT303" s="93" t="str">
        <f aca="false">IF(ISBLANK($C303),"",IF(S303=Constants!$B$5,TRUE(),IF(S303=Constants!$B$6,FALSE(),COUNTA(T303:X303)&gt;0)))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IF(ISBLANK($C303),"",IF(V303=Constants!$B$3,TRUE(),IF(V303=Constants!$B$4,FALSE(),TRUE())))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IF(ISBLANK($C303),"",IF(X303=Constants!$B$3,TRUE(),IF(X303=Constants!$B$4,FALSE(),FALSE())))</f>
        <v/>
      </c>
      <c r="AZ303" s="93" t="str">
        <f aca="false">IF(ISBLANK($C303),"",MIN(Constants!$B$31,MAX(0,IF(ISNUMBER(Y303),Y303*60,0)+IF(ISNUMBER(Z303),Z303,0))))</f>
        <v/>
      </c>
      <c r="BA303" s="93" t="str">
        <f aca="false">IF(ISBLANK($C303),"",IF(AA303=Constants!$B$3,TRUE(),IF(AA303=Constants!$B$4,FALSE(),FALSE())))</f>
        <v/>
      </c>
      <c r="BB303" s="92" t="str">
        <f aca="false">IF(ISBLANK($C303),"",AND($AL303,OR($AM303="",$AN303="",AND($AO303,$AP303=""))))</f>
        <v/>
      </c>
      <c r="BC303" s="94" t="str">
        <f aca="false">IF($BZ303&lt;&gt;Constants!$B$8,"",IF($AL303,Constants!$B$21*$AN303+Constants!$B$22*IF($AO303,$AP303,Constants!$B$23),Constants!$B$24))</f>
        <v/>
      </c>
      <c r="BD303" s="97" t="str">
        <f aca="false">IF($BZ303&lt;&gt;Constants!$B$8,"",Constants!$B$25*ABS($AD$9-IF($AL303,$AM303,0)))</f>
        <v/>
      </c>
      <c r="BE303" s="97" t="str">
        <f aca="false">IF($BZ303&lt;&gt;Constants!$B$8,"",IF(AND($AL303,$AQ303,$AO303),Constants!$B$27,0))</f>
        <v/>
      </c>
      <c r="BF303" s="97" t="str">
        <f aca="false">IF($BZ303&lt;&gt;Constants!$B$8,"",IF($AL303,($AI303-Constants!$B$29)*Constants!$B$28,0))</f>
        <v/>
      </c>
      <c r="BG303" s="97" t="str">
        <f aca="false">IF($BZ303&lt;&gt;Constants!$B$8,"",IF($AK303,0,Constants!$B$15)+IF($AJ303,0,Constants!$B$16)+IF($AH303,0,Constants!$B$17))</f>
        <v/>
      </c>
      <c r="BH303" s="98" t="str">
        <f aca="false">IF($BZ303&lt;&gt;Constants!$B$8,"",Constants!$B$20+SUM($BC303:$BG303))</f>
        <v/>
      </c>
      <c r="BI303" s="97" t="str">
        <f aca="false">IF($BZ303&lt;&gt;Constants!$B$8,"",$BC303)</f>
        <v/>
      </c>
      <c r="BJ303" s="97" t="str">
        <f aca="false">IF($BZ303&lt;&gt;Constants!$B$8,"",$BD303)</f>
        <v/>
      </c>
      <c r="BK303" s="97" t="str">
        <f aca="false">IF($BZ303&lt;&gt;Constants!$B$8,"",IF($AL303,$AN303,""))</f>
        <v/>
      </c>
      <c r="BL303" s="99" t="str">
        <f aca="false">IF($BZ303&lt;&gt;Constants!$B$8,"",$AI303)</f>
        <v/>
      </c>
      <c r="BM303" s="93" t="str">
        <f aca="false">IF($BZ303&lt;&gt;Constants!$B$8,"",IF(OR($BT303&lt;$BH303,AND($BT303=$BH303,OR($BU303&lt;$BI303,AND($BU303=$BI303,OR($BV303&lt;$BJ303,AND($BV303=$BJ303,OR(AND(ISNUMBER($BW303),OR(NOT(ISNUMBER($BK303)),$BW303&lt;$BK303)),AND(OR(AND($BW303="",$BK303=""),AND(ISNUMBER($BW303),ISNUMBER($BK303),$BW303=$BK303)),$BX303&lt;$BL303)))))))),"-&gt;","&lt;-"))</f>
        <v/>
      </c>
      <c r="BN303" s="92" t="str">
        <f aca="false">IF(ISBLANK($C303),"",AND($AT303,OR($AU303="",$AV303="",AND($AW303,$AX303=""))))</f>
        <v/>
      </c>
      <c r="BO303" s="94" t="str">
        <f aca="false">IF($BZ303&lt;&gt;Constants!$B$8,"",IF($AT303,Constants!$B$21*$AV303+Constants!$B$22*IF($AW303,$AX303,Constants!$B$23),Constants!$B$24))</f>
        <v/>
      </c>
      <c r="BP303" s="97" t="str">
        <f aca="false">IF($BZ303&lt;&gt;Constants!$B$8,"",Constants!$B$25*ABS($AD$9-IF($AT303,$AU303,0)))</f>
        <v/>
      </c>
      <c r="BQ303" s="97" t="str">
        <f aca="false">IF($BZ303&lt;&gt;Constants!$B$8,"",IF(AND($AT303,$AY303,$AW303),Constants!$B$27,0))</f>
        <v/>
      </c>
      <c r="BR303" s="97" t="str">
        <f aca="false">IF($BZ303&lt;&gt;Constants!$B$8,"",IF($AT303,($AI303-Constants!$B$29)*Constants!$B$28,0))</f>
        <v/>
      </c>
      <c r="BS303" s="97" t="str">
        <f aca="false">IF($BZ303&lt;&gt;Constants!$B$8,"",IF($AS303,0,Constants!$B$15)+IF($AR303,0,Constants!$B$16)+IF($AH303,0,Constants!$B$17))</f>
        <v/>
      </c>
      <c r="BT303" s="98" t="str">
        <f aca="false">IF($BZ303&lt;&gt;Constants!$B$8,"",Constants!$B$20+SUM($BO303:$BS303))</f>
        <v/>
      </c>
      <c r="BU303" s="97" t="str">
        <f aca="false">IF($BZ303&lt;&gt;Constants!$B$8,"",$BO303)</f>
        <v/>
      </c>
      <c r="BV303" s="97" t="str">
        <f aca="false">IF($BZ303&lt;&gt;Constants!$B$8,"",$BP303)</f>
        <v/>
      </c>
      <c r="BW303" s="97" t="str">
        <f aca="false">IF($BZ303&lt;&gt;Constants!$B$8,"",IF($AT303,$AV303,""))</f>
        <v/>
      </c>
      <c r="BX303" s="99" t="str">
        <f aca="false">IF($BZ303&lt;&gt;Constants!$B$8,"",$AI303)</f>
        <v/>
      </c>
      <c r="BY303" s="93" t="str">
        <f aca="false">IF(ISBLANK($C303),"",IF(ISBLANK($D$7),$BY$5,IF(NOT(ISNUMBER($D$7)),$BY$6,"")))</f>
        <v/>
      </c>
      <c r="BZ303" s="93" t="str">
        <f aca="false">IF(ISBLANK($C303),"",IF($BA303,Constants!$B$11,IF(COUNTA($E303:$AA303)=0,Constants!$B$10,IF(NOT($AG303),Constants!$B$9,IF(OR($BY303&lt;&gt;"",$BB303,$BN303),Constants!$B$12,Constants!$B$8)))))</f>
        <v/>
      </c>
      <c r="CA303" s="93" t="str">
        <f aca="false">IF(ISBLANK($C303),"",IF($BZ303&lt;&gt;Constants!$B$8,$BZ303,Constants!$B$13))</f>
        <v/>
      </c>
      <c r="CB303" s="97" t="str">
        <f aca="false">IF($BZ303&lt;&gt;Constants!$B$8,"",IF($BM303="-&gt;",$BT303,$BH303))</f>
        <v/>
      </c>
      <c r="CC303" s="97" t="str">
        <f aca="false">IF($BZ303&lt;&gt;Constants!$B$8,"",IF($AF303,0,Constants!$B$18))</f>
        <v/>
      </c>
      <c r="CD303" s="97" t="str">
        <f aca="false">IF($BZ303&lt;&gt;Constants!$B$8,"",((Constants!$B$31-$AZ303)-Constants!$B$31)/Constants!$B$32)</f>
        <v/>
      </c>
      <c r="CE303" s="97" t="str">
        <f aca="false">IF(ISBLANK($C303),"",IF($BZ303&lt;&gt;Constants!$B$8,$BZ303,SUM($CB303:$CD303)))</f>
        <v/>
      </c>
      <c r="CF303" s="93" t="str">
        <f aca="false">IF(ISBLANK($C303),"",IF($BZ303&lt;&gt;Constants!$B$8,$BZ303,RANK($CE303,$CE$9:$CE$508,1)))</f>
        <v/>
      </c>
      <c r="CG303" s="97" t="str">
        <f aca="false">IF($BZ303&lt;&gt;Constants!$B$8,"",IF($BM303="-&gt;",$BU303,$BI303))</f>
        <v/>
      </c>
      <c r="CH303" s="93" t="str">
        <f aca="false">IF(ISBLANK($C303),"",IF($BZ303&lt;&gt;Constants!$B$8,$BZ303,IF(ISNUMBER($CG303),RANK($CG303,$CG$9:$CG$508,1),COUNT($CG$9:$CG$508)+1)))</f>
        <v/>
      </c>
      <c r="CI303" s="97" t="str">
        <f aca="false">IF($BZ303&lt;&gt;Constants!$B$8,"",IF($BM303="-&gt;",$BV303,$BJ303))</f>
        <v/>
      </c>
      <c r="CJ303" s="93" t="str">
        <f aca="false">IF(ISBLANK($C303),"",IF($BZ303&lt;&gt;Constants!$B$8,$BZ303,IF(ISNUMBER($CI303),RANK($CI303,$CI$9:$CI$508,1),COUNT($CI$9:$CI$508)+1)))</f>
        <v/>
      </c>
      <c r="CK303" s="97" t="str">
        <f aca="false">IF($BZ303&lt;&gt;Constants!$B$8,"",IF($BM303="-&gt;",$BW303,$BK303))</f>
        <v/>
      </c>
      <c r="CL303" s="93" t="str">
        <f aca="false">IF(ISBLANK($C303),"",IF($BZ303&lt;&gt;Constants!$B$8,$BZ303,IF(ISNUMBER($CK303),RANK($CK303,$CK$9:$CK$508,1),COUNT($CK$9:$CK$508)+1)))</f>
        <v/>
      </c>
      <c r="CM303" s="97" t="str">
        <f aca="false">IF($BZ303&lt;&gt;Constants!$B$8,"",IF(AND(NOT($AL303),NOT($AT303),$AJ303,$AK303,$AR303,$AS303),"",IF($BM303="-&gt;",$BX303,$BL303)))</f>
        <v/>
      </c>
      <c r="CN303" s="93" t="str">
        <f aca="false">IF(ISBLANK($C303),"",IF($BZ303&lt;&gt;Constants!$B$8,$BZ303,IF(ISNUMBER($CM303),RANK($CM303,$CM$9:$CM$508,1),COUNT($CM$9:$CM$508)+1)))</f>
        <v/>
      </c>
      <c r="CO303" s="93" t="str">
        <f aca="false">IF(ISBLANK($C303),"",IF($BZ303&lt;&gt;Constants!$B$8,$BZ303,COUNTIFS($CF$9:$CF$508,"&lt;"&amp;$CF303)+COUNTIFS($CF$9:$CF$508,$CF303,$CH$9:$CH$508,"&lt;"&amp;$CH303)+COUNTIFS($CF$9:$CF$508,$CF303,$CH$9:$CH$508,$CH303,$CJ$9:$CJ$508,"&lt;"&amp;$CJ303)+COUNTIFS($CF$9:$CF$508,$CF303,$CH$9:$CH$508,$CH303,$CJ$9:$CJ$508,$CJ303,$CL$9:$CL$508,"&lt;"&amp;$CL303)+COUNTIFS($CF$9:$CF$508,$CF303,$CH$9:$CH$508,$CH303,$CJ$9:$CJ$508,$CJ303,$CL$9:$CL$508,$CL303,$CN$9:$CN$508,"&lt;"&amp;$CN303)+1))</f>
        <v/>
      </c>
      <c r="CP303" s="93" t="str">
        <f aca="false">IF(ISBLANK($C303),"",IF($BZ303&lt;&gt;Constants!$B$8,$BZ303,$CF303-$CO303))</f>
        <v/>
      </c>
      <c r="CQ303" s="100"/>
      <c r="CR303" s="101"/>
      <c r="CS303" s="102" t="str">
        <f aca="false">IF(ISBLANK($C303),"",IF($BZ303=Constants!$B$12,$BY303,""))</f>
        <v/>
      </c>
      <c r="CT303" s="101" t="str">
        <f aca="false">IF(ISBLANK($C303),"",IF($BZ303&lt;&gt;Constants!$B$8,"",IF($BM303="-&gt;",2,1)))</f>
        <v/>
      </c>
      <c r="CU303" s="103" t="str">
        <f aca="false">IF(ISBLANK($C303),"",IF($BZ303&lt;&gt;Constants!$B$8,"",IF($BM303="-&gt;",$BO303,$BC303)))</f>
        <v/>
      </c>
      <c r="CV303" s="103" t="str">
        <f aca="false">IF(ISBLANK($C303),"",IF($BZ303&lt;&gt;Constants!$B$8,"",IF($BM303="-&gt;",$BP303,$BD303)))</f>
        <v/>
      </c>
      <c r="CW303" s="103" t="str">
        <f aca="false">IF(ISBLANK($C303),"",IF($BZ303&lt;&gt;Constants!$B$8,"",IF($BM303="-&gt;",$BQ303+$BR303,$BE303+$BF303)+$CD303))</f>
        <v/>
      </c>
      <c r="CX303" s="103" t="str">
        <f aca="false">IF(ISBLANK($C303),"",IF($BZ303&lt;&gt;Constants!$B$8,"",IF($BM303="-&gt;",$BS303,$BG303)+$CC303))</f>
        <v/>
      </c>
      <c r="CY303" s="104" t="str">
        <f aca="false">IF(ISBLANK($C303),"",IF($BZ303&lt;&gt;Constants!$B$8,$BZ303,$CE303))</f>
        <v/>
      </c>
      <c r="CZ303" s="105" t="str">
        <f aca="false">IF(ISBLANK($C303),"",$CA303)</f>
        <v/>
      </c>
      <c r="DA303" s="106" t="str">
        <f aca="false">IF(ISBLANK($C303),"",$CP303)</f>
        <v/>
      </c>
      <c r="DB303" s="106" t="str">
        <f aca="false">IF(ISBLANK($C303),"",$CO303)</f>
        <v/>
      </c>
      <c r="DC303" s="107" t="str">
        <f aca="false">IF(ISBLANK($C303),"",IFERROR(_xlfn.SWITCH($DB303,Constants!$B$11,COUNTA($C$9:$C$508)+2,Constants!$B$10,COUNTA($C$9:$C$508)+1,Constants!$B$9,COUNTA($C$9:$C$508)),$DB303))</f>
        <v/>
      </c>
      <c r="DD303" s="9"/>
      <c r="DE303" s="108" t="n">
        <f aca="false">IF(OR(ISNUMBER($DB303),$DB303=Constants!$B$11,$DB303=Constants!$B$9,$DB303=Constants!$B$10),1,0)</f>
        <v>0</v>
      </c>
      <c r="DF303" s="108" t="n">
        <v>295</v>
      </c>
      <c r="DG303" s="108" t="str">
        <f aca="false">IF(ISBLANK($C303),"",IF(ISNUMBER($DC303),$DC303+ROW($B303)/1000,""))</f>
        <v/>
      </c>
      <c r="DH303" s="108" t="str">
        <f aca="false">IF(ISNUMBER($DG303),RANK($DG303,$DG$9:$DG$508,1),"")</f>
        <v/>
      </c>
      <c r="DI303" s="108" t="str">
        <f aca="false">IF(ISBLANK($C303),"",$B303)</f>
        <v/>
      </c>
      <c r="DJ303" s="108" t="str">
        <f aca="false">IF(ISBLANK($C303),"",$C303)</f>
        <v/>
      </c>
      <c r="DK303" s="108" t="str">
        <f aca="false">IF(ISBLANK($C303),"",$D303)</f>
        <v/>
      </c>
      <c r="DL303" s="109" t="str">
        <f aca="false">$CZ303</f>
        <v/>
      </c>
      <c r="DM303" s="110" t="str">
        <f aca="false">$CY303</f>
        <v/>
      </c>
      <c r="DN303" s="108" t="str">
        <f aca="false">IF(ISBLANK($C303),"",$DB303)</f>
        <v/>
      </c>
      <c r="DO303" s="111" t="str">
        <f aca="false">IF($DF303&gt;$DE$8,"",VLOOKUP($DF303,$DH$9:$DN$508,7,FALSE()))</f>
        <v/>
      </c>
      <c r="DP303" s="112" t="str">
        <f aca="false">IF($DF303&gt;$DE$8,"",VLOOKUP($DF303,$DH$9:$DN$508,2,FALSE()))</f>
        <v/>
      </c>
      <c r="DQ303" s="112" t="str">
        <f aca="false">IF($DF303&gt;$DE$8,"",VLOOKUP($DF303,$DH$9:$DN$508,3,FALSE()))</f>
        <v/>
      </c>
      <c r="DR303" s="112" t="str">
        <f aca="false">IF($DF303&gt;$DE$8,"",VLOOKUP($DF303,$DH$9:$DN$508,4,FALSE()))</f>
        <v/>
      </c>
      <c r="DS303" s="112" t="str">
        <f aca="false">IF($DF303&gt;$DE$8,"",VLOOKUP($DF303,$DH$9:$DN$508,5,FALSE()))</f>
        <v/>
      </c>
      <c r="DT303" s="113" t="str">
        <f aca="false">IF($DF303&gt;$DE$8,"",VLOOKUP($DF303,$DH$9:$DN$508,6,FALSE()))</f>
        <v/>
      </c>
      <c r="DU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IF(ISBLANK($C304),"",IF(E304=Constants!$B$3,TRUE(),IF(E304=Constants!$B$4,FALSE(),TRUE())))</f>
        <v/>
      </c>
      <c r="AG304" s="93" t="str">
        <f aca="false">IF(ISBLANK($C304),"",IF(F304=Constants!$B$3,TRUE(),IF(F304=Constants!$B$4,FALSE(),TRUE())))</f>
        <v/>
      </c>
      <c r="AH304" s="93" t="str">
        <f aca="false">IF(ISBLANK($C304),"",IF(G304=Constants!$B$3,TRUE(),IF(G304=Constants!$B$4,FALSE(),TRUE())))</f>
        <v/>
      </c>
      <c r="AI304" s="93" t="str">
        <f aca="false">IF(ISBLANK($C304),"",IF(AND(ISNUMBER(H304),H304&gt;=0),H304,Constants!$B$29))</f>
        <v/>
      </c>
      <c r="AJ304" s="93" t="str">
        <f aca="false">IF(ISBLANK($C304),"",IF(I304=Constants!$B$3,TRUE(),IF(I304=Constants!$B$4,FALSE(),TRUE())))</f>
        <v/>
      </c>
      <c r="AK304" s="93" t="str">
        <f aca="false">IF(ISBLANK($C304),"",IF(J304=Constants!$B$3,TRUE(),IF(J304=Constants!$B$4,FALSE(),TRUE())))</f>
        <v/>
      </c>
      <c r="AL304" s="93" t="str">
        <f aca="false">IF(ISBLANK($C304),"",IF(K304=Constants!$B$5,TRUE(),IF(K304=Constants!$B$6,FALSE(),COUNTA(L304:P304)&gt;0)))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IF(ISBLANK($C304),"",IF(N304=Constants!$B$3,TRUE(),IF(N304=Constants!$B$4,FALSE(),TRUE())))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IF(ISBLANK($C304),"",IF(P304=Constants!$B$3,TRUE(),IF(P304=Constants!$B$4,FALSE(),FALSE())))</f>
        <v/>
      </c>
      <c r="AR304" s="93" t="str">
        <f aca="false">IF(ISBLANK($C304),"",IF(Q304=Constants!$B$3,TRUE(),IF(Q304=Constants!$B$4,FALSE(),TRUE())))</f>
        <v/>
      </c>
      <c r="AS304" s="93" t="str">
        <f aca="false">IF(ISBLANK($C304),"",IF(R304=Constants!$B$3,TRUE(),IF(R304=Constants!$B$4,FALSE(),TRUE())))</f>
        <v/>
      </c>
      <c r="AT304" s="93" t="str">
        <f aca="false">IF(ISBLANK($C304),"",IF(S304=Constants!$B$5,TRUE(),IF(S304=Constants!$B$6,FALSE(),COUNTA(T304:X304)&gt;0)))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IF(ISBLANK($C304),"",IF(V304=Constants!$B$3,TRUE(),IF(V304=Constants!$B$4,FALSE(),TRUE())))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IF(ISBLANK($C304),"",IF(X304=Constants!$B$3,TRUE(),IF(X304=Constants!$B$4,FALSE(),FALSE())))</f>
        <v/>
      </c>
      <c r="AZ304" s="93" t="str">
        <f aca="false">IF(ISBLANK($C304),"",MIN(Constants!$B$31,MAX(0,IF(ISNUMBER(Y304),Y304*60,0)+IF(ISNUMBER(Z304),Z304,0))))</f>
        <v/>
      </c>
      <c r="BA304" s="93" t="str">
        <f aca="false">IF(ISBLANK($C304),"",IF(AA304=Constants!$B$3,TRUE(),IF(AA304=Constants!$B$4,FALSE(),FALSE())))</f>
        <v/>
      </c>
      <c r="BB304" s="92" t="str">
        <f aca="false">IF(ISBLANK($C304),"",AND($AL304,OR($AM304="",$AN304="",AND($AO304,$AP304=""))))</f>
        <v/>
      </c>
      <c r="BC304" s="94" t="str">
        <f aca="false">IF($BZ304&lt;&gt;Constants!$B$8,"",IF($AL304,Constants!$B$21*$AN304+Constants!$B$22*IF($AO304,$AP304,Constants!$B$23),Constants!$B$24))</f>
        <v/>
      </c>
      <c r="BD304" s="97" t="str">
        <f aca="false">IF($BZ304&lt;&gt;Constants!$B$8,"",Constants!$B$25*ABS($AD$9-IF($AL304,$AM304,0)))</f>
        <v/>
      </c>
      <c r="BE304" s="97" t="str">
        <f aca="false">IF($BZ304&lt;&gt;Constants!$B$8,"",IF(AND($AL304,$AQ304,$AO304),Constants!$B$27,0))</f>
        <v/>
      </c>
      <c r="BF304" s="97" t="str">
        <f aca="false">IF($BZ304&lt;&gt;Constants!$B$8,"",IF($AL304,($AI304-Constants!$B$29)*Constants!$B$28,0))</f>
        <v/>
      </c>
      <c r="BG304" s="97" t="str">
        <f aca="false">IF($BZ304&lt;&gt;Constants!$B$8,"",IF($AK304,0,Constants!$B$15)+IF($AJ304,0,Constants!$B$16)+IF($AH304,0,Constants!$B$17))</f>
        <v/>
      </c>
      <c r="BH304" s="98" t="str">
        <f aca="false">IF($BZ304&lt;&gt;Constants!$B$8,"",Constants!$B$20+SUM($BC304:$BG304))</f>
        <v/>
      </c>
      <c r="BI304" s="97" t="str">
        <f aca="false">IF($BZ304&lt;&gt;Constants!$B$8,"",$BC304)</f>
        <v/>
      </c>
      <c r="BJ304" s="97" t="str">
        <f aca="false">IF($BZ304&lt;&gt;Constants!$B$8,"",$BD304)</f>
        <v/>
      </c>
      <c r="BK304" s="97" t="str">
        <f aca="false">IF($BZ304&lt;&gt;Constants!$B$8,"",IF($AL304,$AN304,""))</f>
        <v/>
      </c>
      <c r="BL304" s="99" t="str">
        <f aca="false">IF($BZ304&lt;&gt;Constants!$B$8,"",$AI304)</f>
        <v/>
      </c>
      <c r="BM304" s="93" t="str">
        <f aca="false">IF($BZ304&lt;&gt;Constants!$B$8,"",IF(OR($BT304&lt;$BH304,AND($BT304=$BH304,OR($BU304&lt;$BI304,AND($BU304=$BI304,OR($BV304&lt;$BJ304,AND($BV304=$BJ304,OR(AND(ISNUMBER($BW304),OR(NOT(ISNUMBER($BK304)),$BW304&lt;$BK304)),AND(OR(AND($BW304="",$BK304=""),AND(ISNUMBER($BW304),ISNUMBER($BK304),$BW304=$BK304)),$BX304&lt;$BL304)))))))),"-&gt;","&lt;-"))</f>
        <v/>
      </c>
      <c r="BN304" s="92" t="str">
        <f aca="false">IF(ISBLANK($C304),"",AND($AT304,OR($AU304="",$AV304="",AND($AW304,$AX304=""))))</f>
        <v/>
      </c>
      <c r="BO304" s="94" t="str">
        <f aca="false">IF($BZ304&lt;&gt;Constants!$B$8,"",IF($AT304,Constants!$B$21*$AV304+Constants!$B$22*IF($AW304,$AX304,Constants!$B$23),Constants!$B$24))</f>
        <v/>
      </c>
      <c r="BP304" s="97" t="str">
        <f aca="false">IF($BZ304&lt;&gt;Constants!$B$8,"",Constants!$B$25*ABS($AD$9-IF($AT304,$AU304,0)))</f>
        <v/>
      </c>
      <c r="BQ304" s="97" t="str">
        <f aca="false">IF($BZ304&lt;&gt;Constants!$B$8,"",IF(AND($AT304,$AY304,$AW304),Constants!$B$27,0))</f>
        <v/>
      </c>
      <c r="BR304" s="97" t="str">
        <f aca="false">IF($BZ304&lt;&gt;Constants!$B$8,"",IF($AT304,($AI304-Constants!$B$29)*Constants!$B$28,0))</f>
        <v/>
      </c>
      <c r="BS304" s="97" t="str">
        <f aca="false">IF($BZ304&lt;&gt;Constants!$B$8,"",IF($AS304,0,Constants!$B$15)+IF($AR304,0,Constants!$B$16)+IF($AH304,0,Constants!$B$17))</f>
        <v/>
      </c>
      <c r="BT304" s="98" t="str">
        <f aca="false">IF($BZ304&lt;&gt;Constants!$B$8,"",Constants!$B$20+SUM($BO304:$BS304))</f>
        <v/>
      </c>
      <c r="BU304" s="97" t="str">
        <f aca="false">IF($BZ304&lt;&gt;Constants!$B$8,"",$BO304)</f>
        <v/>
      </c>
      <c r="BV304" s="97" t="str">
        <f aca="false">IF($BZ304&lt;&gt;Constants!$B$8,"",$BP304)</f>
        <v/>
      </c>
      <c r="BW304" s="97" t="str">
        <f aca="false">IF($BZ304&lt;&gt;Constants!$B$8,"",IF($AT304,$AV304,""))</f>
        <v/>
      </c>
      <c r="BX304" s="99" t="str">
        <f aca="false">IF($BZ304&lt;&gt;Constants!$B$8,"",$AI304)</f>
        <v/>
      </c>
      <c r="BY304" s="93" t="str">
        <f aca="false">IF(ISBLANK($C304),"",IF(ISBLANK($D$7),$BY$5,IF(NOT(ISNUMBER($D$7)),$BY$6,"")))</f>
        <v/>
      </c>
      <c r="BZ304" s="93" t="str">
        <f aca="false">IF(ISBLANK($C304),"",IF($BA304,Constants!$B$11,IF(COUNTA($E304:$AA304)=0,Constants!$B$10,IF(NOT($AG304),Constants!$B$9,IF(OR($BY304&lt;&gt;"",$BB304,$BN304),Constants!$B$12,Constants!$B$8)))))</f>
        <v/>
      </c>
      <c r="CA304" s="93" t="str">
        <f aca="false">IF(ISBLANK($C304),"",IF($BZ304&lt;&gt;Constants!$B$8,$BZ304,Constants!$B$13))</f>
        <v/>
      </c>
      <c r="CB304" s="97" t="str">
        <f aca="false">IF($BZ304&lt;&gt;Constants!$B$8,"",IF($BM304="-&gt;",$BT304,$BH304))</f>
        <v/>
      </c>
      <c r="CC304" s="97" t="str">
        <f aca="false">IF($BZ304&lt;&gt;Constants!$B$8,"",IF($AF304,0,Constants!$B$18))</f>
        <v/>
      </c>
      <c r="CD304" s="97" t="str">
        <f aca="false">IF($BZ304&lt;&gt;Constants!$B$8,"",((Constants!$B$31-$AZ304)-Constants!$B$31)/Constants!$B$32)</f>
        <v/>
      </c>
      <c r="CE304" s="97" t="str">
        <f aca="false">IF(ISBLANK($C304),"",IF($BZ304&lt;&gt;Constants!$B$8,$BZ304,SUM($CB304:$CD304)))</f>
        <v/>
      </c>
      <c r="CF304" s="93" t="str">
        <f aca="false">IF(ISBLANK($C304),"",IF($BZ304&lt;&gt;Constants!$B$8,$BZ304,RANK($CE304,$CE$9:$CE$508,1)))</f>
        <v/>
      </c>
      <c r="CG304" s="97" t="str">
        <f aca="false">IF($BZ304&lt;&gt;Constants!$B$8,"",IF($BM304="-&gt;",$BU304,$BI304))</f>
        <v/>
      </c>
      <c r="CH304" s="93" t="str">
        <f aca="false">IF(ISBLANK($C304),"",IF($BZ304&lt;&gt;Constants!$B$8,$BZ304,IF(ISNUMBER($CG304),RANK($CG304,$CG$9:$CG$508,1),COUNT($CG$9:$CG$508)+1)))</f>
        <v/>
      </c>
      <c r="CI304" s="97" t="str">
        <f aca="false">IF($BZ304&lt;&gt;Constants!$B$8,"",IF($BM304="-&gt;",$BV304,$BJ304))</f>
        <v/>
      </c>
      <c r="CJ304" s="93" t="str">
        <f aca="false">IF(ISBLANK($C304),"",IF($BZ304&lt;&gt;Constants!$B$8,$BZ304,IF(ISNUMBER($CI304),RANK($CI304,$CI$9:$CI$508,1),COUNT($CI$9:$CI$508)+1)))</f>
        <v/>
      </c>
      <c r="CK304" s="97" t="str">
        <f aca="false">IF($BZ304&lt;&gt;Constants!$B$8,"",IF($BM304="-&gt;",$BW304,$BK304))</f>
        <v/>
      </c>
      <c r="CL304" s="93" t="str">
        <f aca="false">IF(ISBLANK($C304),"",IF($BZ304&lt;&gt;Constants!$B$8,$BZ304,IF(ISNUMBER($CK304),RANK($CK304,$CK$9:$CK$508,1),COUNT($CK$9:$CK$508)+1)))</f>
        <v/>
      </c>
      <c r="CM304" s="97" t="str">
        <f aca="false">IF($BZ304&lt;&gt;Constants!$B$8,"",IF(AND(NOT($AL304),NOT($AT304),$AJ304,$AK304,$AR304,$AS304),"",IF($BM304="-&gt;",$BX304,$BL304)))</f>
        <v/>
      </c>
      <c r="CN304" s="93" t="str">
        <f aca="false">IF(ISBLANK($C304),"",IF($BZ304&lt;&gt;Constants!$B$8,$BZ304,IF(ISNUMBER($CM304),RANK($CM304,$CM$9:$CM$508,1),COUNT($CM$9:$CM$508)+1)))</f>
        <v/>
      </c>
      <c r="CO304" s="93" t="str">
        <f aca="false">IF(ISBLANK($C304),"",IF($BZ304&lt;&gt;Constants!$B$8,$BZ304,COUNTIFS($CF$9:$CF$508,"&lt;"&amp;$CF304)+COUNTIFS($CF$9:$CF$508,$CF304,$CH$9:$CH$508,"&lt;"&amp;$CH304)+COUNTIFS($CF$9:$CF$508,$CF304,$CH$9:$CH$508,$CH304,$CJ$9:$CJ$508,"&lt;"&amp;$CJ304)+COUNTIFS($CF$9:$CF$508,$CF304,$CH$9:$CH$508,$CH304,$CJ$9:$CJ$508,$CJ304,$CL$9:$CL$508,"&lt;"&amp;$CL304)+COUNTIFS($CF$9:$CF$508,$CF304,$CH$9:$CH$508,$CH304,$CJ$9:$CJ$508,$CJ304,$CL$9:$CL$508,$CL304,$CN$9:$CN$508,"&lt;"&amp;$CN304)+1))</f>
        <v/>
      </c>
      <c r="CP304" s="93" t="str">
        <f aca="false">IF(ISBLANK($C304),"",IF($BZ304&lt;&gt;Constants!$B$8,$BZ304,$CF304-$CO304))</f>
        <v/>
      </c>
      <c r="CQ304" s="100"/>
      <c r="CR304" s="101"/>
      <c r="CS304" s="102" t="str">
        <f aca="false">IF(ISBLANK($C304),"",IF($BZ304=Constants!$B$12,$BY304,""))</f>
        <v/>
      </c>
      <c r="CT304" s="101" t="str">
        <f aca="false">IF(ISBLANK($C304),"",IF($BZ304&lt;&gt;Constants!$B$8,"",IF($BM304="-&gt;",2,1)))</f>
        <v/>
      </c>
      <c r="CU304" s="103" t="str">
        <f aca="false">IF(ISBLANK($C304),"",IF($BZ304&lt;&gt;Constants!$B$8,"",IF($BM304="-&gt;",$BO304,$BC304)))</f>
        <v/>
      </c>
      <c r="CV304" s="103" t="str">
        <f aca="false">IF(ISBLANK($C304),"",IF($BZ304&lt;&gt;Constants!$B$8,"",IF($BM304="-&gt;",$BP304,$BD304)))</f>
        <v/>
      </c>
      <c r="CW304" s="103" t="str">
        <f aca="false">IF(ISBLANK($C304),"",IF($BZ304&lt;&gt;Constants!$B$8,"",IF($BM304="-&gt;",$BQ304+$BR304,$BE304+$BF304)+$CD304))</f>
        <v/>
      </c>
      <c r="CX304" s="103" t="str">
        <f aca="false">IF(ISBLANK($C304),"",IF($BZ304&lt;&gt;Constants!$B$8,"",IF($BM304="-&gt;",$BS304,$BG304)+$CC304))</f>
        <v/>
      </c>
      <c r="CY304" s="104" t="str">
        <f aca="false">IF(ISBLANK($C304),"",IF($BZ304&lt;&gt;Constants!$B$8,$BZ304,$CE304))</f>
        <v/>
      </c>
      <c r="CZ304" s="105" t="str">
        <f aca="false">IF(ISBLANK($C304),"",$CA304)</f>
        <v/>
      </c>
      <c r="DA304" s="106" t="str">
        <f aca="false">IF(ISBLANK($C304),"",$CP304)</f>
        <v/>
      </c>
      <c r="DB304" s="106" t="str">
        <f aca="false">IF(ISBLANK($C304),"",$CO304)</f>
        <v/>
      </c>
      <c r="DC304" s="107" t="str">
        <f aca="false">IF(ISBLANK($C304),"",IFERROR(_xlfn.SWITCH($DB304,Constants!$B$11,COUNTA($C$9:$C$508)+2,Constants!$B$10,COUNTA($C$9:$C$508)+1,Constants!$B$9,COUNTA($C$9:$C$508)),$DB304))</f>
        <v/>
      </c>
      <c r="DD304" s="9"/>
      <c r="DE304" s="108" t="n">
        <f aca="false">IF(OR(ISNUMBER($DB304),$DB304=Constants!$B$11,$DB304=Constants!$B$9,$DB304=Constants!$B$10),1,0)</f>
        <v>0</v>
      </c>
      <c r="DF304" s="108" t="n">
        <v>296</v>
      </c>
      <c r="DG304" s="108" t="str">
        <f aca="false">IF(ISBLANK($C304),"",IF(ISNUMBER($DC304),$DC304+ROW($B304)/1000,""))</f>
        <v/>
      </c>
      <c r="DH304" s="108" t="str">
        <f aca="false">IF(ISNUMBER($DG304),RANK($DG304,$DG$9:$DG$508,1),"")</f>
        <v/>
      </c>
      <c r="DI304" s="108" t="str">
        <f aca="false">IF(ISBLANK($C304),"",$B304)</f>
        <v/>
      </c>
      <c r="DJ304" s="108" t="str">
        <f aca="false">IF(ISBLANK($C304),"",$C304)</f>
        <v/>
      </c>
      <c r="DK304" s="108" t="str">
        <f aca="false">IF(ISBLANK($C304),"",$D304)</f>
        <v/>
      </c>
      <c r="DL304" s="109" t="str">
        <f aca="false">$CZ304</f>
        <v/>
      </c>
      <c r="DM304" s="110" t="str">
        <f aca="false">$CY304</f>
        <v/>
      </c>
      <c r="DN304" s="108" t="str">
        <f aca="false">IF(ISBLANK($C304),"",$DB304)</f>
        <v/>
      </c>
      <c r="DO304" s="111" t="str">
        <f aca="false">IF($DF304&gt;$DE$8,"",VLOOKUP($DF304,$DH$9:$DN$508,7,FALSE()))</f>
        <v/>
      </c>
      <c r="DP304" s="112" t="str">
        <f aca="false">IF($DF304&gt;$DE$8,"",VLOOKUP($DF304,$DH$9:$DN$508,2,FALSE()))</f>
        <v/>
      </c>
      <c r="DQ304" s="112" t="str">
        <f aca="false">IF($DF304&gt;$DE$8,"",VLOOKUP($DF304,$DH$9:$DN$508,3,FALSE()))</f>
        <v/>
      </c>
      <c r="DR304" s="112" t="str">
        <f aca="false">IF($DF304&gt;$DE$8,"",VLOOKUP($DF304,$DH$9:$DN$508,4,FALSE()))</f>
        <v/>
      </c>
      <c r="DS304" s="112" t="str">
        <f aca="false">IF($DF304&gt;$DE$8,"",VLOOKUP($DF304,$DH$9:$DN$508,5,FALSE()))</f>
        <v/>
      </c>
      <c r="DT304" s="113" t="str">
        <f aca="false">IF($DF304&gt;$DE$8,"",VLOOKUP($DF304,$DH$9:$DN$508,6,FALSE()))</f>
        <v/>
      </c>
      <c r="DU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IF(ISBLANK($C305),"",IF(E305=Constants!$B$3,TRUE(),IF(E305=Constants!$B$4,FALSE(),TRUE())))</f>
        <v/>
      </c>
      <c r="AG305" s="93" t="str">
        <f aca="false">IF(ISBLANK($C305),"",IF(F305=Constants!$B$3,TRUE(),IF(F305=Constants!$B$4,FALSE(),TRUE())))</f>
        <v/>
      </c>
      <c r="AH305" s="93" t="str">
        <f aca="false">IF(ISBLANK($C305),"",IF(G305=Constants!$B$3,TRUE(),IF(G305=Constants!$B$4,FALSE(),TRUE())))</f>
        <v/>
      </c>
      <c r="AI305" s="93" t="str">
        <f aca="false">IF(ISBLANK($C305),"",IF(AND(ISNUMBER(H305),H305&gt;=0),H305,Constants!$B$29))</f>
        <v/>
      </c>
      <c r="AJ305" s="93" t="str">
        <f aca="false">IF(ISBLANK($C305),"",IF(I305=Constants!$B$3,TRUE(),IF(I305=Constants!$B$4,FALSE(),TRUE())))</f>
        <v/>
      </c>
      <c r="AK305" s="93" t="str">
        <f aca="false">IF(ISBLANK($C305),"",IF(J305=Constants!$B$3,TRUE(),IF(J305=Constants!$B$4,FALSE(),TRUE())))</f>
        <v/>
      </c>
      <c r="AL305" s="93" t="str">
        <f aca="false">IF(ISBLANK($C305),"",IF(K305=Constants!$B$5,TRUE(),IF(K305=Constants!$B$6,FALSE(),COUNTA(L305:P305)&gt;0)))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IF(ISBLANK($C305),"",IF(N305=Constants!$B$3,TRUE(),IF(N305=Constants!$B$4,FALSE(),TRUE())))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IF(ISBLANK($C305),"",IF(P305=Constants!$B$3,TRUE(),IF(P305=Constants!$B$4,FALSE(),FALSE())))</f>
        <v/>
      </c>
      <c r="AR305" s="93" t="str">
        <f aca="false">IF(ISBLANK($C305),"",IF(Q305=Constants!$B$3,TRUE(),IF(Q305=Constants!$B$4,FALSE(),TRUE())))</f>
        <v/>
      </c>
      <c r="AS305" s="93" t="str">
        <f aca="false">IF(ISBLANK($C305),"",IF(R305=Constants!$B$3,TRUE(),IF(R305=Constants!$B$4,FALSE(),TRUE())))</f>
        <v/>
      </c>
      <c r="AT305" s="93" t="str">
        <f aca="false">IF(ISBLANK($C305),"",IF(S305=Constants!$B$5,TRUE(),IF(S305=Constants!$B$6,FALSE(),COUNTA(T305:X305)&gt;0)))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IF(ISBLANK($C305),"",IF(V305=Constants!$B$3,TRUE(),IF(V305=Constants!$B$4,FALSE(),TRUE())))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IF(ISBLANK($C305),"",IF(X305=Constants!$B$3,TRUE(),IF(X305=Constants!$B$4,FALSE(),FALSE())))</f>
        <v/>
      </c>
      <c r="AZ305" s="93" t="str">
        <f aca="false">IF(ISBLANK($C305),"",MIN(Constants!$B$31,MAX(0,IF(ISNUMBER(Y305),Y305*60,0)+IF(ISNUMBER(Z305),Z305,0))))</f>
        <v/>
      </c>
      <c r="BA305" s="93" t="str">
        <f aca="false">IF(ISBLANK($C305),"",IF(AA305=Constants!$B$3,TRUE(),IF(AA305=Constants!$B$4,FALSE(),FALSE())))</f>
        <v/>
      </c>
      <c r="BB305" s="92" t="str">
        <f aca="false">IF(ISBLANK($C305),"",AND($AL305,OR($AM305="",$AN305="",AND($AO305,$AP305=""))))</f>
        <v/>
      </c>
      <c r="BC305" s="94" t="str">
        <f aca="false">IF($BZ305&lt;&gt;Constants!$B$8,"",IF($AL305,Constants!$B$21*$AN305+Constants!$B$22*IF($AO305,$AP305,Constants!$B$23),Constants!$B$24))</f>
        <v/>
      </c>
      <c r="BD305" s="97" t="str">
        <f aca="false">IF($BZ305&lt;&gt;Constants!$B$8,"",Constants!$B$25*ABS($AD$9-IF($AL305,$AM305,0)))</f>
        <v/>
      </c>
      <c r="BE305" s="97" t="str">
        <f aca="false">IF($BZ305&lt;&gt;Constants!$B$8,"",IF(AND($AL305,$AQ305,$AO305),Constants!$B$27,0))</f>
        <v/>
      </c>
      <c r="BF305" s="97" t="str">
        <f aca="false">IF($BZ305&lt;&gt;Constants!$B$8,"",IF($AL305,($AI305-Constants!$B$29)*Constants!$B$28,0))</f>
        <v/>
      </c>
      <c r="BG305" s="97" t="str">
        <f aca="false">IF($BZ305&lt;&gt;Constants!$B$8,"",IF($AK305,0,Constants!$B$15)+IF($AJ305,0,Constants!$B$16)+IF($AH305,0,Constants!$B$17))</f>
        <v/>
      </c>
      <c r="BH305" s="98" t="str">
        <f aca="false">IF($BZ305&lt;&gt;Constants!$B$8,"",Constants!$B$20+SUM($BC305:$BG305))</f>
        <v/>
      </c>
      <c r="BI305" s="97" t="str">
        <f aca="false">IF($BZ305&lt;&gt;Constants!$B$8,"",$BC305)</f>
        <v/>
      </c>
      <c r="BJ305" s="97" t="str">
        <f aca="false">IF($BZ305&lt;&gt;Constants!$B$8,"",$BD305)</f>
        <v/>
      </c>
      <c r="BK305" s="97" t="str">
        <f aca="false">IF($BZ305&lt;&gt;Constants!$B$8,"",IF($AL305,$AN305,""))</f>
        <v/>
      </c>
      <c r="BL305" s="99" t="str">
        <f aca="false">IF($BZ305&lt;&gt;Constants!$B$8,"",$AI305)</f>
        <v/>
      </c>
      <c r="BM305" s="93" t="str">
        <f aca="false">IF($BZ305&lt;&gt;Constants!$B$8,"",IF(OR($BT305&lt;$BH305,AND($BT305=$BH305,OR($BU305&lt;$BI305,AND($BU305=$BI305,OR($BV305&lt;$BJ305,AND($BV305=$BJ305,OR(AND(ISNUMBER($BW305),OR(NOT(ISNUMBER($BK305)),$BW305&lt;$BK305)),AND(OR(AND($BW305="",$BK305=""),AND(ISNUMBER($BW305),ISNUMBER($BK305),$BW305=$BK305)),$BX305&lt;$BL305)))))))),"-&gt;","&lt;-"))</f>
        <v/>
      </c>
      <c r="BN305" s="92" t="str">
        <f aca="false">IF(ISBLANK($C305),"",AND($AT305,OR($AU305="",$AV305="",AND($AW305,$AX305=""))))</f>
        <v/>
      </c>
      <c r="BO305" s="94" t="str">
        <f aca="false">IF($BZ305&lt;&gt;Constants!$B$8,"",IF($AT305,Constants!$B$21*$AV305+Constants!$B$22*IF($AW305,$AX305,Constants!$B$23),Constants!$B$24))</f>
        <v/>
      </c>
      <c r="BP305" s="97" t="str">
        <f aca="false">IF($BZ305&lt;&gt;Constants!$B$8,"",Constants!$B$25*ABS($AD$9-IF($AT305,$AU305,0)))</f>
        <v/>
      </c>
      <c r="BQ305" s="97" t="str">
        <f aca="false">IF($BZ305&lt;&gt;Constants!$B$8,"",IF(AND($AT305,$AY305,$AW305),Constants!$B$27,0))</f>
        <v/>
      </c>
      <c r="BR305" s="97" t="str">
        <f aca="false">IF($BZ305&lt;&gt;Constants!$B$8,"",IF($AT305,($AI305-Constants!$B$29)*Constants!$B$28,0))</f>
        <v/>
      </c>
      <c r="BS305" s="97" t="str">
        <f aca="false">IF($BZ305&lt;&gt;Constants!$B$8,"",IF($AS305,0,Constants!$B$15)+IF($AR305,0,Constants!$B$16)+IF($AH305,0,Constants!$B$17))</f>
        <v/>
      </c>
      <c r="BT305" s="98" t="str">
        <f aca="false">IF($BZ305&lt;&gt;Constants!$B$8,"",Constants!$B$20+SUM($BO305:$BS305))</f>
        <v/>
      </c>
      <c r="BU305" s="97" t="str">
        <f aca="false">IF($BZ305&lt;&gt;Constants!$B$8,"",$BO305)</f>
        <v/>
      </c>
      <c r="BV305" s="97" t="str">
        <f aca="false">IF($BZ305&lt;&gt;Constants!$B$8,"",$BP305)</f>
        <v/>
      </c>
      <c r="BW305" s="97" t="str">
        <f aca="false">IF($BZ305&lt;&gt;Constants!$B$8,"",IF($AT305,$AV305,""))</f>
        <v/>
      </c>
      <c r="BX305" s="99" t="str">
        <f aca="false">IF($BZ305&lt;&gt;Constants!$B$8,"",$AI305)</f>
        <v/>
      </c>
      <c r="BY305" s="93" t="str">
        <f aca="false">IF(ISBLANK($C305),"",IF(ISBLANK($D$7),$BY$5,IF(NOT(ISNUMBER($D$7)),$BY$6,"")))</f>
        <v/>
      </c>
      <c r="BZ305" s="93" t="str">
        <f aca="false">IF(ISBLANK($C305),"",IF($BA305,Constants!$B$11,IF(COUNTA($E305:$AA305)=0,Constants!$B$10,IF(NOT($AG305),Constants!$B$9,IF(OR($BY305&lt;&gt;"",$BB305,$BN305),Constants!$B$12,Constants!$B$8)))))</f>
        <v/>
      </c>
      <c r="CA305" s="93" t="str">
        <f aca="false">IF(ISBLANK($C305),"",IF($BZ305&lt;&gt;Constants!$B$8,$BZ305,Constants!$B$13))</f>
        <v/>
      </c>
      <c r="CB305" s="97" t="str">
        <f aca="false">IF($BZ305&lt;&gt;Constants!$B$8,"",IF($BM305="-&gt;",$BT305,$BH305))</f>
        <v/>
      </c>
      <c r="CC305" s="97" t="str">
        <f aca="false">IF($BZ305&lt;&gt;Constants!$B$8,"",IF($AF305,0,Constants!$B$18))</f>
        <v/>
      </c>
      <c r="CD305" s="97" t="str">
        <f aca="false">IF($BZ305&lt;&gt;Constants!$B$8,"",((Constants!$B$31-$AZ305)-Constants!$B$31)/Constants!$B$32)</f>
        <v/>
      </c>
      <c r="CE305" s="97" t="str">
        <f aca="false">IF(ISBLANK($C305),"",IF($BZ305&lt;&gt;Constants!$B$8,$BZ305,SUM($CB305:$CD305)))</f>
        <v/>
      </c>
      <c r="CF305" s="93" t="str">
        <f aca="false">IF(ISBLANK($C305),"",IF($BZ305&lt;&gt;Constants!$B$8,$BZ305,RANK($CE305,$CE$9:$CE$508,1)))</f>
        <v/>
      </c>
      <c r="CG305" s="97" t="str">
        <f aca="false">IF($BZ305&lt;&gt;Constants!$B$8,"",IF($BM305="-&gt;",$BU305,$BI305))</f>
        <v/>
      </c>
      <c r="CH305" s="93" t="str">
        <f aca="false">IF(ISBLANK($C305),"",IF($BZ305&lt;&gt;Constants!$B$8,$BZ305,IF(ISNUMBER($CG305),RANK($CG305,$CG$9:$CG$508,1),COUNT($CG$9:$CG$508)+1)))</f>
        <v/>
      </c>
      <c r="CI305" s="97" t="str">
        <f aca="false">IF($BZ305&lt;&gt;Constants!$B$8,"",IF($BM305="-&gt;",$BV305,$BJ305))</f>
        <v/>
      </c>
      <c r="CJ305" s="93" t="str">
        <f aca="false">IF(ISBLANK($C305),"",IF($BZ305&lt;&gt;Constants!$B$8,$BZ305,IF(ISNUMBER($CI305),RANK($CI305,$CI$9:$CI$508,1),COUNT($CI$9:$CI$508)+1)))</f>
        <v/>
      </c>
      <c r="CK305" s="97" t="str">
        <f aca="false">IF($BZ305&lt;&gt;Constants!$B$8,"",IF($BM305="-&gt;",$BW305,$BK305))</f>
        <v/>
      </c>
      <c r="CL305" s="93" t="str">
        <f aca="false">IF(ISBLANK($C305),"",IF($BZ305&lt;&gt;Constants!$B$8,$BZ305,IF(ISNUMBER($CK305),RANK($CK305,$CK$9:$CK$508,1),COUNT($CK$9:$CK$508)+1)))</f>
        <v/>
      </c>
      <c r="CM305" s="97" t="str">
        <f aca="false">IF($BZ305&lt;&gt;Constants!$B$8,"",IF(AND(NOT($AL305),NOT($AT305),$AJ305,$AK305,$AR305,$AS305),"",IF($BM305="-&gt;",$BX305,$BL305)))</f>
        <v/>
      </c>
      <c r="CN305" s="93" t="str">
        <f aca="false">IF(ISBLANK($C305),"",IF($BZ305&lt;&gt;Constants!$B$8,$BZ305,IF(ISNUMBER($CM305),RANK($CM305,$CM$9:$CM$508,1),COUNT($CM$9:$CM$508)+1)))</f>
        <v/>
      </c>
      <c r="CO305" s="93" t="str">
        <f aca="false">IF(ISBLANK($C305),"",IF($BZ305&lt;&gt;Constants!$B$8,$BZ305,COUNTIFS($CF$9:$CF$508,"&lt;"&amp;$CF305)+COUNTIFS($CF$9:$CF$508,$CF305,$CH$9:$CH$508,"&lt;"&amp;$CH305)+COUNTIFS($CF$9:$CF$508,$CF305,$CH$9:$CH$508,$CH305,$CJ$9:$CJ$508,"&lt;"&amp;$CJ305)+COUNTIFS($CF$9:$CF$508,$CF305,$CH$9:$CH$508,$CH305,$CJ$9:$CJ$508,$CJ305,$CL$9:$CL$508,"&lt;"&amp;$CL305)+COUNTIFS($CF$9:$CF$508,$CF305,$CH$9:$CH$508,$CH305,$CJ$9:$CJ$508,$CJ305,$CL$9:$CL$508,$CL305,$CN$9:$CN$508,"&lt;"&amp;$CN305)+1))</f>
        <v/>
      </c>
      <c r="CP305" s="93" t="str">
        <f aca="false">IF(ISBLANK($C305),"",IF($BZ305&lt;&gt;Constants!$B$8,$BZ305,$CF305-$CO305))</f>
        <v/>
      </c>
      <c r="CQ305" s="100"/>
      <c r="CR305" s="101"/>
      <c r="CS305" s="102" t="str">
        <f aca="false">IF(ISBLANK($C305),"",IF($BZ305=Constants!$B$12,$BY305,""))</f>
        <v/>
      </c>
      <c r="CT305" s="101" t="str">
        <f aca="false">IF(ISBLANK($C305),"",IF($BZ305&lt;&gt;Constants!$B$8,"",IF($BM305="-&gt;",2,1)))</f>
        <v/>
      </c>
      <c r="CU305" s="103" t="str">
        <f aca="false">IF(ISBLANK($C305),"",IF($BZ305&lt;&gt;Constants!$B$8,"",IF($BM305="-&gt;",$BO305,$BC305)))</f>
        <v/>
      </c>
      <c r="CV305" s="103" t="str">
        <f aca="false">IF(ISBLANK($C305),"",IF($BZ305&lt;&gt;Constants!$B$8,"",IF($BM305="-&gt;",$BP305,$BD305)))</f>
        <v/>
      </c>
      <c r="CW305" s="103" t="str">
        <f aca="false">IF(ISBLANK($C305),"",IF($BZ305&lt;&gt;Constants!$B$8,"",IF($BM305="-&gt;",$BQ305+$BR305,$BE305+$BF305)+$CD305))</f>
        <v/>
      </c>
      <c r="CX305" s="103" t="str">
        <f aca="false">IF(ISBLANK($C305),"",IF($BZ305&lt;&gt;Constants!$B$8,"",IF($BM305="-&gt;",$BS305,$BG305)+$CC305))</f>
        <v/>
      </c>
      <c r="CY305" s="104" t="str">
        <f aca="false">IF(ISBLANK($C305),"",IF($BZ305&lt;&gt;Constants!$B$8,$BZ305,$CE305))</f>
        <v/>
      </c>
      <c r="CZ305" s="105" t="str">
        <f aca="false">IF(ISBLANK($C305),"",$CA305)</f>
        <v/>
      </c>
      <c r="DA305" s="106" t="str">
        <f aca="false">IF(ISBLANK($C305),"",$CP305)</f>
        <v/>
      </c>
      <c r="DB305" s="106" t="str">
        <f aca="false">IF(ISBLANK($C305),"",$CO305)</f>
        <v/>
      </c>
      <c r="DC305" s="107" t="str">
        <f aca="false">IF(ISBLANK($C305),"",IFERROR(_xlfn.SWITCH($DB305,Constants!$B$11,COUNTA($C$9:$C$508)+2,Constants!$B$10,COUNTA($C$9:$C$508)+1,Constants!$B$9,COUNTA($C$9:$C$508)),$DB305))</f>
        <v/>
      </c>
      <c r="DD305" s="9"/>
      <c r="DE305" s="108" t="n">
        <f aca="false">IF(OR(ISNUMBER($DB305),$DB305=Constants!$B$11,$DB305=Constants!$B$9,$DB305=Constants!$B$10),1,0)</f>
        <v>0</v>
      </c>
      <c r="DF305" s="108" t="n">
        <v>297</v>
      </c>
      <c r="DG305" s="108" t="str">
        <f aca="false">IF(ISBLANK($C305),"",IF(ISNUMBER($DC305),$DC305+ROW($B305)/1000,""))</f>
        <v/>
      </c>
      <c r="DH305" s="108" t="str">
        <f aca="false">IF(ISNUMBER($DG305),RANK($DG305,$DG$9:$DG$508,1),"")</f>
        <v/>
      </c>
      <c r="DI305" s="108" t="str">
        <f aca="false">IF(ISBLANK($C305),"",$B305)</f>
        <v/>
      </c>
      <c r="DJ305" s="108" t="str">
        <f aca="false">IF(ISBLANK($C305),"",$C305)</f>
        <v/>
      </c>
      <c r="DK305" s="108" t="str">
        <f aca="false">IF(ISBLANK($C305),"",$D305)</f>
        <v/>
      </c>
      <c r="DL305" s="109" t="str">
        <f aca="false">$CZ305</f>
        <v/>
      </c>
      <c r="DM305" s="110" t="str">
        <f aca="false">$CY305</f>
        <v/>
      </c>
      <c r="DN305" s="108" t="str">
        <f aca="false">IF(ISBLANK($C305),"",$DB305)</f>
        <v/>
      </c>
      <c r="DO305" s="111" t="str">
        <f aca="false">IF($DF305&gt;$DE$8,"",VLOOKUP($DF305,$DH$9:$DN$508,7,FALSE()))</f>
        <v/>
      </c>
      <c r="DP305" s="112" t="str">
        <f aca="false">IF($DF305&gt;$DE$8,"",VLOOKUP($DF305,$DH$9:$DN$508,2,FALSE()))</f>
        <v/>
      </c>
      <c r="DQ305" s="112" t="str">
        <f aca="false">IF($DF305&gt;$DE$8,"",VLOOKUP($DF305,$DH$9:$DN$508,3,FALSE()))</f>
        <v/>
      </c>
      <c r="DR305" s="112" t="str">
        <f aca="false">IF($DF305&gt;$DE$8,"",VLOOKUP($DF305,$DH$9:$DN$508,4,FALSE()))</f>
        <v/>
      </c>
      <c r="DS305" s="112" t="str">
        <f aca="false">IF($DF305&gt;$DE$8,"",VLOOKUP($DF305,$DH$9:$DN$508,5,FALSE()))</f>
        <v/>
      </c>
      <c r="DT305" s="113" t="str">
        <f aca="false">IF($DF305&gt;$DE$8,"",VLOOKUP($DF305,$DH$9:$DN$508,6,FALSE()))</f>
        <v/>
      </c>
      <c r="DU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IF(ISBLANK($C306),"",IF(E306=Constants!$B$3,TRUE(),IF(E306=Constants!$B$4,FALSE(),TRUE())))</f>
        <v/>
      </c>
      <c r="AG306" s="135" t="str">
        <f aca="false">IF(ISBLANK($C306),"",IF(F306=Constants!$B$3,TRUE(),IF(F306=Constants!$B$4,FALSE(),TRUE())))</f>
        <v/>
      </c>
      <c r="AH306" s="135" t="str">
        <f aca="false">IF(ISBLANK($C306),"",IF(G306=Constants!$B$3,TRUE(),IF(G306=Constants!$B$4,FALSE(),TRUE())))</f>
        <v/>
      </c>
      <c r="AI306" s="135" t="str">
        <f aca="false">IF(ISBLANK($C306),"",IF(AND(ISNUMBER(H306),H306&gt;=0),H306,Constants!$B$29))</f>
        <v/>
      </c>
      <c r="AJ306" s="135" t="str">
        <f aca="false">IF(ISBLANK($C306),"",IF(I306=Constants!$B$3,TRUE(),IF(I306=Constants!$B$4,FALSE(),TRUE())))</f>
        <v/>
      </c>
      <c r="AK306" s="135" t="str">
        <f aca="false">IF(ISBLANK($C306),"",IF(J306=Constants!$B$3,TRUE(),IF(J306=Constants!$B$4,FALSE(),TRUE())))</f>
        <v/>
      </c>
      <c r="AL306" s="135" t="str">
        <f aca="false">IF(ISBLANK($C306),"",IF(K306=Constants!$B$5,TRUE(),IF(K306=Constants!$B$6,FALSE(),COUNTA(L306:P306)&gt;0)))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IF(ISBLANK($C306),"",IF(N306=Constants!$B$3,TRUE(),IF(N306=Constants!$B$4,FALSE(),TRUE())))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IF(ISBLANK($C306),"",IF(P306=Constants!$B$3,TRUE(),IF(P306=Constants!$B$4,FALSE(),FALSE())))</f>
        <v/>
      </c>
      <c r="AR306" s="135" t="str">
        <f aca="false">IF(ISBLANK($C306),"",IF(Q306=Constants!$B$3,TRUE(),IF(Q306=Constants!$B$4,FALSE(),TRUE())))</f>
        <v/>
      </c>
      <c r="AS306" s="135" t="str">
        <f aca="false">IF(ISBLANK($C306),"",IF(R306=Constants!$B$3,TRUE(),IF(R306=Constants!$B$4,FALSE(),TRUE())))</f>
        <v/>
      </c>
      <c r="AT306" s="135" t="str">
        <f aca="false">IF(ISBLANK($C306),"",IF(S306=Constants!$B$5,TRUE(),IF(S306=Constants!$B$6,FALSE(),COUNTA(T306:X306)&gt;0)))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IF(ISBLANK($C306),"",IF(V306=Constants!$B$3,TRUE(),IF(V306=Constants!$B$4,FALSE(),TRUE())))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IF(ISBLANK($C306),"",IF(X306=Constants!$B$3,TRUE(),IF(X306=Constants!$B$4,FALSE(),FALSE())))</f>
        <v/>
      </c>
      <c r="AZ306" s="135" t="str">
        <f aca="false">IF(ISBLANK($C306),"",MIN(Constants!$B$31,MAX(0,IF(ISNUMBER(Y306),Y306*60,0)+IF(ISNUMBER(Z306),Z306,0))))</f>
        <v/>
      </c>
      <c r="BA306" s="135" t="str">
        <f aca="false">IF(ISBLANK($C306),"",IF(AA306=Constants!$B$3,TRUE(),IF(AA306=Constants!$B$4,FALSE(),FALSE())))</f>
        <v/>
      </c>
      <c r="BB306" s="134" t="str">
        <f aca="false">IF(ISBLANK($C306),"",AND($AL306,OR($AM306="",$AN306="",AND($AO306,$AP306=""))))</f>
        <v/>
      </c>
      <c r="BC306" s="137" t="str">
        <f aca="false">IF($BZ306&lt;&gt;Constants!$B$8,"",IF($AL306,Constants!$B$21*$AN306+Constants!$B$22*IF($AO306,$AP306,Constants!$B$23),Constants!$B$24))</f>
        <v/>
      </c>
      <c r="BD306" s="138" t="str">
        <f aca="false">IF($BZ306&lt;&gt;Constants!$B$8,"",Constants!$B$25*ABS($AD$9-IF($AL306,$AM306,0)))</f>
        <v/>
      </c>
      <c r="BE306" s="138" t="str">
        <f aca="false">IF($BZ306&lt;&gt;Constants!$B$8,"",IF(AND($AL306,$AQ306,$AO306),Constants!$B$27,0))</f>
        <v/>
      </c>
      <c r="BF306" s="138" t="str">
        <f aca="false">IF($BZ306&lt;&gt;Constants!$B$8,"",IF($AL306,($AI306-Constants!$B$29)*Constants!$B$28,0))</f>
        <v/>
      </c>
      <c r="BG306" s="138" t="str">
        <f aca="false">IF($BZ306&lt;&gt;Constants!$B$8,"",IF($AK306,0,Constants!$B$15)+IF($AJ306,0,Constants!$B$16)+IF($AH306,0,Constants!$B$17))</f>
        <v/>
      </c>
      <c r="BH306" s="139" t="str">
        <f aca="false">IF($BZ306&lt;&gt;Constants!$B$8,"",Constants!$B$20+SUM($BC306:$BG306))</f>
        <v/>
      </c>
      <c r="BI306" s="138" t="str">
        <f aca="false">IF($BZ306&lt;&gt;Constants!$B$8,"",$BC306)</f>
        <v/>
      </c>
      <c r="BJ306" s="138" t="str">
        <f aca="false">IF($BZ306&lt;&gt;Constants!$B$8,"",$BD306)</f>
        <v/>
      </c>
      <c r="BK306" s="138" t="str">
        <f aca="false">IF($BZ306&lt;&gt;Constants!$B$8,"",IF($AL306,$AN306,""))</f>
        <v/>
      </c>
      <c r="BL306" s="140" t="str">
        <f aca="false">IF($BZ306&lt;&gt;Constants!$B$8,"",$AI306)</f>
        <v/>
      </c>
      <c r="BM306" s="135" t="str">
        <f aca="false">IF($BZ306&lt;&gt;Constants!$B$8,"",IF(OR($BT306&lt;$BH306,AND($BT306=$BH306,OR($BU306&lt;$BI306,AND($BU306=$BI306,OR($BV306&lt;$BJ306,AND($BV306=$BJ306,OR(AND(ISNUMBER($BW306),OR(NOT(ISNUMBER($BK306)),$BW306&lt;$BK306)),AND(OR(AND($BW306="",$BK306=""),AND(ISNUMBER($BW306),ISNUMBER($BK306),$BW306=$BK306)),$BX306&lt;$BL306)))))))),"-&gt;","&lt;-"))</f>
        <v/>
      </c>
      <c r="BN306" s="134" t="str">
        <f aca="false">IF(ISBLANK($C306),"",AND($AT306,OR($AU306="",$AV306="",AND($AW306,$AX306=""))))</f>
        <v/>
      </c>
      <c r="BO306" s="137" t="str">
        <f aca="false">IF($BZ306&lt;&gt;Constants!$B$8,"",IF($AT306,Constants!$B$21*$AV306+Constants!$B$22*IF($AW306,$AX306,Constants!$B$23),Constants!$B$24))</f>
        <v/>
      </c>
      <c r="BP306" s="138" t="str">
        <f aca="false">IF($BZ306&lt;&gt;Constants!$B$8,"",Constants!$B$25*ABS($AD$9-IF($AT306,$AU306,0)))</f>
        <v/>
      </c>
      <c r="BQ306" s="138" t="str">
        <f aca="false">IF($BZ306&lt;&gt;Constants!$B$8,"",IF(AND($AT306,$AY306,$AW306),Constants!$B$27,0))</f>
        <v/>
      </c>
      <c r="BR306" s="138" t="str">
        <f aca="false">IF($BZ306&lt;&gt;Constants!$B$8,"",IF($AT306,($AI306-Constants!$B$29)*Constants!$B$28,0))</f>
        <v/>
      </c>
      <c r="BS306" s="138" t="str">
        <f aca="false">IF($BZ306&lt;&gt;Constants!$B$8,"",IF($AS306,0,Constants!$B$15)+IF($AR306,0,Constants!$B$16)+IF($AH306,0,Constants!$B$17))</f>
        <v/>
      </c>
      <c r="BT306" s="139" t="str">
        <f aca="false">IF($BZ306&lt;&gt;Constants!$B$8,"",Constants!$B$20+SUM($BO306:$BS306))</f>
        <v/>
      </c>
      <c r="BU306" s="138" t="str">
        <f aca="false">IF($BZ306&lt;&gt;Constants!$B$8,"",$BO306)</f>
        <v/>
      </c>
      <c r="BV306" s="138" t="str">
        <f aca="false">IF($BZ306&lt;&gt;Constants!$B$8,"",$BP306)</f>
        <v/>
      </c>
      <c r="BW306" s="138" t="str">
        <f aca="false">IF($BZ306&lt;&gt;Constants!$B$8,"",IF($AT306,$AV306,""))</f>
        <v/>
      </c>
      <c r="BX306" s="140" t="str">
        <f aca="false">IF($BZ306&lt;&gt;Constants!$B$8,"",$AI306)</f>
        <v/>
      </c>
      <c r="BY306" s="135" t="str">
        <f aca="false">IF(ISBLANK($C306),"",IF(ISBLANK($D$7),$BY$5,IF(NOT(ISNUMBER($D$7)),$BY$6,"")))</f>
        <v/>
      </c>
      <c r="BZ306" s="135" t="str">
        <f aca="false">IF(ISBLANK($C306),"",IF($BA306,Constants!$B$11,IF(COUNTA($E306:$AA306)=0,Constants!$B$10,IF(NOT($AG306),Constants!$B$9,IF(OR($BY306&lt;&gt;"",$BB306,$BN306),Constants!$B$12,Constants!$B$8)))))</f>
        <v/>
      </c>
      <c r="CA306" s="135" t="str">
        <f aca="false">IF(ISBLANK($C306),"",IF($BZ306&lt;&gt;Constants!$B$8,$BZ306,Constants!$B$13))</f>
        <v/>
      </c>
      <c r="CB306" s="138" t="str">
        <f aca="false">IF($BZ306&lt;&gt;Constants!$B$8,"",IF($BM306="-&gt;",$BT306,$BH306))</f>
        <v/>
      </c>
      <c r="CC306" s="138" t="str">
        <f aca="false">IF($BZ306&lt;&gt;Constants!$B$8,"",IF($AF306,0,Constants!$B$18))</f>
        <v/>
      </c>
      <c r="CD306" s="138" t="str">
        <f aca="false">IF($BZ306&lt;&gt;Constants!$B$8,"",((Constants!$B$31-$AZ306)-Constants!$B$31)/Constants!$B$32)</f>
        <v/>
      </c>
      <c r="CE306" s="138" t="str">
        <f aca="false">IF(ISBLANK($C306),"",IF($BZ306&lt;&gt;Constants!$B$8,$BZ306,SUM($CB306:$CD306)))</f>
        <v/>
      </c>
      <c r="CF306" s="135" t="str">
        <f aca="false">IF(ISBLANK($C306),"",IF($BZ306&lt;&gt;Constants!$B$8,$BZ306,RANK($CE306,$CE$9:$CE$508,1)))</f>
        <v/>
      </c>
      <c r="CG306" s="138" t="str">
        <f aca="false">IF($BZ306&lt;&gt;Constants!$B$8,"",IF($BM306="-&gt;",$BU306,$BI306))</f>
        <v/>
      </c>
      <c r="CH306" s="135" t="str">
        <f aca="false">IF(ISBLANK($C306),"",IF($BZ306&lt;&gt;Constants!$B$8,$BZ306,IF(ISNUMBER($CG306),RANK($CG306,$CG$9:$CG$508,1),COUNT($CG$9:$CG$508)+1)))</f>
        <v/>
      </c>
      <c r="CI306" s="138" t="str">
        <f aca="false">IF($BZ306&lt;&gt;Constants!$B$8,"",IF($BM306="-&gt;",$BV306,$BJ306))</f>
        <v/>
      </c>
      <c r="CJ306" s="135" t="str">
        <f aca="false">IF(ISBLANK($C306),"",IF($BZ306&lt;&gt;Constants!$B$8,$BZ306,IF(ISNUMBER($CI306),RANK($CI306,$CI$9:$CI$508,1),COUNT($CI$9:$CI$508)+1)))</f>
        <v/>
      </c>
      <c r="CK306" s="138" t="str">
        <f aca="false">IF($BZ306&lt;&gt;Constants!$B$8,"",IF($BM306="-&gt;",$BW306,$BK306))</f>
        <v/>
      </c>
      <c r="CL306" s="135" t="str">
        <f aca="false">IF(ISBLANK($C306),"",IF($BZ306&lt;&gt;Constants!$B$8,$BZ306,IF(ISNUMBER($CK306),RANK($CK306,$CK$9:$CK$508,1),COUNT($CK$9:$CK$508)+1)))</f>
        <v/>
      </c>
      <c r="CM306" s="138" t="str">
        <f aca="false">IF($BZ306&lt;&gt;Constants!$B$8,"",IF(AND(NOT($AL306),NOT($AT306),$AJ306,$AK306,$AR306,$AS306),"",IF($BM306="-&gt;",$BX306,$BL306)))</f>
        <v/>
      </c>
      <c r="CN306" s="135" t="str">
        <f aca="false">IF(ISBLANK($C306),"",IF($BZ306&lt;&gt;Constants!$B$8,$BZ306,IF(ISNUMBER($CM306),RANK($CM306,$CM$9:$CM$508,1),COUNT($CM$9:$CM$508)+1)))</f>
        <v/>
      </c>
      <c r="CO306" s="135" t="str">
        <f aca="false">IF(ISBLANK($C306),"",IF($BZ306&lt;&gt;Constants!$B$8,$BZ306,COUNTIFS($CF$9:$CF$508,"&lt;"&amp;$CF306)+COUNTIFS($CF$9:$CF$508,$CF306,$CH$9:$CH$508,"&lt;"&amp;$CH306)+COUNTIFS($CF$9:$CF$508,$CF306,$CH$9:$CH$508,$CH306,$CJ$9:$CJ$508,"&lt;"&amp;$CJ306)+COUNTIFS($CF$9:$CF$508,$CF306,$CH$9:$CH$508,$CH306,$CJ$9:$CJ$508,$CJ306,$CL$9:$CL$508,"&lt;"&amp;$CL306)+COUNTIFS($CF$9:$CF$508,$CF306,$CH$9:$CH$508,$CH306,$CJ$9:$CJ$508,$CJ306,$CL$9:$CL$508,$CL306,$CN$9:$CN$508,"&lt;"&amp;$CN306)+1))</f>
        <v/>
      </c>
      <c r="CP306" s="135" t="str">
        <f aca="false">IF(ISBLANK($C306),"",IF($BZ306&lt;&gt;Constants!$B$8,$BZ306,$CF306-$CO306))</f>
        <v/>
      </c>
      <c r="CQ306" s="141"/>
      <c r="CR306" s="142"/>
      <c r="CS306" s="143" t="str">
        <f aca="false">IF(ISBLANK($C306),"",IF($BZ306=Constants!$B$12,$BY306,""))</f>
        <v/>
      </c>
      <c r="CT306" s="142" t="str">
        <f aca="false">IF(ISBLANK($C306),"",IF($BZ306&lt;&gt;Constants!$B$8,"",IF($BM306="-&gt;",2,1)))</f>
        <v/>
      </c>
      <c r="CU306" s="144" t="str">
        <f aca="false">IF(ISBLANK($C306),"",IF($BZ306&lt;&gt;Constants!$B$8,"",IF($BM306="-&gt;",$BO306,$BC306)))</f>
        <v/>
      </c>
      <c r="CV306" s="144" t="str">
        <f aca="false">IF(ISBLANK($C306),"",IF($BZ306&lt;&gt;Constants!$B$8,"",IF($BM306="-&gt;",$BP306,$BD306)))</f>
        <v/>
      </c>
      <c r="CW306" s="144" t="str">
        <f aca="false">IF(ISBLANK($C306),"",IF($BZ306&lt;&gt;Constants!$B$8,"",IF($BM306="-&gt;",$BQ306+$BR306,$BE306+$BF306)+$CD306))</f>
        <v/>
      </c>
      <c r="CX306" s="144" t="str">
        <f aca="false">IF(ISBLANK($C306),"",IF($BZ306&lt;&gt;Constants!$B$8,"",IF($BM306="-&gt;",$BS306,$BG306)+$CC306))</f>
        <v/>
      </c>
      <c r="CY306" s="145" t="str">
        <f aca="false">IF(ISBLANK($C306),"",IF($BZ306&lt;&gt;Constants!$B$8,$BZ306,$CE306))</f>
        <v/>
      </c>
      <c r="CZ306" s="146" t="str">
        <f aca="false">IF(ISBLANK($C306),"",$CA306)</f>
        <v/>
      </c>
      <c r="DA306" s="147" t="str">
        <f aca="false">IF(ISBLANK($C306),"",$CP306)</f>
        <v/>
      </c>
      <c r="DB306" s="147" t="str">
        <f aca="false">IF(ISBLANK($C306),"",$CO306)</f>
        <v/>
      </c>
      <c r="DC306" s="148" t="str">
        <f aca="false">IF(ISBLANK($C306),"",IFERROR(_xlfn.SWITCH($DB306,Constants!$B$11,COUNTA($C$9:$C$508)+2,Constants!$B$10,COUNTA($C$9:$C$508)+1,Constants!$B$9,COUNTA($C$9:$C$508)),$DB306))</f>
        <v/>
      </c>
      <c r="DD306" s="9"/>
      <c r="DE306" s="149" t="n">
        <f aca="false">IF(OR(ISNUMBER($DB306),$DB306=Constants!$B$11,$DB306=Constants!$B$9,$DB306=Constants!$B$10),1,0)</f>
        <v>0</v>
      </c>
      <c r="DF306" s="149" t="n">
        <v>298</v>
      </c>
      <c r="DG306" s="149" t="str">
        <f aca="false">IF(ISBLANK($C306),"",IF(ISNUMBER($DC306),$DC306+ROW($B306)/1000,""))</f>
        <v/>
      </c>
      <c r="DH306" s="149" t="str">
        <f aca="false">IF(ISNUMBER($DG306),RANK($DG306,$DG$9:$DG$508,1),"")</f>
        <v/>
      </c>
      <c r="DI306" s="149" t="str">
        <f aca="false">IF(ISBLANK($C306),"",$B306)</f>
        <v/>
      </c>
      <c r="DJ306" s="149" t="str">
        <f aca="false">IF(ISBLANK($C306),"",$C306)</f>
        <v/>
      </c>
      <c r="DK306" s="149" t="str">
        <f aca="false">IF(ISBLANK($C306),"",$D306)</f>
        <v/>
      </c>
      <c r="DL306" s="150" t="str">
        <f aca="false">$CZ306</f>
        <v/>
      </c>
      <c r="DM306" s="151" t="str">
        <f aca="false">$CY306</f>
        <v/>
      </c>
      <c r="DN306" s="149" t="str">
        <f aca="false">IF(ISBLANK($C306),"",$DB306)</f>
        <v/>
      </c>
      <c r="DO306" s="152" t="str">
        <f aca="false">IF($DF306&gt;$DE$8,"",VLOOKUP($DF306,$DH$9:$DN$508,7,FALSE()))</f>
        <v/>
      </c>
      <c r="DP306" s="153" t="str">
        <f aca="false">IF($DF306&gt;$DE$8,"",VLOOKUP($DF306,$DH$9:$DN$508,2,FALSE()))</f>
        <v/>
      </c>
      <c r="DQ306" s="153" t="str">
        <f aca="false">IF($DF306&gt;$DE$8,"",VLOOKUP($DF306,$DH$9:$DN$508,3,FALSE()))</f>
        <v/>
      </c>
      <c r="DR306" s="153" t="str">
        <f aca="false">IF($DF306&gt;$DE$8,"",VLOOKUP($DF306,$DH$9:$DN$508,4,FALSE()))</f>
        <v/>
      </c>
      <c r="DS306" s="153" t="str">
        <f aca="false">IF($DF306&gt;$DE$8,"",VLOOKUP($DF306,$DH$9:$DN$508,5,FALSE()))</f>
        <v/>
      </c>
      <c r="DT306" s="154" t="str">
        <f aca="false">IF($DF306&gt;$DE$8,"",VLOOKUP($DF306,$DH$9:$DN$508,6,FALSE()))</f>
        <v/>
      </c>
      <c r="DU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IF(ISBLANK($C307),"",IF(E307=Constants!$B$3,TRUE(),IF(E307=Constants!$B$4,FALSE(),TRUE())))</f>
        <v/>
      </c>
      <c r="AG307" s="135" t="str">
        <f aca="false">IF(ISBLANK($C307),"",IF(F307=Constants!$B$3,TRUE(),IF(F307=Constants!$B$4,FALSE(),TRUE())))</f>
        <v/>
      </c>
      <c r="AH307" s="135" t="str">
        <f aca="false">IF(ISBLANK($C307),"",IF(G307=Constants!$B$3,TRUE(),IF(G307=Constants!$B$4,FALSE(),TRUE())))</f>
        <v/>
      </c>
      <c r="AI307" s="135" t="str">
        <f aca="false">IF(ISBLANK($C307),"",IF(AND(ISNUMBER(H307),H307&gt;=0),H307,Constants!$B$29))</f>
        <v/>
      </c>
      <c r="AJ307" s="135" t="str">
        <f aca="false">IF(ISBLANK($C307),"",IF(I307=Constants!$B$3,TRUE(),IF(I307=Constants!$B$4,FALSE(),TRUE())))</f>
        <v/>
      </c>
      <c r="AK307" s="135" t="str">
        <f aca="false">IF(ISBLANK($C307),"",IF(J307=Constants!$B$3,TRUE(),IF(J307=Constants!$B$4,FALSE(),TRUE())))</f>
        <v/>
      </c>
      <c r="AL307" s="135" t="str">
        <f aca="false">IF(ISBLANK($C307),"",IF(K307=Constants!$B$5,TRUE(),IF(K307=Constants!$B$6,FALSE(),COUNTA(L307:P307)&gt;0)))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IF(ISBLANK($C307),"",IF(N307=Constants!$B$3,TRUE(),IF(N307=Constants!$B$4,FALSE(),TRUE())))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IF(ISBLANK($C307),"",IF(P307=Constants!$B$3,TRUE(),IF(P307=Constants!$B$4,FALSE(),FALSE())))</f>
        <v/>
      </c>
      <c r="AR307" s="135" t="str">
        <f aca="false">IF(ISBLANK($C307),"",IF(Q307=Constants!$B$3,TRUE(),IF(Q307=Constants!$B$4,FALSE(),TRUE())))</f>
        <v/>
      </c>
      <c r="AS307" s="135" t="str">
        <f aca="false">IF(ISBLANK($C307),"",IF(R307=Constants!$B$3,TRUE(),IF(R307=Constants!$B$4,FALSE(),TRUE())))</f>
        <v/>
      </c>
      <c r="AT307" s="135" t="str">
        <f aca="false">IF(ISBLANK($C307),"",IF(S307=Constants!$B$5,TRUE(),IF(S307=Constants!$B$6,FALSE(),COUNTA(T307:X307)&gt;0)))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IF(ISBLANK($C307),"",IF(V307=Constants!$B$3,TRUE(),IF(V307=Constants!$B$4,FALSE(),TRUE())))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IF(ISBLANK($C307),"",IF(X307=Constants!$B$3,TRUE(),IF(X307=Constants!$B$4,FALSE(),FALSE())))</f>
        <v/>
      </c>
      <c r="AZ307" s="135" t="str">
        <f aca="false">IF(ISBLANK($C307),"",MIN(Constants!$B$31,MAX(0,IF(ISNUMBER(Y307),Y307*60,0)+IF(ISNUMBER(Z307),Z307,0))))</f>
        <v/>
      </c>
      <c r="BA307" s="135" t="str">
        <f aca="false">IF(ISBLANK($C307),"",IF(AA307=Constants!$B$3,TRUE(),IF(AA307=Constants!$B$4,FALSE(),FALSE())))</f>
        <v/>
      </c>
      <c r="BB307" s="134" t="str">
        <f aca="false">IF(ISBLANK($C307),"",AND($AL307,OR($AM307="",$AN307="",AND($AO307,$AP307=""))))</f>
        <v/>
      </c>
      <c r="BC307" s="137" t="str">
        <f aca="false">IF($BZ307&lt;&gt;Constants!$B$8,"",IF($AL307,Constants!$B$21*$AN307+Constants!$B$22*IF($AO307,$AP307,Constants!$B$23),Constants!$B$24))</f>
        <v/>
      </c>
      <c r="BD307" s="138" t="str">
        <f aca="false">IF($BZ307&lt;&gt;Constants!$B$8,"",Constants!$B$25*ABS($AD$9-IF($AL307,$AM307,0)))</f>
        <v/>
      </c>
      <c r="BE307" s="138" t="str">
        <f aca="false">IF($BZ307&lt;&gt;Constants!$B$8,"",IF(AND($AL307,$AQ307,$AO307),Constants!$B$27,0))</f>
        <v/>
      </c>
      <c r="BF307" s="138" t="str">
        <f aca="false">IF($BZ307&lt;&gt;Constants!$B$8,"",IF($AL307,($AI307-Constants!$B$29)*Constants!$B$28,0))</f>
        <v/>
      </c>
      <c r="BG307" s="138" t="str">
        <f aca="false">IF($BZ307&lt;&gt;Constants!$B$8,"",IF($AK307,0,Constants!$B$15)+IF($AJ307,0,Constants!$B$16)+IF($AH307,0,Constants!$B$17))</f>
        <v/>
      </c>
      <c r="BH307" s="139" t="str">
        <f aca="false">IF($BZ307&lt;&gt;Constants!$B$8,"",Constants!$B$20+SUM($BC307:$BG307))</f>
        <v/>
      </c>
      <c r="BI307" s="138" t="str">
        <f aca="false">IF($BZ307&lt;&gt;Constants!$B$8,"",$BC307)</f>
        <v/>
      </c>
      <c r="BJ307" s="138" t="str">
        <f aca="false">IF($BZ307&lt;&gt;Constants!$B$8,"",$BD307)</f>
        <v/>
      </c>
      <c r="BK307" s="138" t="str">
        <f aca="false">IF($BZ307&lt;&gt;Constants!$B$8,"",IF($AL307,$AN307,""))</f>
        <v/>
      </c>
      <c r="BL307" s="140" t="str">
        <f aca="false">IF($BZ307&lt;&gt;Constants!$B$8,"",$AI307)</f>
        <v/>
      </c>
      <c r="BM307" s="135" t="str">
        <f aca="false">IF($BZ307&lt;&gt;Constants!$B$8,"",IF(OR($BT307&lt;$BH307,AND($BT307=$BH307,OR($BU307&lt;$BI307,AND($BU307=$BI307,OR($BV307&lt;$BJ307,AND($BV307=$BJ307,OR(AND(ISNUMBER($BW307),OR(NOT(ISNUMBER($BK307)),$BW307&lt;$BK307)),AND(OR(AND($BW307="",$BK307=""),AND(ISNUMBER($BW307),ISNUMBER($BK307),$BW307=$BK307)),$BX307&lt;$BL307)))))))),"-&gt;","&lt;-"))</f>
        <v/>
      </c>
      <c r="BN307" s="134" t="str">
        <f aca="false">IF(ISBLANK($C307),"",AND($AT307,OR($AU307="",$AV307="",AND($AW307,$AX307=""))))</f>
        <v/>
      </c>
      <c r="BO307" s="137" t="str">
        <f aca="false">IF($BZ307&lt;&gt;Constants!$B$8,"",IF($AT307,Constants!$B$21*$AV307+Constants!$B$22*IF($AW307,$AX307,Constants!$B$23),Constants!$B$24))</f>
        <v/>
      </c>
      <c r="BP307" s="138" t="str">
        <f aca="false">IF($BZ307&lt;&gt;Constants!$B$8,"",Constants!$B$25*ABS($AD$9-IF($AT307,$AU307,0)))</f>
        <v/>
      </c>
      <c r="BQ307" s="138" t="str">
        <f aca="false">IF($BZ307&lt;&gt;Constants!$B$8,"",IF(AND($AT307,$AY307,$AW307),Constants!$B$27,0))</f>
        <v/>
      </c>
      <c r="BR307" s="138" t="str">
        <f aca="false">IF($BZ307&lt;&gt;Constants!$B$8,"",IF($AT307,($AI307-Constants!$B$29)*Constants!$B$28,0))</f>
        <v/>
      </c>
      <c r="BS307" s="138" t="str">
        <f aca="false">IF($BZ307&lt;&gt;Constants!$B$8,"",IF($AS307,0,Constants!$B$15)+IF($AR307,0,Constants!$B$16)+IF($AH307,0,Constants!$B$17))</f>
        <v/>
      </c>
      <c r="BT307" s="139" t="str">
        <f aca="false">IF($BZ307&lt;&gt;Constants!$B$8,"",Constants!$B$20+SUM($BO307:$BS307))</f>
        <v/>
      </c>
      <c r="BU307" s="138" t="str">
        <f aca="false">IF($BZ307&lt;&gt;Constants!$B$8,"",$BO307)</f>
        <v/>
      </c>
      <c r="BV307" s="138" t="str">
        <f aca="false">IF($BZ307&lt;&gt;Constants!$B$8,"",$BP307)</f>
        <v/>
      </c>
      <c r="BW307" s="138" t="str">
        <f aca="false">IF($BZ307&lt;&gt;Constants!$B$8,"",IF($AT307,$AV307,""))</f>
        <v/>
      </c>
      <c r="BX307" s="140" t="str">
        <f aca="false">IF($BZ307&lt;&gt;Constants!$B$8,"",$AI307)</f>
        <v/>
      </c>
      <c r="BY307" s="135" t="str">
        <f aca="false">IF(ISBLANK($C307),"",IF(ISBLANK($D$7),$BY$5,IF(NOT(ISNUMBER($D$7)),$BY$6,"")))</f>
        <v/>
      </c>
      <c r="BZ307" s="135" t="str">
        <f aca="false">IF(ISBLANK($C307),"",IF($BA307,Constants!$B$11,IF(COUNTA($E307:$AA307)=0,Constants!$B$10,IF(NOT($AG307),Constants!$B$9,IF(OR($BY307&lt;&gt;"",$BB307,$BN307),Constants!$B$12,Constants!$B$8)))))</f>
        <v/>
      </c>
      <c r="CA307" s="135" t="str">
        <f aca="false">IF(ISBLANK($C307),"",IF($BZ307&lt;&gt;Constants!$B$8,$BZ307,Constants!$B$13))</f>
        <v/>
      </c>
      <c r="CB307" s="138" t="str">
        <f aca="false">IF($BZ307&lt;&gt;Constants!$B$8,"",IF($BM307="-&gt;",$BT307,$BH307))</f>
        <v/>
      </c>
      <c r="CC307" s="138" t="str">
        <f aca="false">IF($BZ307&lt;&gt;Constants!$B$8,"",IF($AF307,0,Constants!$B$18))</f>
        <v/>
      </c>
      <c r="CD307" s="138" t="str">
        <f aca="false">IF($BZ307&lt;&gt;Constants!$B$8,"",((Constants!$B$31-$AZ307)-Constants!$B$31)/Constants!$B$32)</f>
        <v/>
      </c>
      <c r="CE307" s="138" t="str">
        <f aca="false">IF(ISBLANK($C307),"",IF($BZ307&lt;&gt;Constants!$B$8,$BZ307,SUM($CB307:$CD307)))</f>
        <v/>
      </c>
      <c r="CF307" s="135" t="str">
        <f aca="false">IF(ISBLANK($C307),"",IF($BZ307&lt;&gt;Constants!$B$8,$BZ307,RANK($CE307,$CE$9:$CE$508,1)))</f>
        <v/>
      </c>
      <c r="CG307" s="138" t="str">
        <f aca="false">IF($BZ307&lt;&gt;Constants!$B$8,"",IF($BM307="-&gt;",$BU307,$BI307))</f>
        <v/>
      </c>
      <c r="CH307" s="135" t="str">
        <f aca="false">IF(ISBLANK($C307),"",IF($BZ307&lt;&gt;Constants!$B$8,$BZ307,IF(ISNUMBER($CG307),RANK($CG307,$CG$9:$CG$508,1),COUNT($CG$9:$CG$508)+1)))</f>
        <v/>
      </c>
      <c r="CI307" s="138" t="str">
        <f aca="false">IF($BZ307&lt;&gt;Constants!$B$8,"",IF($BM307="-&gt;",$BV307,$BJ307))</f>
        <v/>
      </c>
      <c r="CJ307" s="135" t="str">
        <f aca="false">IF(ISBLANK($C307),"",IF($BZ307&lt;&gt;Constants!$B$8,$BZ307,IF(ISNUMBER($CI307),RANK($CI307,$CI$9:$CI$508,1),COUNT($CI$9:$CI$508)+1)))</f>
        <v/>
      </c>
      <c r="CK307" s="138" t="str">
        <f aca="false">IF($BZ307&lt;&gt;Constants!$B$8,"",IF($BM307="-&gt;",$BW307,$BK307))</f>
        <v/>
      </c>
      <c r="CL307" s="135" t="str">
        <f aca="false">IF(ISBLANK($C307),"",IF($BZ307&lt;&gt;Constants!$B$8,$BZ307,IF(ISNUMBER($CK307),RANK($CK307,$CK$9:$CK$508,1),COUNT($CK$9:$CK$508)+1)))</f>
        <v/>
      </c>
      <c r="CM307" s="138" t="str">
        <f aca="false">IF($BZ307&lt;&gt;Constants!$B$8,"",IF(AND(NOT($AL307),NOT($AT307),$AJ307,$AK307,$AR307,$AS307),"",IF($BM307="-&gt;",$BX307,$BL307)))</f>
        <v/>
      </c>
      <c r="CN307" s="135" t="str">
        <f aca="false">IF(ISBLANK($C307),"",IF($BZ307&lt;&gt;Constants!$B$8,$BZ307,IF(ISNUMBER($CM307),RANK($CM307,$CM$9:$CM$508,1),COUNT($CM$9:$CM$508)+1)))</f>
        <v/>
      </c>
      <c r="CO307" s="135" t="str">
        <f aca="false">IF(ISBLANK($C307),"",IF($BZ307&lt;&gt;Constants!$B$8,$BZ307,COUNTIFS($CF$9:$CF$508,"&lt;"&amp;$CF307)+COUNTIFS($CF$9:$CF$508,$CF307,$CH$9:$CH$508,"&lt;"&amp;$CH307)+COUNTIFS($CF$9:$CF$508,$CF307,$CH$9:$CH$508,$CH307,$CJ$9:$CJ$508,"&lt;"&amp;$CJ307)+COUNTIFS($CF$9:$CF$508,$CF307,$CH$9:$CH$508,$CH307,$CJ$9:$CJ$508,$CJ307,$CL$9:$CL$508,"&lt;"&amp;$CL307)+COUNTIFS($CF$9:$CF$508,$CF307,$CH$9:$CH$508,$CH307,$CJ$9:$CJ$508,$CJ307,$CL$9:$CL$508,$CL307,$CN$9:$CN$508,"&lt;"&amp;$CN307)+1))</f>
        <v/>
      </c>
      <c r="CP307" s="135" t="str">
        <f aca="false">IF(ISBLANK($C307),"",IF($BZ307&lt;&gt;Constants!$B$8,$BZ307,$CF307-$CO307))</f>
        <v/>
      </c>
      <c r="CQ307" s="141"/>
      <c r="CR307" s="142"/>
      <c r="CS307" s="143" t="str">
        <f aca="false">IF(ISBLANK($C307),"",IF($BZ307=Constants!$B$12,$BY307,""))</f>
        <v/>
      </c>
      <c r="CT307" s="142" t="str">
        <f aca="false">IF(ISBLANK($C307),"",IF($BZ307&lt;&gt;Constants!$B$8,"",IF($BM307="-&gt;",2,1)))</f>
        <v/>
      </c>
      <c r="CU307" s="144" t="str">
        <f aca="false">IF(ISBLANK($C307),"",IF($BZ307&lt;&gt;Constants!$B$8,"",IF($BM307="-&gt;",$BO307,$BC307)))</f>
        <v/>
      </c>
      <c r="CV307" s="144" t="str">
        <f aca="false">IF(ISBLANK($C307),"",IF($BZ307&lt;&gt;Constants!$B$8,"",IF($BM307="-&gt;",$BP307,$BD307)))</f>
        <v/>
      </c>
      <c r="CW307" s="144" t="str">
        <f aca="false">IF(ISBLANK($C307),"",IF($BZ307&lt;&gt;Constants!$B$8,"",IF($BM307="-&gt;",$BQ307+$BR307,$BE307+$BF307)+$CD307))</f>
        <v/>
      </c>
      <c r="CX307" s="144" t="str">
        <f aca="false">IF(ISBLANK($C307),"",IF($BZ307&lt;&gt;Constants!$B$8,"",IF($BM307="-&gt;",$BS307,$BG307)+$CC307))</f>
        <v/>
      </c>
      <c r="CY307" s="145" t="str">
        <f aca="false">IF(ISBLANK($C307),"",IF($BZ307&lt;&gt;Constants!$B$8,$BZ307,$CE307))</f>
        <v/>
      </c>
      <c r="CZ307" s="146" t="str">
        <f aca="false">IF(ISBLANK($C307),"",$CA307)</f>
        <v/>
      </c>
      <c r="DA307" s="147" t="str">
        <f aca="false">IF(ISBLANK($C307),"",$CP307)</f>
        <v/>
      </c>
      <c r="DB307" s="147" t="str">
        <f aca="false">IF(ISBLANK($C307),"",$CO307)</f>
        <v/>
      </c>
      <c r="DC307" s="148" t="str">
        <f aca="false">IF(ISBLANK($C307),"",IFERROR(_xlfn.SWITCH($DB307,Constants!$B$11,COUNTA($C$9:$C$508)+2,Constants!$B$10,COUNTA($C$9:$C$508)+1,Constants!$B$9,COUNTA($C$9:$C$508)),$DB307))</f>
        <v/>
      </c>
      <c r="DD307" s="9"/>
      <c r="DE307" s="149" t="n">
        <f aca="false">IF(OR(ISNUMBER($DB307),$DB307=Constants!$B$11,$DB307=Constants!$B$9,$DB307=Constants!$B$10),1,0)</f>
        <v>0</v>
      </c>
      <c r="DF307" s="149" t="n">
        <v>299</v>
      </c>
      <c r="DG307" s="149" t="str">
        <f aca="false">IF(ISBLANK($C307),"",IF(ISNUMBER($DC307),$DC307+ROW($B307)/1000,""))</f>
        <v/>
      </c>
      <c r="DH307" s="149" t="str">
        <f aca="false">IF(ISNUMBER($DG307),RANK($DG307,$DG$9:$DG$508,1),"")</f>
        <v/>
      </c>
      <c r="DI307" s="149" t="str">
        <f aca="false">IF(ISBLANK($C307),"",$B307)</f>
        <v/>
      </c>
      <c r="DJ307" s="149" t="str">
        <f aca="false">IF(ISBLANK($C307),"",$C307)</f>
        <v/>
      </c>
      <c r="DK307" s="149" t="str">
        <f aca="false">IF(ISBLANK($C307),"",$D307)</f>
        <v/>
      </c>
      <c r="DL307" s="150" t="str">
        <f aca="false">$CZ307</f>
        <v/>
      </c>
      <c r="DM307" s="151" t="str">
        <f aca="false">$CY307</f>
        <v/>
      </c>
      <c r="DN307" s="149" t="str">
        <f aca="false">IF(ISBLANK($C307),"",$DB307)</f>
        <v/>
      </c>
      <c r="DO307" s="152" t="str">
        <f aca="false">IF($DF307&gt;$DE$8,"",VLOOKUP($DF307,$DH$9:$DN$508,7,FALSE()))</f>
        <v/>
      </c>
      <c r="DP307" s="153" t="str">
        <f aca="false">IF($DF307&gt;$DE$8,"",VLOOKUP($DF307,$DH$9:$DN$508,2,FALSE()))</f>
        <v/>
      </c>
      <c r="DQ307" s="153" t="str">
        <f aca="false">IF($DF307&gt;$DE$8,"",VLOOKUP($DF307,$DH$9:$DN$508,3,FALSE()))</f>
        <v/>
      </c>
      <c r="DR307" s="153" t="str">
        <f aca="false">IF($DF307&gt;$DE$8,"",VLOOKUP($DF307,$DH$9:$DN$508,4,FALSE()))</f>
        <v/>
      </c>
      <c r="DS307" s="153" t="str">
        <f aca="false">IF($DF307&gt;$DE$8,"",VLOOKUP($DF307,$DH$9:$DN$508,5,FALSE()))</f>
        <v/>
      </c>
      <c r="DT307" s="154" t="str">
        <f aca="false">IF($DF307&gt;$DE$8,"",VLOOKUP($DF307,$DH$9:$DN$508,6,FALSE()))</f>
        <v/>
      </c>
      <c r="DU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IF(ISBLANK($C308),"",IF(E308=Constants!$B$3,TRUE(),IF(E308=Constants!$B$4,FALSE(),TRUE())))</f>
        <v/>
      </c>
      <c r="AG308" s="135" t="str">
        <f aca="false">IF(ISBLANK($C308),"",IF(F308=Constants!$B$3,TRUE(),IF(F308=Constants!$B$4,FALSE(),TRUE())))</f>
        <v/>
      </c>
      <c r="AH308" s="135" t="str">
        <f aca="false">IF(ISBLANK($C308),"",IF(G308=Constants!$B$3,TRUE(),IF(G308=Constants!$B$4,FALSE(),TRUE())))</f>
        <v/>
      </c>
      <c r="AI308" s="135" t="str">
        <f aca="false">IF(ISBLANK($C308),"",IF(AND(ISNUMBER(H308),H308&gt;=0),H308,Constants!$B$29))</f>
        <v/>
      </c>
      <c r="AJ308" s="135" t="str">
        <f aca="false">IF(ISBLANK($C308),"",IF(I308=Constants!$B$3,TRUE(),IF(I308=Constants!$B$4,FALSE(),TRUE())))</f>
        <v/>
      </c>
      <c r="AK308" s="135" t="str">
        <f aca="false">IF(ISBLANK($C308),"",IF(J308=Constants!$B$3,TRUE(),IF(J308=Constants!$B$4,FALSE(),TRUE())))</f>
        <v/>
      </c>
      <c r="AL308" s="135" t="str">
        <f aca="false">IF(ISBLANK($C308),"",IF(K308=Constants!$B$5,TRUE(),IF(K308=Constants!$B$6,FALSE(),COUNTA(L308:P308)&gt;0)))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IF(ISBLANK($C308),"",IF(N308=Constants!$B$3,TRUE(),IF(N308=Constants!$B$4,FALSE(),TRUE())))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IF(ISBLANK($C308),"",IF(P308=Constants!$B$3,TRUE(),IF(P308=Constants!$B$4,FALSE(),FALSE())))</f>
        <v/>
      </c>
      <c r="AR308" s="135" t="str">
        <f aca="false">IF(ISBLANK($C308),"",IF(Q308=Constants!$B$3,TRUE(),IF(Q308=Constants!$B$4,FALSE(),TRUE())))</f>
        <v/>
      </c>
      <c r="AS308" s="135" t="str">
        <f aca="false">IF(ISBLANK($C308),"",IF(R308=Constants!$B$3,TRUE(),IF(R308=Constants!$B$4,FALSE(),TRUE())))</f>
        <v/>
      </c>
      <c r="AT308" s="135" t="str">
        <f aca="false">IF(ISBLANK($C308),"",IF(S308=Constants!$B$5,TRUE(),IF(S308=Constants!$B$6,FALSE(),COUNTA(T308:X308)&gt;0)))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IF(ISBLANK($C308),"",IF(V308=Constants!$B$3,TRUE(),IF(V308=Constants!$B$4,FALSE(),TRUE())))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IF(ISBLANK($C308),"",IF(X308=Constants!$B$3,TRUE(),IF(X308=Constants!$B$4,FALSE(),FALSE())))</f>
        <v/>
      </c>
      <c r="AZ308" s="135" t="str">
        <f aca="false">IF(ISBLANK($C308),"",MIN(Constants!$B$31,MAX(0,IF(ISNUMBER(Y308),Y308*60,0)+IF(ISNUMBER(Z308),Z308,0))))</f>
        <v/>
      </c>
      <c r="BA308" s="135" t="str">
        <f aca="false">IF(ISBLANK($C308),"",IF(AA308=Constants!$B$3,TRUE(),IF(AA308=Constants!$B$4,FALSE(),FALSE())))</f>
        <v/>
      </c>
      <c r="BB308" s="134" t="str">
        <f aca="false">IF(ISBLANK($C308),"",AND($AL308,OR($AM308="",$AN308="",AND($AO308,$AP308=""))))</f>
        <v/>
      </c>
      <c r="BC308" s="137" t="str">
        <f aca="false">IF($BZ308&lt;&gt;Constants!$B$8,"",IF($AL308,Constants!$B$21*$AN308+Constants!$B$22*IF($AO308,$AP308,Constants!$B$23),Constants!$B$24))</f>
        <v/>
      </c>
      <c r="BD308" s="138" t="str">
        <f aca="false">IF($BZ308&lt;&gt;Constants!$B$8,"",Constants!$B$25*ABS($AD$9-IF($AL308,$AM308,0)))</f>
        <v/>
      </c>
      <c r="BE308" s="138" t="str">
        <f aca="false">IF($BZ308&lt;&gt;Constants!$B$8,"",IF(AND($AL308,$AQ308,$AO308),Constants!$B$27,0))</f>
        <v/>
      </c>
      <c r="BF308" s="138" t="str">
        <f aca="false">IF($BZ308&lt;&gt;Constants!$B$8,"",IF($AL308,($AI308-Constants!$B$29)*Constants!$B$28,0))</f>
        <v/>
      </c>
      <c r="BG308" s="138" t="str">
        <f aca="false">IF($BZ308&lt;&gt;Constants!$B$8,"",IF($AK308,0,Constants!$B$15)+IF($AJ308,0,Constants!$B$16)+IF($AH308,0,Constants!$B$17))</f>
        <v/>
      </c>
      <c r="BH308" s="139" t="str">
        <f aca="false">IF($BZ308&lt;&gt;Constants!$B$8,"",Constants!$B$20+SUM($BC308:$BG308))</f>
        <v/>
      </c>
      <c r="BI308" s="138" t="str">
        <f aca="false">IF($BZ308&lt;&gt;Constants!$B$8,"",$BC308)</f>
        <v/>
      </c>
      <c r="BJ308" s="138" t="str">
        <f aca="false">IF($BZ308&lt;&gt;Constants!$B$8,"",$BD308)</f>
        <v/>
      </c>
      <c r="BK308" s="138" t="str">
        <f aca="false">IF($BZ308&lt;&gt;Constants!$B$8,"",IF($AL308,$AN308,""))</f>
        <v/>
      </c>
      <c r="BL308" s="140" t="str">
        <f aca="false">IF($BZ308&lt;&gt;Constants!$B$8,"",$AI308)</f>
        <v/>
      </c>
      <c r="BM308" s="135" t="str">
        <f aca="false">IF($BZ308&lt;&gt;Constants!$B$8,"",IF(OR($BT308&lt;$BH308,AND($BT308=$BH308,OR($BU308&lt;$BI308,AND($BU308=$BI308,OR($BV308&lt;$BJ308,AND($BV308=$BJ308,OR(AND(ISNUMBER($BW308),OR(NOT(ISNUMBER($BK308)),$BW308&lt;$BK308)),AND(OR(AND($BW308="",$BK308=""),AND(ISNUMBER($BW308),ISNUMBER($BK308),$BW308=$BK308)),$BX308&lt;$BL308)))))))),"-&gt;","&lt;-"))</f>
        <v/>
      </c>
      <c r="BN308" s="134" t="str">
        <f aca="false">IF(ISBLANK($C308),"",AND($AT308,OR($AU308="",$AV308="",AND($AW308,$AX308=""))))</f>
        <v/>
      </c>
      <c r="BO308" s="137" t="str">
        <f aca="false">IF($BZ308&lt;&gt;Constants!$B$8,"",IF($AT308,Constants!$B$21*$AV308+Constants!$B$22*IF($AW308,$AX308,Constants!$B$23),Constants!$B$24))</f>
        <v/>
      </c>
      <c r="BP308" s="138" t="str">
        <f aca="false">IF($BZ308&lt;&gt;Constants!$B$8,"",Constants!$B$25*ABS($AD$9-IF($AT308,$AU308,0)))</f>
        <v/>
      </c>
      <c r="BQ308" s="138" t="str">
        <f aca="false">IF($BZ308&lt;&gt;Constants!$B$8,"",IF(AND($AT308,$AY308,$AW308),Constants!$B$27,0))</f>
        <v/>
      </c>
      <c r="BR308" s="138" t="str">
        <f aca="false">IF($BZ308&lt;&gt;Constants!$B$8,"",IF($AT308,($AI308-Constants!$B$29)*Constants!$B$28,0))</f>
        <v/>
      </c>
      <c r="BS308" s="138" t="str">
        <f aca="false">IF($BZ308&lt;&gt;Constants!$B$8,"",IF($AS308,0,Constants!$B$15)+IF($AR308,0,Constants!$B$16)+IF($AH308,0,Constants!$B$17))</f>
        <v/>
      </c>
      <c r="BT308" s="139" t="str">
        <f aca="false">IF($BZ308&lt;&gt;Constants!$B$8,"",Constants!$B$20+SUM($BO308:$BS308))</f>
        <v/>
      </c>
      <c r="BU308" s="138" t="str">
        <f aca="false">IF($BZ308&lt;&gt;Constants!$B$8,"",$BO308)</f>
        <v/>
      </c>
      <c r="BV308" s="138" t="str">
        <f aca="false">IF($BZ308&lt;&gt;Constants!$B$8,"",$BP308)</f>
        <v/>
      </c>
      <c r="BW308" s="138" t="str">
        <f aca="false">IF($BZ308&lt;&gt;Constants!$B$8,"",IF($AT308,$AV308,""))</f>
        <v/>
      </c>
      <c r="BX308" s="140" t="str">
        <f aca="false">IF($BZ308&lt;&gt;Constants!$B$8,"",$AI308)</f>
        <v/>
      </c>
      <c r="BY308" s="135" t="str">
        <f aca="false">IF(ISBLANK($C308),"",IF(ISBLANK($D$7),$BY$5,IF(NOT(ISNUMBER($D$7)),$BY$6,"")))</f>
        <v/>
      </c>
      <c r="BZ308" s="135" t="str">
        <f aca="false">IF(ISBLANK($C308),"",IF($BA308,Constants!$B$11,IF(COUNTA($E308:$AA308)=0,Constants!$B$10,IF(NOT($AG308),Constants!$B$9,IF(OR($BY308&lt;&gt;"",$BB308,$BN308),Constants!$B$12,Constants!$B$8)))))</f>
        <v/>
      </c>
      <c r="CA308" s="135" t="str">
        <f aca="false">IF(ISBLANK($C308),"",IF($BZ308&lt;&gt;Constants!$B$8,$BZ308,Constants!$B$13))</f>
        <v/>
      </c>
      <c r="CB308" s="138" t="str">
        <f aca="false">IF($BZ308&lt;&gt;Constants!$B$8,"",IF($BM308="-&gt;",$BT308,$BH308))</f>
        <v/>
      </c>
      <c r="CC308" s="138" t="str">
        <f aca="false">IF($BZ308&lt;&gt;Constants!$B$8,"",IF($AF308,0,Constants!$B$18))</f>
        <v/>
      </c>
      <c r="CD308" s="138" t="str">
        <f aca="false">IF($BZ308&lt;&gt;Constants!$B$8,"",((Constants!$B$31-$AZ308)-Constants!$B$31)/Constants!$B$32)</f>
        <v/>
      </c>
      <c r="CE308" s="138" t="str">
        <f aca="false">IF(ISBLANK($C308),"",IF($BZ308&lt;&gt;Constants!$B$8,$BZ308,SUM($CB308:$CD308)))</f>
        <v/>
      </c>
      <c r="CF308" s="135" t="str">
        <f aca="false">IF(ISBLANK($C308),"",IF($BZ308&lt;&gt;Constants!$B$8,$BZ308,RANK($CE308,$CE$9:$CE$508,1)))</f>
        <v/>
      </c>
      <c r="CG308" s="138" t="str">
        <f aca="false">IF($BZ308&lt;&gt;Constants!$B$8,"",IF($BM308="-&gt;",$BU308,$BI308))</f>
        <v/>
      </c>
      <c r="CH308" s="135" t="str">
        <f aca="false">IF(ISBLANK($C308),"",IF($BZ308&lt;&gt;Constants!$B$8,$BZ308,IF(ISNUMBER($CG308),RANK($CG308,$CG$9:$CG$508,1),COUNT($CG$9:$CG$508)+1)))</f>
        <v/>
      </c>
      <c r="CI308" s="138" t="str">
        <f aca="false">IF($BZ308&lt;&gt;Constants!$B$8,"",IF($BM308="-&gt;",$BV308,$BJ308))</f>
        <v/>
      </c>
      <c r="CJ308" s="135" t="str">
        <f aca="false">IF(ISBLANK($C308),"",IF($BZ308&lt;&gt;Constants!$B$8,$BZ308,IF(ISNUMBER($CI308),RANK($CI308,$CI$9:$CI$508,1),COUNT($CI$9:$CI$508)+1)))</f>
        <v/>
      </c>
      <c r="CK308" s="138" t="str">
        <f aca="false">IF($BZ308&lt;&gt;Constants!$B$8,"",IF($BM308="-&gt;",$BW308,$BK308))</f>
        <v/>
      </c>
      <c r="CL308" s="135" t="str">
        <f aca="false">IF(ISBLANK($C308),"",IF($BZ308&lt;&gt;Constants!$B$8,$BZ308,IF(ISNUMBER($CK308),RANK($CK308,$CK$9:$CK$508,1),COUNT($CK$9:$CK$508)+1)))</f>
        <v/>
      </c>
      <c r="CM308" s="138" t="str">
        <f aca="false">IF($BZ308&lt;&gt;Constants!$B$8,"",IF(AND(NOT($AL308),NOT($AT308),$AJ308,$AK308,$AR308,$AS308),"",IF($BM308="-&gt;",$BX308,$BL308)))</f>
        <v/>
      </c>
      <c r="CN308" s="135" t="str">
        <f aca="false">IF(ISBLANK($C308),"",IF($BZ308&lt;&gt;Constants!$B$8,$BZ308,IF(ISNUMBER($CM308),RANK($CM308,$CM$9:$CM$508,1),COUNT($CM$9:$CM$508)+1)))</f>
        <v/>
      </c>
      <c r="CO308" s="135" t="str">
        <f aca="false">IF(ISBLANK($C308),"",IF($BZ308&lt;&gt;Constants!$B$8,$BZ308,COUNTIFS($CF$9:$CF$508,"&lt;"&amp;$CF308)+COUNTIFS($CF$9:$CF$508,$CF308,$CH$9:$CH$508,"&lt;"&amp;$CH308)+COUNTIFS($CF$9:$CF$508,$CF308,$CH$9:$CH$508,$CH308,$CJ$9:$CJ$508,"&lt;"&amp;$CJ308)+COUNTIFS($CF$9:$CF$508,$CF308,$CH$9:$CH$508,$CH308,$CJ$9:$CJ$508,$CJ308,$CL$9:$CL$508,"&lt;"&amp;$CL308)+COUNTIFS($CF$9:$CF$508,$CF308,$CH$9:$CH$508,$CH308,$CJ$9:$CJ$508,$CJ308,$CL$9:$CL$508,$CL308,$CN$9:$CN$508,"&lt;"&amp;$CN308)+1))</f>
        <v/>
      </c>
      <c r="CP308" s="135" t="str">
        <f aca="false">IF(ISBLANK($C308),"",IF($BZ308&lt;&gt;Constants!$B$8,$BZ308,$CF308-$CO308))</f>
        <v/>
      </c>
      <c r="CQ308" s="141"/>
      <c r="CR308" s="142"/>
      <c r="CS308" s="143" t="str">
        <f aca="false">IF(ISBLANK($C308),"",IF($BZ308=Constants!$B$12,$BY308,""))</f>
        <v/>
      </c>
      <c r="CT308" s="142" t="str">
        <f aca="false">IF(ISBLANK($C308),"",IF($BZ308&lt;&gt;Constants!$B$8,"",IF($BM308="-&gt;",2,1)))</f>
        <v/>
      </c>
      <c r="CU308" s="144" t="str">
        <f aca="false">IF(ISBLANK($C308),"",IF($BZ308&lt;&gt;Constants!$B$8,"",IF($BM308="-&gt;",$BO308,$BC308)))</f>
        <v/>
      </c>
      <c r="CV308" s="144" t="str">
        <f aca="false">IF(ISBLANK($C308),"",IF($BZ308&lt;&gt;Constants!$B$8,"",IF($BM308="-&gt;",$BP308,$BD308)))</f>
        <v/>
      </c>
      <c r="CW308" s="144" t="str">
        <f aca="false">IF(ISBLANK($C308),"",IF($BZ308&lt;&gt;Constants!$B$8,"",IF($BM308="-&gt;",$BQ308+$BR308,$BE308+$BF308)+$CD308))</f>
        <v/>
      </c>
      <c r="CX308" s="144" t="str">
        <f aca="false">IF(ISBLANK($C308),"",IF($BZ308&lt;&gt;Constants!$B$8,"",IF($BM308="-&gt;",$BS308,$BG308)+$CC308))</f>
        <v/>
      </c>
      <c r="CY308" s="145" t="str">
        <f aca="false">IF(ISBLANK($C308),"",IF($BZ308&lt;&gt;Constants!$B$8,$BZ308,$CE308))</f>
        <v/>
      </c>
      <c r="CZ308" s="146" t="str">
        <f aca="false">IF(ISBLANK($C308),"",$CA308)</f>
        <v/>
      </c>
      <c r="DA308" s="147" t="str">
        <f aca="false">IF(ISBLANK($C308),"",$CP308)</f>
        <v/>
      </c>
      <c r="DB308" s="147" t="str">
        <f aca="false">IF(ISBLANK($C308),"",$CO308)</f>
        <v/>
      </c>
      <c r="DC308" s="148" t="str">
        <f aca="false">IF(ISBLANK($C308),"",IFERROR(_xlfn.SWITCH($DB308,Constants!$B$11,COUNTA($C$9:$C$508)+2,Constants!$B$10,COUNTA($C$9:$C$508)+1,Constants!$B$9,COUNTA($C$9:$C$508)),$DB308))</f>
        <v/>
      </c>
      <c r="DD308" s="9"/>
      <c r="DE308" s="149" t="n">
        <f aca="false">IF(OR(ISNUMBER($DB308),$DB308=Constants!$B$11,$DB308=Constants!$B$9,$DB308=Constants!$B$10),1,0)</f>
        <v>0</v>
      </c>
      <c r="DF308" s="149" t="n">
        <v>300</v>
      </c>
      <c r="DG308" s="149" t="str">
        <f aca="false">IF(ISBLANK($C308),"",IF(ISNUMBER($DC308),$DC308+ROW($B308)/1000,""))</f>
        <v/>
      </c>
      <c r="DH308" s="149" t="str">
        <f aca="false">IF(ISNUMBER($DG308),RANK($DG308,$DG$9:$DG$508,1),"")</f>
        <v/>
      </c>
      <c r="DI308" s="149" t="str">
        <f aca="false">IF(ISBLANK($C308),"",$B308)</f>
        <v/>
      </c>
      <c r="DJ308" s="149" t="str">
        <f aca="false">IF(ISBLANK($C308),"",$C308)</f>
        <v/>
      </c>
      <c r="DK308" s="149" t="str">
        <f aca="false">IF(ISBLANK($C308),"",$D308)</f>
        <v/>
      </c>
      <c r="DL308" s="150" t="str">
        <f aca="false">$CZ308</f>
        <v/>
      </c>
      <c r="DM308" s="151" t="str">
        <f aca="false">$CY308</f>
        <v/>
      </c>
      <c r="DN308" s="149" t="str">
        <f aca="false">IF(ISBLANK($C308),"",$DB308)</f>
        <v/>
      </c>
      <c r="DO308" s="152" t="str">
        <f aca="false">IF($DF308&gt;$DE$8,"",VLOOKUP($DF308,$DH$9:$DN$508,7,FALSE()))</f>
        <v/>
      </c>
      <c r="DP308" s="153" t="str">
        <f aca="false">IF($DF308&gt;$DE$8,"",VLOOKUP($DF308,$DH$9:$DN$508,2,FALSE()))</f>
        <v/>
      </c>
      <c r="DQ308" s="153" t="str">
        <f aca="false">IF($DF308&gt;$DE$8,"",VLOOKUP($DF308,$DH$9:$DN$508,3,FALSE()))</f>
        <v/>
      </c>
      <c r="DR308" s="153" t="str">
        <f aca="false">IF($DF308&gt;$DE$8,"",VLOOKUP($DF308,$DH$9:$DN$508,4,FALSE()))</f>
        <v/>
      </c>
      <c r="DS308" s="153" t="str">
        <f aca="false">IF($DF308&gt;$DE$8,"",VLOOKUP($DF308,$DH$9:$DN$508,5,FALSE()))</f>
        <v/>
      </c>
      <c r="DT308" s="154" t="str">
        <f aca="false">IF($DF308&gt;$DE$8,"",VLOOKUP($DF308,$DH$9:$DN$508,6,FALSE()))</f>
        <v/>
      </c>
      <c r="DU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IF(ISBLANK($C309),"",IF(E309=Constants!$B$3,TRUE(),IF(E309=Constants!$B$4,FALSE(),TRUE())))</f>
        <v/>
      </c>
      <c r="AG309" s="93" t="str">
        <f aca="false">IF(ISBLANK($C309),"",IF(F309=Constants!$B$3,TRUE(),IF(F309=Constants!$B$4,FALSE(),TRUE())))</f>
        <v/>
      </c>
      <c r="AH309" s="93" t="str">
        <f aca="false">IF(ISBLANK($C309),"",IF(G309=Constants!$B$3,TRUE(),IF(G309=Constants!$B$4,FALSE(),TRUE())))</f>
        <v/>
      </c>
      <c r="AI309" s="93" t="str">
        <f aca="false">IF(ISBLANK($C309),"",IF(AND(ISNUMBER(H309),H309&gt;=0),H309,Constants!$B$29))</f>
        <v/>
      </c>
      <c r="AJ309" s="93" t="str">
        <f aca="false">IF(ISBLANK($C309),"",IF(I309=Constants!$B$3,TRUE(),IF(I309=Constants!$B$4,FALSE(),TRUE())))</f>
        <v/>
      </c>
      <c r="AK309" s="93" t="str">
        <f aca="false">IF(ISBLANK($C309),"",IF(J309=Constants!$B$3,TRUE(),IF(J309=Constants!$B$4,FALSE(),TRUE())))</f>
        <v/>
      </c>
      <c r="AL309" s="93" t="str">
        <f aca="false">IF(ISBLANK($C309),"",IF(K309=Constants!$B$5,TRUE(),IF(K309=Constants!$B$6,FALSE(),COUNTA(L309:P309)&gt;0)))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IF(ISBLANK($C309),"",IF(N309=Constants!$B$3,TRUE(),IF(N309=Constants!$B$4,FALSE(),TRUE())))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IF(ISBLANK($C309),"",IF(P309=Constants!$B$3,TRUE(),IF(P309=Constants!$B$4,FALSE(),FALSE())))</f>
        <v/>
      </c>
      <c r="AR309" s="93" t="str">
        <f aca="false">IF(ISBLANK($C309),"",IF(Q309=Constants!$B$3,TRUE(),IF(Q309=Constants!$B$4,FALSE(),TRUE())))</f>
        <v/>
      </c>
      <c r="AS309" s="93" t="str">
        <f aca="false">IF(ISBLANK($C309),"",IF(R309=Constants!$B$3,TRUE(),IF(R309=Constants!$B$4,FALSE(),TRUE())))</f>
        <v/>
      </c>
      <c r="AT309" s="93" t="str">
        <f aca="false">IF(ISBLANK($C309),"",IF(S309=Constants!$B$5,TRUE(),IF(S309=Constants!$B$6,FALSE(),COUNTA(T309:X309)&gt;0)))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IF(ISBLANK($C309),"",IF(V309=Constants!$B$3,TRUE(),IF(V309=Constants!$B$4,FALSE(),TRUE())))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IF(ISBLANK($C309),"",IF(X309=Constants!$B$3,TRUE(),IF(X309=Constants!$B$4,FALSE(),FALSE())))</f>
        <v/>
      </c>
      <c r="AZ309" s="93" t="str">
        <f aca="false">IF(ISBLANK($C309),"",MIN(Constants!$B$31,MAX(0,IF(ISNUMBER(Y309),Y309*60,0)+IF(ISNUMBER(Z309),Z309,0))))</f>
        <v/>
      </c>
      <c r="BA309" s="93" t="str">
        <f aca="false">IF(ISBLANK($C309),"",IF(AA309=Constants!$B$3,TRUE(),IF(AA309=Constants!$B$4,FALSE(),FALSE())))</f>
        <v/>
      </c>
      <c r="BB309" s="92" t="str">
        <f aca="false">IF(ISBLANK($C309),"",AND($AL309,OR($AM309="",$AN309="",AND($AO309,$AP309=""))))</f>
        <v/>
      </c>
      <c r="BC309" s="94" t="str">
        <f aca="false">IF($BZ309&lt;&gt;Constants!$B$8,"",IF($AL309,Constants!$B$21*$AN309+Constants!$B$22*IF($AO309,$AP309,Constants!$B$23),Constants!$B$24))</f>
        <v/>
      </c>
      <c r="BD309" s="97" t="str">
        <f aca="false">IF($BZ309&lt;&gt;Constants!$B$8,"",Constants!$B$25*ABS($AD$9-IF($AL309,$AM309,0)))</f>
        <v/>
      </c>
      <c r="BE309" s="97" t="str">
        <f aca="false">IF($BZ309&lt;&gt;Constants!$B$8,"",IF(AND($AL309,$AQ309,$AO309),Constants!$B$27,0))</f>
        <v/>
      </c>
      <c r="BF309" s="97" t="str">
        <f aca="false">IF($BZ309&lt;&gt;Constants!$B$8,"",IF($AL309,($AI309-Constants!$B$29)*Constants!$B$28,0))</f>
        <v/>
      </c>
      <c r="BG309" s="97" t="str">
        <f aca="false">IF($BZ309&lt;&gt;Constants!$B$8,"",IF($AK309,0,Constants!$B$15)+IF($AJ309,0,Constants!$B$16)+IF($AH309,0,Constants!$B$17))</f>
        <v/>
      </c>
      <c r="BH309" s="98" t="str">
        <f aca="false">IF($BZ309&lt;&gt;Constants!$B$8,"",Constants!$B$20+SUM($BC309:$BG309))</f>
        <v/>
      </c>
      <c r="BI309" s="97" t="str">
        <f aca="false">IF($BZ309&lt;&gt;Constants!$B$8,"",$BC309)</f>
        <v/>
      </c>
      <c r="BJ309" s="97" t="str">
        <f aca="false">IF($BZ309&lt;&gt;Constants!$B$8,"",$BD309)</f>
        <v/>
      </c>
      <c r="BK309" s="97" t="str">
        <f aca="false">IF($BZ309&lt;&gt;Constants!$B$8,"",IF($AL309,$AN309,""))</f>
        <v/>
      </c>
      <c r="BL309" s="99" t="str">
        <f aca="false">IF($BZ309&lt;&gt;Constants!$B$8,"",$AI309)</f>
        <v/>
      </c>
      <c r="BM309" s="93" t="str">
        <f aca="false">IF($BZ309&lt;&gt;Constants!$B$8,"",IF(OR($BT309&lt;$BH309,AND($BT309=$BH309,OR($BU309&lt;$BI309,AND($BU309=$BI309,OR($BV309&lt;$BJ309,AND($BV309=$BJ309,OR(AND(ISNUMBER($BW309),OR(NOT(ISNUMBER($BK309)),$BW309&lt;$BK309)),AND(OR(AND($BW309="",$BK309=""),AND(ISNUMBER($BW309),ISNUMBER($BK309),$BW309=$BK309)),$BX309&lt;$BL309)))))))),"-&gt;","&lt;-"))</f>
        <v/>
      </c>
      <c r="BN309" s="92" t="str">
        <f aca="false">IF(ISBLANK($C309),"",AND($AT309,OR($AU309="",$AV309="",AND($AW309,$AX309=""))))</f>
        <v/>
      </c>
      <c r="BO309" s="94" t="str">
        <f aca="false">IF($BZ309&lt;&gt;Constants!$B$8,"",IF($AT309,Constants!$B$21*$AV309+Constants!$B$22*IF($AW309,$AX309,Constants!$B$23),Constants!$B$24))</f>
        <v/>
      </c>
      <c r="BP309" s="97" t="str">
        <f aca="false">IF($BZ309&lt;&gt;Constants!$B$8,"",Constants!$B$25*ABS($AD$9-IF($AT309,$AU309,0)))</f>
        <v/>
      </c>
      <c r="BQ309" s="97" t="str">
        <f aca="false">IF($BZ309&lt;&gt;Constants!$B$8,"",IF(AND($AT309,$AY309,$AW309),Constants!$B$27,0))</f>
        <v/>
      </c>
      <c r="BR309" s="97" t="str">
        <f aca="false">IF($BZ309&lt;&gt;Constants!$B$8,"",IF($AT309,($AI309-Constants!$B$29)*Constants!$B$28,0))</f>
        <v/>
      </c>
      <c r="BS309" s="97" t="str">
        <f aca="false">IF($BZ309&lt;&gt;Constants!$B$8,"",IF($AS309,0,Constants!$B$15)+IF($AR309,0,Constants!$B$16)+IF($AH309,0,Constants!$B$17))</f>
        <v/>
      </c>
      <c r="BT309" s="98" t="str">
        <f aca="false">IF($BZ309&lt;&gt;Constants!$B$8,"",Constants!$B$20+SUM($BO309:$BS309))</f>
        <v/>
      </c>
      <c r="BU309" s="97" t="str">
        <f aca="false">IF($BZ309&lt;&gt;Constants!$B$8,"",$BO309)</f>
        <v/>
      </c>
      <c r="BV309" s="97" t="str">
        <f aca="false">IF($BZ309&lt;&gt;Constants!$B$8,"",$BP309)</f>
        <v/>
      </c>
      <c r="BW309" s="97" t="str">
        <f aca="false">IF($BZ309&lt;&gt;Constants!$B$8,"",IF($AT309,$AV309,""))</f>
        <v/>
      </c>
      <c r="BX309" s="99" t="str">
        <f aca="false">IF($BZ309&lt;&gt;Constants!$B$8,"",$AI309)</f>
        <v/>
      </c>
      <c r="BY309" s="93" t="str">
        <f aca="false">IF(ISBLANK($C309),"",IF(ISBLANK($D$7),$BY$5,IF(NOT(ISNUMBER($D$7)),$BY$6,"")))</f>
        <v/>
      </c>
      <c r="BZ309" s="93" t="str">
        <f aca="false">IF(ISBLANK($C309),"",IF($BA309,Constants!$B$11,IF(COUNTA($E309:$AA309)=0,Constants!$B$10,IF(NOT($AG309),Constants!$B$9,IF(OR($BY309&lt;&gt;"",$BB309,$BN309),Constants!$B$12,Constants!$B$8)))))</f>
        <v/>
      </c>
      <c r="CA309" s="93" t="str">
        <f aca="false">IF(ISBLANK($C309),"",IF($BZ309&lt;&gt;Constants!$B$8,$BZ309,Constants!$B$13))</f>
        <v/>
      </c>
      <c r="CB309" s="97" t="str">
        <f aca="false">IF($BZ309&lt;&gt;Constants!$B$8,"",IF($BM309="-&gt;",$BT309,$BH309))</f>
        <v/>
      </c>
      <c r="CC309" s="97" t="str">
        <f aca="false">IF($BZ309&lt;&gt;Constants!$B$8,"",IF($AF309,0,Constants!$B$18))</f>
        <v/>
      </c>
      <c r="CD309" s="97" t="str">
        <f aca="false">IF($BZ309&lt;&gt;Constants!$B$8,"",((Constants!$B$31-$AZ309)-Constants!$B$31)/Constants!$B$32)</f>
        <v/>
      </c>
      <c r="CE309" s="97" t="str">
        <f aca="false">IF(ISBLANK($C309),"",IF($BZ309&lt;&gt;Constants!$B$8,$BZ309,SUM($CB309:$CD309)))</f>
        <v/>
      </c>
      <c r="CF309" s="93" t="str">
        <f aca="false">IF(ISBLANK($C309),"",IF($BZ309&lt;&gt;Constants!$B$8,$BZ309,RANK($CE309,$CE$9:$CE$508,1)))</f>
        <v/>
      </c>
      <c r="CG309" s="97" t="str">
        <f aca="false">IF($BZ309&lt;&gt;Constants!$B$8,"",IF($BM309="-&gt;",$BU309,$BI309))</f>
        <v/>
      </c>
      <c r="CH309" s="93" t="str">
        <f aca="false">IF(ISBLANK($C309),"",IF($BZ309&lt;&gt;Constants!$B$8,$BZ309,IF(ISNUMBER($CG309),RANK($CG309,$CG$9:$CG$508,1),COUNT($CG$9:$CG$508)+1)))</f>
        <v/>
      </c>
      <c r="CI309" s="97" t="str">
        <f aca="false">IF($BZ309&lt;&gt;Constants!$B$8,"",IF($BM309="-&gt;",$BV309,$BJ309))</f>
        <v/>
      </c>
      <c r="CJ309" s="93" t="str">
        <f aca="false">IF(ISBLANK($C309),"",IF($BZ309&lt;&gt;Constants!$B$8,$BZ309,IF(ISNUMBER($CI309),RANK($CI309,$CI$9:$CI$508,1),COUNT($CI$9:$CI$508)+1)))</f>
        <v/>
      </c>
      <c r="CK309" s="97" t="str">
        <f aca="false">IF($BZ309&lt;&gt;Constants!$B$8,"",IF($BM309="-&gt;",$BW309,$BK309))</f>
        <v/>
      </c>
      <c r="CL309" s="93" t="str">
        <f aca="false">IF(ISBLANK($C309),"",IF($BZ309&lt;&gt;Constants!$B$8,$BZ309,IF(ISNUMBER($CK309),RANK($CK309,$CK$9:$CK$508,1),COUNT($CK$9:$CK$508)+1)))</f>
        <v/>
      </c>
      <c r="CM309" s="97" t="str">
        <f aca="false">IF($BZ309&lt;&gt;Constants!$B$8,"",IF(AND(NOT($AL309),NOT($AT309),$AJ309,$AK309,$AR309,$AS309),"",IF($BM309="-&gt;",$BX309,$BL309)))</f>
        <v/>
      </c>
      <c r="CN309" s="93" t="str">
        <f aca="false">IF(ISBLANK($C309),"",IF($BZ309&lt;&gt;Constants!$B$8,$BZ309,IF(ISNUMBER($CM309),RANK($CM309,$CM$9:$CM$508,1),COUNT($CM$9:$CM$508)+1)))</f>
        <v/>
      </c>
      <c r="CO309" s="93" t="str">
        <f aca="false">IF(ISBLANK($C309),"",IF($BZ309&lt;&gt;Constants!$B$8,$BZ309,COUNTIFS($CF$9:$CF$508,"&lt;"&amp;$CF309)+COUNTIFS($CF$9:$CF$508,$CF309,$CH$9:$CH$508,"&lt;"&amp;$CH309)+COUNTIFS($CF$9:$CF$508,$CF309,$CH$9:$CH$508,$CH309,$CJ$9:$CJ$508,"&lt;"&amp;$CJ309)+COUNTIFS($CF$9:$CF$508,$CF309,$CH$9:$CH$508,$CH309,$CJ$9:$CJ$508,$CJ309,$CL$9:$CL$508,"&lt;"&amp;$CL309)+COUNTIFS($CF$9:$CF$508,$CF309,$CH$9:$CH$508,$CH309,$CJ$9:$CJ$508,$CJ309,$CL$9:$CL$508,$CL309,$CN$9:$CN$508,"&lt;"&amp;$CN309)+1))</f>
        <v/>
      </c>
      <c r="CP309" s="93" t="str">
        <f aca="false">IF(ISBLANK($C309),"",IF($BZ309&lt;&gt;Constants!$B$8,$BZ309,$CF309-$CO309))</f>
        <v/>
      </c>
      <c r="CQ309" s="100"/>
      <c r="CR309" s="101"/>
      <c r="CS309" s="102" t="str">
        <f aca="false">IF(ISBLANK($C309),"",IF($BZ309=Constants!$B$12,$BY309,""))</f>
        <v/>
      </c>
      <c r="CT309" s="101" t="str">
        <f aca="false">IF(ISBLANK($C309),"",IF($BZ309&lt;&gt;Constants!$B$8,"",IF($BM309="-&gt;",2,1)))</f>
        <v/>
      </c>
      <c r="CU309" s="103" t="str">
        <f aca="false">IF(ISBLANK($C309),"",IF($BZ309&lt;&gt;Constants!$B$8,"",IF($BM309="-&gt;",$BO309,$BC309)))</f>
        <v/>
      </c>
      <c r="CV309" s="103" t="str">
        <f aca="false">IF(ISBLANK($C309),"",IF($BZ309&lt;&gt;Constants!$B$8,"",IF($BM309="-&gt;",$BP309,$BD309)))</f>
        <v/>
      </c>
      <c r="CW309" s="103" t="str">
        <f aca="false">IF(ISBLANK($C309),"",IF($BZ309&lt;&gt;Constants!$B$8,"",IF($BM309="-&gt;",$BQ309+$BR309,$BE309+$BF309)+$CD309))</f>
        <v/>
      </c>
      <c r="CX309" s="103" t="str">
        <f aca="false">IF(ISBLANK($C309),"",IF($BZ309&lt;&gt;Constants!$B$8,"",IF($BM309="-&gt;",$BS309,$BG309)+$CC309))</f>
        <v/>
      </c>
      <c r="CY309" s="104" t="str">
        <f aca="false">IF(ISBLANK($C309),"",IF($BZ309&lt;&gt;Constants!$B$8,$BZ309,$CE309))</f>
        <v/>
      </c>
      <c r="CZ309" s="105" t="str">
        <f aca="false">IF(ISBLANK($C309),"",$CA309)</f>
        <v/>
      </c>
      <c r="DA309" s="106" t="str">
        <f aca="false">IF(ISBLANK($C309),"",$CP309)</f>
        <v/>
      </c>
      <c r="DB309" s="106" t="str">
        <f aca="false">IF(ISBLANK($C309),"",$CO309)</f>
        <v/>
      </c>
      <c r="DC309" s="107" t="str">
        <f aca="false">IF(ISBLANK($C309),"",IFERROR(_xlfn.SWITCH($DB309,Constants!$B$11,COUNTA($C$9:$C$508)+2,Constants!$B$10,COUNTA($C$9:$C$508)+1,Constants!$B$9,COUNTA($C$9:$C$508)),$DB309))</f>
        <v/>
      </c>
      <c r="DD309" s="9"/>
      <c r="DE309" s="108" t="n">
        <f aca="false">IF(OR(ISNUMBER($DB309),$DB309=Constants!$B$11,$DB309=Constants!$B$9,$DB309=Constants!$B$10),1,0)</f>
        <v>0</v>
      </c>
      <c r="DF309" s="108" t="n">
        <v>301</v>
      </c>
      <c r="DG309" s="108" t="str">
        <f aca="false">IF(ISBLANK($C309),"",IF(ISNUMBER($DC309),$DC309+ROW($B309)/1000,""))</f>
        <v/>
      </c>
      <c r="DH309" s="108" t="str">
        <f aca="false">IF(ISNUMBER($DG309),RANK($DG309,$DG$9:$DG$508,1),"")</f>
        <v/>
      </c>
      <c r="DI309" s="108" t="str">
        <f aca="false">IF(ISBLANK($C309),"",$B309)</f>
        <v/>
      </c>
      <c r="DJ309" s="108" t="str">
        <f aca="false">IF(ISBLANK($C309),"",$C309)</f>
        <v/>
      </c>
      <c r="DK309" s="108" t="str">
        <f aca="false">IF(ISBLANK($C309),"",$D309)</f>
        <v/>
      </c>
      <c r="DL309" s="109" t="str">
        <f aca="false">$CZ309</f>
        <v/>
      </c>
      <c r="DM309" s="110" t="str">
        <f aca="false">$CY309</f>
        <v/>
      </c>
      <c r="DN309" s="108" t="str">
        <f aca="false">IF(ISBLANK($C309),"",$DB309)</f>
        <v/>
      </c>
      <c r="DO309" s="111" t="str">
        <f aca="false">IF($DF309&gt;$DE$8,"",VLOOKUP($DF309,$DH$9:$DN$508,7,FALSE()))</f>
        <v/>
      </c>
      <c r="DP309" s="112" t="str">
        <f aca="false">IF($DF309&gt;$DE$8,"",VLOOKUP($DF309,$DH$9:$DN$508,2,FALSE()))</f>
        <v/>
      </c>
      <c r="DQ309" s="112" t="str">
        <f aca="false">IF($DF309&gt;$DE$8,"",VLOOKUP($DF309,$DH$9:$DN$508,3,FALSE()))</f>
        <v/>
      </c>
      <c r="DR309" s="112" t="str">
        <f aca="false">IF($DF309&gt;$DE$8,"",VLOOKUP($DF309,$DH$9:$DN$508,4,FALSE()))</f>
        <v/>
      </c>
      <c r="DS309" s="112" t="str">
        <f aca="false">IF($DF309&gt;$DE$8,"",VLOOKUP($DF309,$DH$9:$DN$508,5,FALSE()))</f>
        <v/>
      </c>
      <c r="DT309" s="113" t="str">
        <f aca="false">IF($DF309&gt;$DE$8,"",VLOOKUP($DF309,$DH$9:$DN$508,6,FALSE()))</f>
        <v/>
      </c>
      <c r="DU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IF(ISBLANK($C310),"",IF(E310=Constants!$B$3,TRUE(),IF(E310=Constants!$B$4,FALSE(),TRUE())))</f>
        <v/>
      </c>
      <c r="AG310" s="93" t="str">
        <f aca="false">IF(ISBLANK($C310),"",IF(F310=Constants!$B$3,TRUE(),IF(F310=Constants!$B$4,FALSE(),TRUE())))</f>
        <v/>
      </c>
      <c r="AH310" s="93" t="str">
        <f aca="false">IF(ISBLANK($C310),"",IF(G310=Constants!$B$3,TRUE(),IF(G310=Constants!$B$4,FALSE(),TRUE())))</f>
        <v/>
      </c>
      <c r="AI310" s="93" t="str">
        <f aca="false">IF(ISBLANK($C310),"",IF(AND(ISNUMBER(H310),H310&gt;=0),H310,Constants!$B$29))</f>
        <v/>
      </c>
      <c r="AJ310" s="93" t="str">
        <f aca="false">IF(ISBLANK($C310),"",IF(I310=Constants!$B$3,TRUE(),IF(I310=Constants!$B$4,FALSE(),TRUE())))</f>
        <v/>
      </c>
      <c r="AK310" s="93" t="str">
        <f aca="false">IF(ISBLANK($C310),"",IF(J310=Constants!$B$3,TRUE(),IF(J310=Constants!$B$4,FALSE(),TRUE())))</f>
        <v/>
      </c>
      <c r="AL310" s="93" t="str">
        <f aca="false">IF(ISBLANK($C310),"",IF(K310=Constants!$B$5,TRUE(),IF(K310=Constants!$B$6,FALSE(),COUNTA(L310:P310)&gt;0)))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IF(ISBLANK($C310),"",IF(N310=Constants!$B$3,TRUE(),IF(N310=Constants!$B$4,FALSE(),TRUE())))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IF(ISBLANK($C310),"",IF(P310=Constants!$B$3,TRUE(),IF(P310=Constants!$B$4,FALSE(),FALSE())))</f>
        <v/>
      </c>
      <c r="AR310" s="93" t="str">
        <f aca="false">IF(ISBLANK($C310),"",IF(Q310=Constants!$B$3,TRUE(),IF(Q310=Constants!$B$4,FALSE(),TRUE())))</f>
        <v/>
      </c>
      <c r="AS310" s="93" t="str">
        <f aca="false">IF(ISBLANK($C310),"",IF(R310=Constants!$B$3,TRUE(),IF(R310=Constants!$B$4,FALSE(),TRUE())))</f>
        <v/>
      </c>
      <c r="AT310" s="93" t="str">
        <f aca="false">IF(ISBLANK($C310),"",IF(S310=Constants!$B$5,TRUE(),IF(S310=Constants!$B$6,FALSE(),COUNTA(T310:X310)&gt;0)))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IF(ISBLANK($C310),"",IF(V310=Constants!$B$3,TRUE(),IF(V310=Constants!$B$4,FALSE(),TRUE())))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IF(ISBLANK($C310),"",IF(X310=Constants!$B$3,TRUE(),IF(X310=Constants!$B$4,FALSE(),FALSE())))</f>
        <v/>
      </c>
      <c r="AZ310" s="93" t="str">
        <f aca="false">IF(ISBLANK($C310),"",MIN(Constants!$B$31,MAX(0,IF(ISNUMBER(Y310),Y310*60,0)+IF(ISNUMBER(Z310),Z310,0))))</f>
        <v/>
      </c>
      <c r="BA310" s="93" t="str">
        <f aca="false">IF(ISBLANK($C310),"",IF(AA310=Constants!$B$3,TRUE(),IF(AA310=Constants!$B$4,FALSE(),FALSE())))</f>
        <v/>
      </c>
      <c r="BB310" s="92" t="str">
        <f aca="false">IF(ISBLANK($C310),"",AND($AL310,OR($AM310="",$AN310="",AND($AO310,$AP310=""))))</f>
        <v/>
      </c>
      <c r="BC310" s="94" t="str">
        <f aca="false">IF($BZ310&lt;&gt;Constants!$B$8,"",IF($AL310,Constants!$B$21*$AN310+Constants!$B$22*IF($AO310,$AP310,Constants!$B$23),Constants!$B$24))</f>
        <v/>
      </c>
      <c r="BD310" s="97" t="str">
        <f aca="false">IF($BZ310&lt;&gt;Constants!$B$8,"",Constants!$B$25*ABS($AD$9-IF($AL310,$AM310,0)))</f>
        <v/>
      </c>
      <c r="BE310" s="97" t="str">
        <f aca="false">IF($BZ310&lt;&gt;Constants!$B$8,"",IF(AND($AL310,$AQ310,$AO310),Constants!$B$27,0))</f>
        <v/>
      </c>
      <c r="BF310" s="97" t="str">
        <f aca="false">IF($BZ310&lt;&gt;Constants!$B$8,"",IF($AL310,($AI310-Constants!$B$29)*Constants!$B$28,0))</f>
        <v/>
      </c>
      <c r="BG310" s="97" t="str">
        <f aca="false">IF($BZ310&lt;&gt;Constants!$B$8,"",IF($AK310,0,Constants!$B$15)+IF($AJ310,0,Constants!$B$16)+IF($AH310,0,Constants!$B$17))</f>
        <v/>
      </c>
      <c r="BH310" s="98" t="str">
        <f aca="false">IF($BZ310&lt;&gt;Constants!$B$8,"",Constants!$B$20+SUM($BC310:$BG310))</f>
        <v/>
      </c>
      <c r="BI310" s="97" t="str">
        <f aca="false">IF($BZ310&lt;&gt;Constants!$B$8,"",$BC310)</f>
        <v/>
      </c>
      <c r="BJ310" s="97" t="str">
        <f aca="false">IF($BZ310&lt;&gt;Constants!$B$8,"",$BD310)</f>
        <v/>
      </c>
      <c r="BK310" s="97" t="str">
        <f aca="false">IF($BZ310&lt;&gt;Constants!$B$8,"",IF($AL310,$AN310,""))</f>
        <v/>
      </c>
      <c r="BL310" s="99" t="str">
        <f aca="false">IF($BZ310&lt;&gt;Constants!$B$8,"",$AI310)</f>
        <v/>
      </c>
      <c r="BM310" s="93" t="str">
        <f aca="false">IF($BZ310&lt;&gt;Constants!$B$8,"",IF(OR($BT310&lt;$BH310,AND($BT310=$BH310,OR($BU310&lt;$BI310,AND($BU310=$BI310,OR($BV310&lt;$BJ310,AND($BV310=$BJ310,OR(AND(ISNUMBER($BW310),OR(NOT(ISNUMBER($BK310)),$BW310&lt;$BK310)),AND(OR(AND($BW310="",$BK310=""),AND(ISNUMBER($BW310),ISNUMBER($BK310),$BW310=$BK310)),$BX310&lt;$BL310)))))))),"-&gt;","&lt;-"))</f>
        <v/>
      </c>
      <c r="BN310" s="92" t="str">
        <f aca="false">IF(ISBLANK($C310),"",AND($AT310,OR($AU310="",$AV310="",AND($AW310,$AX310=""))))</f>
        <v/>
      </c>
      <c r="BO310" s="94" t="str">
        <f aca="false">IF($BZ310&lt;&gt;Constants!$B$8,"",IF($AT310,Constants!$B$21*$AV310+Constants!$B$22*IF($AW310,$AX310,Constants!$B$23),Constants!$B$24))</f>
        <v/>
      </c>
      <c r="BP310" s="97" t="str">
        <f aca="false">IF($BZ310&lt;&gt;Constants!$B$8,"",Constants!$B$25*ABS($AD$9-IF($AT310,$AU310,0)))</f>
        <v/>
      </c>
      <c r="BQ310" s="97" t="str">
        <f aca="false">IF($BZ310&lt;&gt;Constants!$B$8,"",IF(AND($AT310,$AY310,$AW310),Constants!$B$27,0))</f>
        <v/>
      </c>
      <c r="BR310" s="97" t="str">
        <f aca="false">IF($BZ310&lt;&gt;Constants!$B$8,"",IF($AT310,($AI310-Constants!$B$29)*Constants!$B$28,0))</f>
        <v/>
      </c>
      <c r="BS310" s="97" t="str">
        <f aca="false">IF($BZ310&lt;&gt;Constants!$B$8,"",IF($AS310,0,Constants!$B$15)+IF($AR310,0,Constants!$B$16)+IF($AH310,0,Constants!$B$17))</f>
        <v/>
      </c>
      <c r="BT310" s="98" t="str">
        <f aca="false">IF($BZ310&lt;&gt;Constants!$B$8,"",Constants!$B$20+SUM($BO310:$BS310))</f>
        <v/>
      </c>
      <c r="BU310" s="97" t="str">
        <f aca="false">IF($BZ310&lt;&gt;Constants!$B$8,"",$BO310)</f>
        <v/>
      </c>
      <c r="BV310" s="97" t="str">
        <f aca="false">IF($BZ310&lt;&gt;Constants!$B$8,"",$BP310)</f>
        <v/>
      </c>
      <c r="BW310" s="97" t="str">
        <f aca="false">IF($BZ310&lt;&gt;Constants!$B$8,"",IF($AT310,$AV310,""))</f>
        <v/>
      </c>
      <c r="BX310" s="99" t="str">
        <f aca="false">IF($BZ310&lt;&gt;Constants!$B$8,"",$AI310)</f>
        <v/>
      </c>
      <c r="BY310" s="93" t="str">
        <f aca="false">IF(ISBLANK($C310),"",IF(ISBLANK($D$7),$BY$5,IF(NOT(ISNUMBER($D$7)),$BY$6,"")))</f>
        <v/>
      </c>
      <c r="BZ310" s="93" t="str">
        <f aca="false">IF(ISBLANK($C310),"",IF($BA310,Constants!$B$11,IF(COUNTA($E310:$AA310)=0,Constants!$B$10,IF(NOT($AG310),Constants!$B$9,IF(OR($BY310&lt;&gt;"",$BB310,$BN310),Constants!$B$12,Constants!$B$8)))))</f>
        <v/>
      </c>
      <c r="CA310" s="93" t="str">
        <f aca="false">IF(ISBLANK($C310),"",IF($BZ310&lt;&gt;Constants!$B$8,$BZ310,Constants!$B$13))</f>
        <v/>
      </c>
      <c r="CB310" s="97" t="str">
        <f aca="false">IF($BZ310&lt;&gt;Constants!$B$8,"",IF($BM310="-&gt;",$BT310,$BH310))</f>
        <v/>
      </c>
      <c r="CC310" s="97" t="str">
        <f aca="false">IF($BZ310&lt;&gt;Constants!$B$8,"",IF($AF310,0,Constants!$B$18))</f>
        <v/>
      </c>
      <c r="CD310" s="97" t="str">
        <f aca="false">IF($BZ310&lt;&gt;Constants!$B$8,"",((Constants!$B$31-$AZ310)-Constants!$B$31)/Constants!$B$32)</f>
        <v/>
      </c>
      <c r="CE310" s="97" t="str">
        <f aca="false">IF(ISBLANK($C310),"",IF($BZ310&lt;&gt;Constants!$B$8,$BZ310,SUM($CB310:$CD310)))</f>
        <v/>
      </c>
      <c r="CF310" s="93" t="str">
        <f aca="false">IF(ISBLANK($C310),"",IF($BZ310&lt;&gt;Constants!$B$8,$BZ310,RANK($CE310,$CE$9:$CE$508,1)))</f>
        <v/>
      </c>
      <c r="CG310" s="97" t="str">
        <f aca="false">IF($BZ310&lt;&gt;Constants!$B$8,"",IF($BM310="-&gt;",$BU310,$BI310))</f>
        <v/>
      </c>
      <c r="CH310" s="93" t="str">
        <f aca="false">IF(ISBLANK($C310),"",IF($BZ310&lt;&gt;Constants!$B$8,$BZ310,IF(ISNUMBER($CG310),RANK($CG310,$CG$9:$CG$508,1),COUNT($CG$9:$CG$508)+1)))</f>
        <v/>
      </c>
      <c r="CI310" s="97" t="str">
        <f aca="false">IF($BZ310&lt;&gt;Constants!$B$8,"",IF($BM310="-&gt;",$BV310,$BJ310))</f>
        <v/>
      </c>
      <c r="CJ310" s="93" t="str">
        <f aca="false">IF(ISBLANK($C310),"",IF($BZ310&lt;&gt;Constants!$B$8,$BZ310,IF(ISNUMBER($CI310),RANK($CI310,$CI$9:$CI$508,1),COUNT($CI$9:$CI$508)+1)))</f>
        <v/>
      </c>
      <c r="CK310" s="97" t="str">
        <f aca="false">IF($BZ310&lt;&gt;Constants!$B$8,"",IF($BM310="-&gt;",$BW310,$BK310))</f>
        <v/>
      </c>
      <c r="CL310" s="93" t="str">
        <f aca="false">IF(ISBLANK($C310),"",IF($BZ310&lt;&gt;Constants!$B$8,$BZ310,IF(ISNUMBER($CK310),RANK($CK310,$CK$9:$CK$508,1),COUNT($CK$9:$CK$508)+1)))</f>
        <v/>
      </c>
      <c r="CM310" s="97" t="str">
        <f aca="false">IF($BZ310&lt;&gt;Constants!$B$8,"",IF(AND(NOT($AL310),NOT($AT310),$AJ310,$AK310,$AR310,$AS310),"",IF($BM310="-&gt;",$BX310,$BL310)))</f>
        <v/>
      </c>
      <c r="CN310" s="93" t="str">
        <f aca="false">IF(ISBLANK($C310),"",IF($BZ310&lt;&gt;Constants!$B$8,$BZ310,IF(ISNUMBER($CM310),RANK($CM310,$CM$9:$CM$508,1),COUNT($CM$9:$CM$508)+1)))</f>
        <v/>
      </c>
      <c r="CO310" s="93" t="str">
        <f aca="false">IF(ISBLANK($C310),"",IF($BZ310&lt;&gt;Constants!$B$8,$BZ310,COUNTIFS($CF$9:$CF$508,"&lt;"&amp;$CF310)+COUNTIFS($CF$9:$CF$508,$CF310,$CH$9:$CH$508,"&lt;"&amp;$CH310)+COUNTIFS($CF$9:$CF$508,$CF310,$CH$9:$CH$508,$CH310,$CJ$9:$CJ$508,"&lt;"&amp;$CJ310)+COUNTIFS($CF$9:$CF$508,$CF310,$CH$9:$CH$508,$CH310,$CJ$9:$CJ$508,$CJ310,$CL$9:$CL$508,"&lt;"&amp;$CL310)+COUNTIFS($CF$9:$CF$508,$CF310,$CH$9:$CH$508,$CH310,$CJ$9:$CJ$508,$CJ310,$CL$9:$CL$508,$CL310,$CN$9:$CN$508,"&lt;"&amp;$CN310)+1))</f>
        <v/>
      </c>
      <c r="CP310" s="93" t="str">
        <f aca="false">IF(ISBLANK($C310),"",IF($BZ310&lt;&gt;Constants!$B$8,$BZ310,$CF310-$CO310))</f>
        <v/>
      </c>
      <c r="CQ310" s="100"/>
      <c r="CR310" s="101"/>
      <c r="CS310" s="102" t="str">
        <f aca="false">IF(ISBLANK($C310),"",IF($BZ310=Constants!$B$12,$BY310,""))</f>
        <v/>
      </c>
      <c r="CT310" s="101" t="str">
        <f aca="false">IF(ISBLANK($C310),"",IF($BZ310&lt;&gt;Constants!$B$8,"",IF($BM310="-&gt;",2,1)))</f>
        <v/>
      </c>
      <c r="CU310" s="103" t="str">
        <f aca="false">IF(ISBLANK($C310),"",IF($BZ310&lt;&gt;Constants!$B$8,"",IF($BM310="-&gt;",$BO310,$BC310)))</f>
        <v/>
      </c>
      <c r="CV310" s="103" t="str">
        <f aca="false">IF(ISBLANK($C310),"",IF($BZ310&lt;&gt;Constants!$B$8,"",IF($BM310="-&gt;",$BP310,$BD310)))</f>
        <v/>
      </c>
      <c r="CW310" s="103" t="str">
        <f aca="false">IF(ISBLANK($C310),"",IF($BZ310&lt;&gt;Constants!$B$8,"",IF($BM310="-&gt;",$BQ310+$BR310,$BE310+$BF310)+$CD310))</f>
        <v/>
      </c>
      <c r="CX310" s="103" t="str">
        <f aca="false">IF(ISBLANK($C310),"",IF($BZ310&lt;&gt;Constants!$B$8,"",IF($BM310="-&gt;",$BS310,$BG310)+$CC310))</f>
        <v/>
      </c>
      <c r="CY310" s="104" t="str">
        <f aca="false">IF(ISBLANK($C310),"",IF($BZ310&lt;&gt;Constants!$B$8,$BZ310,$CE310))</f>
        <v/>
      </c>
      <c r="CZ310" s="105" t="str">
        <f aca="false">IF(ISBLANK($C310),"",$CA310)</f>
        <v/>
      </c>
      <c r="DA310" s="106" t="str">
        <f aca="false">IF(ISBLANK($C310),"",$CP310)</f>
        <v/>
      </c>
      <c r="DB310" s="106" t="str">
        <f aca="false">IF(ISBLANK($C310),"",$CO310)</f>
        <v/>
      </c>
      <c r="DC310" s="107" t="str">
        <f aca="false">IF(ISBLANK($C310),"",IFERROR(_xlfn.SWITCH($DB310,Constants!$B$11,COUNTA($C$9:$C$508)+2,Constants!$B$10,COUNTA($C$9:$C$508)+1,Constants!$B$9,COUNTA($C$9:$C$508)),$DB310))</f>
        <v/>
      </c>
      <c r="DD310" s="9"/>
      <c r="DE310" s="108" t="n">
        <f aca="false">IF(OR(ISNUMBER($DB310),$DB310=Constants!$B$11,$DB310=Constants!$B$9,$DB310=Constants!$B$10),1,0)</f>
        <v>0</v>
      </c>
      <c r="DF310" s="108" t="n">
        <v>302</v>
      </c>
      <c r="DG310" s="108" t="str">
        <f aca="false">IF(ISBLANK($C310),"",IF(ISNUMBER($DC310),$DC310+ROW($B310)/1000,""))</f>
        <v/>
      </c>
      <c r="DH310" s="108" t="str">
        <f aca="false">IF(ISNUMBER($DG310),RANK($DG310,$DG$9:$DG$508,1),"")</f>
        <v/>
      </c>
      <c r="DI310" s="108" t="str">
        <f aca="false">IF(ISBLANK($C310),"",$B310)</f>
        <v/>
      </c>
      <c r="DJ310" s="108" t="str">
        <f aca="false">IF(ISBLANK($C310),"",$C310)</f>
        <v/>
      </c>
      <c r="DK310" s="108" t="str">
        <f aca="false">IF(ISBLANK($C310),"",$D310)</f>
        <v/>
      </c>
      <c r="DL310" s="109" t="str">
        <f aca="false">$CZ310</f>
        <v/>
      </c>
      <c r="DM310" s="110" t="str">
        <f aca="false">$CY310</f>
        <v/>
      </c>
      <c r="DN310" s="108" t="str">
        <f aca="false">IF(ISBLANK($C310),"",$DB310)</f>
        <v/>
      </c>
      <c r="DO310" s="111" t="str">
        <f aca="false">IF($DF310&gt;$DE$8,"",VLOOKUP($DF310,$DH$9:$DN$508,7,FALSE()))</f>
        <v/>
      </c>
      <c r="DP310" s="112" t="str">
        <f aca="false">IF($DF310&gt;$DE$8,"",VLOOKUP($DF310,$DH$9:$DN$508,2,FALSE()))</f>
        <v/>
      </c>
      <c r="DQ310" s="112" t="str">
        <f aca="false">IF($DF310&gt;$DE$8,"",VLOOKUP($DF310,$DH$9:$DN$508,3,FALSE()))</f>
        <v/>
      </c>
      <c r="DR310" s="112" t="str">
        <f aca="false">IF($DF310&gt;$DE$8,"",VLOOKUP($DF310,$DH$9:$DN$508,4,FALSE()))</f>
        <v/>
      </c>
      <c r="DS310" s="112" t="str">
        <f aca="false">IF($DF310&gt;$DE$8,"",VLOOKUP($DF310,$DH$9:$DN$508,5,FALSE()))</f>
        <v/>
      </c>
      <c r="DT310" s="113" t="str">
        <f aca="false">IF($DF310&gt;$DE$8,"",VLOOKUP($DF310,$DH$9:$DN$508,6,FALSE()))</f>
        <v/>
      </c>
      <c r="DU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IF(ISBLANK($C311),"",IF(E311=Constants!$B$3,TRUE(),IF(E311=Constants!$B$4,FALSE(),TRUE())))</f>
        <v/>
      </c>
      <c r="AG311" s="93" t="str">
        <f aca="false">IF(ISBLANK($C311),"",IF(F311=Constants!$B$3,TRUE(),IF(F311=Constants!$B$4,FALSE(),TRUE())))</f>
        <v/>
      </c>
      <c r="AH311" s="93" t="str">
        <f aca="false">IF(ISBLANK($C311),"",IF(G311=Constants!$B$3,TRUE(),IF(G311=Constants!$B$4,FALSE(),TRUE())))</f>
        <v/>
      </c>
      <c r="AI311" s="93" t="str">
        <f aca="false">IF(ISBLANK($C311),"",IF(AND(ISNUMBER(H311),H311&gt;=0),H311,Constants!$B$29))</f>
        <v/>
      </c>
      <c r="AJ311" s="93" t="str">
        <f aca="false">IF(ISBLANK($C311),"",IF(I311=Constants!$B$3,TRUE(),IF(I311=Constants!$B$4,FALSE(),TRUE())))</f>
        <v/>
      </c>
      <c r="AK311" s="93" t="str">
        <f aca="false">IF(ISBLANK($C311),"",IF(J311=Constants!$B$3,TRUE(),IF(J311=Constants!$B$4,FALSE(),TRUE())))</f>
        <v/>
      </c>
      <c r="AL311" s="93" t="str">
        <f aca="false">IF(ISBLANK($C311),"",IF(K311=Constants!$B$5,TRUE(),IF(K311=Constants!$B$6,FALSE(),COUNTA(L311:P311)&gt;0)))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IF(ISBLANK($C311),"",IF(N311=Constants!$B$3,TRUE(),IF(N311=Constants!$B$4,FALSE(),TRUE())))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IF(ISBLANK($C311),"",IF(P311=Constants!$B$3,TRUE(),IF(P311=Constants!$B$4,FALSE(),FALSE())))</f>
        <v/>
      </c>
      <c r="AR311" s="93" t="str">
        <f aca="false">IF(ISBLANK($C311),"",IF(Q311=Constants!$B$3,TRUE(),IF(Q311=Constants!$B$4,FALSE(),TRUE())))</f>
        <v/>
      </c>
      <c r="AS311" s="93" t="str">
        <f aca="false">IF(ISBLANK($C311),"",IF(R311=Constants!$B$3,TRUE(),IF(R311=Constants!$B$4,FALSE(),TRUE())))</f>
        <v/>
      </c>
      <c r="AT311" s="93" t="str">
        <f aca="false">IF(ISBLANK($C311),"",IF(S311=Constants!$B$5,TRUE(),IF(S311=Constants!$B$6,FALSE(),COUNTA(T311:X311)&gt;0)))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IF(ISBLANK($C311),"",IF(V311=Constants!$B$3,TRUE(),IF(V311=Constants!$B$4,FALSE(),TRUE())))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IF(ISBLANK($C311),"",IF(X311=Constants!$B$3,TRUE(),IF(X311=Constants!$B$4,FALSE(),FALSE())))</f>
        <v/>
      </c>
      <c r="AZ311" s="93" t="str">
        <f aca="false">IF(ISBLANK($C311),"",MIN(Constants!$B$31,MAX(0,IF(ISNUMBER(Y311),Y311*60,0)+IF(ISNUMBER(Z311),Z311,0))))</f>
        <v/>
      </c>
      <c r="BA311" s="93" t="str">
        <f aca="false">IF(ISBLANK($C311),"",IF(AA311=Constants!$B$3,TRUE(),IF(AA311=Constants!$B$4,FALSE(),FALSE())))</f>
        <v/>
      </c>
      <c r="BB311" s="92" t="str">
        <f aca="false">IF(ISBLANK($C311),"",AND($AL311,OR($AM311="",$AN311="",AND($AO311,$AP311=""))))</f>
        <v/>
      </c>
      <c r="BC311" s="94" t="str">
        <f aca="false">IF($BZ311&lt;&gt;Constants!$B$8,"",IF($AL311,Constants!$B$21*$AN311+Constants!$B$22*IF($AO311,$AP311,Constants!$B$23),Constants!$B$24))</f>
        <v/>
      </c>
      <c r="BD311" s="97" t="str">
        <f aca="false">IF($BZ311&lt;&gt;Constants!$B$8,"",Constants!$B$25*ABS($AD$9-IF($AL311,$AM311,0)))</f>
        <v/>
      </c>
      <c r="BE311" s="97" t="str">
        <f aca="false">IF($BZ311&lt;&gt;Constants!$B$8,"",IF(AND($AL311,$AQ311,$AO311),Constants!$B$27,0))</f>
        <v/>
      </c>
      <c r="BF311" s="97" t="str">
        <f aca="false">IF($BZ311&lt;&gt;Constants!$B$8,"",IF($AL311,($AI311-Constants!$B$29)*Constants!$B$28,0))</f>
        <v/>
      </c>
      <c r="BG311" s="97" t="str">
        <f aca="false">IF($BZ311&lt;&gt;Constants!$B$8,"",IF($AK311,0,Constants!$B$15)+IF($AJ311,0,Constants!$B$16)+IF($AH311,0,Constants!$B$17))</f>
        <v/>
      </c>
      <c r="BH311" s="98" t="str">
        <f aca="false">IF($BZ311&lt;&gt;Constants!$B$8,"",Constants!$B$20+SUM($BC311:$BG311))</f>
        <v/>
      </c>
      <c r="BI311" s="97" t="str">
        <f aca="false">IF($BZ311&lt;&gt;Constants!$B$8,"",$BC311)</f>
        <v/>
      </c>
      <c r="BJ311" s="97" t="str">
        <f aca="false">IF($BZ311&lt;&gt;Constants!$B$8,"",$BD311)</f>
        <v/>
      </c>
      <c r="BK311" s="97" t="str">
        <f aca="false">IF($BZ311&lt;&gt;Constants!$B$8,"",IF($AL311,$AN311,""))</f>
        <v/>
      </c>
      <c r="BL311" s="99" t="str">
        <f aca="false">IF($BZ311&lt;&gt;Constants!$B$8,"",$AI311)</f>
        <v/>
      </c>
      <c r="BM311" s="93" t="str">
        <f aca="false">IF($BZ311&lt;&gt;Constants!$B$8,"",IF(OR($BT311&lt;$BH311,AND($BT311=$BH311,OR($BU311&lt;$BI311,AND($BU311=$BI311,OR($BV311&lt;$BJ311,AND($BV311=$BJ311,OR(AND(ISNUMBER($BW311),OR(NOT(ISNUMBER($BK311)),$BW311&lt;$BK311)),AND(OR(AND($BW311="",$BK311=""),AND(ISNUMBER($BW311),ISNUMBER($BK311),$BW311=$BK311)),$BX311&lt;$BL311)))))))),"-&gt;","&lt;-"))</f>
        <v/>
      </c>
      <c r="BN311" s="92" t="str">
        <f aca="false">IF(ISBLANK($C311),"",AND($AT311,OR($AU311="",$AV311="",AND($AW311,$AX311=""))))</f>
        <v/>
      </c>
      <c r="BO311" s="94" t="str">
        <f aca="false">IF($BZ311&lt;&gt;Constants!$B$8,"",IF($AT311,Constants!$B$21*$AV311+Constants!$B$22*IF($AW311,$AX311,Constants!$B$23),Constants!$B$24))</f>
        <v/>
      </c>
      <c r="BP311" s="97" t="str">
        <f aca="false">IF($BZ311&lt;&gt;Constants!$B$8,"",Constants!$B$25*ABS($AD$9-IF($AT311,$AU311,0)))</f>
        <v/>
      </c>
      <c r="BQ311" s="97" t="str">
        <f aca="false">IF($BZ311&lt;&gt;Constants!$B$8,"",IF(AND($AT311,$AY311,$AW311),Constants!$B$27,0))</f>
        <v/>
      </c>
      <c r="BR311" s="97" t="str">
        <f aca="false">IF($BZ311&lt;&gt;Constants!$B$8,"",IF($AT311,($AI311-Constants!$B$29)*Constants!$B$28,0))</f>
        <v/>
      </c>
      <c r="BS311" s="97" t="str">
        <f aca="false">IF($BZ311&lt;&gt;Constants!$B$8,"",IF($AS311,0,Constants!$B$15)+IF($AR311,0,Constants!$B$16)+IF($AH311,0,Constants!$B$17))</f>
        <v/>
      </c>
      <c r="BT311" s="98" t="str">
        <f aca="false">IF($BZ311&lt;&gt;Constants!$B$8,"",Constants!$B$20+SUM($BO311:$BS311))</f>
        <v/>
      </c>
      <c r="BU311" s="97" t="str">
        <f aca="false">IF($BZ311&lt;&gt;Constants!$B$8,"",$BO311)</f>
        <v/>
      </c>
      <c r="BV311" s="97" t="str">
        <f aca="false">IF($BZ311&lt;&gt;Constants!$B$8,"",$BP311)</f>
        <v/>
      </c>
      <c r="BW311" s="97" t="str">
        <f aca="false">IF($BZ311&lt;&gt;Constants!$B$8,"",IF($AT311,$AV311,""))</f>
        <v/>
      </c>
      <c r="BX311" s="99" t="str">
        <f aca="false">IF($BZ311&lt;&gt;Constants!$B$8,"",$AI311)</f>
        <v/>
      </c>
      <c r="BY311" s="93" t="str">
        <f aca="false">IF(ISBLANK($C311),"",IF(ISBLANK($D$7),$BY$5,IF(NOT(ISNUMBER($D$7)),$BY$6,"")))</f>
        <v/>
      </c>
      <c r="BZ311" s="93" t="str">
        <f aca="false">IF(ISBLANK($C311),"",IF($BA311,Constants!$B$11,IF(COUNTA($E311:$AA311)=0,Constants!$B$10,IF(NOT($AG311),Constants!$B$9,IF(OR($BY311&lt;&gt;"",$BB311,$BN311),Constants!$B$12,Constants!$B$8)))))</f>
        <v/>
      </c>
      <c r="CA311" s="93" t="str">
        <f aca="false">IF(ISBLANK($C311),"",IF($BZ311&lt;&gt;Constants!$B$8,$BZ311,Constants!$B$13))</f>
        <v/>
      </c>
      <c r="CB311" s="97" t="str">
        <f aca="false">IF($BZ311&lt;&gt;Constants!$B$8,"",IF($BM311="-&gt;",$BT311,$BH311))</f>
        <v/>
      </c>
      <c r="CC311" s="97" t="str">
        <f aca="false">IF($BZ311&lt;&gt;Constants!$B$8,"",IF($AF311,0,Constants!$B$18))</f>
        <v/>
      </c>
      <c r="CD311" s="97" t="str">
        <f aca="false">IF($BZ311&lt;&gt;Constants!$B$8,"",((Constants!$B$31-$AZ311)-Constants!$B$31)/Constants!$B$32)</f>
        <v/>
      </c>
      <c r="CE311" s="97" t="str">
        <f aca="false">IF(ISBLANK($C311),"",IF($BZ311&lt;&gt;Constants!$B$8,$BZ311,SUM($CB311:$CD311)))</f>
        <v/>
      </c>
      <c r="CF311" s="93" t="str">
        <f aca="false">IF(ISBLANK($C311),"",IF($BZ311&lt;&gt;Constants!$B$8,$BZ311,RANK($CE311,$CE$9:$CE$508,1)))</f>
        <v/>
      </c>
      <c r="CG311" s="97" t="str">
        <f aca="false">IF($BZ311&lt;&gt;Constants!$B$8,"",IF($BM311="-&gt;",$BU311,$BI311))</f>
        <v/>
      </c>
      <c r="CH311" s="93" t="str">
        <f aca="false">IF(ISBLANK($C311),"",IF($BZ311&lt;&gt;Constants!$B$8,$BZ311,IF(ISNUMBER($CG311),RANK($CG311,$CG$9:$CG$508,1),COUNT($CG$9:$CG$508)+1)))</f>
        <v/>
      </c>
      <c r="CI311" s="97" t="str">
        <f aca="false">IF($BZ311&lt;&gt;Constants!$B$8,"",IF($BM311="-&gt;",$BV311,$BJ311))</f>
        <v/>
      </c>
      <c r="CJ311" s="93" t="str">
        <f aca="false">IF(ISBLANK($C311),"",IF($BZ311&lt;&gt;Constants!$B$8,$BZ311,IF(ISNUMBER($CI311),RANK($CI311,$CI$9:$CI$508,1),COUNT($CI$9:$CI$508)+1)))</f>
        <v/>
      </c>
      <c r="CK311" s="97" t="str">
        <f aca="false">IF($BZ311&lt;&gt;Constants!$B$8,"",IF($BM311="-&gt;",$BW311,$BK311))</f>
        <v/>
      </c>
      <c r="CL311" s="93" t="str">
        <f aca="false">IF(ISBLANK($C311),"",IF($BZ311&lt;&gt;Constants!$B$8,$BZ311,IF(ISNUMBER($CK311),RANK($CK311,$CK$9:$CK$508,1),COUNT($CK$9:$CK$508)+1)))</f>
        <v/>
      </c>
      <c r="CM311" s="97" t="str">
        <f aca="false">IF($BZ311&lt;&gt;Constants!$B$8,"",IF(AND(NOT($AL311),NOT($AT311),$AJ311,$AK311,$AR311,$AS311),"",IF($BM311="-&gt;",$BX311,$BL311)))</f>
        <v/>
      </c>
      <c r="CN311" s="93" t="str">
        <f aca="false">IF(ISBLANK($C311),"",IF($BZ311&lt;&gt;Constants!$B$8,$BZ311,IF(ISNUMBER($CM311),RANK($CM311,$CM$9:$CM$508,1),COUNT($CM$9:$CM$508)+1)))</f>
        <v/>
      </c>
      <c r="CO311" s="93" t="str">
        <f aca="false">IF(ISBLANK($C311),"",IF($BZ311&lt;&gt;Constants!$B$8,$BZ311,COUNTIFS($CF$9:$CF$508,"&lt;"&amp;$CF311)+COUNTIFS($CF$9:$CF$508,$CF311,$CH$9:$CH$508,"&lt;"&amp;$CH311)+COUNTIFS($CF$9:$CF$508,$CF311,$CH$9:$CH$508,$CH311,$CJ$9:$CJ$508,"&lt;"&amp;$CJ311)+COUNTIFS($CF$9:$CF$508,$CF311,$CH$9:$CH$508,$CH311,$CJ$9:$CJ$508,$CJ311,$CL$9:$CL$508,"&lt;"&amp;$CL311)+COUNTIFS($CF$9:$CF$508,$CF311,$CH$9:$CH$508,$CH311,$CJ$9:$CJ$508,$CJ311,$CL$9:$CL$508,$CL311,$CN$9:$CN$508,"&lt;"&amp;$CN311)+1))</f>
        <v/>
      </c>
      <c r="CP311" s="93" t="str">
        <f aca="false">IF(ISBLANK($C311),"",IF($BZ311&lt;&gt;Constants!$B$8,$BZ311,$CF311-$CO311))</f>
        <v/>
      </c>
      <c r="CQ311" s="100"/>
      <c r="CR311" s="101"/>
      <c r="CS311" s="102" t="str">
        <f aca="false">IF(ISBLANK($C311),"",IF($BZ311=Constants!$B$12,$BY311,""))</f>
        <v/>
      </c>
      <c r="CT311" s="101" t="str">
        <f aca="false">IF(ISBLANK($C311),"",IF($BZ311&lt;&gt;Constants!$B$8,"",IF($BM311="-&gt;",2,1)))</f>
        <v/>
      </c>
      <c r="CU311" s="103" t="str">
        <f aca="false">IF(ISBLANK($C311),"",IF($BZ311&lt;&gt;Constants!$B$8,"",IF($BM311="-&gt;",$BO311,$BC311)))</f>
        <v/>
      </c>
      <c r="CV311" s="103" t="str">
        <f aca="false">IF(ISBLANK($C311),"",IF($BZ311&lt;&gt;Constants!$B$8,"",IF($BM311="-&gt;",$BP311,$BD311)))</f>
        <v/>
      </c>
      <c r="CW311" s="103" t="str">
        <f aca="false">IF(ISBLANK($C311),"",IF($BZ311&lt;&gt;Constants!$B$8,"",IF($BM311="-&gt;",$BQ311+$BR311,$BE311+$BF311)+$CD311))</f>
        <v/>
      </c>
      <c r="CX311" s="103" t="str">
        <f aca="false">IF(ISBLANK($C311),"",IF($BZ311&lt;&gt;Constants!$B$8,"",IF($BM311="-&gt;",$BS311,$BG311)+$CC311))</f>
        <v/>
      </c>
      <c r="CY311" s="104" t="str">
        <f aca="false">IF(ISBLANK($C311),"",IF($BZ311&lt;&gt;Constants!$B$8,$BZ311,$CE311))</f>
        <v/>
      </c>
      <c r="CZ311" s="105" t="str">
        <f aca="false">IF(ISBLANK($C311),"",$CA311)</f>
        <v/>
      </c>
      <c r="DA311" s="106" t="str">
        <f aca="false">IF(ISBLANK($C311),"",$CP311)</f>
        <v/>
      </c>
      <c r="DB311" s="106" t="str">
        <f aca="false">IF(ISBLANK($C311),"",$CO311)</f>
        <v/>
      </c>
      <c r="DC311" s="107" t="str">
        <f aca="false">IF(ISBLANK($C311),"",IFERROR(_xlfn.SWITCH($DB311,Constants!$B$11,COUNTA($C$9:$C$508)+2,Constants!$B$10,COUNTA($C$9:$C$508)+1,Constants!$B$9,COUNTA($C$9:$C$508)),$DB311))</f>
        <v/>
      </c>
      <c r="DD311" s="9"/>
      <c r="DE311" s="108" t="n">
        <f aca="false">IF(OR(ISNUMBER($DB311),$DB311=Constants!$B$11,$DB311=Constants!$B$9,$DB311=Constants!$B$10),1,0)</f>
        <v>0</v>
      </c>
      <c r="DF311" s="108" t="n">
        <v>303</v>
      </c>
      <c r="DG311" s="108" t="str">
        <f aca="false">IF(ISBLANK($C311),"",IF(ISNUMBER($DC311),$DC311+ROW($B311)/1000,""))</f>
        <v/>
      </c>
      <c r="DH311" s="108" t="str">
        <f aca="false">IF(ISNUMBER($DG311),RANK($DG311,$DG$9:$DG$508,1),"")</f>
        <v/>
      </c>
      <c r="DI311" s="108" t="str">
        <f aca="false">IF(ISBLANK($C311),"",$B311)</f>
        <v/>
      </c>
      <c r="DJ311" s="108" t="str">
        <f aca="false">IF(ISBLANK($C311),"",$C311)</f>
        <v/>
      </c>
      <c r="DK311" s="108" t="str">
        <f aca="false">IF(ISBLANK($C311),"",$D311)</f>
        <v/>
      </c>
      <c r="DL311" s="109" t="str">
        <f aca="false">$CZ311</f>
        <v/>
      </c>
      <c r="DM311" s="110" t="str">
        <f aca="false">$CY311</f>
        <v/>
      </c>
      <c r="DN311" s="108" t="str">
        <f aca="false">IF(ISBLANK($C311),"",$DB311)</f>
        <v/>
      </c>
      <c r="DO311" s="111" t="str">
        <f aca="false">IF($DF311&gt;$DE$8,"",VLOOKUP($DF311,$DH$9:$DN$508,7,FALSE()))</f>
        <v/>
      </c>
      <c r="DP311" s="112" t="str">
        <f aca="false">IF($DF311&gt;$DE$8,"",VLOOKUP($DF311,$DH$9:$DN$508,2,FALSE()))</f>
        <v/>
      </c>
      <c r="DQ311" s="112" t="str">
        <f aca="false">IF($DF311&gt;$DE$8,"",VLOOKUP($DF311,$DH$9:$DN$508,3,FALSE()))</f>
        <v/>
      </c>
      <c r="DR311" s="112" t="str">
        <f aca="false">IF($DF311&gt;$DE$8,"",VLOOKUP($DF311,$DH$9:$DN$508,4,FALSE()))</f>
        <v/>
      </c>
      <c r="DS311" s="112" t="str">
        <f aca="false">IF($DF311&gt;$DE$8,"",VLOOKUP($DF311,$DH$9:$DN$508,5,FALSE()))</f>
        <v/>
      </c>
      <c r="DT311" s="113" t="str">
        <f aca="false">IF($DF311&gt;$DE$8,"",VLOOKUP($DF311,$DH$9:$DN$508,6,FALSE()))</f>
        <v/>
      </c>
      <c r="DU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IF(ISBLANK($C312),"",IF(E312=Constants!$B$3,TRUE(),IF(E312=Constants!$B$4,FALSE(),TRUE())))</f>
        <v/>
      </c>
      <c r="AG312" s="135" t="str">
        <f aca="false">IF(ISBLANK($C312),"",IF(F312=Constants!$B$3,TRUE(),IF(F312=Constants!$B$4,FALSE(),TRUE())))</f>
        <v/>
      </c>
      <c r="AH312" s="135" t="str">
        <f aca="false">IF(ISBLANK($C312),"",IF(G312=Constants!$B$3,TRUE(),IF(G312=Constants!$B$4,FALSE(),TRUE())))</f>
        <v/>
      </c>
      <c r="AI312" s="135" t="str">
        <f aca="false">IF(ISBLANK($C312),"",IF(AND(ISNUMBER(H312),H312&gt;=0),H312,Constants!$B$29))</f>
        <v/>
      </c>
      <c r="AJ312" s="135" t="str">
        <f aca="false">IF(ISBLANK($C312),"",IF(I312=Constants!$B$3,TRUE(),IF(I312=Constants!$B$4,FALSE(),TRUE())))</f>
        <v/>
      </c>
      <c r="AK312" s="135" t="str">
        <f aca="false">IF(ISBLANK($C312),"",IF(J312=Constants!$B$3,TRUE(),IF(J312=Constants!$B$4,FALSE(),TRUE())))</f>
        <v/>
      </c>
      <c r="AL312" s="135" t="str">
        <f aca="false">IF(ISBLANK($C312),"",IF(K312=Constants!$B$5,TRUE(),IF(K312=Constants!$B$6,FALSE(),COUNTA(L312:P312)&gt;0)))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IF(ISBLANK($C312),"",IF(N312=Constants!$B$3,TRUE(),IF(N312=Constants!$B$4,FALSE(),TRUE())))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IF(ISBLANK($C312),"",IF(P312=Constants!$B$3,TRUE(),IF(P312=Constants!$B$4,FALSE(),FALSE())))</f>
        <v/>
      </c>
      <c r="AR312" s="135" t="str">
        <f aca="false">IF(ISBLANK($C312),"",IF(Q312=Constants!$B$3,TRUE(),IF(Q312=Constants!$B$4,FALSE(),TRUE())))</f>
        <v/>
      </c>
      <c r="AS312" s="135" t="str">
        <f aca="false">IF(ISBLANK($C312),"",IF(R312=Constants!$B$3,TRUE(),IF(R312=Constants!$B$4,FALSE(),TRUE())))</f>
        <v/>
      </c>
      <c r="AT312" s="135" t="str">
        <f aca="false">IF(ISBLANK($C312),"",IF(S312=Constants!$B$5,TRUE(),IF(S312=Constants!$B$6,FALSE(),COUNTA(T312:X312)&gt;0)))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IF(ISBLANK($C312),"",IF(V312=Constants!$B$3,TRUE(),IF(V312=Constants!$B$4,FALSE(),TRUE())))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IF(ISBLANK($C312),"",IF(X312=Constants!$B$3,TRUE(),IF(X312=Constants!$B$4,FALSE(),FALSE())))</f>
        <v/>
      </c>
      <c r="AZ312" s="135" t="str">
        <f aca="false">IF(ISBLANK($C312),"",MIN(Constants!$B$31,MAX(0,IF(ISNUMBER(Y312),Y312*60,0)+IF(ISNUMBER(Z312),Z312,0))))</f>
        <v/>
      </c>
      <c r="BA312" s="135" t="str">
        <f aca="false">IF(ISBLANK($C312),"",IF(AA312=Constants!$B$3,TRUE(),IF(AA312=Constants!$B$4,FALSE(),FALSE())))</f>
        <v/>
      </c>
      <c r="BB312" s="134" t="str">
        <f aca="false">IF(ISBLANK($C312),"",AND($AL312,OR($AM312="",$AN312="",AND($AO312,$AP312=""))))</f>
        <v/>
      </c>
      <c r="BC312" s="137" t="str">
        <f aca="false">IF($BZ312&lt;&gt;Constants!$B$8,"",IF($AL312,Constants!$B$21*$AN312+Constants!$B$22*IF($AO312,$AP312,Constants!$B$23),Constants!$B$24))</f>
        <v/>
      </c>
      <c r="BD312" s="138" t="str">
        <f aca="false">IF($BZ312&lt;&gt;Constants!$B$8,"",Constants!$B$25*ABS($AD$9-IF($AL312,$AM312,0)))</f>
        <v/>
      </c>
      <c r="BE312" s="138" t="str">
        <f aca="false">IF($BZ312&lt;&gt;Constants!$B$8,"",IF(AND($AL312,$AQ312,$AO312),Constants!$B$27,0))</f>
        <v/>
      </c>
      <c r="BF312" s="138" t="str">
        <f aca="false">IF($BZ312&lt;&gt;Constants!$B$8,"",IF($AL312,($AI312-Constants!$B$29)*Constants!$B$28,0))</f>
        <v/>
      </c>
      <c r="BG312" s="138" t="str">
        <f aca="false">IF($BZ312&lt;&gt;Constants!$B$8,"",IF($AK312,0,Constants!$B$15)+IF($AJ312,0,Constants!$B$16)+IF($AH312,0,Constants!$B$17))</f>
        <v/>
      </c>
      <c r="BH312" s="139" t="str">
        <f aca="false">IF($BZ312&lt;&gt;Constants!$B$8,"",Constants!$B$20+SUM($BC312:$BG312))</f>
        <v/>
      </c>
      <c r="BI312" s="138" t="str">
        <f aca="false">IF($BZ312&lt;&gt;Constants!$B$8,"",$BC312)</f>
        <v/>
      </c>
      <c r="BJ312" s="138" t="str">
        <f aca="false">IF($BZ312&lt;&gt;Constants!$B$8,"",$BD312)</f>
        <v/>
      </c>
      <c r="BK312" s="138" t="str">
        <f aca="false">IF($BZ312&lt;&gt;Constants!$B$8,"",IF($AL312,$AN312,""))</f>
        <v/>
      </c>
      <c r="BL312" s="140" t="str">
        <f aca="false">IF($BZ312&lt;&gt;Constants!$B$8,"",$AI312)</f>
        <v/>
      </c>
      <c r="BM312" s="135" t="str">
        <f aca="false">IF($BZ312&lt;&gt;Constants!$B$8,"",IF(OR($BT312&lt;$BH312,AND($BT312=$BH312,OR($BU312&lt;$BI312,AND($BU312=$BI312,OR($BV312&lt;$BJ312,AND($BV312=$BJ312,OR(AND(ISNUMBER($BW312),OR(NOT(ISNUMBER($BK312)),$BW312&lt;$BK312)),AND(OR(AND($BW312="",$BK312=""),AND(ISNUMBER($BW312),ISNUMBER($BK312),$BW312=$BK312)),$BX312&lt;$BL312)))))))),"-&gt;","&lt;-"))</f>
        <v/>
      </c>
      <c r="BN312" s="134" t="str">
        <f aca="false">IF(ISBLANK($C312),"",AND($AT312,OR($AU312="",$AV312="",AND($AW312,$AX312=""))))</f>
        <v/>
      </c>
      <c r="BO312" s="137" t="str">
        <f aca="false">IF($BZ312&lt;&gt;Constants!$B$8,"",IF($AT312,Constants!$B$21*$AV312+Constants!$B$22*IF($AW312,$AX312,Constants!$B$23),Constants!$B$24))</f>
        <v/>
      </c>
      <c r="BP312" s="138" t="str">
        <f aca="false">IF($BZ312&lt;&gt;Constants!$B$8,"",Constants!$B$25*ABS($AD$9-IF($AT312,$AU312,0)))</f>
        <v/>
      </c>
      <c r="BQ312" s="138" t="str">
        <f aca="false">IF($BZ312&lt;&gt;Constants!$B$8,"",IF(AND($AT312,$AY312,$AW312),Constants!$B$27,0))</f>
        <v/>
      </c>
      <c r="BR312" s="138" t="str">
        <f aca="false">IF($BZ312&lt;&gt;Constants!$B$8,"",IF($AT312,($AI312-Constants!$B$29)*Constants!$B$28,0))</f>
        <v/>
      </c>
      <c r="BS312" s="138" t="str">
        <f aca="false">IF($BZ312&lt;&gt;Constants!$B$8,"",IF($AS312,0,Constants!$B$15)+IF($AR312,0,Constants!$B$16)+IF($AH312,0,Constants!$B$17))</f>
        <v/>
      </c>
      <c r="BT312" s="139" t="str">
        <f aca="false">IF($BZ312&lt;&gt;Constants!$B$8,"",Constants!$B$20+SUM($BO312:$BS312))</f>
        <v/>
      </c>
      <c r="BU312" s="138" t="str">
        <f aca="false">IF($BZ312&lt;&gt;Constants!$B$8,"",$BO312)</f>
        <v/>
      </c>
      <c r="BV312" s="138" t="str">
        <f aca="false">IF($BZ312&lt;&gt;Constants!$B$8,"",$BP312)</f>
        <v/>
      </c>
      <c r="BW312" s="138" t="str">
        <f aca="false">IF($BZ312&lt;&gt;Constants!$B$8,"",IF($AT312,$AV312,""))</f>
        <v/>
      </c>
      <c r="BX312" s="140" t="str">
        <f aca="false">IF($BZ312&lt;&gt;Constants!$B$8,"",$AI312)</f>
        <v/>
      </c>
      <c r="BY312" s="135" t="str">
        <f aca="false">IF(ISBLANK($C312),"",IF(ISBLANK($D$7),$BY$5,IF(NOT(ISNUMBER($D$7)),$BY$6,"")))</f>
        <v/>
      </c>
      <c r="BZ312" s="135" t="str">
        <f aca="false">IF(ISBLANK($C312),"",IF($BA312,Constants!$B$11,IF(COUNTA($E312:$AA312)=0,Constants!$B$10,IF(NOT($AG312),Constants!$B$9,IF(OR($BY312&lt;&gt;"",$BB312,$BN312),Constants!$B$12,Constants!$B$8)))))</f>
        <v/>
      </c>
      <c r="CA312" s="135" t="str">
        <f aca="false">IF(ISBLANK($C312),"",IF($BZ312&lt;&gt;Constants!$B$8,$BZ312,Constants!$B$13))</f>
        <v/>
      </c>
      <c r="CB312" s="138" t="str">
        <f aca="false">IF($BZ312&lt;&gt;Constants!$B$8,"",IF($BM312="-&gt;",$BT312,$BH312))</f>
        <v/>
      </c>
      <c r="CC312" s="138" t="str">
        <f aca="false">IF($BZ312&lt;&gt;Constants!$B$8,"",IF($AF312,0,Constants!$B$18))</f>
        <v/>
      </c>
      <c r="CD312" s="138" t="str">
        <f aca="false">IF($BZ312&lt;&gt;Constants!$B$8,"",((Constants!$B$31-$AZ312)-Constants!$B$31)/Constants!$B$32)</f>
        <v/>
      </c>
      <c r="CE312" s="138" t="str">
        <f aca="false">IF(ISBLANK($C312),"",IF($BZ312&lt;&gt;Constants!$B$8,$BZ312,SUM($CB312:$CD312)))</f>
        <v/>
      </c>
      <c r="CF312" s="135" t="str">
        <f aca="false">IF(ISBLANK($C312),"",IF($BZ312&lt;&gt;Constants!$B$8,$BZ312,RANK($CE312,$CE$9:$CE$508,1)))</f>
        <v/>
      </c>
      <c r="CG312" s="138" t="str">
        <f aca="false">IF($BZ312&lt;&gt;Constants!$B$8,"",IF($BM312="-&gt;",$BU312,$BI312))</f>
        <v/>
      </c>
      <c r="CH312" s="135" t="str">
        <f aca="false">IF(ISBLANK($C312),"",IF($BZ312&lt;&gt;Constants!$B$8,$BZ312,IF(ISNUMBER($CG312),RANK($CG312,$CG$9:$CG$508,1),COUNT($CG$9:$CG$508)+1)))</f>
        <v/>
      </c>
      <c r="CI312" s="138" t="str">
        <f aca="false">IF($BZ312&lt;&gt;Constants!$B$8,"",IF($BM312="-&gt;",$BV312,$BJ312))</f>
        <v/>
      </c>
      <c r="CJ312" s="135" t="str">
        <f aca="false">IF(ISBLANK($C312),"",IF($BZ312&lt;&gt;Constants!$B$8,$BZ312,IF(ISNUMBER($CI312),RANK($CI312,$CI$9:$CI$508,1),COUNT($CI$9:$CI$508)+1)))</f>
        <v/>
      </c>
      <c r="CK312" s="138" t="str">
        <f aca="false">IF($BZ312&lt;&gt;Constants!$B$8,"",IF($BM312="-&gt;",$BW312,$BK312))</f>
        <v/>
      </c>
      <c r="CL312" s="135" t="str">
        <f aca="false">IF(ISBLANK($C312),"",IF($BZ312&lt;&gt;Constants!$B$8,$BZ312,IF(ISNUMBER($CK312),RANK($CK312,$CK$9:$CK$508,1),COUNT($CK$9:$CK$508)+1)))</f>
        <v/>
      </c>
      <c r="CM312" s="138" t="str">
        <f aca="false">IF($BZ312&lt;&gt;Constants!$B$8,"",IF(AND(NOT($AL312),NOT($AT312),$AJ312,$AK312,$AR312,$AS312),"",IF($BM312="-&gt;",$BX312,$BL312)))</f>
        <v/>
      </c>
      <c r="CN312" s="135" t="str">
        <f aca="false">IF(ISBLANK($C312),"",IF($BZ312&lt;&gt;Constants!$B$8,$BZ312,IF(ISNUMBER($CM312),RANK($CM312,$CM$9:$CM$508,1),COUNT($CM$9:$CM$508)+1)))</f>
        <v/>
      </c>
      <c r="CO312" s="135" t="str">
        <f aca="false">IF(ISBLANK($C312),"",IF($BZ312&lt;&gt;Constants!$B$8,$BZ312,COUNTIFS($CF$9:$CF$508,"&lt;"&amp;$CF312)+COUNTIFS($CF$9:$CF$508,$CF312,$CH$9:$CH$508,"&lt;"&amp;$CH312)+COUNTIFS($CF$9:$CF$508,$CF312,$CH$9:$CH$508,$CH312,$CJ$9:$CJ$508,"&lt;"&amp;$CJ312)+COUNTIFS($CF$9:$CF$508,$CF312,$CH$9:$CH$508,$CH312,$CJ$9:$CJ$508,$CJ312,$CL$9:$CL$508,"&lt;"&amp;$CL312)+COUNTIFS($CF$9:$CF$508,$CF312,$CH$9:$CH$508,$CH312,$CJ$9:$CJ$508,$CJ312,$CL$9:$CL$508,$CL312,$CN$9:$CN$508,"&lt;"&amp;$CN312)+1))</f>
        <v/>
      </c>
      <c r="CP312" s="135" t="str">
        <f aca="false">IF(ISBLANK($C312),"",IF($BZ312&lt;&gt;Constants!$B$8,$BZ312,$CF312-$CO312))</f>
        <v/>
      </c>
      <c r="CQ312" s="141"/>
      <c r="CR312" s="142"/>
      <c r="CS312" s="143" t="str">
        <f aca="false">IF(ISBLANK($C312),"",IF($BZ312=Constants!$B$12,$BY312,""))</f>
        <v/>
      </c>
      <c r="CT312" s="142" t="str">
        <f aca="false">IF(ISBLANK($C312),"",IF($BZ312&lt;&gt;Constants!$B$8,"",IF($BM312="-&gt;",2,1)))</f>
        <v/>
      </c>
      <c r="CU312" s="144" t="str">
        <f aca="false">IF(ISBLANK($C312),"",IF($BZ312&lt;&gt;Constants!$B$8,"",IF($BM312="-&gt;",$BO312,$BC312)))</f>
        <v/>
      </c>
      <c r="CV312" s="144" t="str">
        <f aca="false">IF(ISBLANK($C312),"",IF($BZ312&lt;&gt;Constants!$B$8,"",IF($BM312="-&gt;",$BP312,$BD312)))</f>
        <v/>
      </c>
      <c r="CW312" s="144" t="str">
        <f aca="false">IF(ISBLANK($C312),"",IF($BZ312&lt;&gt;Constants!$B$8,"",IF($BM312="-&gt;",$BQ312+$BR312,$BE312+$BF312)+$CD312))</f>
        <v/>
      </c>
      <c r="CX312" s="144" t="str">
        <f aca="false">IF(ISBLANK($C312),"",IF($BZ312&lt;&gt;Constants!$B$8,"",IF($BM312="-&gt;",$BS312,$BG312)+$CC312))</f>
        <v/>
      </c>
      <c r="CY312" s="145" t="str">
        <f aca="false">IF(ISBLANK($C312),"",IF($BZ312&lt;&gt;Constants!$B$8,$BZ312,$CE312))</f>
        <v/>
      </c>
      <c r="CZ312" s="146" t="str">
        <f aca="false">IF(ISBLANK($C312),"",$CA312)</f>
        <v/>
      </c>
      <c r="DA312" s="147" t="str">
        <f aca="false">IF(ISBLANK($C312),"",$CP312)</f>
        <v/>
      </c>
      <c r="DB312" s="147" t="str">
        <f aca="false">IF(ISBLANK($C312),"",$CO312)</f>
        <v/>
      </c>
      <c r="DC312" s="148" t="str">
        <f aca="false">IF(ISBLANK($C312),"",IFERROR(_xlfn.SWITCH($DB312,Constants!$B$11,COUNTA($C$9:$C$508)+2,Constants!$B$10,COUNTA($C$9:$C$508)+1,Constants!$B$9,COUNTA($C$9:$C$508)),$DB312))</f>
        <v/>
      </c>
      <c r="DD312" s="9"/>
      <c r="DE312" s="149" t="n">
        <f aca="false">IF(OR(ISNUMBER($DB312),$DB312=Constants!$B$11,$DB312=Constants!$B$9,$DB312=Constants!$B$10),1,0)</f>
        <v>0</v>
      </c>
      <c r="DF312" s="149" t="n">
        <v>304</v>
      </c>
      <c r="DG312" s="149" t="str">
        <f aca="false">IF(ISBLANK($C312),"",IF(ISNUMBER($DC312),$DC312+ROW($B312)/1000,""))</f>
        <v/>
      </c>
      <c r="DH312" s="149" t="str">
        <f aca="false">IF(ISNUMBER($DG312),RANK($DG312,$DG$9:$DG$508,1),"")</f>
        <v/>
      </c>
      <c r="DI312" s="149" t="str">
        <f aca="false">IF(ISBLANK($C312),"",$B312)</f>
        <v/>
      </c>
      <c r="DJ312" s="149" t="str">
        <f aca="false">IF(ISBLANK($C312),"",$C312)</f>
        <v/>
      </c>
      <c r="DK312" s="149" t="str">
        <f aca="false">IF(ISBLANK($C312),"",$D312)</f>
        <v/>
      </c>
      <c r="DL312" s="150" t="str">
        <f aca="false">$CZ312</f>
        <v/>
      </c>
      <c r="DM312" s="151" t="str">
        <f aca="false">$CY312</f>
        <v/>
      </c>
      <c r="DN312" s="149" t="str">
        <f aca="false">IF(ISBLANK($C312),"",$DB312)</f>
        <v/>
      </c>
      <c r="DO312" s="152" t="str">
        <f aca="false">IF($DF312&gt;$DE$8,"",VLOOKUP($DF312,$DH$9:$DN$508,7,FALSE()))</f>
        <v/>
      </c>
      <c r="DP312" s="153" t="str">
        <f aca="false">IF($DF312&gt;$DE$8,"",VLOOKUP($DF312,$DH$9:$DN$508,2,FALSE()))</f>
        <v/>
      </c>
      <c r="DQ312" s="153" t="str">
        <f aca="false">IF($DF312&gt;$DE$8,"",VLOOKUP($DF312,$DH$9:$DN$508,3,FALSE()))</f>
        <v/>
      </c>
      <c r="DR312" s="153" t="str">
        <f aca="false">IF($DF312&gt;$DE$8,"",VLOOKUP($DF312,$DH$9:$DN$508,4,FALSE()))</f>
        <v/>
      </c>
      <c r="DS312" s="153" t="str">
        <f aca="false">IF($DF312&gt;$DE$8,"",VLOOKUP($DF312,$DH$9:$DN$508,5,FALSE()))</f>
        <v/>
      </c>
      <c r="DT312" s="154" t="str">
        <f aca="false">IF($DF312&gt;$DE$8,"",VLOOKUP($DF312,$DH$9:$DN$508,6,FALSE()))</f>
        <v/>
      </c>
      <c r="DU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IF(ISBLANK($C313),"",IF(E313=Constants!$B$3,TRUE(),IF(E313=Constants!$B$4,FALSE(),TRUE())))</f>
        <v/>
      </c>
      <c r="AG313" s="135" t="str">
        <f aca="false">IF(ISBLANK($C313),"",IF(F313=Constants!$B$3,TRUE(),IF(F313=Constants!$B$4,FALSE(),TRUE())))</f>
        <v/>
      </c>
      <c r="AH313" s="135" t="str">
        <f aca="false">IF(ISBLANK($C313),"",IF(G313=Constants!$B$3,TRUE(),IF(G313=Constants!$B$4,FALSE(),TRUE())))</f>
        <v/>
      </c>
      <c r="AI313" s="135" t="str">
        <f aca="false">IF(ISBLANK($C313),"",IF(AND(ISNUMBER(H313),H313&gt;=0),H313,Constants!$B$29))</f>
        <v/>
      </c>
      <c r="AJ313" s="135" t="str">
        <f aca="false">IF(ISBLANK($C313),"",IF(I313=Constants!$B$3,TRUE(),IF(I313=Constants!$B$4,FALSE(),TRUE())))</f>
        <v/>
      </c>
      <c r="AK313" s="135" t="str">
        <f aca="false">IF(ISBLANK($C313),"",IF(J313=Constants!$B$3,TRUE(),IF(J313=Constants!$B$4,FALSE(),TRUE())))</f>
        <v/>
      </c>
      <c r="AL313" s="135" t="str">
        <f aca="false">IF(ISBLANK($C313),"",IF(K313=Constants!$B$5,TRUE(),IF(K313=Constants!$B$6,FALSE(),COUNTA(L313:P313)&gt;0)))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IF(ISBLANK($C313),"",IF(N313=Constants!$B$3,TRUE(),IF(N313=Constants!$B$4,FALSE(),TRUE())))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IF(ISBLANK($C313),"",IF(P313=Constants!$B$3,TRUE(),IF(P313=Constants!$B$4,FALSE(),FALSE())))</f>
        <v/>
      </c>
      <c r="AR313" s="135" t="str">
        <f aca="false">IF(ISBLANK($C313),"",IF(Q313=Constants!$B$3,TRUE(),IF(Q313=Constants!$B$4,FALSE(),TRUE())))</f>
        <v/>
      </c>
      <c r="AS313" s="135" t="str">
        <f aca="false">IF(ISBLANK($C313),"",IF(R313=Constants!$B$3,TRUE(),IF(R313=Constants!$B$4,FALSE(),TRUE())))</f>
        <v/>
      </c>
      <c r="AT313" s="135" t="str">
        <f aca="false">IF(ISBLANK($C313),"",IF(S313=Constants!$B$5,TRUE(),IF(S313=Constants!$B$6,FALSE(),COUNTA(T313:X313)&gt;0)))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IF(ISBLANK($C313),"",IF(V313=Constants!$B$3,TRUE(),IF(V313=Constants!$B$4,FALSE(),TRUE())))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IF(ISBLANK($C313),"",IF(X313=Constants!$B$3,TRUE(),IF(X313=Constants!$B$4,FALSE(),FALSE())))</f>
        <v/>
      </c>
      <c r="AZ313" s="135" t="str">
        <f aca="false">IF(ISBLANK($C313),"",MIN(Constants!$B$31,MAX(0,IF(ISNUMBER(Y313),Y313*60,0)+IF(ISNUMBER(Z313),Z313,0))))</f>
        <v/>
      </c>
      <c r="BA313" s="135" t="str">
        <f aca="false">IF(ISBLANK($C313),"",IF(AA313=Constants!$B$3,TRUE(),IF(AA313=Constants!$B$4,FALSE(),FALSE())))</f>
        <v/>
      </c>
      <c r="BB313" s="134" t="str">
        <f aca="false">IF(ISBLANK($C313),"",AND($AL313,OR($AM313="",$AN313="",AND($AO313,$AP313=""))))</f>
        <v/>
      </c>
      <c r="BC313" s="137" t="str">
        <f aca="false">IF($BZ313&lt;&gt;Constants!$B$8,"",IF($AL313,Constants!$B$21*$AN313+Constants!$B$22*IF($AO313,$AP313,Constants!$B$23),Constants!$B$24))</f>
        <v/>
      </c>
      <c r="BD313" s="138" t="str">
        <f aca="false">IF($BZ313&lt;&gt;Constants!$B$8,"",Constants!$B$25*ABS($AD$9-IF($AL313,$AM313,0)))</f>
        <v/>
      </c>
      <c r="BE313" s="138" t="str">
        <f aca="false">IF($BZ313&lt;&gt;Constants!$B$8,"",IF(AND($AL313,$AQ313,$AO313),Constants!$B$27,0))</f>
        <v/>
      </c>
      <c r="BF313" s="138" t="str">
        <f aca="false">IF($BZ313&lt;&gt;Constants!$B$8,"",IF($AL313,($AI313-Constants!$B$29)*Constants!$B$28,0))</f>
        <v/>
      </c>
      <c r="BG313" s="138" t="str">
        <f aca="false">IF($BZ313&lt;&gt;Constants!$B$8,"",IF($AK313,0,Constants!$B$15)+IF($AJ313,0,Constants!$B$16)+IF($AH313,0,Constants!$B$17))</f>
        <v/>
      </c>
      <c r="BH313" s="139" t="str">
        <f aca="false">IF($BZ313&lt;&gt;Constants!$B$8,"",Constants!$B$20+SUM($BC313:$BG313))</f>
        <v/>
      </c>
      <c r="BI313" s="138" t="str">
        <f aca="false">IF($BZ313&lt;&gt;Constants!$B$8,"",$BC313)</f>
        <v/>
      </c>
      <c r="BJ313" s="138" t="str">
        <f aca="false">IF($BZ313&lt;&gt;Constants!$B$8,"",$BD313)</f>
        <v/>
      </c>
      <c r="BK313" s="138" t="str">
        <f aca="false">IF($BZ313&lt;&gt;Constants!$B$8,"",IF($AL313,$AN313,""))</f>
        <v/>
      </c>
      <c r="BL313" s="140" t="str">
        <f aca="false">IF($BZ313&lt;&gt;Constants!$B$8,"",$AI313)</f>
        <v/>
      </c>
      <c r="BM313" s="135" t="str">
        <f aca="false">IF($BZ313&lt;&gt;Constants!$B$8,"",IF(OR($BT313&lt;$BH313,AND($BT313=$BH313,OR($BU313&lt;$BI313,AND($BU313=$BI313,OR($BV313&lt;$BJ313,AND($BV313=$BJ313,OR(AND(ISNUMBER($BW313),OR(NOT(ISNUMBER($BK313)),$BW313&lt;$BK313)),AND(OR(AND($BW313="",$BK313=""),AND(ISNUMBER($BW313),ISNUMBER($BK313),$BW313=$BK313)),$BX313&lt;$BL313)))))))),"-&gt;","&lt;-"))</f>
        <v/>
      </c>
      <c r="BN313" s="134" t="str">
        <f aca="false">IF(ISBLANK($C313),"",AND($AT313,OR($AU313="",$AV313="",AND($AW313,$AX313=""))))</f>
        <v/>
      </c>
      <c r="BO313" s="137" t="str">
        <f aca="false">IF($BZ313&lt;&gt;Constants!$B$8,"",IF($AT313,Constants!$B$21*$AV313+Constants!$B$22*IF($AW313,$AX313,Constants!$B$23),Constants!$B$24))</f>
        <v/>
      </c>
      <c r="BP313" s="138" t="str">
        <f aca="false">IF($BZ313&lt;&gt;Constants!$B$8,"",Constants!$B$25*ABS($AD$9-IF($AT313,$AU313,0)))</f>
        <v/>
      </c>
      <c r="BQ313" s="138" t="str">
        <f aca="false">IF($BZ313&lt;&gt;Constants!$B$8,"",IF(AND($AT313,$AY313,$AW313),Constants!$B$27,0))</f>
        <v/>
      </c>
      <c r="BR313" s="138" t="str">
        <f aca="false">IF($BZ313&lt;&gt;Constants!$B$8,"",IF($AT313,($AI313-Constants!$B$29)*Constants!$B$28,0))</f>
        <v/>
      </c>
      <c r="BS313" s="138" t="str">
        <f aca="false">IF($BZ313&lt;&gt;Constants!$B$8,"",IF($AS313,0,Constants!$B$15)+IF($AR313,0,Constants!$B$16)+IF($AH313,0,Constants!$B$17))</f>
        <v/>
      </c>
      <c r="BT313" s="139" t="str">
        <f aca="false">IF($BZ313&lt;&gt;Constants!$B$8,"",Constants!$B$20+SUM($BO313:$BS313))</f>
        <v/>
      </c>
      <c r="BU313" s="138" t="str">
        <f aca="false">IF($BZ313&lt;&gt;Constants!$B$8,"",$BO313)</f>
        <v/>
      </c>
      <c r="BV313" s="138" t="str">
        <f aca="false">IF($BZ313&lt;&gt;Constants!$B$8,"",$BP313)</f>
        <v/>
      </c>
      <c r="BW313" s="138" t="str">
        <f aca="false">IF($BZ313&lt;&gt;Constants!$B$8,"",IF($AT313,$AV313,""))</f>
        <v/>
      </c>
      <c r="BX313" s="140" t="str">
        <f aca="false">IF($BZ313&lt;&gt;Constants!$B$8,"",$AI313)</f>
        <v/>
      </c>
      <c r="BY313" s="135" t="str">
        <f aca="false">IF(ISBLANK($C313),"",IF(ISBLANK($D$7),$BY$5,IF(NOT(ISNUMBER($D$7)),$BY$6,"")))</f>
        <v/>
      </c>
      <c r="BZ313" s="135" t="str">
        <f aca="false">IF(ISBLANK($C313),"",IF($BA313,Constants!$B$11,IF(COUNTA($E313:$AA313)=0,Constants!$B$10,IF(NOT($AG313),Constants!$B$9,IF(OR($BY313&lt;&gt;"",$BB313,$BN313),Constants!$B$12,Constants!$B$8)))))</f>
        <v/>
      </c>
      <c r="CA313" s="135" t="str">
        <f aca="false">IF(ISBLANK($C313),"",IF($BZ313&lt;&gt;Constants!$B$8,$BZ313,Constants!$B$13))</f>
        <v/>
      </c>
      <c r="CB313" s="138" t="str">
        <f aca="false">IF($BZ313&lt;&gt;Constants!$B$8,"",IF($BM313="-&gt;",$BT313,$BH313))</f>
        <v/>
      </c>
      <c r="CC313" s="138" t="str">
        <f aca="false">IF($BZ313&lt;&gt;Constants!$B$8,"",IF($AF313,0,Constants!$B$18))</f>
        <v/>
      </c>
      <c r="CD313" s="138" t="str">
        <f aca="false">IF($BZ313&lt;&gt;Constants!$B$8,"",((Constants!$B$31-$AZ313)-Constants!$B$31)/Constants!$B$32)</f>
        <v/>
      </c>
      <c r="CE313" s="138" t="str">
        <f aca="false">IF(ISBLANK($C313),"",IF($BZ313&lt;&gt;Constants!$B$8,$BZ313,SUM($CB313:$CD313)))</f>
        <v/>
      </c>
      <c r="CF313" s="135" t="str">
        <f aca="false">IF(ISBLANK($C313),"",IF($BZ313&lt;&gt;Constants!$B$8,$BZ313,RANK($CE313,$CE$9:$CE$508,1)))</f>
        <v/>
      </c>
      <c r="CG313" s="138" t="str">
        <f aca="false">IF($BZ313&lt;&gt;Constants!$B$8,"",IF($BM313="-&gt;",$BU313,$BI313))</f>
        <v/>
      </c>
      <c r="CH313" s="135" t="str">
        <f aca="false">IF(ISBLANK($C313),"",IF($BZ313&lt;&gt;Constants!$B$8,$BZ313,IF(ISNUMBER($CG313),RANK($CG313,$CG$9:$CG$508,1),COUNT($CG$9:$CG$508)+1)))</f>
        <v/>
      </c>
      <c r="CI313" s="138" t="str">
        <f aca="false">IF($BZ313&lt;&gt;Constants!$B$8,"",IF($BM313="-&gt;",$BV313,$BJ313))</f>
        <v/>
      </c>
      <c r="CJ313" s="135" t="str">
        <f aca="false">IF(ISBLANK($C313),"",IF($BZ313&lt;&gt;Constants!$B$8,$BZ313,IF(ISNUMBER($CI313),RANK($CI313,$CI$9:$CI$508,1),COUNT($CI$9:$CI$508)+1)))</f>
        <v/>
      </c>
      <c r="CK313" s="138" t="str">
        <f aca="false">IF($BZ313&lt;&gt;Constants!$B$8,"",IF($BM313="-&gt;",$BW313,$BK313))</f>
        <v/>
      </c>
      <c r="CL313" s="135" t="str">
        <f aca="false">IF(ISBLANK($C313),"",IF($BZ313&lt;&gt;Constants!$B$8,$BZ313,IF(ISNUMBER($CK313),RANK($CK313,$CK$9:$CK$508,1),COUNT($CK$9:$CK$508)+1)))</f>
        <v/>
      </c>
      <c r="CM313" s="138" t="str">
        <f aca="false">IF($BZ313&lt;&gt;Constants!$B$8,"",IF(AND(NOT($AL313),NOT($AT313),$AJ313,$AK313,$AR313,$AS313),"",IF($BM313="-&gt;",$BX313,$BL313)))</f>
        <v/>
      </c>
      <c r="CN313" s="135" t="str">
        <f aca="false">IF(ISBLANK($C313),"",IF($BZ313&lt;&gt;Constants!$B$8,$BZ313,IF(ISNUMBER($CM313),RANK($CM313,$CM$9:$CM$508,1),COUNT($CM$9:$CM$508)+1)))</f>
        <v/>
      </c>
      <c r="CO313" s="135" t="str">
        <f aca="false">IF(ISBLANK($C313),"",IF($BZ313&lt;&gt;Constants!$B$8,$BZ313,COUNTIFS($CF$9:$CF$508,"&lt;"&amp;$CF313)+COUNTIFS($CF$9:$CF$508,$CF313,$CH$9:$CH$508,"&lt;"&amp;$CH313)+COUNTIFS($CF$9:$CF$508,$CF313,$CH$9:$CH$508,$CH313,$CJ$9:$CJ$508,"&lt;"&amp;$CJ313)+COUNTIFS($CF$9:$CF$508,$CF313,$CH$9:$CH$508,$CH313,$CJ$9:$CJ$508,$CJ313,$CL$9:$CL$508,"&lt;"&amp;$CL313)+COUNTIFS($CF$9:$CF$508,$CF313,$CH$9:$CH$508,$CH313,$CJ$9:$CJ$508,$CJ313,$CL$9:$CL$508,$CL313,$CN$9:$CN$508,"&lt;"&amp;$CN313)+1))</f>
        <v/>
      </c>
      <c r="CP313" s="135" t="str">
        <f aca="false">IF(ISBLANK($C313),"",IF($BZ313&lt;&gt;Constants!$B$8,$BZ313,$CF313-$CO313))</f>
        <v/>
      </c>
      <c r="CQ313" s="141"/>
      <c r="CR313" s="142"/>
      <c r="CS313" s="143" t="str">
        <f aca="false">IF(ISBLANK($C313),"",IF($BZ313=Constants!$B$12,$BY313,""))</f>
        <v/>
      </c>
      <c r="CT313" s="142" t="str">
        <f aca="false">IF(ISBLANK($C313),"",IF($BZ313&lt;&gt;Constants!$B$8,"",IF($BM313="-&gt;",2,1)))</f>
        <v/>
      </c>
      <c r="CU313" s="144" t="str">
        <f aca="false">IF(ISBLANK($C313),"",IF($BZ313&lt;&gt;Constants!$B$8,"",IF($BM313="-&gt;",$BO313,$BC313)))</f>
        <v/>
      </c>
      <c r="CV313" s="144" t="str">
        <f aca="false">IF(ISBLANK($C313),"",IF($BZ313&lt;&gt;Constants!$B$8,"",IF($BM313="-&gt;",$BP313,$BD313)))</f>
        <v/>
      </c>
      <c r="CW313" s="144" t="str">
        <f aca="false">IF(ISBLANK($C313),"",IF($BZ313&lt;&gt;Constants!$B$8,"",IF($BM313="-&gt;",$BQ313+$BR313,$BE313+$BF313)+$CD313))</f>
        <v/>
      </c>
      <c r="CX313" s="144" t="str">
        <f aca="false">IF(ISBLANK($C313),"",IF($BZ313&lt;&gt;Constants!$B$8,"",IF($BM313="-&gt;",$BS313,$BG313)+$CC313))</f>
        <v/>
      </c>
      <c r="CY313" s="145" t="str">
        <f aca="false">IF(ISBLANK($C313),"",IF($BZ313&lt;&gt;Constants!$B$8,$BZ313,$CE313))</f>
        <v/>
      </c>
      <c r="CZ313" s="146" t="str">
        <f aca="false">IF(ISBLANK($C313),"",$CA313)</f>
        <v/>
      </c>
      <c r="DA313" s="147" t="str">
        <f aca="false">IF(ISBLANK($C313),"",$CP313)</f>
        <v/>
      </c>
      <c r="DB313" s="147" t="str">
        <f aca="false">IF(ISBLANK($C313),"",$CO313)</f>
        <v/>
      </c>
      <c r="DC313" s="148" t="str">
        <f aca="false">IF(ISBLANK($C313),"",IFERROR(_xlfn.SWITCH($DB313,Constants!$B$11,COUNTA($C$9:$C$508)+2,Constants!$B$10,COUNTA($C$9:$C$508)+1,Constants!$B$9,COUNTA($C$9:$C$508)),$DB313))</f>
        <v/>
      </c>
      <c r="DD313" s="9"/>
      <c r="DE313" s="149" t="n">
        <f aca="false">IF(OR(ISNUMBER($DB313),$DB313=Constants!$B$11,$DB313=Constants!$B$9,$DB313=Constants!$B$10),1,0)</f>
        <v>0</v>
      </c>
      <c r="DF313" s="149" t="n">
        <v>305</v>
      </c>
      <c r="DG313" s="149" t="str">
        <f aca="false">IF(ISBLANK($C313),"",IF(ISNUMBER($DC313),$DC313+ROW($B313)/1000,""))</f>
        <v/>
      </c>
      <c r="DH313" s="149" t="str">
        <f aca="false">IF(ISNUMBER($DG313),RANK($DG313,$DG$9:$DG$508,1),"")</f>
        <v/>
      </c>
      <c r="DI313" s="149" t="str">
        <f aca="false">IF(ISBLANK($C313),"",$B313)</f>
        <v/>
      </c>
      <c r="DJ313" s="149" t="str">
        <f aca="false">IF(ISBLANK($C313),"",$C313)</f>
        <v/>
      </c>
      <c r="DK313" s="149" t="str">
        <f aca="false">IF(ISBLANK($C313),"",$D313)</f>
        <v/>
      </c>
      <c r="DL313" s="150" t="str">
        <f aca="false">$CZ313</f>
        <v/>
      </c>
      <c r="DM313" s="151" t="str">
        <f aca="false">$CY313</f>
        <v/>
      </c>
      <c r="DN313" s="149" t="str">
        <f aca="false">IF(ISBLANK($C313),"",$DB313)</f>
        <v/>
      </c>
      <c r="DO313" s="152" t="str">
        <f aca="false">IF($DF313&gt;$DE$8,"",VLOOKUP($DF313,$DH$9:$DN$508,7,FALSE()))</f>
        <v/>
      </c>
      <c r="DP313" s="153" t="str">
        <f aca="false">IF($DF313&gt;$DE$8,"",VLOOKUP($DF313,$DH$9:$DN$508,2,FALSE()))</f>
        <v/>
      </c>
      <c r="DQ313" s="153" t="str">
        <f aca="false">IF($DF313&gt;$DE$8,"",VLOOKUP($DF313,$DH$9:$DN$508,3,FALSE()))</f>
        <v/>
      </c>
      <c r="DR313" s="153" t="str">
        <f aca="false">IF($DF313&gt;$DE$8,"",VLOOKUP($DF313,$DH$9:$DN$508,4,FALSE()))</f>
        <v/>
      </c>
      <c r="DS313" s="153" t="str">
        <f aca="false">IF($DF313&gt;$DE$8,"",VLOOKUP($DF313,$DH$9:$DN$508,5,FALSE()))</f>
        <v/>
      </c>
      <c r="DT313" s="154" t="str">
        <f aca="false">IF($DF313&gt;$DE$8,"",VLOOKUP($DF313,$DH$9:$DN$508,6,FALSE()))</f>
        <v/>
      </c>
      <c r="DU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IF(ISBLANK($C314),"",IF(E314=Constants!$B$3,TRUE(),IF(E314=Constants!$B$4,FALSE(),TRUE())))</f>
        <v/>
      </c>
      <c r="AG314" s="135" t="str">
        <f aca="false">IF(ISBLANK($C314),"",IF(F314=Constants!$B$3,TRUE(),IF(F314=Constants!$B$4,FALSE(),TRUE())))</f>
        <v/>
      </c>
      <c r="AH314" s="135" t="str">
        <f aca="false">IF(ISBLANK($C314),"",IF(G314=Constants!$B$3,TRUE(),IF(G314=Constants!$B$4,FALSE(),TRUE())))</f>
        <v/>
      </c>
      <c r="AI314" s="135" t="str">
        <f aca="false">IF(ISBLANK($C314),"",IF(AND(ISNUMBER(H314),H314&gt;=0),H314,Constants!$B$29))</f>
        <v/>
      </c>
      <c r="AJ314" s="135" t="str">
        <f aca="false">IF(ISBLANK($C314),"",IF(I314=Constants!$B$3,TRUE(),IF(I314=Constants!$B$4,FALSE(),TRUE())))</f>
        <v/>
      </c>
      <c r="AK314" s="135" t="str">
        <f aca="false">IF(ISBLANK($C314),"",IF(J314=Constants!$B$3,TRUE(),IF(J314=Constants!$B$4,FALSE(),TRUE())))</f>
        <v/>
      </c>
      <c r="AL314" s="135" t="str">
        <f aca="false">IF(ISBLANK($C314),"",IF(K314=Constants!$B$5,TRUE(),IF(K314=Constants!$B$6,FALSE(),COUNTA(L314:P314)&gt;0)))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IF(ISBLANK($C314),"",IF(N314=Constants!$B$3,TRUE(),IF(N314=Constants!$B$4,FALSE(),TRUE())))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IF(ISBLANK($C314),"",IF(P314=Constants!$B$3,TRUE(),IF(P314=Constants!$B$4,FALSE(),FALSE())))</f>
        <v/>
      </c>
      <c r="AR314" s="135" t="str">
        <f aca="false">IF(ISBLANK($C314),"",IF(Q314=Constants!$B$3,TRUE(),IF(Q314=Constants!$B$4,FALSE(),TRUE())))</f>
        <v/>
      </c>
      <c r="AS314" s="135" t="str">
        <f aca="false">IF(ISBLANK($C314),"",IF(R314=Constants!$B$3,TRUE(),IF(R314=Constants!$B$4,FALSE(),TRUE())))</f>
        <v/>
      </c>
      <c r="AT314" s="135" t="str">
        <f aca="false">IF(ISBLANK($C314),"",IF(S314=Constants!$B$5,TRUE(),IF(S314=Constants!$B$6,FALSE(),COUNTA(T314:X314)&gt;0)))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IF(ISBLANK($C314),"",IF(V314=Constants!$B$3,TRUE(),IF(V314=Constants!$B$4,FALSE(),TRUE())))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IF(ISBLANK($C314),"",IF(X314=Constants!$B$3,TRUE(),IF(X314=Constants!$B$4,FALSE(),FALSE())))</f>
        <v/>
      </c>
      <c r="AZ314" s="135" t="str">
        <f aca="false">IF(ISBLANK($C314),"",MIN(Constants!$B$31,MAX(0,IF(ISNUMBER(Y314),Y314*60,0)+IF(ISNUMBER(Z314),Z314,0))))</f>
        <v/>
      </c>
      <c r="BA314" s="135" t="str">
        <f aca="false">IF(ISBLANK($C314),"",IF(AA314=Constants!$B$3,TRUE(),IF(AA314=Constants!$B$4,FALSE(),FALSE())))</f>
        <v/>
      </c>
      <c r="BB314" s="134" t="str">
        <f aca="false">IF(ISBLANK($C314),"",AND($AL314,OR($AM314="",$AN314="",AND($AO314,$AP314=""))))</f>
        <v/>
      </c>
      <c r="BC314" s="137" t="str">
        <f aca="false">IF($BZ314&lt;&gt;Constants!$B$8,"",IF($AL314,Constants!$B$21*$AN314+Constants!$B$22*IF($AO314,$AP314,Constants!$B$23),Constants!$B$24))</f>
        <v/>
      </c>
      <c r="BD314" s="138" t="str">
        <f aca="false">IF($BZ314&lt;&gt;Constants!$B$8,"",Constants!$B$25*ABS($AD$9-IF($AL314,$AM314,0)))</f>
        <v/>
      </c>
      <c r="BE314" s="138" t="str">
        <f aca="false">IF($BZ314&lt;&gt;Constants!$B$8,"",IF(AND($AL314,$AQ314,$AO314),Constants!$B$27,0))</f>
        <v/>
      </c>
      <c r="BF314" s="138" t="str">
        <f aca="false">IF($BZ314&lt;&gt;Constants!$B$8,"",IF($AL314,($AI314-Constants!$B$29)*Constants!$B$28,0))</f>
        <v/>
      </c>
      <c r="BG314" s="138" t="str">
        <f aca="false">IF($BZ314&lt;&gt;Constants!$B$8,"",IF($AK314,0,Constants!$B$15)+IF($AJ314,0,Constants!$B$16)+IF($AH314,0,Constants!$B$17))</f>
        <v/>
      </c>
      <c r="BH314" s="139" t="str">
        <f aca="false">IF($BZ314&lt;&gt;Constants!$B$8,"",Constants!$B$20+SUM($BC314:$BG314))</f>
        <v/>
      </c>
      <c r="BI314" s="138" t="str">
        <f aca="false">IF($BZ314&lt;&gt;Constants!$B$8,"",$BC314)</f>
        <v/>
      </c>
      <c r="BJ314" s="138" t="str">
        <f aca="false">IF($BZ314&lt;&gt;Constants!$B$8,"",$BD314)</f>
        <v/>
      </c>
      <c r="BK314" s="138" t="str">
        <f aca="false">IF($BZ314&lt;&gt;Constants!$B$8,"",IF($AL314,$AN314,""))</f>
        <v/>
      </c>
      <c r="BL314" s="140" t="str">
        <f aca="false">IF($BZ314&lt;&gt;Constants!$B$8,"",$AI314)</f>
        <v/>
      </c>
      <c r="BM314" s="135" t="str">
        <f aca="false">IF($BZ314&lt;&gt;Constants!$B$8,"",IF(OR($BT314&lt;$BH314,AND($BT314=$BH314,OR($BU314&lt;$BI314,AND($BU314=$BI314,OR($BV314&lt;$BJ314,AND($BV314=$BJ314,OR(AND(ISNUMBER($BW314),OR(NOT(ISNUMBER($BK314)),$BW314&lt;$BK314)),AND(OR(AND($BW314="",$BK314=""),AND(ISNUMBER($BW314),ISNUMBER($BK314),$BW314=$BK314)),$BX314&lt;$BL314)))))))),"-&gt;","&lt;-"))</f>
        <v/>
      </c>
      <c r="BN314" s="134" t="str">
        <f aca="false">IF(ISBLANK($C314),"",AND($AT314,OR($AU314="",$AV314="",AND($AW314,$AX314=""))))</f>
        <v/>
      </c>
      <c r="BO314" s="137" t="str">
        <f aca="false">IF($BZ314&lt;&gt;Constants!$B$8,"",IF($AT314,Constants!$B$21*$AV314+Constants!$B$22*IF($AW314,$AX314,Constants!$B$23),Constants!$B$24))</f>
        <v/>
      </c>
      <c r="BP314" s="138" t="str">
        <f aca="false">IF($BZ314&lt;&gt;Constants!$B$8,"",Constants!$B$25*ABS($AD$9-IF($AT314,$AU314,0)))</f>
        <v/>
      </c>
      <c r="BQ314" s="138" t="str">
        <f aca="false">IF($BZ314&lt;&gt;Constants!$B$8,"",IF(AND($AT314,$AY314,$AW314),Constants!$B$27,0))</f>
        <v/>
      </c>
      <c r="BR314" s="138" t="str">
        <f aca="false">IF($BZ314&lt;&gt;Constants!$B$8,"",IF($AT314,($AI314-Constants!$B$29)*Constants!$B$28,0))</f>
        <v/>
      </c>
      <c r="BS314" s="138" t="str">
        <f aca="false">IF($BZ314&lt;&gt;Constants!$B$8,"",IF($AS314,0,Constants!$B$15)+IF($AR314,0,Constants!$B$16)+IF($AH314,0,Constants!$B$17))</f>
        <v/>
      </c>
      <c r="BT314" s="139" t="str">
        <f aca="false">IF($BZ314&lt;&gt;Constants!$B$8,"",Constants!$B$20+SUM($BO314:$BS314))</f>
        <v/>
      </c>
      <c r="BU314" s="138" t="str">
        <f aca="false">IF($BZ314&lt;&gt;Constants!$B$8,"",$BO314)</f>
        <v/>
      </c>
      <c r="BV314" s="138" t="str">
        <f aca="false">IF($BZ314&lt;&gt;Constants!$B$8,"",$BP314)</f>
        <v/>
      </c>
      <c r="BW314" s="138" t="str">
        <f aca="false">IF($BZ314&lt;&gt;Constants!$B$8,"",IF($AT314,$AV314,""))</f>
        <v/>
      </c>
      <c r="BX314" s="140" t="str">
        <f aca="false">IF($BZ314&lt;&gt;Constants!$B$8,"",$AI314)</f>
        <v/>
      </c>
      <c r="BY314" s="135" t="str">
        <f aca="false">IF(ISBLANK($C314),"",IF(ISBLANK($D$7),$BY$5,IF(NOT(ISNUMBER($D$7)),$BY$6,"")))</f>
        <v/>
      </c>
      <c r="BZ314" s="135" t="str">
        <f aca="false">IF(ISBLANK($C314),"",IF($BA314,Constants!$B$11,IF(COUNTA($E314:$AA314)=0,Constants!$B$10,IF(NOT($AG314),Constants!$B$9,IF(OR($BY314&lt;&gt;"",$BB314,$BN314),Constants!$B$12,Constants!$B$8)))))</f>
        <v/>
      </c>
      <c r="CA314" s="135" t="str">
        <f aca="false">IF(ISBLANK($C314),"",IF($BZ314&lt;&gt;Constants!$B$8,$BZ314,Constants!$B$13))</f>
        <v/>
      </c>
      <c r="CB314" s="138" t="str">
        <f aca="false">IF($BZ314&lt;&gt;Constants!$B$8,"",IF($BM314="-&gt;",$BT314,$BH314))</f>
        <v/>
      </c>
      <c r="CC314" s="138" t="str">
        <f aca="false">IF($BZ314&lt;&gt;Constants!$B$8,"",IF($AF314,0,Constants!$B$18))</f>
        <v/>
      </c>
      <c r="CD314" s="138" t="str">
        <f aca="false">IF($BZ314&lt;&gt;Constants!$B$8,"",((Constants!$B$31-$AZ314)-Constants!$B$31)/Constants!$B$32)</f>
        <v/>
      </c>
      <c r="CE314" s="138" t="str">
        <f aca="false">IF(ISBLANK($C314),"",IF($BZ314&lt;&gt;Constants!$B$8,$BZ314,SUM($CB314:$CD314)))</f>
        <v/>
      </c>
      <c r="CF314" s="135" t="str">
        <f aca="false">IF(ISBLANK($C314),"",IF($BZ314&lt;&gt;Constants!$B$8,$BZ314,RANK($CE314,$CE$9:$CE$508,1)))</f>
        <v/>
      </c>
      <c r="CG314" s="138" t="str">
        <f aca="false">IF($BZ314&lt;&gt;Constants!$B$8,"",IF($BM314="-&gt;",$BU314,$BI314))</f>
        <v/>
      </c>
      <c r="CH314" s="135" t="str">
        <f aca="false">IF(ISBLANK($C314),"",IF($BZ314&lt;&gt;Constants!$B$8,$BZ314,IF(ISNUMBER($CG314),RANK($CG314,$CG$9:$CG$508,1),COUNT($CG$9:$CG$508)+1)))</f>
        <v/>
      </c>
      <c r="CI314" s="138" t="str">
        <f aca="false">IF($BZ314&lt;&gt;Constants!$B$8,"",IF($BM314="-&gt;",$BV314,$BJ314))</f>
        <v/>
      </c>
      <c r="CJ314" s="135" t="str">
        <f aca="false">IF(ISBLANK($C314),"",IF($BZ314&lt;&gt;Constants!$B$8,$BZ314,IF(ISNUMBER($CI314),RANK($CI314,$CI$9:$CI$508,1),COUNT($CI$9:$CI$508)+1)))</f>
        <v/>
      </c>
      <c r="CK314" s="138" t="str">
        <f aca="false">IF($BZ314&lt;&gt;Constants!$B$8,"",IF($BM314="-&gt;",$BW314,$BK314))</f>
        <v/>
      </c>
      <c r="CL314" s="135" t="str">
        <f aca="false">IF(ISBLANK($C314),"",IF($BZ314&lt;&gt;Constants!$B$8,$BZ314,IF(ISNUMBER($CK314),RANK($CK314,$CK$9:$CK$508,1),COUNT($CK$9:$CK$508)+1)))</f>
        <v/>
      </c>
      <c r="CM314" s="138" t="str">
        <f aca="false">IF($BZ314&lt;&gt;Constants!$B$8,"",IF(AND(NOT($AL314),NOT($AT314),$AJ314,$AK314,$AR314,$AS314),"",IF($BM314="-&gt;",$BX314,$BL314)))</f>
        <v/>
      </c>
      <c r="CN314" s="135" t="str">
        <f aca="false">IF(ISBLANK($C314),"",IF($BZ314&lt;&gt;Constants!$B$8,$BZ314,IF(ISNUMBER($CM314),RANK($CM314,$CM$9:$CM$508,1),COUNT($CM$9:$CM$508)+1)))</f>
        <v/>
      </c>
      <c r="CO314" s="135" t="str">
        <f aca="false">IF(ISBLANK($C314),"",IF($BZ314&lt;&gt;Constants!$B$8,$BZ314,COUNTIFS($CF$9:$CF$508,"&lt;"&amp;$CF314)+COUNTIFS($CF$9:$CF$508,$CF314,$CH$9:$CH$508,"&lt;"&amp;$CH314)+COUNTIFS($CF$9:$CF$508,$CF314,$CH$9:$CH$508,$CH314,$CJ$9:$CJ$508,"&lt;"&amp;$CJ314)+COUNTIFS($CF$9:$CF$508,$CF314,$CH$9:$CH$508,$CH314,$CJ$9:$CJ$508,$CJ314,$CL$9:$CL$508,"&lt;"&amp;$CL314)+COUNTIFS($CF$9:$CF$508,$CF314,$CH$9:$CH$508,$CH314,$CJ$9:$CJ$508,$CJ314,$CL$9:$CL$508,$CL314,$CN$9:$CN$508,"&lt;"&amp;$CN314)+1))</f>
        <v/>
      </c>
      <c r="CP314" s="135" t="str">
        <f aca="false">IF(ISBLANK($C314),"",IF($BZ314&lt;&gt;Constants!$B$8,$BZ314,$CF314-$CO314))</f>
        <v/>
      </c>
      <c r="CQ314" s="141"/>
      <c r="CR314" s="142"/>
      <c r="CS314" s="143" t="str">
        <f aca="false">IF(ISBLANK($C314),"",IF($BZ314=Constants!$B$12,$BY314,""))</f>
        <v/>
      </c>
      <c r="CT314" s="142" t="str">
        <f aca="false">IF(ISBLANK($C314),"",IF($BZ314&lt;&gt;Constants!$B$8,"",IF($BM314="-&gt;",2,1)))</f>
        <v/>
      </c>
      <c r="CU314" s="144" t="str">
        <f aca="false">IF(ISBLANK($C314),"",IF($BZ314&lt;&gt;Constants!$B$8,"",IF($BM314="-&gt;",$BO314,$BC314)))</f>
        <v/>
      </c>
      <c r="CV314" s="144" t="str">
        <f aca="false">IF(ISBLANK($C314),"",IF($BZ314&lt;&gt;Constants!$B$8,"",IF($BM314="-&gt;",$BP314,$BD314)))</f>
        <v/>
      </c>
      <c r="CW314" s="144" t="str">
        <f aca="false">IF(ISBLANK($C314),"",IF($BZ314&lt;&gt;Constants!$B$8,"",IF($BM314="-&gt;",$BQ314+$BR314,$BE314+$BF314)+$CD314))</f>
        <v/>
      </c>
      <c r="CX314" s="144" t="str">
        <f aca="false">IF(ISBLANK($C314),"",IF($BZ314&lt;&gt;Constants!$B$8,"",IF($BM314="-&gt;",$BS314,$BG314)+$CC314))</f>
        <v/>
      </c>
      <c r="CY314" s="145" t="str">
        <f aca="false">IF(ISBLANK($C314),"",IF($BZ314&lt;&gt;Constants!$B$8,$BZ314,$CE314))</f>
        <v/>
      </c>
      <c r="CZ314" s="146" t="str">
        <f aca="false">IF(ISBLANK($C314),"",$CA314)</f>
        <v/>
      </c>
      <c r="DA314" s="147" t="str">
        <f aca="false">IF(ISBLANK($C314),"",$CP314)</f>
        <v/>
      </c>
      <c r="DB314" s="147" t="str">
        <f aca="false">IF(ISBLANK($C314),"",$CO314)</f>
        <v/>
      </c>
      <c r="DC314" s="148" t="str">
        <f aca="false">IF(ISBLANK($C314),"",IFERROR(_xlfn.SWITCH($DB314,Constants!$B$11,COUNTA($C$9:$C$508)+2,Constants!$B$10,COUNTA($C$9:$C$508)+1,Constants!$B$9,COUNTA($C$9:$C$508)),$DB314))</f>
        <v/>
      </c>
      <c r="DD314" s="9"/>
      <c r="DE314" s="149" t="n">
        <f aca="false">IF(OR(ISNUMBER($DB314),$DB314=Constants!$B$11,$DB314=Constants!$B$9,$DB314=Constants!$B$10),1,0)</f>
        <v>0</v>
      </c>
      <c r="DF314" s="149" t="n">
        <v>306</v>
      </c>
      <c r="DG314" s="149" t="str">
        <f aca="false">IF(ISBLANK($C314),"",IF(ISNUMBER($DC314),$DC314+ROW($B314)/1000,""))</f>
        <v/>
      </c>
      <c r="DH314" s="149" t="str">
        <f aca="false">IF(ISNUMBER($DG314),RANK($DG314,$DG$9:$DG$508,1),"")</f>
        <v/>
      </c>
      <c r="DI314" s="149" t="str">
        <f aca="false">IF(ISBLANK($C314),"",$B314)</f>
        <v/>
      </c>
      <c r="DJ314" s="149" t="str">
        <f aca="false">IF(ISBLANK($C314),"",$C314)</f>
        <v/>
      </c>
      <c r="DK314" s="149" t="str">
        <f aca="false">IF(ISBLANK($C314),"",$D314)</f>
        <v/>
      </c>
      <c r="DL314" s="150" t="str">
        <f aca="false">$CZ314</f>
        <v/>
      </c>
      <c r="DM314" s="151" t="str">
        <f aca="false">$CY314</f>
        <v/>
      </c>
      <c r="DN314" s="149" t="str">
        <f aca="false">IF(ISBLANK($C314),"",$DB314)</f>
        <v/>
      </c>
      <c r="DO314" s="152" t="str">
        <f aca="false">IF($DF314&gt;$DE$8,"",VLOOKUP($DF314,$DH$9:$DN$508,7,FALSE()))</f>
        <v/>
      </c>
      <c r="DP314" s="153" t="str">
        <f aca="false">IF($DF314&gt;$DE$8,"",VLOOKUP($DF314,$DH$9:$DN$508,2,FALSE()))</f>
        <v/>
      </c>
      <c r="DQ314" s="153" t="str">
        <f aca="false">IF($DF314&gt;$DE$8,"",VLOOKUP($DF314,$DH$9:$DN$508,3,FALSE()))</f>
        <v/>
      </c>
      <c r="DR314" s="153" t="str">
        <f aca="false">IF($DF314&gt;$DE$8,"",VLOOKUP($DF314,$DH$9:$DN$508,4,FALSE()))</f>
        <v/>
      </c>
      <c r="DS314" s="153" t="str">
        <f aca="false">IF($DF314&gt;$DE$8,"",VLOOKUP($DF314,$DH$9:$DN$508,5,FALSE()))</f>
        <v/>
      </c>
      <c r="DT314" s="154" t="str">
        <f aca="false">IF($DF314&gt;$DE$8,"",VLOOKUP($DF314,$DH$9:$DN$508,6,FALSE()))</f>
        <v/>
      </c>
      <c r="DU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IF(ISBLANK($C315),"",IF(E315=Constants!$B$3,TRUE(),IF(E315=Constants!$B$4,FALSE(),TRUE())))</f>
        <v/>
      </c>
      <c r="AG315" s="93" t="str">
        <f aca="false">IF(ISBLANK($C315),"",IF(F315=Constants!$B$3,TRUE(),IF(F315=Constants!$B$4,FALSE(),TRUE())))</f>
        <v/>
      </c>
      <c r="AH315" s="93" t="str">
        <f aca="false">IF(ISBLANK($C315),"",IF(G315=Constants!$B$3,TRUE(),IF(G315=Constants!$B$4,FALSE(),TRUE())))</f>
        <v/>
      </c>
      <c r="AI315" s="93" t="str">
        <f aca="false">IF(ISBLANK($C315),"",IF(AND(ISNUMBER(H315),H315&gt;=0),H315,Constants!$B$29))</f>
        <v/>
      </c>
      <c r="AJ315" s="93" t="str">
        <f aca="false">IF(ISBLANK($C315),"",IF(I315=Constants!$B$3,TRUE(),IF(I315=Constants!$B$4,FALSE(),TRUE())))</f>
        <v/>
      </c>
      <c r="AK315" s="93" t="str">
        <f aca="false">IF(ISBLANK($C315),"",IF(J315=Constants!$B$3,TRUE(),IF(J315=Constants!$B$4,FALSE(),TRUE())))</f>
        <v/>
      </c>
      <c r="AL315" s="93" t="str">
        <f aca="false">IF(ISBLANK($C315),"",IF(K315=Constants!$B$5,TRUE(),IF(K315=Constants!$B$6,FALSE(),COUNTA(L315:P315)&gt;0)))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IF(ISBLANK($C315),"",IF(N315=Constants!$B$3,TRUE(),IF(N315=Constants!$B$4,FALSE(),TRUE())))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IF(ISBLANK($C315),"",IF(P315=Constants!$B$3,TRUE(),IF(P315=Constants!$B$4,FALSE(),FALSE())))</f>
        <v/>
      </c>
      <c r="AR315" s="93" t="str">
        <f aca="false">IF(ISBLANK($C315),"",IF(Q315=Constants!$B$3,TRUE(),IF(Q315=Constants!$B$4,FALSE(),TRUE())))</f>
        <v/>
      </c>
      <c r="AS315" s="93" t="str">
        <f aca="false">IF(ISBLANK($C315),"",IF(R315=Constants!$B$3,TRUE(),IF(R315=Constants!$B$4,FALSE(),TRUE())))</f>
        <v/>
      </c>
      <c r="AT315" s="93" t="str">
        <f aca="false">IF(ISBLANK($C315),"",IF(S315=Constants!$B$5,TRUE(),IF(S315=Constants!$B$6,FALSE(),COUNTA(T315:X315)&gt;0)))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IF(ISBLANK($C315),"",IF(V315=Constants!$B$3,TRUE(),IF(V315=Constants!$B$4,FALSE(),TRUE())))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IF(ISBLANK($C315),"",IF(X315=Constants!$B$3,TRUE(),IF(X315=Constants!$B$4,FALSE(),FALSE())))</f>
        <v/>
      </c>
      <c r="AZ315" s="93" t="str">
        <f aca="false">IF(ISBLANK($C315),"",MIN(Constants!$B$31,MAX(0,IF(ISNUMBER(Y315),Y315*60,0)+IF(ISNUMBER(Z315),Z315,0))))</f>
        <v/>
      </c>
      <c r="BA315" s="93" t="str">
        <f aca="false">IF(ISBLANK($C315),"",IF(AA315=Constants!$B$3,TRUE(),IF(AA315=Constants!$B$4,FALSE(),FALSE())))</f>
        <v/>
      </c>
      <c r="BB315" s="92" t="str">
        <f aca="false">IF(ISBLANK($C315),"",AND($AL315,OR($AM315="",$AN315="",AND($AO315,$AP315=""))))</f>
        <v/>
      </c>
      <c r="BC315" s="94" t="str">
        <f aca="false">IF($BZ315&lt;&gt;Constants!$B$8,"",IF($AL315,Constants!$B$21*$AN315+Constants!$B$22*IF($AO315,$AP315,Constants!$B$23),Constants!$B$24))</f>
        <v/>
      </c>
      <c r="BD315" s="97" t="str">
        <f aca="false">IF($BZ315&lt;&gt;Constants!$B$8,"",Constants!$B$25*ABS($AD$9-IF($AL315,$AM315,0)))</f>
        <v/>
      </c>
      <c r="BE315" s="97" t="str">
        <f aca="false">IF($BZ315&lt;&gt;Constants!$B$8,"",IF(AND($AL315,$AQ315,$AO315),Constants!$B$27,0))</f>
        <v/>
      </c>
      <c r="BF315" s="97" t="str">
        <f aca="false">IF($BZ315&lt;&gt;Constants!$B$8,"",IF($AL315,($AI315-Constants!$B$29)*Constants!$B$28,0))</f>
        <v/>
      </c>
      <c r="BG315" s="97" t="str">
        <f aca="false">IF($BZ315&lt;&gt;Constants!$B$8,"",IF($AK315,0,Constants!$B$15)+IF($AJ315,0,Constants!$B$16)+IF($AH315,0,Constants!$B$17))</f>
        <v/>
      </c>
      <c r="BH315" s="98" t="str">
        <f aca="false">IF($BZ315&lt;&gt;Constants!$B$8,"",Constants!$B$20+SUM($BC315:$BG315))</f>
        <v/>
      </c>
      <c r="BI315" s="97" t="str">
        <f aca="false">IF($BZ315&lt;&gt;Constants!$B$8,"",$BC315)</f>
        <v/>
      </c>
      <c r="BJ315" s="97" t="str">
        <f aca="false">IF($BZ315&lt;&gt;Constants!$B$8,"",$BD315)</f>
        <v/>
      </c>
      <c r="BK315" s="97" t="str">
        <f aca="false">IF($BZ315&lt;&gt;Constants!$B$8,"",IF($AL315,$AN315,""))</f>
        <v/>
      </c>
      <c r="BL315" s="99" t="str">
        <f aca="false">IF($BZ315&lt;&gt;Constants!$B$8,"",$AI315)</f>
        <v/>
      </c>
      <c r="BM315" s="93" t="str">
        <f aca="false">IF($BZ315&lt;&gt;Constants!$B$8,"",IF(OR($BT315&lt;$BH315,AND($BT315=$BH315,OR($BU315&lt;$BI315,AND($BU315=$BI315,OR($BV315&lt;$BJ315,AND($BV315=$BJ315,OR(AND(ISNUMBER($BW315),OR(NOT(ISNUMBER($BK315)),$BW315&lt;$BK315)),AND(OR(AND($BW315="",$BK315=""),AND(ISNUMBER($BW315),ISNUMBER($BK315),$BW315=$BK315)),$BX315&lt;$BL315)))))))),"-&gt;","&lt;-"))</f>
        <v/>
      </c>
      <c r="BN315" s="92" t="str">
        <f aca="false">IF(ISBLANK($C315),"",AND($AT315,OR($AU315="",$AV315="",AND($AW315,$AX315=""))))</f>
        <v/>
      </c>
      <c r="BO315" s="94" t="str">
        <f aca="false">IF($BZ315&lt;&gt;Constants!$B$8,"",IF($AT315,Constants!$B$21*$AV315+Constants!$B$22*IF($AW315,$AX315,Constants!$B$23),Constants!$B$24))</f>
        <v/>
      </c>
      <c r="BP315" s="97" t="str">
        <f aca="false">IF($BZ315&lt;&gt;Constants!$B$8,"",Constants!$B$25*ABS($AD$9-IF($AT315,$AU315,0)))</f>
        <v/>
      </c>
      <c r="BQ315" s="97" t="str">
        <f aca="false">IF($BZ315&lt;&gt;Constants!$B$8,"",IF(AND($AT315,$AY315,$AW315),Constants!$B$27,0))</f>
        <v/>
      </c>
      <c r="BR315" s="97" t="str">
        <f aca="false">IF($BZ315&lt;&gt;Constants!$B$8,"",IF($AT315,($AI315-Constants!$B$29)*Constants!$B$28,0))</f>
        <v/>
      </c>
      <c r="BS315" s="97" t="str">
        <f aca="false">IF($BZ315&lt;&gt;Constants!$B$8,"",IF($AS315,0,Constants!$B$15)+IF($AR315,0,Constants!$B$16)+IF($AH315,0,Constants!$B$17))</f>
        <v/>
      </c>
      <c r="BT315" s="98" t="str">
        <f aca="false">IF($BZ315&lt;&gt;Constants!$B$8,"",Constants!$B$20+SUM($BO315:$BS315))</f>
        <v/>
      </c>
      <c r="BU315" s="97" t="str">
        <f aca="false">IF($BZ315&lt;&gt;Constants!$B$8,"",$BO315)</f>
        <v/>
      </c>
      <c r="BV315" s="97" t="str">
        <f aca="false">IF($BZ315&lt;&gt;Constants!$B$8,"",$BP315)</f>
        <v/>
      </c>
      <c r="BW315" s="97" t="str">
        <f aca="false">IF($BZ315&lt;&gt;Constants!$B$8,"",IF($AT315,$AV315,""))</f>
        <v/>
      </c>
      <c r="BX315" s="99" t="str">
        <f aca="false">IF($BZ315&lt;&gt;Constants!$B$8,"",$AI315)</f>
        <v/>
      </c>
      <c r="BY315" s="93" t="str">
        <f aca="false">IF(ISBLANK($C315),"",IF(ISBLANK($D$7),$BY$5,IF(NOT(ISNUMBER($D$7)),$BY$6,"")))</f>
        <v/>
      </c>
      <c r="BZ315" s="93" t="str">
        <f aca="false">IF(ISBLANK($C315),"",IF($BA315,Constants!$B$11,IF(COUNTA($E315:$AA315)=0,Constants!$B$10,IF(NOT($AG315),Constants!$B$9,IF(OR($BY315&lt;&gt;"",$BB315,$BN315),Constants!$B$12,Constants!$B$8)))))</f>
        <v/>
      </c>
      <c r="CA315" s="93" t="str">
        <f aca="false">IF(ISBLANK($C315),"",IF($BZ315&lt;&gt;Constants!$B$8,$BZ315,Constants!$B$13))</f>
        <v/>
      </c>
      <c r="CB315" s="97" t="str">
        <f aca="false">IF($BZ315&lt;&gt;Constants!$B$8,"",IF($BM315="-&gt;",$BT315,$BH315))</f>
        <v/>
      </c>
      <c r="CC315" s="97" t="str">
        <f aca="false">IF($BZ315&lt;&gt;Constants!$B$8,"",IF($AF315,0,Constants!$B$18))</f>
        <v/>
      </c>
      <c r="CD315" s="97" t="str">
        <f aca="false">IF($BZ315&lt;&gt;Constants!$B$8,"",((Constants!$B$31-$AZ315)-Constants!$B$31)/Constants!$B$32)</f>
        <v/>
      </c>
      <c r="CE315" s="97" t="str">
        <f aca="false">IF(ISBLANK($C315),"",IF($BZ315&lt;&gt;Constants!$B$8,$BZ315,SUM($CB315:$CD315)))</f>
        <v/>
      </c>
      <c r="CF315" s="93" t="str">
        <f aca="false">IF(ISBLANK($C315),"",IF($BZ315&lt;&gt;Constants!$B$8,$BZ315,RANK($CE315,$CE$9:$CE$508,1)))</f>
        <v/>
      </c>
      <c r="CG315" s="97" t="str">
        <f aca="false">IF($BZ315&lt;&gt;Constants!$B$8,"",IF($BM315="-&gt;",$BU315,$BI315))</f>
        <v/>
      </c>
      <c r="CH315" s="93" t="str">
        <f aca="false">IF(ISBLANK($C315),"",IF($BZ315&lt;&gt;Constants!$B$8,$BZ315,IF(ISNUMBER($CG315),RANK($CG315,$CG$9:$CG$508,1),COUNT($CG$9:$CG$508)+1)))</f>
        <v/>
      </c>
      <c r="CI315" s="97" t="str">
        <f aca="false">IF($BZ315&lt;&gt;Constants!$B$8,"",IF($BM315="-&gt;",$BV315,$BJ315))</f>
        <v/>
      </c>
      <c r="CJ315" s="93" t="str">
        <f aca="false">IF(ISBLANK($C315),"",IF($BZ315&lt;&gt;Constants!$B$8,$BZ315,IF(ISNUMBER($CI315),RANK($CI315,$CI$9:$CI$508,1),COUNT($CI$9:$CI$508)+1)))</f>
        <v/>
      </c>
      <c r="CK315" s="97" t="str">
        <f aca="false">IF($BZ315&lt;&gt;Constants!$B$8,"",IF($BM315="-&gt;",$BW315,$BK315))</f>
        <v/>
      </c>
      <c r="CL315" s="93" t="str">
        <f aca="false">IF(ISBLANK($C315),"",IF($BZ315&lt;&gt;Constants!$B$8,$BZ315,IF(ISNUMBER($CK315),RANK($CK315,$CK$9:$CK$508,1),COUNT($CK$9:$CK$508)+1)))</f>
        <v/>
      </c>
      <c r="CM315" s="97" t="str">
        <f aca="false">IF($BZ315&lt;&gt;Constants!$B$8,"",IF(AND(NOT($AL315),NOT($AT315),$AJ315,$AK315,$AR315,$AS315),"",IF($BM315="-&gt;",$BX315,$BL315)))</f>
        <v/>
      </c>
      <c r="CN315" s="93" t="str">
        <f aca="false">IF(ISBLANK($C315),"",IF($BZ315&lt;&gt;Constants!$B$8,$BZ315,IF(ISNUMBER($CM315),RANK($CM315,$CM$9:$CM$508,1),COUNT($CM$9:$CM$508)+1)))</f>
        <v/>
      </c>
      <c r="CO315" s="93" t="str">
        <f aca="false">IF(ISBLANK($C315),"",IF($BZ315&lt;&gt;Constants!$B$8,$BZ315,COUNTIFS($CF$9:$CF$508,"&lt;"&amp;$CF315)+COUNTIFS($CF$9:$CF$508,$CF315,$CH$9:$CH$508,"&lt;"&amp;$CH315)+COUNTIFS($CF$9:$CF$508,$CF315,$CH$9:$CH$508,$CH315,$CJ$9:$CJ$508,"&lt;"&amp;$CJ315)+COUNTIFS($CF$9:$CF$508,$CF315,$CH$9:$CH$508,$CH315,$CJ$9:$CJ$508,$CJ315,$CL$9:$CL$508,"&lt;"&amp;$CL315)+COUNTIFS($CF$9:$CF$508,$CF315,$CH$9:$CH$508,$CH315,$CJ$9:$CJ$508,$CJ315,$CL$9:$CL$508,$CL315,$CN$9:$CN$508,"&lt;"&amp;$CN315)+1))</f>
        <v/>
      </c>
      <c r="CP315" s="93" t="str">
        <f aca="false">IF(ISBLANK($C315),"",IF($BZ315&lt;&gt;Constants!$B$8,$BZ315,$CF315-$CO315))</f>
        <v/>
      </c>
      <c r="CQ315" s="100"/>
      <c r="CR315" s="101"/>
      <c r="CS315" s="102" t="str">
        <f aca="false">IF(ISBLANK($C315),"",IF($BZ315=Constants!$B$12,$BY315,""))</f>
        <v/>
      </c>
      <c r="CT315" s="101" t="str">
        <f aca="false">IF(ISBLANK($C315),"",IF($BZ315&lt;&gt;Constants!$B$8,"",IF($BM315="-&gt;",2,1)))</f>
        <v/>
      </c>
      <c r="CU315" s="103" t="str">
        <f aca="false">IF(ISBLANK($C315),"",IF($BZ315&lt;&gt;Constants!$B$8,"",IF($BM315="-&gt;",$BO315,$BC315)))</f>
        <v/>
      </c>
      <c r="CV315" s="103" t="str">
        <f aca="false">IF(ISBLANK($C315),"",IF($BZ315&lt;&gt;Constants!$B$8,"",IF($BM315="-&gt;",$BP315,$BD315)))</f>
        <v/>
      </c>
      <c r="CW315" s="103" t="str">
        <f aca="false">IF(ISBLANK($C315),"",IF($BZ315&lt;&gt;Constants!$B$8,"",IF($BM315="-&gt;",$BQ315+$BR315,$BE315+$BF315)+$CD315))</f>
        <v/>
      </c>
      <c r="CX315" s="103" t="str">
        <f aca="false">IF(ISBLANK($C315),"",IF($BZ315&lt;&gt;Constants!$B$8,"",IF($BM315="-&gt;",$BS315,$BG315)+$CC315))</f>
        <v/>
      </c>
      <c r="CY315" s="104" t="str">
        <f aca="false">IF(ISBLANK($C315),"",IF($BZ315&lt;&gt;Constants!$B$8,$BZ315,$CE315))</f>
        <v/>
      </c>
      <c r="CZ315" s="105" t="str">
        <f aca="false">IF(ISBLANK($C315),"",$CA315)</f>
        <v/>
      </c>
      <c r="DA315" s="106" t="str">
        <f aca="false">IF(ISBLANK($C315),"",$CP315)</f>
        <v/>
      </c>
      <c r="DB315" s="106" t="str">
        <f aca="false">IF(ISBLANK($C315),"",$CO315)</f>
        <v/>
      </c>
      <c r="DC315" s="107" t="str">
        <f aca="false">IF(ISBLANK($C315),"",IFERROR(_xlfn.SWITCH($DB315,Constants!$B$11,COUNTA($C$9:$C$508)+2,Constants!$B$10,COUNTA($C$9:$C$508)+1,Constants!$B$9,COUNTA($C$9:$C$508)),$DB315))</f>
        <v/>
      </c>
      <c r="DD315" s="9"/>
      <c r="DE315" s="108" t="n">
        <f aca="false">IF(OR(ISNUMBER($DB315),$DB315=Constants!$B$11,$DB315=Constants!$B$9,$DB315=Constants!$B$10),1,0)</f>
        <v>0</v>
      </c>
      <c r="DF315" s="108" t="n">
        <v>307</v>
      </c>
      <c r="DG315" s="108" t="str">
        <f aca="false">IF(ISBLANK($C315),"",IF(ISNUMBER($DC315),$DC315+ROW($B315)/1000,""))</f>
        <v/>
      </c>
      <c r="DH315" s="108" t="str">
        <f aca="false">IF(ISNUMBER($DG315),RANK($DG315,$DG$9:$DG$508,1),"")</f>
        <v/>
      </c>
      <c r="DI315" s="108" t="str">
        <f aca="false">IF(ISBLANK($C315),"",$B315)</f>
        <v/>
      </c>
      <c r="DJ315" s="108" t="str">
        <f aca="false">IF(ISBLANK($C315),"",$C315)</f>
        <v/>
      </c>
      <c r="DK315" s="108" t="str">
        <f aca="false">IF(ISBLANK($C315),"",$D315)</f>
        <v/>
      </c>
      <c r="DL315" s="109" t="str">
        <f aca="false">$CZ315</f>
        <v/>
      </c>
      <c r="DM315" s="110" t="str">
        <f aca="false">$CY315</f>
        <v/>
      </c>
      <c r="DN315" s="108" t="str">
        <f aca="false">IF(ISBLANK($C315),"",$DB315)</f>
        <v/>
      </c>
      <c r="DO315" s="111" t="str">
        <f aca="false">IF($DF315&gt;$DE$8,"",VLOOKUP($DF315,$DH$9:$DN$508,7,FALSE()))</f>
        <v/>
      </c>
      <c r="DP315" s="112" t="str">
        <f aca="false">IF($DF315&gt;$DE$8,"",VLOOKUP($DF315,$DH$9:$DN$508,2,FALSE()))</f>
        <v/>
      </c>
      <c r="DQ315" s="112" t="str">
        <f aca="false">IF($DF315&gt;$DE$8,"",VLOOKUP($DF315,$DH$9:$DN$508,3,FALSE()))</f>
        <v/>
      </c>
      <c r="DR315" s="112" t="str">
        <f aca="false">IF($DF315&gt;$DE$8,"",VLOOKUP($DF315,$DH$9:$DN$508,4,FALSE()))</f>
        <v/>
      </c>
      <c r="DS315" s="112" t="str">
        <f aca="false">IF($DF315&gt;$DE$8,"",VLOOKUP($DF315,$DH$9:$DN$508,5,FALSE()))</f>
        <v/>
      </c>
      <c r="DT315" s="113" t="str">
        <f aca="false">IF($DF315&gt;$DE$8,"",VLOOKUP($DF315,$DH$9:$DN$508,6,FALSE()))</f>
        <v/>
      </c>
      <c r="DU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IF(ISBLANK($C316),"",IF(E316=Constants!$B$3,TRUE(),IF(E316=Constants!$B$4,FALSE(),TRUE())))</f>
        <v/>
      </c>
      <c r="AG316" s="93" t="str">
        <f aca="false">IF(ISBLANK($C316),"",IF(F316=Constants!$B$3,TRUE(),IF(F316=Constants!$B$4,FALSE(),TRUE())))</f>
        <v/>
      </c>
      <c r="AH316" s="93" t="str">
        <f aca="false">IF(ISBLANK($C316),"",IF(G316=Constants!$B$3,TRUE(),IF(G316=Constants!$B$4,FALSE(),TRUE())))</f>
        <v/>
      </c>
      <c r="AI316" s="93" t="str">
        <f aca="false">IF(ISBLANK($C316),"",IF(AND(ISNUMBER(H316),H316&gt;=0),H316,Constants!$B$29))</f>
        <v/>
      </c>
      <c r="AJ316" s="93" t="str">
        <f aca="false">IF(ISBLANK($C316),"",IF(I316=Constants!$B$3,TRUE(),IF(I316=Constants!$B$4,FALSE(),TRUE())))</f>
        <v/>
      </c>
      <c r="AK316" s="93" t="str">
        <f aca="false">IF(ISBLANK($C316),"",IF(J316=Constants!$B$3,TRUE(),IF(J316=Constants!$B$4,FALSE(),TRUE())))</f>
        <v/>
      </c>
      <c r="AL316" s="93" t="str">
        <f aca="false">IF(ISBLANK($C316),"",IF(K316=Constants!$B$5,TRUE(),IF(K316=Constants!$B$6,FALSE(),COUNTA(L316:P316)&gt;0)))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IF(ISBLANK($C316),"",IF(N316=Constants!$B$3,TRUE(),IF(N316=Constants!$B$4,FALSE(),TRUE())))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IF(ISBLANK($C316),"",IF(P316=Constants!$B$3,TRUE(),IF(P316=Constants!$B$4,FALSE(),FALSE())))</f>
        <v/>
      </c>
      <c r="AR316" s="93" t="str">
        <f aca="false">IF(ISBLANK($C316),"",IF(Q316=Constants!$B$3,TRUE(),IF(Q316=Constants!$B$4,FALSE(),TRUE())))</f>
        <v/>
      </c>
      <c r="AS316" s="93" t="str">
        <f aca="false">IF(ISBLANK($C316),"",IF(R316=Constants!$B$3,TRUE(),IF(R316=Constants!$B$4,FALSE(),TRUE())))</f>
        <v/>
      </c>
      <c r="AT316" s="93" t="str">
        <f aca="false">IF(ISBLANK($C316),"",IF(S316=Constants!$B$5,TRUE(),IF(S316=Constants!$B$6,FALSE(),COUNTA(T316:X316)&gt;0)))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IF(ISBLANK($C316),"",IF(V316=Constants!$B$3,TRUE(),IF(V316=Constants!$B$4,FALSE(),TRUE())))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IF(ISBLANK($C316),"",IF(X316=Constants!$B$3,TRUE(),IF(X316=Constants!$B$4,FALSE(),FALSE())))</f>
        <v/>
      </c>
      <c r="AZ316" s="93" t="str">
        <f aca="false">IF(ISBLANK($C316),"",MIN(Constants!$B$31,MAX(0,IF(ISNUMBER(Y316),Y316*60,0)+IF(ISNUMBER(Z316),Z316,0))))</f>
        <v/>
      </c>
      <c r="BA316" s="93" t="str">
        <f aca="false">IF(ISBLANK($C316),"",IF(AA316=Constants!$B$3,TRUE(),IF(AA316=Constants!$B$4,FALSE(),FALSE())))</f>
        <v/>
      </c>
      <c r="BB316" s="92" t="str">
        <f aca="false">IF(ISBLANK($C316),"",AND($AL316,OR($AM316="",$AN316="",AND($AO316,$AP316=""))))</f>
        <v/>
      </c>
      <c r="BC316" s="94" t="str">
        <f aca="false">IF($BZ316&lt;&gt;Constants!$B$8,"",IF($AL316,Constants!$B$21*$AN316+Constants!$B$22*IF($AO316,$AP316,Constants!$B$23),Constants!$B$24))</f>
        <v/>
      </c>
      <c r="BD316" s="97" t="str">
        <f aca="false">IF($BZ316&lt;&gt;Constants!$B$8,"",Constants!$B$25*ABS($AD$9-IF($AL316,$AM316,0)))</f>
        <v/>
      </c>
      <c r="BE316" s="97" t="str">
        <f aca="false">IF($BZ316&lt;&gt;Constants!$B$8,"",IF(AND($AL316,$AQ316,$AO316),Constants!$B$27,0))</f>
        <v/>
      </c>
      <c r="BF316" s="97" t="str">
        <f aca="false">IF($BZ316&lt;&gt;Constants!$B$8,"",IF($AL316,($AI316-Constants!$B$29)*Constants!$B$28,0))</f>
        <v/>
      </c>
      <c r="BG316" s="97" t="str">
        <f aca="false">IF($BZ316&lt;&gt;Constants!$B$8,"",IF($AK316,0,Constants!$B$15)+IF($AJ316,0,Constants!$B$16)+IF($AH316,0,Constants!$B$17))</f>
        <v/>
      </c>
      <c r="BH316" s="98" t="str">
        <f aca="false">IF($BZ316&lt;&gt;Constants!$B$8,"",Constants!$B$20+SUM($BC316:$BG316))</f>
        <v/>
      </c>
      <c r="BI316" s="97" t="str">
        <f aca="false">IF($BZ316&lt;&gt;Constants!$B$8,"",$BC316)</f>
        <v/>
      </c>
      <c r="BJ316" s="97" t="str">
        <f aca="false">IF($BZ316&lt;&gt;Constants!$B$8,"",$BD316)</f>
        <v/>
      </c>
      <c r="BK316" s="97" t="str">
        <f aca="false">IF($BZ316&lt;&gt;Constants!$B$8,"",IF($AL316,$AN316,""))</f>
        <v/>
      </c>
      <c r="BL316" s="99" t="str">
        <f aca="false">IF($BZ316&lt;&gt;Constants!$B$8,"",$AI316)</f>
        <v/>
      </c>
      <c r="BM316" s="93" t="str">
        <f aca="false">IF($BZ316&lt;&gt;Constants!$B$8,"",IF(OR($BT316&lt;$BH316,AND($BT316=$BH316,OR($BU316&lt;$BI316,AND($BU316=$BI316,OR($BV316&lt;$BJ316,AND($BV316=$BJ316,OR(AND(ISNUMBER($BW316),OR(NOT(ISNUMBER($BK316)),$BW316&lt;$BK316)),AND(OR(AND($BW316="",$BK316=""),AND(ISNUMBER($BW316),ISNUMBER($BK316),$BW316=$BK316)),$BX316&lt;$BL316)))))))),"-&gt;","&lt;-"))</f>
        <v/>
      </c>
      <c r="BN316" s="92" t="str">
        <f aca="false">IF(ISBLANK($C316),"",AND($AT316,OR($AU316="",$AV316="",AND($AW316,$AX316=""))))</f>
        <v/>
      </c>
      <c r="BO316" s="94" t="str">
        <f aca="false">IF($BZ316&lt;&gt;Constants!$B$8,"",IF($AT316,Constants!$B$21*$AV316+Constants!$B$22*IF($AW316,$AX316,Constants!$B$23),Constants!$B$24))</f>
        <v/>
      </c>
      <c r="BP316" s="97" t="str">
        <f aca="false">IF($BZ316&lt;&gt;Constants!$B$8,"",Constants!$B$25*ABS($AD$9-IF($AT316,$AU316,0)))</f>
        <v/>
      </c>
      <c r="BQ316" s="97" t="str">
        <f aca="false">IF($BZ316&lt;&gt;Constants!$B$8,"",IF(AND($AT316,$AY316,$AW316),Constants!$B$27,0))</f>
        <v/>
      </c>
      <c r="BR316" s="97" t="str">
        <f aca="false">IF($BZ316&lt;&gt;Constants!$B$8,"",IF($AT316,($AI316-Constants!$B$29)*Constants!$B$28,0))</f>
        <v/>
      </c>
      <c r="BS316" s="97" t="str">
        <f aca="false">IF($BZ316&lt;&gt;Constants!$B$8,"",IF($AS316,0,Constants!$B$15)+IF($AR316,0,Constants!$B$16)+IF($AH316,0,Constants!$B$17))</f>
        <v/>
      </c>
      <c r="BT316" s="98" t="str">
        <f aca="false">IF($BZ316&lt;&gt;Constants!$B$8,"",Constants!$B$20+SUM($BO316:$BS316))</f>
        <v/>
      </c>
      <c r="BU316" s="97" t="str">
        <f aca="false">IF($BZ316&lt;&gt;Constants!$B$8,"",$BO316)</f>
        <v/>
      </c>
      <c r="BV316" s="97" t="str">
        <f aca="false">IF($BZ316&lt;&gt;Constants!$B$8,"",$BP316)</f>
        <v/>
      </c>
      <c r="BW316" s="97" t="str">
        <f aca="false">IF($BZ316&lt;&gt;Constants!$B$8,"",IF($AT316,$AV316,""))</f>
        <v/>
      </c>
      <c r="BX316" s="99" t="str">
        <f aca="false">IF($BZ316&lt;&gt;Constants!$B$8,"",$AI316)</f>
        <v/>
      </c>
      <c r="BY316" s="93" t="str">
        <f aca="false">IF(ISBLANK($C316),"",IF(ISBLANK($D$7),$BY$5,IF(NOT(ISNUMBER($D$7)),$BY$6,"")))</f>
        <v/>
      </c>
      <c r="BZ316" s="93" t="str">
        <f aca="false">IF(ISBLANK($C316),"",IF($BA316,Constants!$B$11,IF(COUNTA($E316:$AA316)=0,Constants!$B$10,IF(NOT($AG316),Constants!$B$9,IF(OR($BY316&lt;&gt;"",$BB316,$BN316),Constants!$B$12,Constants!$B$8)))))</f>
        <v/>
      </c>
      <c r="CA316" s="93" t="str">
        <f aca="false">IF(ISBLANK($C316),"",IF($BZ316&lt;&gt;Constants!$B$8,$BZ316,Constants!$B$13))</f>
        <v/>
      </c>
      <c r="CB316" s="97" t="str">
        <f aca="false">IF($BZ316&lt;&gt;Constants!$B$8,"",IF($BM316="-&gt;",$BT316,$BH316))</f>
        <v/>
      </c>
      <c r="CC316" s="97" t="str">
        <f aca="false">IF($BZ316&lt;&gt;Constants!$B$8,"",IF($AF316,0,Constants!$B$18))</f>
        <v/>
      </c>
      <c r="CD316" s="97" t="str">
        <f aca="false">IF($BZ316&lt;&gt;Constants!$B$8,"",((Constants!$B$31-$AZ316)-Constants!$B$31)/Constants!$B$32)</f>
        <v/>
      </c>
      <c r="CE316" s="97" t="str">
        <f aca="false">IF(ISBLANK($C316),"",IF($BZ316&lt;&gt;Constants!$B$8,$BZ316,SUM($CB316:$CD316)))</f>
        <v/>
      </c>
      <c r="CF316" s="93" t="str">
        <f aca="false">IF(ISBLANK($C316),"",IF($BZ316&lt;&gt;Constants!$B$8,$BZ316,RANK($CE316,$CE$9:$CE$508,1)))</f>
        <v/>
      </c>
      <c r="CG316" s="97" t="str">
        <f aca="false">IF($BZ316&lt;&gt;Constants!$B$8,"",IF($BM316="-&gt;",$BU316,$BI316))</f>
        <v/>
      </c>
      <c r="CH316" s="93" t="str">
        <f aca="false">IF(ISBLANK($C316),"",IF($BZ316&lt;&gt;Constants!$B$8,$BZ316,IF(ISNUMBER($CG316),RANK($CG316,$CG$9:$CG$508,1),COUNT($CG$9:$CG$508)+1)))</f>
        <v/>
      </c>
      <c r="CI316" s="97" t="str">
        <f aca="false">IF($BZ316&lt;&gt;Constants!$B$8,"",IF($BM316="-&gt;",$BV316,$BJ316))</f>
        <v/>
      </c>
      <c r="CJ316" s="93" t="str">
        <f aca="false">IF(ISBLANK($C316),"",IF($BZ316&lt;&gt;Constants!$B$8,$BZ316,IF(ISNUMBER($CI316),RANK($CI316,$CI$9:$CI$508,1),COUNT($CI$9:$CI$508)+1)))</f>
        <v/>
      </c>
      <c r="CK316" s="97" t="str">
        <f aca="false">IF($BZ316&lt;&gt;Constants!$B$8,"",IF($BM316="-&gt;",$BW316,$BK316))</f>
        <v/>
      </c>
      <c r="CL316" s="93" t="str">
        <f aca="false">IF(ISBLANK($C316),"",IF($BZ316&lt;&gt;Constants!$B$8,$BZ316,IF(ISNUMBER($CK316),RANK($CK316,$CK$9:$CK$508,1),COUNT($CK$9:$CK$508)+1)))</f>
        <v/>
      </c>
      <c r="CM316" s="97" t="str">
        <f aca="false">IF($BZ316&lt;&gt;Constants!$B$8,"",IF(AND(NOT($AL316),NOT($AT316),$AJ316,$AK316,$AR316,$AS316),"",IF($BM316="-&gt;",$BX316,$BL316)))</f>
        <v/>
      </c>
      <c r="CN316" s="93" t="str">
        <f aca="false">IF(ISBLANK($C316),"",IF($BZ316&lt;&gt;Constants!$B$8,$BZ316,IF(ISNUMBER($CM316),RANK($CM316,$CM$9:$CM$508,1),COUNT($CM$9:$CM$508)+1)))</f>
        <v/>
      </c>
      <c r="CO316" s="93" t="str">
        <f aca="false">IF(ISBLANK($C316),"",IF($BZ316&lt;&gt;Constants!$B$8,$BZ316,COUNTIFS($CF$9:$CF$508,"&lt;"&amp;$CF316)+COUNTIFS($CF$9:$CF$508,$CF316,$CH$9:$CH$508,"&lt;"&amp;$CH316)+COUNTIFS($CF$9:$CF$508,$CF316,$CH$9:$CH$508,$CH316,$CJ$9:$CJ$508,"&lt;"&amp;$CJ316)+COUNTIFS($CF$9:$CF$508,$CF316,$CH$9:$CH$508,$CH316,$CJ$9:$CJ$508,$CJ316,$CL$9:$CL$508,"&lt;"&amp;$CL316)+COUNTIFS($CF$9:$CF$508,$CF316,$CH$9:$CH$508,$CH316,$CJ$9:$CJ$508,$CJ316,$CL$9:$CL$508,$CL316,$CN$9:$CN$508,"&lt;"&amp;$CN316)+1))</f>
        <v/>
      </c>
      <c r="CP316" s="93" t="str">
        <f aca="false">IF(ISBLANK($C316),"",IF($BZ316&lt;&gt;Constants!$B$8,$BZ316,$CF316-$CO316))</f>
        <v/>
      </c>
      <c r="CQ316" s="100"/>
      <c r="CR316" s="101"/>
      <c r="CS316" s="102" t="str">
        <f aca="false">IF(ISBLANK($C316),"",IF($BZ316=Constants!$B$12,$BY316,""))</f>
        <v/>
      </c>
      <c r="CT316" s="101" t="str">
        <f aca="false">IF(ISBLANK($C316),"",IF($BZ316&lt;&gt;Constants!$B$8,"",IF($BM316="-&gt;",2,1)))</f>
        <v/>
      </c>
      <c r="CU316" s="103" t="str">
        <f aca="false">IF(ISBLANK($C316),"",IF($BZ316&lt;&gt;Constants!$B$8,"",IF($BM316="-&gt;",$BO316,$BC316)))</f>
        <v/>
      </c>
      <c r="CV316" s="103" t="str">
        <f aca="false">IF(ISBLANK($C316),"",IF($BZ316&lt;&gt;Constants!$B$8,"",IF($BM316="-&gt;",$BP316,$BD316)))</f>
        <v/>
      </c>
      <c r="CW316" s="103" t="str">
        <f aca="false">IF(ISBLANK($C316),"",IF($BZ316&lt;&gt;Constants!$B$8,"",IF($BM316="-&gt;",$BQ316+$BR316,$BE316+$BF316)+$CD316))</f>
        <v/>
      </c>
      <c r="CX316" s="103" t="str">
        <f aca="false">IF(ISBLANK($C316),"",IF($BZ316&lt;&gt;Constants!$B$8,"",IF($BM316="-&gt;",$BS316,$BG316)+$CC316))</f>
        <v/>
      </c>
      <c r="CY316" s="104" t="str">
        <f aca="false">IF(ISBLANK($C316),"",IF($BZ316&lt;&gt;Constants!$B$8,$BZ316,$CE316))</f>
        <v/>
      </c>
      <c r="CZ316" s="105" t="str">
        <f aca="false">IF(ISBLANK($C316),"",$CA316)</f>
        <v/>
      </c>
      <c r="DA316" s="106" t="str">
        <f aca="false">IF(ISBLANK($C316),"",$CP316)</f>
        <v/>
      </c>
      <c r="DB316" s="106" t="str">
        <f aca="false">IF(ISBLANK($C316),"",$CO316)</f>
        <v/>
      </c>
      <c r="DC316" s="107" t="str">
        <f aca="false">IF(ISBLANK($C316),"",IFERROR(_xlfn.SWITCH($DB316,Constants!$B$11,COUNTA($C$9:$C$508)+2,Constants!$B$10,COUNTA($C$9:$C$508)+1,Constants!$B$9,COUNTA($C$9:$C$508)),$DB316))</f>
        <v/>
      </c>
      <c r="DD316" s="9"/>
      <c r="DE316" s="108" t="n">
        <f aca="false">IF(OR(ISNUMBER($DB316),$DB316=Constants!$B$11,$DB316=Constants!$B$9,$DB316=Constants!$B$10),1,0)</f>
        <v>0</v>
      </c>
      <c r="DF316" s="108" t="n">
        <v>308</v>
      </c>
      <c r="DG316" s="108" t="str">
        <f aca="false">IF(ISBLANK($C316),"",IF(ISNUMBER($DC316),$DC316+ROW($B316)/1000,""))</f>
        <v/>
      </c>
      <c r="DH316" s="108" t="str">
        <f aca="false">IF(ISNUMBER($DG316),RANK($DG316,$DG$9:$DG$508,1),"")</f>
        <v/>
      </c>
      <c r="DI316" s="108" t="str">
        <f aca="false">IF(ISBLANK($C316),"",$B316)</f>
        <v/>
      </c>
      <c r="DJ316" s="108" t="str">
        <f aca="false">IF(ISBLANK($C316),"",$C316)</f>
        <v/>
      </c>
      <c r="DK316" s="108" t="str">
        <f aca="false">IF(ISBLANK($C316),"",$D316)</f>
        <v/>
      </c>
      <c r="DL316" s="109" t="str">
        <f aca="false">$CZ316</f>
        <v/>
      </c>
      <c r="DM316" s="110" t="str">
        <f aca="false">$CY316</f>
        <v/>
      </c>
      <c r="DN316" s="108" t="str">
        <f aca="false">IF(ISBLANK($C316),"",$DB316)</f>
        <v/>
      </c>
      <c r="DO316" s="111" t="str">
        <f aca="false">IF($DF316&gt;$DE$8,"",VLOOKUP($DF316,$DH$9:$DN$508,7,FALSE()))</f>
        <v/>
      </c>
      <c r="DP316" s="112" t="str">
        <f aca="false">IF($DF316&gt;$DE$8,"",VLOOKUP($DF316,$DH$9:$DN$508,2,FALSE()))</f>
        <v/>
      </c>
      <c r="DQ316" s="112" t="str">
        <f aca="false">IF($DF316&gt;$DE$8,"",VLOOKUP($DF316,$DH$9:$DN$508,3,FALSE()))</f>
        <v/>
      </c>
      <c r="DR316" s="112" t="str">
        <f aca="false">IF($DF316&gt;$DE$8,"",VLOOKUP($DF316,$DH$9:$DN$508,4,FALSE()))</f>
        <v/>
      </c>
      <c r="DS316" s="112" t="str">
        <f aca="false">IF($DF316&gt;$DE$8,"",VLOOKUP($DF316,$DH$9:$DN$508,5,FALSE()))</f>
        <v/>
      </c>
      <c r="DT316" s="113" t="str">
        <f aca="false">IF($DF316&gt;$DE$8,"",VLOOKUP($DF316,$DH$9:$DN$508,6,FALSE()))</f>
        <v/>
      </c>
      <c r="DU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IF(ISBLANK($C317),"",IF(E317=Constants!$B$3,TRUE(),IF(E317=Constants!$B$4,FALSE(),TRUE())))</f>
        <v/>
      </c>
      <c r="AG317" s="93" t="str">
        <f aca="false">IF(ISBLANK($C317),"",IF(F317=Constants!$B$3,TRUE(),IF(F317=Constants!$B$4,FALSE(),TRUE())))</f>
        <v/>
      </c>
      <c r="AH317" s="93" t="str">
        <f aca="false">IF(ISBLANK($C317),"",IF(G317=Constants!$B$3,TRUE(),IF(G317=Constants!$B$4,FALSE(),TRUE())))</f>
        <v/>
      </c>
      <c r="AI317" s="93" t="str">
        <f aca="false">IF(ISBLANK($C317),"",IF(AND(ISNUMBER(H317),H317&gt;=0),H317,Constants!$B$29))</f>
        <v/>
      </c>
      <c r="AJ317" s="93" t="str">
        <f aca="false">IF(ISBLANK($C317),"",IF(I317=Constants!$B$3,TRUE(),IF(I317=Constants!$B$4,FALSE(),TRUE())))</f>
        <v/>
      </c>
      <c r="AK317" s="93" t="str">
        <f aca="false">IF(ISBLANK($C317),"",IF(J317=Constants!$B$3,TRUE(),IF(J317=Constants!$B$4,FALSE(),TRUE())))</f>
        <v/>
      </c>
      <c r="AL317" s="93" t="str">
        <f aca="false">IF(ISBLANK($C317),"",IF(K317=Constants!$B$5,TRUE(),IF(K317=Constants!$B$6,FALSE(),COUNTA(L317:P317)&gt;0)))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IF(ISBLANK($C317),"",IF(N317=Constants!$B$3,TRUE(),IF(N317=Constants!$B$4,FALSE(),TRUE())))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IF(ISBLANK($C317),"",IF(P317=Constants!$B$3,TRUE(),IF(P317=Constants!$B$4,FALSE(),FALSE())))</f>
        <v/>
      </c>
      <c r="AR317" s="93" t="str">
        <f aca="false">IF(ISBLANK($C317),"",IF(Q317=Constants!$B$3,TRUE(),IF(Q317=Constants!$B$4,FALSE(),TRUE())))</f>
        <v/>
      </c>
      <c r="AS317" s="93" t="str">
        <f aca="false">IF(ISBLANK($C317),"",IF(R317=Constants!$B$3,TRUE(),IF(R317=Constants!$B$4,FALSE(),TRUE())))</f>
        <v/>
      </c>
      <c r="AT317" s="93" t="str">
        <f aca="false">IF(ISBLANK($C317),"",IF(S317=Constants!$B$5,TRUE(),IF(S317=Constants!$B$6,FALSE(),COUNTA(T317:X317)&gt;0)))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IF(ISBLANK($C317),"",IF(V317=Constants!$B$3,TRUE(),IF(V317=Constants!$B$4,FALSE(),TRUE())))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IF(ISBLANK($C317),"",IF(X317=Constants!$B$3,TRUE(),IF(X317=Constants!$B$4,FALSE(),FALSE())))</f>
        <v/>
      </c>
      <c r="AZ317" s="93" t="str">
        <f aca="false">IF(ISBLANK($C317),"",MIN(Constants!$B$31,MAX(0,IF(ISNUMBER(Y317),Y317*60,0)+IF(ISNUMBER(Z317),Z317,0))))</f>
        <v/>
      </c>
      <c r="BA317" s="93" t="str">
        <f aca="false">IF(ISBLANK($C317),"",IF(AA317=Constants!$B$3,TRUE(),IF(AA317=Constants!$B$4,FALSE(),FALSE())))</f>
        <v/>
      </c>
      <c r="BB317" s="92" t="str">
        <f aca="false">IF(ISBLANK($C317),"",AND($AL317,OR($AM317="",$AN317="",AND($AO317,$AP317=""))))</f>
        <v/>
      </c>
      <c r="BC317" s="94" t="str">
        <f aca="false">IF($BZ317&lt;&gt;Constants!$B$8,"",IF($AL317,Constants!$B$21*$AN317+Constants!$B$22*IF($AO317,$AP317,Constants!$B$23),Constants!$B$24))</f>
        <v/>
      </c>
      <c r="BD317" s="97" t="str">
        <f aca="false">IF($BZ317&lt;&gt;Constants!$B$8,"",Constants!$B$25*ABS($AD$9-IF($AL317,$AM317,0)))</f>
        <v/>
      </c>
      <c r="BE317" s="97" t="str">
        <f aca="false">IF($BZ317&lt;&gt;Constants!$B$8,"",IF(AND($AL317,$AQ317,$AO317),Constants!$B$27,0))</f>
        <v/>
      </c>
      <c r="BF317" s="97" t="str">
        <f aca="false">IF($BZ317&lt;&gt;Constants!$B$8,"",IF($AL317,($AI317-Constants!$B$29)*Constants!$B$28,0))</f>
        <v/>
      </c>
      <c r="BG317" s="97" t="str">
        <f aca="false">IF($BZ317&lt;&gt;Constants!$B$8,"",IF($AK317,0,Constants!$B$15)+IF($AJ317,0,Constants!$B$16)+IF($AH317,0,Constants!$B$17))</f>
        <v/>
      </c>
      <c r="BH317" s="98" t="str">
        <f aca="false">IF($BZ317&lt;&gt;Constants!$B$8,"",Constants!$B$20+SUM($BC317:$BG317))</f>
        <v/>
      </c>
      <c r="BI317" s="97" t="str">
        <f aca="false">IF($BZ317&lt;&gt;Constants!$B$8,"",$BC317)</f>
        <v/>
      </c>
      <c r="BJ317" s="97" t="str">
        <f aca="false">IF($BZ317&lt;&gt;Constants!$B$8,"",$BD317)</f>
        <v/>
      </c>
      <c r="BK317" s="97" t="str">
        <f aca="false">IF($BZ317&lt;&gt;Constants!$B$8,"",IF($AL317,$AN317,""))</f>
        <v/>
      </c>
      <c r="BL317" s="99" t="str">
        <f aca="false">IF($BZ317&lt;&gt;Constants!$B$8,"",$AI317)</f>
        <v/>
      </c>
      <c r="BM317" s="93" t="str">
        <f aca="false">IF($BZ317&lt;&gt;Constants!$B$8,"",IF(OR($BT317&lt;$BH317,AND($BT317=$BH317,OR($BU317&lt;$BI317,AND($BU317=$BI317,OR($BV317&lt;$BJ317,AND($BV317=$BJ317,OR(AND(ISNUMBER($BW317),OR(NOT(ISNUMBER($BK317)),$BW317&lt;$BK317)),AND(OR(AND($BW317="",$BK317=""),AND(ISNUMBER($BW317),ISNUMBER($BK317),$BW317=$BK317)),$BX317&lt;$BL317)))))))),"-&gt;","&lt;-"))</f>
        <v/>
      </c>
      <c r="BN317" s="92" t="str">
        <f aca="false">IF(ISBLANK($C317),"",AND($AT317,OR($AU317="",$AV317="",AND($AW317,$AX317=""))))</f>
        <v/>
      </c>
      <c r="BO317" s="94" t="str">
        <f aca="false">IF($BZ317&lt;&gt;Constants!$B$8,"",IF($AT317,Constants!$B$21*$AV317+Constants!$B$22*IF($AW317,$AX317,Constants!$B$23),Constants!$B$24))</f>
        <v/>
      </c>
      <c r="BP317" s="97" t="str">
        <f aca="false">IF($BZ317&lt;&gt;Constants!$B$8,"",Constants!$B$25*ABS($AD$9-IF($AT317,$AU317,0)))</f>
        <v/>
      </c>
      <c r="BQ317" s="97" t="str">
        <f aca="false">IF($BZ317&lt;&gt;Constants!$B$8,"",IF(AND($AT317,$AY317,$AW317),Constants!$B$27,0))</f>
        <v/>
      </c>
      <c r="BR317" s="97" t="str">
        <f aca="false">IF($BZ317&lt;&gt;Constants!$B$8,"",IF($AT317,($AI317-Constants!$B$29)*Constants!$B$28,0))</f>
        <v/>
      </c>
      <c r="BS317" s="97" t="str">
        <f aca="false">IF($BZ317&lt;&gt;Constants!$B$8,"",IF($AS317,0,Constants!$B$15)+IF($AR317,0,Constants!$B$16)+IF($AH317,0,Constants!$B$17))</f>
        <v/>
      </c>
      <c r="BT317" s="98" t="str">
        <f aca="false">IF($BZ317&lt;&gt;Constants!$B$8,"",Constants!$B$20+SUM($BO317:$BS317))</f>
        <v/>
      </c>
      <c r="BU317" s="97" t="str">
        <f aca="false">IF($BZ317&lt;&gt;Constants!$B$8,"",$BO317)</f>
        <v/>
      </c>
      <c r="BV317" s="97" t="str">
        <f aca="false">IF($BZ317&lt;&gt;Constants!$B$8,"",$BP317)</f>
        <v/>
      </c>
      <c r="BW317" s="97" t="str">
        <f aca="false">IF($BZ317&lt;&gt;Constants!$B$8,"",IF($AT317,$AV317,""))</f>
        <v/>
      </c>
      <c r="BX317" s="99" t="str">
        <f aca="false">IF($BZ317&lt;&gt;Constants!$B$8,"",$AI317)</f>
        <v/>
      </c>
      <c r="BY317" s="93" t="str">
        <f aca="false">IF(ISBLANK($C317),"",IF(ISBLANK($D$7),$BY$5,IF(NOT(ISNUMBER($D$7)),$BY$6,"")))</f>
        <v/>
      </c>
      <c r="BZ317" s="93" t="str">
        <f aca="false">IF(ISBLANK($C317),"",IF($BA317,Constants!$B$11,IF(COUNTA($E317:$AA317)=0,Constants!$B$10,IF(NOT($AG317),Constants!$B$9,IF(OR($BY317&lt;&gt;"",$BB317,$BN317),Constants!$B$12,Constants!$B$8)))))</f>
        <v/>
      </c>
      <c r="CA317" s="93" t="str">
        <f aca="false">IF(ISBLANK($C317),"",IF($BZ317&lt;&gt;Constants!$B$8,$BZ317,Constants!$B$13))</f>
        <v/>
      </c>
      <c r="CB317" s="97" t="str">
        <f aca="false">IF($BZ317&lt;&gt;Constants!$B$8,"",IF($BM317="-&gt;",$BT317,$BH317))</f>
        <v/>
      </c>
      <c r="CC317" s="97" t="str">
        <f aca="false">IF($BZ317&lt;&gt;Constants!$B$8,"",IF($AF317,0,Constants!$B$18))</f>
        <v/>
      </c>
      <c r="CD317" s="97" t="str">
        <f aca="false">IF($BZ317&lt;&gt;Constants!$B$8,"",((Constants!$B$31-$AZ317)-Constants!$B$31)/Constants!$B$32)</f>
        <v/>
      </c>
      <c r="CE317" s="97" t="str">
        <f aca="false">IF(ISBLANK($C317),"",IF($BZ317&lt;&gt;Constants!$B$8,$BZ317,SUM($CB317:$CD317)))</f>
        <v/>
      </c>
      <c r="CF317" s="93" t="str">
        <f aca="false">IF(ISBLANK($C317),"",IF($BZ317&lt;&gt;Constants!$B$8,$BZ317,RANK($CE317,$CE$9:$CE$508,1)))</f>
        <v/>
      </c>
      <c r="CG317" s="97" t="str">
        <f aca="false">IF($BZ317&lt;&gt;Constants!$B$8,"",IF($BM317="-&gt;",$BU317,$BI317))</f>
        <v/>
      </c>
      <c r="CH317" s="93" t="str">
        <f aca="false">IF(ISBLANK($C317),"",IF($BZ317&lt;&gt;Constants!$B$8,$BZ317,IF(ISNUMBER($CG317),RANK($CG317,$CG$9:$CG$508,1),COUNT($CG$9:$CG$508)+1)))</f>
        <v/>
      </c>
      <c r="CI317" s="97" t="str">
        <f aca="false">IF($BZ317&lt;&gt;Constants!$B$8,"",IF($BM317="-&gt;",$BV317,$BJ317))</f>
        <v/>
      </c>
      <c r="CJ317" s="93" t="str">
        <f aca="false">IF(ISBLANK($C317),"",IF($BZ317&lt;&gt;Constants!$B$8,$BZ317,IF(ISNUMBER($CI317),RANK($CI317,$CI$9:$CI$508,1),COUNT($CI$9:$CI$508)+1)))</f>
        <v/>
      </c>
      <c r="CK317" s="97" t="str">
        <f aca="false">IF($BZ317&lt;&gt;Constants!$B$8,"",IF($BM317="-&gt;",$BW317,$BK317))</f>
        <v/>
      </c>
      <c r="CL317" s="93" t="str">
        <f aca="false">IF(ISBLANK($C317),"",IF($BZ317&lt;&gt;Constants!$B$8,$BZ317,IF(ISNUMBER($CK317),RANK($CK317,$CK$9:$CK$508,1),COUNT($CK$9:$CK$508)+1)))</f>
        <v/>
      </c>
      <c r="CM317" s="97" t="str">
        <f aca="false">IF($BZ317&lt;&gt;Constants!$B$8,"",IF(AND(NOT($AL317),NOT($AT317),$AJ317,$AK317,$AR317,$AS317),"",IF($BM317="-&gt;",$BX317,$BL317)))</f>
        <v/>
      </c>
      <c r="CN317" s="93" t="str">
        <f aca="false">IF(ISBLANK($C317),"",IF($BZ317&lt;&gt;Constants!$B$8,$BZ317,IF(ISNUMBER($CM317),RANK($CM317,$CM$9:$CM$508,1),COUNT($CM$9:$CM$508)+1)))</f>
        <v/>
      </c>
      <c r="CO317" s="93" t="str">
        <f aca="false">IF(ISBLANK($C317),"",IF($BZ317&lt;&gt;Constants!$B$8,$BZ317,COUNTIFS($CF$9:$CF$508,"&lt;"&amp;$CF317)+COUNTIFS($CF$9:$CF$508,$CF317,$CH$9:$CH$508,"&lt;"&amp;$CH317)+COUNTIFS($CF$9:$CF$508,$CF317,$CH$9:$CH$508,$CH317,$CJ$9:$CJ$508,"&lt;"&amp;$CJ317)+COUNTIFS($CF$9:$CF$508,$CF317,$CH$9:$CH$508,$CH317,$CJ$9:$CJ$508,$CJ317,$CL$9:$CL$508,"&lt;"&amp;$CL317)+COUNTIFS($CF$9:$CF$508,$CF317,$CH$9:$CH$508,$CH317,$CJ$9:$CJ$508,$CJ317,$CL$9:$CL$508,$CL317,$CN$9:$CN$508,"&lt;"&amp;$CN317)+1))</f>
        <v/>
      </c>
      <c r="CP317" s="93" t="str">
        <f aca="false">IF(ISBLANK($C317),"",IF($BZ317&lt;&gt;Constants!$B$8,$BZ317,$CF317-$CO317))</f>
        <v/>
      </c>
      <c r="CQ317" s="100"/>
      <c r="CR317" s="101"/>
      <c r="CS317" s="102" t="str">
        <f aca="false">IF(ISBLANK($C317),"",IF($BZ317=Constants!$B$12,$BY317,""))</f>
        <v/>
      </c>
      <c r="CT317" s="101" t="str">
        <f aca="false">IF(ISBLANK($C317),"",IF($BZ317&lt;&gt;Constants!$B$8,"",IF($BM317="-&gt;",2,1)))</f>
        <v/>
      </c>
      <c r="CU317" s="103" t="str">
        <f aca="false">IF(ISBLANK($C317),"",IF($BZ317&lt;&gt;Constants!$B$8,"",IF($BM317="-&gt;",$BO317,$BC317)))</f>
        <v/>
      </c>
      <c r="CV317" s="103" t="str">
        <f aca="false">IF(ISBLANK($C317),"",IF($BZ317&lt;&gt;Constants!$B$8,"",IF($BM317="-&gt;",$BP317,$BD317)))</f>
        <v/>
      </c>
      <c r="CW317" s="103" t="str">
        <f aca="false">IF(ISBLANK($C317),"",IF($BZ317&lt;&gt;Constants!$B$8,"",IF($BM317="-&gt;",$BQ317+$BR317,$BE317+$BF317)+$CD317))</f>
        <v/>
      </c>
      <c r="CX317" s="103" t="str">
        <f aca="false">IF(ISBLANK($C317),"",IF($BZ317&lt;&gt;Constants!$B$8,"",IF($BM317="-&gt;",$BS317,$BG317)+$CC317))</f>
        <v/>
      </c>
      <c r="CY317" s="104" t="str">
        <f aca="false">IF(ISBLANK($C317),"",IF($BZ317&lt;&gt;Constants!$B$8,$BZ317,$CE317))</f>
        <v/>
      </c>
      <c r="CZ317" s="105" t="str">
        <f aca="false">IF(ISBLANK($C317),"",$CA317)</f>
        <v/>
      </c>
      <c r="DA317" s="106" t="str">
        <f aca="false">IF(ISBLANK($C317),"",$CP317)</f>
        <v/>
      </c>
      <c r="DB317" s="106" t="str">
        <f aca="false">IF(ISBLANK($C317),"",$CO317)</f>
        <v/>
      </c>
      <c r="DC317" s="107" t="str">
        <f aca="false">IF(ISBLANK($C317),"",IFERROR(_xlfn.SWITCH($DB317,Constants!$B$11,COUNTA($C$9:$C$508)+2,Constants!$B$10,COUNTA($C$9:$C$508)+1,Constants!$B$9,COUNTA($C$9:$C$508)),$DB317))</f>
        <v/>
      </c>
      <c r="DD317" s="9"/>
      <c r="DE317" s="108" t="n">
        <f aca="false">IF(OR(ISNUMBER($DB317),$DB317=Constants!$B$11,$DB317=Constants!$B$9,$DB317=Constants!$B$10),1,0)</f>
        <v>0</v>
      </c>
      <c r="DF317" s="108" t="n">
        <v>309</v>
      </c>
      <c r="DG317" s="108" t="str">
        <f aca="false">IF(ISBLANK($C317),"",IF(ISNUMBER($DC317),$DC317+ROW($B317)/1000,""))</f>
        <v/>
      </c>
      <c r="DH317" s="108" t="str">
        <f aca="false">IF(ISNUMBER($DG317),RANK($DG317,$DG$9:$DG$508,1),"")</f>
        <v/>
      </c>
      <c r="DI317" s="108" t="str">
        <f aca="false">IF(ISBLANK($C317),"",$B317)</f>
        <v/>
      </c>
      <c r="DJ317" s="108" t="str">
        <f aca="false">IF(ISBLANK($C317),"",$C317)</f>
        <v/>
      </c>
      <c r="DK317" s="108" t="str">
        <f aca="false">IF(ISBLANK($C317),"",$D317)</f>
        <v/>
      </c>
      <c r="DL317" s="109" t="str">
        <f aca="false">$CZ317</f>
        <v/>
      </c>
      <c r="DM317" s="110" t="str">
        <f aca="false">$CY317</f>
        <v/>
      </c>
      <c r="DN317" s="108" t="str">
        <f aca="false">IF(ISBLANK($C317),"",$DB317)</f>
        <v/>
      </c>
      <c r="DO317" s="111" t="str">
        <f aca="false">IF($DF317&gt;$DE$8,"",VLOOKUP($DF317,$DH$9:$DN$508,7,FALSE()))</f>
        <v/>
      </c>
      <c r="DP317" s="112" t="str">
        <f aca="false">IF($DF317&gt;$DE$8,"",VLOOKUP($DF317,$DH$9:$DN$508,2,FALSE()))</f>
        <v/>
      </c>
      <c r="DQ317" s="112" t="str">
        <f aca="false">IF($DF317&gt;$DE$8,"",VLOOKUP($DF317,$DH$9:$DN$508,3,FALSE()))</f>
        <v/>
      </c>
      <c r="DR317" s="112" t="str">
        <f aca="false">IF($DF317&gt;$DE$8,"",VLOOKUP($DF317,$DH$9:$DN$508,4,FALSE()))</f>
        <v/>
      </c>
      <c r="DS317" s="112" t="str">
        <f aca="false">IF($DF317&gt;$DE$8,"",VLOOKUP($DF317,$DH$9:$DN$508,5,FALSE()))</f>
        <v/>
      </c>
      <c r="DT317" s="113" t="str">
        <f aca="false">IF($DF317&gt;$DE$8,"",VLOOKUP($DF317,$DH$9:$DN$508,6,FALSE()))</f>
        <v/>
      </c>
      <c r="DU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IF(ISBLANK($C318),"",IF(E318=Constants!$B$3,TRUE(),IF(E318=Constants!$B$4,FALSE(),TRUE())))</f>
        <v/>
      </c>
      <c r="AG318" s="135" t="str">
        <f aca="false">IF(ISBLANK($C318),"",IF(F318=Constants!$B$3,TRUE(),IF(F318=Constants!$B$4,FALSE(),TRUE())))</f>
        <v/>
      </c>
      <c r="AH318" s="135" t="str">
        <f aca="false">IF(ISBLANK($C318),"",IF(G318=Constants!$B$3,TRUE(),IF(G318=Constants!$B$4,FALSE(),TRUE())))</f>
        <v/>
      </c>
      <c r="AI318" s="135" t="str">
        <f aca="false">IF(ISBLANK($C318),"",IF(AND(ISNUMBER(H318),H318&gt;=0),H318,Constants!$B$29))</f>
        <v/>
      </c>
      <c r="AJ318" s="135" t="str">
        <f aca="false">IF(ISBLANK($C318),"",IF(I318=Constants!$B$3,TRUE(),IF(I318=Constants!$B$4,FALSE(),TRUE())))</f>
        <v/>
      </c>
      <c r="AK318" s="135" t="str">
        <f aca="false">IF(ISBLANK($C318),"",IF(J318=Constants!$B$3,TRUE(),IF(J318=Constants!$B$4,FALSE(),TRUE())))</f>
        <v/>
      </c>
      <c r="AL318" s="135" t="str">
        <f aca="false">IF(ISBLANK($C318),"",IF(K318=Constants!$B$5,TRUE(),IF(K318=Constants!$B$6,FALSE(),COUNTA(L318:P318)&gt;0)))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IF(ISBLANK($C318),"",IF(N318=Constants!$B$3,TRUE(),IF(N318=Constants!$B$4,FALSE(),TRUE())))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IF(ISBLANK($C318),"",IF(P318=Constants!$B$3,TRUE(),IF(P318=Constants!$B$4,FALSE(),FALSE())))</f>
        <v/>
      </c>
      <c r="AR318" s="135" t="str">
        <f aca="false">IF(ISBLANK($C318),"",IF(Q318=Constants!$B$3,TRUE(),IF(Q318=Constants!$B$4,FALSE(),TRUE())))</f>
        <v/>
      </c>
      <c r="AS318" s="135" t="str">
        <f aca="false">IF(ISBLANK($C318),"",IF(R318=Constants!$B$3,TRUE(),IF(R318=Constants!$B$4,FALSE(),TRUE())))</f>
        <v/>
      </c>
      <c r="AT318" s="135" t="str">
        <f aca="false">IF(ISBLANK($C318),"",IF(S318=Constants!$B$5,TRUE(),IF(S318=Constants!$B$6,FALSE(),COUNTA(T318:X318)&gt;0)))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IF(ISBLANK($C318),"",IF(V318=Constants!$B$3,TRUE(),IF(V318=Constants!$B$4,FALSE(),TRUE())))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IF(ISBLANK($C318),"",IF(X318=Constants!$B$3,TRUE(),IF(X318=Constants!$B$4,FALSE(),FALSE())))</f>
        <v/>
      </c>
      <c r="AZ318" s="135" t="str">
        <f aca="false">IF(ISBLANK($C318),"",MIN(Constants!$B$31,MAX(0,IF(ISNUMBER(Y318),Y318*60,0)+IF(ISNUMBER(Z318),Z318,0))))</f>
        <v/>
      </c>
      <c r="BA318" s="135" t="str">
        <f aca="false">IF(ISBLANK($C318),"",IF(AA318=Constants!$B$3,TRUE(),IF(AA318=Constants!$B$4,FALSE(),FALSE())))</f>
        <v/>
      </c>
      <c r="BB318" s="134" t="str">
        <f aca="false">IF(ISBLANK($C318),"",AND($AL318,OR($AM318="",$AN318="",AND($AO318,$AP318=""))))</f>
        <v/>
      </c>
      <c r="BC318" s="137" t="str">
        <f aca="false">IF($BZ318&lt;&gt;Constants!$B$8,"",IF($AL318,Constants!$B$21*$AN318+Constants!$B$22*IF($AO318,$AP318,Constants!$B$23),Constants!$B$24))</f>
        <v/>
      </c>
      <c r="BD318" s="138" t="str">
        <f aca="false">IF($BZ318&lt;&gt;Constants!$B$8,"",Constants!$B$25*ABS($AD$9-IF($AL318,$AM318,0)))</f>
        <v/>
      </c>
      <c r="BE318" s="138" t="str">
        <f aca="false">IF($BZ318&lt;&gt;Constants!$B$8,"",IF(AND($AL318,$AQ318,$AO318),Constants!$B$27,0))</f>
        <v/>
      </c>
      <c r="BF318" s="138" t="str">
        <f aca="false">IF($BZ318&lt;&gt;Constants!$B$8,"",IF($AL318,($AI318-Constants!$B$29)*Constants!$B$28,0))</f>
        <v/>
      </c>
      <c r="BG318" s="138" t="str">
        <f aca="false">IF($BZ318&lt;&gt;Constants!$B$8,"",IF($AK318,0,Constants!$B$15)+IF($AJ318,0,Constants!$B$16)+IF($AH318,0,Constants!$B$17))</f>
        <v/>
      </c>
      <c r="BH318" s="139" t="str">
        <f aca="false">IF($BZ318&lt;&gt;Constants!$B$8,"",Constants!$B$20+SUM($BC318:$BG318))</f>
        <v/>
      </c>
      <c r="BI318" s="138" t="str">
        <f aca="false">IF($BZ318&lt;&gt;Constants!$B$8,"",$BC318)</f>
        <v/>
      </c>
      <c r="BJ318" s="138" t="str">
        <f aca="false">IF($BZ318&lt;&gt;Constants!$B$8,"",$BD318)</f>
        <v/>
      </c>
      <c r="BK318" s="138" t="str">
        <f aca="false">IF($BZ318&lt;&gt;Constants!$B$8,"",IF($AL318,$AN318,""))</f>
        <v/>
      </c>
      <c r="BL318" s="140" t="str">
        <f aca="false">IF($BZ318&lt;&gt;Constants!$B$8,"",$AI318)</f>
        <v/>
      </c>
      <c r="BM318" s="135" t="str">
        <f aca="false">IF($BZ318&lt;&gt;Constants!$B$8,"",IF(OR($BT318&lt;$BH318,AND($BT318=$BH318,OR($BU318&lt;$BI318,AND($BU318=$BI318,OR($BV318&lt;$BJ318,AND($BV318=$BJ318,OR(AND(ISNUMBER($BW318),OR(NOT(ISNUMBER($BK318)),$BW318&lt;$BK318)),AND(OR(AND($BW318="",$BK318=""),AND(ISNUMBER($BW318),ISNUMBER($BK318),$BW318=$BK318)),$BX318&lt;$BL318)))))))),"-&gt;","&lt;-"))</f>
        <v/>
      </c>
      <c r="BN318" s="134" t="str">
        <f aca="false">IF(ISBLANK($C318),"",AND($AT318,OR($AU318="",$AV318="",AND($AW318,$AX318=""))))</f>
        <v/>
      </c>
      <c r="BO318" s="137" t="str">
        <f aca="false">IF($BZ318&lt;&gt;Constants!$B$8,"",IF($AT318,Constants!$B$21*$AV318+Constants!$B$22*IF($AW318,$AX318,Constants!$B$23),Constants!$B$24))</f>
        <v/>
      </c>
      <c r="BP318" s="138" t="str">
        <f aca="false">IF($BZ318&lt;&gt;Constants!$B$8,"",Constants!$B$25*ABS($AD$9-IF($AT318,$AU318,0)))</f>
        <v/>
      </c>
      <c r="BQ318" s="138" t="str">
        <f aca="false">IF($BZ318&lt;&gt;Constants!$B$8,"",IF(AND($AT318,$AY318,$AW318),Constants!$B$27,0))</f>
        <v/>
      </c>
      <c r="BR318" s="138" t="str">
        <f aca="false">IF($BZ318&lt;&gt;Constants!$B$8,"",IF($AT318,($AI318-Constants!$B$29)*Constants!$B$28,0))</f>
        <v/>
      </c>
      <c r="BS318" s="138" t="str">
        <f aca="false">IF($BZ318&lt;&gt;Constants!$B$8,"",IF($AS318,0,Constants!$B$15)+IF($AR318,0,Constants!$B$16)+IF($AH318,0,Constants!$B$17))</f>
        <v/>
      </c>
      <c r="BT318" s="139" t="str">
        <f aca="false">IF($BZ318&lt;&gt;Constants!$B$8,"",Constants!$B$20+SUM($BO318:$BS318))</f>
        <v/>
      </c>
      <c r="BU318" s="138" t="str">
        <f aca="false">IF($BZ318&lt;&gt;Constants!$B$8,"",$BO318)</f>
        <v/>
      </c>
      <c r="BV318" s="138" t="str">
        <f aca="false">IF($BZ318&lt;&gt;Constants!$B$8,"",$BP318)</f>
        <v/>
      </c>
      <c r="BW318" s="138" t="str">
        <f aca="false">IF($BZ318&lt;&gt;Constants!$B$8,"",IF($AT318,$AV318,""))</f>
        <v/>
      </c>
      <c r="BX318" s="140" t="str">
        <f aca="false">IF($BZ318&lt;&gt;Constants!$B$8,"",$AI318)</f>
        <v/>
      </c>
      <c r="BY318" s="135" t="str">
        <f aca="false">IF(ISBLANK($C318),"",IF(ISBLANK($D$7),$BY$5,IF(NOT(ISNUMBER($D$7)),$BY$6,"")))</f>
        <v/>
      </c>
      <c r="BZ318" s="135" t="str">
        <f aca="false">IF(ISBLANK($C318),"",IF($BA318,Constants!$B$11,IF(COUNTA($E318:$AA318)=0,Constants!$B$10,IF(NOT($AG318),Constants!$B$9,IF(OR($BY318&lt;&gt;"",$BB318,$BN318),Constants!$B$12,Constants!$B$8)))))</f>
        <v/>
      </c>
      <c r="CA318" s="135" t="str">
        <f aca="false">IF(ISBLANK($C318),"",IF($BZ318&lt;&gt;Constants!$B$8,$BZ318,Constants!$B$13))</f>
        <v/>
      </c>
      <c r="CB318" s="138" t="str">
        <f aca="false">IF($BZ318&lt;&gt;Constants!$B$8,"",IF($BM318="-&gt;",$BT318,$BH318))</f>
        <v/>
      </c>
      <c r="CC318" s="138" t="str">
        <f aca="false">IF($BZ318&lt;&gt;Constants!$B$8,"",IF($AF318,0,Constants!$B$18))</f>
        <v/>
      </c>
      <c r="CD318" s="138" t="str">
        <f aca="false">IF($BZ318&lt;&gt;Constants!$B$8,"",((Constants!$B$31-$AZ318)-Constants!$B$31)/Constants!$B$32)</f>
        <v/>
      </c>
      <c r="CE318" s="138" t="str">
        <f aca="false">IF(ISBLANK($C318),"",IF($BZ318&lt;&gt;Constants!$B$8,$BZ318,SUM($CB318:$CD318)))</f>
        <v/>
      </c>
      <c r="CF318" s="135" t="str">
        <f aca="false">IF(ISBLANK($C318),"",IF($BZ318&lt;&gt;Constants!$B$8,$BZ318,RANK($CE318,$CE$9:$CE$508,1)))</f>
        <v/>
      </c>
      <c r="CG318" s="138" t="str">
        <f aca="false">IF($BZ318&lt;&gt;Constants!$B$8,"",IF($BM318="-&gt;",$BU318,$BI318))</f>
        <v/>
      </c>
      <c r="CH318" s="135" t="str">
        <f aca="false">IF(ISBLANK($C318),"",IF($BZ318&lt;&gt;Constants!$B$8,$BZ318,IF(ISNUMBER($CG318),RANK($CG318,$CG$9:$CG$508,1),COUNT($CG$9:$CG$508)+1)))</f>
        <v/>
      </c>
      <c r="CI318" s="138" t="str">
        <f aca="false">IF($BZ318&lt;&gt;Constants!$B$8,"",IF($BM318="-&gt;",$BV318,$BJ318))</f>
        <v/>
      </c>
      <c r="CJ318" s="135" t="str">
        <f aca="false">IF(ISBLANK($C318),"",IF($BZ318&lt;&gt;Constants!$B$8,$BZ318,IF(ISNUMBER($CI318),RANK($CI318,$CI$9:$CI$508,1),COUNT($CI$9:$CI$508)+1)))</f>
        <v/>
      </c>
      <c r="CK318" s="138" t="str">
        <f aca="false">IF($BZ318&lt;&gt;Constants!$B$8,"",IF($BM318="-&gt;",$BW318,$BK318))</f>
        <v/>
      </c>
      <c r="CL318" s="135" t="str">
        <f aca="false">IF(ISBLANK($C318),"",IF($BZ318&lt;&gt;Constants!$B$8,$BZ318,IF(ISNUMBER($CK318),RANK($CK318,$CK$9:$CK$508,1),COUNT($CK$9:$CK$508)+1)))</f>
        <v/>
      </c>
      <c r="CM318" s="138" t="str">
        <f aca="false">IF($BZ318&lt;&gt;Constants!$B$8,"",IF(AND(NOT($AL318),NOT($AT318),$AJ318,$AK318,$AR318,$AS318),"",IF($BM318="-&gt;",$BX318,$BL318)))</f>
        <v/>
      </c>
      <c r="CN318" s="135" t="str">
        <f aca="false">IF(ISBLANK($C318),"",IF($BZ318&lt;&gt;Constants!$B$8,$BZ318,IF(ISNUMBER($CM318),RANK($CM318,$CM$9:$CM$508,1),COUNT($CM$9:$CM$508)+1)))</f>
        <v/>
      </c>
      <c r="CO318" s="135" t="str">
        <f aca="false">IF(ISBLANK($C318),"",IF($BZ318&lt;&gt;Constants!$B$8,$BZ318,COUNTIFS($CF$9:$CF$508,"&lt;"&amp;$CF318)+COUNTIFS($CF$9:$CF$508,$CF318,$CH$9:$CH$508,"&lt;"&amp;$CH318)+COUNTIFS($CF$9:$CF$508,$CF318,$CH$9:$CH$508,$CH318,$CJ$9:$CJ$508,"&lt;"&amp;$CJ318)+COUNTIFS($CF$9:$CF$508,$CF318,$CH$9:$CH$508,$CH318,$CJ$9:$CJ$508,$CJ318,$CL$9:$CL$508,"&lt;"&amp;$CL318)+COUNTIFS($CF$9:$CF$508,$CF318,$CH$9:$CH$508,$CH318,$CJ$9:$CJ$508,$CJ318,$CL$9:$CL$508,$CL318,$CN$9:$CN$508,"&lt;"&amp;$CN318)+1))</f>
        <v/>
      </c>
      <c r="CP318" s="135" t="str">
        <f aca="false">IF(ISBLANK($C318),"",IF($BZ318&lt;&gt;Constants!$B$8,$BZ318,$CF318-$CO318))</f>
        <v/>
      </c>
      <c r="CQ318" s="141"/>
      <c r="CR318" s="142"/>
      <c r="CS318" s="143" t="str">
        <f aca="false">IF(ISBLANK($C318),"",IF($BZ318=Constants!$B$12,$BY318,""))</f>
        <v/>
      </c>
      <c r="CT318" s="142" t="str">
        <f aca="false">IF(ISBLANK($C318),"",IF($BZ318&lt;&gt;Constants!$B$8,"",IF($BM318="-&gt;",2,1)))</f>
        <v/>
      </c>
      <c r="CU318" s="144" t="str">
        <f aca="false">IF(ISBLANK($C318),"",IF($BZ318&lt;&gt;Constants!$B$8,"",IF($BM318="-&gt;",$BO318,$BC318)))</f>
        <v/>
      </c>
      <c r="CV318" s="144" t="str">
        <f aca="false">IF(ISBLANK($C318),"",IF($BZ318&lt;&gt;Constants!$B$8,"",IF($BM318="-&gt;",$BP318,$BD318)))</f>
        <v/>
      </c>
      <c r="CW318" s="144" t="str">
        <f aca="false">IF(ISBLANK($C318),"",IF($BZ318&lt;&gt;Constants!$B$8,"",IF($BM318="-&gt;",$BQ318+$BR318,$BE318+$BF318)+$CD318))</f>
        <v/>
      </c>
      <c r="CX318" s="144" t="str">
        <f aca="false">IF(ISBLANK($C318),"",IF($BZ318&lt;&gt;Constants!$B$8,"",IF($BM318="-&gt;",$BS318,$BG318)+$CC318))</f>
        <v/>
      </c>
      <c r="CY318" s="145" t="str">
        <f aca="false">IF(ISBLANK($C318),"",IF($BZ318&lt;&gt;Constants!$B$8,$BZ318,$CE318))</f>
        <v/>
      </c>
      <c r="CZ318" s="146" t="str">
        <f aca="false">IF(ISBLANK($C318),"",$CA318)</f>
        <v/>
      </c>
      <c r="DA318" s="147" t="str">
        <f aca="false">IF(ISBLANK($C318),"",$CP318)</f>
        <v/>
      </c>
      <c r="DB318" s="147" t="str">
        <f aca="false">IF(ISBLANK($C318),"",$CO318)</f>
        <v/>
      </c>
      <c r="DC318" s="148" t="str">
        <f aca="false">IF(ISBLANK($C318),"",IFERROR(_xlfn.SWITCH($DB318,Constants!$B$11,COUNTA($C$9:$C$508)+2,Constants!$B$10,COUNTA($C$9:$C$508)+1,Constants!$B$9,COUNTA($C$9:$C$508)),$DB318))</f>
        <v/>
      </c>
      <c r="DD318" s="9"/>
      <c r="DE318" s="149" t="n">
        <f aca="false">IF(OR(ISNUMBER($DB318),$DB318=Constants!$B$11,$DB318=Constants!$B$9,$DB318=Constants!$B$10),1,0)</f>
        <v>0</v>
      </c>
      <c r="DF318" s="149" t="n">
        <v>310</v>
      </c>
      <c r="DG318" s="149" t="str">
        <f aca="false">IF(ISBLANK($C318),"",IF(ISNUMBER($DC318),$DC318+ROW($B318)/1000,""))</f>
        <v/>
      </c>
      <c r="DH318" s="149" t="str">
        <f aca="false">IF(ISNUMBER($DG318),RANK($DG318,$DG$9:$DG$508,1),"")</f>
        <v/>
      </c>
      <c r="DI318" s="149" t="str">
        <f aca="false">IF(ISBLANK($C318),"",$B318)</f>
        <v/>
      </c>
      <c r="DJ318" s="149" t="str">
        <f aca="false">IF(ISBLANK($C318),"",$C318)</f>
        <v/>
      </c>
      <c r="DK318" s="149" t="str">
        <f aca="false">IF(ISBLANK($C318),"",$D318)</f>
        <v/>
      </c>
      <c r="DL318" s="150" t="str">
        <f aca="false">$CZ318</f>
        <v/>
      </c>
      <c r="DM318" s="151" t="str">
        <f aca="false">$CY318</f>
        <v/>
      </c>
      <c r="DN318" s="149" t="str">
        <f aca="false">IF(ISBLANK($C318),"",$DB318)</f>
        <v/>
      </c>
      <c r="DO318" s="152" t="str">
        <f aca="false">IF($DF318&gt;$DE$8,"",VLOOKUP($DF318,$DH$9:$DN$508,7,FALSE()))</f>
        <v/>
      </c>
      <c r="DP318" s="153" t="str">
        <f aca="false">IF($DF318&gt;$DE$8,"",VLOOKUP($DF318,$DH$9:$DN$508,2,FALSE()))</f>
        <v/>
      </c>
      <c r="DQ318" s="153" t="str">
        <f aca="false">IF($DF318&gt;$DE$8,"",VLOOKUP($DF318,$DH$9:$DN$508,3,FALSE()))</f>
        <v/>
      </c>
      <c r="DR318" s="153" t="str">
        <f aca="false">IF($DF318&gt;$DE$8,"",VLOOKUP($DF318,$DH$9:$DN$508,4,FALSE()))</f>
        <v/>
      </c>
      <c r="DS318" s="153" t="str">
        <f aca="false">IF($DF318&gt;$DE$8,"",VLOOKUP($DF318,$DH$9:$DN$508,5,FALSE()))</f>
        <v/>
      </c>
      <c r="DT318" s="154" t="str">
        <f aca="false">IF($DF318&gt;$DE$8,"",VLOOKUP($DF318,$DH$9:$DN$508,6,FALSE()))</f>
        <v/>
      </c>
      <c r="DU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IF(ISBLANK($C319),"",IF(E319=Constants!$B$3,TRUE(),IF(E319=Constants!$B$4,FALSE(),TRUE())))</f>
        <v/>
      </c>
      <c r="AG319" s="135" t="str">
        <f aca="false">IF(ISBLANK($C319),"",IF(F319=Constants!$B$3,TRUE(),IF(F319=Constants!$B$4,FALSE(),TRUE())))</f>
        <v/>
      </c>
      <c r="AH319" s="135" t="str">
        <f aca="false">IF(ISBLANK($C319),"",IF(G319=Constants!$B$3,TRUE(),IF(G319=Constants!$B$4,FALSE(),TRUE())))</f>
        <v/>
      </c>
      <c r="AI319" s="135" t="str">
        <f aca="false">IF(ISBLANK($C319),"",IF(AND(ISNUMBER(H319),H319&gt;=0),H319,Constants!$B$29))</f>
        <v/>
      </c>
      <c r="AJ319" s="135" t="str">
        <f aca="false">IF(ISBLANK($C319),"",IF(I319=Constants!$B$3,TRUE(),IF(I319=Constants!$B$4,FALSE(),TRUE())))</f>
        <v/>
      </c>
      <c r="AK319" s="135" t="str">
        <f aca="false">IF(ISBLANK($C319),"",IF(J319=Constants!$B$3,TRUE(),IF(J319=Constants!$B$4,FALSE(),TRUE())))</f>
        <v/>
      </c>
      <c r="AL319" s="135" t="str">
        <f aca="false">IF(ISBLANK($C319),"",IF(K319=Constants!$B$5,TRUE(),IF(K319=Constants!$B$6,FALSE(),COUNTA(L319:P319)&gt;0)))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IF(ISBLANK($C319),"",IF(N319=Constants!$B$3,TRUE(),IF(N319=Constants!$B$4,FALSE(),TRUE())))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IF(ISBLANK($C319),"",IF(P319=Constants!$B$3,TRUE(),IF(P319=Constants!$B$4,FALSE(),FALSE())))</f>
        <v/>
      </c>
      <c r="AR319" s="135" t="str">
        <f aca="false">IF(ISBLANK($C319),"",IF(Q319=Constants!$B$3,TRUE(),IF(Q319=Constants!$B$4,FALSE(),TRUE())))</f>
        <v/>
      </c>
      <c r="AS319" s="135" t="str">
        <f aca="false">IF(ISBLANK($C319),"",IF(R319=Constants!$B$3,TRUE(),IF(R319=Constants!$B$4,FALSE(),TRUE())))</f>
        <v/>
      </c>
      <c r="AT319" s="135" t="str">
        <f aca="false">IF(ISBLANK($C319),"",IF(S319=Constants!$B$5,TRUE(),IF(S319=Constants!$B$6,FALSE(),COUNTA(T319:X319)&gt;0)))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IF(ISBLANK($C319),"",IF(V319=Constants!$B$3,TRUE(),IF(V319=Constants!$B$4,FALSE(),TRUE())))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IF(ISBLANK($C319),"",IF(X319=Constants!$B$3,TRUE(),IF(X319=Constants!$B$4,FALSE(),FALSE())))</f>
        <v/>
      </c>
      <c r="AZ319" s="135" t="str">
        <f aca="false">IF(ISBLANK($C319),"",MIN(Constants!$B$31,MAX(0,IF(ISNUMBER(Y319),Y319*60,0)+IF(ISNUMBER(Z319),Z319,0))))</f>
        <v/>
      </c>
      <c r="BA319" s="135" t="str">
        <f aca="false">IF(ISBLANK($C319),"",IF(AA319=Constants!$B$3,TRUE(),IF(AA319=Constants!$B$4,FALSE(),FALSE())))</f>
        <v/>
      </c>
      <c r="BB319" s="134" t="str">
        <f aca="false">IF(ISBLANK($C319),"",AND($AL319,OR($AM319="",$AN319="",AND($AO319,$AP319=""))))</f>
        <v/>
      </c>
      <c r="BC319" s="137" t="str">
        <f aca="false">IF($BZ319&lt;&gt;Constants!$B$8,"",IF($AL319,Constants!$B$21*$AN319+Constants!$B$22*IF($AO319,$AP319,Constants!$B$23),Constants!$B$24))</f>
        <v/>
      </c>
      <c r="BD319" s="138" t="str">
        <f aca="false">IF($BZ319&lt;&gt;Constants!$B$8,"",Constants!$B$25*ABS($AD$9-IF($AL319,$AM319,0)))</f>
        <v/>
      </c>
      <c r="BE319" s="138" t="str">
        <f aca="false">IF($BZ319&lt;&gt;Constants!$B$8,"",IF(AND($AL319,$AQ319,$AO319),Constants!$B$27,0))</f>
        <v/>
      </c>
      <c r="BF319" s="138" t="str">
        <f aca="false">IF($BZ319&lt;&gt;Constants!$B$8,"",IF($AL319,($AI319-Constants!$B$29)*Constants!$B$28,0))</f>
        <v/>
      </c>
      <c r="BG319" s="138" t="str">
        <f aca="false">IF($BZ319&lt;&gt;Constants!$B$8,"",IF($AK319,0,Constants!$B$15)+IF($AJ319,0,Constants!$B$16)+IF($AH319,0,Constants!$B$17))</f>
        <v/>
      </c>
      <c r="BH319" s="139" t="str">
        <f aca="false">IF($BZ319&lt;&gt;Constants!$B$8,"",Constants!$B$20+SUM($BC319:$BG319))</f>
        <v/>
      </c>
      <c r="BI319" s="138" t="str">
        <f aca="false">IF($BZ319&lt;&gt;Constants!$B$8,"",$BC319)</f>
        <v/>
      </c>
      <c r="BJ319" s="138" t="str">
        <f aca="false">IF($BZ319&lt;&gt;Constants!$B$8,"",$BD319)</f>
        <v/>
      </c>
      <c r="BK319" s="138" t="str">
        <f aca="false">IF($BZ319&lt;&gt;Constants!$B$8,"",IF($AL319,$AN319,""))</f>
        <v/>
      </c>
      <c r="BL319" s="140" t="str">
        <f aca="false">IF($BZ319&lt;&gt;Constants!$B$8,"",$AI319)</f>
        <v/>
      </c>
      <c r="BM319" s="135" t="str">
        <f aca="false">IF($BZ319&lt;&gt;Constants!$B$8,"",IF(OR($BT319&lt;$BH319,AND($BT319=$BH319,OR($BU319&lt;$BI319,AND($BU319=$BI319,OR($BV319&lt;$BJ319,AND($BV319=$BJ319,OR(AND(ISNUMBER($BW319),OR(NOT(ISNUMBER($BK319)),$BW319&lt;$BK319)),AND(OR(AND($BW319="",$BK319=""),AND(ISNUMBER($BW319),ISNUMBER($BK319),$BW319=$BK319)),$BX319&lt;$BL319)))))))),"-&gt;","&lt;-"))</f>
        <v/>
      </c>
      <c r="BN319" s="134" t="str">
        <f aca="false">IF(ISBLANK($C319),"",AND($AT319,OR($AU319="",$AV319="",AND($AW319,$AX319=""))))</f>
        <v/>
      </c>
      <c r="BO319" s="137" t="str">
        <f aca="false">IF($BZ319&lt;&gt;Constants!$B$8,"",IF($AT319,Constants!$B$21*$AV319+Constants!$B$22*IF($AW319,$AX319,Constants!$B$23),Constants!$B$24))</f>
        <v/>
      </c>
      <c r="BP319" s="138" t="str">
        <f aca="false">IF($BZ319&lt;&gt;Constants!$B$8,"",Constants!$B$25*ABS($AD$9-IF($AT319,$AU319,0)))</f>
        <v/>
      </c>
      <c r="BQ319" s="138" t="str">
        <f aca="false">IF($BZ319&lt;&gt;Constants!$B$8,"",IF(AND($AT319,$AY319,$AW319),Constants!$B$27,0))</f>
        <v/>
      </c>
      <c r="BR319" s="138" t="str">
        <f aca="false">IF($BZ319&lt;&gt;Constants!$B$8,"",IF($AT319,($AI319-Constants!$B$29)*Constants!$B$28,0))</f>
        <v/>
      </c>
      <c r="BS319" s="138" t="str">
        <f aca="false">IF($BZ319&lt;&gt;Constants!$B$8,"",IF($AS319,0,Constants!$B$15)+IF($AR319,0,Constants!$B$16)+IF($AH319,0,Constants!$B$17))</f>
        <v/>
      </c>
      <c r="BT319" s="139" t="str">
        <f aca="false">IF($BZ319&lt;&gt;Constants!$B$8,"",Constants!$B$20+SUM($BO319:$BS319))</f>
        <v/>
      </c>
      <c r="BU319" s="138" t="str">
        <f aca="false">IF($BZ319&lt;&gt;Constants!$B$8,"",$BO319)</f>
        <v/>
      </c>
      <c r="BV319" s="138" t="str">
        <f aca="false">IF($BZ319&lt;&gt;Constants!$B$8,"",$BP319)</f>
        <v/>
      </c>
      <c r="BW319" s="138" t="str">
        <f aca="false">IF($BZ319&lt;&gt;Constants!$B$8,"",IF($AT319,$AV319,""))</f>
        <v/>
      </c>
      <c r="BX319" s="140" t="str">
        <f aca="false">IF($BZ319&lt;&gt;Constants!$B$8,"",$AI319)</f>
        <v/>
      </c>
      <c r="BY319" s="135" t="str">
        <f aca="false">IF(ISBLANK($C319),"",IF(ISBLANK($D$7),$BY$5,IF(NOT(ISNUMBER($D$7)),$BY$6,"")))</f>
        <v/>
      </c>
      <c r="BZ319" s="135" t="str">
        <f aca="false">IF(ISBLANK($C319),"",IF($BA319,Constants!$B$11,IF(COUNTA($E319:$AA319)=0,Constants!$B$10,IF(NOT($AG319),Constants!$B$9,IF(OR($BY319&lt;&gt;"",$BB319,$BN319),Constants!$B$12,Constants!$B$8)))))</f>
        <v/>
      </c>
      <c r="CA319" s="135" t="str">
        <f aca="false">IF(ISBLANK($C319),"",IF($BZ319&lt;&gt;Constants!$B$8,$BZ319,Constants!$B$13))</f>
        <v/>
      </c>
      <c r="CB319" s="138" t="str">
        <f aca="false">IF($BZ319&lt;&gt;Constants!$B$8,"",IF($BM319="-&gt;",$BT319,$BH319))</f>
        <v/>
      </c>
      <c r="CC319" s="138" t="str">
        <f aca="false">IF($BZ319&lt;&gt;Constants!$B$8,"",IF($AF319,0,Constants!$B$18))</f>
        <v/>
      </c>
      <c r="CD319" s="138" t="str">
        <f aca="false">IF($BZ319&lt;&gt;Constants!$B$8,"",((Constants!$B$31-$AZ319)-Constants!$B$31)/Constants!$B$32)</f>
        <v/>
      </c>
      <c r="CE319" s="138" t="str">
        <f aca="false">IF(ISBLANK($C319),"",IF($BZ319&lt;&gt;Constants!$B$8,$BZ319,SUM($CB319:$CD319)))</f>
        <v/>
      </c>
      <c r="CF319" s="135" t="str">
        <f aca="false">IF(ISBLANK($C319),"",IF($BZ319&lt;&gt;Constants!$B$8,$BZ319,RANK($CE319,$CE$9:$CE$508,1)))</f>
        <v/>
      </c>
      <c r="CG319" s="138" t="str">
        <f aca="false">IF($BZ319&lt;&gt;Constants!$B$8,"",IF($BM319="-&gt;",$BU319,$BI319))</f>
        <v/>
      </c>
      <c r="CH319" s="135" t="str">
        <f aca="false">IF(ISBLANK($C319),"",IF($BZ319&lt;&gt;Constants!$B$8,$BZ319,IF(ISNUMBER($CG319),RANK($CG319,$CG$9:$CG$508,1),COUNT($CG$9:$CG$508)+1)))</f>
        <v/>
      </c>
      <c r="CI319" s="138" t="str">
        <f aca="false">IF($BZ319&lt;&gt;Constants!$B$8,"",IF($BM319="-&gt;",$BV319,$BJ319))</f>
        <v/>
      </c>
      <c r="CJ319" s="135" t="str">
        <f aca="false">IF(ISBLANK($C319),"",IF($BZ319&lt;&gt;Constants!$B$8,$BZ319,IF(ISNUMBER($CI319),RANK($CI319,$CI$9:$CI$508,1),COUNT($CI$9:$CI$508)+1)))</f>
        <v/>
      </c>
      <c r="CK319" s="138" t="str">
        <f aca="false">IF($BZ319&lt;&gt;Constants!$B$8,"",IF($BM319="-&gt;",$BW319,$BK319))</f>
        <v/>
      </c>
      <c r="CL319" s="135" t="str">
        <f aca="false">IF(ISBLANK($C319),"",IF($BZ319&lt;&gt;Constants!$B$8,$BZ319,IF(ISNUMBER($CK319),RANK($CK319,$CK$9:$CK$508,1),COUNT($CK$9:$CK$508)+1)))</f>
        <v/>
      </c>
      <c r="CM319" s="138" t="str">
        <f aca="false">IF($BZ319&lt;&gt;Constants!$B$8,"",IF(AND(NOT($AL319),NOT($AT319),$AJ319,$AK319,$AR319,$AS319),"",IF($BM319="-&gt;",$BX319,$BL319)))</f>
        <v/>
      </c>
      <c r="CN319" s="135" t="str">
        <f aca="false">IF(ISBLANK($C319),"",IF($BZ319&lt;&gt;Constants!$B$8,$BZ319,IF(ISNUMBER($CM319),RANK($CM319,$CM$9:$CM$508,1),COUNT($CM$9:$CM$508)+1)))</f>
        <v/>
      </c>
      <c r="CO319" s="135" t="str">
        <f aca="false">IF(ISBLANK($C319),"",IF($BZ319&lt;&gt;Constants!$B$8,$BZ319,COUNTIFS($CF$9:$CF$508,"&lt;"&amp;$CF319)+COUNTIFS($CF$9:$CF$508,$CF319,$CH$9:$CH$508,"&lt;"&amp;$CH319)+COUNTIFS($CF$9:$CF$508,$CF319,$CH$9:$CH$508,$CH319,$CJ$9:$CJ$508,"&lt;"&amp;$CJ319)+COUNTIFS($CF$9:$CF$508,$CF319,$CH$9:$CH$508,$CH319,$CJ$9:$CJ$508,$CJ319,$CL$9:$CL$508,"&lt;"&amp;$CL319)+COUNTIFS($CF$9:$CF$508,$CF319,$CH$9:$CH$508,$CH319,$CJ$9:$CJ$508,$CJ319,$CL$9:$CL$508,$CL319,$CN$9:$CN$508,"&lt;"&amp;$CN319)+1))</f>
        <v/>
      </c>
      <c r="CP319" s="135" t="str">
        <f aca="false">IF(ISBLANK($C319),"",IF($BZ319&lt;&gt;Constants!$B$8,$BZ319,$CF319-$CO319))</f>
        <v/>
      </c>
      <c r="CQ319" s="141"/>
      <c r="CR319" s="142"/>
      <c r="CS319" s="143" t="str">
        <f aca="false">IF(ISBLANK($C319),"",IF($BZ319=Constants!$B$12,$BY319,""))</f>
        <v/>
      </c>
      <c r="CT319" s="142" t="str">
        <f aca="false">IF(ISBLANK($C319),"",IF($BZ319&lt;&gt;Constants!$B$8,"",IF($BM319="-&gt;",2,1)))</f>
        <v/>
      </c>
      <c r="CU319" s="144" t="str">
        <f aca="false">IF(ISBLANK($C319),"",IF($BZ319&lt;&gt;Constants!$B$8,"",IF($BM319="-&gt;",$BO319,$BC319)))</f>
        <v/>
      </c>
      <c r="CV319" s="144" t="str">
        <f aca="false">IF(ISBLANK($C319),"",IF($BZ319&lt;&gt;Constants!$B$8,"",IF($BM319="-&gt;",$BP319,$BD319)))</f>
        <v/>
      </c>
      <c r="CW319" s="144" t="str">
        <f aca="false">IF(ISBLANK($C319),"",IF($BZ319&lt;&gt;Constants!$B$8,"",IF($BM319="-&gt;",$BQ319+$BR319,$BE319+$BF319)+$CD319))</f>
        <v/>
      </c>
      <c r="CX319" s="144" t="str">
        <f aca="false">IF(ISBLANK($C319),"",IF($BZ319&lt;&gt;Constants!$B$8,"",IF($BM319="-&gt;",$BS319,$BG319)+$CC319))</f>
        <v/>
      </c>
      <c r="CY319" s="145" t="str">
        <f aca="false">IF(ISBLANK($C319),"",IF($BZ319&lt;&gt;Constants!$B$8,$BZ319,$CE319))</f>
        <v/>
      </c>
      <c r="CZ319" s="146" t="str">
        <f aca="false">IF(ISBLANK($C319),"",$CA319)</f>
        <v/>
      </c>
      <c r="DA319" s="147" t="str">
        <f aca="false">IF(ISBLANK($C319),"",$CP319)</f>
        <v/>
      </c>
      <c r="DB319" s="147" t="str">
        <f aca="false">IF(ISBLANK($C319),"",$CO319)</f>
        <v/>
      </c>
      <c r="DC319" s="148" t="str">
        <f aca="false">IF(ISBLANK($C319),"",IFERROR(_xlfn.SWITCH($DB319,Constants!$B$11,COUNTA($C$9:$C$508)+2,Constants!$B$10,COUNTA($C$9:$C$508)+1,Constants!$B$9,COUNTA($C$9:$C$508)),$DB319))</f>
        <v/>
      </c>
      <c r="DD319" s="9"/>
      <c r="DE319" s="149" t="n">
        <f aca="false">IF(OR(ISNUMBER($DB319),$DB319=Constants!$B$11,$DB319=Constants!$B$9,$DB319=Constants!$B$10),1,0)</f>
        <v>0</v>
      </c>
      <c r="DF319" s="149" t="n">
        <v>311</v>
      </c>
      <c r="DG319" s="149" t="str">
        <f aca="false">IF(ISBLANK($C319),"",IF(ISNUMBER($DC319),$DC319+ROW($B319)/1000,""))</f>
        <v/>
      </c>
      <c r="DH319" s="149" t="str">
        <f aca="false">IF(ISNUMBER($DG319),RANK($DG319,$DG$9:$DG$508,1),"")</f>
        <v/>
      </c>
      <c r="DI319" s="149" t="str">
        <f aca="false">IF(ISBLANK($C319),"",$B319)</f>
        <v/>
      </c>
      <c r="DJ319" s="149" t="str">
        <f aca="false">IF(ISBLANK($C319),"",$C319)</f>
        <v/>
      </c>
      <c r="DK319" s="149" t="str">
        <f aca="false">IF(ISBLANK($C319),"",$D319)</f>
        <v/>
      </c>
      <c r="DL319" s="150" t="str">
        <f aca="false">$CZ319</f>
        <v/>
      </c>
      <c r="DM319" s="151" t="str">
        <f aca="false">$CY319</f>
        <v/>
      </c>
      <c r="DN319" s="149" t="str">
        <f aca="false">IF(ISBLANK($C319),"",$DB319)</f>
        <v/>
      </c>
      <c r="DO319" s="152" t="str">
        <f aca="false">IF($DF319&gt;$DE$8,"",VLOOKUP($DF319,$DH$9:$DN$508,7,FALSE()))</f>
        <v/>
      </c>
      <c r="DP319" s="153" t="str">
        <f aca="false">IF($DF319&gt;$DE$8,"",VLOOKUP($DF319,$DH$9:$DN$508,2,FALSE()))</f>
        <v/>
      </c>
      <c r="DQ319" s="153" t="str">
        <f aca="false">IF($DF319&gt;$DE$8,"",VLOOKUP($DF319,$DH$9:$DN$508,3,FALSE()))</f>
        <v/>
      </c>
      <c r="DR319" s="153" t="str">
        <f aca="false">IF($DF319&gt;$DE$8,"",VLOOKUP($DF319,$DH$9:$DN$508,4,FALSE()))</f>
        <v/>
      </c>
      <c r="DS319" s="153" t="str">
        <f aca="false">IF($DF319&gt;$DE$8,"",VLOOKUP($DF319,$DH$9:$DN$508,5,FALSE()))</f>
        <v/>
      </c>
      <c r="DT319" s="154" t="str">
        <f aca="false">IF($DF319&gt;$DE$8,"",VLOOKUP($DF319,$DH$9:$DN$508,6,FALSE()))</f>
        <v/>
      </c>
      <c r="DU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IF(ISBLANK($C320),"",IF(E320=Constants!$B$3,TRUE(),IF(E320=Constants!$B$4,FALSE(),TRUE())))</f>
        <v/>
      </c>
      <c r="AG320" s="135" t="str">
        <f aca="false">IF(ISBLANK($C320),"",IF(F320=Constants!$B$3,TRUE(),IF(F320=Constants!$B$4,FALSE(),TRUE())))</f>
        <v/>
      </c>
      <c r="AH320" s="135" t="str">
        <f aca="false">IF(ISBLANK($C320),"",IF(G320=Constants!$B$3,TRUE(),IF(G320=Constants!$B$4,FALSE(),TRUE())))</f>
        <v/>
      </c>
      <c r="AI320" s="135" t="str">
        <f aca="false">IF(ISBLANK($C320),"",IF(AND(ISNUMBER(H320),H320&gt;=0),H320,Constants!$B$29))</f>
        <v/>
      </c>
      <c r="AJ320" s="135" t="str">
        <f aca="false">IF(ISBLANK($C320),"",IF(I320=Constants!$B$3,TRUE(),IF(I320=Constants!$B$4,FALSE(),TRUE())))</f>
        <v/>
      </c>
      <c r="AK320" s="135" t="str">
        <f aca="false">IF(ISBLANK($C320),"",IF(J320=Constants!$B$3,TRUE(),IF(J320=Constants!$B$4,FALSE(),TRUE())))</f>
        <v/>
      </c>
      <c r="AL320" s="135" t="str">
        <f aca="false">IF(ISBLANK($C320),"",IF(K320=Constants!$B$5,TRUE(),IF(K320=Constants!$B$6,FALSE(),COUNTA(L320:P320)&gt;0)))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IF(ISBLANK($C320),"",IF(N320=Constants!$B$3,TRUE(),IF(N320=Constants!$B$4,FALSE(),TRUE())))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IF(ISBLANK($C320),"",IF(P320=Constants!$B$3,TRUE(),IF(P320=Constants!$B$4,FALSE(),FALSE())))</f>
        <v/>
      </c>
      <c r="AR320" s="135" t="str">
        <f aca="false">IF(ISBLANK($C320),"",IF(Q320=Constants!$B$3,TRUE(),IF(Q320=Constants!$B$4,FALSE(),TRUE())))</f>
        <v/>
      </c>
      <c r="AS320" s="135" t="str">
        <f aca="false">IF(ISBLANK($C320),"",IF(R320=Constants!$B$3,TRUE(),IF(R320=Constants!$B$4,FALSE(),TRUE())))</f>
        <v/>
      </c>
      <c r="AT320" s="135" t="str">
        <f aca="false">IF(ISBLANK($C320),"",IF(S320=Constants!$B$5,TRUE(),IF(S320=Constants!$B$6,FALSE(),COUNTA(T320:X320)&gt;0)))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IF(ISBLANK($C320),"",IF(V320=Constants!$B$3,TRUE(),IF(V320=Constants!$B$4,FALSE(),TRUE())))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IF(ISBLANK($C320),"",IF(X320=Constants!$B$3,TRUE(),IF(X320=Constants!$B$4,FALSE(),FALSE())))</f>
        <v/>
      </c>
      <c r="AZ320" s="135" t="str">
        <f aca="false">IF(ISBLANK($C320),"",MIN(Constants!$B$31,MAX(0,IF(ISNUMBER(Y320),Y320*60,0)+IF(ISNUMBER(Z320),Z320,0))))</f>
        <v/>
      </c>
      <c r="BA320" s="135" t="str">
        <f aca="false">IF(ISBLANK($C320),"",IF(AA320=Constants!$B$3,TRUE(),IF(AA320=Constants!$B$4,FALSE(),FALSE())))</f>
        <v/>
      </c>
      <c r="BB320" s="134" t="str">
        <f aca="false">IF(ISBLANK($C320),"",AND($AL320,OR($AM320="",$AN320="",AND($AO320,$AP320=""))))</f>
        <v/>
      </c>
      <c r="BC320" s="137" t="str">
        <f aca="false">IF($BZ320&lt;&gt;Constants!$B$8,"",IF($AL320,Constants!$B$21*$AN320+Constants!$B$22*IF($AO320,$AP320,Constants!$B$23),Constants!$B$24))</f>
        <v/>
      </c>
      <c r="BD320" s="138" t="str">
        <f aca="false">IF($BZ320&lt;&gt;Constants!$B$8,"",Constants!$B$25*ABS($AD$9-IF($AL320,$AM320,0)))</f>
        <v/>
      </c>
      <c r="BE320" s="138" t="str">
        <f aca="false">IF($BZ320&lt;&gt;Constants!$B$8,"",IF(AND($AL320,$AQ320,$AO320),Constants!$B$27,0))</f>
        <v/>
      </c>
      <c r="BF320" s="138" t="str">
        <f aca="false">IF($BZ320&lt;&gt;Constants!$B$8,"",IF($AL320,($AI320-Constants!$B$29)*Constants!$B$28,0))</f>
        <v/>
      </c>
      <c r="BG320" s="138" t="str">
        <f aca="false">IF($BZ320&lt;&gt;Constants!$B$8,"",IF($AK320,0,Constants!$B$15)+IF($AJ320,0,Constants!$B$16)+IF($AH320,0,Constants!$B$17))</f>
        <v/>
      </c>
      <c r="BH320" s="139" t="str">
        <f aca="false">IF($BZ320&lt;&gt;Constants!$B$8,"",Constants!$B$20+SUM($BC320:$BG320))</f>
        <v/>
      </c>
      <c r="BI320" s="138" t="str">
        <f aca="false">IF($BZ320&lt;&gt;Constants!$B$8,"",$BC320)</f>
        <v/>
      </c>
      <c r="BJ320" s="138" t="str">
        <f aca="false">IF($BZ320&lt;&gt;Constants!$B$8,"",$BD320)</f>
        <v/>
      </c>
      <c r="BK320" s="138" t="str">
        <f aca="false">IF($BZ320&lt;&gt;Constants!$B$8,"",IF($AL320,$AN320,""))</f>
        <v/>
      </c>
      <c r="BL320" s="140" t="str">
        <f aca="false">IF($BZ320&lt;&gt;Constants!$B$8,"",$AI320)</f>
        <v/>
      </c>
      <c r="BM320" s="135" t="str">
        <f aca="false">IF($BZ320&lt;&gt;Constants!$B$8,"",IF(OR($BT320&lt;$BH320,AND($BT320=$BH320,OR($BU320&lt;$BI320,AND($BU320=$BI320,OR($BV320&lt;$BJ320,AND($BV320=$BJ320,OR(AND(ISNUMBER($BW320),OR(NOT(ISNUMBER($BK320)),$BW320&lt;$BK320)),AND(OR(AND($BW320="",$BK320=""),AND(ISNUMBER($BW320),ISNUMBER($BK320),$BW320=$BK320)),$BX320&lt;$BL320)))))))),"-&gt;","&lt;-"))</f>
        <v/>
      </c>
      <c r="BN320" s="134" t="str">
        <f aca="false">IF(ISBLANK($C320),"",AND($AT320,OR($AU320="",$AV320="",AND($AW320,$AX320=""))))</f>
        <v/>
      </c>
      <c r="BO320" s="137" t="str">
        <f aca="false">IF($BZ320&lt;&gt;Constants!$B$8,"",IF($AT320,Constants!$B$21*$AV320+Constants!$B$22*IF($AW320,$AX320,Constants!$B$23),Constants!$B$24))</f>
        <v/>
      </c>
      <c r="BP320" s="138" t="str">
        <f aca="false">IF($BZ320&lt;&gt;Constants!$B$8,"",Constants!$B$25*ABS($AD$9-IF($AT320,$AU320,0)))</f>
        <v/>
      </c>
      <c r="BQ320" s="138" t="str">
        <f aca="false">IF($BZ320&lt;&gt;Constants!$B$8,"",IF(AND($AT320,$AY320,$AW320),Constants!$B$27,0))</f>
        <v/>
      </c>
      <c r="BR320" s="138" t="str">
        <f aca="false">IF($BZ320&lt;&gt;Constants!$B$8,"",IF($AT320,($AI320-Constants!$B$29)*Constants!$B$28,0))</f>
        <v/>
      </c>
      <c r="BS320" s="138" t="str">
        <f aca="false">IF($BZ320&lt;&gt;Constants!$B$8,"",IF($AS320,0,Constants!$B$15)+IF($AR320,0,Constants!$B$16)+IF($AH320,0,Constants!$B$17))</f>
        <v/>
      </c>
      <c r="BT320" s="139" t="str">
        <f aca="false">IF($BZ320&lt;&gt;Constants!$B$8,"",Constants!$B$20+SUM($BO320:$BS320))</f>
        <v/>
      </c>
      <c r="BU320" s="138" t="str">
        <f aca="false">IF($BZ320&lt;&gt;Constants!$B$8,"",$BO320)</f>
        <v/>
      </c>
      <c r="BV320" s="138" t="str">
        <f aca="false">IF($BZ320&lt;&gt;Constants!$B$8,"",$BP320)</f>
        <v/>
      </c>
      <c r="BW320" s="138" t="str">
        <f aca="false">IF($BZ320&lt;&gt;Constants!$B$8,"",IF($AT320,$AV320,""))</f>
        <v/>
      </c>
      <c r="BX320" s="140" t="str">
        <f aca="false">IF($BZ320&lt;&gt;Constants!$B$8,"",$AI320)</f>
        <v/>
      </c>
      <c r="BY320" s="135" t="str">
        <f aca="false">IF(ISBLANK($C320),"",IF(ISBLANK($D$7),$BY$5,IF(NOT(ISNUMBER($D$7)),$BY$6,"")))</f>
        <v/>
      </c>
      <c r="BZ320" s="135" t="str">
        <f aca="false">IF(ISBLANK($C320),"",IF($BA320,Constants!$B$11,IF(COUNTA($E320:$AA320)=0,Constants!$B$10,IF(NOT($AG320),Constants!$B$9,IF(OR($BY320&lt;&gt;"",$BB320,$BN320),Constants!$B$12,Constants!$B$8)))))</f>
        <v/>
      </c>
      <c r="CA320" s="135" t="str">
        <f aca="false">IF(ISBLANK($C320),"",IF($BZ320&lt;&gt;Constants!$B$8,$BZ320,Constants!$B$13))</f>
        <v/>
      </c>
      <c r="CB320" s="138" t="str">
        <f aca="false">IF($BZ320&lt;&gt;Constants!$B$8,"",IF($BM320="-&gt;",$BT320,$BH320))</f>
        <v/>
      </c>
      <c r="CC320" s="138" t="str">
        <f aca="false">IF($BZ320&lt;&gt;Constants!$B$8,"",IF($AF320,0,Constants!$B$18))</f>
        <v/>
      </c>
      <c r="CD320" s="138" t="str">
        <f aca="false">IF($BZ320&lt;&gt;Constants!$B$8,"",((Constants!$B$31-$AZ320)-Constants!$B$31)/Constants!$B$32)</f>
        <v/>
      </c>
      <c r="CE320" s="138" t="str">
        <f aca="false">IF(ISBLANK($C320),"",IF($BZ320&lt;&gt;Constants!$B$8,$BZ320,SUM($CB320:$CD320)))</f>
        <v/>
      </c>
      <c r="CF320" s="135" t="str">
        <f aca="false">IF(ISBLANK($C320),"",IF($BZ320&lt;&gt;Constants!$B$8,$BZ320,RANK($CE320,$CE$9:$CE$508,1)))</f>
        <v/>
      </c>
      <c r="CG320" s="138" t="str">
        <f aca="false">IF($BZ320&lt;&gt;Constants!$B$8,"",IF($BM320="-&gt;",$BU320,$BI320))</f>
        <v/>
      </c>
      <c r="CH320" s="135" t="str">
        <f aca="false">IF(ISBLANK($C320),"",IF($BZ320&lt;&gt;Constants!$B$8,$BZ320,IF(ISNUMBER($CG320),RANK($CG320,$CG$9:$CG$508,1),COUNT($CG$9:$CG$508)+1)))</f>
        <v/>
      </c>
      <c r="CI320" s="138" t="str">
        <f aca="false">IF($BZ320&lt;&gt;Constants!$B$8,"",IF($BM320="-&gt;",$BV320,$BJ320))</f>
        <v/>
      </c>
      <c r="CJ320" s="135" t="str">
        <f aca="false">IF(ISBLANK($C320),"",IF($BZ320&lt;&gt;Constants!$B$8,$BZ320,IF(ISNUMBER($CI320),RANK($CI320,$CI$9:$CI$508,1),COUNT($CI$9:$CI$508)+1)))</f>
        <v/>
      </c>
      <c r="CK320" s="138" t="str">
        <f aca="false">IF($BZ320&lt;&gt;Constants!$B$8,"",IF($BM320="-&gt;",$BW320,$BK320))</f>
        <v/>
      </c>
      <c r="CL320" s="135" t="str">
        <f aca="false">IF(ISBLANK($C320),"",IF($BZ320&lt;&gt;Constants!$B$8,$BZ320,IF(ISNUMBER($CK320),RANK($CK320,$CK$9:$CK$508,1),COUNT($CK$9:$CK$508)+1)))</f>
        <v/>
      </c>
      <c r="CM320" s="138" t="str">
        <f aca="false">IF($BZ320&lt;&gt;Constants!$B$8,"",IF(AND(NOT($AL320),NOT($AT320),$AJ320,$AK320,$AR320,$AS320),"",IF($BM320="-&gt;",$BX320,$BL320)))</f>
        <v/>
      </c>
      <c r="CN320" s="135" t="str">
        <f aca="false">IF(ISBLANK($C320),"",IF($BZ320&lt;&gt;Constants!$B$8,$BZ320,IF(ISNUMBER($CM320),RANK($CM320,$CM$9:$CM$508,1),COUNT($CM$9:$CM$508)+1)))</f>
        <v/>
      </c>
      <c r="CO320" s="135" t="str">
        <f aca="false">IF(ISBLANK($C320),"",IF($BZ320&lt;&gt;Constants!$B$8,$BZ320,COUNTIFS($CF$9:$CF$508,"&lt;"&amp;$CF320)+COUNTIFS($CF$9:$CF$508,$CF320,$CH$9:$CH$508,"&lt;"&amp;$CH320)+COUNTIFS($CF$9:$CF$508,$CF320,$CH$9:$CH$508,$CH320,$CJ$9:$CJ$508,"&lt;"&amp;$CJ320)+COUNTIFS($CF$9:$CF$508,$CF320,$CH$9:$CH$508,$CH320,$CJ$9:$CJ$508,$CJ320,$CL$9:$CL$508,"&lt;"&amp;$CL320)+COUNTIFS($CF$9:$CF$508,$CF320,$CH$9:$CH$508,$CH320,$CJ$9:$CJ$508,$CJ320,$CL$9:$CL$508,$CL320,$CN$9:$CN$508,"&lt;"&amp;$CN320)+1))</f>
        <v/>
      </c>
      <c r="CP320" s="135" t="str">
        <f aca="false">IF(ISBLANK($C320),"",IF($BZ320&lt;&gt;Constants!$B$8,$BZ320,$CF320-$CO320))</f>
        <v/>
      </c>
      <c r="CQ320" s="141"/>
      <c r="CR320" s="142"/>
      <c r="CS320" s="143" t="str">
        <f aca="false">IF(ISBLANK($C320),"",IF($BZ320=Constants!$B$12,$BY320,""))</f>
        <v/>
      </c>
      <c r="CT320" s="142" t="str">
        <f aca="false">IF(ISBLANK($C320),"",IF($BZ320&lt;&gt;Constants!$B$8,"",IF($BM320="-&gt;",2,1)))</f>
        <v/>
      </c>
      <c r="CU320" s="144" t="str">
        <f aca="false">IF(ISBLANK($C320),"",IF($BZ320&lt;&gt;Constants!$B$8,"",IF($BM320="-&gt;",$BO320,$BC320)))</f>
        <v/>
      </c>
      <c r="CV320" s="144" t="str">
        <f aca="false">IF(ISBLANK($C320),"",IF($BZ320&lt;&gt;Constants!$B$8,"",IF($BM320="-&gt;",$BP320,$BD320)))</f>
        <v/>
      </c>
      <c r="CW320" s="144" t="str">
        <f aca="false">IF(ISBLANK($C320),"",IF($BZ320&lt;&gt;Constants!$B$8,"",IF($BM320="-&gt;",$BQ320+$BR320,$BE320+$BF320)+$CD320))</f>
        <v/>
      </c>
      <c r="CX320" s="144" t="str">
        <f aca="false">IF(ISBLANK($C320),"",IF($BZ320&lt;&gt;Constants!$B$8,"",IF($BM320="-&gt;",$BS320,$BG320)+$CC320))</f>
        <v/>
      </c>
      <c r="CY320" s="145" t="str">
        <f aca="false">IF(ISBLANK($C320),"",IF($BZ320&lt;&gt;Constants!$B$8,$BZ320,$CE320))</f>
        <v/>
      </c>
      <c r="CZ320" s="146" t="str">
        <f aca="false">IF(ISBLANK($C320),"",$CA320)</f>
        <v/>
      </c>
      <c r="DA320" s="147" t="str">
        <f aca="false">IF(ISBLANK($C320),"",$CP320)</f>
        <v/>
      </c>
      <c r="DB320" s="147" t="str">
        <f aca="false">IF(ISBLANK($C320),"",$CO320)</f>
        <v/>
      </c>
      <c r="DC320" s="148" t="str">
        <f aca="false">IF(ISBLANK($C320),"",IFERROR(_xlfn.SWITCH($DB320,Constants!$B$11,COUNTA($C$9:$C$508)+2,Constants!$B$10,COUNTA($C$9:$C$508)+1,Constants!$B$9,COUNTA($C$9:$C$508)),$DB320))</f>
        <v/>
      </c>
      <c r="DD320" s="9"/>
      <c r="DE320" s="149" t="n">
        <f aca="false">IF(OR(ISNUMBER($DB320),$DB320=Constants!$B$11,$DB320=Constants!$B$9,$DB320=Constants!$B$10),1,0)</f>
        <v>0</v>
      </c>
      <c r="DF320" s="149" t="n">
        <v>312</v>
      </c>
      <c r="DG320" s="149" t="str">
        <f aca="false">IF(ISBLANK($C320),"",IF(ISNUMBER($DC320),$DC320+ROW($B320)/1000,""))</f>
        <v/>
      </c>
      <c r="DH320" s="149" t="str">
        <f aca="false">IF(ISNUMBER($DG320),RANK($DG320,$DG$9:$DG$508,1),"")</f>
        <v/>
      </c>
      <c r="DI320" s="149" t="str">
        <f aca="false">IF(ISBLANK($C320),"",$B320)</f>
        <v/>
      </c>
      <c r="DJ320" s="149" t="str">
        <f aca="false">IF(ISBLANK($C320),"",$C320)</f>
        <v/>
      </c>
      <c r="DK320" s="149" t="str">
        <f aca="false">IF(ISBLANK($C320),"",$D320)</f>
        <v/>
      </c>
      <c r="DL320" s="150" t="str">
        <f aca="false">$CZ320</f>
        <v/>
      </c>
      <c r="DM320" s="151" t="str">
        <f aca="false">$CY320</f>
        <v/>
      </c>
      <c r="DN320" s="149" t="str">
        <f aca="false">IF(ISBLANK($C320),"",$DB320)</f>
        <v/>
      </c>
      <c r="DO320" s="152" t="str">
        <f aca="false">IF($DF320&gt;$DE$8,"",VLOOKUP($DF320,$DH$9:$DN$508,7,FALSE()))</f>
        <v/>
      </c>
      <c r="DP320" s="153" t="str">
        <f aca="false">IF($DF320&gt;$DE$8,"",VLOOKUP($DF320,$DH$9:$DN$508,2,FALSE()))</f>
        <v/>
      </c>
      <c r="DQ320" s="153" t="str">
        <f aca="false">IF($DF320&gt;$DE$8,"",VLOOKUP($DF320,$DH$9:$DN$508,3,FALSE()))</f>
        <v/>
      </c>
      <c r="DR320" s="153" t="str">
        <f aca="false">IF($DF320&gt;$DE$8,"",VLOOKUP($DF320,$DH$9:$DN$508,4,FALSE()))</f>
        <v/>
      </c>
      <c r="DS320" s="153" t="str">
        <f aca="false">IF($DF320&gt;$DE$8,"",VLOOKUP($DF320,$DH$9:$DN$508,5,FALSE()))</f>
        <v/>
      </c>
      <c r="DT320" s="154" t="str">
        <f aca="false">IF($DF320&gt;$DE$8,"",VLOOKUP($DF320,$DH$9:$DN$508,6,FALSE()))</f>
        <v/>
      </c>
      <c r="DU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IF(ISBLANK($C321),"",IF(E321=Constants!$B$3,TRUE(),IF(E321=Constants!$B$4,FALSE(),TRUE())))</f>
        <v/>
      </c>
      <c r="AG321" s="93" t="str">
        <f aca="false">IF(ISBLANK($C321),"",IF(F321=Constants!$B$3,TRUE(),IF(F321=Constants!$B$4,FALSE(),TRUE())))</f>
        <v/>
      </c>
      <c r="AH321" s="93" t="str">
        <f aca="false">IF(ISBLANK($C321),"",IF(G321=Constants!$B$3,TRUE(),IF(G321=Constants!$B$4,FALSE(),TRUE())))</f>
        <v/>
      </c>
      <c r="AI321" s="93" t="str">
        <f aca="false">IF(ISBLANK($C321),"",IF(AND(ISNUMBER(H321),H321&gt;=0),H321,Constants!$B$29))</f>
        <v/>
      </c>
      <c r="AJ321" s="93" t="str">
        <f aca="false">IF(ISBLANK($C321),"",IF(I321=Constants!$B$3,TRUE(),IF(I321=Constants!$B$4,FALSE(),TRUE())))</f>
        <v/>
      </c>
      <c r="AK321" s="93" t="str">
        <f aca="false">IF(ISBLANK($C321),"",IF(J321=Constants!$B$3,TRUE(),IF(J321=Constants!$B$4,FALSE(),TRUE())))</f>
        <v/>
      </c>
      <c r="AL321" s="93" t="str">
        <f aca="false">IF(ISBLANK($C321),"",IF(K321=Constants!$B$5,TRUE(),IF(K321=Constants!$B$6,FALSE(),COUNTA(L321:P321)&gt;0)))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IF(ISBLANK($C321),"",IF(N321=Constants!$B$3,TRUE(),IF(N321=Constants!$B$4,FALSE(),TRUE())))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IF(ISBLANK($C321),"",IF(P321=Constants!$B$3,TRUE(),IF(P321=Constants!$B$4,FALSE(),FALSE())))</f>
        <v/>
      </c>
      <c r="AR321" s="93" t="str">
        <f aca="false">IF(ISBLANK($C321),"",IF(Q321=Constants!$B$3,TRUE(),IF(Q321=Constants!$B$4,FALSE(),TRUE())))</f>
        <v/>
      </c>
      <c r="AS321" s="93" t="str">
        <f aca="false">IF(ISBLANK($C321),"",IF(R321=Constants!$B$3,TRUE(),IF(R321=Constants!$B$4,FALSE(),TRUE())))</f>
        <v/>
      </c>
      <c r="AT321" s="93" t="str">
        <f aca="false">IF(ISBLANK($C321),"",IF(S321=Constants!$B$5,TRUE(),IF(S321=Constants!$B$6,FALSE(),COUNTA(T321:X321)&gt;0)))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IF(ISBLANK($C321),"",IF(V321=Constants!$B$3,TRUE(),IF(V321=Constants!$B$4,FALSE(),TRUE())))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IF(ISBLANK($C321),"",IF(X321=Constants!$B$3,TRUE(),IF(X321=Constants!$B$4,FALSE(),FALSE())))</f>
        <v/>
      </c>
      <c r="AZ321" s="93" t="str">
        <f aca="false">IF(ISBLANK($C321),"",MIN(Constants!$B$31,MAX(0,IF(ISNUMBER(Y321),Y321*60,0)+IF(ISNUMBER(Z321),Z321,0))))</f>
        <v/>
      </c>
      <c r="BA321" s="93" t="str">
        <f aca="false">IF(ISBLANK($C321),"",IF(AA321=Constants!$B$3,TRUE(),IF(AA321=Constants!$B$4,FALSE(),FALSE())))</f>
        <v/>
      </c>
      <c r="BB321" s="92" t="str">
        <f aca="false">IF(ISBLANK($C321),"",AND($AL321,OR($AM321="",$AN321="",AND($AO321,$AP321=""))))</f>
        <v/>
      </c>
      <c r="BC321" s="94" t="str">
        <f aca="false">IF($BZ321&lt;&gt;Constants!$B$8,"",IF($AL321,Constants!$B$21*$AN321+Constants!$B$22*IF($AO321,$AP321,Constants!$B$23),Constants!$B$24))</f>
        <v/>
      </c>
      <c r="BD321" s="97" t="str">
        <f aca="false">IF($BZ321&lt;&gt;Constants!$B$8,"",Constants!$B$25*ABS($AD$9-IF($AL321,$AM321,0)))</f>
        <v/>
      </c>
      <c r="BE321" s="97" t="str">
        <f aca="false">IF($BZ321&lt;&gt;Constants!$B$8,"",IF(AND($AL321,$AQ321,$AO321),Constants!$B$27,0))</f>
        <v/>
      </c>
      <c r="BF321" s="97" t="str">
        <f aca="false">IF($BZ321&lt;&gt;Constants!$B$8,"",IF($AL321,($AI321-Constants!$B$29)*Constants!$B$28,0))</f>
        <v/>
      </c>
      <c r="BG321" s="97" t="str">
        <f aca="false">IF($BZ321&lt;&gt;Constants!$B$8,"",IF($AK321,0,Constants!$B$15)+IF($AJ321,0,Constants!$B$16)+IF($AH321,0,Constants!$B$17))</f>
        <v/>
      </c>
      <c r="BH321" s="98" t="str">
        <f aca="false">IF($BZ321&lt;&gt;Constants!$B$8,"",Constants!$B$20+SUM($BC321:$BG321))</f>
        <v/>
      </c>
      <c r="BI321" s="97" t="str">
        <f aca="false">IF($BZ321&lt;&gt;Constants!$B$8,"",$BC321)</f>
        <v/>
      </c>
      <c r="BJ321" s="97" t="str">
        <f aca="false">IF($BZ321&lt;&gt;Constants!$B$8,"",$BD321)</f>
        <v/>
      </c>
      <c r="BK321" s="97" t="str">
        <f aca="false">IF($BZ321&lt;&gt;Constants!$B$8,"",IF($AL321,$AN321,""))</f>
        <v/>
      </c>
      <c r="BL321" s="99" t="str">
        <f aca="false">IF($BZ321&lt;&gt;Constants!$B$8,"",$AI321)</f>
        <v/>
      </c>
      <c r="BM321" s="93" t="str">
        <f aca="false">IF($BZ321&lt;&gt;Constants!$B$8,"",IF(OR($BT321&lt;$BH321,AND($BT321=$BH321,OR($BU321&lt;$BI321,AND($BU321=$BI321,OR($BV321&lt;$BJ321,AND($BV321=$BJ321,OR(AND(ISNUMBER($BW321),OR(NOT(ISNUMBER($BK321)),$BW321&lt;$BK321)),AND(OR(AND($BW321="",$BK321=""),AND(ISNUMBER($BW321),ISNUMBER($BK321),$BW321=$BK321)),$BX321&lt;$BL321)))))))),"-&gt;","&lt;-"))</f>
        <v/>
      </c>
      <c r="BN321" s="92" t="str">
        <f aca="false">IF(ISBLANK($C321),"",AND($AT321,OR($AU321="",$AV321="",AND($AW321,$AX321=""))))</f>
        <v/>
      </c>
      <c r="BO321" s="94" t="str">
        <f aca="false">IF($BZ321&lt;&gt;Constants!$B$8,"",IF($AT321,Constants!$B$21*$AV321+Constants!$B$22*IF($AW321,$AX321,Constants!$B$23),Constants!$B$24))</f>
        <v/>
      </c>
      <c r="BP321" s="97" t="str">
        <f aca="false">IF($BZ321&lt;&gt;Constants!$B$8,"",Constants!$B$25*ABS($AD$9-IF($AT321,$AU321,0)))</f>
        <v/>
      </c>
      <c r="BQ321" s="97" t="str">
        <f aca="false">IF($BZ321&lt;&gt;Constants!$B$8,"",IF(AND($AT321,$AY321,$AW321),Constants!$B$27,0))</f>
        <v/>
      </c>
      <c r="BR321" s="97" t="str">
        <f aca="false">IF($BZ321&lt;&gt;Constants!$B$8,"",IF($AT321,($AI321-Constants!$B$29)*Constants!$B$28,0))</f>
        <v/>
      </c>
      <c r="BS321" s="97" t="str">
        <f aca="false">IF($BZ321&lt;&gt;Constants!$B$8,"",IF($AS321,0,Constants!$B$15)+IF($AR321,0,Constants!$B$16)+IF($AH321,0,Constants!$B$17))</f>
        <v/>
      </c>
      <c r="BT321" s="98" t="str">
        <f aca="false">IF($BZ321&lt;&gt;Constants!$B$8,"",Constants!$B$20+SUM($BO321:$BS321))</f>
        <v/>
      </c>
      <c r="BU321" s="97" t="str">
        <f aca="false">IF($BZ321&lt;&gt;Constants!$B$8,"",$BO321)</f>
        <v/>
      </c>
      <c r="BV321" s="97" t="str">
        <f aca="false">IF($BZ321&lt;&gt;Constants!$B$8,"",$BP321)</f>
        <v/>
      </c>
      <c r="BW321" s="97" t="str">
        <f aca="false">IF($BZ321&lt;&gt;Constants!$B$8,"",IF($AT321,$AV321,""))</f>
        <v/>
      </c>
      <c r="BX321" s="99" t="str">
        <f aca="false">IF($BZ321&lt;&gt;Constants!$B$8,"",$AI321)</f>
        <v/>
      </c>
      <c r="BY321" s="93" t="str">
        <f aca="false">IF(ISBLANK($C321),"",IF(ISBLANK($D$7),$BY$5,IF(NOT(ISNUMBER($D$7)),$BY$6,"")))</f>
        <v/>
      </c>
      <c r="BZ321" s="93" t="str">
        <f aca="false">IF(ISBLANK($C321),"",IF($BA321,Constants!$B$11,IF(COUNTA($E321:$AA321)=0,Constants!$B$10,IF(NOT($AG321),Constants!$B$9,IF(OR($BY321&lt;&gt;"",$BB321,$BN321),Constants!$B$12,Constants!$B$8)))))</f>
        <v/>
      </c>
      <c r="CA321" s="93" t="str">
        <f aca="false">IF(ISBLANK($C321),"",IF($BZ321&lt;&gt;Constants!$B$8,$BZ321,Constants!$B$13))</f>
        <v/>
      </c>
      <c r="CB321" s="97" t="str">
        <f aca="false">IF($BZ321&lt;&gt;Constants!$B$8,"",IF($BM321="-&gt;",$BT321,$BH321))</f>
        <v/>
      </c>
      <c r="CC321" s="97" t="str">
        <f aca="false">IF($BZ321&lt;&gt;Constants!$B$8,"",IF($AF321,0,Constants!$B$18))</f>
        <v/>
      </c>
      <c r="CD321" s="97" t="str">
        <f aca="false">IF($BZ321&lt;&gt;Constants!$B$8,"",((Constants!$B$31-$AZ321)-Constants!$B$31)/Constants!$B$32)</f>
        <v/>
      </c>
      <c r="CE321" s="97" t="str">
        <f aca="false">IF(ISBLANK($C321),"",IF($BZ321&lt;&gt;Constants!$B$8,$BZ321,SUM($CB321:$CD321)))</f>
        <v/>
      </c>
      <c r="CF321" s="93" t="str">
        <f aca="false">IF(ISBLANK($C321),"",IF($BZ321&lt;&gt;Constants!$B$8,$BZ321,RANK($CE321,$CE$9:$CE$508,1)))</f>
        <v/>
      </c>
      <c r="CG321" s="97" t="str">
        <f aca="false">IF($BZ321&lt;&gt;Constants!$B$8,"",IF($BM321="-&gt;",$BU321,$BI321))</f>
        <v/>
      </c>
      <c r="CH321" s="93" t="str">
        <f aca="false">IF(ISBLANK($C321),"",IF($BZ321&lt;&gt;Constants!$B$8,$BZ321,IF(ISNUMBER($CG321),RANK($CG321,$CG$9:$CG$508,1),COUNT($CG$9:$CG$508)+1)))</f>
        <v/>
      </c>
      <c r="CI321" s="97" t="str">
        <f aca="false">IF($BZ321&lt;&gt;Constants!$B$8,"",IF($BM321="-&gt;",$BV321,$BJ321))</f>
        <v/>
      </c>
      <c r="CJ321" s="93" t="str">
        <f aca="false">IF(ISBLANK($C321),"",IF($BZ321&lt;&gt;Constants!$B$8,$BZ321,IF(ISNUMBER($CI321),RANK($CI321,$CI$9:$CI$508,1),COUNT($CI$9:$CI$508)+1)))</f>
        <v/>
      </c>
      <c r="CK321" s="97" t="str">
        <f aca="false">IF($BZ321&lt;&gt;Constants!$B$8,"",IF($BM321="-&gt;",$BW321,$BK321))</f>
        <v/>
      </c>
      <c r="CL321" s="93" t="str">
        <f aca="false">IF(ISBLANK($C321),"",IF($BZ321&lt;&gt;Constants!$B$8,$BZ321,IF(ISNUMBER($CK321),RANK($CK321,$CK$9:$CK$508,1),COUNT($CK$9:$CK$508)+1)))</f>
        <v/>
      </c>
      <c r="CM321" s="97" t="str">
        <f aca="false">IF($BZ321&lt;&gt;Constants!$B$8,"",IF(AND(NOT($AL321),NOT($AT321),$AJ321,$AK321,$AR321,$AS321),"",IF($BM321="-&gt;",$BX321,$BL321)))</f>
        <v/>
      </c>
      <c r="CN321" s="93" t="str">
        <f aca="false">IF(ISBLANK($C321),"",IF($BZ321&lt;&gt;Constants!$B$8,$BZ321,IF(ISNUMBER($CM321),RANK($CM321,$CM$9:$CM$508,1),COUNT($CM$9:$CM$508)+1)))</f>
        <v/>
      </c>
      <c r="CO321" s="93" t="str">
        <f aca="false">IF(ISBLANK($C321),"",IF($BZ321&lt;&gt;Constants!$B$8,$BZ321,COUNTIFS($CF$9:$CF$508,"&lt;"&amp;$CF321)+COUNTIFS($CF$9:$CF$508,$CF321,$CH$9:$CH$508,"&lt;"&amp;$CH321)+COUNTIFS($CF$9:$CF$508,$CF321,$CH$9:$CH$508,$CH321,$CJ$9:$CJ$508,"&lt;"&amp;$CJ321)+COUNTIFS($CF$9:$CF$508,$CF321,$CH$9:$CH$508,$CH321,$CJ$9:$CJ$508,$CJ321,$CL$9:$CL$508,"&lt;"&amp;$CL321)+COUNTIFS($CF$9:$CF$508,$CF321,$CH$9:$CH$508,$CH321,$CJ$9:$CJ$508,$CJ321,$CL$9:$CL$508,$CL321,$CN$9:$CN$508,"&lt;"&amp;$CN321)+1))</f>
        <v/>
      </c>
      <c r="CP321" s="93" t="str">
        <f aca="false">IF(ISBLANK($C321),"",IF($BZ321&lt;&gt;Constants!$B$8,$BZ321,$CF321-$CO321))</f>
        <v/>
      </c>
      <c r="CQ321" s="100"/>
      <c r="CR321" s="101"/>
      <c r="CS321" s="102" t="str">
        <f aca="false">IF(ISBLANK($C321),"",IF($BZ321=Constants!$B$12,$BY321,""))</f>
        <v/>
      </c>
      <c r="CT321" s="101" t="str">
        <f aca="false">IF(ISBLANK($C321),"",IF($BZ321&lt;&gt;Constants!$B$8,"",IF($BM321="-&gt;",2,1)))</f>
        <v/>
      </c>
      <c r="CU321" s="103" t="str">
        <f aca="false">IF(ISBLANK($C321),"",IF($BZ321&lt;&gt;Constants!$B$8,"",IF($BM321="-&gt;",$BO321,$BC321)))</f>
        <v/>
      </c>
      <c r="CV321" s="103" t="str">
        <f aca="false">IF(ISBLANK($C321),"",IF($BZ321&lt;&gt;Constants!$B$8,"",IF($BM321="-&gt;",$BP321,$BD321)))</f>
        <v/>
      </c>
      <c r="CW321" s="103" t="str">
        <f aca="false">IF(ISBLANK($C321),"",IF($BZ321&lt;&gt;Constants!$B$8,"",IF($BM321="-&gt;",$BQ321+$BR321,$BE321+$BF321)+$CD321))</f>
        <v/>
      </c>
      <c r="CX321" s="103" t="str">
        <f aca="false">IF(ISBLANK($C321),"",IF($BZ321&lt;&gt;Constants!$B$8,"",IF($BM321="-&gt;",$BS321,$BG321)+$CC321))</f>
        <v/>
      </c>
      <c r="CY321" s="104" t="str">
        <f aca="false">IF(ISBLANK($C321),"",IF($BZ321&lt;&gt;Constants!$B$8,$BZ321,$CE321))</f>
        <v/>
      </c>
      <c r="CZ321" s="105" t="str">
        <f aca="false">IF(ISBLANK($C321),"",$CA321)</f>
        <v/>
      </c>
      <c r="DA321" s="106" t="str">
        <f aca="false">IF(ISBLANK($C321),"",$CP321)</f>
        <v/>
      </c>
      <c r="DB321" s="106" t="str">
        <f aca="false">IF(ISBLANK($C321),"",$CO321)</f>
        <v/>
      </c>
      <c r="DC321" s="107" t="str">
        <f aca="false">IF(ISBLANK($C321),"",IFERROR(_xlfn.SWITCH($DB321,Constants!$B$11,COUNTA($C$9:$C$508)+2,Constants!$B$10,COUNTA($C$9:$C$508)+1,Constants!$B$9,COUNTA($C$9:$C$508)),$DB321))</f>
        <v/>
      </c>
      <c r="DD321" s="9"/>
      <c r="DE321" s="108" t="n">
        <f aca="false">IF(OR(ISNUMBER($DB321),$DB321=Constants!$B$11,$DB321=Constants!$B$9,$DB321=Constants!$B$10),1,0)</f>
        <v>0</v>
      </c>
      <c r="DF321" s="108" t="n">
        <v>313</v>
      </c>
      <c r="DG321" s="108" t="str">
        <f aca="false">IF(ISBLANK($C321),"",IF(ISNUMBER($DC321),$DC321+ROW($B321)/1000,""))</f>
        <v/>
      </c>
      <c r="DH321" s="108" t="str">
        <f aca="false">IF(ISNUMBER($DG321),RANK($DG321,$DG$9:$DG$508,1),"")</f>
        <v/>
      </c>
      <c r="DI321" s="108" t="str">
        <f aca="false">IF(ISBLANK($C321),"",$B321)</f>
        <v/>
      </c>
      <c r="DJ321" s="108" t="str">
        <f aca="false">IF(ISBLANK($C321),"",$C321)</f>
        <v/>
      </c>
      <c r="DK321" s="108" t="str">
        <f aca="false">IF(ISBLANK($C321),"",$D321)</f>
        <v/>
      </c>
      <c r="DL321" s="109" t="str">
        <f aca="false">$CZ321</f>
        <v/>
      </c>
      <c r="DM321" s="110" t="str">
        <f aca="false">$CY321</f>
        <v/>
      </c>
      <c r="DN321" s="108" t="str">
        <f aca="false">IF(ISBLANK($C321),"",$DB321)</f>
        <v/>
      </c>
      <c r="DO321" s="111" t="str">
        <f aca="false">IF($DF321&gt;$DE$8,"",VLOOKUP($DF321,$DH$9:$DN$508,7,FALSE()))</f>
        <v/>
      </c>
      <c r="DP321" s="112" t="str">
        <f aca="false">IF($DF321&gt;$DE$8,"",VLOOKUP($DF321,$DH$9:$DN$508,2,FALSE()))</f>
        <v/>
      </c>
      <c r="DQ321" s="112" t="str">
        <f aca="false">IF($DF321&gt;$DE$8,"",VLOOKUP($DF321,$DH$9:$DN$508,3,FALSE()))</f>
        <v/>
      </c>
      <c r="DR321" s="112" t="str">
        <f aca="false">IF($DF321&gt;$DE$8,"",VLOOKUP($DF321,$DH$9:$DN$508,4,FALSE()))</f>
        <v/>
      </c>
      <c r="DS321" s="112" t="str">
        <f aca="false">IF($DF321&gt;$DE$8,"",VLOOKUP($DF321,$DH$9:$DN$508,5,FALSE()))</f>
        <v/>
      </c>
      <c r="DT321" s="113" t="str">
        <f aca="false">IF($DF321&gt;$DE$8,"",VLOOKUP($DF321,$DH$9:$DN$508,6,FALSE()))</f>
        <v/>
      </c>
      <c r="DU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IF(ISBLANK($C322),"",IF(E322=Constants!$B$3,TRUE(),IF(E322=Constants!$B$4,FALSE(),TRUE())))</f>
        <v/>
      </c>
      <c r="AG322" s="93" t="str">
        <f aca="false">IF(ISBLANK($C322),"",IF(F322=Constants!$B$3,TRUE(),IF(F322=Constants!$B$4,FALSE(),TRUE())))</f>
        <v/>
      </c>
      <c r="AH322" s="93" t="str">
        <f aca="false">IF(ISBLANK($C322),"",IF(G322=Constants!$B$3,TRUE(),IF(G322=Constants!$B$4,FALSE(),TRUE())))</f>
        <v/>
      </c>
      <c r="AI322" s="93" t="str">
        <f aca="false">IF(ISBLANK($C322),"",IF(AND(ISNUMBER(H322),H322&gt;=0),H322,Constants!$B$29))</f>
        <v/>
      </c>
      <c r="AJ322" s="93" t="str">
        <f aca="false">IF(ISBLANK($C322),"",IF(I322=Constants!$B$3,TRUE(),IF(I322=Constants!$B$4,FALSE(),TRUE())))</f>
        <v/>
      </c>
      <c r="AK322" s="93" t="str">
        <f aca="false">IF(ISBLANK($C322),"",IF(J322=Constants!$B$3,TRUE(),IF(J322=Constants!$B$4,FALSE(),TRUE())))</f>
        <v/>
      </c>
      <c r="AL322" s="93" t="str">
        <f aca="false">IF(ISBLANK($C322),"",IF(K322=Constants!$B$5,TRUE(),IF(K322=Constants!$B$6,FALSE(),COUNTA(L322:P322)&gt;0)))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IF(ISBLANK($C322),"",IF(N322=Constants!$B$3,TRUE(),IF(N322=Constants!$B$4,FALSE(),TRUE())))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IF(ISBLANK($C322),"",IF(P322=Constants!$B$3,TRUE(),IF(P322=Constants!$B$4,FALSE(),FALSE())))</f>
        <v/>
      </c>
      <c r="AR322" s="93" t="str">
        <f aca="false">IF(ISBLANK($C322),"",IF(Q322=Constants!$B$3,TRUE(),IF(Q322=Constants!$B$4,FALSE(),TRUE())))</f>
        <v/>
      </c>
      <c r="AS322" s="93" t="str">
        <f aca="false">IF(ISBLANK($C322),"",IF(R322=Constants!$B$3,TRUE(),IF(R322=Constants!$B$4,FALSE(),TRUE())))</f>
        <v/>
      </c>
      <c r="AT322" s="93" t="str">
        <f aca="false">IF(ISBLANK($C322),"",IF(S322=Constants!$B$5,TRUE(),IF(S322=Constants!$B$6,FALSE(),COUNTA(T322:X322)&gt;0)))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IF(ISBLANK($C322),"",IF(V322=Constants!$B$3,TRUE(),IF(V322=Constants!$B$4,FALSE(),TRUE())))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IF(ISBLANK($C322),"",IF(X322=Constants!$B$3,TRUE(),IF(X322=Constants!$B$4,FALSE(),FALSE())))</f>
        <v/>
      </c>
      <c r="AZ322" s="93" t="str">
        <f aca="false">IF(ISBLANK($C322),"",MIN(Constants!$B$31,MAX(0,IF(ISNUMBER(Y322),Y322*60,0)+IF(ISNUMBER(Z322),Z322,0))))</f>
        <v/>
      </c>
      <c r="BA322" s="93" t="str">
        <f aca="false">IF(ISBLANK($C322),"",IF(AA322=Constants!$B$3,TRUE(),IF(AA322=Constants!$B$4,FALSE(),FALSE())))</f>
        <v/>
      </c>
      <c r="BB322" s="92" t="str">
        <f aca="false">IF(ISBLANK($C322),"",AND($AL322,OR($AM322="",$AN322="",AND($AO322,$AP322=""))))</f>
        <v/>
      </c>
      <c r="BC322" s="94" t="str">
        <f aca="false">IF($BZ322&lt;&gt;Constants!$B$8,"",IF($AL322,Constants!$B$21*$AN322+Constants!$B$22*IF($AO322,$AP322,Constants!$B$23),Constants!$B$24))</f>
        <v/>
      </c>
      <c r="BD322" s="97" t="str">
        <f aca="false">IF($BZ322&lt;&gt;Constants!$B$8,"",Constants!$B$25*ABS($AD$9-IF($AL322,$AM322,0)))</f>
        <v/>
      </c>
      <c r="BE322" s="97" t="str">
        <f aca="false">IF($BZ322&lt;&gt;Constants!$B$8,"",IF(AND($AL322,$AQ322,$AO322),Constants!$B$27,0))</f>
        <v/>
      </c>
      <c r="BF322" s="97" t="str">
        <f aca="false">IF($BZ322&lt;&gt;Constants!$B$8,"",IF($AL322,($AI322-Constants!$B$29)*Constants!$B$28,0))</f>
        <v/>
      </c>
      <c r="BG322" s="97" t="str">
        <f aca="false">IF($BZ322&lt;&gt;Constants!$B$8,"",IF($AK322,0,Constants!$B$15)+IF($AJ322,0,Constants!$B$16)+IF($AH322,0,Constants!$B$17))</f>
        <v/>
      </c>
      <c r="BH322" s="98" t="str">
        <f aca="false">IF($BZ322&lt;&gt;Constants!$B$8,"",Constants!$B$20+SUM($BC322:$BG322))</f>
        <v/>
      </c>
      <c r="BI322" s="97" t="str">
        <f aca="false">IF($BZ322&lt;&gt;Constants!$B$8,"",$BC322)</f>
        <v/>
      </c>
      <c r="BJ322" s="97" t="str">
        <f aca="false">IF($BZ322&lt;&gt;Constants!$B$8,"",$BD322)</f>
        <v/>
      </c>
      <c r="BK322" s="97" t="str">
        <f aca="false">IF($BZ322&lt;&gt;Constants!$B$8,"",IF($AL322,$AN322,""))</f>
        <v/>
      </c>
      <c r="BL322" s="99" t="str">
        <f aca="false">IF($BZ322&lt;&gt;Constants!$B$8,"",$AI322)</f>
        <v/>
      </c>
      <c r="BM322" s="93" t="str">
        <f aca="false">IF($BZ322&lt;&gt;Constants!$B$8,"",IF(OR($BT322&lt;$BH322,AND($BT322=$BH322,OR($BU322&lt;$BI322,AND($BU322=$BI322,OR($BV322&lt;$BJ322,AND($BV322=$BJ322,OR(AND(ISNUMBER($BW322),OR(NOT(ISNUMBER($BK322)),$BW322&lt;$BK322)),AND(OR(AND($BW322="",$BK322=""),AND(ISNUMBER($BW322),ISNUMBER($BK322),$BW322=$BK322)),$BX322&lt;$BL322)))))))),"-&gt;","&lt;-"))</f>
        <v/>
      </c>
      <c r="BN322" s="92" t="str">
        <f aca="false">IF(ISBLANK($C322),"",AND($AT322,OR($AU322="",$AV322="",AND($AW322,$AX322=""))))</f>
        <v/>
      </c>
      <c r="BO322" s="94" t="str">
        <f aca="false">IF($BZ322&lt;&gt;Constants!$B$8,"",IF($AT322,Constants!$B$21*$AV322+Constants!$B$22*IF($AW322,$AX322,Constants!$B$23),Constants!$B$24))</f>
        <v/>
      </c>
      <c r="BP322" s="97" t="str">
        <f aca="false">IF($BZ322&lt;&gt;Constants!$B$8,"",Constants!$B$25*ABS($AD$9-IF($AT322,$AU322,0)))</f>
        <v/>
      </c>
      <c r="BQ322" s="97" t="str">
        <f aca="false">IF($BZ322&lt;&gt;Constants!$B$8,"",IF(AND($AT322,$AY322,$AW322),Constants!$B$27,0))</f>
        <v/>
      </c>
      <c r="BR322" s="97" t="str">
        <f aca="false">IF($BZ322&lt;&gt;Constants!$B$8,"",IF($AT322,($AI322-Constants!$B$29)*Constants!$B$28,0))</f>
        <v/>
      </c>
      <c r="BS322" s="97" t="str">
        <f aca="false">IF($BZ322&lt;&gt;Constants!$B$8,"",IF($AS322,0,Constants!$B$15)+IF($AR322,0,Constants!$B$16)+IF($AH322,0,Constants!$B$17))</f>
        <v/>
      </c>
      <c r="BT322" s="98" t="str">
        <f aca="false">IF($BZ322&lt;&gt;Constants!$B$8,"",Constants!$B$20+SUM($BO322:$BS322))</f>
        <v/>
      </c>
      <c r="BU322" s="97" t="str">
        <f aca="false">IF($BZ322&lt;&gt;Constants!$B$8,"",$BO322)</f>
        <v/>
      </c>
      <c r="BV322" s="97" t="str">
        <f aca="false">IF($BZ322&lt;&gt;Constants!$B$8,"",$BP322)</f>
        <v/>
      </c>
      <c r="BW322" s="97" t="str">
        <f aca="false">IF($BZ322&lt;&gt;Constants!$B$8,"",IF($AT322,$AV322,""))</f>
        <v/>
      </c>
      <c r="BX322" s="99" t="str">
        <f aca="false">IF($BZ322&lt;&gt;Constants!$B$8,"",$AI322)</f>
        <v/>
      </c>
      <c r="BY322" s="93" t="str">
        <f aca="false">IF(ISBLANK($C322),"",IF(ISBLANK($D$7),$BY$5,IF(NOT(ISNUMBER($D$7)),$BY$6,"")))</f>
        <v/>
      </c>
      <c r="BZ322" s="93" t="str">
        <f aca="false">IF(ISBLANK($C322),"",IF($BA322,Constants!$B$11,IF(COUNTA($E322:$AA322)=0,Constants!$B$10,IF(NOT($AG322),Constants!$B$9,IF(OR($BY322&lt;&gt;"",$BB322,$BN322),Constants!$B$12,Constants!$B$8)))))</f>
        <v/>
      </c>
      <c r="CA322" s="93" t="str">
        <f aca="false">IF(ISBLANK($C322),"",IF($BZ322&lt;&gt;Constants!$B$8,$BZ322,Constants!$B$13))</f>
        <v/>
      </c>
      <c r="CB322" s="97" t="str">
        <f aca="false">IF($BZ322&lt;&gt;Constants!$B$8,"",IF($BM322="-&gt;",$BT322,$BH322))</f>
        <v/>
      </c>
      <c r="CC322" s="97" t="str">
        <f aca="false">IF($BZ322&lt;&gt;Constants!$B$8,"",IF($AF322,0,Constants!$B$18))</f>
        <v/>
      </c>
      <c r="CD322" s="97" t="str">
        <f aca="false">IF($BZ322&lt;&gt;Constants!$B$8,"",((Constants!$B$31-$AZ322)-Constants!$B$31)/Constants!$B$32)</f>
        <v/>
      </c>
      <c r="CE322" s="97" t="str">
        <f aca="false">IF(ISBLANK($C322),"",IF($BZ322&lt;&gt;Constants!$B$8,$BZ322,SUM($CB322:$CD322)))</f>
        <v/>
      </c>
      <c r="CF322" s="93" t="str">
        <f aca="false">IF(ISBLANK($C322),"",IF($BZ322&lt;&gt;Constants!$B$8,$BZ322,RANK($CE322,$CE$9:$CE$508,1)))</f>
        <v/>
      </c>
      <c r="CG322" s="97" t="str">
        <f aca="false">IF($BZ322&lt;&gt;Constants!$B$8,"",IF($BM322="-&gt;",$BU322,$BI322))</f>
        <v/>
      </c>
      <c r="CH322" s="93" t="str">
        <f aca="false">IF(ISBLANK($C322),"",IF($BZ322&lt;&gt;Constants!$B$8,$BZ322,IF(ISNUMBER($CG322),RANK($CG322,$CG$9:$CG$508,1),COUNT($CG$9:$CG$508)+1)))</f>
        <v/>
      </c>
      <c r="CI322" s="97" t="str">
        <f aca="false">IF($BZ322&lt;&gt;Constants!$B$8,"",IF($BM322="-&gt;",$BV322,$BJ322))</f>
        <v/>
      </c>
      <c r="CJ322" s="93" t="str">
        <f aca="false">IF(ISBLANK($C322),"",IF($BZ322&lt;&gt;Constants!$B$8,$BZ322,IF(ISNUMBER($CI322),RANK($CI322,$CI$9:$CI$508,1),COUNT($CI$9:$CI$508)+1)))</f>
        <v/>
      </c>
      <c r="CK322" s="97" t="str">
        <f aca="false">IF($BZ322&lt;&gt;Constants!$B$8,"",IF($BM322="-&gt;",$BW322,$BK322))</f>
        <v/>
      </c>
      <c r="CL322" s="93" t="str">
        <f aca="false">IF(ISBLANK($C322),"",IF($BZ322&lt;&gt;Constants!$B$8,$BZ322,IF(ISNUMBER($CK322),RANK($CK322,$CK$9:$CK$508,1),COUNT($CK$9:$CK$508)+1)))</f>
        <v/>
      </c>
      <c r="CM322" s="97" t="str">
        <f aca="false">IF($BZ322&lt;&gt;Constants!$B$8,"",IF(AND(NOT($AL322),NOT($AT322),$AJ322,$AK322,$AR322,$AS322),"",IF($BM322="-&gt;",$BX322,$BL322)))</f>
        <v/>
      </c>
      <c r="CN322" s="93" t="str">
        <f aca="false">IF(ISBLANK($C322),"",IF($BZ322&lt;&gt;Constants!$B$8,$BZ322,IF(ISNUMBER($CM322),RANK($CM322,$CM$9:$CM$508,1),COUNT($CM$9:$CM$508)+1)))</f>
        <v/>
      </c>
      <c r="CO322" s="93" t="str">
        <f aca="false">IF(ISBLANK($C322),"",IF($BZ322&lt;&gt;Constants!$B$8,$BZ322,COUNTIFS($CF$9:$CF$508,"&lt;"&amp;$CF322)+COUNTIFS($CF$9:$CF$508,$CF322,$CH$9:$CH$508,"&lt;"&amp;$CH322)+COUNTIFS($CF$9:$CF$508,$CF322,$CH$9:$CH$508,$CH322,$CJ$9:$CJ$508,"&lt;"&amp;$CJ322)+COUNTIFS($CF$9:$CF$508,$CF322,$CH$9:$CH$508,$CH322,$CJ$9:$CJ$508,$CJ322,$CL$9:$CL$508,"&lt;"&amp;$CL322)+COUNTIFS($CF$9:$CF$508,$CF322,$CH$9:$CH$508,$CH322,$CJ$9:$CJ$508,$CJ322,$CL$9:$CL$508,$CL322,$CN$9:$CN$508,"&lt;"&amp;$CN322)+1))</f>
        <v/>
      </c>
      <c r="CP322" s="93" t="str">
        <f aca="false">IF(ISBLANK($C322),"",IF($BZ322&lt;&gt;Constants!$B$8,$BZ322,$CF322-$CO322))</f>
        <v/>
      </c>
      <c r="CQ322" s="100"/>
      <c r="CR322" s="101"/>
      <c r="CS322" s="102" t="str">
        <f aca="false">IF(ISBLANK($C322),"",IF($BZ322=Constants!$B$12,$BY322,""))</f>
        <v/>
      </c>
      <c r="CT322" s="101" t="str">
        <f aca="false">IF(ISBLANK($C322),"",IF($BZ322&lt;&gt;Constants!$B$8,"",IF($BM322="-&gt;",2,1)))</f>
        <v/>
      </c>
      <c r="CU322" s="103" t="str">
        <f aca="false">IF(ISBLANK($C322),"",IF($BZ322&lt;&gt;Constants!$B$8,"",IF($BM322="-&gt;",$BO322,$BC322)))</f>
        <v/>
      </c>
      <c r="CV322" s="103" t="str">
        <f aca="false">IF(ISBLANK($C322),"",IF($BZ322&lt;&gt;Constants!$B$8,"",IF($BM322="-&gt;",$BP322,$BD322)))</f>
        <v/>
      </c>
      <c r="CW322" s="103" t="str">
        <f aca="false">IF(ISBLANK($C322),"",IF($BZ322&lt;&gt;Constants!$B$8,"",IF($BM322="-&gt;",$BQ322+$BR322,$BE322+$BF322)+$CD322))</f>
        <v/>
      </c>
      <c r="CX322" s="103" t="str">
        <f aca="false">IF(ISBLANK($C322),"",IF($BZ322&lt;&gt;Constants!$B$8,"",IF($BM322="-&gt;",$BS322,$BG322)+$CC322))</f>
        <v/>
      </c>
      <c r="CY322" s="104" t="str">
        <f aca="false">IF(ISBLANK($C322),"",IF($BZ322&lt;&gt;Constants!$B$8,$BZ322,$CE322))</f>
        <v/>
      </c>
      <c r="CZ322" s="105" t="str">
        <f aca="false">IF(ISBLANK($C322),"",$CA322)</f>
        <v/>
      </c>
      <c r="DA322" s="106" t="str">
        <f aca="false">IF(ISBLANK($C322),"",$CP322)</f>
        <v/>
      </c>
      <c r="DB322" s="106" t="str">
        <f aca="false">IF(ISBLANK($C322),"",$CO322)</f>
        <v/>
      </c>
      <c r="DC322" s="107" t="str">
        <f aca="false">IF(ISBLANK($C322),"",IFERROR(_xlfn.SWITCH($DB322,Constants!$B$11,COUNTA($C$9:$C$508)+2,Constants!$B$10,COUNTA($C$9:$C$508)+1,Constants!$B$9,COUNTA($C$9:$C$508)),$DB322))</f>
        <v/>
      </c>
      <c r="DD322" s="9"/>
      <c r="DE322" s="108" t="n">
        <f aca="false">IF(OR(ISNUMBER($DB322),$DB322=Constants!$B$11,$DB322=Constants!$B$9,$DB322=Constants!$B$10),1,0)</f>
        <v>0</v>
      </c>
      <c r="DF322" s="108" t="n">
        <v>314</v>
      </c>
      <c r="DG322" s="108" t="str">
        <f aca="false">IF(ISBLANK($C322),"",IF(ISNUMBER($DC322),$DC322+ROW($B322)/1000,""))</f>
        <v/>
      </c>
      <c r="DH322" s="108" t="str">
        <f aca="false">IF(ISNUMBER($DG322),RANK($DG322,$DG$9:$DG$508,1),"")</f>
        <v/>
      </c>
      <c r="DI322" s="108" t="str">
        <f aca="false">IF(ISBLANK($C322),"",$B322)</f>
        <v/>
      </c>
      <c r="DJ322" s="108" t="str">
        <f aca="false">IF(ISBLANK($C322),"",$C322)</f>
        <v/>
      </c>
      <c r="DK322" s="108" t="str">
        <f aca="false">IF(ISBLANK($C322),"",$D322)</f>
        <v/>
      </c>
      <c r="DL322" s="109" t="str">
        <f aca="false">$CZ322</f>
        <v/>
      </c>
      <c r="DM322" s="110" t="str">
        <f aca="false">$CY322</f>
        <v/>
      </c>
      <c r="DN322" s="108" t="str">
        <f aca="false">IF(ISBLANK($C322),"",$DB322)</f>
        <v/>
      </c>
      <c r="DO322" s="111" t="str">
        <f aca="false">IF($DF322&gt;$DE$8,"",VLOOKUP($DF322,$DH$9:$DN$508,7,FALSE()))</f>
        <v/>
      </c>
      <c r="DP322" s="112" t="str">
        <f aca="false">IF($DF322&gt;$DE$8,"",VLOOKUP($DF322,$DH$9:$DN$508,2,FALSE()))</f>
        <v/>
      </c>
      <c r="DQ322" s="112" t="str">
        <f aca="false">IF($DF322&gt;$DE$8,"",VLOOKUP($DF322,$DH$9:$DN$508,3,FALSE()))</f>
        <v/>
      </c>
      <c r="DR322" s="112" t="str">
        <f aca="false">IF($DF322&gt;$DE$8,"",VLOOKUP($DF322,$DH$9:$DN$508,4,FALSE()))</f>
        <v/>
      </c>
      <c r="DS322" s="112" t="str">
        <f aca="false">IF($DF322&gt;$DE$8,"",VLOOKUP($DF322,$DH$9:$DN$508,5,FALSE()))</f>
        <v/>
      </c>
      <c r="DT322" s="113" t="str">
        <f aca="false">IF($DF322&gt;$DE$8,"",VLOOKUP($DF322,$DH$9:$DN$508,6,FALSE()))</f>
        <v/>
      </c>
      <c r="DU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IF(ISBLANK($C323),"",IF(E323=Constants!$B$3,TRUE(),IF(E323=Constants!$B$4,FALSE(),TRUE())))</f>
        <v/>
      </c>
      <c r="AG323" s="93" t="str">
        <f aca="false">IF(ISBLANK($C323),"",IF(F323=Constants!$B$3,TRUE(),IF(F323=Constants!$B$4,FALSE(),TRUE())))</f>
        <v/>
      </c>
      <c r="AH323" s="93" t="str">
        <f aca="false">IF(ISBLANK($C323),"",IF(G323=Constants!$B$3,TRUE(),IF(G323=Constants!$B$4,FALSE(),TRUE())))</f>
        <v/>
      </c>
      <c r="AI323" s="93" t="str">
        <f aca="false">IF(ISBLANK($C323),"",IF(AND(ISNUMBER(H323),H323&gt;=0),H323,Constants!$B$29))</f>
        <v/>
      </c>
      <c r="AJ323" s="93" t="str">
        <f aca="false">IF(ISBLANK($C323),"",IF(I323=Constants!$B$3,TRUE(),IF(I323=Constants!$B$4,FALSE(),TRUE())))</f>
        <v/>
      </c>
      <c r="AK323" s="93" t="str">
        <f aca="false">IF(ISBLANK($C323),"",IF(J323=Constants!$B$3,TRUE(),IF(J323=Constants!$B$4,FALSE(),TRUE())))</f>
        <v/>
      </c>
      <c r="AL323" s="93" t="str">
        <f aca="false">IF(ISBLANK($C323),"",IF(K323=Constants!$B$5,TRUE(),IF(K323=Constants!$B$6,FALSE(),COUNTA(L323:P323)&gt;0)))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IF(ISBLANK($C323),"",IF(N323=Constants!$B$3,TRUE(),IF(N323=Constants!$B$4,FALSE(),TRUE())))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IF(ISBLANK($C323),"",IF(P323=Constants!$B$3,TRUE(),IF(P323=Constants!$B$4,FALSE(),FALSE())))</f>
        <v/>
      </c>
      <c r="AR323" s="93" t="str">
        <f aca="false">IF(ISBLANK($C323),"",IF(Q323=Constants!$B$3,TRUE(),IF(Q323=Constants!$B$4,FALSE(),TRUE())))</f>
        <v/>
      </c>
      <c r="AS323" s="93" t="str">
        <f aca="false">IF(ISBLANK($C323),"",IF(R323=Constants!$B$3,TRUE(),IF(R323=Constants!$B$4,FALSE(),TRUE())))</f>
        <v/>
      </c>
      <c r="AT323" s="93" t="str">
        <f aca="false">IF(ISBLANK($C323),"",IF(S323=Constants!$B$5,TRUE(),IF(S323=Constants!$B$6,FALSE(),COUNTA(T323:X323)&gt;0)))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IF(ISBLANK($C323),"",IF(V323=Constants!$B$3,TRUE(),IF(V323=Constants!$B$4,FALSE(),TRUE())))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IF(ISBLANK($C323),"",IF(X323=Constants!$B$3,TRUE(),IF(X323=Constants!$B$4,FALSE(),FALSE())))</f>
        <v/>
      </c>
      <c r="AZ323" s="93" t="str">
        <f aca="false">IF(ISBLANK($C323),"",MIN(Constants!$B$31,MAX(0,IF(ISNUMBER(Y323),Y323*60,0)+IF(ISNUMBER(Z323),Z323,0))))</f>
        <v/>
      </c>
      <c r="BA323" s="93" t="str">
        <f aca="false">IF(ISBLANK($C323),"",IF(AA323=Constants!$B$3,TRUE(),IF(AA323=Constants!$B$4,FALSE(),FALSE())))</f>
        <v/>
      </c>
      <c r="BB323" s="92" t="str">
        <f aca="false">IF(ISBLANK($C323),"",AND($AL323,OR($AM323="",$AN323="",AND($AO323,$AP323=""))))</f>
        <v/>
      </c>
      <c r="BC323" s="94" t="str">
        <f aca="false">IF($BZ323&lt;&gt;Constants!$B$8,"",IF($AL323,Constants!$B$21*$AN323+Constants!$B$22*IF($AO323,$AP323,Constants!$B$23),Constants!$B$24))</f>
        <v/>
      </c>
      <c r="BD323" s="97" t="str">
        <f aca="false">IF($BZ323&lt;&gt;Constants!$B$8,"",Constants!$B$25*ABS($AD$9-IF($AL323,$AM323,0)))</f>
        <v/>
      </c>
      <c r="BE323" s="97" t="str">
        <f aca="false">IF($BZ323&lt;&gt;Constants!$B$8,"",IF(AND($AL323,$AQ323,$AO323),Constants!$B$27,0))</f>
        <v/>
      </c>
      <c r="BF323" s="97" t="str">
        <f aca="false">IF($BZ323&lt;&gt;Constants!$B$8,"",IF($AL323,($AI323-Constants!$B$29)*Constants!$B$28,0))</f>
        <v/>
      </c>
      <c r="BG323" s="97" t="str">
        <f aca="false">IF($BZ323&lt;&gt;Constants!$B$8,"",IF($AK323,0,Constants!$B$15)+IF($AJ323,0,Constants!$B$16)+IF($AH323,0,Constants!$B$17))</f>
        <v/>
      </c>
      <c r="BH323" s="98" t="str">
        <f aca="false">IF($BZ323&lt;&gt;Constants!$B$8,"",Constants!$B$20+SUM($BC323:$BG323))</f>
        <v/>
      </c>
      <c r="BI323" s="97" t="str">
        <f aca="false">IF($BZ323&lt;&gt;Constants!$B$8,"",$BC323)</f>
        <v/>
      </c>
      <c r="BJ323" s="97" t="str">
        <f aca="false">IF($BZ323&lt;&gt;Constants!$B$8,"",$BD323)</f>
        <v/>
      </c>
      <c r="BK323" s="97" t="str">
        <f aca="false">IF($BZ323&lt;&gt;Constants!$B$8,"",IF($AL323,$AN323,""))</f>
        <v/>
      </c>
      <c r="BL323" s="99" t="str">
        <f aca="false">IF($BZ323&lt;&gt;Constants!$B$8,"",$AI323)</f>
        <v/>
      </c>
      <c r="BM323" s="93" t="str">
        <f aca="false">IF($BZ323&lt;&gt;Constants!$B$8,"",IF(OR($BT323&lt;$BH323,AND($BT323=$BH323,OR($BU323&lt;$BI323,AND($BU323=$BI323,OR($BV323&lt;$BJ323,AND($BV323=$BJ323,OR(AND(ISNUMBER($BW323),OR(NOT(ISNUMBER($BK323)),$BW323&lt;$BK323)),AND(OR(AND($BW323="",$BK323=""),AND(ISNUMBER($BW323),ISNUMBER($BK323),$BW323=$BK323)),$BX323&lt;$BL323)))))))),"-&gt;","&lt;-"))</f>
        <v/>
      </c>
      <c r="BN323" s="92" t="str">
        <f aca="false">IF(ISBLANK($C323),"",AND($AT323,OR($AU323="",$AV323="",AND($AW323,$AX323=""))))</f>
        <v/>
      </c>
      <c r="BO323" s="94" t="str">
        <f aca="false">IF($BZ323&lt;&gt;Constants!$B$8,"",IF($AT323,Constants!$B$21*$AV323+Constants!$B$22*IF($AW323,$AX323,Constants!$B$23),Constants!$B$24))</f>
        <v/>
      </c>
      <c r="BP323" s="97" t="str">
        <f aca="false">IF($BZ323&lt;&gt;Constants!$B$8,"",Constants!$B$25*ABS($AD$9-IF($AT323,$AU323,0)))</f>
        <v/>
      </c>
      <c r="BQ323" s="97" t="str">
        <f aca="false">IF($BZ323&lt;&gt;Constants!$B$8,"",IF(AND($AT323,$AY323,$AW323),Constants!$B$27,0))</f>
        <v/>
      </c>
      <c r="BR323" s="97" t="str">
        <f aca="false">IF($BZ323&lt;&gt;Constants!$B$8,"",IF($AT323,($AI323-Constants!$B$29)*Constants!$B$28,0))</f>
        <v/>
      </c>
      <c r="BS323" s="97" t="str">
        <f aca="false">IF($BZ323&lt;&gt;Constants!$B$8,"",IF($AS323,0,Constants!$B$15)+IF($AR323,0,Constants!$B$16)+IF($AH323,0,Constants!$B$17))</f>
        <v/>
      </c>
      <c r="BT323" s="98" t="str">
        <f aca="false">IF($BZ323&lt;&gt;Constants!$B$8,"",Constants!$B$20+SUM($BO323:$BS323))</f>
        <v/>
      </c>
      <c r="BU323" s="97" t="str">
        <f aca="false">IF($BZ323&lt;&gt;Constants!$B$8,"",$BO323)</f>
        <v/>
      </c>
      <c r="BV323" s="97" t="str">
        <f aca="false">IF($BZ323&lt;&gt;Constants!$B$8,"",$BP323)</f>
        <v/>
      </c>
      <c r="BW323" s="97" t="str">
        <f aca="false">IF($BZ323&lt;&gt;Constants!$B$8,"",IF($AT323,$AV323,""))</f>
        <v/>
      </c>
      <c r="BX323" s="99" t="str">
        <f aca="false">IF($BZ323&lt;&gt;Constants!$B$8,"",$AI323)</f>
        <v/>
      </c>
      <c r="BY323" s="93" t="str">
        <f aca="false">IF(ISBLANK($C323),"",IF(ISBLANK($D$7),$BY$5,IF(NOT(ISNUMBER($D$7)),$BY$6,"")))</f>
        <v/>
      </c>
      <c r="BZ323" s="93" t="str">
        <f aca="false">IF(ISBLANK($C323),"",IF($BA323,Constants!$B$11,IF(COUNTA($E323:$AA323)=0,Constants!$B$10,IF(NOT($AG323),Constants!$B$9,IF(OR($BY323&lt;&gt;"",$BB323,$BN323),Constants!$B$12,Constants!$B$8)))))</f>
        <v/>
      </c>
      <c r="CA323" s="93" t="str">
        <f aca="false">IF(ISBLANK($C323),"",IF($BZ323&lt;&gt;Constants!$B$8,$BZ323,Constants!$B$13))</f>
        <v/>
      </c>
      <c r="CB323" s="97" t="str">
        <f aca="false">IF($BZ323&lt;&gt;Constants!$B$8,"",IF($BM323="-&gt;",$BT323,$BH323))</f>
        <v/>
      </c>
      <c r="CC323" s="97" t="str">
        <f aca="false">IF($BZ323&lt;&gt;Constants!$B$8,"",IF($AF323,0,Constants!$B$18))</f>
        <v/>
      </c>
      <c r="CD323" s="97" t="str">
        <f aca="false">IF($BZ323&lt;&gt;Constants!$B$8,"",((Constants!$B$31-$AZ323)-Constants!$B$31)/Constants!$B$32)</f>
        <v/>
      </c>
      <c r="CE323" s="97" t="str">
        <f aca="false">IF(ISBLANK($C323),"",IF($BZ323&lt;&gt;Constants!$B$8,$BZ323,SUM($CB323:$CD323)))</f>
        <v/>
      </c>
      <c r="CF323" s="93" t="str">
        <f aca="false">IF(ISBLANK($C323),"",IF($BZ323&lt;&gt;Constants!$B$8,$BZ323,RANK($CE323,$CE$9:$CE$508,1)))</f>
        <v/>
      </c>
      <c r="CG323" s="97" t="str">
        <f aca="false">IF($BZ323&lt;&gt;Constants!$B$8,"",IF($BM323="-&gt;",$BU323,$BI323))</f>
        <v/>
      </c>
      <c r="CH323" s="93" t="str">
        <f aca="false">IF(ISBLANK($C323),"",IF($BZ323&lt;&gt;Constants!$B$8,$BZ323,IF(ISNUMBER($CG323),RANK($CG323,$CG$9:$CG$508,1),COUNT($CG$9:$CG$508)+1)))</f>
        <v/>
      </c>
      <c r="CI323" s="97" t="str">
        <f aca="false">IF($BZ323&lt;&gt;Constants!$B$8,"",IF($BM323="-&gt;",$BV323,$BJ323))</f>
        <v/>
      </c>
      <c r="CJ323" s="93" t="str">
        <f aca="false">IF(ISBLANK($C323),"",IF($BZ323&lt;&gt;Constants!$B$8,$BZ323,IF(ISNUMBER($CI323),RANK($CI323,$CI$9:$CI$508,1),COUNT($CI$9:$CI$508)+1)))</f>
        <v/>
      </c>
      <c r="CK323" s="97" t="str">
        <f aca="false">IF($BZ323&lt;&gt;Constants!$B$8,"",IF($BM323="-&gt;",$BW323,$BK323))</f>
        <v/>
      </c>
      <c r="CL323" s="93" t="str">
        <f aca="false">IF(ISBLANK($C323),"",IF($BZ323&lt;&gt;Constants!$B$8,$BZ323,IF(ISNUMBER($CK323),RANK($CK323,$CK$9:$CK$508,1),COUNT($CK$9:$CK$508)+1)))</f>
        <v/>
      </c>
      <c r="CM323" s="97" t="str">
        <f aca="false">IF($BZ323&lt;&gt;Constants!$B$8,"",IF(AND(NOT($AL323),NOT($AT323),$AJ323,$AK323,$AR323,$AS323),"",IF($BM323="-&gt;",$BX323,$BL323)))</f>
        <v/>
      </c>
      <c r="CN323" s="93" t="str">
        <f aca="false">IF(ISBLANK($C323),"",IF($BZ323&lt;&gt;Constants!$B$8,$BZ323,IF(ISNUMBER($CM323),RANK($CM323,$CM$9:$CM$508,1),COUNT($CM$9:$CM$508)+1)))</f>
        <v/>
      </c>
      <c r="CO323" s="93" t="str">
        <f aca="false">IF(ISBLANK($C323),"",IF($BZ323&lt;&gt;Constants!$B$8,$BZ323,COUNTIFS($CF$9:$CF$508,"&lt;"&amp;$CF323)+COUNTIFS($CF$9:$CF$508,$CF323,$CH$9:$CH$508,"&lt;"&amp;$CH323)+COUNTIFS($CF$9:$CF$508,$CF323,$CH$9:$CH$508,$CH323,$CJ$9:$CJ$508,"&lt;"&amp;$CJ323)+COUNTIFS($CF$9:$CF$508,$CF323,$CH$9:$CH$508,$CH323,$CJ$9:$CJ$508,$CJ323,$CL$9:$CL$508,"&lt;"&amp;$CL323)+COUNTIFS($CF$9:$CF$508,$CF323,$CH$9:$CH$508,$CH323,$CJ$9:$CJ$508,$CJ323,$CL$9:$CL$508,$CL323,$CN$9:$CN$508,"&lt;"&amp;$CN323)+1))</f>
        <v/>
      </c>
      <c r="CP323" s="93" t="str">
        <f aca="false">IF(ISBLANK($C323),"",IF($BZ323&lt;&gt;Constants!$B$8,$BZ323,$CF323-$CO323))</f>
        <v/>
      </c>
      <c r="CQ323" s="100"/>
      <c r="CR323" s="101"/>
      <c r="CS323" s="102" t="str">
        <f aca="false">IF(ISBLANK($C323),"",IF($BZ323=Constants!$B$12,$BY323,""))</f>
        <v/>
      </c>
      <c r="CT323" s="101" t="str">
        <f aca="false">IF(ISBLANK($C323),"",IF($BZ323&lt;&gt;Constants!$B$8,"",IF($BM323="-&gt;",2,1)))</f>
        <v/>
      </c>
      <c r="CU323" s="103" t="str">
        <f aca="false">IF(ISBLANK($C323),"",IF($BZ323&lt;&gt;Constants!$B$8,"",IF($BM323="-&gt;",$BO323,$BC323)))</f>
        <v/>
      </c>
      <c r="CV323" s="103" t="str">
        <f aca="false">IF(ISBLANK($C323),"",IF($BZ323&lt;&gt;Constants!$B$8,"",IF($BM323="-&gt;",$BP323,$BD323)))</f>
        <v/>
      </c>
      <c r="CW323" s="103" t="str">
        <f aca="false">IF(ISBLANK($C323),"",IF($BZ323&lt;&gt;Constants!$B$8,"",IF($BM323="-&gt;",$BQ323+$BR323,$BE323+$BF323)+$CD323))</f>
        <v/>
      </c>
      <c r="CX323" s="103" t="str">
        <f aca="false">IF(ISBLANK($C323),"",IF($BZ323&lt;&gt;Constants!$B$8,"",IF($BM323="-&gt;",$BS323,$BG323)+$CC323))</f>
        <v/>
      </c>
      <c r="CY323" s="104" t="str">
        <f aca="false">IF(ISBLANK($C323),"",IF($BZ323&lt;&gt;Constants!$B$8,$BZ323,$CE323))</f>
        <v/>
      </c>
      <c r="CZ323" s="105" t="str">
        <f aca="false">IF(ISBLANK($C323),"",$CA323)</f>
        <v/>
      </c>
      <c r="DA323" s="106" t="str">
        <f aca="false">IF(ISBLANK($C323),"",$CP323)</f>
        <v/>
      </c>
      <c r="DB323" s="106" t="str">
        <f aca="false">IF(ISBLANK($C323),"",$CO323)</f>
        <v/>
      </c>
      <c r="DC323" s="107" t="str">
        <f aca="false">IF(ISBLANK($C323),"",IFERROR(_xlfn.SWITCH($DB323,Constants!$B$11,COUNTA($C$9:$C$508)+2,Constants!$B$10,COUNTA($C$9:$C$508)+1,Constants!$B$9,COUNTA($C$9:$C$508)),$DB323))</f>
        <v/>
      </c>
      <c r="DD323" s="9"/>
      <c r="DE323" s="108" t="n">
        <f aca="false">IF(OR(ISNUMBER($DB323),$DB323=Constants!$B$11,$DB323=Constants!$B$9,$DB323=Constants!$B$10),1,0)</f>
        <v>0</v>
      </c>
      <c r="DF323" s="108" t="n">
        <v>315</v>
      </c>
      <c r="DG323" s="108" t="str">
        <f aca="false">IF(ISBLANK($C323),"",IF(ISNUMBER($DC323),$DC323+ROW($B323)/1000,""))</f>
        <v/>
      </c>
      <c r="DH323" s="108" t="str">
        <f aca="false">IF(ISNUMBER($DG323),RANK($DG323,$DG$9:$DG$508,1),"")</f>
        <v/>
      </c>
      <c r="DI323" s="108" t="str">
        <f aca="false">IF(ISBLANK($C323),"",$B323)</f>
        <v/>
      </c>
      <c r="DJ323" s="108" t="str">
        <f aca="false">IF(ISBLANK($C323),"",$C323)</f>
        <v/>
      </c>
      <c r="DK323" s="108" t="str">
        <f aca="false">IF(ISBLANK($C323),"",$D323)</f>
        <v/>
      </c>
      <c r="DL323" s="109" t="str">
        <f aca="false">$CZ323</f>
        <v/>
      </c>
      <c r="DM323" s="110" t="str">
        <f aca="false">$CY323</f>
        <v/>
      </c>
      <c r="DN323" s="108" t="str">
        <f aca="false">IF(ISBLANK($C323),"",$DB323)</f>
        <v/>
      </c>
      <c r="DO323" s="111" t="str">
        <f aca="false">IF($DF323&gt;$DE$8,"",VLOOKUP($DF323,$DH$9:$DN$508,7,FALSE()))</f>
        <v/>
      </c>
      <c r="DP323" s="112" t="str">
        <f aca="false">IF($DF323&gt;$DE$8,"",VLOOKUP($DF323,$DH$9:$DN$508,2,FALSE()))</f>
        <v/>
      </c>
      <c r="DQ323" s="112" t="str">
        <f aca="false">IF($DF323&gt;$DE$8,"",VLOOKUP($DF323,$DH$9:$DN$508,3,FALSE()))</f>
        <v/>
      </c>
      <c r="DR323" s="112" t="str">
        <f aca="false">IF($DF323&gt;$DE$8,"",VLOOKUP($DF323,$DH$9:$DN$508,4,FALSE()))</f>
        <v/>
      </c>
      <c r="DS323" s="112" t="str">
        <f aca="false">IF($DF323&gt;$DE$8,"",VLOOKUP($DF323,$DH$9:$DN$508,5,FALSE()))</f>
        <v/>
      </c>
      <c r="DT323" s="113" t="str">
        <f aca="false">IF($DF323&gt;$DE$8,"",VLOOKUP($DF323,$DH$9:$DN$508,6,FALSE()))</f>
        <v/>
      </c>
      <c r="DU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IF(ISBLANK($C324),"",IF(E324=Constants!$B$3,TRUE(),IF(E324=Constants!$B$4,FALSE(),TRUE())))</f>
        <v/>
      </c>
      <c r="AG324" s="135" t="str">
        <f aca="false">IF(ISBLANK($C324),"",IF(F324=Constants!$B$3,TRUE(),IF(F324=Constants!$B$4,FALSE(),TRUE())))</f>
        <v/>
      </c>
      <c r="AH324" s="135" t="str">
        <f aca="false">IF(ISBLANK($C324),"",IF(G324=Constants!$B$3,TRUE(),IF(G324=Constants!$B$4,FALSE(),TRUE())))</f>
        <v/>
      </c>
      <c r="AI324" s="135" t="str">
        <f aca="false">IF(ISBLANK($C324),"",IF(AND(ISNUMBER(H324),H324&gt;=0),H324,Constants!$B$29))</f>
        <v/>
      </c>
      <c r="AJ324" s="135" t="str">
        <f aca="false">IF(ISBLANK($C324),"",IF(I324=Constants!$B$3,TRUE(),IF(I324=Constants!$B$4,FALSE(),TRUE())))</f>
        <v/>
      </c>
      <c r="AK324" s="135" t="str">
        <f aca="false">IF(ISBLANK($C324),"",IF(J324=Constants!$B$3,TRUE(),IF(J324=Constants!$B$4,FALSE(),TRUE())))</f>
        <v/>
      </c>
      <c r="AL324" s="135" t="str">
        <f aca="false">IF(ISBLANK($C324),"",IF(K324=Constants!$B$5,TRUE(),IF(K324=Constants!$B$6,FALSE(),COUNTA(L324:P324)&gt;0)))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IF(ISBLANK($C324),"",IF(N324=Constants!$B$3,TRUE(),IF(N324=Constants!$B$4,FALSE(),TRUE())))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IF(ISBLANK($C324),"",IF(P324=Constants!$B$3,TRUE(),IF(P324=Constants!$B$4,FALSE(),FALSE())))</f>
        <v/>
      </c>
      <c r="AR324" s="135" t="str">
        <f aca="false">IF(ISBLANK($C324),"",IF(Q324=Constants!$B$3,TRUE(),IF(Q324=Constants!$B$4,FALSE(),TRUE())))</f>
        <v/>
      </c>
      <c r="AS324" s="135" t="str">
        <f aca="false">IF(ISBLANK($C324),"",IF(R324=Constants!$B$3,TRUE(),IF(R324=Constants!$B$4,FALSE(),TRUE())))</f>
        <v/>
      </c>
      <c r="AT324" s="135" t="str">
        <f aca="false">IF(ISBLANK($C324),"",IF(S324=Constants!$B$5,TRUE(),IF(S324=Constants!$B$6,FALSE(),COUNTA(T324:X324)&gt;0)))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IF(ISBLANK($C324),"",IF(V324=Constants!$B$3,TRUE(),IF(V324=Constants!$B$4,FALSE(),TRUE())))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IF(ISBLANK($C324),"",IF(X324=Constants!$B$3,TRUE(),IF(X324=Constants!$B$4,FALSE(),FALSE())))</f>
        <v/>
      </c>
      <c r="AZ324" s="135" t="str">
        <f aca="false">IF(ISBLANK($C324),"",MIN(Constants!$B$31,MAX(0,IF(ISNUMBER(Y324),Y324*60,0)+IF(ISNUMBER(Z324),Z324,0))))</f>
        <v/>
      </c>
      <c r="BA324" s="135" t="str">
        <f aca="false">IF(ISBLANK($C324),"",IF(AA324=Constants!$B$3,TRUE(),IF(AA324=Constants!$B$4,FALSE(),FALSE())))</f>
        <v/>
      </c>
      <c r="BB324" s="134" t="str">
        <f aca="false">IF(ISBLANK($C324),"",AND($AL324,OR($AM324="",$AN324="",AND($AO324,$AP324=""))))</f>
        <v/>
      </c>
      <c r="BC324" s="137" t="str">
        <f aca="false">IF($BZ324&lt;&gt;Constants!$B$8,"",IF($AL324,Constants!$B$21*$AN324+Constants!$B$22*IF($AO324,$AP324,Constants!$B$23),Constants!$B$24))</f>
        <v/>
      </c>
      <c r="BD324" s="138" t="str">
        <f aca="false">IF($BZ324&lt;&gt;Constants!$B$8,"",Constants!$B$25*ABS($AD$9-IF($AL324,$AM324,0)))</f>
        <v/>
      </c>
      <c r="BE324" s="138" t="str">
        <f aca="false">IF($BZ324&lt;&gt;Constants!$B$8,"",IF(AND($AL324,$AQ324,$AO324),Constants!$B$27,0))</f>
        <v/>
      </c>
      <c r="BF324" s="138" t="str">
        <f aca="false">IF($BZ324&lt;&gt;Constants!$B$8,"",IF($AL324,($AI324-Constants!$B$29)*Constants!$B$28,0))</f>
        <v/>
      </c>
      <c r="BG324" s="138" t="str">
        <f aca="false">IF($BZ324&lt;&gt;Constants!$B$8,"",IF($AK324,0,Constants!$B$15)+IF($AJ324,0,Constants!$B$16)+IF($AH324,0,Constants!$B$17))</f>
        <v/>
      </c>
      <c r="BH324" s="139" t="str">
        <f aca="false">IF($BZ324&lt;&gt;Constants!$B$8,"",Constants!$B$20+SUM($BC324:$BG324))</f>
        <v/>
      </c>
      <c r="BI324" s="138" t="str">
        <f aca="false">IF($BZ324&lt;&gt;Constants!$B$8,"",$BC324)</f>
        <v/>
      </c>
      <c r="BJ324" s="138" t="str">
        <f aca="false">IF($BZ324&lt;&gt;Constants!$B$8,"",$BD324)</f>
        <v/>
      </c>
      <c r="BK324" s="138" t="str">
        <f aca="false">IF($BZ324&lt;&gt;Constants!$B$8,"",IF($AL324,$AN324,""))</f>
        <v/>
      </c>
      <c r="BL324" s="140" t="str">
        <f aca="false">IF($BZ324&lt;&gt;Constants!$B$8,"",$AI324)</f>
        <v/>
      </c>
      <c r="BM324" s="135" t="str">
        <f aca="false">IF($BZ324&lt;&gt;Constants!$B$8,"",IF(OR($BT324&lt;$BH324,AND($BT324=$BH324,OR($BU324&lt;$BI324,AND($BU324=$BI324,OR($BV324&lt;$BJ324,AND($BV324=$BJ324,OR(AND(ISNUMBER($BW324),OR(NOT(ISNUMBER($BK324)),$BW324&lt;$BK324)),AND(OR(AND($BW324="",$BK324=""),AND(ISNUMBER($BW324),ISNUMBER($BK324),$BW324=$BK324)),$BX324&lt;$BL324)))))))),"-&gt;","&lt;-"))</f>
        <v/>
      </c>
      <c r="BN324" s="134" t="str">
        <f aca="false">IF(ISBLANK($C324),"",AND($AT324,OR($AU324="",$AV324="",AND($AW324,$AX324=""))))</f>
        <v/>
      </c>
      <c r="BO324" s="137" t="str">
        <f aca="false">IF($BZ324&lt;&gt;Constants!$B$8,"",IF($AT324,Constants!$B$21*$AV324+Constants!$B$22*IF($AW324,$AX324,Constants!$B$23),Constants!$B$24))</f>
        <v/>
      </c>
      <c r="BP324" s="138" t="str">
        <f aca="false">IF($BZ324&lt;&gt;Constants!$B$8,"",Constants!$B$25*ABS($AD$9-IF($AT324,$AU324,0)))</f>
        <v/>
      </c>
      <c r="BQ324" s="138" t="str">
        <f aca="false">IF($BZ324&lt;&gt;Constants!$B$8,"",IF(AND($AT324,$AY324,$AW324),Constants!$B$27,0))</f>
        <v/>
      </c>
      <c r="BR324" s="138" t="str">
        <f aca="false">IF($BZ324&lt;&gt;Constants!$B$8,"",IF($AT324,($AI324-Constants!$B$29)*Constants!$B$28,0))</f>
        <v/>
      </c>
      <c r="BS324" s="138" t="str">
        <f aca="false">IF($BZ324&lt;&gt;Constants!$B$8,"",IF($AS324,0,Constants!$B$15)+IF($AR324,0,Constants!$B$16)+IF($AH324,0,Constants!$B$17))</f>
        <v/>
      </c>
      <c r="BT324" s="139" t="str">
        <f aca="false">IF($BZ324&lt;&gt;Constants!$B$8,"",Constants!$B$20+SUM($BO324:$BS324))</f>
        <v/>
      </c>
      <c r="BU324" s="138" t="str">
        <f aca="false">IF($BZ324&lt;&gt;Constants!$B$8,"",$BO324)</f>
        <v/>
      </c>
      <c r="BV324" s="138" t="str">
        <f aca="false">IF($BZ324&lt;&gt;Constants!$B$8,"",$BP324)</f>
        <v/>
      </c>
      <c r="BW324" s="138" t="str">
        <f aca="false">IF($BZ324&lt;&gt;Constants!$B$8,"",IF($AT324,$AV324,""))</f>
        <v/>
      </c>
      <c r="BX324" s="140" t="str">
        <f aca="false">IF($BZ324&lt;&gt;Constants!$B$8,"",$AI324)</f>
        <v/>
      </c>
      <c r="BY324" s="135" t="str">
        <f aca="false">IF(ISBLANK($C324),"",IF(ISBLANK($D$7),$BY$5,IF(NOT(ISNUMBER($D$7)),$BY$6,"")))</f>
        <v/>
      </c>
      <c r="BZ324" s="135" t="str">
        <f aca="false">IF(ISBLANK($C324),"",IF($BA324,Constants!$B$11,IF(COUNTA($E324:$AA324)=0,Constants!$B$10,IF(NOT($AG324),Constants!$B$9,IF(OR($BY324&lt;&gt;"",$BB324,$BN324),Constants!$B$12,Constants!$B$8)))))</f>
        <v/>
      </c>
      <c r="CA324" s="135" t="str">
        <f aca="false">IF(ISBLANK($C324),"",IF($BZ324&lt;&gt;Constants!$B$8,$BZ324,Constants!$B$13))</f>
        <v/>
      </c>
      <c r="CB324" s="138" t="str">
        <f aca="false">IF($BZ324&lt;&gt;Constants!$B$8,"",IF($BM324="-&gt;",$BT324,$BH324))</f>
        <v/>
      </c>
      <c r="CC324" s="138" t="str">
        <f aca="false">IF($BZ324&lt;&gt;Constants!$B$8,"",IF($AF324,0,Constants!$B$18))</f>
        <v/>
      </c>
      <c r="CD324" s="138" t="str">
        <f aca="false">IF($BZ324&lt;&gt;Constants!$B$8,"",((Constants!$B$31-$AZ324)-Constants!$B$31)/Constants!$B$32)</f>
        <v/>
      </c>
      <c r="CE324" s="138" t="str">
        <f aca="false">IF(ISBLANK($C324),"",IF($BZ324&lt;&gt;Constants!$B$8,$BZ324,SUM($CB324:$CD324)))</f>
        <v/>
      </c>
      <c r="CF324" s="135" t="str">
        <f aca="false">IF(ISBLANK($C324),"",IF($BZ324&lt;&gt;Constants!$B$8,$BZ324,RANK($CE324,$CE$9:$CE$508,1)))</f>
        <v/>
      </c>
      <c r="CG324" s="138" t="str">
        <f aca="false">IF($BZ324&lt;&gt;Constants!$B$8,"",IF($BM324="-&gt;",$BU324,$BI324))</f>
        <v/>
      </c>
      <c r="CH324" s="135" t="str">
        <f aca="false">IF(ISBLANK($C324),"",IF($BZ324&lt;&gt;Constants!$B$8,$BZ324,IF(ISNUMBER($CG324),RANK($CG324,$CG$9:$CG$508,1),COUNT($CG$9:$CG$508)+1)))</f>
        <v/>
      </c>
      <c r="CI324" s="138" t="str">
        <f aca="false">IF($BZ324&lt;&gt;Constants!$B$8,"",IF($BM324="-&gt;",$BV324,$BJ324))</f>
        <v/>
      </c>
      <c r="CJ324" s="135" t="str">
        <f aca="false">IF(ISBLANK($C324),"",IF($BZ324&lt;&gt;Constants!$B$8,$BZ324,IF(ISNUMBER($CI324),RANK($CI324,$CI$9:$CI$508,1),COUNT($CI$9:$CI$508)+1)))</f>
        <v/>
      </c>
      <c r="CK324" s="138" t="str">
        <f aca="false">IF($BZ324&lt;&gt;Constants!$B$8,"",IF($BM324="-&gt;",$BW324,$BK324))</f>
        <v/>
      </c>
      <c r="CL324" s="135" t="str">
        <f aca="false">IF(ISBLANK($C324),"",IF($BZ324&lt;&gt;Constants!$B$8,$BZ324,IF(ISNUMBER($CK324),RANK($CK324,$CK$9:$CK$508,1),COUNT($CK$9:$CK$508)+1)))</f>
        <v/>
      </c>
      <c r="CM324" s="138" t="str">
        <f aca="false">IF($BZ324&lt;&gt;Constants!$B$8,"",IF(AND(NOT($AL324),NOT($AT324),$AJ324,$AK324,$AR324,$AS324),"",IF($BM324="-&gt;",$BX324,$BL324)))</f>
        <v/>
      </c>
      <c r="CN324" s="135" t="str">
        <f aca="false">IF(ISBLANK($C324),"",IF($BZ324&lt;&gt;Constants!$B$8,$BZ324,IF(ISNUMBER($CM324),RANK($CM324,$CM$9:$CM$508,1),COUNT($CM$9:$CM$508)+1)))</f>
        <v/>
      </c>
      <c r="CO324" s="135" t="str">
        <f aca="false">IF(ISBLANK($C324),"",IF($BZ324&lt;&gt;Constants!$B$8,$BZ324,COUNTIFS($CF$9:$CF$508,"&lt;"&amp;$CF324)+COUNTIFS($CF$9:$CF$508,$CF324,$CH$9:$CH$508,"&lt;"&amp;$CH324)+COUNTIFS($CF$9:$CF$508,$CF324,$CH$9:$CH$508,$CH324,$CJ$9:$CJ$508,"&lt;"&amp;$CJ324)+COUNTIFS($CF$9:$CF$508,$CF324,$CH$9:$CH$508,$CH324,$CJ$9:$CJ$508,$CJ324,$CL$9:$CL$508,"&lt;"&amp;$CL324)+COUNTIFS($CF$9:$CF$508,$CF324,$CH$9:$CH$508,$CH324,$CJ$9:$CJ$508,$CJ324,$CL$9:$CL$508,$CL324,$CN$9:$CN$508,"&lt;"&amp;$CN324)+1))</f>
        <v/>
      </c>
      <c r="CP324" s="135" t="str">
        <f aca="false">IF(ISBLANK($C324),"",IF($BZ324&lt;&gt;Constants!$B$8,$BZ324,$CF324-$CO324))</f>
        <v/>
      </c>
      <c r="CQ324" s="141"/>
      <c r="CR324" s="142"/>
      <c r="CS324" s="143" t="str">
        <f aca="false">IF(ISBLANK($C324),"",IF($BZ324=Constants!$B$12,$BY324,""))</f>
        <v/>
      </c>
      <c r="CT324" s="142" t="str">
        <f aca="false">IF(ISBLANK($C324),"",IF($BZ324&lt;&gt;Constants!$B$8,"",IF($BM324="-&gt;",2,1)))</f>
        <v/>
      </c>
      <c r="CU324" s="144" t="str">
        <f aca="false">IF(ISBLANK($C324),"",IF($BZ324&lt;&gt;Constants!$B$8,"",IF($BM324="-&gt;",$BO324,$BC324)))</f>
        <v/>
      </c>
      <c r="CV324" s="144" t="str">
        <f aca="false">IF(ISBLANK($C324),"",IF($BZ324&lt;&gt;Constants!$B$8,"",IF($BM324="-&gt;",$BP324,$BD324)))</f>
        <v/>
      </c>
      <c r="CW324" s="144" t="str">
        <f aca="false">IF(ISBLANK($C324),"",IF($BZ324&lt;&gt;Constants!$B$8,"",IF($BM324="-&gt;",$BQ324+$BR324,$BE324+$BF324)+$CD324))</f>
        <v/>
      </c>
      <c r="CX324" s="144" t="str">
        <f aca="false">IF(ISBLANK($C324),"",IF($BZ324&lt;&gt;Constants!$B$8,"",IF($BM324="-&gt;",$BS324,$BG324)+$CC324))</f>
        <v/>
      </c>
      <c r="CY324" s="145" t="str">
        <f aca="false">IF(ISBLANK($C324),"",IF($BZ324&lt;&gt;Constants!$B$8,$BZ324,$CE324))</f>
        <v/>
      </c>
      <c r="CZ324" s="146" t="str">
        <f aca="false">IF(ISBLANK($C324),"",$CA324)</f>
        <v/>
      </c>
      <c r="DA324" s="147" t="str">
        <f aca="false">IF(ISBLANK($C324),"",$CP324)</f>
        <v/>
      </c>
      <c r="DB324" s="147" t="str">
        <f aca="false">IF(ISBLANK($C324),"",$CO324)</f>
        <v/>
      </c>
      <c r="DC324" s="148" t="str">
        <f aca="false">IF(ISBLANK($C324),"",IFERROR(_xlfn.SWITCH($DB324,Constants!$B$11,COUNTA($C$9:$C$508)+2,Constants!$B$10,COUNTA($C$9:$C$508)+1,Constants!$B$9,COUNTA($C$9:$C$508)),$DB324))</f>
        <v/>
      </c>
      <c r="DD324" s="9"/>
      <c r="DE324" s="149" t="n">
        <f aca="false">IF(OR(ISNUMBER($DB324),$DB324=Constants!$B$11,$DB324=Constants!$B$9,$DB324=Constants!$B$10),1,0)</f>
        <v>0</v>
      </c>
      <c r="DF324" s="149" t="n">
        <v>316</v>
      </c>
      <c r="DG324" s="149" t="str">
        <f aca="false">IF(ISBLANK($C324),"",IF(ISNUMBER($DC324),$DC324+ROW($B324)/1000,""))</f>
        <v/>
      </c>
      <c r="DH324" s="149" t="str">
        <f aca="false">IF(ISNUMBER($DG324),RANK($DG324,$DG$9:$DG$508,1),"")</f>
        <v/>
      </c>
      <c r="DI324" s="149" t="str">
        <f aca="false">IF(ISBLANK($C324),"",$B324)</f>
        <v/>
      </c>
      <c r="DJ324" s="149" t="str">
        <f aca="false">IF(ISBLANK($C324),"",$C324)</f>
        <v/>
      </c>
      <c r="DK324" s="149" t="str">
        <f aca="false">IF(ISBLANK($C324),"",$D324)</f>
        <v/>
      </c>
      <c r="DL324" s="150" t="str">
        <f aca="false">$CZ324</f>
        <v/>
      </c>
      <c r="DM324" s="151" t="str">
        <f aca="false">$CY324</f>
        <v/>
      </c>
      <c r="DN324" s="149" t="str">
        <f aca="false">IF(ISBLANK($C324),"",$DB324)</f>
        <v/>
      </c>
      <c r="DO324" s="152" t="str">
        <f aca="false">IF($DF324&gt;$DE$8,"",VLOOKUP($DF324,$DH$9:$DN$508,7,FALSE()))</f>
        <v/>
      </c>
      <c r="DP324" s="153" t="str">
        <f aca="false">IF($DF324&gt;$DE$8,"",VLOOKUP($DF324,$DH$9:$DN$508,2,FALSE()))</f>
        <v/>
      </c>
      <c r="DQ324" s="153" t="str">
        <f aca="false">IF($DF324&gt;$DE$8,"",VLOOKUP($DF324,$DH$9:$DN$508,3,FALSE()))</f>
        <v/>
      </c>
      <c r="DR324" s="153" t="str">
        <f aca="false">IF($DF324&gt;$DE$8,"",VLOOKUP($DF324,$DH$9:$DN$508,4,FALSE()))</f>
        <v/>
      </c>
      <c r="DS324" s="153" t="str">
        <f aca="false">IF($DF324&gt;$DE$8,"",VLOOKUP($DF324,$DH$9:$DN$508,5,FALSE()))</f>
        <v/>
      </c>
      <c r="DT324" s="154" t="str">
        <f aca="false">IF($DF324&gt;$DE$8,"",VLOOKUP($DF324,$DH$9:$DN$508,6,FALSE()))</f>
        <v/>
      </c>
      <c r="DU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IF(ISBLANK($C325),"",IF(E325=Constants!$B$3,TRUE(),IF(E325=Constants!$B$4,FALSE(),TRUE())))</f>
        <v/>
      </c>
      <c r="AG325" s="135" t="str">
        <f aca="false">IF(ISBLANK($C325),"",IF(F325=Constants!$B$3,TRUE(),IF(F325=Constants!$B$4,FALSE(),TRUE())))</f>
        <v/>
      </c>
      <c r="AH325" s="135" t="str">
        <f aca="false">IF(ISBLANK($C325),"",IF(G325=Constants!$B$3,TRUE(),IF(G325=Constants!$B$4,FALSE(),TRUE())))</f>
        <v/>
      </c>
      <c r="AI325" s="135" t="str">
        <f aca="false">IF(ISBLANK($C325),"",IF(AND(ISNUMBER(H325),H325&gt;=0),H325,Constants!$B$29))</f>
        <v/>
      </c>
      <c r="AJ325" s="135" t="str">
        <f aca="false">IF(ISBLANK($C325),"",IF(I325=Constants!$B$3,TRUE(),IF(I325=Constants!$B$4,FALSE(),TRUE())))</f>
        <v/>
      </c>
      <c r="AK325" s="135" t="str">
        <f aca="false">IF(ISBLANK($C325),"",IF(J325=Constants!$B$3,TRUE(),IF(J325=Constants!$B$4,FALSE(),TRUE())))</f>
        <v/>
      </c>
      <c r="AL325" s="135" t="str">
        <f aca="false">IF(ISBLANK($C325),"",IF(K325=Constants!$B$5,TRUE(),IF(K325=Constants!$B$6,FALSE(),COUNTA(L325:P325)&gt;0)))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IF(ISBLANK($C325),"",IF(N325=Constants!$B$3,TRUE(),IF(N325=Constants!$B$4,FALSE(),TRUE())))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IF(ISBLANK($C325),"",IF(P325=Constants!$B$3,TRUE(),IF(P325=Constants!$B$4,FALSE(),FALSE())))</f>
        <v/>
      </c>
      <c r="AR325" s="135" t="str">
        <f aca="false">IF(ISBLANK($C325),"",IF(Q325=Constants!$B$3,TRUE(),IF(Q325=Constants!$B$4,FALSE(),TRUE())))</f>
        <v/>
      </c>
      <c r="AS325" s="135" t="str">
        <f aca="false">IF(ISBLANK($C325),"",IF(R325=Constants!$B$3,TRUE(),IF(R325=Constants!$B$4,FALSE(),TRUE())))</f>
        <v/>
      </c>
      <c r="AT325" s="135" t="str">
        <f aca="false">IF(ISBLANK($C325),"",IF(S325=Constants!$B$5,TRUE(),IF(S325=Constants!$B$6,FALSE(),COUNTA(T325:X325)&gt;0)))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IF(ISBLANK($C325),"",IF(V325=Constants!$B$3,TRUE(),IF(V325=Constants!$B$4,FALSE(),TRUE())))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IF(ISBLANK($C325),"",IF(X325=Constants!$B$3,TRUE(),IF(X325=Constants!$B$4,FALSE(),FALSE())))</f>
        <v/>
      </c>
      <c r="AZ325" s="135" t="str">
        <f aca="false">IF(ISBLANK($C325),"",MIN(Constants!$B$31,MAX(0,IF(ISNUMBER(Y325),Y325*60,0)+IF(ISNUMBER(Z325),Z325,0))))</f>
        <v/>
      </c>
      <c r="BA325" s="135" t="str">
        <f aca="false">IF(ISBLANK($C325),"",IF(AA325=Constants!$B$3,TRUE(),IF(AA325=Constants!$B$4,FALSE(),FALSE())))</f>
        <v/>
      </c>
      <c r="BB325" s="134" t="str">
        <f aca="false">IF(ISBLANK($C325),"",AND($AL325,OR($AM325="",$AN325="",AND($AO325,$AP325=""))))</f>
        <v/>
      </c>
      <c r="BC325" s="137" t="str">
        <f aca="false">IF($BZ325&lt;&gt;Constants!$B$8,"",IF($AL325,Constants!$B$21*$AN325+Constants!$B$22*IF($AO325,$AP325,Constants!$B$23),Constants!$B$24))</f>
        <v/>
      </c>
      <c r="BD325" s="138" t="str">
        <f aca="false">IF($BZ325&lt;&gt;Constants!$B$8,"",Constants!$B$25*ABS($AD$9-IF($AL325,$AM325,0)))</f>
        <v/>
      </c>
      <c r="BE325" s="138" t="str">
        <f aca="false">IF($BZ325&lt;&gt;Constants!$B$8,"",IF(AND($AL325,$AQ325,$AO325),Constants!$B$27,0))</f>
        <v/>
      </c>
      <c r="BF325" s="138" t="str">
        <f aca="false">IF($BZ325&lt;&gt;Constants!$B$8,"",IF($AL325,($AI325-Constants!$B$29)*Constants!$B$28,0))</f>
        <v/>
      </c>
      <c r="BG325" s="138" t="str">
        <f aca="false">IF($BZ325&lt;&gt;Constants!$B$8,"",IF($AK325,0,Constants!$B$15)+IF($AJ325,0,Constants!$B$16)+IF($AH325,0,Constants!$B$17))</f>
        <v/>
      </c>
      <c r="BH325" s="139" t="str">
        <f aca="false">IF($BZ325&lt;&gt;Constants!$B$8,"",Constants!$B$20+SUM($BC325:$BG325))</f>
        <v/>
      </c>
      <c r="BI325" s="138" t="str">
        <f aca="false">IF($BZ325&lt;&gt;Constants!$B$8,"",$BC325)</f>
        <v/>
      </c>
      <c r="BJ325" s="138" t="str">
        <f aca="false">IF($BZ325&lt;&gt;Constants!$B$8,"",$BD325)</f>
        <v/>
      </c>
      <c r="BK325" s="138" t="str">
        <f aca="false">IF($BZ325&lt;&gt;Constants!$B$8,"",IF($AL325,$AN325,""))</f>
        <v/>
      </c>
      <c r="BL325" s="140" t="str">
        <f aca="false">IF($BZ325&lt;&gt;Constants!$B$8,"",$AI325)</f>
        <v/>
      </c>
      <c r="BM325" s="135" t="str">
        <f aca="false">IF($BZ325&lt;&gt;Constants!$B$8,"",IF(OR($BT325&lt;$BH325,AND($BT325=$BH325,OR($BU325&lt;$BI325,AND($BU325=$BI325,OR($BV325&lt;$BJ325,AND($BV325=$BJ325,OR(AND(ISNUMBER($BW325),OR(NOT(ISNUMBER($BK325)),$BW325&lt;$BK325)),AND(OR(AND($BW325="",$BK325=""),AND(ISNUMBER($BW325),ISNUMBER($BK325),$BW325=$BK325)),$BX325&lt;$BL325)))))))),"-&gt;","&lt;-"))</f>
        <v/>
      </c>
      <c r="BN325" s="134" t="str">
        <f aca="false">IF(ISBLANK($C325),"",AND($AT325,OR($AU325="",$AV325="",AND($AW325,$AX325=""))))</f>
        <v/>
      </c>
      <c r="BO325" s="137" t="str">
        <f aca="false">IF($BZ325&lt;&gt;Constants!$B$8,"",IF($AT325,Constants!$B$21*$AV325+Constants!$B$22*IF($AW325,$AX325,Constants!$B$23),Constants!$B$24))</f>
        <v/>
      </c>
      <c r="BP325" s="138" t="str">
        <f aca="false">IF($BZ325&lt;&gt;Constants!$B$8,"",Constants!$B$25*ABS($AD$9-IF($AT325,$AU325,0)))</f>
        <v/>
      </c>
      <c r="BQ325" s="138" t="str">
        <f aca="false">IF($BZ325&lt;&gt;Constants!$B$8,"",IF(AND($AT325,$AY325,$AW325),Constants!$B$27,0))</f>
        <v/>
      </c>
      <c r="BR325" s="138" t="str">
        <f aca="false">IF($BZ325&lt;&gt;Constants!$B$8,"",IF($AT325,($AI325-Constants!$B$29)*Constants!$B$28,0))</f>
        <v/>
      </c>
      <c r="BS325" s="138" t="str">
        <f aca="false">IF($BZ325&lt;&gt;Constants!$B$8,"",IF($AS325,0,Constants!$B$15)+IF($AR325,0,Constants!$B$16)+IF($AH325,0,Constants!$B$17))</f>
        <v/>
      </c>
      <c r="BT325" s="139" t="str">
        <f aca="false">IF($BZ325&lt;&gt;Constants!$B$8,"",Constants!$B$20+SUM($BO325:$BS325))</f>
        <v/>
      </c>
      <c r="BU325" s="138" t="str">
        <f aca="false">IF($BZ325&lt;&gt;Constants!$B$8,"",$BO325)</f>
        <v/>
      </c>
      <c r="BV325" s="138" t="str">
        <f aca="false">IF($BZ325&lt;&gt;Constants!$B$8,"",$BP325)</f>
        <v/>
      </c>
      <c r="BW325" s="138" t="str">
        <f aca="false">IF($BZ325&lt;&gt;Constants!$B$8,"",IF($AT325,$AV325,""))</f>
        <v/>
      </c>
      <c r="BX325" s="140" t="str">
        <f aca="false">IF($BZ325&lt;&gt;Constants!$B$8,"",$AI325)</f>
        <v/>
      </c>
      <c r="BY325" s="135" t="str">
        <f aca="false">IF(ISBLANK($C325),"",IF(ISBLANK($D$7),$BY$5,IF(NOT(ISNUMBER($D$7)),$BY$6,"")))</f>
        <v/>
      </c>
      <c r="BZ325" s="135" t="str">
        <f aca="false">IF(ISBLANK($C325),"",IF($BA325,Constants!$B$11,IF(COUNTA($E325:$AA325)=0,Constants!$B$10,IF(NOT($AG325),Constants!$B$9,IF(OR($BY325&lt;&gt;"",$BB325,$BN325),Constants!$B$12,Constants!$B$8)))))</f>
        <v/>
      </c>
      <c r="CA325" s="135" t="str">
        <f aca="false">IF(ISBLANK($C325),"",IF($BZ325&lt;&gt;Constants!$B$8,$BZ325,Constants!$B$13))</f>
        <v/>
      </c>
      <c r="CB325" s="138" t="str">
        <f aca="false">IF($BZ325&lt;&gt;Constants!$B$8,"",IF($BM325="-&gt;",$BT325,$BH325))</f>
        <v/>
      </c>
      <c r="CC325" s="138" t="str">
        <f aca="false">IF($BZ325&lt;&gt;Constants!$B$8,"",IF($AF325,0,Constants!$B$18))</f>
        <v/>
      </c>
      <c r="CD325" s="138" t="str">
        <f aca="false">IF($BZ325&lt;&gt;Constants!$B$8,"",((Constants!$B$31-$AZ325)-Constants!$B$31)/Constants!$B$32)</f>
        <v/>
      </c>
      <c r="CE325" s="138" t="str">
        <f aca="false">IF(ISBLANK($C325),"",IF($BZ325&lt;&gt;Constants!$B$8,$BZ325,SUM($CB325:$CD325)))</f>
        <v/>
      </c>
      <c r="CF325" s="135" t="str">
        <f aca="false">IF(ISBLANK($C325),"",IF($BZ325&lt;&gt;Constants!$B$8,$BZ325,RANK($CE325,$CE$9:$CE$508,1)))</f>
        <v/>
      </c>
      <c r="CG325" s="138" t="str">
        <f aca="false">IF($BZ325&lt;&gt;Constants!$B$8,"",IF($BM325="-&gt;",$BU325,$BI325))</f>
        <v/>
      </c>
      <c r="CH325" s="135" t="str">
        <f aca="false">IF(ISBLANK($C325),"",IF($BZ325&lt;&gt;Constants!$B$8,$BZ325,IF(ISNUMBER($CG325),RANK($CG325,$CG$9:$CG$508,1),COUNT($CG$9:$CG$508)+1)))</f>
        <v/>
      </c>
      <c r="CI325" s="138" t="str">
        <f aca="false">IF($BZ325&lt;&gt;Constants!$B$8,"",IF($BM325="-&gt;",$BV325,$BJ325))</f>
        <v/>
      </c>
      <c r="CJ325" s="135" t="str">
        <f aca="false">IF(ISBLANK($C325),"",IF($BZ325&lt;&gt;Constants!$B$8,$BZ325,IF(ISNUMBER($CI325),RANK($CI325,$CI$9:$CI$508,1),COUNT($CI$9:$CI$508)+1)))</f>
        <v/>
      </c>
      <c r="CK325" s="138" t="str">
        <f aca="false">IF($BZ325&lt;&gt;Constants!$B$8,"",IF($BM325="-&gt;",$BW325,$BK325))</f>
        <v/>
      </c>
      <c r="CL325" s="135" t="str">
        <f aca="false">IF(ISBLANK($C325),"",IF($BZ325&lt;&gt;Constants!$B$8,$BZ325,IF(ISNUMBER($CK325),RANK($CK325,$CK$9:$CK$508,1),COUNT($CK$9:$CK$508)+1)))</f>
        <v/>
      </c>
      <c r="CM325" s="138" t="str">
        <f aca="false">IF($BZ325&lt;&gt;Constants!$B$8,"",IF(AND(NOT($AL325),NOT($AT325),$AJ325,$AK325,$AR325,$AS325),"",IF($BM325="-&gt;",$BX325,$BL325)))</f>
        <v/>
      </c>
      <c r="CN325" s="135" t="str">
        <f aca="false">IF(ISBLANK($C325),"",IF($BZ325&lt;&gt;Constants!$B$8,$BZ325,IF(ISNUMBER($CM325),RANK($CM325,$CM$9:$CM$508,1),COUNT($CM$9:$CM$508)+1)))</f>
        <v/>
      </c>
      <c r="CO325" s="135" t="str">
        <f aca="false">IF(ISBLANK($C325),"",IF($BZ325&lt;&gt;Constants!$B$8,$BZ325,COUNTIFS($CF$9:$CF$508,"&lt;"&amp;$CF325)+COUNTIFS($CF$9:$CF$508,$CF325,$CH$9:$CH$508,"&lt;"&amp;$CH325)+COUNTIFS($CF$9:$CF$508,$CF325,$CH$9:$CH$508,$CH325,$CJ$9:$CJ$508,"&lt;"&amp;$CJ325)+COUNTIFS($CF$9:$CF$508,$CF325,$CH$9:$CH$508,$CH325,$CJ$9:$CJ$508,$CJ325,$CL$9:$CL$508,"&lt;"&amp;$CL325)+COUNTIFS($CF$9:$CF$508,$CF325,$CH$9:$CH$508,$CH325,$CJ$9:$CJ$508,$CJ325,$CL$9:$CL$508,$CL325,$CN$9:$CN$508,"&lt;"&amp;$CN325)+1))</f>
        <v/>
      </c>
      <c r="CP325" s="135" t="str">
        <f aca="false">IF(ISBLANK($C325),"",IF($BZ325&lt;&gt;Constants!$B$8,$BZ325,$CF325-$CO325))</f>
        <v/>
      </c>
      <c r="CQ325" s="141"/>
      <c r="CR325" s="142"/>
      <c r="CS325" s="143" t="str">
        <f aca="false">IF(ISBLANK($C325),"",IF($BZ325=Constants!$B$12,$BY325,""))</f>
        <v/>
      </c>
      <c r="CT325" s="142" t="str">
        <f aca="false">IF(ISBLANK($C325),"",IF($BZ325&lt;&gt;Constants!$B$8,"",IF($BM325="-&gt;",2,1)))</f>
        <v/>
      </c>
      <c r="CU325" s="144" t="str">
        <f aca="false">IF(ISBLANK($C325),"",IF($BZ325&lt;&gt;Constants!$B$8,"",IF($BM325="-&gt;",$BO325,$BC325)))</f>
        <v/>
      </c>
      <c r="CV325" s="144" t="str">
        <f aca="false">IF(ISBLANK($C325),"",IF($BZ325&lt;&gt;Constants!$B$8,"",IF($BM325="-&gt;",$BP325,$BD325)))</f>
        <v/>
      </c>
      <c r="CW325" s="144" t="str">
        <f aca="false">IF(ISBLANK($C325),"",IF($BZ325&lt;&gt;Constants!$B$8,"",IF($BM325="-&gt;",$BQ325+$BR325,$BE325+$BF325)+$CD325))</f>
        <v/>
      </c>
      <c r="CX325" s="144" t="str">
        <f aca="false">IF(ISBLANK($C325),"",IF($BZ325&lt;&gt;Constants!$B$8,"",IF($BM325="-&gt;",$BS325,$BG325)+$CC325))</f>
        <v/>
      </c>
      <c r="CY325" s="145" t="str">
        <f aca="false">IF(ISBLANK($C325),"",IF($BZ325&lt;&gt;Constants!$B$8,$BZ325,$CE325))</f>
        <v/>
      </c>
      <c r="CZ325" s="146" t="str">
        <f aca="false">IF(ISBLANK($C325),"",$CA325)</f>
        <v/>
      </c>
      <c r="DA325" s="147" t="str">
        <f aca="false">IF(ISBLANK($C325),"",$CP325)</f>
        <v/>
      </c>
      <c r="DB325" s="147" t="str">
        <f aca="false">IF(ISBLANK($C325),"",$CO325)</f>
        <v/>
      </c>
      <c r="DC325" s="148" t="str">
        <f aca="false">IF(ISBLANK($C325),"",IFERROR(_xlfn.SWITCH($DB325,Constants!$B$11,COUNTA($C$9:$C$508)+2,Constants!$B$10,COUNTA($C$9:$C$508)+1,Constants!$B$9,COUNTA($C$9:$C$508)),$DB325))</f>
        <v/>
      </c>
      <c r="DD325" s="9"/>
      <c r="DE325" s="149" t="n">
        <f aca="false">IF(OR(ISNUMBER($DB325),$DB325=Constants!$B$11,$DB325=Constants!$B$9,$DB325=Constants!$B$10),1,0)</f>
        <v>0</v>
      </c>
      <c r="DF325" s="149" t="n">
        <v>317</v>
      </c>
      <c r="DG325" s="149" t="str">
        <f aca="false">IF(ISBLANK($C325),"",IF(ISNUMBER($DC325),$DC325+ROW($B325)/1000,""))</f>
        <v/>
      </c>
      <c r="DH325" s="149" t="str">
        <f aca="false">IF(ISNUMBER($DG325),RANK($DG325,$DG$9:$DG$508,1),"")</f>
        <v/>
      </c>
      <c r="DI325" s="149" t="str">
        <f aca="false">IF(ISBLANK($C325),"",$B325)</f>
        <v/>
      </c>
      <c r="DJ325" s="149" t="str">
        <f aca="false">IF(ISBLANK($C325),"",$C325)</f>
        <v/>
      </c>
      <c r="DK325" s="149" t="str">
        <f aca="false">IF(ISBLANK($C325),"",$D325)</f>
        <v/>
      </c>
      <c r="DL325" s="150" t="str">
        <f aca="false">$CZ325</f>
        <v/>
      </c>
      <c r="DM325" s="151" t="str">
        <f aca="false">$CY325</f>
        <v/>
      </c>
      <c r="DN325" s="149" t="str">
        <f aca="false">IF(ISBLANK($C325),"",$DB325)</f>
        <v/>
      </c>
      <c r="DO325" s="152" t="str">
        <f aca="false">IF($DF325&gt;$DE$8,"",VLOOKUP($DF325,$DH$9:$DN$508,7,FALSE()))</f>
        <v/>
      </c>
      <c r="DP325" s="153" t="str">
        <f aca="false">IF($DF325&gt;$DE$8,"",VLOOKUP($DF325,$DH$9:$DN$508,2,FALSE()))</f>
        <v/>
      </c>
      <c r="DQ325" s="153" t="str">
        <f aca="false">IF($DF325&gt;$DE$8,"",VLOOKUP($DF325,$DH$9:$DN$508,3,FALSE()))</f>
        <v/>
      </c>
      <c r="DR325" s="153" t="str">
        <f aca="false">IF($DF325&gt;$DE$8,"",VLOOKUP($DF325,$DH$9:$DN$508,4,FALSE()))</f>
        <v/>
      </c>
      <c r="DS325" s="153" t="str">
        <f aca="false">IF($DF325&gt;$DE$8,"",VLOOKUP($DF325,$DH$9:$DN$508,5,FALSE()))</f>
        <v/>
      </c>
      <c r="DT325" s="154" t="str">
        <f aca="false">IF($DF325&gt;$DE$8,"",VLOOKUP($DF325,$DH$9:$DN$508,6,FALSE()))</f>
        <v/>
      </c>
      <c r="DU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IF(ISBLANK($C326),"",IF(E326=Constants!$B$3,TRUE(),IF(E326=Constants!$B$4,FALSE(),TRUE())))</f>
        <v/>
      </c>
      <c r="AG326" s="135" t="str">
        <f aca="false">IF(ISBLANK($C326),"",IF(F326=Constants!$B$3,TRUE(),IF(F326=Constants!$B$4,FALSE(),TRUE())))</f>
        <v/>
      </c>
      <c r="AH326" s="135" t="str">
        <f aca="false">IF(ISBLANK($C326),"",IF(G326=Constants!$B$3,TRUE(),IF(G326=Constants!$B$4,FALSE(),TRUE())))</f>
        <v/>
      </c>
      <c r="AI326" s="135" t="str">
        <f aca="false">IF(ISBLANK($C326),"",IF(AND(ISNUMBER(H326),H326&gt;=0),H326,Constants!$B$29))</f>
        <v/>
      </c>
      <c r="AJ326" s="135" t="str">
        <f aca="false">IF(ISBLANK($C326),"",IF(I326=Constants!$B$3,TRUE(),IF(I326=Constants!$B$4,FALSE(),TRUE())))</f>
        <v/>
      </c>
      <c r="AK326" s="135" t="str">
        <f aca="false">IF(ISBLANK($C326),"",IF(J326=Constants!$B$3,TRUE(),IF(J326=Constants!$B$4,FALSE(),TRUE())))</f>
        <v/>
      </c>
      <c r="AL326" s="135" t="str">
        <f aca="false">IF(ISBLANK($C326),"",IF(K326=Constants!$B$5,TRUE(),IF(K326=Constants!$B$6,FALSE(),COUNTA(L326:P326)&gt;0)))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IF(ISBLANK($C326),"",IF(N326=Constants!$B$3,TRUE(),IF(N326=Constants!$B$4,FALSE(),TRUE())))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IF(ISBLANK($C326),"",IF(P326=Constants!$B$3,TRUE(),IF(P326=Constants!$B$4,FALSE(),FALSE())))</f>
        <v/>
      </c>
      <c r="AR326" s="135" t="str">
        <f aca="false">IF(ISBLANK($C326),"",IF(Q326=Constants!$B$3,TRUE(),IF(Q326=Constants!$B$4,FALSE(),TRUE())))</f>
        <v/>
      </c>
      <c r="AS326" s="135" t="str">
        <f aca="false">IF(ISBLANK($C326),"",IF(R326=Constants!$B$3,TRUE(),IF(R326=Constants!$B$4,FALSE(),TRUE())))</f>
        <v/>
      </c>
      <c r="AT326" s="135" t="str">
        <f aca="false">IF(ISBLANK($C326),"",IF(S326=Constants!$B$5,TRUE(),IF(S326=Constants!$B$6,FALSE(),COUNTA(T326:X326)&gt;0)))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IF(ISBLANK($C326),"",IF(V326=Constants!$B$3,TRUE(),IF(V326=Constants!$B$4,FALSE(),TRUE())))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IF(ISBLANK($C326),"",IF(X326=Constants!$B$3,TRUE(),IF(X326=Constants!$B$4,FALSE(),FALSE())))</f>
        <v/>
      </c>
      <c r="AZ326" s="135" t="str">
        <f aca="false">IF(ISBLANK($C326),"",MIN(Constants!$B$31,MAX(0,IF(ISNUMBER(Y326),Y326*60,0)+IF(ISNUMBER(Z326),Z326,0))))</f>
        <v/>
      </c>
      <c r="BA326" s="135" t="str">
        <f aca="false">IF(ISBLANK($C326),"",IF(AA326=Constants!$B$3,TRUE(),IF(AA326=Constants!$B$4,FALSE(),FALSE())))</f>
        <v/>
      </c>
      <c r="BB326" s="134" t="str">
        <f aca="false">IF(ISBLANK($C326),"",AND($AL326,OR($AM326="",$AN326="",AND($AO326,$AP326=""))))</f>
        <v/>
      </c>
      <c r="BC326" s="137" t="str">
        <f aca="false">IF($BZ326&lt;&gt;Constants!$B$8,"",IF($AL326,Constants!$B$21*$AN326+Constants!$B$22*IF($AO326,$AP326,Constants!$B$23),Constants!$B$24))</f>
        <v/>
      </c>
      <c r="BD326" s="138" t="str">
        <f aca="false">IF($BZ326&lt;&gt;Constants!$B$8,"",Constants!$B$25*ABS($AD$9-IF($AL326,$AM326,0)))</f>
        <v/>
      </c>
      <c r="BE326" s="138" t="str">
        <f aca="false">IF($BZ326&lt;&gt;Constants!$B$8,"",IF(AND($AL326,$AQ326,$AO326),Constants!$B$27,0))</f>
        <v/>
      </c>
      <c r="BF326" s="138" t="str">
        <f aca="false">IF($BZ326&lt;&gt;Constants!$B$8,"",IF($AL326,($AI326-Constants!$B$29)*Constants!$B$28,0))</f>
        <v/>
      </c>
      <c r="BG326" s="138" t="str">
        <f aca="false">IF($BZ326&lt;&gt;Constants!$B$8,"",IF($AK326,0,Constants!$B$15)+IF($AJ326,0,Constants!$B$16)+IF($AH326,0,Constants!$B$17))</f>
        <v/>
      </c>
      <c r="BH326" s="139" t="str">
        <f aca="false">IF($BZ326&lt;&gt;Constants!$B$8,"",Constants!$B$20+SUM($BC326:$BG326))</f>
        <v/>
      </c>
      <c r="BI326" s="138" t="str">
        <f aca="false">IF($BZ326&lt;&gt;Constants!$B$8,"",$BC326)</f>
        <v/>
      </c>
      <c r="BJ326" s="138" t="str">
        <f aca="false">IF($BZ326&lt;&gt;Constants!$B$8,"",$BD326)</f>
        <v/>
      </c>
      <c r="BK326" s="138" t="str">
        <f aca="false">IF($BZ326&lt;&gt;Constants!$B$8,"",IF($AL326,$AN326,""))</f>
        <v/>
      </c>
      <c r="BL326" s="140" t="str">
        <f aca="false">IF($BZ326&lt;&gt;Constants!$B$8,"",$AI326)</f>
        <v/>
      </c>
      <c r="BM326" s="135" t="str">
        <f aca="false">IF($BZ326&lt;&gt;Constants!$B$8,"",IF(OR($BT326&lt;$BH326,AND($BT326=$BH326,OR($BU326&lt;$BI326,AND($BU326=$BI326,OR($BV326&lt;$BJ326,AND($BV326=$BJ326,OR(AND(ISNUMBER($BW326),OR(NOT(ISNUMBER($BK326)),$BW326&lt;$BK326)),AND(OR(AND($BW326="",$BK326=""),AND(ISNUMBER($BW326),ISNUMBER($BK326),$BW326=$BK326)),$BX326&lt;$BL326)))))))),"-&gt;","&lt;-"))</f>
        <v/>
      </c>
      <c r="BN326" s="134" t="str">
        <f aca="false">IF(ISBLANK($C326),"",AND($AT326,OR($AU326="",$AV326="",AND($AW326,$AX326=""))))</f>
        <v/>
      </c>
      <c r="BO326" s="137" t="str">
        <f aca="false">IF($BZ326&lt;&gt;Constants!$B$8,"",IF($AT326,Constants!$B$21*$AV326+Constants!$B$22*IF($AW326,$AX326,Constants!$B$23),Constants!$B$24))</f>
        <v/>
      </c>
      <c r="BP326" s="138" t="str">
        <f aca="false">IF($BZ326&lt;&gt;Constants!$B$8,"",Constants!$B$25*ABS($AD$9-IF($AT326,$AU326,0)))</f>
        <v/>
      </c>
      <c r="BQ326" s="138" t="str">
        <f aca="false">IF($BZ326&lt;&gt;Constants!$B$8,"",IF(AND($AT326,$AY326,$AW326),Constants!$B$27,0))</f>
        <v/>
      </c>
      <c r="BR326" s="138" t="str">
        <f aca="false">IF($BZ326&lt;&gt;Constants!$B$8,"",IF($AT326,($AI326-Constants!$B$29)*Constants!$B$28,0))</f>
        <v/>
      </c>
      <c r="BS326" s="138" t="str">
        <f aca="false">IF($BZ326&lt;&gt;Constants!$B$8,"",IF($AS326,0,Constants!$B$15)+IF($AR326,0,Constants!$B$16)+IF($AH326,0,Constants!$B$17))</f>
        <v/>
      </c>
      <c r="BT326" s="139" t="str">
        <f aca="false">IF($BZ326&lt;&gt;Constants!$B$8,"",Constants!$B$20+SUM($BO326:$BS326))</f>
        <v/>
      </c>
      <c r="BU326" s="138" t="str">
        <f aca="false">IF($BZ326&lt;&gt;Constants!$B$8,"",$BO326)</f>
        <v/>
      </c>
      <c r="BV326" s="138" t="str">
        <f aca="false">IF($BZ326&lt;&gt;Constants!$B$8,"",$BP326)</f>
        <v/>
      </c>
      <c r="BW326" s="138" t="str">
        <f aca="false">IF($BZ326&lt;&gt;Constants!$B$8,"",IF($AT326,$AV326,""))</f>
        <v/>
      </c>
      <c r="BX326" s="140" t="str">
        <f aca="false">IF($BZ326&lt;&gt;Constants!$B$8,"",$AI326)</f>
        <v/>
      </c>
      <c r="BY326" s="135" t="str">
        <f aca="false">IF(ISBLANK($C326),"",IF(ISBLANK($D$7),$BY$5,IF(NOT(ISNUMBER($D$7)),$BY$6,"")))</f>
        <v/>
      </c>
      <c r="BZ326" s="135" t="str">
        <f aca="false">IF(ISBLANK($C326),"",IF($BA326,Constants!$B$11,IF(COUNTA($E326:$AA326)=0,Constants!$B$10,IF(NOT($AG326),Constants!$B$9,IF(OR($BY326&lt;&gt;"",$BB326,$BN326),Constants!$B$12,Constants!$B$8)))))</f>
        <v/>
      </c>
      <c r="CA326" s="135" t="str">
        <f aca="false">IF(ISBLANK($C326),"",IF($BZ326&lt;&gt;Constants!$B$8,$BZ326,Constants!$B$13))</f>
        <v/>
      </c>
      <c r="CB326" s="138" t="str">
        <f aca="false">IF($BZ326&lt;&gt;Constants!$B$8,"",IF($BM326="-&gt;",$BT326,$BH326))</f>
        <v/>
      </c>
      <c r="CC326" s="138" t="str">
        <f aca="false">IF($BZ326&lt;&gt;Constants!$B$8,"",IF($AF326,0,Constants!$B$18))</f>
        <v/>
      </c>
      <c r="CD326" s="138" t="str">
        <f aca="false">IF($BZ326&lt;&gt;Constants!$B$8,"",((Constants!$B$31-$AZ326)-Constants!$B$31)/Constants!$B$32)</f>
        <v/>
      </c>
      <c r="CE326" s="138" t="str">
        <f aca="false">IF(ISBLANK($C326),"",IF($BZ326&lt;&gt;Constants!$B$8,$BZ326,SUM($CB326:$CD326)))</f>
        <v/>
      </c>
      <c r="CF326" s="135" t="str">
        <f aca="false">IF(ISBLANK($C326),"",IF($BZ326&lt;&gt;Constants!$B$8,$BZ326,RANK($CE326,$CE$9:$CE$508,1)))</f>
        <v/>
      </c>
      <c r="CG326" s="138" t="str">
        <f aca="false">IF($BZ326&lt;&gt;Constants!$B$8,"",IF($BM326="-&gt;",$BU326,$BI326))</f>
        <v/>
      </c>
      <c r="CH326" s="135" t="str">
        <f aca="false">IF(ISBLANK($C326),"",IF($BZ326&lt;&gt;Constants!$B$8,$BZ326,IF(ISNUMBER($CG326),RANK($CG326,$CG$9:$CG$508,1),COUNT($CG$9:$CG$508)+1)))</f>
        <v/>
      </c>
      <c r="CI326" s="138" t="str">
        <f aca="false">IF($BZ326&lt;&gt;Constants!$B$8,"",IF($BM326="-&gt;",$BV326,$BJ326))</f>
        <v/>
      </c>
      <c r="CJ326" s="135" t="str">
        <f aca="false">IF(ISBLANK($C326),"",IF($BZ326&lt;&gt;Constants!$B$8,$BZ326,IF(ISNUMBER($CI326),RANK($CI326,$CI$9:$CI$508,1),COUNT($CI$9:$CI$508)+1)))</f>
        <v/>
      </c>
      <c r="CK326" s="138" t="str">
        <f aca="false">IF($BZ326&lt;&gt;Constants!$B$8,"",IF($BM326="-&gt;",$BW326,$BK326))</f>
        <v/>
      </c>
      <c r="CL326" s="135" t="str">
        <f aca="false">IF(ISBLANK($C326),"",IF($BZ326&lt;&gt;Constants!$B$8,$BZ326,IF(ISNUMBER($CK326),RANK($CK326,$CK$9:$CK$508,1),COUNT($CK$9:$CK$508)+1)))</f>
        <v/>
      </c>
      <c r="CM326" s="138" t="str">
        <f aca="false">IF($BZ326&lt;&gt;Constants!$B$8,"",IF(AND(NOT($AL326),NOT($AT326),$AJ326,$AK326,$AR326,$AS326),"",IF($BM326="-&gt;",$BX326,$BL326)))</f>
        <v/>
      </c>
      <c r="CN326" s="135" t="str">
        <f aca="false">IF(ISBLANK($C326),"",IF($BZ326&lt;&gt;Constants!$B$8,$BZ326,IF(ISNUMBER($CM326),RANK($CM326,$CM$9:$CM$508,1),COUNT($CM$9:$CM$508)+1)))</f>
        <v/>
      </c>
      <c r="CO326" s="135" t="str">
        <f aca="false">IF(ISBLANK($C326),"",IF($BZ326&lt;&gt;Constants!$B$8,$BZ326,COUNTIFS($CF$9:$CF$508,"&lt;"&amp;$CF326)+COUNTIFS($CF$9:$CF$508,$CF326,$CH$9:$CH$508,"&lt;"&amp;$CH326)+COUNTIFS($CF$9:$CF$508,$CF326,$CH$9:$CH$508,$CH326,$CJ$9:$CJ$508,"&lt;"&amp;$CJ326)+COUNTIFS($CF$9:$CF$508,$CF326,$CH$9:$CH$508,$CH326,$CJ$9:$CJ$508,$CJ326,$CL$9:$CL$508,"&lt;"&amp;$CL326)+COUNTIFS($CF$9:$CF$508,$CF326,$CH$9:$CH$508,$CH326,$CJ$9:$CJ$508,$CJ326,$CL$9:$CL$508,$CL326,$CN$9:$CN$508,"&lt;"&amp;$CN326)+1))</f>
        <v/>
      </c>
      <c r="CP326" s="135" t="str">
        <f aca="false">IF(ISBLANK($C326),"",IF($BZ326&lt;&gt;Constants!$B$8,$BZ326,$CF326-$CO326))</f>
        <v/>
      </c>
      <c r="CQ326" s="141"/>
      <c r="CR326" s="142"/>
      <c r="CS326" s="143" t="str">
        <f aca="false">IF(ISBLANK($C326),"",IF($BZ326=Constants!$B$12,$BY326,""))</f>
        <v/>
      </c>
      <c r="CT326" s="142" t="str">
        <f aca="false">IF(ISBLANK($C326),"",IF($BZ326&lt;&gt;Constants!$B$8,"",IF($BM326="-&gt;",2,1)))</f>
        <v/>
      </c>
      <c r="CU326" s="144" t="str">
        <f aca="false">IF(ISBLANK($C326),"",IF($BZ326&lt;&gt;Constants!$B$8,"",IF($BM326="-&gt;",$BO326,$BC326)))</f>
        <v/>
      </c>
      <c r="CV326" s="144" t="str">
        <f aca="false">IF(ISBLANK($C326),"",IF($BZ326&lt;&gt;Constants!$B$8,"",IF($BM326="-&gt;",$BP326,$BD326)))</f>
        <v/>
      </c>
      <c r="CW326" s="144" t="str">
        <f aca="false">IF(ISBLANK($C326),"",IF($BZ326&lt;&gt;Constants!$B$8,"",IF($BM326="-&gt;",$BQ326+$BR326,$BE326+$BF326)+$CD326))</f>
        <v/>
      </c>
      <c r="CX326" s="144" t="str">
        <f aca="false">IF(ISBLANK($C326),"",IF($BZ326&lt;&gt;Constants!$B$8,"",IF($BM326="-&gt;",$BS326,$BG326)+$CC326))</f>
        <v/>
      </c>
      <c r="CY326" s="145" t="str">
        <f aca="false">IF(ISBLANK($C326),"",IF($BZ326&lt;&gt;Constants!$B$8,$BZ326,$CE326))</f>
        <v/>
      </c>
      <c r="CZ326" s="146" t="str">
        <f aca="false">IF(ISBLANK($C326),"",$CA326)</f>
        <v/>
      </c>
      <c r="DA326" s="147" t="str">
        <f aca="false">IF(ISBLANK($C326),"",$CP326)</f>
        <v/>
      </c>
      <c r="DB326" s="147" t="str">
        <f aca="false">IF(ISBLANK($C326),"",$CO326)</f>
        <v/>
      </c>
      <c r="DC326" s="148" t="str">
        <f aca="false">IF(ISBLANK($C326),"",IFERROR(_xlfn.SWITCH($DB326,Constants!$B$11,COUNTA($C$9:$C$508)+2,Constants!$B$10,COUNTA($C$9:$C$508)+1,Constants!$B$9,COUNTA($C$9:$C$508)),$DB326))</f>
        <v/>
      </c>
      <c r="DD326" s="9"/>
      <c r="DE326" s="149" t="n">
        <f aca="false">IF(OR(ISNUMBER($DB326),$DB326=Constants!$B$11,$DB326=Constants!$B$9,$DB326=Constants!$B$10),1,0)</f>
        <v>0</v>
      </c>
      <c r="DF326" s="149" t="n">
        <v>318</v>
      </c>
      <c r="DG326" s="149" t="str">
        <f aca="false">IF(ISBLANK($C326),"",IF(ISNUMBER($DC326),$DC326+ROW($B326)/1000,""))</f>
        <v/>
      </c>
      <c r="DH326" s="149" t="str">
        <f aca="false">IF(ISNUMBER($DG326),RANK($DG326,$DG$9:$DG$508,1),"")</f>
        <v/>
      </c>
      <c r="DI326" s="149" t="str">
        <f aca="false">IF(ISBLANK($C326),"",$B326)</f>
        <v/>
      </c>
      <c r="DJ326" s="149" t="str">
        <f aca="false">IF(ISBLANK($C326),"",$C326)</f>
        <v/>
      </c>
      <c r="DK326" s="149" t="str">
        <f aca="false">IF(ISBLANK($C326),"",$D326)</f>
        <v/>
      </c>
      <c r="DL326" s="150" t="str">
        <f aca="false">$CZ326</f>
        <v/>
      </c>
      <c r="DM326" s="151" t="str">
        <f aca="false">$CY326</f>
        <v/>
      </c>
      <c r="DN326" s="149" t="str">
        <f aca="false">IF(ISBLANK($C326),"",$DB326)</f>
        <v/>
      </c>
      <c r="DO326" s="152" t="str">
        <f aca="false">IF($DF326&gt;$DE$8,"",VLOOKUP($DF326,$DH$9:$DN$508,7,FALSE()))</f>
        <v/>
      </c>
      <c r="DP326" s="153" t="str">
        <f aca="false">IF($DF326&gt;$DE$8,"",VLOOKUP($DF326,$DH$9:$DN$508,2,FALSE()))</f>
        <v/>
      </c>
      <c r="DQ326" s="153" t="str">
        <f aca="false">IF($DF326&gt;$DE$8,"",VLOOKUP($DF326,$DH$9:$DN$508,3,FALSE()))</f>
        <v/>
      </c>
      <c r="DR326" s="153" t="str">
        <f aca="false">IF($DF326&gt;$DE$8,"",VLOOKUP($DF326,$DH$9:$DN$508,4,FALSE()))</f>
        <v/>
      </c>
      <c r="DS326" s="153" t="str">
        <f aca="false">IF($DF326&gt;$DE$8,"",VLOOKUP($DF326,$DH$9:$DN$508,5,FALSE()))</f>
        <v/>
      </c>
      <c r="DT326" s="154" t="str">
        <f aca="false">IF($DF326&gt;$DE$8,"",VLOOKUP($DF326,$DH$9:$DN$508,6,FALSE()))</f>
        <v/>
      </c>
      <c r="DU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IF(ISBLANK($C327),"",IF(E327=Constants!$B$3,TRUE(),IF(E327=Constants!$B$4,FALSE(),TRUE())))</f>
        <v/>
      </c>
      <c r="AG327" s="93" t="str">
        <f aca="false">IF(ISBLANK($C327),"",IF(F327=Constants!$B$3,TRUE(),IF(F327=Constants!$B$4,FALSE(),TRUE())))</f>
        <v/>
      </c>
      <c r="AH327" s="93" t="str">
        <f aca="false">IF(ISBLANK($C327),"",IF(G327=Constants!$B$3,TRUE(),IF(G327=Constants!$B$4,FALSE(),TRUE())))</f>
        <v/>
      </c>
      <c r="AI327" s="93" t="str">
        <f aca="false">IF(ISBLANK($C327),"",IF(AND(ISNUMBER(H327),H327&gt;=0),H327,Constants!$B$29))</f>
        <v/>
      </c>
      <c r="AJ327" s="93" t="str">
        <f aca="false">IF(ISBLANK($C327),"",IF(I327=Constants!$B$3,TRUE(),IF(I327=Constants!$B$4,FALSE(),TRUE())))</f>
        <v/>
      </c>
      <c r="AK327" s="93" t="str">
        <f aca="false">IF(ISBLANK($C327),"",IF(J327=Constants!$B$3,TRUE(),IF(J327=Constants!$B$4,FALSE(),TRUE())))</f>
        <v/>
      </c>
      <c r="AL327" s="93" t="str">
        <f aca="false">IF(ISBLANK($C327),"",IF(K327=Constants!$B$5,TRUE(),IF(K327=Constants!$B$6,FALSE(),COUNTA(L327:P327)&gt;0)))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IF(ISBLANK($C327),"",IF(N327=Constants!$B$3,TRUE(),IF(N327=Constants!$B$4,FALSE(),TRUE())))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IF(ISBLANK($C327),"",IF(P327=Constants!$B$3,TRUE(),IF(P327=Constants!$B$4,FALSE(),FALSE())))</f>
        <v/>
      </c>
      <c r="AR327" s="93" t="str">
        <f aca="false">IF(ISBLANK($C327),"",IF(Q327=Constants!$B$3,TRUE(),IF(Q327=Constants!$B$4,FALSE(),TRUE())))</f>
        <v/>
      </c>
      <c r="AS327" s="93" t="str">
        <f aca="false">IF(ISBLANK($C327),"",IF(R327=Constants!$B$3,TRUE(),IF(R327=Constants!$B$4,FALSE(),TRUE())))</f>
        <v/>
      </c>
      <c r="AT327" s="93" t="str">
        <f aca="false">IF(ISBLANK($C327),"",IF(S327=Constants!$B$5,TRUE(),IF(S327=Constants!$B$6,FALSE(),COUNTA(T327:X327)&gt;0)))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IF(ISBLANK($C327),"",IF(V327=Constants!$B$3,TRUE(),IF(V327=Constants!$B$4,FALSE(),TRUE())))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IF(ISBLANK($C327),"",IF(X327=Constants!$B$3,TRUE(),IF(X327=Constants!$B$4,FALSE(),FALSE())))</f>
        <v/>
      </c>
      <c r="AZ327" s="93" t="str">
        <f aca="false">IF(ISBLANK($C327),"",MIN(Constants!$B$31,MAX(0,IF(ISNUMBER(Y327),Y327*60,0)+IF(ISNUMBER(Z327),Z327,0))))</f>
        <v/>
      </c>
      <c r="BA327" s="93" t="str">
        <f aca="false">IF(ISBLANK($C327),"",IF(AA327=Constants!$B$3,TRUE(),IF(AA327=Constants!$B$4,FALSE(),FALSE())))</f>
        <v/>
      </c>
      <c r="BB327" s="92" t="str">
        <f aca="false">IF(ISBLANK($C327),"",AND($AL327,OR($AM327="",$AN327="",AND($AO327,$AP327=""))))</f>
        <v/>
      </c>
      <c r="BC327" s="94" t="str">
        <f aca="false">IF($BZ327&lt;&gt;Constants!$B$8,"",IF($AL327,Constants!$B$21*$AN327+Constants!$B$22*IF($AO327,$AP327,Constants!$B$23),Constants!$B$24))</f>
        <v/>
      </c>
      <c r="BD327" s="97" t="str">
        <f aca="false">IF($BZ327&lt;&gt;Constants!$B$8,"",Constants!$B$25*ABS($AD$9-IF($AL327,$AM327,0)))</f>
        <v/>
      </c>
      <c r="BE327" s="97" t="str">
        <f aca="false">IF($BZ327&lt;&gt;Constants!$B$8,"",IF(AND($AL327,$AQ327,$AO327),Constants!$B$27,0))</f>
        <v/>
      </c>
      <c r="BF327" s="97" t="str">
        <f aca="false">IF($BZ327&lt;&gt;Constants!$B$8,"",IF($AL327,($AI327-Constants!$B$29)*Constants!$B$28,0))</f>
        <v/>
      </c>
      <c r="BG327" s="97" t="str">
        <f aca="false">IF($BZ327&lt;&gt;Constants!$B$8,"",IF($AK327,0,Constants!$B$15)+IF($AJ327,0,Constants!$B$16)+IF($AH327,0,Constants!$B$17))</f>
        <v/>
      </c>
      <c r="BH327" s="98" t="str">
        <f aca="false">IF($BZ327&lt;&gt;Constants!$B$8,"",Constants!$B$20+SUM($BC327:$BG327))</f>
        <v/>
      </c>
      <c r="BI327" s="97" t="str">
        <f aca="false">IF($BZ327&lt;&gt;Constants!$B$8,"",$BC327)</f>
        <v/>
      </c>
      <c r="BJ327" s="97" t="str">
        <f aca="false">IF($BZ327&lt;&gt;Constants!$B$8,"",$BD327)</f>
        <v/>
      </c>
      <c r="BK327" s="97" t="str">
        <f aca="false">IF($BZ327&lt;&gt;Constants!$B$8,"",IF($AL327,$AN327,""))</f>
        <v/>
      </c>
      <c r="BL327" s="99" t="str">
        <f aca="false">IF($BZ327&lt;&gt;Constants!$B$8,"",$AI327)</f>
        <v/>
      </c>
      <c r="BM327" s="93" t="str">
        <f aca="false">IF($BZ327&lt;&gt;Constants!$B$8,"",IF(OR($BT327&lt;$BH327,AND($BT327=$BH327,OR($BU327&lt;$BI327,AND($BU327=$BI327,OR($BV327&lt;$BJ327,AND($BV327=$BJ327,OR(AND(ISNUMBER($BW327),OR(NOT(ISNUMBER($BK327)),$BW327&lt;$BK327)),AND(OR(AND($BW327="",$BK327=""),AND(ISNUMBER($BW327),ISNUMBER($BK327),$BW327=$BK327)),$BX327&lt;$BL327)))))))),"-&gt;","&lt;-"))</f>
        <v/>
      </c>
      <c r="BN327" s="92" t="str">
        <f aca="false">IF(ISBLANK($C327),"",AND($AT327,OR($AU327="",$AV327="",AND($AW327,$AX327=""))))</f>
        <v/>
      </c>
      <c r="BO327" s="94" t="str">
        <f aca="false">IF($BZ327&lt;&gt;Constants!$B$8,"",IF($AT327,Constants!$B$21*$AV327+Constants!$B$22*IF($AW327,$AX327,Constants!$B$23),Constants!$B$24))</f>
        <v/>
      </c>
      <c r="BP327" s="97" t="str">
        <f aca="false">IF($BZ327&lt;&gt;Constants!$B$8,"",Constants!$B$25*ABS($AD$9-IF($AT327,$AU327,0)))</f>
        <v/>
      </c>
      <c r="BQ327" s="97" t="str">
        <f aca="false">IF($BZ327&lt;&gt;Constants!$B$8,"",IF(AND($AT327,$AY327,$AW327),Constants!$B$27,0))</f>
        <v/>
      </c>
      <c r="BR327" s="97" t="str">
        <f aca="false">IF($BZ327&lt;&gt;Constants!$B$8,"",IF($AT327,($AI327-Constants!$B$29)*Constants!$B$28,0))</f>
        <v/>
      </c>
      <c r="BS327" s="97" t="str">
        <f aca="false">IF($BZ327&lt;&gt;Constants!$B$8,"",IF($AS327,0,Constants!$B$15)+IF($AR327,0,Constants!$B$16)+IF($AH327,0,Constants!$B$17))</f>
        <v/>
      </c>
      <c r="BT327" s="98" t="str">
        <f aca="false">IF($BZ327&lt;&gt;Constants!$B$8,"",Constants!$B$20+SUM($BO327:$BS327))</f>
        <v/>
      </c>
      <c r="BU327" s="97" t="str">
        <f aca="false">IF($BZ327&lt;&gt;Constants!$B$8,"",$BO327)</f>
        <v/>
      </c>
      <c r="BV327" s="97" t="str">
        <f aca="false">IF($BZ327&lt;&gt;Constants!$B$8,"",$BP327)</f>
        <v/>
      </c>
      <c r="BW327" s="97" t="str">
        <f aca="false">IF($BZ327&lt;&gt;Constants!$B$8,"",IF($AT327,$AV327,""))</f>
        <v/>
      </c>
      <c r="BX327" s="99" t="str">
        <f aca="false">IF($BZ327&lt;&gt;Constants!$B$8,"",$AI327)</f>
        <v/>
      </c>
      <c r="BY327" s="93" t="str">
        <f aca="false">IF(ISBLANK($C327),"",IF(ISBLANK($D$7),$BY$5,IF(NOT(ISNUMBER($D$7)),$BY$6,"")))</f>
        <v/>
      </c>
      <c r="BZ327" s="93" t="str">
        <f aca="false">IF(ISBLANK($C327),"",IF($BA327,Constants!$B$11,IF(COUNTA($E327:$AA327)=0,Constants!$B$10,IF(NOT($AG327),Constants!$B$9,IF(OR($BY327&lt;&gt;"",$BB327,$BN327),Constants!$B$12,Constants!$B$8)))))</f>
        <v/>
      </c>
      <c r="CA327" s="93" t="str">
        <f aca="false">IF(ISBLANK($C327),"",IF($BZ327&lt;&gt;Constants!$B$8,$BZ327,Constants!$B$13))</f>
        <v/>
      </c>
      <c r="CB327" s="97" t="str">
        <f aca="false">IF($BZ327&lt;&gt;Constants!$B$8,"",IF($BM327="-&gt;",$BT327,$BH327))</f>
        <v/>
      </c>
      <c r="CC327" s="97" t="str">
        <f aca="false">IF($BZ327&lt;&gt;Constants!$B$8,"",IF($AF327,0,Constants!$B$18))</f>
        <v/>
      </c>
      <c r="CD327" s="97" t="str">
        <f aca="false">IF($BZ327&lt;&gt;Constants!$B$8,"",((Constants!$B$31-$AZ327)-Constants!$B$31)/Constants!$B$32)</f>
        <v/>
      </c>
      <c r="CE327" s="97" t="str">
        <f aca="false">IF(ISBLANK($C327),"",IF($BZ327&lt;&gt;Constants!$B$8,$BZ327,SUM($CB327:$CD327)))</f>
        <v/>
      </c>
      <c r="CF327" s="93" t="str">
        <f aca="false">IF(ISBLANK($C327),"",IF($BZ327&lt;&gt;Constants!$B$8,$BZ327,RANK($CE327,$CE$9:$CE$508,1)))</f>
        <v/>
      </c>
      <c r="CG327" s="97" t="str">
        <f aca="false">IF($BZ327&lt;&gt;Constants!$B$8,"",IF($BM327="-&gt;",$BU327,$BI327))</f>
        <v/>
      </c>
      <c r="CH327" s="93" t="str">
        <f aca="false">IF(ISBLANK($C327),"",IF($BZ327&lt;&gt;Constants!$B$8,$BZ327,IF(ISNUMBER($CG327),RANK($CG327,$CG$9:$CG$508,1),COUNT($CG$9:$CG$508)+1)))</f>
        <v/>
      </c>
      <c r="CI327" s="97" t="str">
        <f aca="false">IF($BZ327&lt;&gt;Constants!$B$8,"",IF($BM327="-&gt;",$BV327,$BJ327))</f>
        <v/>
      </c>
      <c r="CJ327" s="93" t="str">
        <f aca="false">IF(ISBLANK($C327),"",IF($BZ327&lt;&gt;Constants!$B$8,$BZ327,IF(ISNUMBER($CI327),RANK($CI327,$CI$9:$CI$508,1),COUNT($CI$9:$CI$508)+1)))</f>
        <v/>
      </c>
      <c r="CK327" s="97" t="str">
        <f aca="false">IF($BZ327&lt;&gt;Constants!$B$8,"",IF($BM327="-&gt;",$BW327,$BK327))</f>
        <v/>
      </c>
      <c r="CL327" s="93" t="str">
        <f aca="false">IF(ISBLANK($C327),"",IF($BZ327&lt;&gt;Constants!$B$8,$BZ327,IF(ISNUMBER($CK327),RANK($CK327,$CK$9:$CK$508,1),COUNT($CK$9:$CK$508)+1)))</f>
        <v/>
      </c>
      <c r="CM327" s="97" t="str">
        <f aca="false">IF($BZ327&lt;&gt;Constants!$B$8,"",IF(AND(NOT($AL327),NOT($AT327),$AJ327,$AK327,$AR327,$AS327),"",IF($BM327="-&gt;",$BX327,$BL327)))</f>
        <v/>
      </c>
      <c r="CN327" s="93" t="str">
        <f aca="false">IF(ISBLANK($C327),"",IF($BZ327&lt;&gt;Constants!$B$8,$BZ327,IF(ISNUMBER($CM327),RANK($CM327,$CM$9:$CM$508,1),COUNT($CM$9:$CM$508)+1)))</f>
        <v/>
      </c>
      <c r="CO327" s="93" t="str">
        <f aca="false">IF(ISBLANK($C327),"",IF($BZ327&lt;&gt;Constants!$B$8,$BZ327,COUNTIFS($CF$9:$CF$508,"&lt;"&amp;$CF327)+COUNTIFS($CF$9:$CF$508,$CF327,$CH$9:$CH$508,"&lt;"&amp;$CH327)+COUNTIFS($CF$9:$CF$508,$CF327,$CH$9:$CH$508,$CH327,$CJ$9:$CJ$508,"&lt;"&amp;$CJ327)+COUNTIFS($CF$9:$CF$508,$CF327,$CH$9:$CH$508,$CH327,$CJ$9:$CJ$508,$CJ327,$CL$9:$CL$508,"&lt;"&amp;$CL327)+COUNTIFS($CF$9:$CF$508,$CF327,$CH$9:$CH$508,$CH327,$CJ$9:$CJ$508,$CJ327,$CL$9:$CL$508,$CL327,$CN$9:$CN$508,"&lt;"&amp;$CN327)+1))</f>
        <v/>
      </c>
      <c r="CP327" s="93" t="str">
        <f aca="false">IF(ISBLANK($C327),"",IF($BZ327&lt;&gt;Constants!$B$8,$BZ327,$CF327-$CO327))</f>
        <v/>
      </c>
      <c r="CQ327" s="100"/>
      <c r="CR327" s="101"/>
      <c r="CS327" s="102" t="str">
        <f aca="false">IF(ISBLANK($C327),"",IF($BZ327=Constants!$B$12,$BY327,""))</f>
        <v/>
      </c>
      <c r="CT327" s="101" t="str">
        <f aca="false">IF(ISBLANK($C327),"",IF($BZ327&lt;&gt;Constants!$B$8,"",IF($BM327="-&gt;",2,1)))</f>
        <v/>
      </c>
      <c r="CU327" s="103" t="str">
        <f aca="false">IF(ISBLANK($C327),"",IF($BZ327&lt;&gt;Constants!$B$8,"",IF($BM327="-&gt;",$BO327,$BC327)))</f>
        <v/>
      </c>
      <c r="CV327" s="103" t="str">
        <f aca="false">IF(ISBLANK($C327),"",IF($BZ327&lt;&gt;Constants!$B$8,"",IF($BM327="-&gt;",$BP327,$BD327)))</f>
        <v/>
      </c>
      <c r="CW327" s="103" t="str">
        <f aca="false">IF(ISBLANK($C327),"",IF($BZ327&lt;&gt;Constants!$B$8,"",IF($BM327="-&gt;",$BQ327+$BR327,$BE327+$BF327)+$CD327))</f>
        <v/>
      </c>
      <c r="CX327" s="103" t="str">
        <f aca="false">IF(ISBLANK($C327),"",IF($BZ327&lt;&gt;Constants!$B$8,"",IF($BM327="-&gt;",$BS327,$BG327)+$CC327))</f>
        <v/>
      </c>
      <c r="CY327" s="104" t="str">
        <f aca="false">IF(ISBLANK($C327),"",IF($BZ327&lt;&gt;Constants!$B$8,$BZ327,$CE327))</f>
        <v/>
      </c>
      <c r="CZ327" s="105" t="str">
        <f aca="false">IF(ISBLANK($C327),"",$CA327)</f>
        <v/>
      </c>
      <c r="DA327" s="106" t="str">
        <f aca="false">IF(ISBLANK($C327),"",$CP327)</f>
        <v/>
      </c>
      <c r="DB327" s="106" t="str">
        <f aca="false">IF(ISBLANK($C327),"",$CO327)</f>
        <v/>
      </c>
      <c r="DC327" s="107" t="str">
        <f aca="false">IF(ISBLANK($C327),"",IFERROR(_xlfn.SWITCH($DB327,Constants!$B$11,COUNTA($C$9:$C$508)+2,Constants!$B$10,COUNTA($C$9:$C$508)+1,Constants!$B$9,COUNTA($C$9:$C$508)),$DB327))</f>
        <v/>
      </c>
      <c r="DD327" s="9"/>
      <c r="DE327" s="108" t="n">
        <f aca="false">IF(OR(ISNUMBER($DB327),$DB327=Constants!$B$11,$DB327=Constants!$B$9,$DB327=Constants!$B$10),1,0)</f>
        <v>0</v>
      </c>
      <c r="DF327" s="108" t="n">
        <v>319</v>
      </c>
      <c r="DG327" s="108" t="str">
        <f aca="false">IF(ISBLANK($C327),"",IF(ISNUMBER($DC327),$DC327+ROW($B327)/1000,""))</f>
        <v/>
      </c>
      <c r="DH327" s="108" t="str">
        <f aca="false">IF(ISNUMBER($DG327),RANK($DG327,$DG$9:$DG$508,1),"")</f>
        <v/>
      </c>
      <c r="DI327" s="108" t="str">
        <f aca="false">IF(ISBLANK($C327),"",$B327)</f>
        <v/>
      </c>
      <c r="DJ327" s="108" t="str">
        <f aca="false">IF(ISBLANK($C327),"",$C327)</f>
        <v/>
      </c>
      <c r="DK327" s="108" t="str">
        <f aca="false">IF(ISBLANK($C327),"",$D327)</f>
        <v/>
      </c>
      <c r="DL327" s="109" t="str">
        <f aca="false">$CZ327</f>
        <v/>
      </c>
      <c r="DM327" s="110" t="str">
        <f aca="false">$CY327</f>
        <v/>
      </c>
      <c r="DN327" s="108" t="str">
        <f aca="false">IF(ISBLANK($C327),"",$DB327)</f>
        <v/>
      </c>
      <c r="DO327" s="111" t="str">
        <f aca="false">IF($DF327&gt;$DE$8,"",VLOOKUP($DF327,$DH$9:$DN$508,7,FALSE()))</f>
        <v/>
      </c>
      <c r="DP327" s="112" t="str">
        <f aca="false">IF($DF327&gt;$DE$8,"",VLOOKUP($DF327,$DH$9:$DN$508,2,FALSE()))</f>
        <v/>
      </c>
      <c r="DQ327" s="112" t="str">
        <f aca="false">IF($DF327&gt;$DE$8,"",VLOOKUP($DF327,$DH$9:$DN$508,3,FALSE()))</f>
        <v/>
      </c>
      <c r="DR327" s="112" t="str">
        <f aca="false">IF($DF327&gt;$DE$8,"",VLOOKUP($DF327,$DH$9:$DN$508,4,FALSE()))</f>
        <v/>
      </c>
      <c r="DS327" s="112" t="str">
        <f aca="false">IF($DF327&gt;$DE$8,"",VLOOKUP($DF327,$DH$9:$DN$508,5,FALSE()))</f>
        <v/>
      </c>
      <c r="DT327" s="113" t="str">
        <f aca="false">IF($DF327&gt;$DE$8,"",VLOOKUP($DF327,$DH$9:$DN$508,6,FALSE()))</f>
        <v/>
      </c>
      <c r="DU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IF(ISBLANK($C328),"",IF(E328=Constants!$B$3,TRUE(),IF(E328=Constants!$B$4,FALSE(),TRUE())))</f>
        <v/>
      </c>
      <c r="AG328" s="93" t="str">
        <f aca="false">IF(ISBLANK($C328),"",IF(F328=Constants!$B$3,TRUE(),IF(F328=Constants!$B$4,FALSE(),TRUE())))</f>
        <v/>
      </c>
      <c r="AH328" s="93" t="str">
        <f aca="false">IF(ISBLANK($C328),"",IF(G328=Constants!$B$3,TRUE(),IF(G328=Constants!$B$4,FALSE(),TRUE())))</f>
        <v/>
      </c>
      <c r="AI328" s="93" t="str">
        <f aca="false">IF(ISBLANK($C328),"",IF(AND(ISNUMBER(H328),H328&gt;=0),H328,Constants!$B$29))</f>
        <v/>
      </c>
      <c r="AJ328" s="93" t="str">
        <f aca="false">IF(ISBLANK($C328),"",IF(I328=Constants!$B$3,TRUE(),IF(I328=Constants!$B$4,FALSE(),TRUE())))</f>
        <v/>
      </c>
      <c r="AK328" s="93" t="str">
        <f aca="false">IF(ISBLANK($C328),"",IF(J328=Constants!$B$3,TRUE(),IF(J328=Constants!$B$4,FALSE(),TRUE())))</f>
        <v/>
      </c>
      <c r="AL328" s="93" t="str">
        <f aca="false">IF(ISBLANK($C328),"",IF(K328=Constants!$B$5,TRUE(),IF(K328=Constants!$B$6,FALSE(),COUNTA(L328:P328)&gt;0)))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IF(ISBLANK($C328),"",IF(N328=Constants!$B$3,TRUE(),IF(N328=Constants!$B$4,FALSE(),TRUE())))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IF(ISBLANK($C328),"",IF(P328=Constants!$B$3,TRUE(),IF(P328=Constants!$B$4,FALSE(),FALSE())))</f>
        <v/>
      </c>
      <c r="AR328" s="93" t="str">
        <f aca="false">IF(ISBLANK($C328),"",IF(Q328=Constants!$B$3,TRUE(),IF(Q328=Constants!$B$4,FALSE(),TRUE())))</f>
        <v/>
      </c>
      <c r="AS328" s="93" t="str">
        <f aca="false">IF(ISBLANK($C328),"",IF(R328=Constants!$B$3,TRUE(),IF(R328=Constants!$B$4,FALSE(),TRUE())))</f>
        <v/>
      </c>
      <c r="AT328" s="93" t="str">
        <f aca="false">IF(ISBLANK($C328),"",IF(S328=Constants!$B$5,TRUE(),IF(S328=Constants!$B$6,FALSE(),COUNTA(T328:X328)&gt;0)))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IF(ISBLANK($C328),"",IF(V328=Constants!$B$3,TRUE(),IF(V328=Constants!$B$4,FALSE(),TRUE())))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IF(ISBLANK($C328),"",IF(X328=Constants!$B$3,TRUE(),IF(X328=Constants!$B$4,FALSE(),FALSE())))</f>
        <v/>
      </c>
      <c r="AZ328" s="93" t="str">
        <f aca="false">IF(ISBLANK($C328),"",MIN(Constants!$B$31,MAX(0,IF(ISNUMBER(Y328),Y328*60,0)+IF(ISNUMBER(Z328),Z328,0))))</f>
        <v/>
      </c>
      <c r="BA328" s="93" t="str">
        <f aca="false">IF(ISBLANK($C328),"",IF(AA328=Constants!$B$3,TRUE(),IF(AA328=Constants!$B$4,FALSE(),FALSE())))</f>
        <v/>
      </c>
      <c r="BB328" s="92" t="str">
        <f aca="false">IF(ISBLANK($C328),"",AND($AL328,OR($AM328="",$AN328="",AND($AO328,$AP328=""))))</f>
        <v/>
      </c>
      <c r="BC328" s="94" t="str">
        <f aca="false">IF($BZ328&lt;&gt;Constants!$B$8,"",IF($AL328,Constants!$B$21*$AN328+Constants!$B$22*IF($AO328,$AP328,Constants!$B$23),Constants!$B$24))</f>
        <v/>
      </c>
      <c r="BD328" s="97" t="str">
        <f aca="false">IF($BZ328&lt;&gt;Constants!$B$8,"",Constants!$B$25*ABS($AD$9-IF($AL328,$AM328,0)))</f>
        <v/>
      </c>
      <c r="BE328" s="97" t="str">
        <f aca="false">IF($BZ328&lt;&gt;Constants!$B$8,"",IF(AND($AL328,$AQ328,$AO328),Constants!$B$27,0))</f>
        <v/>
      </c>
      <c r="BF328" s="97" t="str">
        <f aca="false">IF($BZ328&lt;&gt;Constants!$B$8,"",IF($AL328,($AI328-Constants!$B$29)*Constants!$B$28,0))</f>
        <v/>
      </c>
      <c r="BG328" s="97" t="str">
        <f aca="false">IF($BZ328&lt;&gt;Constants!$B$8,"",IF($AK328,0,Constants!$B$15)+IF($AJ328,0,Constants!$B$16)+IF($AH328,0,Constants!$B$17))</f>
        <v/>
      </c>
      <c r="BH328" s="98" t="str">
        <f aca="false">IF($BZ328&lt;&gt;Constants!$B$8,"",Constants!$B$20+SUM($BC328:$BG328))</f>
        <v/>
      </c>
      <c r="BI328" s="97" t="str">
        <f aca="false">IF($BZ328&lt;&gt;Constants!$B$8,"",$BC328)</f>
        <v/>
      </c>
      <c r="BJ328" s="97" t="str">
        <f aca="false">IF($BZ328&lt;&gt;Constants!$B$8,"",$BD328)</f>
        <v/>
      </c>
      <c r="BK328" s="97" t="str">
        <f aca="false">IF($BZ328&lt;&gt;Constants!$B$8,"",IF($AL328,$AN328,""))</f>
        <v/>
      </c>
      <c r="BL328" s="99" t="str">
        <f aca="false">IF($BZ328&lt;&gt;Constants!$B$8,"",$AI328)</f>
        <v/>
      </c>
      <c r="BM328" s="93" t="str">
        <f aca="false">IF($BZ328&lt;&gt;Constants!$B$8,"",IF(OR($BT328&lt;$BH328,AND($BT328=$BH328,OR($BU328&lt;$BI328,AND($BU328=$BI328,OR($BV328&lt;$BJ328,AND($BV328=$BJ328,OR(AND(ISNUMBER($BW328),OR(NOT(ISNUMBER($BK328)),$BW328&lt;$BK328)),AND(OR(AND($BW328="",$BK328=""),AND(ISNUMBER($BW328),ISNUMBER($BK328),$BW328=$BK328)),$BX328&lt;$BL328)))))))),"-&gt;","&lt;-"))</f>
        <v/>
      </c>
      <c r="BN328" s="92" t="str">
        <f aca="false">IF(ISBLANK($C328),"",AND($AT328,OR($AU328="",$AV328="",AND($AW328,$AX328=""))))</f>
        <v/>
      </c>
      <c r="BO328" s="94" t="str">
        <f aca="false">IF($BZ328&lt;&gt;Constants!$B$8,"",IF($AT328,Constants!$B$21*$AV328+Constants!$B$22*IF($AW328,$AX328,Constants!$B$23),Constants!$B$24))</f>
        <v/>
      </c>
      <c r="BP328" s="97" t="str">
        <f aca="false">IF($BZ328&lt;&gt;Constants!$B$8,"",Constants!$B$25*ABS($AD$9-IF($AT328,$AU328,0)))</f>
        <v/>
      </c>
      <c r="BQ328" s="97" t="str">
        <f aca="false">IF($BZ328&lt;&gt;Constants!$B$8,"",IF(AND($AT328,$AY328,$AW328),Constants!$B$27,0))</f>
        <v/>
      </c>
      <c r="BR328" s="97" t="str">
        <f aca="false">IF($BZ328&lt;&gt;Constants!$B$8,"",IF($AT328,($AI328-Constants!$B$29)*Constants!$B$28,0))</f>
        <v/>
      </c>
      <c r="BS328" s="97" t="str">
        <f aca="false">IF($BZ328&lt;&gt;Constants!$B$8,"",IF($AS328,0,Constants!$B$15)+IF($AR328,0,Constants!$B$16)+IF($AH328,0,Constants!$B$17))</f>
        <v/>
      </c>
      <c r="BT328" s="98" t="str">
        <f aca="false">IF($BZ328&lt;&gt;Constants!$B$8,"",Constants!$B$20+SUM($BO328:$BS328))</f>
        <v/>
      </c>
      <c r="BU328" s="97" t="str">
        <f aca="false">IF($BZ328&lt;&gt;Constants!$B$8,"",$BO328)</f>
        <v/>
      </c>
      <c r="BV328" s="97" t="str">
        <f aca="false">IF($BZ328&lt;&gt;Constants!$B$8,"",$BP328)</f>
        <v/>
      </c>
      <c r="BW328" s="97" t="str">
        <f aca="false">IF($BZ328&lt;&gt;Constants!$B$8,"",IF($AT328,$AV328,""))</f>
        <v/>
      </c>
      <c r="BX328" s="99" t="str">
        <f aca="false">IF($BZ328&lt;&gt;Constants!$B$8,"",$AI328)</f>
        <v/>
      </c>
      <c r="BY328" s="93" t="str">
        <f aca="false">IF(ISBLANK($C328),"",IF(ISBLANK($D$7),$BY$5,IF(NOT(ISNUMBER($D$7)),$BY$6,"")))</f>
        <v/>
      </c>
      <c r="BZ328" s="93" t="str">
        <f aca="false">IF(ISBLANK($C328),"",IF($BA328,Constants!$B$11,IF(COUNTA($E328:$AA328)=0,Constants!$B$10,IF(NOT($AG328),Constants!$B$9,IF(OR($BY328&lt;&gt;"",$BB328,$BN328),Constants!$B$12,Constants!$B$8)))))</f>
        <v/>
      </c>
      <c r="CA328" s="93" t="str">
        <f aca="false">IF(ISBLANK($C328),"",IF($BZ328&lt;&gt;Constants!$B$8,$BZ328,Constants!$B$13))</f>
        <v/>
      </c>
      <c r="CB328" s="97" t="str">
        <f aca="false">IF($BZ328&lt;&gt;Constants!$B$8,"",IF($BM328="-&gt;",$BT328,$BH328))</f>
        <v/>
      </c>
      <c r="CC328" s="97" t="str">
        <f aca="false">IF($BZ328&lt;&gt;Constants!$B$8,"",IF($AF328,0,Constants!$B$18))</f>
        <v/>
      </c>
      <c r="CD328" s="97" t="str">
        <f aca="false">IF($BZ328&lt;&gt;Constants!$B$8,"",((Constants!$B$31-$AZ328)-Constants!$B$31)/Constants!$B$32)</f>
        <v/>
      </c>
      <c r="CE328" s="97" t="str">
        <f aca="false">IF(ISBLANK($C328),"",IF($BZ328&lt;&gt;Constants!$B$8,$BZ328,SUM($CB328:$CD328)))</f>
        <v/>
      </c>
      <c r="CF328" s="93" t="str">
        <f aca="false">IF(ISBLANK($C328),"",IF($BZ328&lt;&gt;Constants!$B$8,$BZ328,RANK($CE328,$CE$9:$CE$508,1)))</f>
        <v/>
      </c>
      <c r="CG328" s="97" t="str">
        <f aca="false">IF($BZ328&lt;&gt;Constants!$B$8,"",IF($BM328="-&gt;",$BU328,$BI328))</f>
        <v/>
      </c>
      <c r="CH328" s="93" t="str">
        <f aca="false">IF(ISBLANK($C328),"",IF($BZ328&lt;&gt;Constants!$B$8,$BZ328,IF(ISNUMBER($CG328),RANK($CG328,$CG$9:$CG$508,1),COUNT($CG$9:$CG$508)+1)))</f>
        <v/>
      </c>
      <c r="CI328" s="97" t="str">
        <f aca="false">IF($BZ328&lt;&gt;Constants!$B$8,"",IF($BM328="-&gt;",$BV328,$BJ328))</f>
        <v/>
      </c>
      <c r="CJ328" s="93" t="str">
        <f aca="false">IF(ISBLANK($C328),"",IF($BZ328&lt;&gt;Constants!$B$8,$BZ328,IF(ISNUMBER($CI328),RANK($CI328,$CI$9:$CI$508,1),COUNT($CI$9:$CI$508)+1)))</f>
        <v/>
      </c>
      <c r="CK328" s="97" t="str">
        <f aca="false">IF($BZ328&lt;&gt;Constants!$B$8,"",IF($BM328="-&gt;",$BW328,$BK328))</f>
        <v/>
      </c>
      <c r="CL328" s="93" t="str">
        <f aca="false">IF(ISBLANK($C328),"",IF($BZ328&lt;&gt;Constants!$B$8,$BZ328,IF(ISNUMBER($CK328),RANK($CK328,$CK$9:$CK$508,1),COUNT($CK$9:$CK$508)+1)))</f>
        <v/>
      </c>
      <c r="CM328" s="97" t="str">
        <f aca="false">IF($BZ328&lt;&gt;Constants!$B$8,"",IF(AND(NOT($AL328),NOT($AT328),$AJ328,$AK328,$AR328,$AS328),"",IF($BM328="-&gt;",$BX328,$BL328)))</f>
        <v/>
      </c>
      <c r="CN328" s="93" t="str">
        <f aca="false">IF(ISBLANK($C328),"",IF($BZ328&lt;&gt;Constants!$B$8,$BZ328,IF(ISNUMBER($CM328),RANK($CM328,$CM$9:$CM$508,1),COUNT($CM$9:$CM$508)+1)))</f>
        <v/>
      </c>
      <c r="CO328" s="93" t="str">
        <f aca="false">IF(ISBLANK($C328),"",IF($BZ328&lt;&gt;Constants!$B$8,$BZ328,COUNTIFS($CF$9:$CF$508,"&lt;"&amp;$CF328)+COUNTIFS($CF$9:$CF$508,$CF328,$CH$9:$CH$508,"&lt;"&amp;$CH328)+COUNTIFS($CF$9:$CF$508,$CF328,$CH$9:$CH$508,$CH328,$CJ$9:$CJ$508,"&lt;"&amp;$CJ328)+COUNTIFS($CF$9:$CF$508,$CF328,$CH$9:$CH$508,$CH328,$CJ$9:$CJ$508,$CJ328,$CL$9:$CL$508,"&lt;"&amp;$CL328)+COUNTIFS($CF$9:$CF$508,$CF328,$CH$9:$CH$508,$CH328,$CJ$9:$CJ$508,$CJ328,$CL$9:$CL$508,$CL328,$CN$9:$CN$508,"&lt;"&amp;$CN328)+1))</f>
        <v/>
      </c>
      <c r="CP328" s="93" t="str">
        <f aca="false">IF(ISBLANK($C328),"",IF($BZ328&lt;&gt;Constants!$B$8,$BZ328,$CF328-$CO328))</f>
        <v/>
      </c>
      <c r="CQ328" s="100"/>
      <c r="CR328" s="101"/>
      <c r="CS328" s="102" t="str">
        <f aca="false">IF(ISBLANK($C328),"",IF($BZ328=Constants!$B$12,$BY328,""))</f>
        <v/>
      </c>
      <c r="CT328" s="101" t="str">
        <f aca="false">IF(ISBLANK($C328),"",IF($BZ328&lt;&gt;Constants!$B$8,"",IF($BM328="-&gt;",2,1)))</f>
        <v/>
      </c>
      <c r="CU328" s="103" t="str">
        <f aca="false">IF(ISBLANK($C328),"",IF($BZ328&lt;&gt;Constants!$B$8,"",IF($BM328="-&gt;",$BO328,$BC328)))</f>
        <v/>
      </c>
      <c r="CV328" s="103" t="str">
        <f aca="false">IF(ISBLANK($C328),"",IF($BZ328&lt;&gt;Constants!$B$8,"",IF($BM328="-&gt;",$BP328,$BD328)))</f>
        <v/>
      </c>
      <c r="CW328" s="103" t="str">
        <f aca="false">IF(ISBLANK($C328),"",IF($BZ328&lt;&gt;Constants!$B$8,"",IF($BM328="-&gt;",$BQ328+$BR328,$BE328+$BF328)+$CD328))</f>
        <v/>
      </c>
      <c r="CX328" s="103" t="str">
        <f aca="false">IF(ISBLANK($C328),"",IF($BZ328&lt;&gt;Constants!$B$8,"",IF($BM328="-&gt;",$BS328,$BG328)+$CC328))</f>
        <v/>
      </c>
      <c r="CY328" s="104" t="str">
        <f aca="false">IF(ISBLANK($C328),"",IF($BZ328&lt;&gt;Constants!$B$8,$BZ328,$CE328))</f>
        <v/>
      </c>
      <c r="CZ328" s="105" t="str">
        <f aca="false">IF(ISBLANK($C328),"",$CA328)</f>
        <v/>
      </c>
      <c r="DA328" s="106" t="str">
        <f aca="false">IF(ISBLANK($C328),"",$CP328)</f>
        <v/>
      </c>
      <c r="DB328" s="106" t="str">
        <f aca="false">IF(ISBLANK($C328),"",$CO328)</f>
        <v/>
      </c>
      <c r="DC328" s="107" t="str">
        <f aca="false">IF(ISBLANK($C328),"",IFERROR(_xlfn.SWITCH($DB328,Constants!$B$11,COUNTA($C$9:$C$508)+2,Constants!$B$10,COUNTA($C$9:$C$508)+1,Constants!$B$9,COUNTA($C$9:$C$508)),$DB328))</f>
        <v/>
      </c>
      <c r="DD328" s="9"/>
      <c r="DE328" s="108" t="n">
        <f aca="false">IF(OR(ISNUMBER($DB328),$DB328=Constants!$B$11,$DB328=Constants!$B$9,$DB328=Constants!$B$10),1,0)</f>
        <v>0</v>
      </c>
      <c r="DF328" s="108" t="n">
        <v>320</v>
      </c>
      <c r="DG328" s="108" t="str">
        <f aca="false">IF(ISBLANK($C328),"",IF(ISNUMBER($DC328),$DC328+ROW($B328)/1000,""))</f>
        <v/>
      </c>
      <c r="DH328" s="108" t="str">
        <f aca="false">IF(ISNUMBER($DG328),RANK($DG328,$DG$9:$DG$508,1),"")</f>
        <v/>
      </c>
      <c r="DI328" s="108" t="str">
        <f aca="false">IF(ISBLANK($C328),"",$B328)</f>
        <v/>
      </c>
      <c r="DJ328" s="108" t="str">
        <f aca="false">IF(ISBLANK($C328),"",$C328)</f>
        <v/>
      </c>
      <c r="DK328" s="108" t="str">
        <f aca="false">IF(ISBLANK($C328),"",$D328)</f>
        <v/>
      </c>
      <c r="DL328" s="109" t="str">
        <f aca="false">$CZ328</f>
        <v/>
      </c>
      <c r="DM328" s="110" t="str">
        <f aca="false">$CY328</f>
        <v/>
      </c>
      <c r="DN328" s="108" t="str">
        <f aca="false">IF(ISBLANK($C328),"",$DB328)</f>
        <v/>
      </c>
      <c r="DO328" s="111" t="str">
        <f aca="false">IF($DF328&gt;$DE$8,"",VLOOKUP($DF328,$DH$9:$DN$508,7,FALSE()))</f>
        <v/>
      </c>
      <c r="DP328" s="112" t="str">
        <f aca="false">IF($DF328&gt;$DE$8,"",VLOOKUP($DF328,$DH$9:$DN$508,2,FALSE()))</f>
        <v/>
      </c>
      <c r="DQ328" s="112" t="str">
        <f aca="false">IF($DF328&gt;$DE$8,"",VLOOKUP($DF328,$DH$9:$DN$508,3,FALSE()))</f>
        <v/>
      </c>
      <c r="DR328" s="112" t="str">
        <f aca="false">IF($DF328&gt;$DE$8,"",VLOOKUP($DF328,$DH$9:$DN$508,4,FALSE()))</f>
        <v/>
      </c>
      <c r="DS328" s="112" t="str">
        <f aca="false">IF($DF328&gt;$DE$8,"",VLOOKUP($DF328,$DH$9:$DN$508,5,FALSE()))</f>
        <v/>
      </c>
      <c r="DT328" s="113" t="str">
        <f aca="false">IF($DF328&gt;$DE$8,"",VLOOKUP($DF328,$DH$9:$DN$508,6,FALSE()))</f>
        <v/>
      </c>
      <c r="DU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IF(ISBLANK($C329),"",IF(E329=Constants!$B$3,TRUE(),IF(E329=Constants!$B$4,FALSE(),TRUE())))</f>
        <v/>
      </c>
      <c r="AG329" s="93" t="str">
        <f aca="false">IF(ISBLANK($C329),"",IF(F329=Constants!$B$3,TRUE(),IF(F329=Constants!$B$4,FALSE(),TRUE())))</f>
        <v/>
      </c>
      <c r="AH329" s="93" t="str">
        <f aca="false">IF(ISBLANK($C329),"",IF(G329=Constants!$B$3,TRUE(),IF(G329=Constants!$B$4,FALSE(),TRUE())))</f>
        <v/>
      </c>
      <c r="AI329" s="93" t="str">
        <f aca="false">IF(ISBLANK($C329),"",IF(AND(ISNUMBER(H329),H329&gt;=0),H329,Constants!$B$29))</f>
        <v/>
      </c>
      <c r="AJ329" s="93" t="str">
        <f aca="false">IF(ISBLANK($C329),"",IF(I329=Constants!$B$3,TRUE(),IF(I329=Constants!$B$4,FALSE(),TRUE())))</f>
        <v/>
      </c>
      <c r="AK329" s="93" t="str">
        <f aca="false">IF(ISBLANK($C329),"",IF(J329=Constants!$B$3,TRUE(),IF(J329=Constants!$B$4,FALSE(),TRUE())))</f>
        <v/>
      </c>
      <c r="AL329" s="93" t="str">
        <f aca="false">IF(ISBLANK($C329),"",IF(K329=Constants!$B$5,TRUE(),IF(K329=Constants!$B$6,FALSE(),COUNTA(L329:P329)&gt;0)))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IF(ISBLANK($C329),"",IF(N329=Constants!$B$3,TRUE(),IF(N329=Constants!$B$4,FALSE(),TRUE())))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IF(ISBLANK($C329),"",IF(P329=Constants!$B$3,TRUE(),IF(P329=Constants!$B$4,FALSE(),FALSE())))</f>
        <v/>
      </c>
      <c r="AR329" s="93" t="str">
        <f aca="false">IF(ISBLANK($C329),"",IF(Q329=Constants!$B$3,TRUE(),IF(Q329=Constants!$B$4,FALSE(),TRUE())))</f>
        <v/>
      </c>
      <c r="AS329" s="93" t="str">
        <f aca="false">IF(ISBLANK($C329),"",IF(R329=Constants!$B$3,TRUE(),IF(R329=Constants!$B$4,FALSE(),TRUE())))</f>
        <v/>
      </c>
      <c r="AT329" s="93" t="str">
        <f aca="false">IF(ISBLANK($C329),"",IF(S329=Constants!$B$5,TRUE(),IF(S329=Constants!$B$6,FALSE(),COUNTA(T329:X329)&gt;0)))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IF(ISBLANK($C329),"",IF(V329=Constants!$B$3,TRUE(),IF(V329=Constants!$B$4,FALSE(),TRUE())))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IF(ISBLANK($C329),"",IF(X329=Constants!$B$3,TRUE(),IF(X329=Constants!$B$4,FALSE(),FALSE())))</f>
        <v/>
      </c>
      <c r="AZ329" s="93" t="str">
        <f aca="false">IF(ISBLANK($C329),"",MIN(Constants!$B$31,MAX(0,IF(ISNUMBER(Y329),Y329*60,0)+IF(ISNUMBER(Z329),Z329,0))))</f>
        <v/>
      </c>
      <c r="BA329" s="93" t="str">
        <f aca="false">IF(ISBLANK($C329),"",IF(AA329=Constants!$B$3,TRUE(),IF(AA329=Constants!$B$4,FALSE(),FALSE())))</f>
        <v/>
      </c>
      <c r="BB329" s="92" t="str">
        <f aca="false">IF(ISBLANK($C329),"",AND($AL329,OR($AM329="",$AN329="",AND($AO329,$AP329=""))))</f>
        <v/>
      </c>
      <c r="BC329" s="94" t="str">
        <f aca="false">IF($BZ329&lt;&gt;Constants!$B$8,"",IF($AL329,Constants!$B$21*$AN329+Constants!$B$22*IF($AO329,$AP329,Constants!$B$23),Constants!$B$24))</f>
        <v/>
      </c>
      <c r="BD329" s="97" t="str">
        <f aca="false">IF($BZ329&lt;&gt;Constants!$B$8,"",Constants!$B$25*ABS($AD$9-IF($AL329,$AM329,0)))</f>
        <v/>
      </c>
      <c r="BE329" s="97" t="str">
        <f aca="false">IF($BZ329&lt;&gt;Constants!$B$8,"",IF(AND($AL329,$AQ329,$AO329),Constants!$B$27,0))</f>
        <v/>
      </c>
      <c r="BF329" s="97" t="str">
        <f aca="false">IF($BZ329&lt;&gt;Constants!$B$8,"",IF($AL329,($AI329-Constants!$B$29)*Constants!$B$28,0))</f>
        <v/>
      </c>
      <c r="BG329" s="97" t="str">
        <f aca="false">IF($BZ329&lt;&gt;Constants!$B$8,"",IF($AK329,0,Constants!$B$15)+IF($AJ329,0,Constants!$B$16)+IF($AH329,0,Constants!$B$17))</f>
        <v/>
      </c>
      <c r="BH329" s="98" t="str">
        <f aca="false">IF($BZ329&lt;&gt;Constants!$B$8,"",Constants!$B$20+SUM($BC329:$BG329))</f>
        <v/>
      </c>
      <c r="BI329" s="97" t="str">
        <f aca="false">IF($BZ329&lt;&gt;Constants!$B$8,"",$BC329)</f>
        <v/>
      </c>
      <c r="BJ329" s="97" t="str">
        <f aca="false">IF($BZ329&lt;&gt;Constants!$B$8,"",$BD329)</f>
        <v/>
      </c>
      <c r="BK329" s="97" t="str">
        <f aca="false">IF($BZ329&lt;&gt;Constants!$B$8,"",IF($AL329,$AN329,""))</f>
        <v/>
      </c>
      <c r="BL329" s="99" t="str">
        <f aca="false">IF($BZ329&lt;&gt;Constants!$B$8,"",$AI329)</f>
        <v/>
      </c>
      <c r="BM329" s="93" t="str">
        <f aca="false">IF($BZ329&lt;&gt;Constants!$B$8,"",IF(OR($BT329&lt;$BH329,AND($BT329=$BH329,OR($BU329&lt;$BI329,AND($BU329=$BI329,OR($BV329&lt;$BJ329,AND($BV329=$BJ329,OR(AND(ISNUMBER($BW329),OR(NOT(ISNUMBER($BK329)),$BW329&lt;$BK329)),AND(OR(AND($BW329="",$BK329=""),AND(ISNUMBER($BW329),ISNUMBER($BK329),$BW329=$BK329)),$BX329&lt;$BL329)))))))),"-&gt;","&lt;-"))</f>
        <v/>
      </c>
      <c r="BN329" s="92" t="str">
        <f aca="false">IF(ISBLANK($C329),"",AND($AT329,OR($AU329="",$AV329="",AND($AW329,$AX329=""))))</f>
        <v/>
      </c>
      <c r="BO329" s="94" t="str">
        <f aca="false">IF($BZ329&lt;&gt;Constants!$B$8,"",IF($AT329,Constants!$B$21*$AV329+Constants!$B$22*IF($AW329,$AX329,Constants!$B$23),Constants!$B$24))</f>
        <v/>
      </c>
      <c r="BP329" s="97" t="str">
        <f aca="false">IF($BZ329&lt;&gt;Constants!$B$8,"",Constants!$B$25*ABS($AD$9-IF($AT329,$AU329,0)))</f>
        <v/>
      </c>
      <c r="BQ329" s="97" t="str">
        <f aca="false">IF($BZ329&lt;&gt;Constants!$B$8,"",IF(AND($AT329,$AY329,$AW329),Constants!$B$27,0))</f>
        <v/>
      </c>
      <c r="BR329" s="97" t="str">
        <f aca="false">IF($BZ329&lt;&gt;Constants!$B$8,"",IF($AT329,($AI329-Constants!$B$29)*Constants!$B$28,0))</f>
        <v/>
      </c>
      <c r="BS329" s="97" t="str">
        <f aca="false">IF($BZ329&lt;&gt;Constants!$B$8,"",IF($AS329,0,Constants!$B$15)+IF($AR329,0,Constants!$B$16)+IF($AH329,0,Constants!$B$17))</f>
        <v/>
      </c>
      <c r="BT329" s="98" t="str">
        <f aca="false">IF($BZ329&lt;&gt;Constants!$B$8,"",Constants!$B$20+SUM($BO329:$BS329))</f>
        <v/>
      </c>
      <c r="BU329" s="97" t="str">
        <f aca="false">IF($BZ329&lt;&gt;Constants!$B$8,"",$BO329)</f>
        <v/>
      </c>
      <c r="BV329" s="97" t="str">
        <f aca="false">IF($BZ329&lt;&gt;Constants!$B$8,"",$BP329)</f>
        <v/>
      </c>
      <c r="BW329" s="97" t="str">
        <f aca="false">IF($BZ329&lt;&gt;Constants!$B$8,"",IF($AT329,$AV329,""))</f>
        <v/>
      </c>
      <c r="BX329" s="99" t="str">
        <f aca="false">IF($BZ329&lt;&gt;Constants!$B$8,"",$AI329)</f>
        <v/>
      </c>
      <c r="BY329" s="93" t="str">
        <f aca="false">IF(ISBLANK($C329),"",IF(ISBLANK($D$7),$BY$5,IF(NOT(ISNUMBER($D$7)),$BY$6,"")))</f>
        <v/>
      </c>
      <c r="BZ329" s="93" t="str">
        <f aca="false">IF(ISBLANK($C329),"",IF($BA329,Constants!$B$11,IF(COUNTA($E329:$AA329)=0,Constants!$B$10,IF(NOT($AG329),Constants!$B$9,IF(OR($BY329&lt;&gt;"",$BB329,$BN329),Constants!$B$12,Constants!$B$8)))))</f>
        <v/>
      </c>
      <c r="CA329" s="93" t="str">
        <f aca="false">IF(ISBLANK($C329),"",IF($BZ329&lt;&gt;Constants!$B$8,$BZ329,Constants!$B$13))</f>
        <v/>
      </c>
      <c r="CB329" s="97" t="str">
        <f aca="false">IF($BZ329&lt;&gt;Constants!$B$8,"",IF($BM329="-&gt;",$BT329,$BH329))</f>
        <v/>
      </c>
      <c r="CC329" s="97" t="str">
        <f aca="false">IF($BZ329&lt;&gt;Constants!$B$8,"",IF($AF329,0,Constants!$B$18))</f>
        <v/>
      </c>
      <c r="CD329" s="97" t="str">
        <f aca="false">IF($BZ329&lt;&gt;Constants!$B$8,"",((Constants!$B$31-$AZ329)-Constants!$B$31)/Constants!$B$32)</f>
        <v/>
      </c>
      <c r="CE329" s="97" t="str">
        <f aca="false">IF(ISBLANK($C329),"",IF($BZ329&lt;&gt;Constants!$B$8,$BZ329,SUM($CB329:$CD329)))</f>
        <v/>
      </c>
      <c r="CF329" s="93" t="str">
        <f aca="false">IF(ISBLANK($C329),"",IF($BZ329&lt;&gt;Constants!$B$8,$BZ329,RANK($CE329,$CE$9:$CE$508,1)))</f>
        <v/>
      </c>
      <c r="CG329" s="97" t="str">
        <f aca="false">IF($BZ329&lt;&gt;Constants!$B$8,"",IF($BM329="-&gt;",$BU329,$BI329))</f>
        <v/>
      </c>
      <c r="CH329" s="93" t="str">
        <f aca="false">IF(ISBLANK($C329),"",IF($BZ329&lt;&gt;Constants!$B$8,$BZ329,IF(ISNUMBER($CG329),RANK($CG329,$CG$9:$CG$508,1),COUNT($CG$9:$CG$508)+1)))</f>
        <v/>
      </c>
      <c r="CI329" s="97" t="str">
        <f aca="false">IF($BZ329&lt;&gt;Constants!$B$8,"",IF($BM329="-&gt;",$BV329,$BJ329))</f>
        <v/>
      </c>
      <c r="CJ329" s="93" t="str">
        <f aca="false">IF(ISBLANK($C329),"",IF($BZ329&lt;&gt;Constants!$B$8,$BZ329,IF(ISNUMBER($CI329),RANK($CI329,$CI$9:$CI$508,1),COUNT($CI$9:$CI$508)+1)))</f>
        <v/>
      </c>
      <c r="CK329" s="97" t="str">
        <f aca="false">IF($BZ329&lt;&gt;Constants!$B$8,"",IF($BM329="-&gt;",$BW329,$BK329))</f>
        <v/>
      </c>
      <c r="CL329" s="93" t="str">
        <f aca="false">IF(ISBLANK($C329),"",IF($BZ329&lt;&gt;Constants!$B$8,$BZ329,IF(ISNUMBER($CK329),RANK($CK329,$CK$9:$CK$508,1),COUNT($CK$9:$CK$508)+1)))</f>
        <v/>
      </c>
      <c r="CM329" s="97" t="str">
        <f aca="false">IF($BZ329&lt;&gt;Constants!$B$8,"",IF(AND(NOT($AL329),NOT($AT329),$AJ329,$AK329,$AR329,$AS329),"",IF($BM329="-&gt;",$BX329,$BL329)))</f>
        <v/>
      </c>
      <c r="CN329" s="93" t="str">
        <f aca="false">IF(ISBLANK($C329),"",IF($BZ329&lt;&gt;Constants!$B$8,$BZ329,IF(ISNUMBER($CM329),RANK($CM329,$CM$9:$CM$508,1),COUNT($CM$9:$CM$508)+1)))</f>
        <v/>
      </c>
      <c r="CO329" s="93" t="str">
        <f aca="false">IF(ISBLANK($C329),"",IF($BZ329&lt;&gt;Constants!$B$8,$BZ329,COUNTIFS($CF$9:$CF$508,"&lt;"&amp;$CF329)+COUNTIFS($CF$9:$CF$508,$CF329,$CH$9:$CH$508,"&lt;"&amp;$CH329)+COUNTIFS($CF$9:$CF$508,$CF329,$CH$9:$CH$508,$CH329,$CJ$9:$CJ$508,"&lt;"&amp;$CJ329)+COUNTIFS($CF$9:$CF$508,$CF329,$CH$9:$CH$508,$CH329,$CJ$9:$CJ$508,$CJ329,$CL$9:$CL$508,"&lt;"&amp;$CL329)+COUNTIFS($CF$9:$CF$508,$CF329,$CH$9:$CH$508,$CH329,$CJ$9:$CJ$508,$CJ329,$CL$9:$CL$508,$CL329,$CN$9:$CN$508,"&lt;"&amp;$CN329)+1))</f>
        <v/>
      </c>
      <c r="CP329" s="93" t="str">
        <f aca="false">IF(ISBLANK($C329),"",IF($BZ329&lt;&gt;Constants!$B$8,$BZ329,$CF329-$CO329))</f>
        <v/>
      </c>
      <c r="CQ329" s="100"/>
      <c r="CR329" s="101"/>
      <c r="CS329" s="102" t="str">
        <f aca="false">IF(ISBLANK($C329),"",IF($BZ329=Constants!$B$12,$BY329,""))</f>
        <v/>
      </c>
      <c r="CT329" s="101" t="str">
        <f aca="false">IF(ISBLANK($C329),"",IF($BZ329&lt;&gt;Constants!$B$8,"",IF($BM329="-&gt;",2,1)))</f>
        <v/>
      </c>
      <c r="CU329" s="103" t="str">
        <f aca="false">IF(ISBLANK($C329),"",IF($BZ329&lt;&gt;Constants!$B$8,"",IF($BM329="-&gt;",$BO329,$BC329)))</f>
        <v/>
      </c>
      <c r="CV329" s="103" t="str">
        <f aca="false">IF(ISBLANK($C329),"",IF($BZ329&lt;&gt;Constants!$B$8,"",IF($BM329="-&gt;",$BP329,$BD329)))</f>
        <v/>
      </c>
      <c r="CW329" s="103" t="str">
        <f aca="false">IF(ISBLANK($C329),"",IF($BZ329&lt;&gt;Constants!$B$8,"",IF($BM329="-&gt;",$BQ329+$BR329,$BE329+$BF329)+$CD329))</f>
        <v/>
      </c>
      <c r="CX329" s="103" t="str">
        <f aca="false">IF(ISBLANK($C329),"",IF($BZ329&lt;&gt;Constants!$B$8,"",IF($BM329="-&gt;",$BS329,$BG329)+$CC329))</f>
        <v/>
      </c>
      <c r="CY329" s="104" t="str">
        <f aca="false">IF(ISBLANK($C329),"",IF($BZ329&lt;&gt;Constants!$B$8,$BZ329,$CE329))</f>
        <v/>
      </c>
      <c r="CZ329" s="105" t="str">
        <f aca="false">IF(ISBLANK($C329),"",$CA329)</f>
        <v/>
      </c>
      <c r="DA329" s="106" t="str">
        <f aca="false">IF(ISBLANK($C329),"",$CP329)</f>
        <v/>
      </c>
      <c r="DB329" s="106" t="str">
        <f aca="false">IF(ISBLANK($C329),"",$CO329)</f>
        <v/>
      </c>
      <c r="DC329" s="107" t="str">
        <f aca="false">IF(ISBLANK($C329),"",IFERROR(_xlfn.SWITCH($DB329,Constants!$B$11,COUNTA($C$9:$C$508)+2,Constants!$B$10,COUNTA($C$9:$C$508)+1,Constants!$B$9,COUNTA($C$9:$C$508)),$DB329))</f>
        <v/>
      </c>
      <c r="DD329" s="9"/>
      <c r="DE329" s="108" t="n">
        <f aca="false">IF(OR(ISNUMBER($DB329),$DB329=Constants!$B$11,$DB329=Constants!$B$9,$DB329=Constants!$B$10),1,0)</f>
        <v>0</v>
      </c>
      <c r="DF329" s="108" t="n">
        <v>321</v>
      </c>
      <c r="DG329" s="108" t="str">
        <f aca="false">IF(ISBLANK($C329),"",IF(ISNUMBER($DC329),$DC329+ROW($B329)/1000,""))</f>
        <v/>
      </c>
      <c r="DH329" s="108" t="str">
        <f aca="false">IF(ISNUMBER($DG329),RANK($DG329,$DG$9:$DG$508,1),"")</f>
        <v/>
      </c>
      <c r="DI329" s="108" t="str">
        <f aca="false">IF(ISBLANK($C329),"",$B329)</f>
        <v/>
      </c>
      <c r="DJ329" s="108" t="str">
        <f aca="false">IF(ISBLANK($C329),"",$C329)</f>
        <v/>
      </c>
      <c r="DK329" s="108" t="str">
        <f aca="false">IF(ISBLANK($C329),"",$D329)</f>
        <v/>
      </c>
      <c r="DL329" s="109" t="str">
        <f aca="false">$CZ329</f>
        <v/>
      </c>
      <c r="DM329" s="110" t="str">
        <f aca="false">$CY329</f>
        <v/>
      </c>
      <c r="DN329" s="108" t="str">
        <f aca="false">IF(ISBLANK($C329),"",$DB329)</f>
        <v/>
      </c>
      <c r="DO329" s="111" t="str">
        <f aca="false">IF($DF329&gt;$DE$8,"",VLOOKUP($DF329,$DH$9:$DN$508,7,FALSE()))</f>
        <v/>
      </c>
      <c r="DP329" s="112" t="str">
        <f aca="false">IF($DF329&gt;$DE$8,"",VLOOKUP($DF329,$DH$9:$DN$508,2,FALSE()))</f>
        <v/>
      </c>
      <c r="DQ329" s="112" t="str">
        <f aca="false">IF($DF329&gt;$DE$8,"",VLOOKUP($DF329,$DH$9:$DN$508,3,FALSE()))</f>
        <v/>
      </c>
      <c r="DR329" s="112" t="str">
        <f aca="false">IF($DF329&gt;$DE$8,"",VLOOKUP($DF329,$DH$9:$DN$508,4,FALSE()))</f>
        <v/>
      </c>
      <c r="DS329" s="112" t="str">
        <f aca="false">IF($DF329&gt;$DE$8,"",VLOOKUP($DF329,$DH$9:$DN$508,5,FALSE()))</f>
        <v/>
      </c>
      <c r="DT329" s="113" t="str">
        <f aca="false">IF($DF329&gt;$DE$8,"",VLOOKUP($DF329,$DH$9:$DN$508,6,FALSE()))</f>
        <v/>
      </c>
      <c r="DU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IF(ISBLANK($C330),"",IF(E330=Constants!$B$3,TRUE(),IF(E330=Constants!$B$4,FALSE(),TRUE())))</f>
        <v/>
      </c>
      <c r="AG330" s="135" t="str">
        <f aca="false">IF(ISBLANK($C330),"",IF(F330=Constants!$B$3,TRUE(),IF(F330=Constants!$B$4,FALSE(),TRUE())))</f>
        <v/>
      </c>
      <c r="AH330" s="135" t="str">
        <f aca="false">IF(ISBLANK($C330),"",IF(G330=Constants!$B$3,TRUE(),IF(G330=Constants!$B$4,FALSE(),TRUE())))</f>
        <v/>
      </c>
      <c r="AI330" s="135" t="str">
        <f aca="false">IF(ISBLANK($C330),"",IF(AND(ISNUMBER(H330),H330&gt;=0),H330,Constants!$B$29))</f>
        <v/>
      </c>
      <c r="AJ330" s="135" t="str">
        <f aca="false">IF(ISBLANK($C330),"",IF(I330=Constants!$B$3,TRUE(),IF(I330=Constants!$B$4,FALSE(),TRUE())))</f>
        <v/>
      </c>
      <c r="AK330" s="135" t="str">
        <f aca="false">IF(ISBLANK($C330),"",IF(J330=Constants!$B$3,TRUE(),IF(J330=Constants!$B$4,FALSE(),TRUE())))</f>
        <v/>
      </c>
      <c r="AL330" s="135" t="str">
        <f aca="false">IF(ISBLANK($C330),"",IF(K330=Constants!$B$5,TRUE(),IF(K330=Constants!$B$6,FALSE(),COUNTA(L330:P330)&gt;0)))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IF(ISBLANK($C330),"",IF(N330=Constants!$B$3,TRUE(),IF(N330=Constants!$B$4,FALSE(),TRUE())))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IF(ISBLANK($C330),"",IF(P330=Constants!$B$3,TRUE(),IF(P330=Constants!$B$4,FALSE(),FALSE())))</f>
        <v/>
      </c>
      <c r="AR330" s="135" t="str">
        <f aca="false">IF(ISBLANK($C330),"",IF(Q330=Constants!$B$3,TRUE(),IF(Q330=Constants!$B$4,FALSE(),TRUE())))</f>
        <v/>
      </c>
      <c r="AS330" s="135" t="str">
        <f aca="false">IF(ISBLANK($C330),"",IF(R330=Constants!$B$3,TRUE(),IF(R330=Constants!$B$4,FALSE(),TRUE())))</f>
        <v/>
      </c>
      <c r="AT330" s="135" t="str">
        <f aca="false">IF(ISBLANK($C330),"",IF(S330=Constants!$B$5,TRUE(),IF(S330=Constants!$B$6,FALSE(),COUNTA(T330:X330)&gt;0)))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IF(ISBLANK($C330),"",IF(V330=Constants!$B$3,TRUE(),IF(V330=Constants!$B$4,FALSE(),TRUE())))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IF(ISBLANK($C330),"",IF(X330=Constants!$B$3,TRUE(),IF(X330=Constants!$B$4,FALSE(),FALSE())))</f>
        <v/>
      </c>
      <c r="AZ330" s="135" t="str">
        <f aca="false">IF(ISBLANK($C330),"",MIN(Constants!$B$31,MAX(0,IF(ISNUMBER(Y330),Y330*60,0)+IF(ISNUMBER(Z330),Z330,0))))</f>
        <v/>
      </c>
      <c r="BA330" s="135" t="str">
        <f aca="false">IF(ISBLANK($C330),"",IF(AA330=Constants!$B$3,TRUE(),IF(AA330=Constants!$B$4,FALSE(),FALSE())))</f>
        <v/>
      </c>
      <c r="BB330" s="134" t="str">
        <f aca="false">IF(ISBLANK($C330),"",AND($AL330,OR($AM330="",$AN330="",AND($AO330,$AP330=""))))</f>
        <v/>
      </c>
      <c r="BC330" s="137" t="str">
        <f aca="false">IF($BZ330&lt;&gt;Constants!$B$8,"",IF($AL330,Constants!$B$21*$AN330+Constants!$B$22*IF($AO330,$AP330,Constants!$B$23),Constants!$B$24))</f>
        <v/>
      </c>
      <c r="BD330" s="138" t="str">
        <f aca="false">IF($BZ330&lt;&gt;Constants!$B$8,"",Constants!$B$25*ABS($AD$9-IF($AL330,$AM330,0)))</f>
        <v/>
      </c>
      <c r="BE330" s="138" t="str">
        <f aca="false">IF($BZ330&lt;&gt;Constants!$B$8,"",IF(AND($AL330,$AQ330,$AO330),Constants!$B$27,0))</f>
        <v/>
      </c>
      <c r="BF330" s="138" t="str">
        <f aca="false">IF($BZ330&lt;&gt;Constants!$B$8,"",IF($AL330,($AI330-Constants!$B$29)*Constants!$B$28,0))</f>
        <v/>
      </c>
      <c r="BG330" s="138" t="str">
        <f aca="false">IF($BZ330&lt;&gt;Constants!$B$8,"",IF($AK330,0,Constants!$B$15)+IF($AJ330,0,Constants!$B$16)+IF($AH330,0,Constants!$B$17))</f>
        <v/>
      </c>
      <c r="BH330" s="139" t="str">
        <f aca="false">IF($BZ330&lt;&gt;Constants!$B$8,"",Constants!$B$20+SUM($BC330:$BG330))</f>
        <v/>
      </c>
      <c r="BI330" s="138" t="str">
        <f aca="false">IF($BZ330&lt;&gt;Constants!$B$8,"",$BC330)</f>
        <v/>
      </c>
      <c r="BJ330" s="138" t="str">
        <f aca="false">IF($BZ330&lt;&gt;Constants!$B$8,"",$BD330)</f>
        <v/>
      </c>
      <c r="BK330" s="138" t="str">
        <f aca="false">IF($BZ330&lt;&gt;Constants!$B$8,"",IF($AL330,$AN330,""))</f>
        <v/>
      </c>
      <c r="BL330" s="140" t="str">
        <f aca="false">IF($BZ330&lt;&gt;Constants!$B$8,"",$AI330)</f>
        <v/>
      </c>
      <c r="BM330" s="135" t="str">
        <f aca="false">IF($BZ330&lt;&gt;Constants!$B$8,"",IF(OR($BT330&lt;$BH330,AND($BT330=$BH330,OR($BU330&lt;$BI330,AND($BU330=$BI330,OR($BV330&lt;$BJ330,AND($BV330=$BJ330,OR(AND(ISNUMBER($BW330),OR(NOT(ISNUMBER($BK330)),$BW330&lt;$BK330)),AND(OR(AND($BW330="",$BK330=""),AND(ISNUMBER($BW330),ISNUMBER($BK330),$BW330=$BK330)),$BX330&lt;$BL330)))))))),"-&gt;","&lt;-"))</f>
        <v/>
      </c>
      <c r="BN330" s="134" t="str">
        <f aca="false">IF(ISBLANK($C330),"",AND($AT330,OR($AU330="",$AV330="",AND($AW330,$AX330=""))))</f>
        <v/>
      </c>
      <c r="BO330" s="137" t="str">
        <f aca="false">IF($BZ330&lt;&gt;Constants!$B$8,"",IF($AT330,Constants!$B$21*$AV330+Constants!$B$22*IF($AW330,$AX330,Constants!$B$23),Constants!$B$24))</f>
        <v/>
      </c>
      <c r="BP330" s="138" t="str">
        <f aca="false">IF($BZ330&lt;&gt;Constants!$B$8,"",Constants!$B$25*ABS($AD$9-IF($AT330,$AU330,0)))</f>
        <v/>
      </c>
      <c r="BQ330" s="138" t="str">
        <f aca="false">IF($BZ330&lt;&gt;Constants!$B$8,"",IF(AND($AT330,$AY330,$AW330),Constants!$B$27,0))</f>
        <v/>
      </c>
      <c r="BR330" s="138" t="str">
        <f aca="false">IF($BZ330&lt;&gt;Constants!$B$8,"",IF($AT330,($AI330-Constants!$B$29)*Constants!$B$28,0))</f>
        <v/>
      </c>
      <c r="BS330" s="138" t="str">
        <f aca="false">IF($BZ330&lt;&gt;Constants!$B$8,"",IF($AS330,0,Constants!$B$15)+IF($AR330,0,Constants!$B$16)+IF($AH330,0,Constants!$B$17))</f>
        <v/>
      </c>
      <c r="BT330" s="139" t="str">
        <f aca="false">IF($BZ330&lt;&gt;Constants!$B$8,"",Constants!$B$20+SUM($BO330:$BS330))</f>
        <v/>
      </c>
      <c r="BU330" s="138" t="str">
        <f aca="false">IF($BZ330&lt;&gt;Constants!$B$8,"",$BO330)</f>
        <v/>
      </c>
      <c r="BV330" s="138" t="str">
        <f aca="false">IF($BZ330&lt;&gt;Constants!$B$8,"",$BP330)</f>
        <v/>
      </c>
      <c r="BW330" s="138" t="str">
        <f aca="false">IF($BZ330&lt;&gt;Constants!$B$8,"",IF($AT330,$AV330,""))</f>
        <v/>
      </c>
      <c r="BX330" s="140" t="str">
        <f aca="false">IF($BZ330&lt;&gt;Constants!$B$8,"",$AI330)</f>
        <v/>
      </c>
      <c r="BY330" s="135" t="str">
        <f aca="false">IF(ISBLANK($C330),"",IF(ISBLANK($D$7),$BY$5,IF(NOT(ISNUMBER($D$7)),$BY$6,"")))</f>
        <v/>
      </c>
      <c r="BZ330" s="135" t="str">
        <f aca="false">IF(ISBLANK($C330),"",IF($BA330,Constants!$B$11,IF(COUNTA($E330:$AA330)=0,Constants!$B$10,IF(NOT($AG330),Constants!$B$9,IF(OR($BY330&lt;&gt;"",$BB330,$BN330),Constants!$B$12,Constants!$B$8)))))</f>
        <v/>
      </c>
      <c r="CA330" s="135" t="str">
        <f aca="false">IF(ISBLANK($C330),"",IF($BZ330&lt;&gt;Constants!$B$8,$BZ330,Constants!$B$13))</f>
        <v/>
      </c>
      <c r="CB330" s="138" t="str">
        <f aca="false">IF($BZ330&lt;&gt;Constants!$B$8,"",IF($BM330="-&gt;",$BT330,$BH330))</f>
        <v/>
      </c>
      <c r="CC330" s="138" t="str">
        <f aca="false">IF($BZ330&lt;&gt;Constants!$B$8,"",IF($AF330,0,Constants!$B$18))</f>
        <v/>
      </c>
      <c r="CD330" s="138" t="str">
        <f aca="false">IF($BZ330&lt;&gt;Constants!$B$8,"",((Constants!$B$31-$AZ330)-Constants!$B$31)/Constants!$B$32)</f>
        <v/>
      </c>
      <c r="CE330" s="138" t="str">
        <f aca="false">IF(ISBLANK($C330),"",IF($BZ330&lt;&gt;Constants!$B$8,$BZ330,SUM($CB330:$CD330)))</f>
        <v/>
      </c>
      <c r="CF330" s="135" t="str">
        <f aca="false">IF(ISBLANK($C330),"",IF($BZ330&lt;&gt;Constants!$B$8,$BZ330,RANK($CE330,$CE$9:$CE$508,1)))</f>
        <v/>
      </c>
      <c r="CG330" s="138" t="str">
        <f aca="false">IF($BZ330&lt;&gt;Constants!$B$8,"",IF($BM330="-&gt;",$BU330,$BI330))</f>
        <v/>
      </c>
      <c r="CH330" s="135" t="str">
        <f aca="false">IF(ISBLANK($C330),"",IF($BZ330&lt;&gt;Constants!$B$8,$BZ330,IF(ISNUMBER($CG330),RANK($CG330,$CG$9:$CG$508,1),COUNT($CG$9:$CG$508)+1)))</f>
        <v/>
      </c>
      <c r="CI330" s="138" t="str">
        <f aca="false">IF($BZ330&lt;&gt;Constants!$B$8,"",IF($BM330="-&gt;",$BV330,$BJ330))</f>
        <v/>
      </c>
      <c r="CJ330" s="135" t="str">
        <f aca="false">IF(ISBLANK($C330),"",IF($BZ330&lt;&gt;Constants!$B$8,$BZ330,IF(ISNUMBER($CI330),RANK($CI330,$CI$9:$CI$508,1),COUNT($CI$9:$CI$508)+1)))</f>
        <v/>
      </c>
      <c r="CK330" s="138" t="str">
        <f aca="false">IF($BZ330&lt;&gt;Constants!$B$8,"",IF($BM330="-&gt;",$BW330,$BK330))</f>
        <v/>
      </c>
      <c r="CL330" s="135" t="str">
        <f aca="false">IF(ISBLANK($C330),"",IF($BZ330&lt;&gt;Constants!$B$8,$BZ330,IF(ISNUMBER($CK330),RANK($CK330,$CK$9:$CK$508,1),COUNT($CK$9:$CK$508)+1)))</f>
        <v/>
      </c>
      <c r="CM330" s="138" t="str">
        <f aca="false">IF($BZ330&lt;&gt;Constants!$B$8,"",IF(AND(NOT($AL330),NOT($AT330),$AJ330,$AK330,$AR330,$AS330),"",IF($BM330="-&gt;",$BX330,$BL330)))</f>
        <v/>
      </c>
      <c r="CN330" s="135" t="str">
        <f aca="false">IF(ISBLANK($C330),"",IF($BZ330&lt;&gt;Constants!$B$8,$BZ330,IF(ISNUMBER($CM330),RANK($CM330,$CM$9:$CM$508,1),COUNT($CM$9:$CM$508)+1)))</f>
        <v/>
      </c>
      <c r="CO330" s="135" t="str">
        <f aca="false">IF(ISBLANK($C330),"",IF($BZ330&lt;&gt;Constants!$B$8,$BZ330,COUNTIFS($CF$9:$CF$508,"&lt;"&amp;$CF330)+COUNTIFS($CF$9:$CF$508,$CF330,$CH$9:$CH$508,"&lt;"&amp;$CH330)+COUNTIFS($CF$9:$CF$508,$CF330,$CH$9:$CH$508,$CH330,$CJ$9:$CJ$508,"&lt;"&amp;$CJ330)+COUNTIFS($CF$9:$CF$508,$CF330,$CH$9:$CH$508,$CH330,$CJ$9:$CJ$508,$CJ330,$CL$9:$CL$508,"&lt;"&amp;$CL330)+COUNTIFS($CF$9:$CF$508,$CF330,$CH$9:$CH$508,$CH330,$CJ$9:$CJ$508,$CJ330,$CL$9:$CL$508,$CL330,$CN$9:$CN$508,"&lt;"&amp;$CN330)+1))</f>
        <v/>
      </c>
      <c r="CP330" s="135" t="str">
        <f aca="false">IF(ISBLANK($C330),"",IF($BZ330&lt;&gt;Constants!$B$8,$BZ330,$CF330-$CO330))</f>
        <v/>
      </c>
      <c r="CQ330" s="141"/>
      <c r="CR330" s="142"/>
      <c r="CS330" s="143" t="str">
        <f aca="false">IF(ISBLANK($C330),"",IF($BZ330=Constants!$B$12,$BY330,""))</f>
        <v/>
      </c>
      <c r="CT330" s="142" t="str">
        <f aca="false">IF(ISBLANK($C330),"",IF($BZ330&lt;&gt;Constants!$B$8,"",IF($BM330="-&gt;",2,1)))</f>
        <v/>
      </c>
      <c r="CU330" s="144" t="str">
        <f aca="false">IF(ISBLANK($C330),"",IF($BZ330&lt;&gt;Constants!$B$8,"",IF($BM330="-&gt;",$BO330,$BC330)))</f>
        <v/>
      </c>
      <c r="CV330" s="144" t="str">
        <f aca="false">IF(ISBLANK($C330),"",IF($BZ330&lt;&gt;Constants!$B$8,"",IF($BM330="-&gt;",$BP330,$BD330)))</f>
        <v/>
      </c>
      <c r="CW330" s="144" t="str">
        <f aca="false">IF(ISBLANK($C330),"",IF($BZ330&lt;&gt;Constants!$B$8,"",IF($BM330="-&gt;",$BQ330+$BR330,$BE330+$BF330)+$CD330))</f>
        <v/>
      </c>
      <c r="CX330" s="144" t="str">
        <f aca="false">IF(ISBLANK($C330),"",IF($BZ330&lt;&gt;Constants!$B$8,"",IF($BM330="-&gt;",$BS330,$BG330)+$CC330))</f>
        <v/>
      </c>
      <c r="CY330" s="145" t="str">
        <f aca="false">IF(ISBLANK($C330),"",IF($BZ330&lt;&gt;Constants!$B$8,$BZ330,$CE330))</f>
        <v/>
      </c>
      <c r="CZ330" s="146" t="str">
        <f aca="false">IF(ISBLANK($C330),"",$CA330)</f>
        <v/>
      </c>
      <c r="DA330" s="147" t="str">
        <f aca="false">IF(ISBLANK($C330),"",$CP330)</f>
        <v/>
      </c>
      <c r="DB330" s="147" t="str">
        <f aca="false">IF(ISBLANK($C330),"",$CO330)</f>
        <v/>
      </c>
      <c r="DC330" s="148" t="str">
        <f aca="false">IF(ISBLANK($C330),"",IFERROR(_xlfn.SWITCH($DB330,Constants!$B$11,COUNTA($C$9:$C$508)+2,Constants!$B$10,COUNTA($C$9:$C$508)+1,Constants!$B$9,COUNTA($C$9:$C$508)),$DB330))</f>
        <v/>
      </c>
      <c r="DD330" s="9"/>
      <c r="DE330" s="149" t="n">
        <f aca="false">IF(OR(ISNUMBER($DB330),$DB330=Constants!$B$11,$DB330=Constants!$B$9,$DB330=Constants!$B$10),1,0)</f>
        <v>0</v>
      </c>
      <c r="DF330" s="149" t="n">
        <v>322</v>
      </c>
      <c r="DG330" s="149" t="str">
        <f aca="false">IF(ISBLANK($C330),"",IF(ISNUMBER($DC330),$DC330+ROW($B330)/1000,""))</f>
        <v/>
      </c>
      <c r="DH330" s="149" t="str">
        <f aca="false">IF(ISNUMBER($DG330),RANK($DG330,$DG$9:$DG$508,1),"")</f>
        <v/>
      </c>
      <c r="DI330" s="149" t="str">
        <f aca="false">IF(ISBLANK($C330),"",$B330)</f>
        <v/>
      </c>
      <c r="DJ330" s="149" t="str">
        <f aca="false">IF(ISBLANK($C330),"",$C330)</f>
        <v/>
      </c>
      <c r="DK330" s="149" t="str">
        <f aca="false">IF(ISBLANK($C330),"",$D330)</f>
        <v/>
      </c>
      <c r="DL330" s="150" t="str">
        <f aca="false">$CZ330</f>
        <v/>
      </c>
      <c r="DM330" s="151" t="str">
        <f aca="false">$CY330</f>
        <v/>
      </c>
      <c r="DN330" s="149" t="str">
        <f aca="false">IF(ISBLANK($C330),"",$DB330)</f>
        <v/>
      </c>
      <c r="DO330" s="152" t="str">
        <f aca="false">IF($DF330&gt;$DE$8,"",VLOOKUP($DF330,$DH$9:$DN$508,7,FALSE()))</f>
        <v/>
      </c>
      <c r="DP330" s="153" t="str">
        <f aca="false">IF($DF330&gt;$DE$8,"",VLOOKUP($DF330,$DH$9:$DN$508,2,FALSE()))</f>
        <v/>
      </c>
      <c r="DQ330" s="153" t="str">
        <f aca="false">IF($DF330&gt;$DE$8,"",VLOOKUP($DF330,$DH$9:$DN$508,3,FALSE()))</f>
        <v/>
      </c>
      <c r="DR330" s="153" t="str">
        <f aca="false">IF($DF330&gt;$DE$8,"",VLOOKUP($DF330,$DH$9:$DN$508,4,FALSE()))</f>
        <v/>
      </c>
      <c r="DS330" s="153" t="str">
        <f aca="false">IF($DF330&gt;$DE$8,"",VLOOKUP($DF330,$DH$9:$DN$508,5,FALSE()))</f>
        <v/>
      </c>
      <c r="DT330" s="154" t="str">
        <f aca="false">IF($DF330&gt;$DE$8,"",VLOOKUP($DF330,$DH$9:$DN$508,6,FALSE()))</f>
        <v/>
      </c>
      <c r="DU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IF(ISBLANK($C331),"",IF(E331=Constants!$B$3,TRUE(),IF(E331=Constants!$B$4,FALSE(),TRUE())))</f>
        <v/>
      </c>
      <c r="AG331" s="135" t="str">
        <f aca="false">IF(ISBLANK($C331),"",IF(F331=Constants!$B$3,TRUE(),IF(F331=Constants!$B$4,FALSE(),TRUE())))</f>
        <v/>
      </c>
      <c r="AH331" s="135" t="str">
        <f aca="false">IF(ISBLANK($C331),"",IF(G331=Constants!$B$3,TRUE(),IF(G331=Constants!$B$4,FALSE(),TRUE())))</f>
        <v/>
      </c>
      <c r="AI331" s="135" t="str">
        <f aca="false">IF(ISBLANK($C331),"",IF(AND(ISNUMBER(H331),H331&gt;=0),H331,Constants!$B$29))</f>
        <v/>
      </c>
      <c r="AJ331" s="135" t="str">
        <f aca="false">IF(ISBLANK($C331),"",IF(I331=Constants!$B$3,TRUE(),IF(I331=Constants!$B$4,FALSE(),TRUE())))</f>
        <v/>
      </c>
      <c r="AK331" s="135" t="str">
        <f aca="false">IF(ISBLANK($C331),"",IF(J331=Constants!$B$3,TRUE(),IF(J331=Constants!$B$4,FALSE(),TRUE())))</f>
        <v/>
      </c>
      <c r="AL331" s="135" t="str">
        <f aca="false">IF(ISBLANK($C331),"",IF(K331=Constants!$B$5,TRUE(),IF(K331=Constants!$B$6,FALSE(),COUNTA(L331:P331)&gt;0)))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IF(ISBLANK($C331),"",IF(N331=Constants!$B$3,TRUE(),IF(N331=Constants!$B$4,FALSE(),TRUE())))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IF(ISBLANK($C331),"",IF(P331=Constants!$B$3,TRUE(),IF(P331=Constants!$B$4,FALSE(),FALSE())))</f>
        <v/>
      </c>
      <c r="AR331" s="135" t="str">
        <f aca="false">IF(ISBLANK($C331),"",IF(Q331=Constants!$B$3,TRUE(),IF(Q331=Constants!$B$4,FALSE(),TRUE())))</f>
        <v/>
      </c>
      <c r="AS331" s="135" t="str">
        <f aca="false">IF(ISBLANK($C331),"",IF(R331=Constants!$B$3,TRUE(),IF(R331=Constants!$B$4,FALSE(),TRUE())))</f>
        <v/>
      </c>
      <c r="AT331" s="135" t="str">
        <f aca="false">IF(ISBLANK($C331),"",IF(S331=Constants!$B$5,TRUE(),IF(S331=Constants!$B$6,FALSE(),COUNTA(T331:X331)&gt;0)))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IF(ISBLANK($C331),"",IF(V331=Constants!$B$3,TRUE(),IF(V331=Constants!$B$4,FALSE(),TRUE())))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IF(ISBLANK($C331),"",IF(X331=Constants!$B$3,TRUE(),IF(X331=Constants!$B$4,FALSE(),FALSE())))</f>
        <v/>
      </c>
      <c r="AZ331" s="135" t="str">
        <f aca="false">IF(ISBLANK($C331),"",MIN(Constants!$B$31,MAX(0,IF(ISNUMBER(Y331),Y331*60,0)+IF(ISNUMBER(Z331),Z331,0))))</f>
        <v/>
      </c>
      <c r="BA331" s="135" t="str">
        <f aca="false">IF(ISBLANK($C331),"",IF(AA331=Constants!$B$3,TRUE(),IF(AA331=Constants!$B$4,FALSE(),FALSE())))</f>
        <v/>
      </c>
      <c r="BB331" s="134" t="str">
        <f aca="false">IF(ISBLANK($C331),"",AND($AL331,OR($AM331="",$AN331="",AND($AO331,$AP331=""))))</f>
        <v/>
      </c>
      <c r="BC331" s="137" t="str">
        <f aca="false">IF($BZ331&lt;&gt;Constants!$B$8,"",IF($AL331,Constants!$B$21*$AN331+Constants!$B$22*IF($AO331,$AP331,Constants!$B$23),Constants!$B$24))</f>
        <v/>
      </c>
      <c r="BD331" s="138" t="str">
        <f aca="false">IF($BZ331&lt;&gt;Constants!$B$8,"",Constants!$B$25*ABS($AD$9-IF($AL331,$AM331,0)))</f>
        <v/>
      </c>
      <c r="BE331" s="138" t="str">
        <f aca="false">IF($BZ331&lt;&gt;Constants!$B$8,"",IF(AND($AL331,$AQ331,$AO331),Constants!$B$27,0))</f>
        <v/>
      </c>
      <c r="BF331" s="138" t="str">
        <f aca="false">IF($BZ331&lt;&gt;Constants!$B$8,"",IF($AL331,($AI331-Constants!$B$29)*Constants!$B$28,0))</f>
        <v/>
      </c>
      <c r="BG331" s="138" t="str">
        <f aca="false">IF($BZ331&lt;&gt;Constants!$B$8,"",IF($AK331,0,Constants!$B$15)+IF($AJ331,0,Constants!$B$16)+IF($AH331,0,Constants!$B$17))</f>
        <v/>
      </c>
      <c r="BH331" s="139" t="str">
        <f aca="false">IF($BZ331&lt;&gt;Constants!$B$8,"",Constants!$B$20+SUM($BC331:$BG331))</f>
        <v/>
      </c>
      <c r="BI331" s="138" t="str">
        <f aca="false">IF($BZ331&lt;&gt;Constants!$B$8,"",$BC331)</f>
        <v/>
      </c>
      <c r="BJ331" s="138" t="str">
        <f aca="false">IF($BZ331&lt;&gt;Constants!$B$8,"",$BD331)</f>
        <v/>
      </c>
      <c r="BK331" s="138" t="str">
        <f aca="false">IF($BZ331&lt;&gt;Constants!$B$8,"",IF($AL331,$AN331,""))</f>
        <v/>
      </c>
      <c r="BL331" s="140" t="str">
        <f aca="false">IF($BZ331&lt;&gt;Constants!$B$8,"",$AI331)</f>
        <v/>
      </c>
      <c r="BM331" s="135" t="str">
        <f aca="false">IF($BZ331&lt;&gt;Constants!$B$8,"",IF(OR($BT331&lt;$BH331,AND($BT331=$BH331,OR($BU331&lt;$BI331,AND($BU331=$BI331,OR($BV331&lt;$BJ331,AND($BV331=$BJ331,OR(AND(ISNUMBER($BW331),OR(NOT(ISNUMBER($BK331)),$BW331&lt;$BK331)),AND(OR(AND($BW331="",$BK331=""),AND(ISNUMBER($BW331),ISNUMBER($BK331),$BW331=$BK331)),$BX331&lt;$BL331)))))))),"-&gt;","&lt;-"))</f>
        <v/>
      </c>
      <c r="BN331" s="134" t="str">
        <f aca="false">IF(ISBLANK($C331),"",AND($AT331,OR($AU331="",$AV331="",AND($AW331,$AX331=""))))</f>
        <v/>
      </c>
      <c r="BO331" s="137" t="str">
        <f aca="false">IF($BZ331&lt;&gt;Constants!$B$8,"",IF($AT331,Constants!$B$21*$AV331+Constants!$B$22*IF($AW331,$AX331,Constants!$B$23),Constants!$B$24))</f>
        <v/>
      </c>
      <c r="BP331" s="138" t="str">
        <f aca="false">IF($BZ331&lt;&gt;Constants!$B$8,"",Constants!$B$25*ABS($AD$9-IF($AT331,$AU331,0)))</f>
        <v/>
      </c>
      <c r="BQ331" s="138" t="str">
        <f aca="false">IF($BZ331&lt;&gt;Constants!$B$8,"",IF(AND($AT331,$AY331,$AW331),Constants!$B$27,0))</f>
        <v/>
      </c>
      <c r="BR331" s="138" t="str">
        <f aca="false">IF($BZ331&lt;&gt;Constants!$B$8,"",IF($AT331,($AI331-Constants!$B$29)*Constants!$B$28,0))</f>
        <v/>
      </c>
      <c r="BS331" s="138" t="str">
        <f aca="false">IF($BZ331&lt;&gt;Constants!$B$8,"",IF($AS331,0,Constants!$B$15)+IF($AR331,0,Constants!$B$16)+IF($AH331,0,Constants!$B$17))</f>
        <v/>
      </c>
      <c r="BT331" s="139" t="str">
        <f aca="false">IF($BZ331&lt;&gt;Constants!$B$8,"",Constants!$B$20+SUM($BO331:$BS331))</f>
        <v/>
      </c>
      <c r="BU331" s="138" t="str">
        <f aca="false">IF($BZ331&lt;&gt;Constants!$B$8,"",$BO331)</f>
        <v/>
      </c>
      <c r="BV331" s="138" t="str">
        <f aca="false">IF($BZ331&lt;&gt;Constants!$B$8,"",$BP331)</f>
        <v/>
      </c>
      <c r="BW331" s="138" t="str">
        <f aca="false">IF($BZ331&lt;&gt;Constants!$B$8,"",IF($AT331,$AV331,""))</f>
        <v/>
      </c>
      <c r="BX331" s="140" t="str">
        <f aca="false">IF($BZ331&lt;&gt;Constants!$B$8,"",$AI331)</f>
        <v/>
      </c>
      <c r="BY331" s="135" t="str">
        <f aca="false">IF(ISBLANK($C331),"",IF(ISBLANK($D$7),$BY$5,IF(NOT(ISNUMBER($D$7)),$BY$6,"")))</f>
        <v/>
      </c>
      <c r="BZ331" s="135" t="str">
        <f aca="false">IF(ISBLANK($C331),"",IF($BA331,Constants!$B$11,IF(COUNTA($E331:$AA331)=0,Constants!$B$10,IF(NOT($AG331),Constants!$B$9,IF(OR($BY331&lt;&gt;"",$BB331,$BN331),Constants!$B$12,Constants!$B$8)))))</f>
        <v/>
      </c>
      <c r="CA331" s="135" t="str">
        <f aca="false">IF(ISBLANK($C331),"",IF($BZ331&lt;&gt;Constants!$B$8,$BZ331,Constants!$B$13))</f>
        <v/>
      </c>
      <c r="CB331" s="138" t="str">
        <f aca="false">IF($BZ331&lt;&gt;Constants!$B$8,"",IF($BM331="-&gt;",$BT331,$BH331))</f>
        <v/>
      </c>
      <c r="CC331" s="138" t="str">
        <f aca="false">IF($BZ331&lt;&gt;Constants!$B$8,"",IF($AF331,0,Constants!$B$18))</f>
        <v/>
      </c>
      <c r="CD331" s="138" t="str">
        <f aca="false">IF($BZ331&lt;&gt;Constants!$B$8,"",((Constants!$B$31-$AZ331)-Constants!$B$31)/Constants!$B$32)</f>
        <v/>
      </c>
      <c r="CE331" s="138" t="str">
        <f aca="false">IF(ISBLANK($C331),"",IF($BZ331&lt;&gt;Constants!$B$8,$BZ331,SUM($CB331:$CD331)))</f>
        <v/>
      </c>
      <c r="CF331" s="135" t="str">
        <f aca="false">IF(ISBLANK($C331),"",IF($BZ331&lt;&gt;Constants!$B$8,$BZ331,RANK($CE331,$CE$9:$CE$508,1)))</f>
        <v/>
      </c>
      <c r="CG331" s="138" t="str">
        <f aca="false">IF($BZ331&lt;&gt;Constants!$B$8,"",IF($BM331="-&gt;",$BU331,$BI331))</f>
        <v/>
      </c>
      <c r="CH331" s="135" t="str">
        <f aca="false">IF(ISBLANK($C331),"",IF($BZ331&lt;&gt;Constants!$B$8,$BZ331,IF(ISNUMBER($CG331),RANK($CG331,$CG$9:$CG$508,1),COUNT($CG$9:$CG$508)+1)))</f>
        <v/>
      </c>
      <c r="CI331" s="138" t="str">
        <f aca="false">IF($BZ331&lt;&gt;Constants!$B$8,"",IF($BM331="-&gt;",$BV331,$BJ331))</f>
        <v/>
      </c>
      <c r="CJ331" s="135" t="str">
        <f aca="false">IF(ISBLANK($C331),"",IF($BZ331&lt;&gt;Constants!$B$8,$BZ331,IF(ISNUMBER($CI331),RANK($CI331,$CI$9:$CI$508,1),COUNT($CI$9:$CI$508)+1)))</f>
        <v/>
      </c>
      <c r="CK331" s="138" t="str">
        <f aca="false">IF($BZ331&lt;&gt;Constants!$B$8,"",IF($BM331="-&gt;",$BW331,$BK331))</f>
        <v/>
      </c>
      <c r="CL331" s="135" t="str">
        <f aca="false">IF(ISBLANK($C331),"",IF($BZ331&lt;&gt;Constants!$B$8,$BZ331,IF(ISNUMBER($CK331),RANK($CK331,$CK$9:$CK$508,1),COUNT($CK$9:$CK$508)+1)))</f>
        <v/>
      </c>
      <c r="CM331" s="138" t="str">
        <f aca="false">IF($BZ331&lt;&gt;Constants!$B$8,"",IF(AND(NOT($AL331),NOT($AT331),$AJ331,$AK331,$AR331,$AS331),"",IF($BM331="-&gt;",$BX331,$BL331)))</f>
        <v/>
      </c>
      <c r="CN331" s="135" t="str">
        <f aca="false">IF(ISBLANK($C331),"",IF($BZ331&lt;&gt;Constants!$B$8,$BZ331,IF(ISNUMBER($CM331),RANK($CM331,$CM$9:$CM$508,1),COUNT($CM$9:$CM$508)+1)))</f>
        <v/>
      </c>
      <c r="CO331" s="135" t="str">
        <f aca="false">IF(ISBLANK($C331),"",IF($BZ331&lt;&gt;Constants!$B$8,$BZ331,COUNTIFS($CF$9:$CF$508,"&lt;"&amp;$CF331)+COUNTIFS($CF$9:$CF$508,$CF331,$CH$9:$CH$508,"&lt;"&amp;$CH331)+COUNTIFS($CF$9:$CF$508,$CF331,$CH$9:$CH$508,$CH331,$CJ$9:$CJ$508,"&lt;"&amp;$CJ331)+COUNTIFS($CF$9:$CF$508,$CF331,$CH$9:$CH$508,$CH331,$CJ$9:$CJ$508,$CJ331,$CL$9:$CL$508,"&lt;"&amp;$CL331)+COUNTIFS($CF$9:$CF$508,$CF331,$CH$9:$CH$508,$CH331,$CJ$9:$CJ$508,$CJ331,$CL$9:$CL$508,$CL331,$CN$9:$CN$508,"&lt;"&amp;$CN331)+1))</f>
        <v/>
      </c>
      <c r="CP331" s="135" t="str">
        <f aca="false">IF(ISBLANK($C331),"",IF($BZ331&lt;&gt;Constants!$B$8,$BZ331,$CF331-$CO331))</f>
        <v/>
      </c>
      <c r="CQ331" s="141"/>
      <c r="CR331" s="142"/>
      <c r="CS331" s="143" t="str">
        <f aca="false">IF(ISBLANK($C331),"",IF($BZ331=Constants!$B$12,$BY331,""))</f>
        <v/>
      </c>
      <c r="CT331" s="142" t="str">
        <f aca="false">IF(ISBLANK($C331),"",IF($BZ331&lt;&gt;Constants!$B$8,"",IF($BM331="-&gt;",2,1)))</f>
        <v/>
      </c>
      <c r="CU331" s="144" t="str">
        <f aca="false">IF(ISBLANK($C331),"",IF($BZ331&lt;&gt;Constants!$B$8,"",IF($BM331="-&gt;",$BO331,$BC331)))</f>
        <v/>
      </c>
      <c r="CV331" s="144" t="str">
        <f aca="false">IF(ISBLANK($C331),"",IF($BZ331&lt;&gt;Constants!$B$8,"",IF($BM331="-&gt;",$BP331,$BD331)))</f>
        <v/>
      </c>
      <c r="CW331" s="144" t="str">
        <f aca="false">IF(ISBLANK($C331),"",IF($BZ331&lt;&gt;Constants!$B$8,"",IF($BM331="-&gt;",$BQ331+$BR331,$BE331+$BF331)+$CD331))</f>
        <v/>
      </c>
      <c r="CX331" s="144" t="str">
        <f aca="false">IF(ISBLANK($C331),"",IF($BZ331&lt;&gt;Constants!$B$8,"",IF($BM331="-&gt;",$BS331,$BG331)+$CC331))</f>
        <v/>
      </c>
      <c r="CY331" s="145" t="str">
        <f aca="false">IF(ISBLANK($C331),"",IF($BZ331&lt;&gt;Constants!$B$8,$BZ331,$CE331))</f>
        <v/>
      </c>
      <c r="CZ331" s="146" t="str">
        <f aca="false">IF(ISBLANK($C331),"",$CA331)</f>
        <v/>
      </c>
      <c r="DA331" s="147" t="str">
        <f aca="false">IF(ISBLANK($C331),"",$CP331)</f>
        <v/>
      </c>
      <c r="DB331" s="147" t="str">
        <f aca="false">IF(ISBLANK($C331),"",$CO331)</f>
        <v/>
      </c>
      <c r="DC331" s="148" t="str">
        <f aca="false">IF(ISBLANK($C331),"",IFERROR(_xlfn.SWITCH($DB331,Constants!$B$11,COUNTA($C$9:$C$508)+2,Constants!$B$10,COUNTA($C$9:$C$508)+1,Constants!$B$9,COUNTA($C$9:$C$508)),$DB331))</f>
        <v/>
      </c>
      <c r="DD331" s="9"/>
      <c r="DE331" s="149" t="n">
        <f aca="false">IF(OR(ISNUMBER($DB331),$DB331=Constants!$B$11,$DB331=Constants!$B$9,$DB331=Constants!$B$10),1,0)</f>
        <v>0</v>
      </c>
      <c r="DF331" s="149" t="n">
        <v>323</v>
      </c>
      <c r="DG331" s="149" t="str">
        <f aca="false">IF(ISBLANK($C331),"",IF(ISNUMBER($DC331),$DC331+ROW($B331)/1000,""))</f>
        <v/>
      </c>
      <c r="DH331" s="149" t="str">
        <f aca="false">IF(ISNUMBER($DG331),RANK($DG331,$DG$9:$DG$508,1),"")</f>
        <v/>
      </c>
      <c r="DI331" s="149" t="str">
        <f aca="false">IF(ISBLANK($C331),"",$B331)</f>
        <v/>
      </c>
      <c r="DJ331" s="149" t="str">
        <f aca="false">IF(ISBLANK($C331),"",$C331)</f>
        <v/>
      </c>
      <c r="DK331" s="149" t="str">
        <f aca="false">IF(ISBLANK($C331),"",$D331)</f>
        <v/>
      </c>
      <c r="DL331" s="150" t="str">
        <f aca="false">$CZ331</f>
        <v/>
      </c>
      <c r="DM331" s="151" t="str">
        <f aca="false">$CY331</f>
        <v/>
      </c>
      <c r="DN331" s="149" t="str">
        <f aca="false">IF(ISBLANK($C331),"",$DB331)</f>
        <v/>
      </c>
      <c r="DO331" s="152" t="str">
        <f aca="false">IF($DF331&gt;$DE$8,"",VLOOKUP($DF331,$DH$9:$DN$508,7,FALSE()))</f>
        <v/>
      </c>
      <c r="DP331" s="153" t="str">
        <f aca="false">IF($DF331&gt;$DE$8,"",VLOOKUP($DF331,$DH$9:$DN$508,2,FALSE()))</f>
        <v/>
      </c>
      <c r="DQ331" s="153" t="str">
        <f aca="false">IF($DF331&gt;$DE$8,"",VLOOKUP($DF331,$DH$9:$DN$508,3,FALSE()))</f>
        <v/>
      </c>
      <c r="DR331" s="153" t="str">
        <f aca="false">IF($DF331&gt;$DE$8,"",VLOOKUP($DF331,$DH$9:$DN$508,4,FALSE()))</f>
        <v/>
      </c>
      <c r="DS331" s="153" t="str">
        <f aca="false">IF($DF331&gt;$DE$8,"",VLOOKUP($DF331,$DH$9:$DN$508,5,FALSE()))</f>
        <v/>
      </c>
      <c r="DT331" s="154" t="str">
        <f aca="false">IF($DF331&gt;$DE$8,"",VLOOKUP($DF331,$DH$9:$DN$508,6,FALSE()))</f>
        <v/>
      </c>
      <c r="DU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IF(ISBLANK($C332),"",IF(E332=Constants!$B$3,TRUE(),IF(E332=Constants!$B$4,FALSE(),TRUE())))</f>
        <v/>
      </c>
      <c r="AG332" s="135" t="str">
        <f aca="false">IF(ISBLANK($C332),"",IF(F332=Constants!$B$3,TRUE(),IF(F332=Constants!$B$4,FALSE(),TRUE())))</f>
        <v/>
      </c>
      <c r="AH332" s="135" t="str">
        <f aca="false">IF(ISBLANK($C332),"",IF(G332=Constants!$B$3,TRUE(),IF(G332=Constants!$B$4,FALSE(),TRUE())))</f>
        <v/>
      </c>
      <c r="AI332" s="135" t="str">
        <f aca="false">IF(ISBLANK($C332),"",IF(AND(ISNUMBER(H332),H332&gt;=0),H332,Constants!$B$29))</f>
        <v/>
      </c>
      <c r="AJ332" s="135" t="str">
        <f aca="false">IF(ISBLANK($C332),"",IF(I332=Constants!$B$3,TRUE(),IF(I332=Constants!$B$4,FALSE(),TRUE())))</f>
        <v/>
      </c>
      <c r="AK332" s="135" t="str">
        <f aca="false">IF(ISBLANK($C332),"",IF(J332=Constants!$B$3,TRUE(),IF(J332=Constants!$B$4,FALSE(),TRUE())))</f>
        <v/>
      </c>
      <c r="AL332" s="135" t="str">
        <f aca="false">IF(ISBLANK($C332),"",IF(K332=Constants!$B$5,TRUE(),IF(K332=Constants!$B$6,FALSE(),COUNTA(L332:P332)&gt;0)))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IF(ISBLANK($C332),"",IF(N332=Constants!$B$3,TRUE(),IF(N332=Constants!$B$4,FALSE(),TRUE())))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IF(ISBLANK($C332),"",IF(P332=Constants!$B$3,TRUE(),IF(P332=Constants!$B$4,FALSE(),FALSE())))</f>
        <v/>
      </c>
      <c r="AR332" s="135" t="str">
        <f aca="false">IF(ISBLANK($C332),"",IF(Q332=Constants!$B$3,TRUE(),IF(Q332=Constants!$B$4,FALSE(),TRUE())))</f>
        <v/>
      </c>
      <c r="AS332" s="135" t="str">
        <f aca="false">IF(ISBLANK($C332),"",IF(R332=Constants!$B$3,TRUE(),IF(R332=Constants!$B$4,FALSE(),TRUE())))</f>
        <v/>
      </c>
      <c r="AT332" s="135" t="str">
        <f aca="false">IF(ISBLANK($C332),"",IF(S332=Constants!$B$5,TRUE(),IF(S332=Constants!$B$6,FALSE(),COUNTA(T332:X332)&gt;0)))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IF(ISBLANK($C332),"",IF(V332=Constants!$B$3,TRUE(),IF(V332=Constants!$B$4,FALSE(),TRUE())))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IF(ISBLANK($C332),"",IF(X332=Constants!$B$3,TRUE(),IF(X332=Constants!$B$4,FALSE(),FALSE())))</f>
        <v/>
      </c>
      <c r="AZ332" s="135" t="str">
        <f aca="false">IF(ISBLANK($C332),"",MIN(Constants!$B$31,MAX(0,IF(ISNUMBER(Y332),Y332*60,0)+IF(ISNUMBER(Z332),Z332,0))))</f>
        <v/>
      </c>
      <c r="BA332" s="135" t="str">
        <f aca="false">IF(ISBLANK($C332),"",IF(AA332=Constants!$B$3,TRUE(),IF(AA332=Constants!$B$4,FALSE(),FALSE())))</f>
        <v/>
      </c>
      <c r="BB332" s="134" t="str">
        <f aca="false">IF(ISBLANK($C332),"",AND($AL332,OR($AM332="",$AN332="",AND($AO332,$AP332=""))))</f>
        <v/>
      </c>
      <c r="BC332" s="137" t="str">
        <f aca="false">IF($BZ332&lt;&gt;Constants!$B$8,"",IF($AL332,Constants!$B$21*$AN332+Constants!$B$22*IF($AO332,$AP332,Constants!$B$23),Constants!$B$24))</f>
        <v/>
      </c>
      <c r="BD332" s="138" t="str">
        <f aca="false">IF($BZ332&lt;&gt;Constants!$B$8,"",Constants!$B$25*ABS($AD$9-IF($AL332,$AM332,0)))</f>
        <v/>
      </c>
      <c r="BE332" s="138" t="str">
        <f aca="false">IF($BZ332&lt;&gt;Constants!$B$8,"",IF(AND($AL332,$AQ332,$AO332),Constants!$B$27,0))</f>
        <v/>
      </c>
      <c r="BF332" s="138" t="str">
        <f aca="false">IF($BZ332&lt;&gt;Constants!$B$8,"",IF($AL332,($AI332-Constants!$B$29)*Constants!$B$28,0))</f>
        <v/>
      </c>
      <c r="BG332" s="138" t="str">
        <f aca="false">IF($BZ332&lt;&gt;Constants!$B$8,"",IF($AK332,0,Constants!$B$15)+IF($AJ332,0,Constants!$B$16)+IF($AH332,0,Constants!$B$17))</f>
        <v/>
      </c>
      <c r="BH332" s="139" t="str">
        <f aca="false">IF($BZ332&lt;&gt;Constants!$B$8,"",Constants!$B$20+SUM($BC332:$BG332))</f>
        <v/>
      </c>
      <c r="BI332" s="138" t="str">
        <f aca="false">IF($BZ332&lt;&gt;Constants!$B$8,"",$BC332)</f>
        <v/>
      </c>
      <c r="BJ332" s="138" t="str">
        <f aca="false">IF($BZ332&lt;&gt;Constants!$B$8,"",$BD332)</f>
        <v/>
      </c>
      <c r="BK332" s="138" t="str">
        <f aca="false">IF($BZ332&lt;&gt;Constants!$B$8,"",IF($AL332,$AN332,""))</f>
        <v/>
      </c>
      <c r="BL332" s="140" t="str">
        <f aca="false">IF($BZ332&lt;&gt;Constants!$B$8,"",$AI332)</f>
        <v/>
      </c>
      <c r="BM332" s="135" t="str">
        <f aca="false">IF($BZ332&lt;&gt;Constants!$B$8,"",IF(OR($BT332&lt;$BH332,AND($BT332=$BH332,OR($BU332&lt;$BI332,AND($BU332=$BI332,OR($BV332&lt;$BJ332,AND($BV332=$BJ332,OR(AND(ISNUMBER($BW332),OR(NOT(ISNUMBER($BK332)),$BW332&lt;$BK332)),AND(OR(AND($BW332="",$BK332=""),AND(ISNUMBER($BW332),ISNUMBER($BK332),$BW332=$BK332)),$BX332&lt;$BL332)))))))),"-&gt;","&lt;-"))</f>
        <v/>
      </c>
      <c r="BN332" s="134" t="str">
        <f aca="false">IF(ISBLANK($C332),"",AND($AT332,OR($AU332="",$AV332="",AND($AW332,$AX332=""))))</f>
        <v/>
      </c>
      <c r="BO332" s="137" t="str">
        <f aca="false">IF($BZ332&lt;&gt;Constants!$B$8,"",IF($AT332,Constants!$B$21*$AV332+Constants!$B$22*IF($AW332,$AX332,Constants!$B$23),Constants!$B$24))</f>
        <v/>
      </c>
      <c r="BP332" s="138" t="str">
        <f aca="false">IF($BZ332&lt;&gt;Constants!$B$8,"",Constants!$B$25*ABS($AD$9-IF($AT332,$AU332,0)))</f>
        <v/>
      </c>
      <c r="BQ332" s="138" t="str">
        <f aca="false">IF($BZ332&lt;&gt;Constants!$B$8,"",IF(AND($AT332,$AY332,$AW332),Constants!$B$27,0))</f>
        <v/>
      </c>
      <c r="BR332" s="138" t="str">
        <f aca="false">IF($BZ332&lt;&gt;Constants!$B$8,"",IF($AT332,($AI332-Constants!$B$29)*Constants!$B$28,0))</f>
        <v/>
      </c>
      <c r="BS332" s="138" t="str">
        <f aca="false">IF($BZ332&lt;&gt;Constants!$B$8,"",IF($AS332,0,Constants!$B$15)+IF($AR332,0,Constants!$B$16)+IF($AH332,0,Constants!$B$17))</f>
        <v/>
      </c>
      <c r="BT332" s="139" t="str">
        <f aca="false">IF($BZ332&lt;&gt;Constants!$B$8,"",Constants!$B$20+SUM($BO332:$BS332))</f>
        <v/>
      </c>
      <c r="BU332" s="138" t="str">
        <f aca="false">IF($BZ332&lt;&gt;Constants!$B$8,"",$BO332)</f>
        <v/>
      </c>
      <c r="BV332" s="138" t="str">
        <f aca="false">IF($BZ332&lt;&gt;Constants!$B$8,"",$BP332)</f>
        <v/>
      </c>
      <c r="BW332" s="138" t="str">
        <f aca="false">IF($BZ332&lt;&gt;Constants!$B$8,"",IF($AT332,$AV332,""))</f>
        <v/>
      </c>
      <c r="BX332" s="140" t="str">
        <f aca="false">IF($BZ332&lt;&gt;Constants!$B$8,"",$AI332)</f>
        <v/>
      </c>
      <c r="BY332" s="135" t="str">
        <f aca="false">IF(ISBLANK($C332),"",IF(ISBLANK($D$7),$BY$5,IF(NOT(ISNUMBER($D$7)),$BY$6,"")))</f>
        <v/>
      </c>
      <c r="BZ332" s="135" t="str">
        <f aca="false">IF(ISBLANK($C332),"",IF($BA332,Constants!$B$11,IF(COUNTA($E332:$AA332)=0,Constants!$B$10,IF(NOT($AG332),Constants!$B$9,IF(OR($BY332&lt;&gt;"",$BB332,$BN332),Constants!$B$12,Constants!$B$8)))))</f>
        <v/>
      </c>
      <c r="CA332" s="135" t="str">
        <f aca="false">IF(ISBLANK($C332),"",IF($BZ332&lt;&gt;Constants!$B$8,$BZ332,Constants!$B$13))</f>
        <v/>
      </c>
      <c r="CB332" s="138" t="str">
        <f aca="false">IF($BZ332&lt;&gt;Constants!$B$8,"",IF($BM332="-&gt;",$BT332,$BH332))</f>
        <v/>
      </c>
      <c r="CC332" s="138" t="str">
        <f aca="false">IF($BZ332&lt;&gt;Constants!$B$8,"",IF($AF332,0,Constants!$B$18))</f>
        <v/>
      </c>
      <c r="CD332" s="138" t="str">
        <f aca="false">IF($BZ332&lt;&gt;Constants!$B$8,"",((Constants!$B$31-$AZ332)-Constants!$B$31)/Constants!$B$32)</f>
        <v/>
      </c>
      <c r="CE332" s="138" t="str">
        <f aca="false">IF(ISBLANK($C332),"",IF($BZ332&lt;&gt;Constants!$B$8,$BZ332,SUM($CB332:$CD332)))</f>
        <v/>
      </c>
      <c r="CF332" s="135" t="str">
        <f aca="false">IF(ISBLANK($C332),"",IF($BZ332&lt;&gt;Constants!$B$8,$BZ332,RANK($CE332,$CE$9:$CE$508,1)))</f>
        <v/>
      </c>
      <c r="CG332" s="138" t="str">
        <f aca="false">IF($BZ332&lt;&gt;Constants!$B$8,"",IF($BM332="-&gt;",$BU332,$BI332))</f>
        <v/>
      </c>
      <c r="CH332" s="135" t="str">
        <f aca="false">IF(ISBLANK($C332),"",IF($BZ332&lt;&gt;Constants!$B$8,$BZ332,IF(ISNUMBER($CG332),RANK($CG332,$CG$9:$CG$508,1),COUNT($CG$9:$CG$508)+1)))</f>
        <v/>
      </c>
      <c r="CI332" s="138" t="str">
        <f aca="false">IF($BZ332&lt;&gt;Constants!$B$8,"",IF($BM332="-&gt;",$BV332,$BJ332))</f>
        <v/>
      </c>
      <c r="CJ332" s="135" t="str">
        <f aca="false">IF(ISBLANK($C332),"",IF($BZ332&lt;&gt;Constants!$B$8,$BZ332,IF(ISNUMBER($CI332),RANK($CI332,$CI$9:$CI$508,1),COUNT($CI$9:$CI$508)+1)))</f>
        <v/>
      </c>
      <c r="CK332" s="138" t="str">
        <f aca="false">IF($BZ332&lt;&gt;Constants!$B$8,"",IF($BM332="-&gt;",$BW332,$BK332))</f>
        <v/>
      </c>
      <c r="CL332" s="135" t="str">
        <f aca="false">IF(ISBLANK($C332),"",IF($BZ332&lt;&gt;Constants!$B$8,$BZ332,IF(ISNUMBER($CK332),RANK($CK332,$CK$9:$CK$508,1),COUNT($CK$9:$CK$508)+1)))</f>
        <v/>
      </c>
      <c r="CM332" s="138" t="str">
        <f aca="false">IF($BZ332&lt;&gt;Constants!$B$8,"",IF(AND(NOT($AL332),NOT($AT332),$AJ332,$AK332,$AR332,$AS332),"",IF($BM332="-&gt;",$BX332,$BL332)))</f>
        <v/>
      </c>
      <c r="CN332" s="135" t="str">
        <f aca="false">IF(ISBLANK($C332),"",IF($BZ332&lt;&gt;Constants!$B$8,$BZ332,IF(ISNUMBER($CM332),RANK($CM332,$CM$9:$CM$508,1),COUNT($CM$9:$CM$508)+1)))</f>
        <v/>
      </c>
      <c r="CO332" s="135" t="str">
        <f aca="false">IF(ISBLANK($C332),"",IF($BZ332&lt;&gt;Constants!$B$8,$BZ332,COUNTIFS($CF$9:$CF$508,"&lt;"&amp;$CF332)+COUNTIFS($CF$9:$CF$508,$CF332,$CH$9:$CH$508,"&lt;"&amp;$CH332)+COUNTIFS($CF$9:$CF$508,$CF332,$CH$9:$CH$508,$CH332,$CJ$9:$CJ$508,"&lt;"&amp;$CJ332)+COUNTIFS($CF$9:$CF$508,$CF332,$CH$9:$CH$508,$CH332,$CJ$9:$CJ$508,$CJ332,$CL$9:$CL$508,"&lt;"&amp;$CL332)+COUNTIFS($CF$9:$CF$508,$CF332,$CH$9:$CH$508,$CH332,$CJ$9:$CJ$508,$CJ332,$CL$9:$CL$508,$CL332,$CN$9:$CN$508,"&lt;"&amp;$CN332)+1))</f>
        <v/>
      </c>
      <c r="CP332" s="135" t="str">
        <f aca="false">IF(ISBLANK($C332),"",IF($BZ332&lt;&gt;Constants!$B$8,$BZ332,$CF332-$CO332))</f>
        <v/>
      </c>
      <c r="CQ332" s="141"/>
      <c r="CR332" s="142"/>
      <c r="CS332" s="143" t="str">
        <f aca="false">IF(ISBLANK($C332),"",IF($BZ332=Constants!$B$12,$BY332,""))</f>
        <v/>
      </c>
      <c r="CT332" s="142" t="str">
        <f aca="false">IF(ISBLANK($C332),"",IF($BZ332&lt;&gt;Constants!$B$8,"",IF($BM332="-&gt;",2,1)))</f>
        <v/>
      </c>
      <c r="CU332" s="144" t="str">
        <f aca="false">IF(ISBLANK($C332),"",IF($BZ332&lt;&gt;Constants!$B$8,"",IF($BM332="-&gt;",$BO332,$BC332)))</f>
        <v/>
      </c>
      <c r="CV332" s="144" t="str">
        <f aca="false">IF(ISBLANK($C332),"",IF($BZ332&lt;&gt;Constants!$B$8,"",IF($BM332="-&gt;",$BP332,$BD332)))</f>
        <v/>
      </c>
      <c r="CW332" s="144" t="str">
        <f aca="false">IF(ISBLANK($C332),"",IF($BZ332&lt;&gt;Constants!$B$8,"",IF($BM332="-&gt;",$BQ332+$BR332,$BE332+$BF332)+$CD332))</f>
        <v/>
      </c>
      <c r="CX332" s="144" t="str">
        <f aca="false">IF(ISBLANK($C332),"",IF($BZ332&lt;&gt;Constants!$B$8,"",IF($BM332="-&gt;",$BS332,$BG332)+$CC332))</f>
        <v/>
      </c>
      <c r="CY332" s="145" t="str">
        <f aca="false">IF(ISBLANK($C332),"",IF($BZ332&lt;&gt;Constants!$B$8,$BZ332,$CE332))</f>
        <v/>
      </c>
      <c r="CZ332" s="146" t="str">
        <f aca="false">IF(ISBLANK($C332),"",$CA332)</f>
        <v/>
      </c>
      <c r="DA332" s="147" t="str">
        <f aca="false">IF(ISBLANK($C332),"",$CP332)</f>
        <v/>
      </c>
      <c r="DB332" s="147" t="str">
        <f aca="false">IF(ISBLANK($C332),"",$CO332)</f>
        <v/>
      </c>
      <c r="DC332" s="148" t="str">
        <f aca="false">IF(ISBLANK($C332),"",IFERROR(_xlfn.SWITCH($DB332,Constants!$B$11,COUNTA($C$9:$C$508)+2,Constants!$B$10,COUNTA($C$9:$C$508)+1,Constants!$B$9,COUNTA($C$9:$C$508)),$DB332))</f>
        <v/>
      </c>
      <c r="DD332" s="9"/>
      <c r="DE332" s="149" t="n">
        <f aca="false">IF(OR(ISNUMBER($DB332),$DB332=Constants!$B$11,$DB332=Constants!$B$9,$DB332=Constants!$B$10),1,0)</f>
        <v>0</v>
      </c>
      <c r="DF332" s="149" t="n">
        <v>324</v>
      </c>
      <c r="DG332" s="149" t="str">
        <f aca="false">IF(ISBLANK($C332),"",IF(ISNUMBER($DC332),$DC332+ROW($B332)/1000,""))</f>
        <v/>
      </c>
      <c r="DH332" s="149" t="str">
        <f aca="false">IF(ISNUMBER($DG332),RANK($DG332,$DG$9:$DG$508,1),"")</f>
        <v/>
      </c>
      <c r="DI332" s="149" t="str">
        <f aca="false">IF(ISBLANK($C332),"",$B332)</f>
        <v/>
      </c>
      <c r="DJ332" s="149" t="str">
        <f aca="false">IF(ISBLANK($C332),"",$C332)</f>
        <v/>
      </c>
      <c r="DK332" s="149" t="str">
        <f aca="false">IF(ISBLANK($C332),"",$D332)</f>
        <v/>
      </c>
      <c r="DL332" s="150" t="str">
        <f aca="false">$CZ332</f>
        <v/>
      </c>
      <c r="DM332" s="151" t="str">
        <f aca="false">$CY332</f>
        <v/>
      </c>
      <c r="DN332" s="149" t="str">
        <f aca="false">IF(ISBLANK($C332),"",$DB332)</f>
        <v/>
      </c>
      <c r="DO332" s="152" t="str">
        <f aca="false">IF($DF332&gt;$DE$8,"",VLOOKUP($DF332,$DH$9:$DN$508,7,FALSE()))</f>
        <v/>
      </c>
      <c r="DP332" s="153" t="str">
        <f aca="false">IF($DF332&gt;$DE$8,"",VLOOKUP($DF332,$DH$9:$DN$508,2,FALSE()))</f>
        <v/>
      </c>
      <c r="DQ332" s="153" t="str">
        <f aca="false">IF($DF332&gt;$DE$8,"",VLOOKUP($DF332,$DH$9:$DN$508,3,FALSE()))</f>
        <v/>
      </c>
      <c r="DR332" s="153" t="str">
        <f aca="false">IF($DF332&gt;$DE$8,"",VLOOKUP($DF332,$DH$9:$DN$508,4,FALSE()))</f>
        <v/>
      </c>
      <c r="DS332" s="153" t="str">
        <f aca="false">IF($DF332&gt;$DE$8,"",VLOOKUP($DF332,$DH$9:$DN$508,5,FALSE()))</f>
        <v/>
      </c>
      <c r="DT332" s="154" t="str">
        <f aca="false">IF($DF332&gt;$DE$8,"",VLOOKUP($DF332,$DH$9:$DN$508,6,FALSE()))</f>
        <v/>
      </c>
      <c r="DU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IF(ISBLANK($C333),"",IF(E333=Constants!$B$3,TRUE(),IF(E333=Constants!$B$4,FALSE(),TRUE())))</f>
        <v/>
      </c>
      <c r="AG333" s="93" t="str">
        <f aca="false">IF(ISBLANK($C333),"",IF(F333=Constants!$B$3,TRUE(),IF(F333=Constants!$B$4,FALSE(),TRUE())))</f>
        <v/>
      </c>
      <c r="AH333" s="93" t="str">
        <f aca="false">IF(ISBLANK($C333),"",IF(G333=Constants!$B$3,TRUE(),IF(G333=Constants!$B$4,FALSE(),TRUE())))</f>
        <v/>
      </c>
      <c r="AI333" s="93" t="str">
        <f aca="false">IF(ISBLANK($C333),"",IF(AND(ISNUMBER(H333),H333&gt;=0),H333,Constants!$B$29))</f>
        <v/>
      </c>
      <c r="AJ333" s="93" t="str">
        <f aca="false">IF(ISBLANK($C333),"",IF(I333=Constants!$B$3,TRUE(),IF(I333=Constants!$B$4,FALSE(),TRUE())))</f>
        <v/>
      </c>
      <c r="AK333" s="93" t="str">
        <f aca="false">IF(ISBLANK($C333),"",IF(J333=Constants!$B$3,TRUE(),IF(J333=Constants!$B$4,FALSE(),TRUE())))</f>
        <v/>
      </c>
      <c r="AL333" s="93" t="str">
        <f aca="false">IF(ISBLANK($C333),"",IF(K333=Constants!$B$5,TRUE(),IF(K333=Constants!$B$6,FALSE(),COUNTA(L333:P333)&gt;0)))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IF(ISBLANK($C333),"",IF(N333=Constants!$B$3,TRUE(),IF(N333=Constants!$B$4,FALSE(),TRUE())))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IF(ISBLANK($C333),"",IF(P333=Constants!$B$3,TRUE(),IF(P333=Constants!$B$4,FALSE(),FALSE())))</f>
        <v/>
      </c>
      <c r="AR333" s="93" t="str">
        <f aca="false">IF(ISBLANK($C333),"",IF(Q333=Constants!$B$3,TRUE(),IF(Q333=Constants!$B$4,FALSE(),TRUE())))</f>
        <v/>
      </c>
      <c r="AS333" s="93" t="str">
        <f aca="false">IF(ISBLANK($C333),"",IF(R333=Constants!$B$3,TRUE(),IF(R333=Constants!$B$4,FALSE(),TRUE())))</f>
        <v/>
      </c>
      <c r="AT333" s="93" t="str">
        <f aca="false">IF(ISBLANK($C333),"",IF(S333=Constants!$B$5,TRUE(),IF(S333=Constants!$B$6,FALSE(),COUNTA(T333:X333)&gt;0)))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IF(ISBLANK($C333),"",IF(V333=Constants!$B$3,TRUE(),IF(V333=Constants!$B$4,FALSE(),TRUE())))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IF(ISBLANK($C333),"",IF(X333=Constants!$B$3,TRUE(),IF(X333=Constants!$B$4,FALSE(),FALSE())))</f>
        <v/>
      </c>
      <c r="AZ333" s="93" t="str">
        <f aca="false">IF(ISBLANK($C333),"",MIN(Constants!$B$31,MAX(0,IF(ISNUMBER(Y333),Y333*60,0)+IF(ISNUMBER(Z333),Z333,0))))</f>
        <v/>
      </c>
      <c r="BA333" s="93" t="str">
        <f aca="false">IF(ISBLANK($C333),"",IF(AA333=Constants!$B$3,TRUE(),IF(AA333=Constants!$B$4,FALSE(),FALSE())))</f>
        <v/>
      </c>
      <c r="BB333" s="92" t="str">
        <f aca="false">IF(ISBLANK($C333),"",AND($AL333,OR($AM333="",$AN333="",AND($AO333,$AP333=""))))</f>
        <v/>
      </c>
      <c r="BC333" s="94" t="str">
        <f aca="false">IF($BZ333&lt;&gt;Constants!$B$8,"",IF($AL333,Constants!$B$21*$AN333+Constants!$B$22*IF($AO333,$AP333,Constants!$B$23),Constants!$B$24))</f>
        <v/>
      </c>
      <c r="BD333" s="97" t="str">
        <f aca="false">IF($BZ333&lt;&gt;Constants!$B$8,"",Constants!$B$25*ABS($AD$9-IF($AL333,$AM333,0)))</f>
        <v/>
      </c>
      <c r="BE333" s="97" t="str">
        <f aca="false">IF($BZ333&lt;&gt;Constants!$B$8,"",IF(AND($AL333,$AQ333,$AO333),Constants!$B$27,0))</f>
        <v/>
      </c>
      <c r="BF333" s="97" t="str">
        <f aca="false">IF($BZ333&lt;&gt;Constants!$B$8,"",IF($AL333,($AI333-Constants!$B$29)*Constants!$B$28,0))</f>
        <v/>
      </c>
      <c r="BG333" s="97" t="str">
        <f aca="false">IF($BZ333&lt;&gt;Constants!$B$8,"",IF($AK333,0,Constants!$B$15)+IF($AJ333,0,Constants!$B$16)+IF($AH333,0,Constants!$B$17))</f>
        <v/>
      </c>
      <c r="BH333" s="98" t="str">
        <f aca="false">IF($BZ333&lt;&gt;Constants!$B$8,"",Constants!$B$20+SUM($BC333:$BG333))</f>
        <v/>
      </c>
      <c r="BI333" s="97" t="str">
        <f aca="false">IF($BZ333&lt;&gt;Constants!$B$8,"",$BC333)</f>
        <v/>
      </c>
      <c r="BJ333" s="97" t="str">
        <f aca="false">IF($BZ333&lt;&gt;Constants!$B$8,"",$BD333)</f>
        <v/>
      </c>
      <c r="BK333" s="97" t="str">
        <f aca="false">IF($BZ333&lt;&gt;Constants!$B$8,"",IF($AL333,$AN333,""))</f>
        <v/>
      </c>
      <c r="BL333" s="99" t="str">
        <f aca="false">IF($BZ333&lt;&gt;Constants!$B$8,"",$AI333)</f>
        <v/>
      </c>
      <c r="BM333" s="93" t="str">
        <f aca="false">IF($BZ333&lt;&gt;Constants!$B$8,"",IF(OR($BT333&lt;$BH333,AND($BT333=$BH333,OR($BU333&lt;$BI333,AND($BU333=$BI333,OR($BV333&lt;$BJ333,AND($BV333=$BJ333,OR(AND(ISNUMBER($BW333),OR(NOT(ISNUMBER($BK333)),$BW333&lt;$BK333)),AND(OR(AND($BW333="",$BK333=""),AND(ISNUMBER($BW333),ISNUMBER($BK333),$BW333=$BK333)),$BX333&lt;$BL333)))))))),"-&gt;","&lt;-"))</f>
        <v/>
      </c>
      <c r="BN333" s="92" t="str">
        <f aca="false">IF(ISBLANK($C333),"",AND($AT333,OR($AU333="",$AV333="",AND($AW333,$AX333=""))))</f>
        <v/>
      </c>
      <c r="BO333" s="94" t="str">
        <f aca="false">IF($BZ333&lt;&gt;Constants!$B$8,"",IF($AT333,Constants!$B$21*$AV333+Constants!$B$22*IF($AW333,$AX333,Constants!$B$23),Constants!$B$24))</f>
        <v/>
      </c>
      <c r="BP333" s="97" t="str">
        <f aca="false">IF($BZ333&lt;&gt;Constants!$B$8,"",Constants!$B$25*ABS($AD$9-IF($AT333,$AU333,0)))</f>
        <v/>
      </c>
      <c r="BQ333" s="97" t="str">
        <f aca="false">IF($BZ333&lt;&gt;Constants!$B$8,"",IF(AND($AT333,$AY333,$AW333),Constants!$B$27,0))</f>
        <v/>
      </c>
      <c r="BR333" s="97" t="str">
        <f aca="false">IF($BZ333&lt;&gt;Constants!$B$8,"",IF($AT333,($AI333-Constants!$B$29)*Constants!$B$28,0))</f>
        <v/>
      </c>
      <c r="BS333" s="97" t="str">
        <f aca="false">IF($BZ333&lt;&gt;Constants!$B$8,"",IF($AS333,0,Constants!$B$15)+IF($AR333,0,Constants!$B$16)+IF($AH333,0,Constants!$B$17))</f>
        <v/>
      </c>
      <c r="BT333" s="98" t="str">
        <f aca="false">IF($BZ333&lt;&gt;Constants!$B$8,"",Constants!$B$20+SUM($BO333:$BS333))</f>
        <v/>
      </c>
      <c r="BU333" s="97" t="str">
        <f aca="false">IF($BZ333&lt;&gt;Constants!$B$8,"",$BO333)</f>
        <v/>
      </c>
      <c r="BV333" s="97" t="str">
        <f aca="false">IF($BZ333&lt;&gt;Constants!$B$8,"",$BP333)</f>
        <v/>
      </c>
      <c r="BW333" s="97" t="str">
        <f aca="false">IF($BZ333&lt;&gt;Constants!$B$8,"",IF($AT333,$AV333,""))</f>
        <v/>
      </c>
      <c r="BX333" s="99" t="str">
        <f aca="false">IF($BZ333&lt;&gt;Constants!$B$8,"",$AI333)</f>
        <v/>
      </c>
      <c r="BY333" s="93" t="str">
        <f aca="false">IF(ISBLANK($C333),"",IF(ISBLANK($D$7),$BY$5,IF(NOT(ISNUMBER($D$7)),$BY$6,"")))</f>
        <v/>
      </c>
      <c r="BZ333" s="93" t="str">
        <f aca="false">IF(ISBLANK($C333),"",IF($BA333,Constants!$B$11,IF(COUNTA($E333:$AA333)=0,Constants!$B$10,IF(NOT($AG333),Constants!$B$9,IF(OR($BY333&lt;&gt;"",$BB333,$BN333),Constants!$B$12,Constants!$B$8)))))</f>
        <v/>
      </c>
      <c r="CA333" s="93" t="str">
        <f aca="false">IF(ISBLANK($C333),"",IF($BZ333&lt;&gt;Constants!$B$8,$BZ333,Constants!$B$13))</f>
        <v/>
      </c>
      <c r="CB333" s="97" t="str">
        <f aca="false">IF($BZ333&lt;&gt;Constants!$B$8,"",IF($BM333="-&gt;",$BT333,$BH333))</f>
        <v/>
      </c>
      <c r="CC333" s="97" t="str">
        <f aca="false">IF($BZ333&lt;&gt;Constants!$B$8,"",IF($AF333,0,Constants!$B$18))</f>
        <v/>
      </c>
      <c r="CD333" s="97" t="str">
        <f aca="false">IF($BZ333&lt;&gt;Constants!$B$8,"",((Constants!$B$31-$AZ333)-Constants!$B$31)/Constants!$B$32)</f>
        <v/>
      </c>
      <c r="CE333" s="97" t="str">
        <f aca="false">IF(ISBLANK($C333),"",IF($BZ333&lt;&gt;Constants!$B$8,$BZ333,SUM($CB333:$CD333)))</f>
        <v/>
      </c>
      <c r="CF333" s="93" t="str">
        <f aca="false">IF(ISBLANK($C333),"",IF($BZ333&lt;&gt;Constants!$B$8,$BZ333,RANK($CE333,$CE$9:$CE$508,1)))</f>
        <v/>
      </c>
      <c r="CG333" s="97" t="str">
        <f aca="false">IF($BZ333&lt;&gt;Constants!$B$8,"",IF($BM333="-&gt;",$BU333,$BI333))</f>
        <v/>
      </c>
      <c r="CH333" s="93" t="str">
        <f aca="false">IF(ISBLANK($C333),"",IF($BZ333&lt;&gt;Constants!$B$8,$BZ333,IF(ISNUMBER($CG333),RANK($CG333,$CG$9:$CG$508,1),COUNT($CG$9:$CG$508)+1)))</f>
        <v/>
      </c>
      <c r="CI333" s="97" t="str">
        <f aca="false">IF($BZ333&lt;&gt;Constants!$B$8,"",IF($BM333="-&gt;",$BV333,$BJ333))</f>
        <v/>
      </c>
      <c r="CJ333" s="93" t="str">
        <f aca="false">IF(ISBLANK($C333),"",IF($BZ333&lt;&gt;Constants!$B$8,$BZ333,IF(ISNUMBER($CI333),RANK($CI333,$CI$9:$CI$508,1),COUNT($CI$9:$CI$508)+1)))</f>
        <v/>
      </c>
      <c r="CK333" s="97" t="str">
        <f aca="false">IF($BZ333&lt;&gt;Constants!$B$8,"",IF($BM333="-&gt;",$BW333,$BK333))</f>
        <v/>
      </c>
      <c r="CL333" s="93" t="str">
        <f aca="false">IF(ISBLANK($C333),"",IF($BZ333&lt;&gt;Constants!$B$8,$BZ333,IF(ISNUMBER($CK333),RANK($CK333,$CK$9:$CK$508,1),COUNT($CK$9:$CK$508)+1)))</f>
        <v/>
      </c>
      <c r="CM333" s="97" t="str">
        <f aca="false">IF($BZ333&lt;&gt;Constants!$B$8,"",IF(AND(NOT($AL333),NOT($AT333),$AJ333,$AK333,$AR333,$AS333),"",IF($BM333="-&gt;",$BX333,$BL333)))</f>
        <v/>
      </c>
      <c r="CN333" s="93" t="str">
        <f aca="false">IF(ISBLANK($C333),"",IF($BZ333&lt;&gt;Constants!$B$8,$BZ333,IF(ISNUMBER($CM333),RANK($CM333,$CM$9:$CM$508,1),COUNT($CM$9:$CM$508)+1)))</f>
        <v/>
      </c>
      <c r="CO333" s="93" t="str">
        <f aca="false">IF(ISBLANK($C333),"",IF($BZ333&lt;&gt;Constants!$B$8,$BZ333,COUNTIFS($CF$9:$CF$508,"&lt;"&amp;$CF333)+COUNTIFS($CF$9:$CF$508,$CF333,$CH$9:$CH$508,"&lt;"&amp;$CH333)+COUNTIFS($CF$9:$CF$508,$CF333,$CH$9:$CH$508,$CH333,$CJ$9:$CJ$508,"&lt;"&amp;$CJ333)+COUNTIFS($CF$9:$CF$508,$CF333,$CH$9:$CH$508,$CH333,$CJ$9:$CJ$508,$CJ333,$CL$9:$CL$508,"&lt;"&amp;$CL333)+COUNTIFS($CF$9:$CF$508,$CF333,$CH$9:$CH$508,$CH333,$CJ$9:$CJ$508,$CJ333,$CL$9:$CL$508,$CL333,$CN$9:$CN$508,"&lt;"&amp;$CN333)+1))</f>
        <v/>
      </c>
      <c r="CP333" s="93" t="str">
        <f aca="false">IF(ISBLANK($C333),"",IF($BZ333&lt;&gt;Constants!$B$8,$BZ333,$CF333-$CO333))</f>
        <v/>
      </c>
      <c r="CQ333" s="100"/>
      <c r="CR333" s="101"/>
      <c r="CS333" s="102" t="str">
        <f aca="false">IF(ISBLANK($C333),"",IF($BZ333=Constants!$B$12,$BY333,""))</f>
        <v/>
      </c>
      <c r="CT333" s="101" t="str">
        <f aca="false">IF(ISBLANK($C333),"",IF($BZ333&lt;&gt;Constants!$B$8,"",IF($BM333="-&gt;",2,1)))</f>
        <v/>
      </c>
      <c r="CU333" s="103" t="str">
        <f aca="false">IF(ISBLANK($C333),"",IF($BZ333&lt;&gt;Constants!$B$8,"",IF($BM333="-&gt;",$BO333,$BC333)))</f>
        <v/>
      </c>
      <c r="CV333" s="103" t="str">
        <f aca="false">IF(ISBLANK($C333),"",IF($BZ333&lt;&gt;Constants!$B$8,"",IF($BM333="-&gt;",$BP333,$BD333)))</f>
        <v/>
      </c>
      <c r="CW333" s="103" t="str">
        <f aca="false">IF(ISBLANK($C333),"",IF($BZ333&lt;&gt;Constants!$B$8,"",IF($BM333="-&gt;",$BQ333+$BR333,$BE333+$BF333)+$CD333))</f>
        <v/>
      </c>
      <c r="CX333" s="103" t="str">
        <f aca="false">IF(ISBLANK($C333),"",IF($BZ333&lt;&gt;Constants!$B$8,"",IF($BM333="-&gt;",$BS333,$BG333)+$CC333))</f>
        <v/>
      </c>
      <c r="CY333" s="104" t="str">
        <f aca="false">IF(ISBLANK($C333),"",IF($BZ333&lt;&gt;Constants!$B$8,$BZ333,$CE333))</f>
        <v/>
      </c>
      <c r="CZ333" s="105" t="str">
        <f aca="false">IF(ISBLANK($C333),"",$CA333)</f>
        <v/>
      </c>
      <c r="DA333" s="106" t="str">
        <f aca="false">IF(ISBLANK($C333),"",$CP333)</f>
        <v/>
      </c>
      <c r="DB333" s="106" t="str">
        <f aca="false">IF(ISBLANK($C333),"",$CO333)</f>
        <v/>
      </c>
      <c r="DC333" s="107" t="str">
        <f aca="false">IF(ISBLANK($C333),"",IFERROR(_xlfn.SWITCH($DB333,Constants!$B$11,COUNTA($C$9:$C$508)+2,Constants!$B$10,COUNTA($C$9:$C$508)+1,Constants!$B$9,COUNTA($C$9:$C$508)),$DB333))</f>
        <v/>
      </c>
      <c r="DD333" s="9"/>
      <c r="DE333" s="108" t="n">
        <f aca="false">IF(OR(ISNUMBER($DB333),$DB333=Constants!$B$11,$DB333=Constants!$B$9,$DB333=Constants!$B$10),1,0)</f>
        <v>0</v>
      </c>
      <c r="DF333" s="108" t="n">
        <v>325</v>
      </c>
      <c r="DG333" s="108" t="str">
        <f aca="false">IF(ISBLANK($C333),"",IF(ISNUMBER($DC333),$DC333+ROW($B333)/1000,""))</f>
        <v/>
      </c>
      <c r="DH333" s="108" t="str">
        <f aca="false">IF(ISNUMBER($DG333),RANK($DG333,$DG$9:$DG$508,1),"")</f>
        <v/>
      </c>
      <c r="DI333" s="108" t="str">
        <f aca="false">IF(ISBLANK($C333),"",$B333)</f>
        <v/>
      </c>
      <c r="DJ333" s="108" t="str">
        <f aca="false">IF(ISBLANK($C333),"",$C333)</f>
        <v/>
      </c>
      <c r="DK333" s="108" t="str">
        <f aca="false">IF(ISBLANK($C333),"",$D333)</f>
        <v/>
      </c>
      <c r="DL333" s="109" t="str">
        <f aca="false">$CZ333</f>
        <v/>
      </c>
      <c r="DM333" s="110" t="str">
        <f aca="false">$CY333</f>
        <v/>
      </c>
      <c r="DN333" s="108" t="str">
        <f aca="false">IF(ISBLANK($C333),"",$DB333)</f>
        <v/>
      </c>
      <c r="DO333" s="111" t="str">
        <f aca="false">IF($DF333&gt;$DE$8,"",VLOOKUP($DF333,$DH$9:$DN$508,7,FALSE()))</f>
        <v/>
      </c>
      <c r="DP333" s="112" t="str">
        <f aca="false">IF($DF333&gt;$DE$8,"",VLOOKUP($DF333,$DH$9:$DN$508,2,FALSE()))</f>
        <v/>
      </c>
      <c r="DQ333" s="112" t="str">
        <f aca="false">IF($DF333&gt;$DE$8,"",VLOOKUP($DF333,$DH$9:$DN$508,3,FALSE()))</f>
        <v/>
      </c>
      <c r="DR333" s="112" t="str">
        <f aca="false">IF($DF333&gt;$DE$8,"",VLOOKUP($DF333,$DH$9:$DN$508,4,FALSE()))</f>
        <v/>
      </c>
      <c r="DS333" s="112" t="str">
        <f aca="false">IF($DF333&gt;$DE$8,"",VLOOKUP($DF333,$DH$9:$DN$508,5,FALSE()))</f>
        <v/>
      </c>
      <c r="DT333" s="113" t="str">
        <f aca="false">IF($DF333&gt;$DE$8,"",VLOOKUP($DF333,$DH$9:$DN$508,6,FALSE()))</f>
        <v/>
      </c>
      <c r="DU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IF(ISBLANK($C334),"",IF(E334=Constants!$B$3,TRUE(),IF(E334=Constants!$B$4,FALSE(),TRUE())))</f>
        <v/>
      </c>
      <c r="AG334" s="93" t="str">
        <f aca="false">IF(ISBLANK($C334),"",IF(F334=Constants!$B$3,TRUE(),IF(F334=Constants!$B$4,FALSE(),TRUE())))</f>
        <v/>
      </c>
      <c r="AH334" s="93" t="str">
        <f aca="false">IF(ISBLANK($C334),"",IF(G334=Constants!$B$3,TRUE(),IF(G334=Constants!$B$4,FALSE(),TRUE())))</f>
        <v/>
      </c>
      <c r="AI334" s="93" t="str">
        <f aca="false">IF(ISBLANK($C334),"",IF(AND(ISNUMBER(H334),H334&gt;=0),H334,Constants!$B$29))</f>
        <v/>
      </c>
      <c r="AJ334" s="93" t="str">
        <f aca="false">IF(ISBLANK($C334),"",IF(I334=Constants!$B$3,TRUE(),IF(I334=Constants!$B$4,FALSE(),TRUE())))</f>
        <v/>
      </c>
      <c r="AK334" s="93" t="str">
        <f aca="false">IF(ISBLANK($C334),"",IF(J334=Constants!$B$3,TRUE(),IF(J334=Constants!$B$4,FALSE(),TRUE())))</f>
        <v/>
      </c>
      <c r="AL334" s="93" t="str">
        <f aca="false">IF(ISBLANK($C334),"",IF(K334=Constants!$B$5,TRUE(),IF(K334=Constants!$B$6,FALSE(),COUNTA(L334:P334)&gt;0)))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IF(ISBLANK($C334),"",IF(N334=Constants!$B$3,TRUE(),IF(N334=Constants!$B$4,FALSE(),TRUE())))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IF(ISBLANK($C334),"",IF(P334=Constants!$B$3,TRUE(),IF(P334=Constants!$B$4,FALSE(),FALSE())))</f>
        <v/>
      </c>
      <c r="AR334" s="93" t="str">
        <f aca="false">IF(ISBLANK($C334),"",IF(Q334=Constants!$B$3,TRUE(),IF(Q334=Constants!$B$4,FALSE(),TRUE())))</f>
        <v/>
      </c>
      <c r="AS334" s="93" t="str">
        <f aca="false">IF(ISBLANK($C334),"",IF(R334=Constants!$B$3,TRUE(),IF(R334=Constants!$B$4,FALSE(),TRUE())))</f>
        <v/>
      </c>
      <c r="AT334" s="93" t="str">
        <f aca="false">IF(ISBLANK($C334),"",IF(S334=Constants!$B$5,TRUE(),IF(S334=Constants!$B$6,FALSE(),COUNTA(T334:X334)&gt;0)))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IF(ISBLANK($C334),"",IF(V334=Constants!$B$3,TRUE(),IF(V334=Constants!$B$4,FALSE(),TRUE())))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IF(ISBLANK($C334),"",IF(X334=Constants!$B$3,TRUE(),IF(X334=Constants!$B$4,FALSE(),FALSE())))</f>
        <v/>
      </c>
      <c r="AZ334" s="93" t="str">
        <f aca="false">IF(ISBLANK($C334),"",MIN(Constants!$B$31,MAX(0,IF(ISNUMBER(Y334),Y334*60,0)+IF(ISNUMBER(Z334),Z334,0))))</f>
        <v/>
      </c>
      <c r="BA334" s="93" t="str">
        <f aca="false">IF(ISBLANK($C334),"",IF(AA334=Constants!$B$3,TRUE(),IF(AA334=Constants!$B$4,FALSE(),FALSE())))</f>
        <v/>
      </c>
      <c r="BB334" s="92" t="str">
        <f aca="false">IF(ISBLANK($C334),"",AND($AL334,OR($AM334="",$AN334="",AND($AO334,$AP334=""))))</f>
        <v/>
      </c>
      <c r="BC334" s="94" t="str">
        <f aca="false">IF($BZ334&lt;&gt;Constants!$B$8,"",IF($AL334,Constants!$B$21*$AN334+Constants!$B$22*IF($AO334,$AP334,Constants!$B$23),Constants!$B$24))</f>
        <v/>
      </c>
      <c r="BD334" s="97" t="str">
        <f aca="false">IF($BZ334&lt;&gt;Constants!$B$8,"",Constants!$B$25*ABS($AD$9-IF($AL334,$AM334,0)))</f>
        <v/>
      </c>
      <c r="BE334" s="97" t="str">
        <f aca="false">IF($BZ334&lt;&gt;Constants!$B$8,"",IF(AND($AL334,$AQ334,$AO334),Constants!$B$27,0))</f>
        <v/>
      </c>
      <c r="BF334" s="97" t="str">
        <f aca="false">IF($BZ334&lt;&gt;Constants!$B$8,"",IF($AL334,($AI334-Constants!$B$29)*Constants!$B$28,0))</f>
        <v/>
      </c>
      <c r="BG334" s="97" t="str">
        <f aca="false">IF($BZ334&lt;&gt;Constants!$B$8,"",IF($AK334,0,Constants!$B$15)+IF($AJ334,0,Constants!$B$16)+IF($AH334,0,Constants!$B$17))</f>
        <v/>
      </c>
      <c r="BH334" s="98" t="str">
        <f aca="false">IF($BZ334&lt;&gt;Constants!$B$8,"",Constants!$B$20+SUM($BC334:$BG334))</f>
        <v/>
      </c>
      <c r="BI334" s="97" t="str">
        <f aca="false">IF($BZ334&lt;&gt;Constants!$B$8,"",$BC334)</f>
        <v/>
      </c>
      <c r="BJ334" s="97" t="str">
        <f aca="false">IF($BZ334&lt;&gt;Constants!$B$8,"",$BD334)</f>
        <v/>
      </c>
      <c r="BK334" s="97" t="str">
        <f aca="false">IF($BZ334&lt;&gt;Constants!$B$8,"",IF($AL334,$AN334,""))</f>
        <v/>
      </c>
      <c r="BL334" s="99" t="str">
        <f aca="false">IF($BZ334&lt;&gt;Constants!$B$8,"",$AI334)</f>
        <v/>
      </c>
      <c r="BM334" s="93" t="str">
        <f aca="false">IF($BZ334&lt;&gt;Constants!$B$8,"",IF(OR($BT334&lt;$BH334,AND($BT334=$BH334,OR($BU334&lt;$BI334,AND($BU334=$BI334,OR($BV334&lt;$BJ334,AND($BV334=$BJ334,OR(AND(ISNUMBER($BW334),OR(NOT(ISNUMBER($BK334)),$BW334&lt;$BK334)),AND(OR(AND($BW334="",$BK334=""),AND(ISNUMBER($BW334),ISNUMBER($BK334),$BW334=$BK334)),$BX334&lt;$BL334)))))))),"-&gt;","&lt;-"))</f>
        <v/>
      </c>
      <c r="BN334" s="92" t="str">
        <f aca="false">IF(ISBLANK($C334),"",AND($AT334,OR($AU334="",$AV334="",AND($AW334,$AX334=""))))</f>
        <v/>
      </c>
      <c r="BO334" s="94" t="str">
        <f aca="false">IF($BZ334&lt;&gt;Constants!$B$8,"",IF($AT334,Constants!$B$21*$AV334+Constants!$B$22*IF($AW334,$AX334,Constants!$B$23),Constants!$B$24))</f>
        <v/>
      </c>
      <c r="BP334" s="97" t="str">
        <f aca="false">IF($BZ334&lt;&gt;Constants!$B$8,"",Constants!$B$25*ABS($AD$9-IF($AT334,$AU334,0)))</f>
        <v/>
      </c>
      <c r="BQ334" s="97" t="str">
        <f aca="false">IF($BZ334&lt;&gt;Constants!$B$8,"",IF(AND($AT334,$AY334,$AW334),Constants!$B$27,0))</f>
        <v/>
      </c>
      <c r="BR334" s="97" t="str">
        <f aca="false">IF($BZ334&lt;&gt;Constants!$B$8,"",IF($AT334,($AI334-Constants!$B$29)*Constants!$B$28,0))</f>
        <v/>
      </c>
      <c r="BS334" s="97" t="str">
        <f aca="false">IF($BZ334&lt;&gt;Constants!$B$8,"",IF($AS334,0,Constants!$B$15)+IF($AR334,0,Constants!$B$16)+IF($AH334,0,Constants!$B$17))</f>
        <v/>
      </c>
      <c r="BT334" s="98" t="str">
        <f aca="false">IF($BZ334&lt;&gt;Constants!$B$8,"",Constants!$B$20+SUM($BO334:$BS334))</f>
        <v/>
      </c>
      <c r="BU334" s="97" t="str">
        <f aca="false">IF($BZ334&lt;&gt;Constants!$B$8,"",$BO334)</f>
        <v/>
      </c>
      <c r="BV334" s="97" t="str">
        <f aca="false">IF($BZ334&lt;&gt;Constants!$B$8,"",$BP334)</f>
        <v/>
      </c>
      <c r="BW334" s="97" t="str">
        <f aca="false">IF($BZ334&lt;&gt;Constants!$B$8,"",IF($AT334,$AV334,""))</f>
        <v/>
      </c>
      <c r="BX334" s="99" t="str">
        <f aca="false">IF($BZ334&lt;&gt;Constants!$B$8,"",$AI334)</f>
        <v/>
      </c>
      <c r="BY334" s="93" t="str">
        <f aca="false">IF(ISBLANK($C334),"",IF(ISBLANK($D$7),$BY$5,IF(NOT(ISNUMBER($D$7)),$BY$6,"")))</f>
        <v/>
      </c>
      <c r="BZ334" s="93" t="str">
        <f aca="false">IF(ISBLANK($C334),"",IF($BA334,Constants!$B$11,IF(COUNTA($E334:$AA334)=0,Constants!$B$10,IF(NOT($AG334),Constants!$B$9,IF(OR($BY334&lt;&gt;"",$BB334,$BN334),Constants!$B$12,Constants!$B$8)))))</f>
        <v/>
      </c>
      <c r="CA334" s="93" t="str">
        <f aca="false">IF(ISBLANK($C334),"",IF($BZ334&lt;&gt;Constants!$B$8,$BZ334,Constants!$B$13))</f>
        <v/>
      </c>
      <c r="CB334" s="97" t="str">
        <f aca="false">IF($BZ334&lt;&gt;Constants!$B$8,"",IF($BM334="-&gt;",$BT334,$BH334))</f>
        <v/>
      </c>
      <c r="CC334" s="97" t="str">
        <f aca="false">IF($BZ334&lt;&gt;Constants!$B$8,"",IF($AF334,0,Constants!$B$18))</f>
        <v/>
      </c>
      <c r="CD334" s="97" t="str">
        <f aca="false">IF($BZ334&lt;&gt;Constants!$B$8,"",((Constants!$B$31-$AZ334)-Constants!$B$31)/Constants!$B$32)</f>
        <v/>
      </c>
      <c r="CE334" s="97" t="str">
        <f aca="false">IF(ISBLANK($C334),"",IF($BZ334&lt;&gt;Constants!$B$8,$BZ334,SUM($CB334:$CD334)))</f>
        <v/>
      </c>
      <c r="CF334" s="93" t="str">
        <f aca="false">IF(ISBLANK($C334),"",IF($BZ334&lt;&gt;Constants!$B$8,$BZ334,RANK($CE334,$CE$9:$CE$508,1)))</f>
        <v/>
      </c>
      <c r="CG334" s="97" t="str">
        <f aca="false">IF($BZ334&lt;&gt;Constants!$B$8,"",IF($BM334="-&gt;",$BU334,$BI334))</f>
        <v/>
      </c>
      <c r="CH334" s="93" t="str">
        <f aca="false">IF(ISBLANK($C334),"",IF($BZ334&lt;&gt;Constants!$B$8,$BZ334,IF(ISNUMBER($CG334),RANK($CG334,$CG$9:$CG$508,1),COUNT($CG$9:$CG$508)+1)))</f>
        <v/>
      </c>
      <c r="CI334" s="97" t="str">
        <f aca="false">IF($BZ334&lt;&gt;Constants!$B$8,"",IF($BM334="-&gt;",$BV334,$BJ334))</f>
        <v/>
      </c>
      <c r="CJ334" s="93" t="str">
        <f aca="false">IF(ISBLANK($C334),"",IF($BZ334&lt;&gt;Constants!$B$8,$BZ334,IF(ISNUMBER($CI334),RANK($CI334,$CI$9:$CI$508,1),COUNT($CI$9:$CI$508)+1)))</f>
        <v/>
      </c>
      <c r="CK334" s="97" t="str">
        <f aca="false">IF($BZ334&lt;&gt;Constants!$B$8,"",IF($BM334="-&gt;",$BW334,$BK334))</f>
        <v/>
      </c>
      <c r="CL334" s="93" t="str">
        <f aca="false">IF(ISBLANK($C334),"",IF($BZ334&lt;&gt;Constants!$B$8,$BZ334,IF(ISNUMBER($CK334),RANK($CK334,$CK$9:$CK$508,1),COUNT($CK$9:$CK$508)+1)))</f>
        <v/>
      </c>
      <c r="CM334" s="97" t="str">
        <f aca="false">IF($BZ334&lt;&gt;Constants!$B$8,"",IF(AND(NOT($AL334),NOT($AT334),$AJ334,$AK334,$AR334,$AS334),"",IF($BM334="-&gt;",$BX334,$BL334)))</f>
        <v/>
      </c>
      <c r="CN334" s="93" t="str">
        <f aca="false">IF(ISBLANK($C334),"",IF($BZ334&lt;&gt;Constants!$B$8,$BZ334,IF(ISNUMBER($CM334),RANK($CM334,$CM$9:$CM$508,1),COUNT($CM$9:$CM$508)+1)))</f>
        <v/>
      </c>
      <c r="CO334" s="93" t="str">
        <f aca="false">IF(ISBLANK($C334),"",IF($BZ334&lt;&gt;Constants!$B$8,$BZ334,COUNTIFS($CF$9:$CF$508,"&lt;"&amp;$CF334)+COUNTIFS($CF$9:$CF$508,$CF334,$CH$9:$CH$508,"&lt;"&amp;$CH334)+COUNTIFS($CF$9:$CF$508,$CF334,$CH$9:$CH$508,$CH334,$CJ$9:$CJ$508,"&lt;"&amp;$CJ334)+COUNTIFS($CF$9:$CF$508,$CF334,$CH$9:$CH$508,$CH334,$CJ$9:$CJ$508,$CJ334,$CL$9:$CL$508,"&lt;"&amp;$CL334)+COUNTIFS($CF$9:$CF$508,$CF334,$CH$9:$CH$508,$CH334,$CJ$9:$CJ$508,$CJ334,$CL$9:$CL$508,$CL334,$CN$9:$CN$508,"&lt;"&amp;$CN334)+1))</f>
        <v/>
      </c>
      <c r="CP334" s="93" t="str">
        <f aca="false">IF(ISBLANK($C334),"",IF($BZ334&lt;&gt;Constants!$B$8,$BZ334,$CF334-$CO334))</f>
        <v/>
      </c>
      <c r="CQ334" s="100"/>
      <c r="CR334" s="101"/>
      <c r="CS334" s="102" t="str">
        <f aca="false">IF(ISBLANK($C334),"",IF($BZ334=Constants!$B$12,$BY334,""))</f>
        <v/>
      </c>
      <c r="CT334" s="101" t="str">
        <f aca="false">IF(ISBLANK($C334),"",IF($BZ334&lt;&gt;Constants!$B$8,"",IF($BM334="-&gt;",2,1)))</f>
        <v/>
      </c>
      <c r="CU334" s="103" t="str">
        <f aca="false">IF(ISBLANK($C334),"",IF($BZ334&lt;&gt;Constants!$B$8,"",IF($BM334="-&gt;",$BO334,$BC334)))</f>
        <v/>
      </c>
      <c r="CV334" s="103" t="str">
        <f aca="false">IF(ISBLANK($C334),"",IF($BZ334&lt;&gt;Constants!$B$8,"",IF($BM334="-&gt;",$BP334,$BD334)))</f>
        <v/>
      </c>
      <c r="CW334" s="103" t="str">
        <f aca="false">IF(ISBLANK($C334),"",IF($BZ334&lt;&gt;Constants!$B$8,"",IF($BM334="-&gt;",$BQ334+$BR334,$BE334+$BF334)+$CD334))</f>
        <v/>
      </c>
      <c r="CX334" s="103" t="str">
        <f aca="false">IF(ISBLANK($C334),"",IF($BZ334&lt;&gt;Constants!$B$8,"",IF($BM334="-&gt;",$BS334,$BG334)+$CC334))</f>
        <v/>
      </c>
      <c r="CY334" s="104" t="str">
        <f aca="false">IF(ISBLANK($C334),"",IF($BZ334&lt;&gt;Constants!$B$8,$BZ334,$CE334))</f>
        <v/>
      </c>
      <c r="CZ334" s="105" t="str">
        <f aca="false">IF(ISBLANK($C334),"",$CA334)</f>
        <v/>
      </c>
      <c r="DA334" s="106" t="str">
        <f aca="false">IF(ISBLANK($C334),"",$CP334)</f>
        <v/>
      </c>
      <c r="DB334" s="106" t="str">
        <f aca="false">IF(ISBLANK($C334),"",$CO334)</f>
        <v/>
      </c>
      <c r="DC334" s="107" t="str">
        <f aca="false">IF(ISBLANK($C334),"",IFERROR(_xlfn.SWITCH($DB334,Constants!$B$11,COUNTA($C$9:$C$508)+2,Constants!$B$10,COUNTA($C$9:$C$508)+1,Constants!$B$9,COUNTA($C$9:$C$508)),$DB334))</f>
        <v/>
      </c>
      <c r="DD334" s="9"/>
      <c r="DE334" s="108" t="n">
        <f aca="false">IF(OR(ISNUMBER($DB334),$DB334=Constants!$B$11,$DB334=Constants!$B$9,$DB334=Constants!$B$10),1,0)</f>
        <v>0</v>
      </c>
      <c r="DF334" s="108" t="n">
        <v>326</v>
      </c>
      <c r="DG334" s="108" t="str">
        <f aca="false">IF(ISBLANK($C334),"",IF(ISNUMBER($DC334),$DC334+ROW($B334)/1000,""))</f>
        <v/>
      </c>
      <c r="DH334" s="108" t="str">
        <f aca="false">IF(ISNUMBER($DG334),RANK($DG334,$DG$9:$DG$508,1),"")</f>
        <v/>
      </c>
      <c r="DI334" s="108" t="str">
        <f aca="false">IF(ISBLANK($C334),"",$B334)</f>
        <v/>
      </c>
      <c r="DJ334" s="108" t="str">
        <f aca="false">IF(ISBLANK($C334),"",$C334)</f>
        <v/>
      </c>
      <c r="DK334" s="108" t="str">
        <f aca="false">IF(ISBLANK($C334),"",$D334)</f>
        <v/>
      </c>
      <c r="DL334" s="109" t="str">
        <f aca="false">$CZ334</f>
        <v/>
      </c>
      <c r="DM334" s="110" t="str">
        <f aca="false">$CY334</f>
        <v/>
      </c>
      <c r="DN334" s="108" t="str">
        <f aca="false">IF(ISBLANK($C334),"",$DB334)</f>
        <v/>
      </c>
      <c r="DO334" s="111" t="str">
        <f aca="false">IF($DF334&gt;$DE$8,"",VLOOKUP($DF334,$DH$9:$DN$508,7,FALSE()))</f>
        <v/>
      </c>
      <c r="DP334" s="112" t="str">
        <f aca="false">IF($DF334&gt;$DE$8,"",VLOOKUP($DF334,$DH$9:$DN$508,2,FALSE()))</f>
        <v/>
      </c>
      <c r="DQ334" s="112" t="str">
        <f aca="false">IF($DF334&gt;$DE$8,"",VLOOKUP($DF334,$DH$9:$DN$508,3,FALSE()))</f>
        <v/>
      </c>
      <c r="DR334" s="112" t="str">
        <f aca="false">IF($DF334&gt;$DE$8,"",VLOOKUP($DF334,$DH$9:$DN$508,4,FALSE()))</f>
        <v/>
      </c>
      <c r="DS334" s="112" t="str">
        <f aca="false">IF($DF334&gt;$DE$8,"",VLOOKUP($DF334,$DH$9:$DN$508,5,FALSE()))</f>
        <v/>
      </c>
      <c r="DT334" s="113" t="str">
        <f aca="false">IF($DF334&gt;$DE$8,"",VLOOKUP($DF334,$DH$9:$DN$508,6,FALSE()))</f>
        <v/>
      </c>
      <c r="DU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IF(ISBLANK($C335),"",IF(E335=Constants!$B$3,TRUE(),IF(E335=Constants!$B$4,FALSE(),TRUE())))</f>
        <v/>
      </c>
      <c r="AG335" s="93" t="str">
        <f aca="false">IF(ISBLANK($C335),"",IF(F335=Constants!$B$3,TRUE(),IF(F335=Constants!$B$4,FALSE(),TRUE())))</f>
        <v/>
      </c>
      <c r="AH335" s="93" t="str">
        <f aca="false">IF(ISBLANK($C335),"",IF(G335=Constants!$B$3,TRUE(),IF(G335=Constants!$B$4,FALSE(),TRUE())))</f>
        <v/>
      </c>
      <c r="AI335" s="93" t="str">
        <f aca="false">IF(ISBLANK($C335),"",IF(AND(ISNUMBER(H335),H335&gt;=0),H335,Constants!$B$29))</f>
        <v/>
      </c>
      <c r="AJ335" s="93" t="str">
        <f aca="false">IF(ISBLANK($C335),"",IF(I335=Constants!$B$3,TRUE(),IF(I335=Constants!$B$4,FALSE(),TRUE())))</f>
        <v/>
      </c>
      <c r="AK335" s="93" t="str">
        <f aca="false">IF(ISBLANK($C335),"",IF(J335=Constants!$B$3,TRUE(),IF(J335=Constants!$B$4,FALSE(),TRUE())))</f>
        <v/>
      </c>
      <c r="AL335" s="93" t="str">
        <f aca="false">IF(ISBLANK($C335),"",IF(K335=Constants!$B$5,TRUE(),IF(K335=Constants!$B$6,FALSE(),COUNTA(L335:P335)&gt;0)))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IF(ISBLANK($C335),"",IF(N335=Constants!$B$3,TRUE(),IF(N335=Constants!$B$4,FALSE(),TRUE())))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IF(ISBLANK($C335),"",IF(P335=Constants!$B$3,TRUE(),IF(P335=Constants!$B$4,FALSE(),FALSE())))</f>
        <v/>
      </c>
      <c r="AR335" s="93" t="str">
        <f aca="false">IF(ISBLANK($C335),"",IF(Q335=Constants!$B$3,TRUE(),IF(Q335=Constants!$B$4,FALSE(),TRUE())))</f>
        <v/>
      </c>
      <c r="AS335" s="93" t="str">
        <f aca="false">IF(ISBLANK($C335),"",IF(R335=Constants!$B$3,TRUE(),IF(R335=Constants!$B$4,FALSE(),TRUE())))</f>
        <v/>
      </c>
      <c r="AT335" s="93" t="str">
        <f aca="false">IF(ISBLANK($C335),"",IF(S335=Constants!$B$5,TRUE(),IF(S335=Constants!$B$6,FALSE(),COUNTA(T335:X335)&gt;0)))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IF(ISBLANK($C335),"",IF(V335=Constants!$B$3,TRUE(),IF(V335=Constants!$B$4,FALSE(),TRUE())))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IF(ISBLANK($C335),"",IF(X335=Constants!$B$3,TRUE(),IF(X335=Constants!$B$4,FALSE(),FALSE())))</f>
        <v/>
      </c>
      <c r="AZ335" s="93" t="str">
        <f aca="false">IF(ISBLANK($C335),"",MIN(Constants!$B$31,MAX(0,IF(ISNUMBER(Y335),Y335*60,0)+IF(ISNUMBER(Z335),Z335,0))))</f>
        <v/>
      </c>
      <c r="BA335" s="93" t="str">
        <f aca="false">IF(ISBLANK($C335),"",IF(AA335=Constants!$B$3,TRUE(),IF(AA335=Constants!$B$4,FALSE(),FALSE())))</f>
        <v/>
      </c>
      <c r="BB335" s="92" t="str">
        <f aca="false">IF(ISBLANK($C335),"",AND($AL335,OR($AM335="",$AN335="",AND($AO335,$AP335=""))))</f>
        <v/>
      </c>
      <c r="BC335" s="94" t="str">
        <f aca="false">IF($BZ335&lt;&gt;Constants!$B$8,"",IF($AL335,Constants!$B$21*$AN335+Constants!$B$22*IF($AO335,$AP335,Constants!$B$23),Constants!$B$24))</f>
        <v/>
      </c>
      <c r="BD335" s="97" t="str">
        <f aca="false">IF($BZ335&lt;&gt;Constants!$B$8,"",Constants!$B$25*ABS($AD$9-IF($AL335,$AM335,0)))</f>
        <v/>
      </c>
      <c r="BE335" s="97" t="str">
        <f aca="false">IF($BZ335&lt;&gt;Constants!$B$8,"",IF(AND($AL335,$AQ335,$AO335),Constants!$B$27,0))</f>
        <v/>
      </c>
      <c r="BF335" s="97" t="str">
        <f aca="false">IF($BZ335&lt;&gt;Constants!$B$8,"",IF($AL335,($AI335-Constants!$B$29)*Constants!$B$28,0))</f>
        <v/>
      </c>
      <c r="BG335" s="97" t="str">
        <f aca="false">IF($BZ335&lt;&gt;Constants!$B$8,"",IF($AK335,0,Constants!$B$15)+IF($AJ335,0,Constants!$B$16)+IF($AH335,0,Constants!$B$17))</f>
        <v/>
      </c>
      <c r="BH335" s="98" t="str">
        <f aca="false">IF($BZ335&lt;&gt;Constants!$B$8,"",Constants!$B$20+SUM($BC335:$BG335))</f>
        <v/>
      </c>
      <c r="BI335" s="97" t="str">
        <f aca="false">IF($BZ335&lt;&gt;Constants!$B$8,"",$BC335)</f>
        <v/>
      </c>
      <c r="BJ335" s="97" t="str">
        <f aca="false">IF($BZ335&lt;&gt;Constants!$B$8,"",$BD335)</f>
        <v/>
      </c>
      <c r="BK335" s="97" t="str">
        <f aca="false">IF($BZ335&lt;&gt;Constants!$B$8,"",IF($AL335,$AN335,""))</f>
        <v/>
      </c>
      <c r="BL335" s="99" t="str">
        <f aca="false">IF($BZ335&lt;&gt;Constants!$B$8,"",$AI335)</f>
        <v/>
      </c>
      <c r="BM335" s="93" t="str">
        <f aca="false">IF($BZ335&lt;&gt;Constants!$B$8,"",IF(OR($BT335&lt;$BH335,AND($BT335=$BH335,OR($BU335&lt;$BI335,AND($BU335=$BI335,OR($BV335&lt;$BJ335,AND($BV335=$BJ335,OR(AND(ISNUMBER($BW335),OR(NOT(ISNUMBER($BK335)),$BW335&lt;$BK335)),AND(OR(AND($BW335="",$BK335=""),AND(ISNUMBER($BW335),ISNUMBER($BK335),$BW335=$BK335)),$BX335&lt;$BL335)))))))),"-&gt;","&lt;-"))</f>
        <v/>
      </c>
      <c r="BN335" s="92" t="str">
        <f aca="false">IF(ISBLANK($C335),"",AND($AT335,OR($AU335="",$AV335="",AND($AW335,$AX335=""))))</f>
        <v/>
      </c>
      <c r="BO335" s="94" t="str">
        <f aca="false">IF($BZ335&lt;&gt;Constants!$B$8,"",IF($AT335,Constants!$B$21*$AV335+Constants!$B$22*IF($AW335,$AX335,Constants!$B$23),Constants!$B$24))</f>
        <v/>
      </c>
      <c r="BP335" s="97" t="str">
        <f aca="false">IF($BZ335&lt;&gt;Constants!$B$8,"",Constants!$B$25*ABS($AD$9-IF($AT335,$AU335,0)))</f>
        <v/>
      </c>
      <c r="BQ335" s="97" t="str">
        <f aca="false">IF($BZ335&lt;&gt;Constants!$B$8,"",IF(AND($AT335,$AY335,$AW335),Constants!$B$27,0))</f>
        <v/>
      </c>
      <c r="BR335" s="97" t="str">
        <f aca="false">IF($BZ335&lt;&gt;Constants!$B$8,"",IF($AT335,($AI335-Constants!$B$29)*Constants!$B$28,0))</f>
        <v/>
      </c>
      <c r="BS335" s="97" t="str">
        <f aca="false">IF($BZ335&lt;&gt;Constants!$B$8,"",IF($AS335,0,Constants!$B$15)+IF($AR335,0,Constants!$B$16)+IF($AH335,0,Constants!$B$17))</f>
        <v/>
      </c>
      <c r="BT335" s="98" t="str">
        <f aca="false">IF($BZ335&lt;&gt;Constants!$B$8,"",Constants!$B$20+SUM($BO335:$BS335))</f>
        <v/>
      </c>
      <c r="BU335" s="97" t="str">
        <f aca="false">IF($BZ335&lt;&gt;Constants!$B$8,"",$BO335)</f>
        <v/>
      </c>
      <c r="BV335" s="97" t="str">
        <f aca="false">IF($BZ335&lt;&gt;Constants!$B$8,"",$BP335)</f>
        <v/>
      </c>
      <c r="BW335" s="97" t="str">
        <f aca="false">IF($BZ335&lt;&gt;Constants!$B$8,"",IF($AT335,$AV335,""))</f>
        <v/>
      </c>
      <c r="BX335" s="99" t="str">
        <f aca="false">IF($BZ335&lt;&gt;Constants!$B$8,"",$AI335)</f>
        <v/>
      </c>
      <c r="BY335" s="93" t="str">
        <f aca="false">IF(ISBLANK($C335),"",IF(ISBLANK($D$7),$BY$5,IF(NOT(ISNUMBER($D$7)),$BY$6,"")))</f>
        <v/>
      </c>
      <c r="BZ335" s="93" t="str">
        <f aca="false">IF(ISBLANK($C335),"",IF($BA335,Constants!$B$11,IF(COUNTA($E335:$AA335)=0,Constants!$B$10,IF(NOT($AG335),Constants!$B$9,IF(OR($BY335&lt;&gt;"",$BB335,$BN335),Constants!$B$12,Constants!$B$8)))))</f>
        <v/>
      </c>
      <c r="CA335" s="93" t="str">
        <f aca="false">IF(ISBLANK($C335),"",IF($BZ335&lt;&gt;Constants!$B$8,$BZ335,Constants!$B$13))</f>
        <v/>
      </c>
      <c r="CB335" s="97" t="str">
        <f aca="false">IF($BZ335&lt;&gt;Constants!$B$8,"",IF($BM335="-&gt;",$BT335,$BH335))</f>
        <v/>
      </c>
      <c r="CC335" s="97" t="str">
        <f aca="false">IF($BZ335&lt;&gt;Constants!$B$8,"",IF($AF335,0,Constants!$B$18))</f>
        <v/>
      </c>
      <c r="CD335" s="97" t="str">
        <f aca="false">IF($BZ335&lt;&gt;Constants!$B$8,"",((Constants!$B$31-$AZ335)-Constants!$B$31)/Constants!$B$32)</f>
        <v/>
      </c>
      <c r="CE335" s="97" t="str">
        <f aca="false">IF(ISBLANK($C335),"",IF($BZ335&lt;&gt;Constants!$B$8,$BZ335,SUM($CB335:$CD335)))</f>
        <v/>
      </c>
      <c r="CF335" s="93" t="str">
        <f aca="false">IF(ISBLANK($C335),"",IF($BZ335&lt;&gt;Constants!$B$8,$BZ335,RANK($CE335,$CE$9:$CE$508,1)))</f>
        <v/>
      </c>
      <c r="CG335" s="97" t="str">
        <f aca="false">IF($BZ335&lt;&gt;Constants!$B$8,"",IF($BM335="-&gt;",$BU335,$BI335))</f>
        <v/>
      </c>
      <c r="CH335" s="93" t="str">
        <f aca="false">IF(ISBLANK($C335),"",IF($BZ335&lt;&gt;Constants!$B$8,$BZ335,IF(ISNUMBER($CG335),RANK($CG335,$CG$9:$CG$508,1),COUNT($CG$9:$CG$508)+1)))</f>
        <v/>
      </c>
      <c r="CI335" s="97" t="str">
        <f aca="false">IF($BZ335&lt;&gt;Constants!$B$8,"",IF($BM335="-&gt;",$BV335,$BJ335))</f>
        <v/>
      </c>
      <c r="CJ335" s="93" t="str">
        <f aca="false">IF(ISBLANK($C335),"",IF($BZ335&lt;&gt;Constants!$B$8,$BZ335,IF(ISNUMBER($CI335),RANK($CI335,$CI$9:$CI$508,1),COUNT($CI$9:$CI$508)+1)))</f>
        <v/>
      </c>
      <c r="CK335" s="97" t="str">
        <f aca="false">IF($BZ335&lt;&gt;Constants!$B$8,"",IF($BM335="-&gt;",$BW335,$BK335))</f>
        <v/>
      </c>
      <c r="CL335" s="93" t="str">
        <f aca="false">IF(ISBLANK($C335),"",IF($BZ335&lt;&gt;Constants!$B$8,$BZ335,IF(ISNUMBER($CK335),RANK($CK335,$CK$9:$CK$508,1),COUNT($CK$9:$CK$508)+1)))</f>
        <v/>
      </c>
      <c r="CM335" s="97" t="str">
        <f aca="false">IF($BZ335&lt;&gt;Constants!$B$8,"",IF(AND(NOT($AL335),NOT($AT335),$AJ335,$AK335,$AR335,$AS335),"",IF($BM335="-&gt;",$BX335,$BL335)))</f>
        <v/>
      </c>
      <c r="CN335" s="93" t="str">
        <f aca="false">IF(ISBLANK($C335),"",IF($BZ335&lt;&gt;Constants!$B$8,$BZ335,IF(ISNUMBER($CM335),RANK($CM335,$CM$9:$CM$508,1),COUNT($CM$9:$CM$508)+1)))</f>
        <v/>
      </c>
      <c r="CO335" s="93" t="str">
        <f aca="false">IF(ISBLANK($C335),"",IF($BZ335&lt;&gt;Constants!$B$8,$BZ335,COUNTIFS($CF$9:$CF$508,"&lt;"&amp;$CF335)+COUNTIFS($CF$9:$CF$508,$CF335,$CH$9:$CH$508,"&lt;"&amp;$CH335)+COUNTIFS($CF$9:$CF$508,$CF335,$CH$9:$CH$508,$CH335,$CJ$9:$CJ$508,"&lt;"&amp;$CJ335)+COUNTIFS($CF$9:$CF$508,$CF335,$CH$9:$CH$508,$CH335,$CJ$9:$CJ$508,$CJ335,$CL$9:$CL$508,"&lt;"&amp;$CL335)+COUNTIFS($CF$9:$CF$508,$CF335,$CH$9:$CH$508,$CH335,$CJ$9:$CJ$508,$CJ335,$CL$9:$CL$508,$CL335,$CN$9:$CN$508,"&lt;"&amp;$CN335)+1))</f>
        <v/>
      </c>
      <c r="CP335" s="93" t="str">
        <f aca="false">IF(ISBLANK($C335),"",IF($BZ335&lt;&gt;Constants!$B$8,$BZ335,$CF335-$CO335))</f>
        <v/>
      </c>
      <c r="CQ335" s="100"/>
      <c r="CR335" s="101"/>
      <c r="CS335" s="102" t="str">
        <f aca="false">IF(ISBLANK($C335),"",IF($BZ335=Constants!$B$12,$BY335,""))</f>
        <v/>
      </c>
      <c r="CT335" s="101" t="str">
        <f aca="false">IF(ISBLANK($C335),"",IF($BZ335&lt;&gt;Constants!$B$8,"",IF($BM335="-&gt;",2,1)))</f>
        <v/>
      </c>
      <c r="CU335" s="103" t="str">
        <f aca="false">IF(ISBLANK($C335),"",IF($BZ335&lt;&gt;Constants!$B$8,"",IF($BM335="-&gt;",$BO335,$BC335)))</f>
        <v/>
      </c>
      <c r="CV335" s="103" t="str">
        <f aca="false">IF(ISBLANK($C335),"",IF($BZ335&lt;&gt;Constants!$B$8,"",IF($BM335="-&gt;",$BP335,$BD335)))</f>
        <v/>
      </c>
      <c r="CW335" s="103" t="str">
        <f aca="false">IF(ISBLANK($C335),"",IF($BZ335&lt;&gt;Constants!$B$8,"",IF($BM335="-&gt;",$BQ335+$BR335,$BE335+$BF335)+$CD335))</f>
        <v/>
      </c>
      <c r="CX335" s="103" t="str">
        <f aca="false">IF(ISBLANK($C335),"",IF($BZ335&lt;&gt;Constants!$B$8,"",IF($BM335="-&gt;",$BS335,$BG335)+$CC335))</f>
        <v/>
      </c>
      <c r="CY335" s="104" t="str">
        <f aca="false">IF(ISBLANK($C335),"",IF($BZ335&lt;&gt;Constants!$B$8,$BZ335,$CE335))</f>
        <v/>
      </c>
      <c r="CZ335" s="105" t="str">
        <f aca="false">IF(ISBLANK($C335),"",$CA335)</f>
        <v/>
      </c>
      <c r="DA335" s="106" t="str">
        <f aca="false">IF(ISBLANK($C335),"",$CP335)</f>
        <v/>
      </c>
      <c r="DB335" s="106" t="str">
        <f aca="false">IF(ISBLANK($C335),"",$CO335)</f>
        <v/>
      </c>
      <c r="DC335" s="107" t="str">
        <f aca="false">IF(ISBLANK($C335),"",IFERROR(_xlfn.SWITCH($DB335,Constants!$B$11,COUNTA($C$9:$C$508)+2,Constants!$B$10,COUNTA($C$9:$C$508)+1,Constants!$B$9,COUNTA($C$9:$C$508)),$DB335))</f>
        <v/>
      </c>
      <c r="DD335" s="9"/>
      <c r="DE335" s="108" t="n">
        <f aca="false">IF(OR(ISNUMBER($DB335),$DB335=Constants!$B$11,$DB335=Constants!$B$9,$DB335=Constants!$B$10),1,0)</f>
        <v>0</v>
      </c>
      <c r="DF335" s="108" t="n">
        <v>327</v>
      </c>
      <c r="DG335" s="108" t="str">
        <f aca="false">IF(ISBLANK($C335),"",IF(ISNUMBER($DC335),$DC335+ROW($B335)/1000,""))</f>
        <v/>
      </c>
      <c r="DH335" s="108" t="str">
        <f aca="false">IF(ISNUMBER($DG335),RANK($DG335,$DG$9:$DG$508,1),"")</f>
        <v/>
      </c>
      <c r="DI335" s="108" t="str">
        <f aca="false">IF(ISBLANK($C335),"",$B335)</f>
        <v/>
      </c>
      <c r="DJ335" s="108" t="str">
        <f aca="false">IF(ISBLANK($C335),"",$C335)</f>
        <v/>
      </c>
      <c r="DK335" s="108" t="str">
        <f aca="false">IF(ISBLANK($C335),"",$D335)</f>
        <v/>
      </c>
      <c r="DL335" s="109" t="str">
        <f aca="false">$CZ335</f>
        <v/>
      </c>
      <c r="DM335" s="110" t="str">
        <f aca="false">$CY335</f>
        <v/>
      </c>
      <c r="DN335" s="108" t="str">
        <f aca="false">IF(ISBLANK($C335),"",$DB335)</f>
        <v/>
      </c>
      <c r="DO335" s="111" t="str">
        <f aca="false">IF($DF335&gt;$DE$8,"",VLOOKUP($DF335,$DH$9:$DN$508,7,FALSE()))</f>
        <v/>
      </c>
      <c r="DP335" s="112" t="str">
        <f aca="false">IF($DF335&gt;$DE$8,"",VLOOKUP($DF335,$DH$9:$DN$508,2,FALSE()))</f>
        <v/>
      </c>
      <c r="DQ335" s="112" t="str">
        <f aca="false">IF($DF335&gt;$DE$8,"",VLOOKUP($DF335,$DH$9:$DN$508,3,FALSE()))</f>
        <v/>
      </c>
      <c r="DR335" s="112" t="str">
        <f aca="false">IF($DF335&gt;$DE$8,"",VLOOKUP($DF335,$DH$9:$DN$508,4,FALSE()))</f>
        <v/>
      </c>
      <c r="DS335" s="112" t="str">
        <f aca="false">IF($DF335&gt;$DE$8,"",VLOOKUP($DF335,$DH$9:$DN$508,5,FALSE()))</f>
        <v/>
      </c>
      <c r="DT335" s="113" t="str">
        <f aca="false">IF($DF335&gt;$DE$8,"",VLOOKUP($DF335,$DH$9:$DN$508,6,FALSE()))</f>
        <v/>
      </c>
      <c r="DU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IF(ISBLANK($C336),"",IF(E336=Constants!$B$3,TRUE(),IF(E336=Constants!$B$4,FALSE(),TRUE())))</f>
        <v/>
      </c>
      <c r="AG336" s="135" t="str">
        <f aca="false">IF(ISBLANK($C336),"",IF(F336=Constants!$B$3,TRUE(),IF(F336=Constants!$B$4,FALSE(),TRUE())))</f>
        <v/>
      </c>
      <c r="AH336" s="135" t="str">
        <f aca="false">IF(ISBLANK($C336),"",IF(G336=Constants!$B$3,TRUE(),IF(G336=Constants!$B$4,FALSE(),TRUE())))</f>
        <v/>
      </c>
      <c r="AI336" s="135" t="str">
        <f aca="false">IF(ISBLANK($C336),"",IF(AND(ISNUMBER(H336),H336&gt;=0),H336,Constants!$B$29))</f>
        <v/>
      </c>
      <c r="AJ336" s="135" t="str">
        <f aca="false">IF(ISBLANK($C336),"",IF(I336=Constants!$B$3,TRUE(),IF(I336=Constants!$B$4,FALSE(),TRUE())))</f>
        <v/>
      </c>
      <c r="AK336" s="135" t="str">
        <f aca="false">IF(ISBLANK($C336),"",IF(J336=Constants!$B$3,TRUE(),IF(J336=Constants!$B$4,FALSE(),TRUE())))</f>
        <v/>
      </c>
      <c r="AL336" s="135" t="str">
        <f aca="false">IF(ISBLANK($C336),"",IF(K336=Constants!$B$5,TRUE(),IF(K336=Constants!$B$6,FALSE(),COUNTA(L336:P336)&gt;0)))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IF(ISBLANK($C336),"",IF(N336=Constants!$B$3,TRUE(),IF(N336=Constants!$B$4,FALSE(),TRUE())))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IF(ISBLANK($C336),"",IF(P336=Constants!$B$3,TRUE(),IF(P336=Constants!$B$4,FALSE(),FALSE())))</f>
        <v/>
      </c>
      <c r="AR336" s="135" t="str">
        <f aca="false">IF(ISBLANK($C336),"",IF(Q336=Constants!$B$3,TRUE(),IF(Q336=Constants!$B$4,FALSE(),TRUE())))</f>
        <v/>
      </c>
      <c r="AS336" s="135" t="str">
        <f aca="false">IF(ISBLANK($C336),"",IF(R336=Constants!$B$3,TRUE(),IF(R336=Constants!$B$4,FALSE(),TRUE())))</f>
        <v/>
      </c>
      <c r="AT336" s="135" t="str">
        <f aca="false">IF(ISBLANK($C336),"",IF(S336=Constants!$B$5,TRUE(),IF(S336=Constants!$B$6,FALSE(),COUNTA(T336:X336)&gt;0)))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IF(ISBLANK($C336),"",IF(V336=Constants!$B$3,TRUE(),IF(V336=Constants!$B$4,FALSE(),TRUE())))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IF(ISBLANK($C336),"",IF(X336=Constants!$B$3,TRUE(),IF(X336=Constants!$B$4,FALSE(),FALSE())))</f>
        <v/>
      </c>
      <c r="AZ336" s="135" t="str">
        <f aca="false">IF(ISBLANK($C336),"",MIN(Constants!$B$31,MAX(0,IF(ISNUMBER(Y336),Y336*60,0)+IF(ISNUMBER(Z336),Z336,0))))</f>
        <v/>
      </c>
      <c r="BA336" s="135" t="str">
        <f aca="false">IF(ISBLANK($C336),"",IF(AA336=Constants!$B$3,TRUE(),IF(AA336=Constants!$B$4,FALSE(),FALSE())))</f>
        <v/>
      </c>
      <c r="BB336" s="134" t="str">
        <f aca="false">IF(ISBLANK($C336),"",AND($AL336,OR($AM336="",$AN336="",AND($AO336,$AP336=""))))</f>
        <v/>
      </c>
      <c r="BC336" s="137" t="str">
        <f aca="false">IF($BZ336&lt;&gt;Constants!$B$8,"",IF($AL336,Constants!$B$21*$AN336+Constants!$B$22*IF($AO336,$AP336,Constants!$B$23),Constants!$B$24))</f>
        <v/>
      </c>
      <c r="BD336" s="138" t="str">
        <f aca="false">IF($BZ336&lt;&gt;Constants!$B$8,"",Constants!$B$25*ABS($AD$9-IF($AL336,$AM336,0)))</f>
        <v/>
      </c>
      <c r="BE336" s="138" t="str">
        <f aca="false">IF($BZ336&lt;&gt;Constants!$B$8,"",IF(AND($AL336,$AQ336,$AO336),Constants!$B$27,0))</f>
        <v/>
      </c>
      <c r="BF336" s="138" t="str">
        <f aca="false">IF($BZ336&lt;&gt;Constants!$B$8,"",IF($AL336,($AI336-Constants!$B$29)*Constants!$B$28,0))</f>
        <v/>
      </c>
      <c r="BG336" s="138" t="str">
        <f aca="false">IF($BZ336&lt;&gt;Constants!$B$8,"",IF($AK336,0,Constants!$B$15)+IF($AJ336,0,Constants!$B$16)+IF($AH336,0,Constants!$B$17))</f>
        <v/>
      </c>
      <c r="BH336" s="139" t="str">
        <f aca="false">IF($BZ336&lt;&gt;Constants!$B$8,"",Constants!$B$20+SUM($BC336:$BG336))</f>
        <v/>
      </c>
      <c r="BI336" s="138" t="str">
        <f aca="false">IF($BZ336&lt;&gt;Constants!$B$8,"",$BC336)</f>
        <v/>
      </c>
      <c r="BJ336" s="138" t="str">
        <f aca="false">IF($BZ336&lt;&gt;Constants!$B$8,"",$BD336)</f>
        <v/>
      </c>
      <c r="BK336" s="138" t="str">
        <f aca="false">IF($BZ336&lt;&gt;Constants!$B$8,"",IF($AL336,$AN336,""))</f>
        <v/>
      </c>
      <c r="BL336" s="140" t="str">
        <f aca="false">IF($BZ336&lt;&gt;Constants!$B$8,"",$AI336)</f>
        <v/>
      </c>
      <c r="BM336" s="135" t="str">
        <f aca="false">IF($BZ336&lt;&gt;Constants!$B$8,"",IF(OR($BT336&lt;$BH336,AND($BT336=$BH336,OR($BU336&lt;$BI336,AND($BU336=$BI336,OR($BV336&lt;$BJ336,AND($BV336=$BJ336,OR(AND(ISNUMBER($BW336),OR(NOT(ISNUMBER($BK336)),$BW336&lt;$BK336)),AND(OR(AND($BW336="",$BK336=""),AND(ISNUMBER($BW336),ISNUMBER($BK336),$BW336=$BK336)),$BX336&lt;$BL336)))))))),"-&gt;","&lt;-"))</f>
        <v/>
      </c>
      <c r="BN336" s="134" t="str">
        <f aca="false">IF(ISBLANK($C336),"",AND($AT336,OR($AU336="",$AV336="",AND($AW336,$AX336=""))))</f>
        <v/>
      </c>
      <c r="BO336" s="137" t="str">
        <f aca="false">IF($BZ336&lt;&gt;Constants!$B$8,"",IF($AT336,Constants!$B$21*$AV336+Constants!$B$22*IF($AW336,$AX336,Constants!$B$23),Constants!$B$24))</f>
        <v/>
      </c>
      <c r="BP336" s="138" t="str">
        <f aca="false">IF($BZ336&lt;&gt;Constants!$B$8,"",Constants!$B$25*ABS($AD$9-IF($AT336,$AU336,0)))</f>
        <v/>
      </c>
      <c r="BQ336" s="138" t="str">
        <f aca="false">IF($BZ336&lt;&gt;Constants!$B$8,"",IF(AND($AT336,$AY336,$AW336),Constants!$B$27,0))</f>
        <v/>
      </c>
      <c r="BR336" s="138" t="str">
        <f aca="false">IF($BZ336&lt;&gt;Constants!$B$8,"",IF($AT336,($AI336-Constants!$B$29)*Constants!$B$28,0))</f>
        <v/>
      </c>
      <c r="BS336" s="138" t="str">
        <f aca="false">IF($BZ336&lt;&gt;Constants!$B$8,"",IF($AS336,0,Constants!$B$15)+IF($AR336,0,Constants!$B$16)+IF($AH336,0,Constants!$B$17))</f>
        <v/>
      </c>
      <c r="BT336" s="139" t="str">
        <f aca="false">IF($BZ336&lt;&gt;Constants!$B$8,"",Constants!$B$20+SUM($BO336:$BS336))</f>
        <v/>
      </c>
      <c r="BU336" s="138" t="str">
        <f aca="false">IF($BZ336&lt;&gt;Constants!$B$8,"",$BO336)</f>
        <v/>
      </c>
      <c r="BV336" s="138" t="str">
        <f aca="false">IF($BZ336&lt;&gt;Constants!$B$8,"",$BP336)</f>
        <v/>
      </c>
      <c r="BW336" s="138" t="str">
        <f aca="false">IF($BZ336&lt;&gt;Constants!$B$8,"",IF($AT336,$AV336,""))</f>
        <v/>
      </c>
      <c r="BX336" s="140" t="str">
        <f aca="false">IF($BZ336&lt;&gt;Constants!$B$8,"",$AI336)</f>
        <v/>
      </c>
      <c r="BY336" s="135" t="str">
        <f aca="false">IF(ISBLANK($C336),"",IF(ISBLANK($D$7),$BY$5,IF(NOT(ISNUMBER($D$7)),$BY$6,"")))</f>
        <v/>
      </c>
      <c r="BZ336" s="135" t="str">
        <f aca="false">IF(ISBLANK($C336),"",IF($BA336,Constants!$B$11,IF(COUNTA($E336:$AA336)=0,Constants!$B$10,IF(NOT($AG336),Constants!$B$9,IF(OR($BY336&lt;&gt;"",$BB336,$BN336),Constants!$B$12,Constants!$B$8)))))</f>
        <v/>
      </c>
      <c r="CA336" s="135" t="str">
        <f aca="false">IF(ISBLANK($C336),"",IF($BZ336&lt;&gt;Constants!$B$8,$BZ336,Constants!$B$13))</f>
        <v/>
      </c>
      <c r="CB336" s="138" t="str">
        <f aca="false">IF($BZ336&lt;&gt;Constants!$B$8,"",IF($BM336="-&gt;",$BT336,$BH336))</f>
        <v/>
      </c>
      <c r="CC336" s="138" t="str">
        <f aca="false">IF($BZ336&lt;&gt;Constants!$B$8,"",IF($AF336,0,Constants!$B$18))</f>
        <v/>
      </c>
      <c r="CD336" s="138" t="str">
        <f aca="false">IF($BZ336&lt;&gt;Constants!$B$8,"",((Constants!$B$31-$AZ336)-Constants!$B$31)/Constants!$B$32)</f>
        <v/>
      </c>
      <c r="CE336" s="138" t="str">
        <f aca="false">IF(ISBLANK($C336),"",IF($BZ336&lt;&gt;Constants!$B$8,$BZ336,SUM($CB336:$CD336)))</f>
        <v/>
      </c>
      <c r="CF336" s="135" t="str">
        <f aca="false">IF(ISBLANK($C336),"",IF($BZ336&lt;&gt;Constants!$B$8,$BZ336,RANK($CE336,$CE$9:$CE$508,1)))</f>
        <v/>
      </c>
      <c r="CG336" s="138" t="str">
        <f aca="false">IF($BZ336&lt;&gt;Constants!$B$8,"",IF($BM336="-&gt;",$BU336,$BI336))</f>
        <v/>
      </c>
      <c r="CH336" s="135" t="str">
        <f aca="false">IF(ISBLANK($C336),"",IF($BZ336&lt;&gt;Constants!$B$8,$BZ336,IF(ISNUMBER($CG336),RANK($CG336,$CG$9:$CG$508,1),COUNT($CG$9:$CG$508)+1)))</f>
        <v/>
      </c>
      <c r="CI336" s="138" t="str">
        <f aca="false">IF($BZ336&lt;&gt;Constants!$B$8,"",IF($BM336="-&gt;",$BV336,$BJ336))</f>
        <v/>
      </c>
      <c r="CJ336" s="135" t="str">
        <f aca="false">IF(ISBLANK($C336),"",IF($BZ336&lt;&gt;Constants!$B$8,$BZ336,IF(ISNUMBER($CI336),RANK($CI336,$CI$9:$CI$508,1),COUNT($CI$9:$CI$508)+1)))</f>
        <v/>
      </c>
      <c r="CK336" s="138" t="str">
        <f aca="false">IF($BZ336&lt;&gt;Constants!$B$8,"",IF($BM336="-&gt;",$BW336,$BK336))</f>
        <v/>
      </c>
      <c r="CL336" s="135" t="str">
        <f aca="false">IF(ISBLANK($C336),"",IF($BZ336&lt;&gt;Constants!$B$8,$BZ336,IF(ISNUMBER($CK336),RANK($CK336,$CK$9:$CK$508,1),COUNT($CK$9:$CK$508)+1)))</f>
        <v/>
      </c>
      <c r="CM336" s="138" t="str">
        <f aca="false">IF($BZ336&lt;&gt;Constants!$B$8,"",IF(AND(NOT($AL336),NOT($AT336),$AJ336,$AK336,$AR336,$AS336),"",IF($BM336="-&gt;",$BX336,$BL336)))</f>
        <v/>
      </c>
      <c r="CN336" s="135" t="str">
        <f aca="false">IF(ISBLANK($C336),"",IF($BZ336&lt;&gt;Constants!$B$8,$BZ336,IF(ISNUMBER($CM336),RANK($CM336,$CM$9:$CM$508,1),COUNT($CM$9:$CM$508)+1)))</f>
        <v/>
      </c>
      <c r="CO336" s="135" t="str">
        <f aca="false">IF(ISBLANK($C336),"",IF($BZ336&lt;&gt;Constants!$B$8,$BZ336,COUNTIFS($CF$9:$CF$508,"&lt;"&amp;$CF336)+COUNTIFS($CF$9:$CF$508,$CF336,$CH$9:$CH$508,"&lt;"&amp;$CH336)+COUNTIFS($CF$9:$CF$508,$CF336,$CH$9:$CH$508,$CH336,$CJ$9:$CJ$508,"&lt;"&amp;$CJ336)+COUNTIFS($CF$9:$CF$508,$CF336,$CH$9:$CH$508,$CH336,$CJ$9:$CJ$508,$CJ336,$CL$9:$CL$508,"&lt;"&amp;$CL336)+COUNTIFS($CF$9:$CF$508,$CF336,$CH$9:$CH$508,$CH336,$CJ$9:$CJ$508,$CJ336,$CL$9:$CL$508,$CL336,$CN$9:$CN$508,"&lt;"&amp;$CN336)+1))</f>
        <v/>
      </c>
      <c r="CP336" s="135" t="str">
        <f aca="false">IF(ISBLANK($C336),"",IF($BZ336&lt;&gt;Constants!$B$8,$BZ336,$CF336-$CO336))</f>
        <v/>
      </c>
      <c r="CQ336" s="141"/>
      <c r="CR336" s="142"/>
      <c r="CS336" s="143" t="str">
        <f aca="false">IF(ISBLANK($C336),"",IF($BZ336=Constants!$B$12,$BY336,""))</f>
        <v/>
      </c>
      <c r="CT336" s="142" t="str">
        <f aca="false">IF(ISBLANK($C336),"",IF($BZ336&lt;&gt;Constants!$B$8,"",IF($BM336="-&gt;",2,1)))</f>
        <v/>
      </c>
      <c r="CU336" s="144" t="str">
        <f aca="false">IF(ISBLANK($C336),"",IF($BZ336&lt;&gt;Constants!$B$8,"",IF($BM336="-&gt;",$BO336,$BC336)))</f>
        <v/>
      </c>
      <c r="CV336" s="144" t="str">
        <f aca="false">IF(ISBLANK($C336),"",IF($BZ336&lt;&gt;Constants!$B$8,"",IF($BM336="-&gt;",$BP336,$BD336)))</f>
        <v/>
      </c>
      <c r="CW336" s="144" t="str">
        <f aca="false">IF(ISBLANK($C336),"",IF($BZ336&lt;&gt;Constants!$B$8,"",IF($BM336="-&gt;",$BQ336+$BR336,$BE336+$BF336)+$CD336))</f>
        <v/>
      </c>
      <c r="CX336" s="144" t="str">
        <f aca="false">IF(ISBLANK($C336),"",IF($BZ336&lt;&gt;Constants!$B$8,"",IF($BM336="-&gt;",$BS336,$BG336)+$CC336))</f>
        <v/>
      </c>
      <c r="CY336" s="145" t="str">
        <f aca="false">IF(ISBLANK($C336),"",IF($BZ336&lt;&gt;Constants!$B$8,$BZ336,$CE336))</f>
        <v/>
      </c>
      <c r="CZ336" s="146" t="str">
        <f aca="false">IF(ISBLANK($C336),"",$CA336)</f>
        <v/>
      </c>
      <c r="DA336" s="147" t="str">
        <f aca="false">IF(ISBLANK($C336),"",$CP336)</f>
        <v/>
      </c>
      <c r="DB336" s="147" t="str">
        <f aca="false">IF(ISBLANK($C336),"",$CO336)</f>
        <v/>
      </c>
      <c r="DC336" s="148" t="str">
        <f aca="false">IF(ISBLANK($C336),"",IFERROR(_xlfn.SWITCH($DB336,Constants!$B$11,COUNTA($C$9:$C$508)+2,Constants!$B$10,COUNTA($C$9:$C$508)+1,Constants!$B$9,COUNTA($C$9:$C$508)),$DB336))</f>
        <v/>
      </c>
      <c r="DD336" s="9"/>
      <c r="DE336" s="149" t="n">
        <f aca="false">IF(OR(ISNUMBER($DB336),$DB336=Constants!$B$11,$DB336=Constants!$B$9,$DB336=Constants!$B$10),1,0)</f>
        <v>0</v>
      </c>
      <c r="DF336" s="149" t="n">
        <v>328</v>
      </c>
      <c r="DG336" s="149" t="str">
        <f aca="false">IF(ISBLANK($C336),"",IF(ISNUMBER($DC336),$DC336+ROW($B336)/1000,""))</f>
        <v/>
      </c>
      <c r="DH336" s="149" t="str">
        <f aca="false">IF(ISNUMBER($DG336),RANK($DG336,$DG$9:$DG$508,1),"")</f>
        <v/>
      </c>
      <c r="DI336" s="149" t="str">
        <f aca="false">IF(ISBLANK($C336),"",$B336)</f>
        <v/>
      </c>
      <c r="DJ336" s="149" t="str">
        <f aca="false">IF(ISBLANK($C336),"",$C336)</f>
        <v/>
      </c>
      <c r="DK336" s="149" t="str">
        <f aca="false">IF(ISBLANK($C336),"",$D336)</f>
        <v/>
      </c>
      <c r="DL336" s="150" t="str">
        <f aca="false">$CZ336</f>
        <v/>
      </c>
      <c r="DM336" s="151" t="str">
        <f aca="false">$CY336</f>
        <v/>
      </c>
      <c r="DN336" s="149" t="str">
        <f aca="false">IF(ISBLANK($C336),"",$DB336)</f>
        <v/>
      </c>
      <c r="DO336" s="152" t="str">
        <f aca="false">IF($DF336&gt;$DE$8,"",VLOOKUP($DF336,$DH$9:$DN$508,7,FALSE()))</f>
        <v/>
      </c>
      <c r="DP336" s="153" t="str">
        <f aca="false">IF($DF336&gt;$DE$8,"",VLOOKUP($DF336,$DH$9:$DN$508,2,FALSE()))</f>
        <v/>
      </c>
      <c r="DQ336" s="153" t="str">
        <f aca="false">IF($DF336&gt;$DE$8,"",VLOOKUP($DF336,$DH$9:$DN$508,3,FALSE()))</f>
        <v/>
      </c>
      <c r="DR336" s="153" t="str">
        <f aca="false">IF($DF336&gt;$DE$8,"",VLOOKUP($DF336,$DH$9:$DN$508,4,FALSE()))</f>
        <v/>
      </c>
      <c r="DS336" s="153" t="str">
        <f aca="false">IF($DF336&gt;$DE$8,"",VLOOKUP($DF336,$DH$9:$DN$508,5,FALSE()))</f>
        <v/>
      </c>
      <c r="DT336" s="154" t="str">
        <f aca="false">IF($DF336&gt;$DE$8,"",VLOOKUP($DF336,$DH$9:$DN$508,6,FALSE()))</f>
        <v/>
      </c>
      <c r="DU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IF(ISBLANK($C337),"",IF(E337=Constants!$B$3,TRUE(),IF(E337=Constants!$B$4,FALSE(),TRUE())))</f>
        <v/>
      </c>
      <c r="AG337" s="135" t="str">
        <f aca="false">IF(ISBLANK($C337),"",IF(F337=Constants!$B$3,TRUE(),IF(F337=Constants!$B$4,FALSE(),TRUE())))</f>
        <v/>
      </c>
      <c r="AH337" s="135" t="str">
        <f aca="false">IF(ISBLANK($C337),"",IF(G337=Constants!$B$3,TRUE(),IF(G337=Constants!$B$4,FALSE(),TRUE())))</f>
        <v/>
      </c>
      <c r="AI337" s="135" t="str">
        <f aca="false">IF(ISBLANK($C337),"",IF(AND(ISNUMBER(H337),H337&gt;=0),H337,Constants!$B$29))</f>
        <v/>
      </c>
      <c r="AJ337" s="135" t="str">
        <f aca="false">IF(ISBLANK($C337),"",IF(I337=Constants!$B$3,TRUE(),IF(I337=Constants!$B$4,FALSE(),TRUE())))</f>
        <v/>
      </c>
      <c r="AK337" s="135" t="str">
        <f aca="false">IF(ISBLANK($C337),"",IF(J337=Constants!$B$3,TRUE(),IF(J337=Constants!$B$4,FALSE(),TRUE())))</f>
        <v/>
      </c>
      <c r="AL337" s="135" t="str">
        <f aca="false">IF(ISBLANK($C337),"",IF(K337=Constants!$B$5,TRUE(),IF(K337=Constants!$B$6,FALSE(),COUNTA(L337:P337)&gt;0)))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IF(ISBLANK($C337),"",IF(N337=Constants!$B$3,TRUE(),IF(N337=Constants!$B$4,FALSE(),TRUE())))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IF(ISBLANK($C337),"",IF(P337=Constants!$B$3,TRUE(),IF(P337=Constants!$B$4,FALSE(),FALSE())))</f>
        <v/>
      </c>
      <c r="AR337" s="135" t="str">
        <f aca="false">IF(ISBLANK($C337),"",IF(Q337=Constants!$B$3,TRUE(),IF(Q337=Constants!$B$4,FALSE(),TRUE())))</f>
        <v/>
      </c>
      <c r="AS337" s="135" t="str">
        <f aca="false">IF(ISBLANK($C337),"",IF(R337=Constants!$B$3,TRUE(),IF(R337=Constants!$B$4,FALSE(),TRUE())))</f>
        <v/>
      </c>
      <c r="AT337" s="135" t="str">
        <f aca="false">IF(ISBLANK($C337),"",IF(S337=Constants!$B$5,TRUE(),IF(S337=Constants!$B$6,FALSE(),COUNTA(T337:X337)&gt;0)))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IF(ISBLANK($C337),"",IF(V337=Constants!$B$3,TRUE(),IF(V337=Constants!$B$4,FALSE(),TRUE())))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IF(ISBLANK($C337),"",IF(X337=Constants!$B$3,TRUE(),IF(X337=Constants!$B$4,FALSE(),FALSE())))</f>
        <v/>
      </c>
      <c r="AZ337" s="135" t="str">
        <f aca="false">IF(ISBLANK($C337),"",MIN(Constants!$B$31,MAX(0,IF(ISNUMBER(Y337),Y337*60,0)+IF(ISNUMBER(Z337),Z337,0))))</f>
        <v/>
      </c>
      <c r="BA337" s="135" t="str">
        <f aca="false">IF(ISBLANK($C337),"",IF(AA337=Constants!$B$3,TRUE(),IF(AA337=Constants!$B$4,FALSE(),FALSE())))</f>
        <v/>
      </c>
      <c r="BB337" s="134" t="str">
        <f aca="false">IF(ISBLANK($C337),"",AND($AL337,OR($AM337="",$AN337="",AND($AO337,$AP337=""))))</f>
        <v/>
      </c>
      <c r="BC337" s="137" t="str">
        <f aca="false">IF($BZ337&lt;&gt;Constants!$B$8,"",IF($AL337,Constants!$B$21*$AN337+Constants!$B$22*IF($AO337,$AP337,Constants!$B$23),Constants!$B$24))</f>
        <v/>
      </c>
      <c r="BD337" s="138" t="str">
        <f aca="false">IF($BZ337&lt;&gt;Constants!$B$8,"",Constants!$B$25*ABS($AD$9-IF($AL337,$AM337,0)))</f>
        <v/>
      </c>
      <c r="BE337" s="138" t="str">
        <f aca="false">IF($BZ337&lt;&gt;Constants!$B$8,"",IF(AND($AL337,$AQ337,$AO337),Constants!$B$27,0))</f>
        <v/>
      </c>
      <c r="BF337" s="138" t="str">
        <f aca="false">IF($BZ337&lt;&gt;Constants!$B$8,"",IF($AL337,($AI337-Constants!$B$29)*Constants!$B$28,0))</f>
        <v/>
      </c>
      <c r="BG337" s="138" t="str">
        <f aca="false">IF($BZ337&lt;&gt;Constants!$B$8,"",IF($AK337,0,Constants!$B$15)+IF($AJ337,0,Constants!$B$16)+IF($AH337,0,Constants!$B$17))</f>
        <v/>
      </c>
      <c r="BH337" s="139" t="str">
        <f aca="false">IF($BZ337&lt;&gt;Constants!$B$8,"",Constants!$B$20+SUM($BC337:$BG337))</f>
        <v/>
      </c>
      <c r="BI337" s="138" t="str">
        <f aca="false">IF($BZ337&lt;&gt;Constants!$B$8,"",$BC337)</f>
        <v/>
      </c>
      <c r="BJ337" s="138" t="str">
        <f aca="false">IF($BZ337&lt;&gt;Constants!$B$8,"",$BD337)</f>
        <v/>
      </c>
      <c r="BK337" s="138" t="str">
        <f aca="false">IF($BZ337&lt;&gt;Constants!$B$8,"",IF($AL337,$AN337,""))</f>
        <v/>
      </c>
      <c r="BL337" s="140" t="str">
        <f aca="false">IF($BZ337&lt;&gt;Constants!$B$8,"",$AI337)</f>
        <v/>
      </c>
      <c r="BM337" s="135" t="str">
        <f aca="false">IF($BZ337&lt;&gt;Constants!$B$8,"",IF(OR($BT337&lt;$BH337,AND($BT337=$BH337,OR($BU337&lt;$BI337,AND($BU337=$BI337,OR($BV337&lt;$BJ337,AND($BV337=$BJ337,OR(AND(ISNUMBER($BW337),OR(NOT(ISNUMBER($BK337)),$BW337&lt;$BK337)),AND(OR(AND($BW337="",$BK337=""),AND(ISNUMBER($BW337),ISNUMBER($BK337),$BW337=$BK337)),$BX337&lt;$BL337)))))))),"-&gt;","&lt;-"))</f>
        <v/>
      </c>
      <c r="BN337" s="134" t="str">
        <f aca="false">IF(ISBLANK($C337),"",AND($AT337,OR($AU337="",$AV337="",AND($AW337,$AX337=""))))</f>
        <v/>
      </c>
      <c r="BO337" s="137" t="str">
        <f aca="false">IF($BZ337&lt;&gt;Constants!$B$8,"",IF($AT337,Constants!$B$21*$AV337+Constants!$B$22*IF($AW337,$AX337,Constants!$B$23),Constants!$B$24))</f>
        <v/>
      </c>
      <c r="BP337" s="138" t="str">
        <f aca="false">IF($BZ337&lt;&gt;Constants!$B$8,"",Constants!$B$25*ABS($AD$9-IF($AT337,$AU337,0)))</f>
        <v/>
      </c>
      <c r="BQ337" s="138" t="str">
        <f aca="false">IF($BZ337&lt;&gt;Constants!$B$8,"",IF(AND($AT337,$AY337,$AW337),Constants!$B$27,0))</f>
        <v/>
      </c>
      <c r="BR337" s="138" t="str">
        <f aca="false">IF($BZ337&lt;&gt;Constants!$B$8,"",IF($AT337,($AI337-Constants!$B$29)*Constants!$B$28,0))</f>
        <v/>
      </c>
      <c r="BS337" s="138" t="str">
        <f aca="false">IF($BZ337&lt;&gt;Constants!$B$8,"",IF($AS337,0,Constants!$B$15)+IF($AR337,0,Constants!$B$16)+IF($AH337,0,Constants!$B$17))</f>
        <v/>
      </c>
      <c r="BT337" s="139" t="str">
        <f aca="false">IF($BZ337&lt;&gt;Constants!$B$8,"",Constants!$B$20+SUM($BO337:$BS337))</f>
        <v/>
      </c>
      <c r="BU337" s="138" t="str">
        <f aca="false">IF($BZ337&lt;&gt;Constants!$B$8,"",$BO337)</f>
        <v/>
      </c>
      <c r="BV337" s="138" t="str">
        <f aca="false">IF($BZ337&lt;&gt;Constants!$B$8,"",$BP337)</f>
        <v/>
      </c>
      <c r="BW337" s="138" t="str">
        <f aca="false">IF($BZ337&lt;&gt;Constants!$B$8,"",IF($AT337,$AV337,""))</f>
        <v/>
      </c>
      <c r="BX337" s="140" t="str">
        <f aca="false">IF($BZ337&lt;&gt;Constants!$B$8,"",$AI337)</f>
        <v/>
      </c>
      <c r="BY337" s="135" t="str">
        <f aca="false">IF(ISBLANK($C337),"",IF(ISBLANK($D$7),$BY$5,IF(NOT(ISNUMBER($D$7)),$BY$6,"")))</f>
        <v/>
      </c>
      <c r="BZ337" s="135" t="str">
        <f aca="false">IF(ISBLANK($C337),"",IF($BA337,Constants!$B$11,IF(COUNTA($E337:$AA337)=0,Constants!$B$10,IF(NOT($AG337),Constants!$B$9,IF(OR($BY337&lt;&gt;"",$BB337,$BN337),Constants!$B$12,Constants!$B$8)))))</f>
        <v/>
      </c>
      <c r="CA337" s="135" t="str">
        <f aca="false">IF(ISBLANK($C337),"",IF($BZ337&lt;&gt;Constants!$B$8,$BZ337,Constants!$B$13))</f>
        <v/>
      </c>
      <c r="CB337" s="138" t="str">
        <f aca="false">IF($BZ337&lt;&gt;Constants!$B$8,"",IF($BM337="-&gt;",$BT337,$BH337))</f>
        <v/>
      </c>
      <c r="CC337" s="138" t="str">
        <f aca="false">IF($BZ337&lt;&gt;Constants!$B$8,"",IF($AF337,0,Constants!$B$18))</f>
        <v/>
      </c>
      <c r="CD337" s="138" t="str">
        <f aca="false">IF($BZ337&lt;&gt;Constants!$B$8,"",((Constants!$B$31-$AZ337)-Constants!$B$31)/Constants!$B$32)</f>
        <v/>
      </c>
      <c r="CE337" s="138" t="str">
        <f aca="false">IF(ISBLANK($C337),"",IF($BZ337&lt;&gt;Constants!$B$8,$BZ337,SUM($CB337:$CD337)))</f>
        <v/>
      </c>
      <c r="CF337" s="135" t="str">
        <f aca="false">IF(ISBLANK($C337),"",IF($BZ337&lt;&gt;Constants!$B$8,$BZ337,RANK($CE337,$CE$9:$CE$508,1)))</f>
        <v/>
      </c>
      <c r="CG337" s="138" t="str">
        <f aca="false">IF($BZ337&lt;&gt;Constants!$B$8,"",IF($BM337="-&gt;",$BU337,$BI337))</f>
        <v/>
      </c>
      <c r="CH337" s="135" t="str">
        <f aca="false">IF(ISBLANK($C337),"",IF($BZ337&lt;&gt;Constants!$B$8,$BZ337,IF(ISNUMBER($CG337),RANK($CG337,$CG$9:$CG$508,1),COUNT($CG$9:$CG$508)+1)))</f>
        <v/>
      </c>
      <c r="CI337" s="138" t="str">
        <f aca="false">IF($BZ337&lt;&gt;Constants!$B$8,"",IF($BM337="-&gt;",$BV337,$BJ337))</f>
        <v/>
      </c>
      <c r="CJ337" s="135" t="str">
        <f aca="false">IF(ISBLANK($C337),"",IF($BZ337&lt;&gt;Constants!$B$8,$BZ337,IF(ISNUMBER($CI337),RANK($CI337,$CI$9:$CI$508,1),COUNT($CI$9:$CI$508)+1)))</f>
        <v/>
      </c>
      <c r="CK337" s="138" t="str">
        <f aca="false">IF($BZ337&lt;&gt;Constants!$B$8,"",IF($BM337="-&gt;",$BW337,$BK337))</f>
        <v/>
      </c>
      <c r="CL337" s="135" t="str">
        <f aca="false">IF(ISBLANK($C337),"",IF($BZ337&lt;&gt;Constants!$B$8,$BZ337,IF(ISNUMBER($CK337),RANK($CK337,$CK$9:$CK$508,1),COUNT($CK$9:$CK$508)+1)))</f>
        <v/>
      </c>
      <c r="CM337" s="138" t="str">
        <f aca="false">IF($BZ337&lt;&gt;Constants!$B$8,"",IF(AND(NOT($AL337),NOT($AT337),$AJ337,$AK337,$AR337,$AS337),"",IF($BM337="-&gt;",$BX337,$BL337)))</f>
        <v/>
      </c>
      <c r="CN337" s="135" t="str">
        <f aca="false">IF(ISBLANK($C337),"",IF($BZ337&lt;&gt;Constants!$B$8,$BZ337,IF(ISNUMBER($CM337),RANK($CM337,$CM$9:$CM$508,1),COUNT($CM$9:$CM$508)+1)))</f>
        <v/>
      </c>
      <c r="CO337" s="135" t="str">
        <f aca="false">IF(ISBLANK($C337),"",IF($BZ337&lt;&gt;Constants!$B$8,$BZ337,COUNTIFS($CF$9:$CF$508,"&lt;"&amp;$CF337)+COUNTIFS($CF$9:$CF$508,$CF337,$CH$9:$CH$508,"&lt;"&amp;$CH337)+COUNTIFS($CF$9:$CF$508,$CF337,$CH$9:$CH$508,$CH337,$CJ$9:$CJ$508,"&lt;"&amp;$CJ337)+COUNTIFS($CF$9:$CF$508,$CF337,$CH$9:$CH$508,$CH337,$CJ$9:$CJ$508,$CJ337,$CL$9:$CL$508,"&lt;"&amp;$CL337)+COUNTIFS($CF$9:$CF$508,$CF337,$CH$9:$CH$508,$CH337,$CJ$9:$CJ$508,$CJ337,$CL$9:$CL$508,$CL337,$CN$9:$CN$508,"&lt;"&amp;$CN337)+1))</f>
        <v/>
      </c>
      <c r="CP337" s="135" t="str">
        <f aca="false">IF(ISBLANK($C337),"",IF($BZ337&lt;&gt;Constants!$B$8,$BZ337,$CF337-$CO337))</f>
        <v/>
      </c>
      <c r="CQ337" s="141"/>
      <c r="CR337" s="142"/>
      <c r="CS337" s="143" t="str">
        <f aca="false">IF(ISBLANK($C337),"",IF($BZ337=Constants!$B$12,$BY337,""))</f>
        <v/>
      </c>
      <c r="CT337" s="142" t="str">
        <f aca="false">IF(ISBLANK($C337),"",IF($BZ337&lt;&gt;Constants!$B$8,"",IF($BM337="-&gt;",2,1)))</f>
        <v/>
      </c>
      <c r="CU337" s="144" t="str">
        <f aca="false">IF(ISBLANK($C337),"",IF($BZ337&lt;&gt;Constants!$B$8,"",IF($BM337="-&gt;",$BO337,$BC337)))</f>
        <v/>
      </c>
      <c r="CV337" s="144" t="str">
        <f aca="false">IF(ISBLANK($C337),"",IF($BZ337&lt;&gt;Constants!$B$8,"",IF($BM337="-&gt;",$BP337,$BD337)))</f>
        <v/>
      </c>
      <c r="CW337" s="144" t="str">
        <f aca="false">IF(ISBLANK($C337),"",IF($BZ337&lt;&gt;Constants!$B$8,"",IF($BM337="-&gt;",$BQ337+$BR337,$BE337+$BF337)+$CD337))</f>
        <v/>
      </c>
      <c r="CX337" s="144" t="str">
        <f aca="false">IF(ISBLANK($C337),"",IF($BZ337&lt;&gt;Constants!$B$8,"",IF($BM337="-&gt;",$BS337,$BG337)+$CC337))</f>
        <v/>
      </c>
      <c r="CY337" s="145" t="str">
        <f aca="false">IF(ISBLANK($C337),"",IF($BZ337&lt;&gt;Constants!$B$8,$BZ337,$CE337))</f>
        <v/>
      </c>
      <c r="CZ337" s="146" t="str">
        <f aca="false">IF(ISBLANK($C337),"",$CA337)</f>
        <v/>
      </c>
      <c r="DA337" s="147" t="str">
        <f aca="false">IF(ISBLANK($C337),"",$CP337)</f>
        <v/>
      </c>
      <c r="DB337" s="147" t="str">
        <f aca="false">IF(ISBLANK($C337),"",$CO337)</f>
        <v/>
      </c>
      <c r="DC337" s="148" t="str">
        <f aca="false">IF(ISBLANK($C337),"",IFERROR(_xlfn.SWITCH($DB337,Constants!$B$11,COUNTA($C$9:$C$508)+2,Constants!$B$10,COUNTA($C$9:$C$508)+1,Constants!$B$9,COUNTA($C$9:$C$508)),$DB337))</f>
        <v/>
      </c>
      <c r="DD337" s="9"/>
      <c r="DE337" s="149" t="n">
        <f aca="false">IF(OR(ISNUMBER($DB337),$DB337=Constants!$B$11,$DB337=Constants!$B$9,$DB337=Constants!$B$10),1,0)</f>
        <v>0</v>
      </c>
      <c r="DF337" s="149" t="n">
        <v>329</v>
      </c>
      <c r="DG337" s="149" t="str">
        <f aca="false">IF(ISBLANK($C337),"",IF(ISNUMBER($DC337),$DC337+ROW($B337)/1000,""))</f>
        <v/>
      </c>
      <c r="DH337" s="149" t="str">
        <f aca="false">IF(ISNUMBER($DG337),RANK($DG337,$DG$9:$DG$508,1),"")</f>
        <v/>
      </c>
      <c r="DI337" s="149" t="str">
        <f aca="false">IF(ISBLANK($C337),"",$B337)</f>
        <v/>
      </c>
      <c r="DJ337" s="149" t="str">
        <f aca="false">IF(ISBLANK($C337),"",$C337)</f>
        <v/>
      </c>
      <c r="DK337" s="149" t="str">
        <f aca="false">IF(ISBLANK($C337),"",$D337)</f>
        <v/>
      </c>
      <c r="DL337" s="150" t="str">
        <f aca="false">$CZ337</f>
        <v/>
      </c>
      <c r="DM337" s="151" t="str">
        <f aca="false">$CY337</f>
        <v/>
      </c>
      <c r="DN337" s="149" t="str">
        <f aca="false">IF(ISBLANK($C337),"",$DB337)</f>
        <v/>
      </c>
      <c r="DO337" s="152" t="str">
        <f aca="false">IF($DF337&gt;$DE$8,"",VLOOKUP($DF337,$DH$9:$DN$508,7,FALSE()))</f>
        <v/>
      </c>
      <c r="DP337" s="153" t="str">
        <f aca="false">IF($DF337&gt;$DE$8,"",VLOOKUP($DF337,$DH$9:$DN$508,2,FALSE()))</f>
        <v/>
      </c>
      <c r="DQ337" s="153" t="str">
        <f aca="false">IF($DF337&gt;$DE$8,"",VLOOKUP($DF337,$DH$9:$DN$508,3,FALSE()))</f>
        <v/>
      </c>
      <c r="DR337" s="153" t="str">
        <f aca="false">IF($DF337&gt;$DE$8,"",VLOOKUP($DF337,$DH$9:$DN$508,4,FALSE()))</f>
        <v/>
      </c>
      <c r="DS337" s="153" t="str">
        <f aca="false">IF($DF337&gt;$DE$8,"",VLOOKUP($DF337,$DH$9:$DN$508,5,FALSE()))</f>
        <v/>
      </c>
      <c r="DT337" s="154" t="str">
        <f aca="false">IF($DF337&gt;$DE$8,"",VLOOKUP($DF337,$DH$9:$DN$508,6,FALSE()))</f>
        <v/>
      </c>
      <c r="DU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IF(ISBLANK($C338),"",IF(E338=Constants!$B$3,TRUE(),IF(E338=Constants!$B$4,FALSE(),TRUE())))</f>
        <v/>
      </c>
      <c r="AG338" s="135" t="str">
        <f aca="false">IF(ISBLANK($C338),"",IF(F338=Constants!$B$3,TRUE(),IF(F338=Constants!$B$4,FALSE(),TRUE())))</f>
        <v/>
      </c>
      <c r="AH338" s="135" t="str">
        <f aca="false">IF(ISBLANK($C338),"",IF(G338=Constants!$B$3,TRUE(),IF(G338=Constants!$B$4,FALSE(),TRUE())))</f>
        <v/>
      </c>
      <c r="AI338" s="135" t="str">
        <f aca="false">IF(ISBLANK($C338),"",IF(AND(ISNUMBER(H338),H338&gt;=0),H338,Constants!$B$29))</f>
        <v/>
      </c>
      <c r="AJ338" s="135" t="str">
        <f aca="false">IF(ISBLANK($C338),"",IF(I338=Constants!$B$3,TRUE(),IF(I338=Constants!$B$4,FALSE(),TRUE())))</f>
        <v/>
      </c>
      <c r="AK338" s="135" t="str">
        <f aca="false">IF(ISBLANK($C338),"",IF(J338=Constants!$B$3,TRUE(),IF(J338=Constants!$B$4,FALSE(),TRUE())))</f>
        <v/>
      </c>
      <c r="AL338" s="135" t="str">
        <f aca="false">IF(ISBLANK($C338),"",IF(K338=Constants!$B$5,TRUE(),IF(K338=Constants!$B$6,FALSE(),COUNTA(L338:P338)&gt;0)))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IF(ISBLANK($C338),"",IF(N338=Constants!$B$3,TRUE(),IF(N338=Constants!$B$4,FALSE(),TRUE())))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IF(ISBLANK($C338),"",IF(P338=Constants!$B$3,TRUE(),IF(P338=Constants!$B$4,FALSE(),FALSE())))</f>
        <v/>
      </c>
      <c r="AR338" s="135" t="str">
        <f aca="false">IF(ISBLANK($C338),"",IF(Q338=Constants!$B$3,TRUE(),IF(Q338=Constants!$B$4,FALSE(),TRUE())))</f>
        <v/>
      </c>
      <c r="AS338" s="135" t="str">
        <f aca="false">IF(ISBLANK($C338),"",IF(R338=Constants!$B$3,TRUE(),IF(R338=Constants!$B$4,FALSE(),TRUE())))</f>
        <v/>
      </c>
      <c r="AT338" s="135" t="str">
        <f aca="false">IF(ISBLANK($C338),"",IF(S338=Constants!$B$5,TRUE(),IF(S338=Constants!$B$6,FALSE(),COUNTA(T338:X338)&gt;0)))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IF(ISBLANK($C338),"",IF(V338=Constants!$B$3,TRUE(),IF(V338=Constants!$B$4,FALSE(),TRUE())))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IF(ISBLANK($C338),"",IF(X338=Constants!$B$3,TRUE(),IF(X338=Constants!$B$4,FALSE(),FALSE())))</f>
        <v/>
      </c>
      <c r="AZ338" s="135" t="str">
        <f aca="false">IF(ISBLANK($C338),"",MIN(Constants!$B$31,MAX(0,IF(ISNUMBER(Y338),Y338*60,0)+IF(ISNUMBER(Z338),Z338,0))))</f>
        <v/>
      </c>
      <c r="BA338" s="135" t="str">
        <f aca="false">IF(ISBLANK($C338),"",IF(AA338=Constants!$B$3,TRUE(),IF(AA338=Constants!$B$4,FALSE(),FALSE())))</f>
        <v/>
      </c>
      <c r="BB338" s="134" t="str">
        <f aca="false">IF(ISBLANK($C338),"",AND($AL338,OR($AM338="",$AN338="",AND($AO338,$AP338=""))))</f>
        <v/>
      </c>
      <c r="BC338" s="137" t="str">
        <f aca="false">IF($BZ338&lt;&gt;Constants!$B$8,"",IF($AL338,Constants!$B$21*$AN338+Constants!$B$22*IF($AO338,$AP338,Constants!$B$23),Constants!$B$24))</f>
        <v/>
      </c>
      <c r="BD338" s="138" t="str">
        <f aca="false">IF($BZ338&lt;&gt;Constants!$B$8,"",Constants!$B$25*ABS($AD$9-IF($AL338,$AM338,0)))</f>
        <v/>
      </c>
      <c r="BE338" s="138" t="str">
        <f aca="false">IF($BZ338&lt;&gt;Constants!$B$8,"",IF(AND($AL338,$AQ338,$AO338),Constants!$B$27,0))</f>
        <v/>
      </c>
      <c r="BF338" s="138" t="str">
        <f aca="false">IF($BZ338&lt;&gt;Constants!$B$8,"",IF($AL338,($AI338-Constants!$B$29)*Constants!$B$28,0))</f>
        <v/>
      </c>
      <c r="BG338" s="138" t="str">
        <f aca="false">IF($BZ338&lt;&gt;Constants!$B$8,"",IF($AK338,0,Constants!$B$15)+IF($AJ338,0,Constants!$B$16)+IF($AH338,0,Constants!$B$17))</f>
        <v/>
      </c>
      <c r="BH338" s="139" t="str">
        <f aca="false">IF($BZ338&lt;&gt;Constants!$B$8,"",Constants!$B$20+SUM($BC338:$BG338))</f>
        <v/>
      </c>
      <c r="BI338" s="138" t="str">
        <f aca="false">IF($BZ338&lt;&gt;Constants!$B$8,"",$BC338)</f>
        <v/>
      </c>
      <c r="BJ338" s="138" t="str">
        <f aca="false">IF($BZ338&lt;&gt;Constants!$B$8,"",$BD338)</f>
        <v/>
      </c>
      <c r="BK338" s="138" t="str">
        <f aca="false">IF($BZ338&lt;&gt;Constants!$B$8,"",IF($AL338,$AN338,""))</f>
        <v/>
      </c>
      <c r="BL338" s="140" t="str">
        <f aca="false">IF($BZ338&lt;&gt;Constants!$B$8,"",$AI338)</f>
        <v/>
      </c>
      <c r="BM338" s="135" t="str">
        <f aca="false">IF($BZ338&lt;&gt;Constants!$B$8,"",IF(OR($BT338&lt;$BH338,AND($BT338=$BH338,OR($BU338&lt;$BI338,AND($BU338=$BI338,OR($BV338&lt;$BJ338,AND($BV338=$BJ338,OR(AND(ISNUMBER($BW338),OR(NOT(ISNUMBER($BK338)),$BW338&lt;$BK338)),AND(OR(AND($BW338="",$BK338=""),AND(ISNUMBER($BW338),ISNUMBER($BK338),$BW338=$BK338)),$BX338&lt;$BL338)))))))),"-&gt;","&lt;-"))</f>
        <v/>
      </c>
      <c r="BN338" s="134" t="str">
        <f aca="false">IF(ISBLANK($C338),"",AND($AT338,OR($AU338="",$AV338="",AND($AW338,$AX338=""))))</f>
        <v/>
      </c>
      <c r="BO338" s="137" t="str">
        <f aca="false">IF($BZ338&lt;&gt;Constants!$B$8,"",IF($AT338,Constants!$B$21*$AV338+Constants!$B$22*IF($AW338,$AX338,Constants!$B$23),Constants!$B$24))</f>
        <v/>
      </c>
      <c r="BP338" s="138" t="str">
        <f aca="false">IF($BZ338&lt;&gt;Constants!$B$8,"",Constants!$B$25*ABS($AD$9-IF($AT338,$AU338,0)))</f>
        <v/>
      </c>
      <c r="BQ338" s="138" t="str">
        <f aca="false">IF($BZ338&lt;&gt;Constants!$B$8,"",IF(AND($AT338,$AY338,$AW338),Constants!$B$27,0))</f>
        <v/>
      </c>
      <c r="BR338" s="138" t="str">
        <f aca="false">IF($BZ338&lt;&gt;Constants!$B$8,"",IF($AT338,($AI338-Constants!$B$29)*Constants!$B$28,0))</f>
        <v/>
      </c>
      <c r="BS338" s="138" t="str">
        <f aca="false">IF($BZ338&lt;&gt;Constants!$B$8,"",IF($AS338,0,Constants!$B$15)+IF($AR338,0,Constants!$B$16)+IF($AH338,0,Constants!$B$17))</f>
        <v/>
      </c>
      <c r="BT338" s="139" t="str">
        <f aca="false">IF($BZ338&lt;&gt;Constants!$B$8,"",Constants!$B$20+SUM($BO338:$BS338))</f>
        <v/>
      </c>
      <c r="BU338" s="138" t="str">
        <f aca="false">IF($BZ338&lt;&gt;Constants!$B$8,"",$BO338)</f>
        <v/>
      </c>
      <c r="BV338" s="138" t="str">
        <f aca="false">IF($BZ338&lt;&gt;Constants!$B$8,"",$BP338)</f>
        <v/>
      </c>
      <c r="BW338" s="138" t="str">
        <f aca="false">IF($BZ338&lt;&gt;Constants!$B$8,"",IF($AT338,$AV338,""))</f>
        <v/>
      </c>
      <c r="BX338" s="140" t="str">
        <f aca="false">IF($BZ338&lt;&gt;Constants!$B$8,"",$AI338)</f>
        <v/>
      </c>
      <c r="BY338" s="135" t="str">
        <f aca="false">IF(ISBLANK($C338),"",IF(ISBLANK($D$7),$BY$5,IF(NOT(ISNUMBER($D$7)),$BY$6,"")))</f>
        <v/>
      </c>
      <c r="BZ338" s="135" t="str">
        <f aca="false">IF(ISBLANK($C338),"",IF($BA338,Constants!$B$11,IF(COUNTA($E338:$AA338)=0,Constants!$B$10,IF(NOT($AG338),Constants!$B$9,IF(OR($BY338&lt;&gt;"",$BB338,$BN338),Constants!$B$12,Constants!$B$8)))))</f>
        <v/>
      </c>
      <c r="CA338" s="135" t="str">
        <f aca="false">IF(ISBLANK($C338),"",IF($BZ338&lt;&gt;Constants!$B$8,$BZ338,Constants!$B$13))</f>
        <v/>
      </c>
      <c r="CB338" s="138" t="str">
        <f aca="false">IF($BZ338&lt;&gt;Constants!$B$8,"",IF($BM338="-&gt;",$BT338,$BH338))</f>
        <v/>
      </c>
      <c r="CC338" s="138" t="str">
        <f aca="false">IF($BZ338&lt;&gt;Constants!$B$8,"",IF($AF338,0,Constants!$B$18))</f>
        <v/>
      </c>
      <c r="CD338" s="138" t="str">
        <f aca="false">IF($BZ338&lt;&gt;Constants!$B$8,"",((Constants!$B$31-$AZ338)-Constants!$B$31)/Constants!$B$32)</f>
        <v/>
      </c>
      <c r="CE338" s="138" t="str">
        <f aca="false">IF(ISBLANK($C338),"",IF($BZ338&lt;&gt;Constants!$B$8,$BZ338,SUM($CB338:$CD338)))</f>
        <v/>
      </c>
      <c r="CF338" s="135" t="str">
        <f aca="false">IF(ISBLANK($C338),"",IF($BZ338&lt;&gt;Constants!$B$8,$BZ338,RANK($CE338,$CE$9:$CE$508,1)))</f>
        <v/>
      </c>
      <c r="CG338" s="138" t="str">
        <f aca="false">IF($BZ338&lt;&gt;Constants!$B$8,"",IF($BM338="-&gt;",$BU338,$BI338))</f>
        <v/>
      </c>
      <c r="CH338" s="135" t="str">
        <f aca="false">IF(ISBLANK($C338),"",IF($BZ338&lt;&gt;Constants!$B$8,$BZ338,IF(ISNUMBER($CG338),RANK($CG338,$CG$9:$CG$508,1),COUNT($CG$9:$CG$508)+1)))</f>
        <v/>
      </c>
      <c r="CI338" s="138" t="str">
        <f aca="false">IF($BZ338&lt;&gt;Constants!$B$8,"",IF($BM338="-&gt;",$BV338,$BJ338))</f>
        <v/>
      </c>
      <c r="CJ338" s="135" t="str">
        <f aca="false">IF(ISBLANK($C338),"",IF($BZ338&lt;&gt;Constants!$B$8,$BZ338,IF(ISNUMBER($CI338),RANK($CI338,$CI$9:$CI$508,1),COUNT($CI$9:$CI$508)+1)))</f>
        <v/>
      </c>
      <c r="CK338" s="138" t="str">
        <f aca="false">IF($BZ338&lt;&gt;Constants!$B$8,"",IF($BM338="-&gt;",$BW338,$BK338))</f>
        <v/>
      </c>
      <c r="CL338" s="135" t="str">
        <f aca="false">IF(ISBLANK($C338),"",IF($BZ338&lt;&gt;Constants!$B$8,$BZ338,IF(ISNUMBER($CK338),RANK($CK338,$CK$9:$CK$508,1),COUNT($CK$9:$CK$508)+1)))</f>
        <v/>
      </c>
      <c r="CM338" s="138" t="str">
        <f aca="false">IF($BZ338&lt;&gt;Constants!$B$8,"",IF(AND(NOT($AL338),NOT($AT338),$AJ338,$AK338,$AR338,$AS338),"",IF($BM338="-&gt;",$BX338,$BL338)))</f>
        <v/>
      </c>
      <c r="CN338" s="135" t="str">
        <f aca="false">IF(ISBLANK($C338),"",IF($BZ338&lt;&gt;Constants!$B$8,$BZ338,IF(ISNUMBER($CM338),RANK($CM338,$CM$9:$CM$508,1),COUNT($CM$9:$CM$508)+1)))</f>
        <v/>
      </c>
      <c r="CO338" s="135" t="str">
        <f aca="false">IF(ISBLANK($C338),"",IF($BZ338&lt;&gt;Constants!$B$8,$BZ338,COUNTIFS($CF$9:$CF$508,"&lt;"&amp;$CF338)+COUNTIFS($CF$9:$CF$508,$CF338,$CH$9:$CH$508,"&lt;"&amp;$CH338)+COUNTIFS($CF$9:$CF$508,$CF338,$CH$9:$CH$508,$CH338,$CJ$9:$CJ$508,"&lt;"&amp;$CJ338)+COUNTIFS($CF$9:$CF$508,$CF338,$CH$9:$CH$508,$CH338,$CJ$9:$CJ$508,$CJ338,$CL$9:$CL$508,"&lt;"&amp;$CL338)+COUNTIFS($CF$9:$CF$508,$CF338,$CH$9:$CH$508,$CH338,$CJ$9:$CJ$508,$CJ338,$CL$9:$CL$508,$CL338,$CN$9:$CN$508,"&lt;"&amp;$CN338)+1))</f>
        <v/>
      </c>
      <c r="CP338" s="135" t="str">
        <f aca="false">IF(ISBLANK($C338),"",IF($BZ338&lt;&gt;Constants!$B$8,$BZ338,$CF338-$CO338))</f>
        <v/>
      </c>
      <c r="CQ338" s="141"/>
      <c r="CR338" s="142"/>
      <c r="CS338" s="143" t="str">
        <f aca="false">IF(ISBLANK($C338),"",IF($BZ338=Constants!$B$12,$BY338,""))</f>
        <v/>
      </c>
      <c r="CT338" s="142" t="str">
        <f aca="false">IF(ISBLANK($C338),"",IF($BZ338&lt;&gt;Constants!$B$8,"",IF($BM338="-&gt;",2,1)))</f>
        <v/>
      </c>
      <c r="CU338" s="144" t="str">
        <f aca="false">IF(ISBLANK($C338),"",IF($BZ338&lt;&gt;Constants!$B$8,"",IF($BM338="-&gt;",$BO338,$BC338)))</f>
        <v/>
      </c>
      <c r="CV338" s="144" t="str">
        <f aca="false">IF(ISBLANK($C338),"",IF($BZ338&lt;&gt;Constants!$B$8,"",IF($BM338="-&gt;",$BP338,$BD338)))</f>
        <v/>
      </c>
      <c r="CW338" s="144" t="str">
        <f aca="false">IF(ISBLANK($C338),"",IF($BZ338&lt;&gt;Constants!$B$8,"",IF($BM338="-&gt;",$BQ338+$BR338,$BE338+$BF338)+$CD338))</f>
        <v/>
      </c>
      <c r="CX338" s="144" t="str">
        <f aca="false">IF(ISBLANK($C338),"",IF($BZ338&lt;&gt;Constants!$B$8,"",IF($BM338="-&gt;",$BS338,$BG338)+$CC338))</f>
        <v/>
      </c>
      <c r="CY338" s="145" t="str">
        <f aca="false">IF(ISBLANK($C338),"",IF($BZ338&lt;&gt;Constants!$B$8,$BZ338,$CE338))</f>
        <v/>
      </c>
      <c r="CZ338" s="146" t="str">
        <f aca="false">IF(ISBLANK($C338),"",$CA338)</f>
        <v/>
      </c>
      <c r="DA338" s="147" t="str">
        <f aca="false">IF(ISBLANK($C338),"",$CP338)</f>
        <v/>
      </c>
      <c r="DB338" s="147" t="str">
        <f aca="false">IF(ISBLANK($C338),"",$CO338)</f>
        <v/>
      </c>
      <c r="DC338" s="148" t="str">
        <f aca="false">IF(ISBLANK($C338),"",IFERROR(_xlfn.SWITCH($DB338,Constants!$B$11,COUNTA($C$9:$C$508)+2,Constants!$B$10,COUNTA($C$9:$C$508)+1,Constants!$B$9,COUNTA($C$9:$C$508)),$DB338))</f>
        <v/>
      </c>
      <c r="DD338" s="9"/>
      <c r="DE338" s="149" t="n">
        <f aca="false">IF(OR(ISNUMBER($DB338),$DB338=Constants!$B$11,$DB338=Constants!$B$9,$DB338=Constants!$B$10),1,0)</f>
        <v>0</v>
      </c>
      <c r="DF338" s="149" t="n">
        <v>330</v>
      </c>
      <c r="DG338" s="149" t="str">
        <f aca="false">IF(ISBLANK($C338),"",IF(ISNUMBER($DC338),$DC338+ROW($B338)/1000,""))</f>
        <v/>
      </c>
      <c r="DH338" s="149" t="str">
        <f aca="false">IF(ISNUMBER($DG338),RANK($DG338,$DG$9:$DG$508,1),"")</f>
        <v/>
      </c>
      <c r="DI338" s="149" t="str">
        <f aca="false">IF(ISBLANK($C338),"",$B338)</f>
        <v/>
      </c>
      <c r="DJ338" s="149" t="str">
        <f aca="false">IF(ISBLANK($C338),"",$C338)</f>
        <v/>
      </c>
      <c r="DK338" s="149" t="str">
        <f aca="false">IF(ISBLANK($C338),"",$D338)</f>
        <v/>
      </c>
      <c r="DL338" s="150" t="str">
        <f aca="false">$CZ338</f>
        <v/>
      </c>
      <c r="DM338" s="151" t="str">
        <f aca="false">$CY338</f>
        <v/>
      </c>
      <c r="DN338" s="149" t="str">
        <f aca="false">IF(ISBLANK($C338),"",$DB338)</f>
        <v/>
      </c>
      <c r="DO338" s="152" t="str">
        <f aca="false">IF($DF338&gt;$DE$8,"",VLOOKUP($DF338,$DH$9:$DN$508,7,FALSE()))</f>
        <v/>
      </c>
      <c r="DP338" s="153" t="str">
        <f aca="false">IF($DF338&gt;$DE$8,"",VLOOKUP($DF338,$DH$9:$DN$508,2,FALSE()))</f>
        <v/>
      </c>
      <c r="DQ338" s="153" t="str">
        <f aca="false">IF($DF338&gt;$DE$8,"",VLOOKUP($DF338,$DH$9:$DN$508,3,FALSE()))</f>
        <v/>
      </c>
      <c r="DR338" s="153" t="str">
        <f aca="false">IF($DF338&gt;$DE$8,"",VLOOKUP($DF338,$DH$9:$DN$508,4,FALSE()))</f>
        <v/>
      </c>
      <c r="DS338" s="153" t="str">
        <f aca="false">IF($DF338&gt;$DE$8,"",VLOOKUP($DF338,$DH$9:$DN$508,5,FALSE()))</f>
        <v/>
      </c>
      <c r="DT338" s="154" t="str">
        <f aca="false">IF($DF338&gt;$DE$8,"",VLOOKUP($DF338,$DH$9:$DN$508,6,FALSE()))</f>
        <v/>
      </c>
      <c r="DU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IF(ISBLANK($C339),"",IF(E339=Constants!$B$3,TRUE(),IF(E339=Constants!$B$4,FALSE(),TRUE())))</f>
        <v/>
      </c>
      <c r="AG339" s="93" t="str">
        <f aca="false">IF(ISBLANK($C339),"",IF(F339=Constants!$B$3,TRUE(),IF(F339=Constants!$B$4,FALSE(),TRUE())))</f>
        <v/>
      </c>
      <c r="AH339" s="93" t="str">
        <f aca="false">IF(ISBLANK($C339),"",IF(G339=Constants!$B$3,TRUE(),IF(G339=Constants!$B$4,FALSE(),TRUE())))</f>
        <v/>
      </c>
      <c r="AI339" s="93" t="str">
        <f aca="false">IF(ISBLANK($C339),"",IF(AND(ISNUMBER(H339),H339&gt;=0),H339,Constants!$B$29))</f>
        <v/>
      </c>
      <c r="AJ339" s="93" t="str">
        <f aca="false">IF(ISBLANK($C339),"",IF(I339=Constants!$B$3,TRUE(),IF(I339=Constants!$B$4,FALSE(),TRUE())))</f>
        <v/>
      </c>
      <c r="AK339" s="93" t="str">
        <f aca="false">IF(ISBLANK($C339),"",IF(J339=Constants!$B$3,TRUE(),IF(J339=Constants!$B$4,FALSE(),TRUE())))</f>
        <v/>
      </c>
      <c r="AL339" s="93" t="str">
        <f aca="false">IF(ISBLANK($C339),"",IF(K339=Constants!$B$5,TRUE(),IF(K339=Constants!$B$6,FALSE(),COUNTA(L339:P339)&gt;0)))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IF(ISBLANK($C339),"",IF(N339=Constants!$B$3,TRUE(),IF(N339=Constants!$B$4,FALSE(),TRUE())))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IF(ISBLANK($C339),"",IF(P339=Constants!$B$3,TRUE(),IF(P339=Constants!$B$4,FALSE(),FALSE())))</f>
        <v/>
      </c>
      <c r="AR339" s="93" t="str">
        <f aca="false">IF(ISBLANK($C339),"",IF(Q339=Constants!$B$3,TRUE(),IF(Q339=Constants!$B$4,FALSE(),TRUE())))</f>
        <v/>
      </c>
      <c r="AS339" s="93" t="str">
        <f aca="false">IF(ISBLANK($C339),"",IF(R339=Constants!$B$3,TRUE(),IF(R339=Constants!$B$4,FALSE(),TRUE())))</f>
        <v/>
      </c>
      <c r="AT339" s="93" t="str">
        <f aca="false">IF(ISBLANK($C339),"",IF(S339=Constants!$B$5,TRUE(),IF(S339=Constants!$B$6,FALSE(),COUNTA(T339:X339)&gt;0)))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IF(ISBLANK($C339),"",IF(V339=Constants!$B$3,TRUE(),IF(V339=Constants!$B$4,FALSE(),TRUE())))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IF(ISBLANK($C339),"",IF(X339=Constants!$B$3,TRUE(),IF(X339=Constants!$B$4,FALSE(),FALSE())))</f>
        <v/>
      </c>
      <c r="AZ339" s="93" t="str">
        <f aca="false">IF(ISBLANK($C339),"",MIN(Constants!$B$31,MAX(0,IF(ISNUMBER(Y339),Y339*60,0)+IF(ISNUMBER(Z339),Z339,0))))</f>
        <v/>
      </c>
      <c r="BA339" s="93" t="str">
        <f aca="false">IF(ISBLANK($C339),"",IF(AA339=Constants!$B$3,TRUE(),IF(AA339=Constants!$B$4,FALSE(),FALSE())))</f>
        <v/>
      </c>
      <c r="BB339" s="92" t="str">
        <f aca="false">IF(ISBLANK($C339),"",AND($AL339,OR($AM339="",$AN339="",AND($AO339,$AP339=""))))</f>
        <v/>
      </c>
      <c r="BC339" s="94" t="str">
        <f aca="false">IF($BZ339&lt;&gt;Constants!$B$8,"",IF($AL339,Constants!$B$21*$AN339+Constants!$B$22*IF($AO339,$AP339,Constants!$B$23),Constants!$B$24))</f>
        <v/>
      </c>
      <c r="BD339" s="97" t="str">
        <f aca="false">IF($BZ339&lt;&gt;Constants!$B$8,"",Constants!$B$25*ABS($AD$9-IF($AL339,$AM339,0)))</f>
        <v/>
      </c>
      <c r="BE339" s="97" t="str">
        <f aca="false">IF($BZ339&lt;&gt;Constants!$B$8,"",IF(AND($AL339,$AQ339,$AO339),Constants!$B$27,0))</f>
        <v/>
      </c>
      <c r="BF339" s="97" t="str">
        <f aca="false">IF($BZ339&lt;&gt;Constants!$B$8,"",IF($AL339,($AI339-Constants!$B$29)*Constants!$B$28,0))</f>
        <v/>
      </c>
      <c r="BG339" s="97" t="str">
        <f aca="false">IF($BZ339&lt;&gt;Constants!$B$8,"",IF($AK339,0,Constants!$B$15)+IF($AJ339,0,Constants!$B$16)+IF($AH339,0,Constants!$B$17))</f>
        <v/>
      </c>
      <c r="BH339" s="98" t="str">
        <f aca="false">IF($BZ339&lt;&gt;Constants!$B$8,"",Constants!$B$20+SUM($BC339:$BG339))</f>
        <v/>
      </c>
      <c r="BI339" s="97" t="str">
        <f aca="false">IF($BZ339&lt;&gt;Constants!$B$8,"",$BC339)</f>
        <v/>
      </c>
      <c r="BJ339" s="97" t="str">
        <f aca="false">IF($BZ339&lt;&gt;Constants!$B$8,"",$BD339)</f>
        <v/>
      </c>
      <c r="BK339" s="97" t="str">
        <f aca="false">IF($BZ339&lt;&gt;Constants!$B$8,"",IF($AL339,$AN339,""))</f>
        <v/>
      </c>
      <c r="BL339" s="99" t="str">
        <f aca="false">IF($BZ339&lt;&gt;Constants!$B$8,"",$AI339)</f>
        <v/>
      </c>
      <c r="BM339" s="93" t="str">
        <f aca="false">IF($BZ339&lt;&gt;Constants!$B$8,"",IF(OR($BT339&lt;$BH339,AND($BT339=$BH339,OR($BU339&lt;$BI339,AND($BU339=$BI339,OR($BV339&lt;$BJ339,AND($BV339=$BJ339,OR(AND(ISNUMBER($BW339),OR(NOT(ISNUMBER($BK339)),$BW339&lt;$BK339)),AND(OR(AND($BW339="",$BK339=""),AND(ISNUMBER($BW339),ISNUMBER($BK339),$BW339=$BK339)),$BX339&lt;$BL339)))))))),"-&gt;","&lt;-"))</f>
        <v/>
      </c>
      <c r="BN339" s="92" t="str">
        <f aca="false">IF(ISBLANK($C339),"",AND($AT339,OR($AU339="",$AV339="",AND($AW339,$AX339=""))))</f>
        <v/>
      </c>
      <c r="BO339" s="94" t="str">
        <f aca="false">IF($BZ339&lt;&gt;Constants!$B$8,"",IF($AT339,Constants!$B$21*$AV339+Constants!$B$22*IF($AW339,$AX339,Constants!$B$23),Constants!$B$24))</f>
        <v/>
      </c>
      <c r="BP339" s="97" t="str">
        <f aca="false">IF($BZ339&lt;&gt;Constants!$B$8,"",Constants!$B$25*ABS($AD$9-IF($AT339,$AU339,0)))</f>
        <v/>
      </c>
      <c r="BQ339" s="97" t="str">
        <f aca="false">IF($BZ339&lt;&gt;Constants!$B$8,"",IF(AND($AT339,$AY339,$AW339),Constants!$B$27,0))</f>
        <v/>
      </c>
      <c r="BR339" s="97" t="str">
        <f aca="false">IF($BZ339&lt;&gt;Constants!$B$8,"",IF($AT339,($AI339-Constants!$B$29)*Constants!$B$28,0))</f>
        <v/>
      </c>
      <c r="BS339" s="97" t="str">
        <f aca="false">IF($BZ339&lt;&gt;Constants!$B$8,"",IF($AS339,0,Constants!$B$15)+IF($AR339,0,Constants!$B$16)+IF($AH339,0,Constants!$B$17))</f>
        <v/>
      </c>
      <c r="BT339" s="98" t="str">
        <f aca="false">IF($BZ339&lt;&gt;Constants!$B$8,"",Constants!$B$20+SUM($BO339:$BS339))</f>
        <v/>
      </c>
      <c r="BU339" s="97" t="str">
        <f aca="false">IF($BZ339&lt;&gt;Constants!$B$8,"",$BO339)</f>
        <v/>
      </c>
      <c r="BV339" s="97" t="str">
        <f aca="false">IF($BZ339&lt;&gt;Constants!$B$8,"",$BP339)</f>
        <v/>
      </c>
      <c r="BW339" s="97" t="str">
        <f aca="false">IF($BZ339&lt;&gt;Constants!$B$8,"",IF($AT339,$AV339,""))</f>
        <v/>
      </c>
      <c r="BX339" s="99" t="str">
        <f aca="false">IF($BZ339&lt;&gt;Constants!$B$8,"",$AI339)</f>
        <v/>
      </c>
      <c r="BY339" s="93" t="str">
        <f aca="false">IF(ISBLANK($C339),"",IF(ISBLANK($D$7),$BY$5,IF(NOT(ISNUMBER($D$7)),$BY$6,"")))</f>
        <v/>
      </c>
      <c r="BZ339" s="93" t="str">
        <f aca="false">IF(ISBLANK($C339),"",IF($BA339,Constants!$B$11,IF(COUNTA($E339:$AA339)=0,Constants!$B$10,IF(NOT($AG339),Constants!$B$9,IF(OR($BY339&lt;&gt;"",$BB339,$BN339),Constants!$B$12,Constants!$B$8)))))</f>
        <v/>
      </c>
      <c r="CA339" s="93" t="str">
        <f aca="false">IF(ISBLANK($C339),"",IF($BZ339&lt;&gt;Constants!$B$8,$BZ339,Constants!$B$13))</f>
        <v/>
      </c>
      <c r="CB339" s="97" t="str">
        <f aca="false">IF($BZ339&lt;&gt;Constants!$B$8,"",IF($BM339="-&gt;",$BT339,$BH339))</f>
        <v/>
      </c>
      <c r="CC339" s="97" t="str">
        <f aca="false">IF($BZ339&lt;&gt;Constants!$B$8,"",IF($AF339,0,Constants!$B$18))</f>
        <v/>
      </c>
      <c r="CD339" s="97" t="str">
        <f aca="false">IF($BZ339&lt;&gt;Constants!$B$8,"",((Constants!$B$31-$AZ339)-Constants!$B$31)/Constants!$B$32)</f>
        <v/>
      </c>
      <c r="CE339" s="97" t="str">
        <f aca="false">IF(ISBLANK($C339),"",IF($BZ339&lt;&gt;Constants!$B$8,$BZ339,SUM($CB339:$CD339)))</f>
        <v/>
      </c>
      <c r="CF339" s="93" t="str">
        <f aca="false">IF(ISBLANK($C339),"",IF($BZ339&lt;&gt;Constants!$B$8,$BZ339,RANK($CE339,$CE$9:$CE$508,1)))</f>
        <v/>
      </c>
      <c r="CG339" s="97" t="str">
        <f aca="false">IF($BZ339&lt;&gt;Constants!$B$8,"",IF($BM339="-&gt;",$BU339,$BI339))</f>
        <v/>
      </c>
      <c r="CH339" s="93" t="str">
        <f aca="false">IF(ISBLANK($C339),"",IF($BZ339&lt;&gt;Constants!$B$8,$BZ339,IF(ISNUMBER($CG339),RANK($CG339,$CG$9:$CG$508,1),COUNT($CG$9:$CG$508)+1)))</f>
        <v/>
      </c>
      <c r="CI339" s="97" t="str">
        <f aca="false">IF($BZ339&lt;&gt;Constants!$B$8,"",IF($BM339="-&gt;",$BV339,$BJ339))</f>
        <v/>
      </c>
      <c r="CJ339" s="93" t="str">
        <f aca="false">IF(ISBLANK($C339),"",IF($BZ339&lt;&gt;Constants!$B$8,$BZ339,IF(ISNUMBER($CI339),RANK($CI339,$CI$9:$CI$508,1),COUNT($CI$9:$CI$508)+1)))</f>
        <v/>
      </c>
      <c r="CK339" s="97" t="str">
        <f aca="false">IF($BZ339&lt;&gt;Constants!$B$8,"",IF($BM339="-&gt;",$BW339,$BK339))</f>
        <v/>
      </c>
      <c r="CL339" s="93" t="str">
        <f aca="false">IF(ISBLANK($C339),"",IF($BZ339&lt;&gt;Constants!$B$8,$BZ339,IF(ISNUMBER($CK339),RANK($CK339,$CK$9:$CK$508,1),COUNT($CK$9:$CK$508)+1)))</f>
        <v/>
      </c>
      <c r="CM339" s="97" t="str">
        <f aca="false">IF($BZ339&lt;&gt;Constants!$B$8,"",IF(AND(NOT($AL339),NOT($AT339),$AJ339,$AK339,$AR339,$AS339),"",IF($BM339="-&gt;",$BX339,$BL339)))</f>
        <v/>
      </c>
      <c r="CN339" s="93" t="str">
        <f aca="false">IF(ISBLANK($C339),"",IF($BZ339&lt;&gt;Constants!$B$8,$BZ339,IF(ISNUMBER($CM339),RANK($CM339,$CM$9:$CM$508,1),COUNT($CM$9:$CM$508)+1)))</f>
        <v/>
      </c>
      <c r="CO339" s="93" t="str">
        <f aca="false">IF(ISBLANK($C339),"",IF($BZ339&lt;&gt;Constants!$B$8,$BZ339,COUNTIFS($CF$9:$CF$508,"&lt;"&amp;$CF339)+COUNTIFS($CF$9:$CF$508,$CF339,$CH$9:$CH$508,"&lt;"&amp;$CH339)+COUNTIFS($CF$9:$CF$508,$CF339,$CH$9:$CH$508,$CH339,$CJ$9:$CJ$508,"&lt;"&amp;$CJ339)+COUNTIFS($CF$9:$CF$508,$CF339,$CH$9:$CH$508,$CH339,$CJ$9:$CJ$508,$CJ339,$CL$9:$CL$508,"&lt;"&amp;$CL339)+COUNTIFS($CF$9:$CF$508,$CF339,$CH$9:$CH$508,$CH339,$CJ$9:$CJ$508,$CJ339,$CL$9:$CL$508,$CL339,$CN$9:$CN$508,"&lt;"&amp;$CN339)+1))</f>
        <v/>
      </c>
      <c r="CP339" s="93" t="str">
        <f aca="false">IF(ISBLANK($C339),"",IF($BZ339&lt;&gt;Constants!$B$8,$BZ339,$CF339-$CO339))</f>
        <v/>
      </c>
      <c r="CQ339" s="100"/>
      <c r="CR339" s="101"/>
      <c r="CS339" s="102" t="str">
        <f aca="false">IF(ISBLANK($C339),"",IF($BZ339=Constants!$B$12,$BY339,""))</f>
        <v/>
      </c>
      <c r="CT339" s="101" t="str">
        <f aca="false">IF(ISBLANK($C339),"",IF($BZ339&lt;&gt;Constants!$B$8,"",IF($BM339="-&gt;",2,1)))</f>
        <v/>
      </c>
      <c r="CU339" s="103" t="str">
        <f aca="false">IF(ISBLANK($C339),"",IF($BZ339&lt;&gt;Constants!$B$8,"",IF($BM339="-&gt;",$BO339,$BC339)))</f>
        <v/>
      </c>
      <c r="CV339" s="103" t="str">
        <f aca="false">IF(ISBLANK($C339),"",IF($BZ339&lt;&gt;Constants!$B$8,"",IF($BM339="-&gt;",$BP339,$BD339)))</f>
        <v/>
      </c>
      <c r="CW339" s="103" t="str">
        <f aca="false">IF(ISBLANK($C339),"",IF($BZ339&lt;&gt;Constants!$B$8,"",IF($BM339="-&gt;",$BQ339+$BR339,$BE339+$BF339)+$CD339))</f>
        <v/>
      </c>
      <c r="CX339" s="103" t="str">
        <f aca="false">IF(ISBLANK($C339),"",IF($BZ339&lt;&gt;Constants!$B$8,"",IF($BM339="-&gt;",$BS339,$BG339)+$CC339))</f>
        <v/>
      </c>
      <c r="CY339" s="104" t="str">
        <f aca="false">IF(ISBLANK($C339),"",IF($BZ339&lt;&gt;Constants!$B$8,$BZ339,$CE339))</f>
        <v/>
      </c>
      <c r="CZ339" s="105" t="str">
        <f aca="false">IF(ISBLANK($C339),"",$CA339)</f>
        <v/>
      </c>
      <c r="DA339" s="106" t="str">
        <f aca="false">IF(ISBLANK($C339),"",$CP339)</f>
        <v/>
      </c>
      <c r="DB339" s="106" t="str">
        <f aca="false">IF(ISBLANK($C339),"",$CO339)</f>
        <v/>
      </c>
      <c r="DC339" s="107" t="str">
        <f aca="false">IF(ISBLANK($C339),"",IFERROR(_xlfn.SWITCH($DB339,Constants!$B$11,COUNTA($C$9:$C$508)+2,Constants!$B$10,COUNTA($C$9:$C$508)+1,Constants!$B$9,COUNTA($C$9:$C$508)),$DB339))</f>
        <v/>
      </c>
      <c r="DD339" s="9"/>
      <c r="DE339" s="108" t="n">
        <f aca="false">IF(OR(ISNUMBER($DB339),$DB339=Constants!$B$11,$DB339=Constants!$B$9,$DB339=Constants!$B$10),1,0)</f>
        <v>0</v>
      </c>
      <c r="DF339" s="108" t="n">
        <v>331</v>
      </c>
      <c r="DG339" s="108" t="str">
        <f aca="false">IF(ISBLANK($C339),"",IF(ISNUMBER($DC339),$DC339+ROW($B339)/1000,""))</f>
        <v/>
      </c>
      <c r="DH339" s="108" t="str">
        <f aca="false">IF(ISNUMBER($DG339),RANK($DG339,$DG$9:$DG$508,1),"")</f>
        <v/>
      </c>
      <c r="DI339" s="108" t="str">
        <f aca="false">IF(ISBLANK($C339),"",$B339)</f>
        <v/>
      </c>
      <c r="DJ339" s="108" t="str">
        <f aca="false">IF(ISBLANK($C339),"",$C339)</f>
        <v/>
      </c>
      <c r="DK339" s="108" t="str">
        <f aca="false">IF(ISBLANK($C339),"",$D339)</f>
        <v/>
      </c>
      <c r="DL339" s="109" t="str">
        <f aca="false">$CZ339</f>
        <v/>
      </c>
      <c r="DM339" s="110" t="str">
        <f aca="false">$CY339</f>
        <v/>
      </c>
      <c r="DN339" s="108" t="str">
        <f aca="false">IF(ISBLANK($C339),"",$DB339)</f>
        <v/>
      </c>
      <c r="DO339" s="111" t="str">
        <f aca="false">IF($DF339&gt;$DE$8,"",VLOOKUP($DF339,$DH$9:$DN$508,7,FALSE()))</f>
        <v/>
      </c>
      <c r="DP339" s="112" t="str">
        <f aca="false">IF($DF339&gt;$DE$8,"",VLOOKUP($DF339,$DH$9:$DN$508,2,FALSE()))</f>
        <v/>
      </c>
      <c r="DQ339" s="112" t="str">
        <f aca="false">IF($DF339&gt;$DE$8,"",VLOOKUP($DF339,$DH$9:$DN$508,3,FALSE()))</f>
        <v/>
      </c>
      <c r="DR339" s="112" t="str">
        <f aca="false">IF($DF339&gt;$DE$8,"",VLOOKUP($DF339,$DH$9:$DN$508,4,FALSE()))</f>
        <v/>
      </c>
      <c r="DS339" s="112" t="str">
        <f aca="false">IF($DF339&gt;$DE$8,"",VLOOKUP($DF339,$DH$9:$DN$508,5,FALSE()))</f>
        <v/>
      </c>
      <c r="DT339" s="113" t="str">
        <f aca="false">IF($DF339&gt;$DE$8,"",VLOOKUP($DF339,$DH$9:$DN$508,6,FALSE()))</f>
        <v/>
      </c>
      <c r="DU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IF(ISBLANK($C340),"",IF(E340=Constants!$B$3,TRUE(),IF(E340=Constants!$B$4,FALSE(),TRUE())))</f>
        <v/>
      </c>
      <c r="AG340" s="93" t="str">
        <f aca="false">IF(ISBLANK($C340),"",IF(F340=Constants!$B$3,TRUE(),IF(F340=Constants!$B$4,FALSE(),TRUE())))</f>
        <v/>
      </c>
      <c r="AH340" s="93" t="str">
        <f aca="false">IF(ISBLANK($C340),"",IF(G340=Constants!$B$3,TRUE(),IF(G340=Constants!$B$4,FALSE(),TRUE())))</f>
        <v/>
      </c>
      <c r="AI340" s="93" t="str">
        <f aca="false">IF(ISBLANK($C340),"",IF(AND(ISNUMBER(H340),H340&gt;=0),H340,Constants!$B$29))</f>
        <v/>
      </c>
      <c r="AJ340" s="93" t="str">
        <f aca="false">IF(ISBLANK($C340),"",IF(I340=Constants!$B$3,TRUE(),IF(I340=Constants!$B$4,FALSE(),TRUE())))</f>
        <v/>
      </c>
      <c r="AK340" s="93" t="str">
        <f aca="false">IF(ISBLANK($C340),"",IF(J340=Constants!$B$3,TRUE(),IF(J340=Constants!$B$4,FALSE(),TRUE())))</f>
        <v/>
      </c>
      <c r="AL340" s="93" t="str">
        <f aca="false">IF(ISBLANK($C340),"",IF(K340=Constants!$B$5,TRUE(),IF(K340=Constants!$B$6,FALSE(),COUNTA(L340:P340)&gt;0)))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IF(ISBLANK($C340),"",IF(N340=Constants!$B$3,TRUE(),IF(N340=Constants!$B$4,FALSE(),TRUE())))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IF(ISBLANK($C340),"",IF(P340=Constants!$B$3,TRUE(),IF(P340=Constants!$B$4,FALSE(),FALSE())))</f>
        <v/>
      </c>
      <c r="AR340" s="93" t="str">
        <f aca="false">IF(ISBLANK($C340),"",IF(Q340=Constants!$B$3,TRUE(),IF(Q340=Constants!$B$4,FALSE(),TRUE())))</f>
        <v/>
      </c>
      <c r="AS340" s="93" t="str">
        <f aca="false">IF(ISBLANK($C340),"",IF(R340=Constants!$B$3,TRUE(),IF(R340=Constants!$B$4,FALSE(),TRUE())))</f>
        <v/>
      </c>
      <c r="AT340" s="93" t="str">
        <f aca="false">IF(ISBLANK($C340),"",IF(S340=Constants!$B$5,TRUE(),IF(S340=Constants!$B$6,FALSE(),COUNTA(T340:X340)&gt;0)))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IF(ISBLANK($C340),"",IF(V340=Constants!$B$3,TRUE(),IF(V340=Constants!$B$4,FALSE(),TRUE())))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IF(ISBLANK($C340),"",IF(X340=Constants!$B$3,TRUE(),IF(X340=Constants!$B$4,FALSE(),FALSE())))</f>
        <v/>
      </c>
      <c r="AZ340" s="93" t="str">
        <f aca="false">IF(ISBLANK($C340),"",MIN(Constants!$B$31,MAX(0,IF(ISNUMBER(Y340),Y340*60,0)+IF(ISNUMBER(Z340),Z340,0))))</f>
        <v/>
      </c>
      <c r="BA340" s="93" t="str">
        <f aca="false">IF(ISBLANK($C340),"",IF(AA340=Constants!$B$3,TRUE(),IF(AA340=Constants!$B$4,FALSE(),FALSE())))</f>
        <v/>
      </c>
      <c r="BB340" s="92" t="str">
        <f aca="false">IF(ISBLANK($C340),"",AND($AL340,OR($AM340="",$AN340="",AND($AO340,$AP340=""))))</f>
        <v/>
      </c>
      <c r="BC340" s="94" t="str">
        <f aca="false">IF($BZ340&lt;&gt;Constants!$B$8,"",IF($AL340,Constants!$B$21*$AN340+Constants!$B$22*IF($AO340,$AP340,Constants!$B$23),Constants!$B$24))</f>
        <v/>
      </c>
      <c r="BD340" s="97" t="str">
        <f aca="false">IF($BZ340&lt;&gt;Constants!$B$8,"",Constants!$B$25*ABS($AD$9-IF($AL340,$AM340,0)))</f>
        <v/>
      </c>
      <c r="BE340" s="97" t="str">
        <f aca="false">IF($BZ340&lt;&gt;Constants!$B$8,"",IF(AND($AL340,$AQ340,$AO340),Constants!$B$27,0))</f>
        <v/>
      </c>
      <c r="BF340" s="97" t="str">
        <f aca="false">IF($BZ340&lt;&gt;Constants!$B$8,"",IF($AL340,($AI340-Constants!$B$29)*Constants!$B$28,0))</f>
        <v/>
      </c>
      <c r="BG340" s="97" t="str">
        <f aca="false">IF($BZ340&lt;&gt;Constants!$B$8,"",IF($AK340,0,Constants!$B$15)+IF($AJ340,0,Constants!$B$16)+IF($AH340,0,Constants!$B$17))</f>
        <v/>
      </c>
      <c r="BH340" s="98" t="str">
        <f aca="false">IF($BZ340&lt;&gt;Constants!$B$8,"",Constants!$B$20+SUM($BC340:$BG340))</f>
        <v/>
      </c>
      <c r="BI340" s="97" t="str">
        <f aca="false">IF($BZ340&lt;&gt;Constants!$B$8,"",$BC340)</f>
        <v/>
      </c>
      <c r="BJ340" s="97" t="str">
        <f aca="false">IF($BZ340&lt;&gt;Constants!$B$8,"",$BD340)</f>
        <v/>
      </c>
      <c r="BK340" s="97" t="str">
        <f aca="false">IF($BZ340&lt;&gt;Constants!$B$8,"",IF($AL340,$AN340,""))</f>
        <v/>
      </c>
      <c r="BL340" s="99" t="str">
        <f aca="false">IF($BZ340&lt;&gt;Constants!$B$8,"",$AI340)</f>
        <v/>
      </c>
      <c r="BM340" s="93" t="str">
        <f aca="false">IF($BZ340&lt;&gt;Constants!$B$8,"",IF(OR($BT340&lt;$BH340,AND($BT340=$BH340,OR($BU340&lt;$BI340,AND($BU340=$BI340,OR($BV340&lt;$BJ340,AND($BV340=$BJ340,OR(AND(ISNUMBER($BW340),OR(NOT(ISNUMBER($BK340)),$BW340&lt;$BK340)),AND(OR(AND($BW340="",$BK340=""),AND(ISNUMBER($BW340),ISNUMBER($BK340),$BW340=$BK340)),$BX340&lt;$BL340)))))))),"-&gt;","&lt;-"))</f>
        <v/>
      </c>
      <c r="BN340" s="92" t="str">
        <f aca="false">IF(ISBLANK($C340),"",AND($AT340,OR($AU340="",$AV340="",AND($AW340,$AX340=""))))</f>
        <v/>
      </c>
      <c r="BO340" s="94" t="str">
        <f aca="false">IF($BZ340&lt;&gt;Constants!$B$8,"",IF($AT340,Constants!$B$21*$AV340+Constants!$B$22*IF($AW340,$AX340,Constants!$B$23),Constants!$B$24))</f>
        <v/>
      </c>
      <c r="BP340" s="97" t="str">
        <f aca="false">IF($BZ340&lt;&gt;Constants!$B$8,"",Constants!$B$25*ABS($AD$9-IF($AT340,$AU340,0)))</f>
        <v/>
      </c>
      <c r="BQ340" s="97" t="str">
        <f aca="false">IF($BZ340&lt;&gt;Constants!$B$8,"",IF(AND($AT340,$AY340,$AW340),Constants!$B$27,0))</f>
        <v/>
      </c>
      <c r="BR340" s="97" t="str">
        <f aca="false">IF($BZ340&lt;&gt;Constants!$B$8,"",IF($AT340,($AI340-Constants!$B$29)*Constants!$B$28,0))</f>
        <v/>
      </c>
      <c r="BS340" s="97" t="str">
        <f aca="false">IF($BZ340&lt;&gt;Constants!$B$8,"",IF($AS340,0,Constants!$B$15)+IF($AR340,0,Constants!$B$16)+IF($AH340,0,Constants!$B$17))</f>
        <v/>
      </c>
      <c r="BT340" s="98" t="str">
        <f aca="false">IF($BZ340&lt;&gt;Constants!$B$8,"",Constants!$B$20+SUM($BO340:$BS340))</f>
        <v/>
      </c>
      <c r="BU340" s="97" t="str">
        <f aca="false">IF($BZ340&lt;&gt;Constants!$B$8,"",$BO340)</f>
        <v/>
      </c>
      <c r="BV340" s="97" t="str">
        <f aca="false">IF($BZ340&lt;&gt;Constants!$B$8,"",$BP340)</f>
        <v/>
      </c>
      <c r="BW340" s="97" t="str">
        <f aca="false">IF($BZ340&lt;&gt;Constants!$B$8,"",IF($AT340,$AV340,""))</f>
        <v/>
      </c>
      <c r="BX340" s="99" t="str">
        <f aca="false">IF($BZ340&lt;&gt;Constants!$B$8,"",$AI340)</f>
        <v/>
      </c>
      <c r="BY340" s="93" t="str">
        <f aca="false">IF(ISBLANK($C340),"",IF(ISBLANK($D$7),$BY$5,IF(NOT(ISNUMBER($D$7)),$BY$6,"")))</f>
        <v/>
      </c>
      <c r="BZ340" s="93" t="str">
        <f aca="false">IF(ISBLANK($C340),"",IF($BA340,Constants!$B$11,IF(COUNTA($E340:$AA340)=0,Constants!$B$10,IF(NOT($AG340),Constants!$B$9,IF(OR($BY340&lt;&gt;"",$BB340,$BN340),Constants!$B$12,Constants!$B$8)))))</f>
        <v/>
      </c>
      <c r="CA340" s="93" t="str">
        <f aca="false">IF(ISBLANK($C340),"",IF($BZ340&lt;&gt;Constants!$B$8,$BZ340,Constants!$B$13))</f>
        <v/>
      </c>
      <c r="CB340" s="97" t="str">
        <f aca="false">IF($BZ340&lt;&gt;Constants!$B$8,"",IF($BM340="-&gt;",$BT340,$BH340))</f>
        <v/>
      </c>
      <c r="CC340" s="97" t="str">
        <f aca="false">IF($BZ340&lt;&gt;Constants!$B$8,"",IF($AF340,0,Constants!$B$18))</f>
        <v/>
      </c>
      <c r="CD340" s="97" t="str">
        <f aca="false">IF($BZ340&lt;&gt;Constants!$B$8,"",((Constants!$B$31-$AZ340)-Constants!$B$31)/Constants!$B$32)</f>
        <v/>
      </c>
      <c r="CE340" s="97" t="str">
        <f aca="false">IF(ISBLANK($C340),"",IF($BZ340&lt;&gt;Constants!$B$8,$BZ340,SUM($CB340:$CD340)))</f>
        <v/>
      </c>
      <c r="CF340" s="93" t="str">
        <f aca="false">IF(ISBLANK($C340),"",IF($BZ340&lt;&gt;Constants!$B$8,$BZ340,RANK($CE340,$CE$9:$CE$508,1)))</f>
        <v/>
      </c>
      <c r="CG340" s="97" t="str">
        <f aca="false">IF($BZ340&lt;&gt;Constants!$B$8,"",IF($BM340="-&gt;",$BU340,$BI340))</f>
        <v/>
      </c>
      <c r="CH340" s="93" t="str">
        <f aca="false">IF(ISBLANK($C340),"",IF($BZ340&lt;&gt;Constants!$B$8,$BZ340,IF(ISNUMBER($CG340),RANK($CG340,$CG$9:$CG$508,1),COUNT($CG$9:$CG$508)+1)))</f>
        <v/>
      </c>
      <c r="CI340" s="97" t="str">
        <f aca="false">IF($BZ340&lt;&gt;Constants!$B$8,"",IF($BM340="-&gt;",$BV340,$BJ340))</f>
        <v/>
      </c>
      <c r="CJ340" s="93" t="str">
        <f aca="false">IF(ISBLANK($C340),"",IF($BZ340&lt;&gt;Constants!$B$8,$BZ340,IF(ISNUMBER($CI340),RANK($CI340,$CI$9:$CI$508,1),COUNT($CI$9:$CI$508)+1)))</f>
        <v/>
      </c>
      <c r="CK340" s="97" t="str">
        <f aca="false">IF($BZ340&lt;&gt;Constants!$B$8,"",IF($BM340="-&gt;",$BW340,$BK340))</f>
        <v/>
      </c>
      <c r="CL340" s="93" t="str">
        <f aca="false">IF(ISBLANK($C340),"",IF($BZ340&lt;&gt;Constants!$B$8,$BZ340,IF(ISNUMBER($CK340),RANK($CK340,$CK$9:$CK$508,1),COUNT($CK$9:$CK$508)+1)))</f>
        <v/>
      </c>
      <c r="CM340" s="97" t="str">
        <f aca="false">IF($BZ340&lt;&gt;Constants!$B$8,"",IF(AND(NOT($AL340),NOT($AT340),$AJ340,$AK340,$AR340,$AS340),"",IF($BM340="-&gt;",$BX340,$BL340)))</f>
        <v/>
      </c>
      <c r="CN340" s="93" t="str">
        <f aca="false">IF(ISBLANK($C340),"",IF($BZ340&lt;&gt;Constants!$B$8,$BZ340,IF(ISNUMBER($CM340),RANK($CM340,$CM$9:$CM$508,1),COUNT($CM$9:$CM$508)+1)))</f>
        <v/>
      </c>
      <c r="CO340" s="93" t="str">
        <f aca="false">IF(ISBLANK($C340),"",IF($BZ340&lt;&gt;Constants!$B$8,$BZ340,COUNTIFS($CF$9:$CF$508,"&lt;"&amp;$CF340)+COUNTIFS($CF$9:$CF$508,$CF340,$CH$9:$CH$508,"&lt;"&amp;$CH340)+COUNTIFS($CF$9:$CF$508,$CF340,$CH$9:$CH$508,$CH340,$CJ$9:$CJ$508,"&lt;"&amp;$CJ340)+COUNTIFS($CF$9:$CF$508,$CF340,$CH$9:$CH$508,$CH340,$CJ$9:$CJ$508,$CJ340,$CL$9:$CL$508,"&lt;"&amp;$CL340)+COUNTIFS($CF$9:$CF$508,$CF340,$CH$9:$CH$508,$CH340,$CJ$9:$CJ$508,$CJ340,$CL$9:$CL$508,$CL340,$CN$9:$CN$508,"&lt;"&amp;$CN340)+1))</f>
        <v/>
      </c>
      <c r="CP340" s="93" t="str">
        <f aca="false">IF(ISBLANK($C340),"",IF($BZ340&lt;&gt;Constants!$B$8,$BZ340,$CF340-$CO340))</f>
        <v/>
      </c>
      <c r="CQ340" s="100"/>
      <c r="CR340" s="101"/>
      <c r="CS340" s="102" t="str">
        <f aca="false">IF(ISBLANK($C340),"",IF($BZ340=Constants!$B$12,$BY340,""))</f>
        <v/>
      </c>
      <c r="CT340" s="101" t="str">
        <f aca="false">IF(ISBLANK($C340),"",IF($BZ340&lt;&gt;Constants!$B$8,"",IF($BM340="-&gt;",2,1)))</f>
        <v/>
      </c>
      <c r="CU340" s="103" t="str">
        <f aca="false">IF(ISBLANK($C340),"",IF($BZ340&lt;&gt;Constants!$B$8,"",IF($BM340="-&gt;",$BO340,$BC340)))</f>
        <v/>
      </c>
      <c r="CV340" s="103" t="str">
        <f aca="false">IF(ISBLANK($C340),"",IF($BZ340&lt;&gt;Constants!$B$8,"",IF($BM340="-&gt;",$BP340,$BD340)))</f>
        <v/>
      </c>
      <c r="CW340" s="103" t="str">
        <f aca="false">IF(ISBLANK($C340),"",IF($BZ340&lt;&gt;Constants!$B$8,"",IF($BM340="-&gt;",$BQ340+$BR340,$BE340+$BF340)+$CD340))</f>
        <v/>
      </c>
      <c r="CX340" s="103" t="str">
        <f aca="false">IF(ISBLANK($C340),"",IF($BZ340&lt;&gt;Constants!$B$8,"",IF($BM340="-&gt;",$BS340,$BG340)+$CC340))</f>
        <v/>
      </c>
      <c r="CY340" s="104" t="str">
        <f aca="false">IF(ISBLANK($C340),"",IF($BZ340&lt;&gt;Constants!$B$8,$BZ340,$CE340))</f>
        <v/>
      </c>
      <c r="CZ340" s="105" t="str">
        <f aca="false">IF(ISBLANK($C340),"",$CA340)</f>
        <v/>
      </c>
      <c r="DA340" s="106" t="str">
        <f aca="false">IF(ISBLANK($C340),"",$CP340)</f>
        <v/>
      </c>
      <c r="DB340" s="106" t="str">
        <f aca="false">IF(ISBLANK($C340),"",$CO340)</f>
        <v/>
      </c>
      <c r="DC340" s="107" t="str">
        <f aca="false">IF(ISBLANK($C340),"",IFERROR(_xlfn.SWITCH($DB340,Constants!$B$11,COUNTA($C$9:$C$508)+2,Constants!$B$10,COUNTA($C$9:$C$508)+1,Constants!$B$9,COUNTA($C$9:$C$508)),$DB340))</f>
        <v/>
      </c>
      <c r="DD340" s="9"/>
      <c r="DE340" s="108" t="n">
        <f aca="false">IF(OR(ISNUMBER($DB340),$DB340=Constants!$B$11,$DB340=Constants!$B$9,$DB340=Constants!$B$10),1,0)</f>
        <v>0</v>
      </c>
      <c r="DF340" s="108" t="n">
        <v>332</v>
      </c>
      <c r="DG340" s="108" t="str">
        <f aca="false">IF(ISBLANK($C340),"",IF(ISNUMBER($DC340),$DC340+ROW($B340)/1000,""))</f>
        <v/>
      </c>
      <c r="DH340" s="108" t="str">
        <f aca="false">IF(ISNUMBER($DG340),RANK($DG340,$DG$9:$DG$508,1),"")</f>
        <v/>
      </c>
      <c r="DI340" s="108" t="str">
        <f aca="false">IF(ISBLANK($C340),"",$B340)</f>
        <v/>
      </c>
      <c r="DJ340" s="108" t="str">
        <f aca="false">IF(ISBLANK($C340),"",$C340)</f>
        <v/>
      </c>
      <c r="DK340" s="108" t="str">
        <f aca="false">IF(ISBLANK($C340),"",$D340)</f>
        <v/>
      </c>
      <c r="DL340" s="109" t="str">
        <f aca="false">$CZ340</f>
        <v/>
      </c>
      <c r="DM340" s="110" t="str">
        <f aca="false">$CY340</f>
        <v/>
      </c>
      <c r="DN340" s="108" t="str">
        <f aca="false">IF(ISBLANK($C340),"",$DB340)</f>
        <v/>
      </c>
      <c r="DO340" s="111" t="str">
        <f aca="false">IF($DF340&gt;$DE$8,"",VLOOKUP($DF340,$DH$9:$DN$508,7,FALSE()))</f>
        <v/>
      </c>
      <c r="DP340" s="112" t="str">
        <f aca="false">IF($DF340&gt;$DE$8,"",VLOOKUP($DF340,$DH$9:$DN$508,2,FALSE()))</f>
        <v/>
      </c>
      <c r="DQ340" s="112" t="str">
        <f aca="false">IF($DF340&gt;$DE$8,"",VLOOKUP($DF340,$DH$9:$DN$508,3,FALSE()))</f>
        <v/>
      </c>
      <c r="DR340" s="112" t="str">
        <f aca="false">IF($DF340&gt;$DE$8,"",VLOOKUP($DF340,$DH$9:$DN$508,4,FALSE()))</f>
        <v/>
      </c>
      <c r="DS340" s="112" t="str">
        <f aca="false">IF($DF340&gt;$DE$8,"",VLOOKUP($DF340,$DH$9:$DN$508,5,FALSE()))</f>
        <v/>
      </c>
      <c r="DT340" s="113" t="str">
        <f aca="false">IF($DF340&gt;$DE$8,"",VLOOKUP($DF340,$DH$9:$DN$508,6,FALSE()))</f>
        <v/>
      </c>
      <c r="DU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IF(ISBLANK($C341),"",IF(E341=Constants!$B$3,TRUE(),IF(E341=Constants!$B$4,FALSE(),TRUE())))</f>
        <v/>
      </c>
      <c r="AG341" s="93" t="str">
        <f aca="false">IF(ISBLANK($C341),"",IF(F341=Constants!$B$3,TRUE(),IF(F341=Constants!$B$4,FALSE(),TRUE())))</f>
        <v/>
      </c>
      <c r="AH341" s="93" t="str">
        <f aca="false">IF(ISBLANK($C341),"",IF(G341=Constants!$B$3,TRUE(),IF(G341=Constants!$B$4,FALSE(),TRUE())))</f>
        <v/>
      </c>
      <c r="AI341" s="93" t="str">
        <f aca="false">IF(ISBLANK($C341),"",IF(AND(ISNUMBER(H341),H341&gt;=0),H341,Constants!$B$29))</f>
        <v/>
      </c>
      <c r="AJ341" s="93" t="str">
        <f aca="false">IF(ISBLANK($C341),"",IF(I341=Constants!$B$3,TRUE(),IF(I341=Constants!$B$4,FALSE(),TRUE())))</f>
        <v/>
      </c>
      <c r="AK341" s="93" t="str">
        <f aca="false">IF(ISBLANK($C341),"",IF(J341=Constants!$B$3,TRUE(),IF(J341=Constants!$B$4,FALSE(),TRUE())))</f>
        <v/>
      </c>
      <c r="AL341" s="93" t="str">
        <f aca="false">IF(ISBLANK($C341),"",IF(K341=Constants!$B$5,TRUE(),IF(K341=Constants!$B$6,FALSE(),COUNTA(L341:P341)&gt;0)))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IF(ISBLANK($C341),"",IF(N341=Constants!$B$3,TRUE(),IF(N341=Constants!$B$4,FALSE(),TRUE())))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IF(ISBLANK($C341),"",IF(P341=Constants!$B$3,TRUE(),IF(P341=Constants!$B$4,FALSE(),FALSE())))</f>
        <v/>
      </c>
      <c r="AR341" s="93" t="str">
        <f aca="false">IF(ISBLANK($C341),"",IF(Q341=Constants!$B$3,TRUE(),IF(Q341=Constants!$B$4,FALSE(),TRUE())))</f>
        <v/>
      </c>
      <c r="AS341" s="93" t="str">
        <f aca="false">IF(ISBLANK($C341),"",IF(R341=Constants!$B$3,TRUE(),IF(R341=Constants!$B$4,FALSE(),TRUE())))</f>
        <v/>
      </c>
      <c r="AT341" s="93" t="str">
        <f aca="false">IF(ISBLANK($C341),"",IF(S341=Constants!$B$5,TRUE(),IF(S341=Constants!$B$6,FALSE(),COUNTA(T341:X341)&gt;0)))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IF(ISBLANK($C341),"",IF(V341=Constants!$B$3,TRUE(),IF(V341=Constants!$B$4,FALSE(),TRUE())))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IF(ISBLANK($C341),"",IF(X341=Constants!$B$3,TRUE(),IF(X341=Constants!$B$4,FALSE(),FALSE())))</f>
        <v/>
      </c>
      <c r="AZ341" s="93" t="str">
        <f aca="false">IF(ISBLANK($C341),"",MIN(Constants!$B$31,MAX(0,IF(ISNUMBER(Y341),Y341*60,0)+IF(ISNUMBER(Z341),Z341,0))))</f>
        <v/>
      </c>
      <c r="BA341" s="93" t="str">
        <f aca="false">IF(ISBLANK($C341),"",IF(AA341=Constants!$B$3,TRUE(),IF(AA341=Constants!$B$4,FALSE(),FALSE())))</f>
        <v/>
      </c>
      <c r="BB341" s="92" t="str">
        <f aca="false">IF(ISBLANK($C341),"",AND($AL341,OR($AM341="",$AN341="",AND($AO341,$AP341=""))))</f>
        <v/>
      </c>
      <c r="BC341" s="94" t="str">
        <f aca="false">IF($BZ341&lt;&gt;Constants!$B$8,"",IF($AL341,Constants!$B$21*$AN341+Constants!$B$22*IF($AO341,$AP341,Constants!$B$23),Constants!$B$24))</f>
        <v/>
      </c>
      <c r="BD341" s="97" t="str">
        <f aca="false">IF($BZ341&lt;&gt;Constants!$B$8,"",Constants!$B$25*ABS($AD$9-IF($AL341,$AM341,0)))</f>
        <v/>
      </c>
      <c r="BE341" s="97" t="str">
        <f aca="false">IF($BZ341&lt;&gt;Constants!$B$8,"",IF(AND($AL341,$AQ341,$AO341),Constants!$B$27,0))</f>
        <v/>
      </c>
      <c r="BF341" s="97" t="str">
        <f aca="false">IF($BZ341&lt;&gt;Constants!$B$8,"",IF($AL341,($AI341-Constants!$B$29)*Constants!$B$28,0))</f>
        <v/>
      </c>
      <c r="BG341" s="97" t="str">
        <f aca="false">IF($BZ341&lt;&gt;Constants!$B$8,"",IF($AK341,0,Constants!$B$15)+IF($AJ341,0,Constants!$B$16)+IF($AH341,0,Constants!$B$17))</f>
        <v/>
      </c>
      <c r="BH341" s="98" t="str">
        <f aca="false">IF($BZ341&lt;&gt;Constants!$B$8,"",Constants!$B$20+SUM($BC341:$BG341))</f>
        <v/>
      </c>
      <c r="BI341" s="97" t="str">
        <f aca="false">IF($BZ341&lt;&gt;Constants!$B$8,"",$BC341)</f>
        <v/>
      </c>
      <c r="BJ341" s="97" t="str">
        <f aca="false">IF($BZ341&lt;&gt;Constants!$B$8,"",$BD341)</f>
        <v/>
      </c>
      <c r="BK341" s="97" t="str">
        <f aca="false">IF($BZ341&lt;&gt;Constants!$B$8,"",IF($AL341,$AN341,""))</f>
        <v/>
      </c>
      <c r="BL341" s="99" t="str">
        <f aca="false">IF($BZ341&lt;&gt;Constants!$B$8,"",$AI341)</f>
        <v/>
      </c>
      <c r="BM341" s="93" t="str">
        <f aca="false">IF($BZ341&lt;&gt;Constants!$B$8,"",IF(OR($BT341&lt;$BH341,AND($BT341=$BH341,OR($BU341&lt;$BI341,AND($BU341=$BI341,OR($BV341&lt;$BJ341,AND($BV341=$BJ341,OR(AND(ISNUMBER($BW341),OR(NOT(ISNUMBER($BK341)),$BW341&lt;$BK341)),AND(OR(AND($BW341="",$BK341=""),AND(ISNUMBER($BW341),ISNUMBER($BK341),$BW341=$BK341)),$BX341&lt;$BL341)))))))),"-&gt;","&lt;-"))</f>
        <v/>
      </c>
      <c r="BN341" s="92" t="str">
        <f aca="false">IF(ISBLANK($C341),"",AND($AT341,OR($AU341="",$AV341="",AND($AW341,$AX341=""))))</f>
        <v/>
      </c>
      <c r="BO341" s="94" t="str">
        <f aca="false">IF($BZ341&lt;&gt;Constants!$B$8,"",IF($AT341,Constants!$B$21*$AV341+Constants!$B$22*IF($AW341,$AX341,Constants!$B$23),Constants!$B$24))</f>
        <v/>
      </c>
      <c r="BP341" s="97" t="str">
        <f aca="false">IF($BZ341&lt;&gt;Constants!$B$8,"",Constants!$B$25*ABS($AD$9-IF($AT341,$AU341,0)))</f>
        <v/>
      </c>
      <c r="BQ341" s="97" t="str">
        <f aca="false">IF($BZ341&lt;&gt;Constants!$B$8,"",IF(AND($AT341,$AY341,$AW341),Constants!$B$27,0))</f>
        <v/>
      </c>
      <c r="BR341" s="97" t="str">
        <f aca="false">IF($BZ341&lt;&gt;Constants!$B$8,"",IF($AT341,($AI341-Constants!$B$29)*Constants!$B$28,0))</f>
        <v/>
      </c>
      <c r="BS341" s="97" t="str">
        <f aca="false">IF($BZ341&lt;&gt;Constants!$B$8,"",IF($AS341,0,Constants!$B$15)+IF($AR341,0,Constants!$B$16)+IF($AH341,0,Constants!$B$17))</f>
        <v/>
      </c>
      <c r="BT341" s="98" t="str">
        <f aca="false">IF($BZ341&lt;&gt;Constants!$B$8,"",Constants!$B$20+SUM($BO341:$BS341))</f>
        <v/>
      </c>
      <c r="BU341" s="97" t="str">
        <f aca="false">IF($BZ341&lt;&gt;Constants!$B$8,"",$BO341)</f>
        <v/>
      </c>
      <c r="BV341" s="97" t="str">
        <f aca="false">IF($BZ341&lt;&gt;Constants!$B$8,"",$BP341)</f>
        <v/>
      </c>
      <c r="BW341" s="97" t="str">
        <f aca="false">IF($BZ341&lt;&gt;Constants!$B$8,"",IF($AT341,$AV341,""))</f>
        <v/>
      </c>
      <c r="BX341" s="99" t="str">
        <f aca="false">IF($BZ341&lt;&gt;Constants!$B$8,"",$AI341)</f>
        <v/>
      </c>
      <c r="BY341" s="93" t="str">
        <f aca="false">IF(ISBLANK($C341),"",IF(ISBLANK($D$7),$BY$5,IF(NOT(ISNUMBER($D$7)),$BY$6,"")))</f>
        <v/>
      </c>
      <c r="BZ341" s="93" t="str">
        <f aca="false">IF(ISBLANK($C341),"",IF($BA341,Constants!$B$11,IF(COUNTA($E341:$AA341)=0,Constants!$B$10,IF(NOT($AG341),Constants!$B$9,IF(OR($BY341&lt;&gt;"",$BB341,$BN341),Constants!$B$12,Constants!$B$8)))))</f>
        <v/>
      </c>
      <c r="CA341" s="93" t="str">
        <f aca="false">IF(ISBLANK($C341),"",IF($BZ341&lt;&gt;Constants!$B$8,$BZ341,Constants!$B$13))</f>
        <v/>
      </c>
      <c r="CB341" s="97" t="str">
        <f aca="false">IF($BZ341&lt;&gt;Constants!$B$8,"",IF($BM341="-&gt;",$BT341,$BH341))</f>
        <v/>
      </c>
      <c r="CC341" s="97" t="str">
        <f aca="false">IF($BZ341&lt;&gt;Constants!$B$8,"",IF($AF341,0,Constants!$B$18))</f>
        <v/>
      </c>
      <c r="CD341" s="97" t="str">
        <f aca="false">IF($BZ341&lt;&gt;Constants!$B$8,"",((Constants!$B$31-$AZ341)-Constants!$B$31)/Constants!$B$32)</f>
        <v/>
      </c>
      <c r="CE341" s="97" t="str">
        <f aca="false">IF(ISBLANK($C341),"",IF($BZ341&lt;&gt;Constants!$B$8,$BZ341,SUM($CB341:$CD341)))</f>
        <v/>
      </c>
      <c r="CF341" s="93" t="str">
        <f aca="false">IF(ISBLANK($C341),"",IF($BZ341&lt;&gt;Constants!$B$8,$BZ341,RANK($CE341,$CE$9:$CE$508,1)))</f>
        <v/>
      </c>
      <c r="CG341" s="97" t="str">
        <f aca="false">IF($BZ341&lt;&gt;Constants!$B$8,"",IF($BM341="-&gt;",$BU341,$BI341))</f>
        <v/>
      </c>
      <c r="CH341" s="93" t="str">
        <f aca="false">IF(ISBLANK($C341),"",IF($BZ341&lt;&gt;Constants!$B$8,$BZ341,IF(ISNUMBER($CG341),RANK($CG341,$CG$9:$CG$508,1),COUNT($CG$9:$CG$508)+1)))</f>
        <v/>
      </c>
      <c r="CI341" s="97" t="str">
        <f aca="false">IF($BZ341&lt;&gt;Constants!$B$8,"",IF($BM341="-&gt;",$BV341,$BJ341))</f>
        <v/>
      </c>
      <c r="CJ341" s="93" t="str">
        <f aca="false">IF(ISBLANK($C341),"",IF($BZ341&lt;&gt;Constants!$B$8,$BZ341,IF(ISNUMBER($CI341),RANK($CI341,$CI$9:$CI$508,1),COUNT($CI$9:$CI$508)+1)))</f>
        <v/>
      </c>
      <c r="CK341" s="97" t="str">
        <f aca="false">IF($BZ341&lt;&gt;Constants!$B$8,"",IF($BM341="-&gt;",$BW341,$BK341))</f>
        <v/>
      </c>
      <c r="CL341" s="93" t="str">
        <f aca="false">IF(ISBLANK($C341),"",IF($BZ341&lt;&gt;Constants!$B$8,$BZ341,IF(ISNUMBER($CK341),RANK($CK341,$CK$9:$CK$508,1),COUNT($CK$9:$CK$508)+1)))</f>
        <v/>
      </c>
      <c r="CM341" s="97" t="str">
        <f aca="false">IF($BZ341&lt;&gt;Constants!$B$8,"",IF(AND(NOT($AL341),NOT($AT341),$AJ341,$AK341,$AR341,$AS341),"",IF($BM341="-&gt;",$BX341,$BL341)))</f>
        <v/>
      </c>
      <c r="CN341" s="93" t="str">
        <f aca="false">IF(ISBLANK($C341),"",IF($BZ341&lt;&gt;Constants!$B$8,$BZ341,IF(ISNUMBER($CM341),RANK($CM341,$CM$9:$CM$508,1),COUNT($CM$9:$CM$508)+1)))</f>
        <v/>
      </c>
      <c r="CO341" s="93" t="str">
        <f aca="false">IF(ISBLANK($C341),"",IF($BZ341&lt;&gt;Constants!$B$8,$BZ341,COUNTIFS($CF$9:$CF$508,"&lt;"&amp;$CF341)+COUNTIFS($CF$9:$CF$508,$CF341,$CH$9:$CH$508,"&lt;"&amp;$CH341)+COUNTIFS($CF$9:$CF$508,$CF341,$CH$9:$CH$508,$CH341,$CJ$9:$CJ$508,"&lt;"&amp;$CJ341)+COUNTIFS($CF$9:$CF$508,$CF341,$CH$9:$CH$508,$CH341,$CJ$9:$CJ$508,$CJ341,$CL$9:$CL$508,"&lt;"&amp;$CL341)+COUNTIFS($CF$9:$CF$508,$CF341,$CH$9:$CH$508,$CH341,$CJ$9:$CJ$508,$CJ341,$CL$9:$CL$508,$CL341,$CN$9:$CN$508,"&lt;"&amp;$CN341)+1))</f>
        <v/>
      </c>
      <c r="CP341" s="93" t="str">
        <f aca="false">IF(ISBLANK($C341),"",IF($BZ341&lt;&gt;Constants!$B$8,$BZ341,$CF341-$CO341))</f>
        <v/>
      </c>
      <c r="CQ341" s="100"/>
      <c r="CR341" s="101"/>
      <c r="CS341" s="102" t="str">
        <f aca="false">IF(ISBLANK($C341),"",IF($BZ341=Constants!$B$12,$BY341,""))</f>
        <v/>
      </c>
      <c r="CT341" s="101" t="str">
        <f aca="false">IF(ISBLANK($C341),"",IF($BZ341&lt;&gt;Constants!$B$8,"",IF($BM341="-&gt;",2,1)))</f>
        <v/>
      </c>
      <c r="CU341" s="103" t="str">
        <f aca="false">IF(ISBLANK($C341),"",IF($BZ341&lt;&gt;Constants!$B$8,"",IF($BM341="-&gt;",$BO341,$BC341)))</f>
        <v/>
      </c>
      <c r="CV341" s="103" t="str">
        <f aca="false">IF(ISBLANK($C341),"",IF($BZ341&lt;&gt;Constants!$B$8,"",IF($BM341="-&gt;",$BP341,$BD341)))</f>
        <v/>
      </c>
      <c r="CW341" s="103" t="str">
        <f aca="false">IF(ISBLANK($C341),"",IF($BZ341&lt;&gt;Constants!$B$8,"",IF($BM341="-&gt;",$BQ341+$BR341,$BE341+$BF341)+$CD341))</f>
        <v/>
      </c>
      <c r="CX341" s="103" t="str">
        <f aca="false">IF(ISBLANK($C341),"",IF($BZ341&lt;&gt;Constants!$B$8,"",IF($BM341="-&gt;",$BS341,$BG341)+$CC341))</f>
        <v/>
      </c>
      <c r="CY341" s="104" t="str">
        <f aca="false">IF(ISBLANK($C341),"",IF($BZ341&lt;&gt;Constants!$B$8,$BZ341,$CE341))</f>
        <v/>
      </c>
      <c r="CZ341" s="105" t="str">
        <f aca="false">IF(ISBLANK($C341),"",$CA341)</f>
        <v/>
      </c>
      <c r="DA341" s="106" t="str">
        <f aca="false">IF(ISBLANK($C341),"",$CP341)</f>
        <v/>
      </c>
      <c r="DB341" s="106" t="str">
        <f aca="false">IF(ISBLANK($C341),"",$CO341)</f>
        <v/>
      </c>
      <c r="DC341" s="107" t="str">
        <f aca="false">IF(ISBLANK($C341),"",IFERROR(_xlfn.SWITCH($DB341,Constants!$B$11,COUNTA($C$9:$C$508)+2,Constants!$B$10,COUNTA($C$9:$C$508)+1,Constants!$B$9,COUNTA($C$9:$C$508)),$DB341))</f>
        <v/>
      </c>
      <c r="DD341" s="9"/>
      <c r="DE341" s="108" t="n">
        <f aca="false">IF(OR(ISNUMBER($DB341),$DB341=Constants!$B$11,$DB341=Constants!$B$9,$DB341=Constants!$B$10),1,0)</f>
        <v>0</v>
      </c>
      <c r="DF341" s="108" t="n">
        <v>333</v>
      </c>
      <c r="DG341" s="108" t="str">
        <f aca="false">IF(ISBLANK($C341),"",IF(ISNUMBER($DC341),$DC341+ROW($B341)/1000,""))</f>
        <v/>
      </c>
      <c r="DH341" s="108" t="str">
        <f aca="false">IF(ISNUMBER($DG341),RANK($DG341,$DG$9:$DG$508,1),"")</f>
        <v/>
      </c>
      <c r="DI341" s="108" t="str">
        <f aca="false">IF(ISBLANK($C341),"",$B341)</f>
        <v/>
      </c>
      <c r="DJ341" s="108" t="str">
        <f aca="false">IF(ISBLANK($C341),"",$C341)</f>
        <v/>
      </c>
      <c r="DK341" s="108" t="str">
        <f aca="false">IF(ISBLANK($C341),"",$D341)</f>
        <v/>
      </c>
      <c r="DL341" s="109" t="str">
        <f aca="false">$CZ341</f>
        <v/>
      </c>
      <c r="DM341" s="110" t="str">
        <f aca="false">$CY341</f>
        <v/>
      </c>
      <c r="DN341" s="108" t="str">
        <f aca="false">IF(ISBLANK($C341),"",$DB341)</f>
        <v/>
      </c>
      <c r="DO341" s="111" t="str">
        <f aca="false">IF($DF341&gt;$DE$8,"",VLOOKUP($DF341,$DH$9:$DN$508,7,FALSE()))</f>
        <v/>
      </c>
      <c r="DP341" s="112" t="str">
        <f aca="false">IF($DF341&gt;$DE$8,"",VLOOKUP($DF341,$DH$9:$DN$508,2,FALSE()))</f>
        <v/>
      </c>
      <c r="DQ341" s="112" t="str">
        <f aca="false">IF($DF341&gt;$DE$8,"",VLOOKUP($DF341,$DH$9:$DN$508,3,FALSE()))</f>
        <v/>
      </c>
      <c r="DR341" s="112" t="str">
        <f aca="false">IF($DF341&gt;$DE$8,"",VLOOKUP($DF341,$DH$9:$DN$508,4,FALSE()))</f>
        <v/>
      </c>
      <c r="DS341" s="112" t="str">
        <f aca="false">IF($DF341&gt;$DE$8,"",VLOOKUP($DF341,$DH$9:$DN$508,5,FALSE()))</f>
        <v/>
      </c>
      <c r="DT341" s="113" t="str">
        <f aca="false">IF($DF341&gt;$DE$8,"",VLOOKUP($DF341,$DH$9:$DN$508,6,FALSE()))</f>
        <v/>
      </c>
      <c r="DU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IF(ISBLANK($C342),"",IF(E342=Constants!$B$3,TRUE(),IF(E342=Constants!$B$4,FALSE(),TRUE())))</f>
        <v/>
      </c>
      <c r="AG342" s="135" t="str">
        <f aca="false">IF(ISBLANK($C342),"",IF(F342=Constants!$B$3,TRUE(),IF(F342=Constants!$B$4,FALSE(),TRUE())))</f>
        <v/>
      </c>
      <c r="AH342" s="135" t="str">
        <f aca="false">IF(ISBLANK($C342),"",IF(G342=Constants!$B$3,TRUE(),IF(G342=Constants!$B$4,FALSE(),TRUE())))</f>
        <v/>
      </c>
      <c r="AI342" s="135" t="str">
        <f aca="false">IF(ISBLANK($C342),"",IF(AND(ISNUMBER(H342),H342&gt;=0),H342,Constants!$B$29))</f>
        <v/>
      </c>
      <c r="AJ342" s="135" t="str">
        <f aca="false">IF(ISBLANK($C342),"",IF(I342=Constants!$B$3,TRUE(),IF(I342=Constants!$B$4,FALSE(),TRUE())))</f>
        <v/>
      </c>
      <c r="AK342" s="135" t="str">
        <f aca="false">IF(ISBLANK($C342),"",IF(J342=Constants!$B$3,TRUE(),IF(J342=Constants!$B$4,FALSE(),TRUE())))</f>
        <v/>
      </c>
      <c r="AL342" s="135" t="str">
        <f aca="false">IF(ISBLANK($C342),"",IF(K342=Constants!$B$5,TRUE(),IF(K342=Constants!$B$6,FALSE(),COUNTA(L342:P342)&gt;0)))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IF(ISBLANK($C342),"",IF(N342=Constants!$B$3,TRUE(),IF(N342=Constants!$B$4,FALSE(),TRUE())))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IF(ISBLANK($C342),"",IF(P342=Constants!$B$3,TRUE(),IF(P342=Constants!$B$4,FALSE(),FALSE())))</f>
        <v/>
      </c>
      <c r="AR342" s="135" t="str">
        <f aca="false">IF(ISBLANK($C342),"",IF(Q342=Constants!$B$3,TRUE(),IF(Q342=Constants!$B$4,FALSE(),TRUE())))</f>
        <v/>
      </c>
      <c r="AS342" s="135" t="str">
        <f aca="false">IF(ISBLANK($C342),"",IF(R342=Constants!$B$3,TRUE(),IF(R342=Constants!$B$4,FALSE(),TRUE())))</f>
        <v/>
      </c>
      <c r="AT342" s="135" t="str">
        <f aca="false">IF(ISBLANK($C342),"",IF(S342=Constants!$B$5,TRUE(),IF(S342=Constants!$B$6,FALSE(),COUNTA(T342:X342)&gt;0)))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IF(ISBLANK($C342),"",IF(V342=Constants!$B$3,TRUE(),IF(V342=Constants!$B$4,FALSE(),TRUE())))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IF(ISBLANK($C342),"",IF(X342=Constants!$B$3,TRUE(),IF(X342=Constants!$B$4,FALSE(),FALSE())))</f>
        <v/>
      </c>
      <c r="AZ342" s="135" t="str">
        <f aca="false">IF(ISBLANK($C342),"",MIN(Constants!$B$31,MAX(0,IF(ISNUMBER(Y342),Y342*60,0)+IF(ISNUMBER(Z342),Z342,0))))</f>
        <v/>
      </c>
      <c r="BA342" s="135" t="str">
        <f aca="false">IF(ISBLANK($C342),"",IF(AA342=Constants!$B$3,TRUE(),IF(AA342=Constants!$B$4,FALSE(),FALSE())))</f>
        <v/>
      </c>
      <c r="BB342" s="134" t="str">
        <f aca="false">IF(ISBLANK($C342),"",AND($AL342,OR($AM342="",$AN342="",AND($AO342,$AP342=""))))</f>
        <v/>
      </c>
      <c r="BC342" s="137" t="str">
        <f aca="false">IF($BZ342&lt;&gt;Constants!$B$8,"",IF($AL342,Constants!$B$21*$AN342+Constants!$B$22*IF($AO342,$AP342,Constants!$B$23),Constants!$B$24))</f>
        <v/>
      </c>
      <c r="BD342" s="138" t="str">
        <f aca="false">IF($BZ342&lt;&gt;Constants!$B$8,"",Constants!$B$25*ABS($AD$9-IF($AL342,$AM342,0)))</f>
        <v/>
      </c>
      <c r="BE342" s="138" t="str">
        <f aca="false">IF($BZ342&lt;&gt;Constants!$B$8,"",IF(AND($AL342,$AQ342,$AO342),Constants!$B$27,0))</f>
        <v/>
      </c>
      <c r="BF342" s="138" t="str">
        <f aca="false">IF($BZ342&lt;&gt;Constants!$B$8,"",IF($AL342,($AI342-Constants!$B$29)*Constants!$B$28,0))</f>
        <v/>
      </c>
      <c r="BG342" s="138" t="str">
        <f aca="false">IF($BZ342&lt;&gt;Constants!$B$8,"",IF($AK342,0,Constants!$B$15)+IF($AJ342,0,Constants!$B$16)+IF($AH342,0,Constants!$B$17))</f>
        <v/>
      </c>
      <c r="BH342" s="139" t="str">
        <f aca="false">IF($BZ342&lt;&gt;Constants!$B$8,"",Constants!$B$20+SUM($BC342:$BG342))</f>
        <v/>
      </c>
      <c r="BI342" s="138" t="str">
        <f aca="false">IF($BZ342&lt;&gt;Constants!$B$8,"",$BC342)</f>
        <v/>
      </c>
      <c r="BJ342" s="138" t="str">
        <f aca="false">IF($BZ342&lt;&gt;Constants!$B$8,"",$BD342)</f>
        <v/>
      </c>
      <c r="BK342" s="138" t="str">
        <f aca="false">IF($BZ342&lt;&gt;Constants!$B$8,"",IF($AL342,$AN342,""))</f>
        <v/>
      </c>
      <c r="BL342" s="140" t="str">
        <f aca="false">IF($BZ342&lt;&gt;Constants!$B$8,"",$AI342)</f>
        <v/>
      </c>
      <c r="BM342" s="135" t="str">
        <f aca="false">IF($BZ342&lt;&gt;Constants!$B$8,"",IF(OR($BT342&lt;$BH342,AND($BT342=$BH342,OR($BU342&lt;$BI342,AND($BU342=$BI342,OR($BV342&lt;$BJ342,AND($BV342=$BJ342,OR(AND(ISNUMBER($BW342),OR(NOT(ISNUMBER($BK342)),$BW342&lt;$BK342)),AND(OR(AND($BW342="",$BK342=""),AND(ISNUMBER($BW342),ISNUMBER($BK342),$BW342=$BK342)),$BX342&lt;$BL342)))))))),"-&gt;","&lt;-"))</f>
        <v/>
      </c>
      <c r="BN342" s="134" t="str">
        <f aca="false">IF(ISBLANK($C342),"",AND($AT342,OR($AU342="",$AV342="",AND($AW342,$AX342=""))))</f>
        <v/>
      </c>
      <c r="BO342" s="137" t="str">
        <f aca="false">IF($BZ342&lt;&gt;Constants!$B$8,"",IF($AT342,Constants!$B$21*$AV342+Constants!$B$22*IF($AW342,$AX342,Constants!$B$23),Constants!$B$24))</f>
        <v/>
      </c>
      <c r="BP342" s="138" t="str">
        <f aca="false">IF($BZ342&lt;&gt;Constants!$B$8,"",Constants!$B$25*ABS($AD$9-IF($AT342,$AU342,0)))</f>
        <v/>
      </c>
      <c r="BQ342" s="138" t="str">
        <f aca="false">IF($BZ342&lt;&gt;Constants!$B$8,"",IF(AND($AT342,$AY342,$AW342),Constants!$B$27,0))</f>
        <v/>
      </c>
      <c r="BR342" s="138" t="str">
        <f aca="false">IF($BZ342&lt;&gt;Constants!$B$8,"",IF($AT342,($AI342-Constants!$B$29)*Constants!$B$28,0))</f>
        <v/>
      </c>
      <c r="BS342" s="138" t="str">
        <f aca="false">IF($BZ342&lt;&gt;Constants!$B$8,"",IF($AS342,0,Constants!$B$15)+IF($AR342,0,Constants!$B$16)+IF($AH342,0,Constants!$B$17))</f>
        <v/>
      </c>
      <c r="BT342" s="139" t="str">
        <f aca="false">IF($BZ342&lt;&gt;Constants!$B$8,"",Constants!$B$20+SUM($BO342:$BS342))</f>
        <v/>
      </c>
      <c r="BU342" s="138" t="str">
        <f aca="false">IF($BZ342&lt;&gt;Constants!$B$8,"",$BO342)</f>
        <v/>
      </c>
      <c r="BV342" s="138" t="str">
        <f aca="false">IF($BZ342&lt;&gt;Constants!$B$8,"",$BP342)</f>
        <v/>
      </c>
      <c r="BW342" s="138" t="str">
        <f aca="false">IF($BZ342&lt;&gt;Constants!$B$8,"",IF($AT342,$AV342,""))</f>
        <v/>
      </c>
      <c r="BX342" s="140" t="str">
        <f aca="false">IF($BZ342&lt;&gt;Constants!$B$8,"",$AI342)</f>
        <v/>
      </c>
      <c r="BY342" s="135" t="str">
        <f aca="false">IF(ISBLANK($C342),"",IF(ISBLANK($D$7),$BY$5,IF(NOT(ISNUMBER($D$7)),$BY$6,"")))</f>
        <v/>
      </c>
      <c r="BZ342" s="135" t="str">
        <f aca="false">IF(ISBLANK($C342),"",IF($BA342,Constants!$B$11,IF(COUNTA($E342:$AA342)=0,Constants!$B$10,IF(NOT($AG342),Constants!$B$9,IF(OR($BY342&lt;&gt;"",$BB342,$BN342),Constants!$B$12,Constants!$B$8)))))</f>
        <v/>
      </c>
      <c r="CA342" s="135" t="str">
        <f aca="false">IF(ISBLANK($C342),"",IF($BZ342&lt;&gt;Constants!$B$8,$BZ342,Constants!$B$13))</f>
        <v/>
      </c>
      <c r="CB342" s="138" t="str">
        <f aca="false">IF($BZ342&lt;&gt;Constants!$B$8,"",IF($BM342="-&gt;",$BT342,$BH342))</f>
        <v/>
      </c>
      <c r="CC342" s="138" t="str">
        <f aca="false">IF($BZ342&lt;&gt;Constants!$B$8,"",IF($AF342,0,Constants!$B$18))</f>
        <v/>
      </c>
      <c r="CD342" s="138" t="str">
        <f aca="false">IF($BZ342&lt;&gt;Constants!$B$8,"",((Constants!$B$31-$AZ342)-Constants!$B$31)/Constants!$B$32)</f>
        <v/>
      </c>
      <c r="CE342" s="138" t="str">
        <f aca="false">IF(ISBLANK($C342),"",IF($BZ342&lt;&gt;Constants!$B$8,$BZ342,SUM($CB342:$CD342)))</f>
        <v/>
      </c>
      <c r="CF342" s="135" t="str">
        <f aca="false">IF(ISBLANK($C342),"",IF($BZ342&lt;&gt;Constants!$B$8,$BZ342,RANK($CE342,$CE$9:$CE$508,1)))</f>
        <v/>
      </c>
      <c r="CG342" s="138" t="str">
        <f aca="false">IF($BZ342&lt;&gt;Constants!$B$8,"",IF($BM342="-&gt;",$BU342,$BI342))</f>
        <v/>
      </c>
      <c r="CH342" s="135" t="str">
        <f aca="false">IF(ISBLANK($C342),"",IF($BZ342&lt;&gt;Constants!$B$8,$BZ342,IF(ISNUMBER($CG342),RANK($CG342,$CG$9:$CG$508,1),COUNT($CG$9:$CG$508)+1)))</f>
        <v/>
      </c>
      <c r="CI342" s="138" t="str">
        <f aca="false">IF($BZ342&lt;&gt;Constants!$B$8,"",IF($BM342="-&gt;",$BV342,$BJ342))</f>
        <v/>
      </c>
      <c r="CJ342" s="135" t="str">
        <f aca="false">IF(ISBLANK($C342),"",IF($BZ342&lt;&gt;Constants!$B$8,$BZ342,IF(ISNUMBER($CI342),RANK($CI342,$CI$9:$CI$508,1),COUNT($CI$9:$CI$508)+1)))</f>
        <v/>
      </c>
      <c r="CK342" s="138" t="str">
        <f aca="false">IF($BZ342&lt;&gt;Constants!$B$8,"",IF($BM342="-&gt;",$BW342,$BK342))</f>
        <v/>
      </c>
      <c r="CL342" s="135" t="str">
        <f aca="false">IF(ISBLANK($C342),"",IF($BZ342&lt;&gt;Constants!$B$8,$BZ342,IF(ISNUMBER($CK342),RANK($CK342,$CK$9:$CK$508,1),COUNT($CK$9:$CK$508)+1)))</f>
        <v/>
      </c>
      <c r="CM342" s="138" t="str">
        <f aca="false">IF($BZ342&lt;&gt;Constants!$B$8,"",IF(AND(NOT($AL342),NOT($AT342),$AJ342,$AK342,$AR342,$AS342),"",IF($BM342="-&gt;",$BX342,$BL342)))</f>
        <v/>
      </c>
      <c r="CN342" s="135" t="str">
        <f aca="false">IF(ISBLANK($C342),"",IF($BZ342&lt;&gt;Constants!$B$8,$BZ342,IF(ISNUMBER($CM342),RANK($CM342,$CM$9:$CM$508,1),COUNT($CM$9:$CM$508)+1)))</f>
        <v/>
      </c>
      <c r="CO342" s="135" t="str">
        <f aca="false">IF(ISBLANK($C342),"",IF($BZ342&lt;&gt;Constants!$B$8,$BZ342,COUNTIFS($CF$9:$CF$508,"&lt;"&amp;$CF342)+COUNTIFS($CF$9:$CF$508,$CF342,$CH$9:$CH$508,"&lt;"&amp;$CH342)+COUNTIFS($CF$9:$CF$508,$CF342,$CH$9:$CH$508,$CH342,$CJ$9:$CJ$508,"&lt;"&amp;$CJ342)+COUNTIFS($CF$9:$CF$508,$CF342,$CH$9:$CH$508,$CH342,$CJ$9:$CJ$508,$CJ342,$CL$9:$CL$508,"&lt;"&amp;$CL342)+COUNTIFS($CF$9:$CF$508,$CF342,$CH$9:$CH$508,$CH342,$CJ$9:$CJ$508,$CJ342,$CL$9:$CL$508,$CL342,$CN$9:$CN$508,"&lt;"&amp;$CN342)+1))</f>
        <v/>
      </c>
      <c r="CP342" s="135" t="str">
        <f aca="false">IF(ISBLANK($C342),"",IF($BZ342&lt;&gt;Constants!$B$8,$BZ342,$CF342-$CO342))</f>
        <v/>
      </c>
      <c r="CQ342" s="141"/>
      <c r="CR342" s="142"/>
      <c r="CS342" s="143" t="str">
        <f aca="false">IF(ISBLANK($C342),"",IF($BZ342=Constants!$B$12,$BY342,""))</f>
        <v/>
      </c>
      <c r="CT342" s="142" t="str">
        <f aca="false">IF(ISBLANK($C342),"",IF($BZ342&lt;&gt;Constants!$B$8,"",IF($BM342="-&gt;",2,1)))</f>
        <v/>
      </c>
      <c r="CU342" s="144" t="str">
        <f aca="false">IF(ISBLANK($C342),"",IF($BZ342&lt;&gt;Constants!$B$8,"",IF($BM342="-&gt;",$BO342,$BC342)))</f>
        <v/>
      </c>
      <c r="CV342" s="144" t="str">
        <f aca="false">IF(ISBLANK($C342),"",IF($BZ342&lt;&gt;Constants!$B$8,"",IF($BM342="-&gt;",$BP342,$BD342)))</f>
        <v/>
      </c>
      <c r="CW342" s="144" t="str">
        <f aca="false">IF(ISBLANK($C342),"",IF($BZ342&lt;&gt;Constants!$B$8,"",IF($BM342="-&gt;",$BQ342+$BR342,$BE342+$BF342)+$CD342))</f>
        <v/>
      </c>
      <c r="CX342" s="144" t="str">
        <f aca="false">IF(ISBLANK($C342),"",IF($BZ342&lt;&gt;Constants!$B$8,"",IF($BM342="-&gt;",$BS342,$BG342)+$CC342))</f>
        <v/>
      </c>
      <c r="CY342" s="145" t="str">
        <f aca="false">IF(ISBLANK($C342),"",IF($BZ342&lt;&gt;Constants!$B$8,$BZ342,$CE342))</f>
        <v/>
      </c>
      <c r="CZ342" s="146" t="str">
        <f aca="false">IF(ISBLANK($C342),"",$CA342)</f>
        <v/>
      </c>
      <c r="DA342" s="147" t="str">
        <f aca="false">IF(ISBLANK($C342),"",$CP342)</f>
        <v/>
      </c>
      <c r="DB342" s="147" t="str">
        <f aca="false">IF(ISBLANK($C342),"",$CO342)</f>
        <v/>
      </c>
      <c r="DC342" s="148" t="str">
        <f aca="false">IF(ISBLANK($C342),"",IFERROR(_xlfn.SWITCH($DB342,Constants!$B$11,COUNTA($C$9:$C$508)+2,Constants!$B$10,COUNTA($C$9:$C$508)+1,Constants!$B$9,COUNTA($C$9:$C$508)),$DB342))</f>
        <v/>
      </c>
      <c r="DD342" s="9"/>
      <c r="DE342" s="149" t="n">
        <f aca="false">IF(OR(ISNUMBER($DB342),$DB342=Constants!$B$11,$DB342=Constants!$B$9,$DB342=Constants!$B$10),1,0)</f>
        <v>0</v>
      </c>
      <c r="DF342" s="149" t="n">
        <v>334</v>
      </c>
      <c r="DG342" s="149" t="str">
        <f aca="false">IF(ISBLANK($C342),"",IF(ISNUMBER($DC342),$DC342+ROW($B342)/1000,""))</f>
        <v/>
      </c>
      <c r="DH342" s="149" t="str">
        <f aca="false">IF(ISNUMBER($DG342),RANK($DG342,$DG$9:$DG$508,1),"")</f>
        <v/>
      </c>
      <c r="DI342" s="149" t="str">
        <f aca="false">IF(ISBLANK($C342),"",$B342)</f>
        <v/>
      </c>
      <c r="DJ342" s="149" t="str">
        <f aca="false">IF(ISBLANK($C342),"",$C342)</f>
        <v/>
      </c>
      <c r="DK342" s="149" t="str">
        <f aca="false">IF(ISBLANK($C342),"",$D342)</f>
        <v/>
      </c>
      <c r="DL342" s="150" t="str">
        <f aca="false">$CZ342</f>
        <v/>
      </c>
      <c r="DM342" s="151" t="str">
        <f aca="false">$CY342</f>
        <v/>
      </c>
      <c r="DN342" s="149" t="str">
        <f aca="false">IF(ISBLANK($C342),"",$DB342)</f>
        <v/>
      </c>
      <c r="DO342" s="152" t="str">
        <f aca="false">IF($DF342&gt;$DE$8,"",VLOOKUP($DF342,$DH$9:$DN$508,7,FALSE()))</f>
        <v/>
      </c>
      <c r="DP342" s="153" t="str">
        <f aca="false">IF($DF342&gt;$DE$8,"",VLOOKUP($DF342,$DH$9:$DN$508,2,FALSE()))</f>
        <v/>
      </c>
      <c r="DQ342" s="153" t="str">
        <f aca="false">IF($DF342&gt;$DE$8,"",VLOOKUP($DF342,$DH$9:$DN$508,3,FALSE()))</f>
        <v/>
      </c>
      <c r="DR342" s="153" t="str">
        <f aca="false">IF($DF342&gt;$DE$8,"",VLOOKUP($DF342,$DH$9:$DN$508,4,FALSE()))</f>
        <v/>
      </c>
      <c r="DS342" s="153" t="str">
        <f aca="false">IF($DF342&gt;$DE$8,"",VLOOKUP($DF342,$DH$9:$DN$508,5,FALSE()))</f>
        <v/>
      </c>
      <c r="DT342" s="154" t="str">
        <f aca="false">IF($DF342&gt;$DE$8,"",VLOOKUP($DF342,$DH$9:$DN$508,6,FALSE()))</f>
        <v/>
      </c>
      <c r="DU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IF(ISBLANK($C343),"",IF(E343=Constants!$B$3,TRUE(),IF(E343=Constants!$B$4,FALSE(),TRUE())))</f>
        <v/>
      </c>
      <c r="AG343" s="135" t="str">
        <f aca="false">IF(ISBLANK($C343),"",IF(F343=Constants!$B$3,TRUE(),IF(F343=Constants!$B$4,FALSE(),TRUE())))</f>
        <v/>
      </c>
      <c r="AH343" s="135" t="str">
        <f aca="false">IF(ISBLANK($C343),"",IF(G343=Constants!$B$3,TRUE(),IF(G343=Constants!$B$4,FALSE(),TRUE())))</f>
        <v/>
      </c>
      <c r="AI343" s="135" t="str">
        <f aca="false">IF(ISBLANK($C343),"",IF(AND(ISNUMBER(H343),H343&gt;=0),H343,Constants!$B$29))</f>
        <v/>
      </c>
      <c r="AJ343" s="135" t="str">
        <f aca="false">IF(ISBLANK($C343),"",IF(I343=Constants!$B$3,TRUE(),IF(I343=Constants!$B$4,FALSE(),TRUE())))</f>
        <v/>
      </c>
      <c r="AK343" s="135" t="str">
        <f aca="false">IF(ISBLANK($C343),"",IF(J343=Constants!$B$3,TRUE(),IF(J343=Constants!$B$4,FALSE(),TRUE())))</f>
        <v/>
      </c>
      <c r="AL343" s="135" t="str">
        <f aca="false">IF(ISBLANK($C343),"",IF(K343=Constants!$B$5,TRUE(),IF(K343=Constants!$B$6,FALSE(),COUNTA(L343:P343)&gt;0)))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IF(ISBLANK($C343),"",IF(N343=Constants!$B$3,TRUE(),IF(N343=Constants!$B$4,FALSE(),TRUE())))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IF(ISBLANK($C343),"",IF(P343=Constants!$B$3,TRUE(),IF(P343=Constants!$B$4,FALSE(),FALSE())))</f>
        <v/>
      </c>
      <c r="AR343" s="135" t="str">
        <f aca="false">IF(ISBLANK($C343),"",IF(Q343=Constants!$B$3,TRUE(),IF(Q343=Constants!$B$4,FALSE(),TRUE())))</f>
        <v/>
      </c>
      <c r="AS343" s="135" t="str">
        <f aca="false">IF(ISBLANK($C343),"",IF(R343=Constants!$B$3,TRUE(),IF(R343=Constants!$B$4,FALSE(),TRUE())))</f>
        <v/>
      </c>
      <c r="AT343" s="135" t="str">
        <f aca="false">IF(ISBLANK($C343),"",IF(S343=Constants!$B$5,TRUE(),IF(S343=Constants!$B$6,FALSE(),COUNTA(T343:X343)&gt;0)))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IF(ISBLANK($C343),"",IF(V343=Constants!$B$3,TRUE(),IF(V343=Constants!$B$4,FALSE(),TRUE())))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IF(ISBLANK($C343),"",IF(X343=Constants!$B$3,TRUE(),IF(X343=Constants!$B$4,FALSE(),FALSE())))</f>
        <v/>
      </c>
      <c r="AZ343" s="135" t="str">
        <f aca="false">IF(ISBLANK($C343),"",MIN(Constants!$B$31,MAX(0,IF(ISNUMBER(Y343),Y343*60,0)+IF(ISNUMBER(Z343),Z343,0))))</f>
        <v/>
      </c>
      <c r="BA343" s="135" t="str">
        <f aca="false">IF(ISBLANK($C343),"",IF(AA343=Constants!$B$3,TRUE(),IF(AA343=Constants!$B$4,FALSE(),FALSE())))</f>
        <v/>
      </c>
      <c r="BB343" s="134" t="str">
        <f aca="false">IF(ISBLANK($C343),"",AND($AL343,OR($AM343="",$AN343="",AND($AO343,$AP343=""))))</f>
        <v/>
      </c>
      <c r="BC343" s="137" t="str">
        <f aca="false">IF($BZ343&lt;&gt;Constants!$B$8,"",IF($AL343,Constants!$B$21*$AN343+Constants!$B$22*IF($AO343,$AP343,Constants!$B$23),Constants!$B$24))</f>
        <v/>
      </c>
      <c r="BD343" s="138" t="str">
        <f aca="false">IF($BZ343&lt;&gt;Constants!$B$8,"",Constants!$B$25*ABS($AD$9-IF($AL343,$AM343,0)))</f>
        <v/>
      </c>
      <c r="BE343" s="138" t="str">
        <f aca="false">IF($BZ343&lt;&gt;Constants!$B$8,"",IF(AND($AL343,$AQ343,$AO343),Constants!$B$27,0))</f>
        <v/>
      </c>
      <c r="BF343" s="138" t="str">
        <f aca="false">IF($BZ343&lt;&gt;Constants!$B$8,"",IF($AL343,($AI343-Constants!$B$29)*Constants!$B$28,0))</f>
        <v/>
      </c>
      <c r="BG343" s="138" t="str">
        <f aca="false">IF($BZ343&lt;&gt;Constants!$B$8,"",IF($AK343,0,Constants!$B$15)+IF($AJ343,0,Constants!$B$16)+IF($AH343,0,Constants!$B$17))</f>
        <v/>
      </c>
      <c r="BH343" s="139" t="str">
        <f aca="false">IF($BZ343&lt;&gt;Constants!$B$8,"",Constants!$B$20+SUM($BC343:$BG343))</f>
        <v/>
      </c>
      <c r="BI343" s="138" t="str">
        <f aca="false">IF($BZ343&lt;&gt;Constants!$B$8,"",$BC343)</f>
        <v/>
      </c>
      <c r="BJ343" s="138" t="str">
        <f aca="false">IF($BZ343&lt;&gt;Constants!$B$8,"",$BD343)</f>
        <v/>
      </c>
      <c r="BK343" s="138" t="str">
        <f aca="false">IF($BZ343&lt;&gt;Constants!$B$8,"",IF($AL343,$AN343,""))</f>
        <v/>
      </c>
      <c r="BL343" s="140" t="str">
        <f aca="false">IF($BZ343&lt;&gt;Constants!$B$8,"",$AI343)</f>
        <v/>
      </c>
      <c r="BM343" s="135" t="str">
        <f aca="false">IF($BZ343&lt;&gt;Constants!$B$8,"",IF(OR($BT343&lt;$BH343,AND($BT343=$BH343,OR($BU343&lt;$BI343,AND($BU343=$BI343,OR($BV343&lt;$BJ343,AND($BV343=$BJ343,OR(AND(ISNUMBER($BW343),OR(NOT(ISNUMBER($BK343)),$BW343&lt;$BK343)),AND(OR(AND($BW343="",$BK343=""),AND(ISNUMBER($BW343),ISNUMBER($BK343),$BW343=$BK343)),$BX343&lt;$BL343)))))))),"-&gt;","&lt;-"))</f>
        <v/>
      </c>
      <c r="BN343" s="134" t="str">
        <f aca="false">IF(ISBLANK($C343),"",AND($AT343,OR($AU343="",$AV343="",AND($AW343,$AX343=""))))</f>
        <v/>
      </c>
      <c r="BO343" s="137" t="str">
        <f aca="false">IF($BZ343&lt;&gt;Constants!$B$8,"",IF($AT343,Constants!$B$21*$AV343+Constants!$B$22*IF($AW343,$AX343,Constants!$B$23),Constants!$B$24))</f>
        <v/>
      </c>
      <c r="BP343" s="138" t="str">
        <f aca="false">IF($BZ343&lt;&gt;Constants!$B$8,"",Constants!$B$25*ABS($AD$9-IF($AT343,$AU343,0)))</f>
        <v/>
      </c>
      <c r="BQ343" s="138" t="str">
        <f aca="false">IF($BZ343&lt;&gt;Constants!$B$8,"",IF(AND($AT343,$AY343,$AW343),Constants!$B$27,0))</f>
        <v/>
      </c>
      <c r="BR343" s="138" t="str">
        <f aca="false">IF($BZ343&lt;&gt;Constants!$B$8,"",IF($AT343,($AI343-Constants!$B$29)*Constants!$B$28,0))</f>
        <v/>
      </c>
      <c r="BS343" s="138" t="str">
        <f aca="false">IF($BZ343&lt;&gt;Constants!$B$8,"",IF($AS343,0,Constants!$B$15)+IF($AR343,0,Constants!$B$16)+IF($AH343,0,Constants!$B$17))</f>
        <v/>
      </c>
      <c r="BT343" s="139" t="str">
        <f aca="false">IF($BZ343&lt;&gt;Constants!$B$8,"",Constants!$B$20+SUM($BO343:$BS343))</f>
        <v/>
      </c>
      <c r="BU343" s="138" t="str">
        <f aca="false">IF($BZ343&lt;&gt;Constants!$B$8,"",$BO343)</f>
        <v/>
      </c>
      <c r="BV343" s="138" t="str">
        <f aca="false">IF($BZ343&lt;&gt;Constants!$B$8,"",$BP343)</f>
        <v/>
      </c>
      <c r="BW343" s="138" t="str">
        <f aca="false">IF($BZ343&lt;&gt;Constants!$B$8,"",IF($AT343,$AV343,""))</f>
        <v/>
      </c>
      <c r="BX343" s="140" t="str">
        <f aca="false">IF($BZ343&lt;&gt;Constants!$B$8,"",$AI343)</f>
        <v/>
      </c>
      <c r="BY343" s="135" t="str">
        <f aca="false">IF(ISBLANK($C343),"",IF(ISBLANK($D$7),$BY$5,IF(NOT(ISNUMBER($D$7)),$BY$6,"")))</f>
        <v/>
      </c>
      <c r="BZ343" s="135" t="str">
        <f aca="false">IF(ISBLANK($C343),"",IF($BA343,Constants!$B$11,IF(COUNTA($E343:$AA343)=0,Constants!$B$10,IF(NOT($AG343),Constants!$B$9,IF(OR($BY343&lt;&gt;"",$BB343,$BN343),Constants!$B$12,Constants!$B$8)))))</f>
        <v/>
      </c>
      <c r="CA343" s="135" t="str">
        <f aca="false">IF(ISBLANK($C343),"",IF($BZ343&lt;&gt;Constants!$B$8,$BZ343,Constants!$B$13))</f>
        <v/>
      </c>
      <c r="CB343" s="138" t="str">
        <f aca="false">IF($BZ343&lt;&gt;Constants!$B$8,"",IF($BM343="-&gt;",$BT343,$BH343))</f>
        <v/>
      </c>
      <c r="CC343" s="138" t="str">
        <f aca="false">IF($BZ343&lt;&gt;Constants!$B$8,"",IF($AF343,0,Constants!$B$18))</f>
        <v/>
      </c>
      <c r="CD343" s="138" t="str">
        <f aca="false">IF($BZ343&lt;&gt;Constants!$B$8,"",((Constants!$B$31-$AZ343)-Constants!$B$31)/Constants!$B$32)</f>
        <v/>
      </c>
      <c r="CE343" s="138" t="str">
        <f aca="false">IF(ISBLANK($C343),"",IF($BZ343&lt;&gt;Constants!$B$8,$BZ343,SUM($CB343:$CD343)))</f>
        <v/>
      </c>
      <c r="CF343" s="135" t="str">
        <f aca="false">IF(ISBLANK($C343),"",IF($BZ343&lt;&gt;Constants!$B$8,$BZ343,RANK($CE343,$CE$9:$CE$508,1)))</f>
        <v/>
      </c>
      <c r="CG343" s="138" t="str">
        <f aca="false">IF($BZ343&lt;&gt;Constants!$B$8,"",IF($BM343="-&gt;",$BU343,$BI343))</f>
        <v/>
      </c>
      <c r="CH343" s="135" t="str">
        <f aca="false">IF(ISBLANK($C343),"",IF($BZ343&lt;&gt;Constants!$B$8,$BZ343,IF(ISNUMBER($CG343),RANK($CG343,$CG$9:$CG$508,1),COUNT($CG$9:$CG$508)+1)))</f>
        <v/>
      </c>
      <c r="CI343" s="138" t="str">
        <f aca="false">IF($BZ343&lt;&gt;Constants!$B$8,"",IF($BM343="-&gt;",$BV343,$BJ343))</f>
        <v/>
      </c>
      <c r="CJ343" s="135" t="str">
        <f aca="false">IF(ISBLANK($C343),"",IF($BZ343&lt;&gt;Constants!$B$8,$BZ343,IF(ISNUMBER($CI343),RANK($CI343,$CI$9:$CI$508,1),COUNT($CI$9:$CI$508)+1)))</f>
        <v/>
      </c>
      <c r="CK343" s="138" t="str">
        <f aca="false">IF($BZ343&lt;&gt;Constants!$B$8,"",IF($BM343="-&gt;",$BW343,$BK343))</f>
        <v/>
      </c>
      <c r="CL343" s="135" t="str">
        <f aca="false">IF(ISBLANK($C343),"",IF($BZ343&lt;&gt;Constants!$B$8,$BZ343,IF(ISNUMBER($CK343),RANK($CK343,$CK$9:$CK$508,1),COUNT($CK$9:$CK$508)+1)))</f>
        <v/>
      </c>
      <c r="CM343" s="138" t="str">
        <f aca="false">IF($BZ343&lt;&gt;Constants!$B$8,"",IF(AND(NOT($AL343),NOT($AT343),$AJ343,$AK343,$AR343,$AS343),"",IF($BM343="-&gt;",$BX343,$BL343)))</f>
        <v/>
      </c>
      <c r="CN343" s="135" t="str">
        <f aca="false">IF(ISBLANK($C343),"",IF($BZ343&lt;&gt;Constants!$B$8,$BZ343,IF(ISNUMBER($CM343),RANK($CM343,$CM$9:$CM$508,1),COUNT($CM$9:$CM$508)+1)))</f>
        <v/>
      </c>
      <c r="CO343" s="135" t="str">
        <f aca="false">IF(ISBLANK($C343),"",IF($BZ343&lt;&gt;Constants!$B$8,$BZ343,COUNTIFS($CF$9:$CF$508,"&lt;"&amp;$CF343)+COUNTIFS($CF$9:$CF$508,$CF343,$CH$9:$CH$508,"&lt;"&amp;$CH343)+COUNTIFS($CF$9:$CF$508,$CF343,$CH$9:$CH$508,$CH343,$CJ$9:$CJ$508,"&lt;"&amp;$CJ343)+COUNTIFS($CF$9:$CF$508,$CF343,$CH$9:$CH$508,$CH343,$CJ$9:$CJ$508,$CJ343,$CL$9:$CL$508,"&lt;"&amp;$CL343)+COUNTIFS($CF$9:$CF$508,$CF343,$CH$9:$CH$508,$CH343,$CJ$9:$CJ$508,$CJ343,$CL$9:$CL$508,$CL343,$CN$9:$CN$508,"&lt;"&amp;$CN343)+1))</f>
        <v/>
      </c>
      <c r="CP343" s="135" t="str">
        <f aca="false">IF(ISBLANK($C343),"",IF($BZ343&lt;&gt;Constants!$B$8,$BZ343,$CF343-$CO343))</f>
        <v/>
      </c>
      <c r="CQ343" s="141"/>
      <c r="CR343" s="142"/>
      <c r="CS343" s="143" t="str">
        <f aca="false">IF(ISBLANK($C343),"",IF($BZ343=Constants!$B$12,$BY343,""))</f>
        <v/>
      </c>
      <c r="CT343" s="142" t="str">
        <f aca="false">IF(ISBLANK($C343),"",IF($BZ343&lt;&gt;Constants!$B$8,"",IF($BM343="-&gt;",2,1)))</f>
        <v/>
      </c>
      <c r="CU343" s="144" t="str">
        <f aca="false">IF(ISBLANK($C343),"",IF($BZ343&lt;&gt;Constants!$B$8,"",IF($BM343="-&gt;",$BO343,$BC343)))</f>
        <v/>
      </c>
      <c r="CV343" s="144" t="str">
        <f aca="false">IF(ISBLANK($C343),"",IF($BZ343&lt;&gt;Constants!$B$8,"",IF($BM343="-&gt;",$BP343,$BD343)))</f>
        <v/>
      </c>
      <c r="CW343" s="144" t="str">
        <f aca="false">IF(ISBLANK($C343),"",IF($BZ343&lt;&gt;Constants!$B$8,"",IF($BM343="-&gt;",$BQ343+$BR343,$BE343+$BF343)+$CD343))</f>
        <v/>
      </c>
      <c r="CX343" s="144" t="str">
        <f aca="false">IF(ISBLANK($C343),"",IF($BZ343&lt;&gt;Constants!$B$8,"",IF($BM343="-&gt;",$BS343,$BG343)+$CC343))</f>
        <v/>
      </c>
      <c r="CY343" s="145" t="str">
        <f aca="false">IF(ISBLANK($C343),"",IF($BZ343&lt;&gt;Constants!$B$8,$BZ343,$CE343))</f>
        <v/>
      </c>
      <c r="CZ343" s="146" t="str">
        <f aca="false">IF(ISBLANK($C343),"",$CA343)</f>
        <v/>
      </c>
      <c r="DA343" s="147" t="str">
        <f aca="false">IF(ISBLANK($C343),"",$CP343)</f>
        <v/>
      </c>
      <c r="DB343" s="147" t="str">
        <f aca="false">IF(ISBLANK($C343),"",$CO343)</f>
        <v/>
      </c>
      <c r="DC343" s="148" t="str">
        <f aca="false">IF(ISBLANK($C343),"",IFERROR(_xlfn.SWITCH($DB343,Constants!$B$11,COUNTA($C$9:$C$508)+2,Constants!$B$10,COUNTA($C$9:$C$508)+1,Constants!$B$9,COUNTA($C$9:$C$508)),$DB343))</f>
        <v/>
      </c>
      <c r="DD343" s="9"/>
      <c r="DE343" s="149" t="n">
        <f aca="false">IF(OR(ISNUMBER($DB343),$DB343=Constants!$B$11,$DB343=Constants!$B$9,$DB343=Constants!$B$10),1,0)</f>
        <v>0</v>
      </c>
      <c r="DF343" s="149" t="n">
        <v>335</v>
      </c>
      <c r="DG343" s="149" t="str">
        <f aca="false">IF(ISBLANK($C343),"",IF(ISNUMBER($DC343),$DC343+ROW($B343)/1000,""))</f>
        <v/>
      </c>
      <c r="DH343" s="149" t="str">
        <f aca="false">IF(ISNUMBER($DG343),RANK($DG343,$DG$9:$DG$508,1),"")</f>
        <v/>
      </c>
      <c r="DI343" s="149" t="str">
        <f aca="false">IF(ISBLANK($C343),"",$B343)</f>
        <v/>
      </c>
      <c r="DJ343" s="149" t="str">
        <f aca="false">IF(ISBLANK($C343),"",$C343)</f>
        <v/>
      </c>
      <c r="DK343" s="149" t="str">
        <f aca="false">IF(ISBLANK($C343),"",$D343)</f>
        <v/>
      </c>
      <c r="DL343" s="150" t="str">
        <f aca="false">$CZ343</f>
        <v/>
      </c>
      <c r="DM343" s="151" t="str">
        <f aca="false">$CY343</f>
        <v/>
      </c>
      <c r="DN343" s="149" t="str">
        <f aca="false">IF(ISBLANK($C343),"",$DB343)</f>
        <v/>
      </c>
      <c r="DO343" s="152" t="str">
        <f aca="false">IF($DF343&gt;$DE$8,"",VLOOKUP($DF343,$DH$9:$DN$508,7,FALSE()))</f>
        <v/>
      </c>
      <c r="DP343" s="153" t="str">
        <f aca="false">IF($DF343&gt;$DE$8,"",VLOOKUP($DF343,$DH$9:$DN$508,2,FALSE()))</f>
        <v/>
      </c>
      <c r="DQ343" s="153" t="str">
        <f aca="false">IF($DF343&gt;$DE$8,"",VLOOKUP($DF343,$DH$9:$DN$508,3,FALSE()))</f>
        <v/>
      </c>
      <c r="DR343" s="153" t="str">
        <f aca="false">IF($DF343&gt;$DE$8,"",VLOOKUP($DF343,$DH$9:$DN$508,4,FALSE()))</f>
        <v/>
      </c>
      <c r="DS343" s="153" t="str">
        <f aca="false">IF($DF343&gt;$DE$8,"",VLOOKUP($DF343,$DH$9:$DN$508,5,FALSE()))</f>
        <v/>
      </c>
      <c r="DT343" s="154" t="str">
        <f aca="false">IF($DF343&gt;$DE$8,"",VLOOKUP($DF343,$DH$9:$DN$508,6,FALSE()))</f>
        <v/>
      </c>
      <c r="DU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IF(ISBLANK($C344),"",IF(E344=Constants!$B$3,TRUE(),IF(E344=Constants!$B$4,FALSE(),TRUE())))</f>
        <v/>
      </c>
      <c r="AG344" s="135" t="str">
        <f aca="false">IF(ISBLANK($C344),"",IF(F344=Constants!$B$3,TRUE(),IF(F344=Constants!$B$4,FALSE(),TRUE())))</f>
        <v/>
      </c>
      <c r="AH344" s="135" t="str">
        <f aca="false">IF(ISBLANK($C344),"",IF(G344=Constants!$B$3,TRUE(),IF(G344=Constants!$B$4,FALSE(),TRUE())))</f>
        <v/>
      </c>
      <c r="AI344" s="135" t="str">
        <f aca="false">IF(ISBLANK($C344),"",IF(AND(ISNUMBER(H344),H344&gt;=0),H344,Constants!$B$29))</f>
        <v/>
      </c>
      <c r="AJ344" s="135" t="str">
        <f aca="false">IF(ISBLANK($C344),"",IF(I344=Constants!$B$3,TRUE(),IF(I344=Constants!$B$4,FALSE(),TRUE())))</f>
        <v/>
      </c>
      <c r="AK344" s="135" t="str">
        <f aca="false">IF(ISBLANK($C344),"",IF(J344=Constants!$B$3,TRUE(),IF(J344=Constants!$B$4,FALSE(),TRUE())))</f>
        <v/>
      </c>
      <c r="AL344" s="135" t="str">
        <f aca="false">IF(ISBLANK($C344),"",IF(K344=Constants!$B$5,TRUE(),IF(K344=Constants!$B$6,FALSE(),COUNTA(L344:P344)&gt;0)))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IF(ISBLANK($C344),"",IF(N344=Constants!$B$3,TRUE(),IF(N344=Constants!$B$4,FALSE(),TRUE())))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IF(ISBLANK($C344),"",IF(P344=Constants!$B$3,TRUE(),IF(P344=Constants!$B$4,FALSE(),FALSE())))</f>
        <v/>
      </c>
      <c r="AR344" s="135" t="str">
        <f aca="false">IF(ISBLANK($C344),"",IF(Q344=Constants!$B$3,TRUE(),IF(Q344=Constants!$B$4,FALSE(),TRUE())))</f>
        <v/>
      </c>
      <c r="AS344" s="135" t="str">
        <f aca="false">IF(ISBLANK($C344),"",IF(R344=Constants!$B$3,TRUE(),IF(R344=Constants!$B$4,FALSE(),TRUE())))</f>
        <v/>
      </c>
      <c r="AT344" s="135" t="str">
        <f aca="false">IF(ISBLANK($C344),"",IF(S344=Constants!$B$5,TRUE(),IF(S344=Constants!$B$6,FALSE(),COUNTA(T344:X344)&gt;0)))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IF(ISBLANK($C344),"",IF(V344=Constants!$B$3,TRUE(),IF(V344=Constants!$B$4,FALSE(),TRUE())))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IF(ISBLANK($C344),"",IF(X344=Constants!$B$3,TRUE(),IF(X344=Constants!$B$4,FALSE(),FALSE())))</f>
        <v/>
      </c>
      <c r="AZ344" s="135" t="str">
        <f aca="false">IF(ISBLANK($C344),"",MIN(Constants!$B$31,MAX(0,IF(ISNUMBER(Y344),Y344*60,0)+IF(ISNUMBER(Z344),Z344,0))))</f>
        <v/>
      </c>
      <c r="BA344" s="135" t="str">
        <f aca="false">IF(ISBLANK($C344),"",IF(AA344=Constants!$B$3,TRUE(),IF(AA344=Constants!$B$4,FALSE(),FALSE())))</f>
        <v/>
      </c>
      <c r="BB344" s="134" t="str">
        <f aca="false">IF(ISBLANK($C344),"",AND($AL344,OR($AM344="",$AN344="",AND($AO344,$AP344=""))))</f>
        <v/>
      </c>
      <c r="BC344" s="137" t="str">
        <f aca="false">IF($BZ344&lt;&gt;Constants!$B$8,"",IF($AL344,Constants!$B$21*$AN344+Constants!$B$22*IF($AO344,$AP344,Constants!$B$23),Constants!$B$24))</f>
        <v/>
      </c>
      <c r="BD344" s="138" t="str">
        <f aca="false">IF($BZ344&lt;&gt;Constants!$B$8,"",Constants!$B$25*ABS($AD$9-IF($AL344,$AM344,0)))</f>
        <v/>
      </c>
      <c r="BE344" s="138" t="str">
        <f aca="false">IF($BZ344&lt;&gt;Constants!$B$8,"",IF(AND($AL344,$AQ344,$AO344),Constants!$B$27,0))</f>
        <v/>
      </c>
      <c r="BF344" s="138" t="str">
        <f aca="false">IF($BZ344&lt;&gt;Constants!$B$8,"",IF($AL344,($AI344-Constants!$B$29)*Constants!$B$28,0))</f>
        <v/>
      </c>
      <c r="BG344" s="138" t="str">
        <f aca="false">IF($BZ344&lt;&gt;Constants!$B$8,"",IF($AK344,0,Constants!$B$15)+IF($AJ344,0,Constants!$B$16)+IF($AH344,0,Constants!$B$17))</f>
        <v/>
      </c>
      <c r="BH344" s="139" t="str">
        <f aca="false">IF($BZ344&lt;&gt;Constants!$B$8,"",Constants!$B$20+SUM($BC344:$BG344))</f>
        <v/>
      </c>
      <c r="BI344" s="138" t="str">
        <f aca="false">IF($BZ344&lt;&gt;Constants!$B$8,"",$BC344)</f>
        <v/>
      </c>
      <c r="BJ344" s="138" t="str">
        <f aca="false">IF($BZ344&lt;&gt;Constants!$B$8,"",$BD344)</f>
        <v/>
      </c>
      <c r="BK344" s="138" t="str">
        <f aca="false">IF($BZ344&lt;&gt;Constants!$B$8,"",IF($AL344,$AN344,""))</f>
        <v/>
      </c>
      <c r="BL344" s="140" t="str">
        <f aca="false">IF($BZ344&lt;&gt;Constants!$B$8,"",$AI344)</f>
        <v/>
      </c>
      <c r="BM344" s="135" t="str">
        <f aca="false">IF($BZ344&lt;&gt;Constants!$B$8,"",IF(OR($BT344&lt;$BH344,AND($BT344=$BH344,OR($BU344&lt;$BI344,AND($BU344=$BI344,OR($BV344&lt;$BJ344,AND($BV344=$BJ344,OR(AND(ISNUMBER($BW344),OR(NOT(ISNUMBER($BK344)),$BW344&lt;$BK344)),AND(OR(AND($BW344="",$BK344=""),AND(ISNUMBER($BW344),ISNUMBER($BK344),$BW344=$BK344)),$BX344&lt;$BL344)))))))),"-&gt;","&lt;-"))</f>
        <v/>
      </c>
      <c r="BN344" s="134" t="str">
        <f aca="false">IF(ISBLANK($C344),"",AND($AT344,OR($AU344="",$AV344="",AND($AW344,$AX344=""))))</f>
        <v/>
      </c>
      <c r="BO344" s="137" t="str">
        <f aca="false">IF($BZ344&lt;&gt;Constants!$B$8,"",IF($AT344,Constants!$B$21*$AV344+Constants!$B$22*IF($AW344,$AX344,Constants!$B$23),Constants!$B$24))</f>
        <v/>
      </c>
      <c r="BP344" s="138" t="str">
        <f aca="false">IF($BZ344&lt;&gt;Constants!$B$8,"",Constants!$B$25*ABS($AD$9-IF($AT344,$AU344,0)))</f>
        <v/>
      </c>
      <c r="BQ344" s="138" t="str">
        <f aca="false">IF($BZ344&lt;&gt;Constants!$B$8,"",IF(AND($AT344,$AY344,$AW344),Constants!$B$27,0))</f>
        <v/>
      </c>
      <c r="BR344" s="138" t="str">
        <f aca="false">IF($BZ344&lt;&gt;Constants!$B$8,"",IF($AT344,($AI344-Constants!$B$29)*Constants!$B$28,0))</f>
        <v/>
      </c>
      <c r="BS344" s="138" t="str">
        <f aca="false">IF($BZ344&lt;&gt;Constants!$B$8,"",IF($AS344,0,Constants!$B$15)+IF($AR344,0,Constants!$B$16)+IF($AH344,0,Constants!$B$17))</f>
        <v/>
      </c>
      <c r="BT344" s="139" t="str">
        <f aca="false">IF($BZ344&lt;&gt;Constants!$B$8,"",Constants!$B$20+SUM($BO344:$BS344))</f>
        <v/>
      </c>
      <c r="BU344" s="138" t="str">
        <f aca="false">IF($BZ344&lt;&gt;Constants!$B$8,"",$BO344)</f>
        <v/>
      </c>
      <c r="BV344" s="138" t="str">
        <f aca="false">IF($BZ344&lt;&gt;Constants!$B$8,"",$BP344)</f>
        <v/>
      </c>
      <c r="BW344" s="138" t="str">
        <f aca="false">IF($BZ344&lt;&gt;Constants!$B$8,"",IF($AT344,$AV344,""))</f>
        <v/>
      </c>
      <c r="BX344" s="140" t="str">
        <f aca="false">IF($BZ344&lt;&gt;Constants!$B$8,"",$AI344)</f>
        <v/>
      </c>
      <c r="BY344" s="135" t="str">
        <f aca="false">IF(ISBLANK($C344),"",IF(ISBLANK($D$7),$BY$5,IF(NOT(ISNUMBER($D$7)),$BY$6,"")))</f>
        <v/>
      </c>
      <c r="BZ344" s="135" t="str">
        <f aca="false">IF(ISBLANK($C344),"",IF($BA344,Constants!$B$11,IF(COUNTA($E344:$AA344)=0,Constants!$B$10,IF(NOT($AG344),Constants!$B$9,IF(OR($BY344&lt;&gt;"",$BB344,$BN344),Constants!$B$12,Constants!$B$8)))))</f>
        <v/>
      </c>
      <c r="CA344" s="135" t="str">
        <f aca="false">IF(ISBLANK($C344),"",IF($BZ344&lt;&gt;Constants!$B$8,$BZ344,Constants!$B$13))</f>
        <v/>
      </c>
      <c r="CB344" s="138" t="str">
        <f aca="false">IF($BZ344&lt;&gt;Constants!$B$8,"",IF($BM344="-&gt;",$BT344,$BH344))</f>
        <v/>
      </c>
      <c r="CC344" s="138" t="str">
        <f aca="false">IF($BZ344&lt;&gt;Constants!$B$8,"",IF($AF344,0,Constants!$B$18))</f>
        <v/>
      </c>
      <c r="CD344" s="138" t="str">
        <f aca="false">IF($BZ344&lt;&gt;Constants!$B$8,"",((Constants!$B$31-$AZ344)-Constants!$B$31)/Constants!$B$32)</f>
        <v/>
      </c>
      <c r="CE344" s="138" t="str">
        <f aca="false">IF(ISBLANK($C344),"",IF($BZ344&lt;&gt;Constants!$B$8,$BZ344,SUM($CB344:$CD344)))</f>
        <v/>
      </c>
      <c r="CF344" s="135" t="str">
        <f aca="false">IF(ISBLANK($C344),"",IF($BZ344&lt;&gt;Constants!$B$8,$BZ344,RANK($CE344,$CE$9:$CE$508,1)))</f>
        <v/>
      </c>
      <c r="CG344" s="138" t="str">
        <f aca="false">IF($BZ344&lt;&gt;Constants!$B$8,"",IF($BM344="-&gt;",$BU344,$BI344))</f>
        <v/>
      </c>
      <c r="CH344" s="135" t="str">
        <f aca="false">IF(ISBLANK($C344),"",IF($BZ344&lt;&gt;Constants!$B$8,$BZ344,IF(ISNUMBER($CG344),RANK($CG344,$CG$9:$CG$508,1),COUNT($CG$9:$CG$508)+1)))</f>
        <v/>
      </c>
      <c r="CI344" s="138" t="str">
        <f aca="false">IF($BZ344&lt;&gt;Constants!$B$8,"",IF($BM344="-&gt;",$BV344,$BJ344))</f>
        <v/>
      </c>
      <c r="CJ344" s="135" t="str">
        <f aca="false">IF(ISBLANK($C344),"",IF($BZ344&lt;&gt;Constants!$B$8,$BZ344,IF(ISNUMBER($CI344),RANK($CI344,$CI$9:$CI$508,1),COUNT($CI$9:$CI$508)+1)))</f>
        <v/>
      </c>
      <c r="CK344" s="138" t="str">
        <f aca="false">IF($BZ344&lt;&gt;Constants!$B$8,"",IF($BM344="-&gt;",$BW344,$BK344))</f>
        <v/>
      </c>
      <c r="CL344" s="135" t="str">
        <f aca="false">IF(ISBLANK($C344),"",IF($BZ344&lt;&gt;Constants!$B$8,$BZ344,IF(ISNUMBER($CK344),RANK($CK344,$CK$9:$CK$508,1),COUNT($CK$9:$CK$508)+1)))</f>
        <v/>
      </c>
      <c r="CM344" s="138" t="str">
        <f aca="false">IF($BZ344&lt;&gt;Constants!$B$8,"",IF(AND(NOT($AL344),NOT($AT344),$AJ344,$AK344,$AR344,$AS344),"",IF($BM344="-&gt;",$BX344,$BL344)))</f>
        <v/>
      </c>
      <c r="CN344" s="135" t="str">
        <f aca="false">IF(ISBLANK($C344),"",IF($BZ344&lt;&gt;Constants!$B$8,$BZ344,IF(ISNUMBER($CM344),RANK($CM344,$CM$9:$CM$508,1),COUNT($CM$9:$CM$508)+1)))</f>
        <v/>
      </c>
      <c r="CO344" s="135" t="str">
        <f aca="false">IF(ISBLANK($C344),"",IF($BZ344&lt;&gt;Constants!$B$8,$BZ344,COUNTIFS($CF$9:$CF$508,"&lt;"&amp;$CF344)+COUNTIFS($CF$9:$CF$508,$CF344,$CH$9:$CH$508,"&lt;"&amp;$CH344)+COUNTIFS($CF$9:$CF$508,$CF344,$CH$9:$CH$508,$CH344,$CJ$9:$CJ$508,"&lt;"&amp;$CJ344)+COUNTIFS($CF$9:$CF$508,$CF344,$CH$9:$CH$508,$CH344,$CJ$9:$CJ$508,$CJ344,$CL$9:$CL$508,"&lt;"&amp;$CL344)+COUNTIFS($CF$9:$CF$508,$CF344,$CH$9:$CH$508,$CH344,$CJ$9:$CJ$508,$CJ344,$CL$9:$CL$508,$CL344,$CN$9:$CN$508,"&lt;"&amp;$CN344)+1))</f>
        <v/>
      </c>
      <c r="CP344" s="135" t="str">
        <f aca="false">IF(ISBLANK($C344),"",IF($BZ344&lt;&gt;Constants!$B$8,$BZ344,$CF344-$CO344))</f>
        <v/>
      </c>
      <c r="CQ344" s="141"/>
      <c r="CR344" s="142"/>
      <c r="CS344" s="143" t="str">
        <f aca="false">IF(ISBLANK($C344),"",IF($BZ344=Constants!$B$12,$BY344,""))</f>
        <v/>
      </c>
      <c r="CT344" s="142" t="str">
        <f aca="false">IF(ISBLANK($C344),"",IF($BZ344&lt;&gt;Constants!$B$8,"",IF($BM344="-&gt;",2,1)))</f>
        <v/>
      </c>
      <c r="CU344" s="144" t="str">
        <f aca="false">IF(ISBLANK($C344),"",IF($BZ344&lt;&gt;Constants!$B$8,"",IF($BM344="-&gt;",$BO344,$BC344)))</f>
        <v/>
      </c>
      <c r="CV344" s="144" t="str">
        <f aca="false">IF(ISBLANK($C344),"",IF($BZ344&lt;&gt;Constants!$B$8,"",IF($BM344="-&gt;",$BP344,$BD344)))</f>
        <v/>
      </c>
      <c r="CW344" s="144" t="str">
        <f aca="false">IF(ISBLANK($C344),"",IF($BZ344&lt;&gt;Constants!$B$8,"",IF($BM344="-&gt;",$BQ344+$BR344,$BE344+$BF344)+$CD344))</f>
        <v/>
      </c>
      <c r="CX344" s="144" t="str">
        <f aca="false">IF(ISBLANK($C344),"",IF($BZ344&lt;&gt;Constants!$B$8,"",IF($BM344="-&gt;",$BS344,$BG344)+$CC344))</f>
        <v/>
      </c>
      <c r="CY344" s="145" t="str">
        <f aca="false">IF(ISBLANK($C344),"",IF($BZ344&lt;&gt;Constants!$B$8,$BZ344,$CE344))</f>
        <v/>
      </c>
      <c r="CZ344" s="146" t="str">
        <f aca="false">IF(ISBLANK($C344),"",$CA344)</f>
        <v/>
      </c>
      <c r="DA344" s="147" t="str">
        <f aca="false">IF(ISBLANK($C344),"",$CP344)</f>
        <v/>
      </c>
      <c r="DB344" s="147" t="str">
        <f aca="false">IF(ISBLANK($C344),"",$CO344)</f>
        <v/>
      </c>
      <c r="DC344" s="148" t="str">
        <f aca="false">IF(ISBLANK($C344),"",IFERROR(_xlfn.SWITCH($DB344,Constants!$B$11,COUNTA($C$9:$C$508)+2,Constants!$B$10,COUNTA($C$9:$C$508)+1,Constants!$B$9,COUNTA($C$9:$C$508)),$DB344))</f>
        <v/>
      </c>
      <c r="DD344" s="9"/>
      <c r="DE344" s="149" t="n">
        <f aca="false">IF(OR(ISNUMBER($DB344),$DB344=Constants!$B$11,$DB344=Constants!$B$9,$DB344=Constants!$B$10),1,0)</f>
        <v>0</v>
      </c>
      <c r="DF344" s="149" t="n">
        <v>336</v>
      </c>
      <c r="DG344" s="149" t="str">
        <f aca="false">IF(ISBLANK($C344),"",IF(ISNUMBER($DC344),$DC344+ROW($B344)/1000,""))</f>
        <v/>
      </c>
      <c r="DH344" s="149" t="str">
        <f aca="false">IF(ISNUMBER($DG344),RANK($DG344,$DG$9:$DG$508,1),"")</f>
        <v/>
      </c>
      <c r="DI344" s="149" t="str">
        <f aca="false">IF(ISBLANK($C344),"",$B344)</f>
        <v/>
      </c>
      <c r="DJ344" s="149" t="str">
        <f aca="false">IF(ISBLANK($C344),"",$C344)</f>
        <v/>
      </c>
      <c r="DK344" s="149" t="str">
        <f aca="false">IF(ISBLANK($C344),"",$D344)</f>
        <v/>
      </c>
      <c r="DL344" s="150" t="str">
        <f aca="false">$CZ344</f>
        <v/>
      </c>
      <c r="DM344" s="151" t="str">
        <f aca="false">$CY344</f>
        <v/>
      </c>
      <c r="DN344" s="149" t="str">
        <f aca="false">IF(ISBLANK($C344),"",$DB344)</f>
        <v/>
      </c>
      <c r="DO344" s="152" t="str">
        <f aca="false">IF($DF344&gt;$DE$8,"",VLOOKUP($DF344,$DH$9:$DN$508,7,FALSE()))</f>
        <v/>
      </c>
      <c r="DP344" s="153" t="str">
        <f aca="false">IF($DF344&gt;$DE$8,"",VLOOKUP($DF344,$DH$9:$DN$508,2,FALSE()))</f>
        <v/>
      </c>
      <c r="DQ344" s="153" t="str">
        <f aca="false">IF($DF344&gt;$DE$8,"",VLOOKUP($DF344,$DH$9:$DN$508,3,FALSE()))</f>
        <v/>
      </c>
      <c r="DR344" s="153" t="str">
        <f aca="false">IF($DF344&gt;$DE$8,"",VLOOKUP($DF344,$DH$9:$DN$508,4,FALSE()))</f>
        <v/>
      </c>
      <c r="DS344" s="153" t="str">
        <f aca="false">IF($DF344&gt;$DE$8,"",VLOOKUP($DF344,$DH$9:$DN$508,5,FALSE()))</f>
        <v/>
      </c>
      <c r="DT344" s="154" t="str">
        <f aca="false">IF($DF344&gt;$DE$8,"",VLOOKUP($DF344,$DH$9:$DN$508,6,FALSE()))</f>
        <v/>
      </c>
      <c r="DU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IF(ISBLANK($C345),"",IF(E345=Constants!$B$3,TRUE(),IF(E345=Constants!$B$4,FALSE(),TRUE())))</f>
        <v/>
      </c>
      <c r="AG345" s="93" t="str">
        <f aca="false">IF(ISBLANK($C345),"",IF(F345=Constants!$B$3,TRUE(),IF(F345=Constants!$B$4,FALSE(),TRUE())))</f>
        <v/>
      </c>
      <c r="AH345" s="93" t="str">
        <f aca="false">IF(ISBLANK($C345),"",IF(G345=Constants!$B$3,TRUE(),IF(G345=Constants!$B$4,FALSE(),TRUE())))</f>
        <v/>
      </c>
      <c r="AI345" s="93" t="str">
        <f aca="false">IF(ISBLANK($C345),"",IF(AND(ISNUMBER(H345),H345&gt;=0),H345,Constants!$B$29))</f>
        <v/>
      </c>
      <c r="AJ345" s="93" t="str">
        <f aca="false">IF(ISBLANK($C345),"",IF(I345=Constants!$B$3,TRUE(),IF(I345=Constants!$B$4,FALSE(),TRUE())))</f>
        <v/>
      </c>
      <c r="AK345" s="93" t="str">
        <f aca="false">IF(ISBLANK($C345),"",IF(J345=Constants!$B$3,TRUE(),IF(J345=Constants!$B$4,FALSE(),TRUE())))</f>
        <v/>
      </c>
      <c r="AL345" s="93" t="str">
        <f aca="false">IF(ISBLANK($C345),"",IF(K345=Constants!$B$5,TRUE(),IF(K345=Constants!$B$6,FALSE(),COUNTA(L345:P345)&gt;0)))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IF(ISBLANK($C345),"",IF(N345=Constants!$B$3,TRUE(),IF(N345=Constants!$B$4,FALSE(),TRUE())))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IF(ISBLANK($C345),"",IF(P345=Constants!$B$3,TRUE(),IF(P345=Constants!$B$4,FALSE(),FALSE())))</f>
        <v/>
      </c>
      <c r="AR345" s="93" t="str">
        <f aca="false">IF(ISBLANK($C345),"",IF(Q345=Constants!$B$3,TRUE(),IF(Q345=Constants!$B$4,FALSE(),TRUE())))</f>
        <v/>
      </c>
      <c r="AS345" s="93" t="str">
        <f aca="false">IF(ISBLANK($C345),"",IF(R345=Constants!$B$3,TRUE(),IF(R345=Constants!$B$4,FALSE(),TRUE())))</f>
        <v/>
      </c>
      <c r="AT345" s="93" t="str">
        <f aca="false">IF(ISBLANK($C345),"",IF(S345=Constants!$B$5,TRUE(),IF(S345=Constants!$B$6,FALSE(),COUNTA(T345:X345)&gt;0)))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IF(ISBLANK($C345),"",IF(V345=Constants!$B$3,TRUE(),IF(V345=Constants!$B$4,FALSE(),TRUE())))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IF(ISBLANK($C345),"",IF(X345=Constants!$B$3,TRUE(),IF(X345=Constants!$B$4,FALSE(),FALSE())))</f>
        <v/>
      </c>
      <c r="AZ345" s="93" t="str">
        <f aca="false">IF(ISBLANK($C345),"",MIN(Constants!$B$31,MAX(0,IF(ISNUMBER(Y345),Y345*60,0)+IF(ISNUMBER(Z345),Z345,0))))</f>
        <v/>
      </c>
      <c r="BA345" s="93" t="str">
        <f aca="false">IF(ISBLANK($C345),"",IF(AA345=Constants!$B$3,TRUE(),IF(AA345=Constants!$B$4,FALSE(),FALSE())))</f>
        <v/>
      </c>
      <c r="BB345" s="92" t="str">
        <f aca="false">IF(ISBLANK($C345),"",AND($AL345,OR($AM345="",$AN345="",AND($AO345,$AP345=""))))</f>
        <v/>
      </c>
      <c r="BC345" s="94" t="str">
        <f aca="false">IF($BZ345&lt;&gt;Constants!$B$8,"",IF($AL345,Constants!$B$21*$AN345+Constants!$B$22*IF($AO345,$AP345,Constants!$B$23),Constants!$B$24))</f>
        <v/>
      </c>
      <c r="BD345" s="97" t="str">
        <f aca="false">IF($BZ345&lt;&gt;Constants!$B$8,"",Constants!$B$25*ABS($AD$9-IF($AL345,$AM345,0)))</f>
        <v/>
      </c>
      <c r="BE345" s="97" t="str">
        <f aca="false">IF($BZ345&lt;&gt;Constants!$B$8,"",IF(AND($AL345,$AQ345,$AO345),Constants!$B$27,0))</f>
        <v/>
      </c>
      <c r="BF345" s="97" t="str">
        <f aca="false">IF($BZ345&lt;&gt;Constants!$B$8,"",IF($AL345,($AI345-Constants!$B$29)*Constants!$B$28,0))</f>
        <v/>
      </c>
      <c r="BG345" s="97" t="str">
        <f aca="false">IF($BZ345&lt;&gt;Constants!$B$8,"",IF($AK345,0,Constants!$B$15)+IF($AJ345,0,Constants!$B$16)+IF($AH345,0,Constants!$B$17))</f>
        <v/>
      </c>
      <c r="BH345" s="98" t="str">
        <f aca="false">IF($BZ345&lt;&gt;Constants!$B$8,"",Constants!$B$20+SUM($BC345:$BG345))</f>
        <v/>
      </c>
      <c r="BI345" s="97" t="str">
        <f aca="false">IF($BZ345&lt;&gt;Constants!$B$8,"",$BC345)</f>
        <v/>
      </c>
      <c r="BJ345" s="97" t="str">
        <f aca="false">IF($BZ345&lt;&gt;Constants!$B$8,"",$BD345)</f>
        <v/>
      </c>
      <c r="BK345" s="97" t="str">
        <f aca="false">IF($BZ345&lt;&gt;Constants!$B$8,"",IF($AL345,$AN345,""))</f>
        <v/>
      </c>
      <c r="BL345" s="99" t="str">
        <f aca="false">IF($BZ345&lt;&gt;Constants!$B$8,"",$AI345)</f>
        <v/>
      </c>
      <c r="BM345" s="93" t="str">
        <f aca="false">IF($BZ345&lt;&gt;Constants!$B$8,"",IF(OR($BT345&lt;$BH345,AND($BT345=$BH345,OR($BU345&lt;$BI345,AND($BU345=$BI345,OR($BV345&lt;$BJ345,AND($BV345=$BJ345,OR(AND(ISNUMBER($BW345),OR(NOT(ISNUMBER($BK345)),$BW345&lt;$BK345)),AND(OR(AND($BW345="",$BK345=""),AND(ISNUMBER($BW345),ISNUMBER($BK345),$BW345=$BK345)),$BX345&lt;$BL345)))))))),"-&gt;","&lt;-"))</f>
        <v/>
      </c>
      <c r="BN345" s="92" t="str">
        <f aca="false">IF(ISBLANK($C345),"",AND($AT345,OR($AU345="",$AV345="",AND($AW345,$AX345=""))))</f>
        <v/>
      </c>
      <c r="BO345" s="94" t="str">
        <f aca="false">IF($BZ345&lt;&gt;Constants!$B$8,"",IF($AT345,Constants!$B$21*$AV345+Constants!$B$22*IF($AW345,$AX345,Constants!$B$23),Constants!$B$24))</f>
        <v/>
      </c>
      <c r="BP345" s="97" t="str">
        <f aca="false">IF($BZ345&lt;&gt;Constants!$B$8,"",Constants!$B$25*ABS($AD$9-IF($AT345,$AU345,0)))</f>
        <v/>
      </c>
      <c r="BQ345" s="97" t="str">
        <f aca="false">IF($BZ345&lt;&gt;Constants!$B$8,"",IF(AND($AT345,$AY345,$AW345),Constants!$B$27,0))</f>
        <v/>
      </c>
      <c r="BR345" s="97" t="str">
        <f aca="false">IF($BZ345&lt;&gt;Constants!$B$8,"",IF($AT345,($AI345-Constants!$B$29)*Constants!$B$28,0))</f>
        <v/>
      </c>
      <c r="BS345" s="97" t="str">
        <f aca="false">IF($BZ345&lt;&gt;Constants!$B$8,"",IF($AS345,0,Constants!$B$15)+IF($AR345,0,Constants!$B$16)+IF($AH345,0,Constants!$B$17))</f>
        <v/>
      </c>
      <c r="BT345" s="98" t="str">
        <f aca="false">IF($BZ345&lt;&gt;Constants!$B$8,"",Constants!$B$20+SUM($BO345:$BS345))</f>
        <v/>
      </c>
      <c r="BU345" s="97" t="str">
        <f aca="false">IF($BZ345&lt;&gt;Constants!$B$8,"",$BO345)</f>
        <v/>
      </c>
      <c r="BV345" s="97" t="str">
        <f aca="false">IF($BZ345&lt;&gt;Constants!$B$8,"",$BP345)</f>
        <v/>
      </c>
      <c r="BW345" s="97" t="str">
        <f aca="false">IF($BZ345&lt;&gt;Constants!$B$8,"",IF($AT345,$AV345,""))</f>
        <v/>
      </c>
      <c r="BX345" s="99" t="str">
        <f aca="false">IF($BZ345&lt;&gt;Constants!$B$8,"",$AI345)</f>
        <v/>
      </c>
      <c r="BY345" s="93" t="str">
        <f aca="false">IF(ISBLANK($C345),"",IF(ISBLANK($D$7),$BY$5,IF(NOT(ISNUMBER($D$7)),$BY$6,"")))</f>
        <v/>
      </c>
      <c r="BZ345" s="93" t="str">
        <f aca="false">IF(ISBLANK($C345),"",IF($BA345,Constants!$B$11,IF(COUNTA($E345:$AA345)=0,Constants!$B$10,IF(NOT($AG345),Constants!$B$9,IF(OR($BY345&lt;&gt;"",$BB345,$BN345),Constants!$B$12,Constants!$B$8)))))</f>
        <v/>
      </c>
      <c r="CA345" s="93" t="str">
        <f aca="false">IF(ISBLANK($C345),"",IF($BZ345&lt;&gt;Constants!$B$8,$BZ345,Constants!$B$13))</f>
        <v/>
      </c>
      <c r="CB345" s="97" t="str">
        <f aca="false">IF($BZ345&lt;&gt;Constants!$B$8,"",IF($BM345="-&gt;",$BT345,$BH345))</f>
        <v/>
      </c>
      <c r="CC345" s="97" t="str">
        <f aca="false">IF($BZ345&lt;&gt;Constants!$B$8,"",IF($AF345,0,Constants!$B$18))</f>
        <v/>
      </c>
      <c r="CD345" s="97" t="str">
        <f aca="false">IF($BZ345&lt;&gt;Constants!$B$8,"",((Constants!$B$31-$AZ345)-Constants!$B$31)/Constants!$B$32)</f>
        <v/>
      </c>
      <c r="CE345" s="97" t="str">
        <f aca="false">IF(ISBLANK($C345),"",IF($BZ345&lt;&gt;Constants!$B$8,$BZ345,SUM($CB345:$CD345)))</f>
        <v/>
      </c>
      <c r="CF345" s="93" t="str">
        <f aca="false">IF(ISBLANK($C345),"",IF($BZ345&lt;&gt;Constants!$B$8,$BZ345,RANK($CE345,$CE$9:$CE$508,1)))</f>
        <v/>
      </c>
      <c r="CG345" s="97" t="str">
        <f aca="false">IF($BZ345&lt;&gt;Constants!$B$8,"",IF($BM345="-&gt;",$BU345,$BI345))</f>
        <v/>
      </c>
      <c r="CH345" s="93" t="str">
        <f aca="false">IF(ISBLANK($C345),"",IF($BZ345&lt;&gt;Constants!$B$8,$BZ345,IF(ISNUMBER($CG345),RANK($CG345,$CG$9:$CG$508,1),COUNT($CG$9:$CG$508)+1)))</f>
        <v/>
      </c>
      <c r="CI345" s="97" t="str">
        <f aca="false">IF($BZ345&lt;&gt;Constants!$B$8,"",IF($BM345="-&gt;",$BV345,$BJ345))</f>
        <v/>
      </c>
      <c r="CJ345" s="93" t="str">
        <f aca="false">IF(ISBLANK($C345),"",IF($BZ345&lt;&gt;Constants!$B$8,$BZ345,IF(ISNUMBER($CI345),RANK($CI345,$CI$9:$CI$508,1),COUNT($CI$9:$CI$508)+1)))</f>
        <v/>
      </c>
      <c r="CK345" s="97" t="str">
        <f aca="false">IF($BZ345&lt;&gt;Constants!$B$8,"",IF($BM345="-&gt;",$BW345,$BK345))</f>
        <v/>
      </c>
      <c r="CL345" s="93" t="str">
        <f aca="false">IF(ISBLANK($C345),"",IF($BZ345&lt;&gt;Constants!$B$8,$BZ345,IF(ISNUMBER($CK345),RANK($CK345,$CK$9:$CK$508,1),COUNT($CK$9:$CK$508)+1)))</f>
        <v/>
      </c>
      <c r="CM345" s="97" t="str">
        <f aca="false">IF($BZ345&lt;&gt;Constants!$B$8,"",IF(AND(NOT($AL345),NOT($AT345),$AJ345,$AK345,$AR345,$AS345),"",IF($BM345="-&gt;",$BX345,$BL345)))</f>
        <v/>
      </c>
      <c r="CN345" s="93" t="str">
        <f aca="false">IF(ISBLANK($C345),"",IF($BZ345&lt;&gt;Constants!$B$8,$BZ345,IF(ISNUMBER($CM345),RANK($CM345,$CM$9:$CM$508,1),COUNT($CM$9:$CM$508)+1)))</f>
        <v/>
      </c>
      <c r="CO345" s="93" t="str">
        <f aca="false">IF(ISBLANK($C345),"",IF($BZ345&lt;&gt;Constants!$B$8,$BZ345,COUNTIFS($CF$9:$CF$508,"&lt;"&amp;$CF345)+COUNTIFS($CF$9:$CF$508,$CF345,$CH$9:$CH$508,"&lt;"&amp;$CH345)+COUNTIFS($CF$9:$CF$508,$CF345,$CH$9:$CH$508,$CH345,$CJ$9:$CJ$508,"&lt;"&amp;$CJ345)+COUNTIFS($CF$9:$CF$508,$CF345,$CH$9:$CH$508,$CH345,$CJ$9:$CJ$508,$CJ345,$CL$9:$CL$508,"&lt;"&amp;$CL345)+COUNTIFS($CF$9:$CF$508,$CF345,$CH$9:$CH$508,$CH345,$CJ$9:$CJ$508,$CJ345,$CL$9:$CL$508,$CL345,$CN$9:$CN$508,"&lt;"&amp;$CN345)+1))</f>
        <v/>
      </c>
      <c r="CP345" s="93" t="str">
        <f aca="false">IF(ISBLANK($C345),"",IF($BZ345&lt;&gt;Constants!$B$8,$BZ345,$CF345-$CO345))</f>
        <v/>
      </c>
      <c r="CQ345" s="100"/>
      <c r="CR345" s="101"/>
      <c r="CS345" s="102" t="str">
        <f aca="false">IF(ISBLANK($C345),"",IF($BZ345=Constants!$B$12,$BY345,""))</f>
        <v/>
      </c>
      <c r="CT345" s="101" t="str">
        <f aca="false">IF(ISBLANK($C345),"",IF($BZ345&lt;&gt;Constants!$B$8,"",IF($BM345="-&gt;",2,1)))</f>
        <v/>
      </c>
      <c r="CU345" s="103" t="str">
        <f aca="false">IF(ISBLANK($C345),"",IF($BZ345&lt;&gt;Constants!$B$8,"",IF($BM345="-&gt;",$BO345,$BC345)))</f>
        <v/>
      </c>
      <c r="CV345" s="103" t="str">
        <f aca="false">IF(ISBLANK($C345),"",IF($BZ345&lt;&gt;Constants!$B$8,"",IF($BM345="-&gt;",$BP345,$BD345)))</f>
        <v/>
      </c>
      <c r="CW345" s="103" t="str">
        <f aca="false">IF(ISBLANK($C345),"",IF($BZ345&lt;&gt;Constants!$B$8,"",IF($BM345="-&gt;",$BQ345+$BR345,$BE345+$BF345)+$CD345))</f>
        <v/>
      </c>
      <c r="CX345" s="103" t="str">
        <f aca="false">IF(ISBLANK($C345),"",IF($BZ345&lt;&gt;Constants!$B$8,"",IF($BM345="-&gt;",$BS345,$BG345)+$CC345))</f>
        <v/>
      </c>
      <c r="CY345" s="104" t="str">
        <f aca="false">IF(ISBLANK($C345),"",IF($BZ345&lt;&gt;Constants!$B$8,$BZ345,$CE345))</f>
        <v/>
      </c>
      <c r="CZ345" s="105" t="str">
        <f aca="false">IF(ISBLANK($C345),"",$CA345)</f>
        <v/>
      </c>
      <c r="DA345" s="106" t="str">
        <f aca="false">IF(ISBLANK($C345),"",$CP345)</f>
        <v/>
      </c>
      <c r="DB345" s="106" t="str">
        <f aca="false">IF(ISBLANK($C345),"",$CO345)</f>
        <v/>
      </c>
      <c r="DC345" s="107" t="str">
        <f aca="false">IF(ISBLANK($C345),"",IFERROR(_xlfn.SWITCH($DB345,Constants!$B$11,COUNTA($C$9:$C$508)+2,Constants!$B$10,COUNTA($C$9:$C$508)+1,Constants!$B$9,COUNTA($C$9:$C$508)),$DB345))</f>
        <v/>
      </c>
      <c r="DD345" s="9"/>
      <c r="DE345" s="108" t="n">
        <f aca="false">IF(OR(ISNUMBER($DB345),$DB345=Constants!$B$11,$DB345=Constants!$B$9,$DB345=Constants!$B$10),1,0)</f>
        <v>0</v>
      </c>
      <c r="DF345" s="108" t="n">
        <v>337</v>
      </c>
      <c r="DG345" s="108" t="str">
        <f aca="false">IF(ISBLANK($C345),"",IF(ISNUMBER($DC345),$DC345+ROW($B345)/1000,""))</f>
        <v/>
      </c>
      <c r="DH345" s="108" t="str">
        <f aca="false">IF(ISNUMBER($DG345),RANK($DG345,$DG$9:$DG$508,1),"")</f>
        <v/>
      </c>
      <c r="DI345" s="108" t="str">
        <f aca="false">IF(ISBLANK($C345),"",$B345)</f>
        <v/>
      </c>
      <c r="DJ345" s="108" t="str">
        <f aca="false">IF(ISBLANK($C345),"",$C345)</f>
        <v/>
      </c>
      <c r="DK345" s="108" t="str">
        <f aca="false">IF(ISBLANK($C345),"",$D345)</f>
        <v/>
      </c>
      <c r="DL345" s="109" t="str">
        <f aca="false">$CZ345</f>
        <v/>
      </c>
      <c r="DM345" s="110" t="str">
        <f aca="false">$CY345</f>
        <v/>
      </c>
      <c r="DN345" s="108" t="str">
        <f aca="false">IF(ISBLANK($C345),"",$DB345)</f>
        <v/>
      </c>
      <c r="DO345" s="111" t="str">
        <f aca="false">IF($DF345&gt;$DE$8,"",VLOOKUP($DF345,$DH$9:$DN$508,7,FALSE()))</f>
        <v/>
      </c>
      <c r="DP345" s="112" t="str">
        <f aca="false">IF($DF345&gt;$DE$8,"",VLOOKUP($DF345,$DH$9:$DN$508,2,FALSE()))</f>
        <v/>
      </c>
      <c r="DQ345" s="112" t="str">
        <f aca="false">IF($DF345&gt;$DE$8,"",VLOOKUP($DF345,$DH$9:$DN$508,3,FALSE()))</f>
        <v/>
      </c>
      <c r="DR345" s="112" t="str">
        <f aca="false">IF($DF345&gt;$DE$8,"",VLOOKUP($DF345,$DH$9:$DN$508,4,FALSE()))</f>
        <v/>
      </c>
      <c r="DS345" s="112" t="str">
        <f aca="false">IF($DF345&gt;$DE$8,"",VLOOKUP($DF345,$DH$9:$DN$508,5,FALSE()))</f>
        <v/>
      </c>
      <c r="DT345" s="113" t="str">
        <f aca="false">IF($DF345&gt;$DE$8,"",VLOOKUP($DF345,$DH$9:$DN$508,6,FALSE()))</f>
        <v/>
      </c>
      <c r="DU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IF(ISBLANK($C346),"",IF(E346=Constants!$B$3,TRUE(),IF(E346=Constants!$B$4,FALSE(),TRUE())))</f>
        <v/>
      </c>
      <c r="AG346" s="93" t="str">
        <f aca="false">IF(ISBLANK($C346),"",IF(F346=Constants!$B$3,TRUE(),IF(F346=Constants!$B$4,FALSE(),TRUE())))</f>
        <v/>
      </c>
      <c r="AH346" s="93" t="str">
        <f aca="false">IF(ISBLANK($C346),"",IF(G346=Constants!$B$3,TRUE(),IF(G346=Constants!$B$4,FALSE(),TRUE())))</f>
        <v/>
      </c>
      <c r="AI346" s="93" t="str">
        <f aca="false">IF(ISBLANK($C346),"",IF(AND(ISNUMBER(H346),H346&gt;=0),H346,Constants!$B$29))</f>
        <v/>
      </c>
      <c r="AJ346" s="93" t="str">
        <f aca="false">IF(ISBLANK($C346),"",IF(I346=Constants!$B$3,TRUE(),IF(I346=Constants!$B$4,FALSE(),TRUE())))</f>
        <v/>
      </c>
      <c r="AK346" s="93" t="str">
        <f aca="false">IF(ISBLANK($C346),"",IF(J346=Constants!$B$3,TRUE(),IF(J346=Constants!$B$4,FALSE(),TRUE())))</f>
        <v/>
      </c>
      <c r="AL346" s="93" t="str">
        <f aca="false">IF(ISBLANK($C346),"",IF(K346=Constants!$B$5,TRUE(),IF(K346=Constants!$B$6,FALSE(),COUNTA(L346:P346)&gt;0)))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IF(ISBLANK($C346),"",IF(N346=Constants!$B$3,TRUE(),IF(N346=Constants!$B$4,FALSE(),TRUE())))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IF(ISBLANK($C346),"",IF(P346=Constants!$B$3,TRUE(),IF(P346=Constants!$B$4,FALSE(),FALSE())))</f>
        <v/>
      </c>
      <c r="AR346" s="93" t="str">
        <f aca="false">IF(ISBLANK($C346),"",IF(Q346=Constants!$B$3,TRUE(),IF(Q346=Constants!$B$4,FALSE(),TRUE())))</f>
        <v/>
      </c>
      <c r="AS346" s="93" t="str">
        <f aca="false">IF(ISBLANK($C346),"",IF(R346=Constants!$B$3,TRUE(),IF(R346=Constants!$B$4,FALSE(),TRUE())))</f>
        <v/>
      </c>
      <c r="AT346" s="93" t="str">
        <f aca="false">IF(ISBLANK($C346),"",IF(S346=Constants!$B$5,TRUE(),IF(S346=Constants!$B$6,FALSE(),COUNTA(T346:X346)&gt;0)))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IF(ISBLANK($C346),"",IF(V346=Constants!$B$3,TRUE(),IF(V346=Constants!$B$4,FALSE(),TRUE())))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IF(ISBLANK($C346),"",IF(X346=Constants!$B$3,TRUE(),IF(X346=Constants!$B$4,FALSE(),FALSE())))</f>
        <v/>
      </c>
      <c r="AZ346" s="93" t="str">
        <f aca="false">IF(ISBLANK($C346),"",MIN(Constants!$B$31,MAX(0,IF(ISNUMBER(Y346),Y346*60,0)+IF(ISNUMBER(Z346),Z346,0))))</f>
        <v/>
      </c>
      <c r="BA346" s="93" t="str">
        <f aca="false">IF(ISBLANK($C346),"",IF(AA346=Constants!$B$3,TRUE(),IF(AA346=Constants!$B$4,FALSE(),FALSE())))</f>
        <v/>
      </c>
      <c r="BB346" s="92" t="str">
        <f aca="false">IF(ISBLANK($C346),"",AND($AL346,OR($AM346="",$AN346="",AND($AO346,$AP346=""))))</f>
        <v/>
      </c>
      <c r="BC346" s="94" t="str">
        <f aca="false">IF($BZ346&lt;&gt;Constants!$B$8,"",IF($AL346,Constants!$B$21*$AN346+Constants!$B$22*IF($AO346,$AP346,Constants!$B$23),Constants!$B$24))</f>
        <v/>
      </c>
      <c r="BD346" s="97" t="str">
        <f aca="false">IF($BZ346&lt;&gt;Constants!$B$8,"",Constants!$B$25*ABS($AD$9-IF($AL346,$AM346,0)))</f>
        <v/>
      </c>
      <c r="BE346" s="97" t="str">
        <f aca="false">IF($BZ346&lt;&gt;Constants!$B$8,"",IF(AND($AL346,$AQ346,$AO346),Constants!$B$27,0))</f>
        <v/>
      </c>
      <c r="BF346" s="97" t="str">
        <f aca="false">IF($BZ346&lt;&gt;Constants!$B$8,"",IF($AL346,($AI346-Constants!$B$29)*Constants!$B$28,0))</f>
        <v/>
      </c>
      <c r="BG346" s="97" t="str">
        <f aca="false">IF($BZ346&lt;&gt;Constants!$B$8,"",IF($AK346,0,Constants!$B$15)+IF($AJ346,0,Constants!$B$16)+IF($AH346,0,Constants!$B$17))</f>
        <v/>
      </c>
      <c r="BH346" s="98" t="str">
        <f aca="false">IF($BZ346&lt;&gt;Constants!$B$8,"",Constants!$B$20+SUM($BC346:$BG346))</f>
        <v/>
      </c>
      <c r="BI346" s="97" t="str">
        <f aca="false">IF($BZ346&lt;&gt;Constants!$B$8,"",$BC346)</f>
        <v/>
      </c>
      <c r="BJ346" s="97" t="str">
        <f aca="false">IF($BZ346&lt;&gt;Constants!$B$8,"",$BD346)</f>
        <v/>
      </c>
      <c r="BK346" s="97" t="str">
        <f aca="false">IF($BZ346&lt;&gt;Constants!$B$8,"",IF($AL346,$AN346,""))</f>
        <v/>
      </c>
      <c r="BL346" s="99" t="str">
        <f aca="false">IF($BZ346&lt;&gt;Constants!$B$8,"",$AI346)</f>
        <v/>
      </c>
      <c r="BM346" s="93" t="str">
        <f aca="false">IF($BZ346&lt;&gt;Constants!$B$8,"",IF(OR($BT346&lt;$BH346,AND($BT346=$BH346,OR($BU346&lt;$BI346,AND($BU346=$BI346,OR($BV346&lt;$BJ346,AND($BV346=$BJ346,OR(AND(ISNUMBER($BW346),OR(NOT(ISNUMBER($BK346)),$BW346&lt;$BK346)),AND(OR(AND($BW346="",$BK346=""),AND(ISNUMBER($BW346),ISNUMBER($BK346),$BW346=$BK346)),$BX346&lt;$BL346)))))))),"-&gt;","&lt;-"))</f>
        <v/>
      </c>
      <c r="BN346" s="92" t="str">
        <f aca="false">IF(ISBLANK($C346),"",AND($AT346,OR($AU346="",$AV346="",AND($AW346,$AX346=""))))</f>
        <v/>
      </c>
      <c r="BO346" s="94" t="str">
        <f aca="false">IF($BZ346&lt;&gt;Constants!$B$8,"",IF($AT346,Constants!$B$21*$AV346+Constants!$B$22*IF($AW346,$AX346,Constants!$B$23),Constants!$B$24))</f>
        <v/>
      </c>
      <c r="BP346" s="97" t="str">
        <f aca="false">IF($BZ346&lt;&gt;Constants!$B$8,"",Constants!$B$25*ABS($AD$9-IF($AT346,$AU346,0)))</f>
        <v/>
      </c>
      <c r="BQ346" s="97" t="str">
        <f aca="false">IF($BZ346&lt;&gt;Constants!$B$8,"",IF(AND($AT346,$AY346,$AW346),Constants!$B$27,0))</f>
        <v/>
      </c>
      <c r="BR346" s="97" t="str">
        <f aca="false">IF($BZ346&lt;&gt;Constants!$B$8,"",IF($AT346,($AI346-Constants!$B$29)*Constants!$B$28,0))</f>
        <v/>
      </c>
      <c r="BS346" s="97" t="str">
        <f aca="false">IF($BZ346&lt;&gt;Constants!$B$8,"",IF($AS346,0,Constants!$B$15)+IF($AR346,0,Constants!$B$16)+IF($AH346,0,Constants!$B$17))</f>
        <v/>
      </c>
      <c r="BT346" s="98" t="str">
        <f aca="false">IF($BZ346&lt;&gt;Constants!$B$8,"",Constants!$B$20+SUM($BO346:$BS346))</f>
        <v/>
      </c>
      <c r="BU346" s="97" t="str">
        <f aca="false">IF($BZ346&lt;&gt;Constants!$B$8,"",$BO346)</f>
        <v/>
      </c>
      <c r="BV346" s="97" t="str">
        <f aca="false">IF($BZ346&lt;&gt;Constants!$B$8,"",$BP346)</f>
        <v/>
      </c>
      <c r="BW346" s="97" t="str">
        <f aca="false">IF($BZ346&lt;&gt;Constants!$B$8,"",IF($AT346,$AV346,""))</f>
        <v/>
      </c>
      <c r="BX346" s="99" t="str">
        <f aca="false">IF($BZ346&lt;&gt;Constants!$B$8,"",$AI346)</f>
        <v/>
      </c>
      <c r="BY346" s="93" t="str">
        <f aca="false">IF(ISBLANK($C346),"",IF(ISBLANK($D$7),$BY$5,IF(NOT(ISNUMBER($D$7)),$BY$6,"")))</f>
        <v/>
      </c>
      <c r="BZ346" s="93" t="str">
        <f aca="false">IF(ISBLANK($C346),"",IF($BA346,Constants!$B$11,IF(COUNTA($E346:$AA346)=0,Constants!$B$10,IF(NOT($AG346),Constants!$B$9,IF(OR($BY346&lt;&gt;"",$BB346,$BN346),Constants!$B$12,Constants!$B$8)))))</f>
        <v/>
      </c>
      <c r="CA346" s="93" t="str">
        <f aca="false">IF(ISBLANK($C346),"",IF($BZ346&lt;&gt;Constants!$B$8,$BZ346,Constants!$B$13))</f>
        <v/>
      </c>
      <c r="CB346" s="97" t="str">
        <f aca="false">IF($BZ346&lt;&gt;Constants!$B$8,"",IF($BM346="-&gt;",$BT346,$BH346))</f>
        <v/>
      </c>
      <c r="CC346" s="97" t="str">
        <f aca="false">IF($BZ346&lt;&gt;Constants!$B$8,"",IF($AF346,0,Constants!$B$18))</f>
        <v/>
      </c>
      <c r="CD346" s="97" t="str">
        <f aca="false">IF($BZ346&lt;&gt;Constants!$B$8,"",((Constants!$B$31-$AZ346)-Constants!$B$31)/Constants!$B$32)</f>
        <v/>
      </c>
      <c r="CE346" s="97" t="str">
        <f aca="false">IF(ISBLANK($C346),"",IF($BZ346&lt;&gt;Constants!$B$8,$BZ346,SUM($CB346:$CD346)))</f>
        <v/>
      </c>
      <c r="CF346" s="93" t="str">
        <f aca="false">IF(ISBLANK($C346),"",IF($BZ346&lt;&gt;Constants!$B$8,$BZ346,RANK($CE346,$CE$9:$CE$508,1)))</f>
        <v/>
      </c>
      <c r="CG346" s="97" t="str">
        <f aca="false">IF($BZ346&lt;&gt;Constants!$B$8,"",IF($BM346="-&gt;",$BU346,$BI346))</f>
        <v/>
      </c>
      <c r="CH346" s="93" t="str">
        <f aca="false">IF(ISBLANK($C346),"",IF($BZ346&lt;&gt;Constants!$B$8,$BZ346,IF(ISNUMBER($CG346),RANK($CG346,$CG$9:$CG$508,1),COUNT($CG$9:$CG$508)+1)))</f>
        <v/>
      </c>
      <c r="CI346" s="97" t="str">
        <f aca="false">IF($BZ346&lt;&gt;Constants!$B$8,"",IF($BM346="-&gt;",$BV346,$BJ346))</f>
        <v/>
      </c>
      <c r="CJ346" s="93" t="str">
        <f aca="false">IF(ISBLANK($C346),"",IF($BZ346&lt;&gt;Constants!$B$8,$BZ346,IF(ISNUMBER($CI346),RANK($CI346,$CI$9:$CI$508,1),COUNT($CI$9:$CI$508)+1)))</f>
        <v/>
      </c>
      <c r="CK346" s="97" t="str">
        <f aca="false">IF($BZ346&lt;&gt;Constants!$B$8,"",IF($BM346="-&gt;",$BW346,$BK346))</f>
        <v/>
      </c>
      <c r="CL346" s="93" t="str">
        <f aca="false">IF(ISBLANK($C346),"",IF($BZ346&lt;&gt;Constants!$B$8,$BZ346,IF(ISNUMBER($CK346),RANK($CK346,$CK$9:$CK$508,1),COUNT($CK$9:$CK$508)+1)))</f>
        <v/>
      </c>
      <c r="CM346" s="97" t="str">
        <f aca="false">IF($BZ346&lt;&gt;Constants!$B$8,"",IF(AND(NOT($AL346),NOT($AT346),$AJ346,$AK346,$AR346,$AS346),"",IF($BM346="-&gt;",$BX346,$BL346)))</f>
        <v/>
      </c>
      <c r="CN346" s="93" t="str">
        <f aca="false">IF(ISBLANK($C346),"",IF($BZ346&lt;&gt;Constants!$B$8,$BZ346,IF(ISNUMBER($CM346),RANK($CM346,$CM$9:$CM$508,1),COUNT($CM$9:$CM$508)+1)))</f>
        <v/>
      </c>
      <c r="CO346" s="93" t="str">
        <f aca="false">IF(ISBLANK($C346),"",IF($BZ346&lt;&gt;Constants!$B$8,$BZ346,COUNTIFS($CF$9:$CF$508,"&lt;"&amp;$CF346)+COUNTIFS($CF$9:$CF$508,$CF346,$CH$9:$CH$508,"&lt;"&amp;$CH346)+COUNTIFS($CF$9:$CF$508,$CF346,$CH$9:$CH$508,$CH346,$CJ$9:$CJ$508,"&lt;"&amp;$CJ346)+COUNTIFS($CF$9:$CF$508,$CF346,$CH$9:$CH$508,$CH346,$CJ$9:$CJ$508,$CJ346,$CL$9:$CL$508,"&lt;"&amp;$CL346)+COUNTIFS($CF$9:$CF$508,$CF346,$CH$9:$CH$508,$CH346,$CJ$9:$CJ$508,$CJ346,$CL$9:$CL$508,$CL346,$CN$9:$CN$508,"&lt;"&amp;$CN346)+1))</f>
        <v/>
      </c>
      <c r="CP346" s="93" t="str">
        <f aca="false">IF(ISBLANK($C346),"",IF($BZ346&lt;&gt;Constants!$B$8,$BZ346,$CF346-$CO346))</f>
        <v/>
      </c>
      <c r="CQ346" s="100"/>
      <c r="CR346" s="101"/>
      <c r="CS346" s="102" t="str">
        <f aca="false">IF(ISBLANK($C346),"",IF($BZ346=Constants!$B$12,$BY346,""))</f>
        <v/>
      </c>
      <c r="CT346" s="101" t="str">
        <f aca="false">IF(ISBLANK($C346),"",IF($BZ346&lt;&gt;Constants!$B$8,"",IF($BM346="-&gt;",2,1)))</f>
        <v/>
      </c>
      <c r="CU346" s="103" t="str">
        <f aca="false">IF(ISBLANK($C346),"",IF($BZ346&lt;&gt;Constants!$B$8,"",IF($BM346="-&gt;",$BO346,$BC346)))</f>
        <v/>
      </c>
      <c r="CV346" s="103" t="str">
        <f aca="false">IF(ISBLANK($C346),"",IF($BZ346&lt;&gt;Constants!$B$8,"",IF($BM346="-&gt;",$BP346,$BD346)))</f>
        <v/>
      </c>
      <c r="CW346" s="103" t="str">
        <f aca="false">IF(ISBLANK($C346),"",IF($BZ346&lt;&gt;Constants!$B$8,"",IF($BM346="-&gt;",$BQ346+$BR346,$BE346+$BF346)+$CD346))</f>
        <v/>
      </c>
      <c r="CX346" s="103" t="str">
        <f aca="false">IF(ISBLANK($C346),"",IF($BZ346&lt;&gt;Constants!$B$8,"",IF($BM346="-&gt;",$BS346,$BG346)+$CC346))</f>
        <v/>
      </c>
      <c r="CY346" s="104" t="str">
        <f aca="false">IF(ISBLANK($C346),"",IF($BZ346&lt;&gt;Constants!$B$8,$BZ346,$CE346))</f>
        <v/>
      </c>
      <c r="CZ346" s="105" t="str">
        <f aca="false">IF(ISBLANK($C346),"",$CA346)</f>
        <v/>
      </c>
      <c r="DA346" s="106" t="str">
        <f aca="false">IF(ISBLANK($C346),"",$CP346)</f>
        <v/>
      </c>
      <c r="DB346" s="106" t="str">
        <f aca="false">IF(ISBLANK($C346),"",$CO346)</f>
        <v/>
      </c>
      <c r="DC346" s="107" t="str">
        <f aca="false">IF(ISBLANK($C346),"",IFERROR(_xlfn.SWITCH($DB346,Constants!$B$11,COUNTA($C$9:$C$508)+2,Constants!$B$10,COUNTA($C$9:$C$508)+1,Constants!$B$9,COUNTA($C$9:$C$508)),$DB346))</f>
        <v/>
      </c>
      <c r="DD346" s="9"/>
      <c r="DE346" s="108" t="n">
        <f aca="false">IF(OR(ISNUMBER($DB346),$DB346=Constants!$B$11,$DB346=Constants!$B$9,$DB346=Constants!$B$10),1,0)</f>
        <v>0</v>
      </c>
      <c r="DF346" s="108" t="n">
        <v>338</v>
      </c>
      <c r="DG346" s="108" t="str">
        <f aca="false">IF(ISBLANK($C346),"",IF(ISNUMBER($DC346),$DC346+ROW($B346)/1000,""))</f>
        <v/>
      </c>
      <c r="DH346" s="108" t="str">
        <f aca="false">IF(ISNUMBER($DG346),RANK($DG346,$DG$9:$DG$508,1),"")</f>
        <v/>
      </c>
      <c r="DI346" s="108" t="str">
        <f aca="false">IF(ISBLANK($C346),"",$B346)</f>
        <v/>
      </c>
      <c r="DJ346" s="108" t="str">
        <f aca="false">IF(ISBLANK($C346),"",$C346)</f>
        <v/>
      </c>
      <c r="DK346" s="108" t="str">
        <f aca="false">IF(ISBLANK($C346),"",$D346)</f>
        <v/>
      </c>
      <c r="DL346" s="109" t="str">
        <f aca="false">$CZ346</f>
        <v/>
      </c>
      <c r="DM346" s="110" t="str">
        <f aca="false">$CY346</f>
        <v/>
      </c>
      <c r="DN346" s="108" t="str">
        <f aca="false">IF(ISBLANK($C346),"",$DB346)</f>
        <v/>
      </c>
      <c r="DO346" s="111" t="str">
        <f aca="false">IF($DF346&gt;$DE$8,"",VLOOKUP($DF346,$DH$9:$DN$508,7,FALSE()))</f>
        <v/>
      </c>
      <c r="DP346" s="112" t="str">
        <f aca="false">IF($DF346&gt;$DE$8,"",VLOOKUP($DF346,$DH$9:$DN$508,2,FALSE()))</f>
        <v/>
      </c>
      <c r="DQ346" s="112" t="str">
        <f aca="false">IF($DF346&gt;$DE$8,"",VLOOKUP($DF346,$DH$9:$DN$508,3,FALSE()))</f>
        <v/>
      </c>
      <c r="DR346" s="112" t="str">
        <f aca="false">IF($DF346&gt;$DE$8,"",VLOOKUP($DF346,$DH$9:$DN$508,4,FALSE()))</f>
        <v/>
      </c>
      <c r="DS346" s="112" t="str">
        <f aca="false">IF($DF346&gt;$DE$8,"",VLOOKUP($DF346,$DH$9:$DN$508,5,FALSE()))</f>
        <v/>
      </c>
      <c r="DT346" s="113" t="str">
        <f aca="false">IF($DF346&gt;$DE$8,"",VLOOKUP($DF346,$DH$9:$DN$508,6,FALSE()))</f>
        <v/>
      </c>
      <c r="DU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IF(ISBLANK($C347),"",IF(E347=Constants!$B$3,TRUE(),IF(E347=Constants!$B$4,FALSE(),TRUE())))</f>
        <v/>
      </c>
      <c r="AG347" s="93" t="str">
        <f aca="false">IF(ISBLANK($C347),"",IF(F347=Constants!$B$3,TRUE(),IF(F347=Constants!$B$4,FALSE(),TRUE())))</f>
        <v/>
      </c>
      <c r="AH347" s="93" t="str">
        <f aca="false">IF(ISBLANK($C347),"",IF(G347=Constants!$B$3,TRUE(),IF(G347=Constants!$B$4,FALSE(),TRUE())))</f>
        <v/>
      </c>
      <c r="AI347" s="93" t="str">
        <f aca="false">IF(ISBLANK($C347),"",IF(AND(ISNUMBER(H347),H347&gt;=0),H347,Constants!$B$29))</f>
        <v/>
      </c>
      <c r="AJ347" s="93" t="str">
        <f aca="false">IF(ISBLANK($C347),"",IF(I347=Constants!$B$3,TRUE(),IF(I347=Constants!$B$4,FALSE(),TRUE())))</f>
        <v/>
      </c>
      <c r="AK347" s="93" t="str">
        <f aca="false">IF(ISBLANK($C347),"",IF(J347=Constants!$B$3,TRUE(),IF(J347=Constants!$B$4,FALSE(),TRUE())))</f>
        <v/>
      </c>
      <c r="AL347" s="93" t="str">
        <f aca="false">IF(ISBLANK($C347),"",IF(K347=Constants!$B$5,TRUE(),IF(K347=Constants!$B$6,FALSE(),COUNTA(L347:P347)&gt;0)))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IF(ISBLANK($C347),"",IF(N347=Constants!$B$3,TRUE(),IF(N347=Constants!$B$4,FALSE(),TRUE())))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IF(ISBLANK($C347),"",IF(P347=Constants!$B$3,TRUE(),IF(P347=Constants!$B$4,FALSE(),FALSE())))</f>
        <v/>
      </c>
      <c r="AR347" s="93" t="str">
        <f aca="false">IF(ISBLANK($C347),"",IF(Q347=Constants!$B$3,TRUE(),IF(Q347=Constants!$B$4,FALSE(),TRUE())))</f>
        <v/>
      </c>
      <c r="AS347" s="93" t="str">
        <f aca="false">IF(ISBLANK($C347),"",IF(R347=Constants!$B$3,TRUE(),IF(R347=Constants!$B$4,FALSE(),TRUE())))</f>
        <v/>
      </c>
      <c r="AT347" s="93" t="str">
        <f aca="false">IF(ISBLANK($C347),"",IF(S347=Constants!$B$5,TRUE(),IF(S347=Constants!$B$6,FALSE(),COUNTA(T347:X347)&gt;0)))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IF(ISBLANK($C347),"",IF(V347=Constants!$B$3,TRUE(),IF(V347=Constants!$B$4,FALSE(),TRUE())))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IF(ISBLANK($C347),"",IF(X347=Constants!$B$3,TRUE(),IF(X347=Constants!$B$4,FALSE(),FALSE())))</f>
        <v/>
      </c>
      <c r="AZ347" s="93" t="str">
        <f aca="false">IF(ISBLANK($C347),"",MIN(Constants!$B$31,MAX(0,IF(ISNUMBER(Y347),Y347*60,0)+IF(ISNUMBER(Z347),Z347,0))))</f>
        <v/>
      </c>
      <c r="BA347" s="93" t="str">
        <f aca="false">IF(ISBLANK($C347),"",IF(AA347=Constants!$B$3,TRUE(),IF(AA347=Constants!$B$4,FALSE(),FALSE())))</f>
        <v/>
      </c>
      <c r="BB347" s="92" t="str">
        <f aca="false">IF(ISBLANK($C347),"",AND($AL347,OR($AM347="",$AN347="",AND($AO347,$AP347=""))))</f>
        <v/>
      </c>
      <c r="BC347" s="94" t="str">
        <f aca="false">IF($BZ347&lt;&gt;Constants!$B$8,"",IF($AL347,Constants!$B$21*$AN347+Constants!$B$22*IF($AO347,$AP347,Constants!$B$23),Constants!$B$24))</f>
        <v/>
      </c>
      <c r="BD347" s="97" t="str">
        <f aca="false">IF($BZ347&lt;&gt;Constants!$B$8,"",Constants!$B$25*ABS($AD$9-IF($AL347,$AM347,0)))</f>
        <v/>
      </c>
      <c r="BE347" s="97" t="str">
        <f aca="false">IF($BZ347&lt;&gt;Constants!$B$8,"",IF(AND($AL347,$AQ347,$AO347),Constants!$B$27,0))</f>
        <v/>
      </c>
      <c r="BF347" s="97" t="str">
        <f aca="false">IF($BZ347&lt;&gt;Constants!$B$8,"",IF($AL347,($AI347-Constants!$B$29)*Constants!$B$28,0))</f>
        <v/>
      </c>
      <c r="BG347" s="97" t="str">
        <f aca="false">IF($BZ347&lt;&gt;Constants!$B$8,"",IF($AK347,0,Constants!$B$15)+IF($AJ347,0,Constants!$B$16)+IF($AH347,0,Constants!$B$17))</f>
        <v/>
      </c>
      <c r="BH347" s="98" t="str">
        <f aca="false">IF($BZ347&lt;&gt;Constants!$B$8,"",Constants!$B$20+SUM($BC347:$BG347))</f>
        <v/>
      </c>
      <c r="BI347" s="97" t="str">
        <f aca="false">IF($BZ347&lt;&gt;Constants!$B$8,"",$BC347)</f>
        <v/>
      </c>
      <c r="BJ347" s="97" t="str">
        <f aca="false">IF($BZ347&lt;&gt;Constants!$B$8,"",$BD347)</f>
        <v/>
      </c>
      <c r="BK347" s="97" t="str">
        <f aca="false">IF($BZ347&lt;&gt;Constants!$B$8,"",IF($AL347,$AN347,""))</f>
        <v/>
      </c>
      <c r="BL347" s="99" t="str">
        <f aca="false">IF($BZ347&lt;&gt;Constants!$B$8,"",$AI347)</f>
        <v/>
      </c>
      <c r="BM347" s="93" t="str">
        <f aca="false">IF($BZ347&lt;&gt;Constants!$B$8,"",IF(OR($BT347&lt;$BH347,AND($BT347=$BH347,OR($BU347&lt;$BI347,AND($BU347=$BI347,OR($BV347&lt;$BJ347,AND($BV347=$BJ347,OR(AND(ISNUMBER($BW347),OR(NOT(ISNUMBER($BK347)),$BW347&lt;$BK347)),AND(OR(AND($BW347="",$BK347=""),AND(ISNUMBER($BW347),ISNUMBER($BK347),$BW347=$BK347)),$BX347&lt;$BL347)))))))),"-&gt;","&lt;-"))</f>
        <v/>
      </c>
      <c r="BN347" s="92" t="str">
        <f aca="false">IF(ISBLANK($C347),"",AND($AT347,OR($AU347="",$AV347="",AND($AW347,$AX347=""))))</f>
        <v/>
      </c>
      <c r="BO347" s="94" t="str">
        <f aca="false">IF($BZ347&lt;&gt;Constants!$B$8,"",IF($AT347,Constants!$B$21*$AV347+Constants!$B$22*IF($AW347,$AX347,Constants!$B$23),Constants!$B$24))</f>
        <v/>
      </c>
      <c r="BP347" s="97" t="str">
        <f aca="false">IF($BZ347&lt;&gt;Constants!$B$8,"",Constants!$B$25*ABS($AD$9-IF($AT347,$AU347,0)))</f>
        <v/>
      </c>
      <c r="BQ347" s="97" t="str">
        <f aca="false">IF($BZ347&lt;&gt;Constants!$B$8,"",IF(AND($AT347,$AY347,$AW347),Constants!$B$27,0))</f>
        <v/>
      </c>
      <c r="BR347" s="97" t="str">
        <f aca="false">IF($BZ347&lt;&gt;Constants!$B$8,"",IF($AT347,($AI347-Constants!$B$29)*Constants!$B$28,0))</f>
        <v/>
      </c>
      <c r="BS347" s="97" t="str">
        <f aca="false">IF($BZ347&lt;&gt;Constants!$B$8,"",IF($AS347,0,Constants!$B$15)+IF($AR347,0,Constants!$B$16)+IF($AH347,0,Constants!$B$17))</f>
        <v/>
      </c>
      <c r="BT347" s="98" t="str">
        <f aca="false">IF($BZ347&lt;&gt;Constants!$B$8,"",Constants!$B$20+SUM($BO347:$BS347))</f>
        <v/>
      </c>
      <c r="BU347" s="97" t="str">
        <f aca="false">IF($BZ347&lt;&gt;Constants!$B$8,"",$BO347)</f>
        <v/>
      </c>
      <c r="BV347" s="97" t="str">
        <f aca="false">IF($BZ347&lt;&gt;Constants!$B$8,"",$BP347)</f>
        <v/>
      </c>
      <c r="BW347" s="97" t="str">
        <f aca="false">IF($BZ347&lt;&gt;Constants!$B$8,"",IF($AT347,$AV347,""))</f>
        <v/>
      </c>
      <c r="BX347" s="99" t="str">
        <f aca="false">IF($BZ347&lt;&gt;Constants!$B$8,"",$AI347)</f>
        <v/>
      </c>
      <c r="BY347" s="93" t="str">
        <f aca="false">IF(ISBLANK($C347),"",IF(ISBLANK($D$7),$BY$5,IF(NOT(ISNUMBER($D$7)),$BY$6,"")))</f>
        <v/>
      </c>
      <c r="BZ347" s="93" t="str">
        <f aca="false">IF(ISBLANK($C347),"",IF($BA347,Constants!$B$11,IF(COUNTA($E347:$AA347)=0,Constants!$B$10,IF(NOT($AG347),Constants!$B$9,IF(OR($BY347&lt;&gt;"",$BB347,$BN347),Constants!$B$12,Constants!$B$8)))))</f>
        <v/>
      </c>
      <c r="CA347" s="93" t="str">
        <f aca="false">IF(ISBLANK($C347),"",IF($BZ347&lt;&gt;Constants!$B$8,$BZ347,Constants!$B$13))</f>
        <v/>
      </c>
      <c r="CB347" s="97" t="str">
        <f aca="false">IF($BZ347&lt;&gt;Constants!$B$8,"",IF($BM347="-&gt;",$BT347,$BH347))</f>
        <v/>
      </c>
      <c r="CC347" s="97" t="str">
        <f aca="false">IF($BZ347&lt;&gt;Constants!$B$8,"",IF($AF347,0,Constants!$B$18))</f>
        <v/>
      </c>
      <c r="CD347" s="97" t="str">
        <f aca="false">IF($BZ347&lt;&gt;Constants!$B$8,"",((Constants!$B$31-$AZ347)-Constants!$B$31)/Constants!$B$32)</f>
        <v/>
      </c>
      <c r="CE347" s="97" t="str">
        <f aca="false">IF(ISBLANK($C347),"",IF($BZ347&lt;&gt;Constants!$B$8,$BZ347,SUM($CB347:$CD347)))</f>
        <v/>
      </c>
      <c r="CF347" s="93" t="str">
        <f aca="false">IF(ISBLANK($C347),"",IF($BZ347&lt;&gt;Constants!$B$8,$BZ347,RANK($CE347,$CE$9:$CE$508,1)))</f>
        <v/>
      </c>
      <c r="CG347" s="97" t="str">
        <f aca="false">IF($BZ347&lt;&gt;Constants!$B$8,"",IF($BM347="-&gt;",$BU347,$BI347))</f>
        <v/>
      </c>
      <c r="CH347" s="93" t="str">
        <f aca="false">IF(ISBLANK($C347),"",IF($BZ347&lt;&gt;Constants!$B$8,$BZ347,IF(ISNUMBER($CG347),RANK($CG347,$CG$9:$CG$508,1),COUNT($CG$9:$CG$508)+1)))</f>
        <v/>
      </c>
      <c r="CI347" s="97" t="str">
        <f aca="false">IF($BZ347&lt;&gt;Constants!$B$8,"",IF($BM347="-&gt;",$BV347,$BJ347))</f>
        <v/>
      </c>
      <c r="CJ347" s="93" t="str">
        <f aca="false">IF(ISBLANK($C347),"",IF($BZ347&lt;&gt;Constants!$B$8,$BZ347,IF(ISNUMBER($CI347),RANK($CI347,$CI$9:$CI$508,1),COUNT($CI$9:$CI$508)+1)))</f>
        <v/>
      </c>
      <c r="CK347" s="97" t="str">
        <f aca="false">IF($BZ347&lt;&gt;Constants!$B$8,"",IF($BM347="-&gt;",$BW347,$BK347))</f>
        <v/>
      </c>
      <c r="CL347" s="93" t="str">
        <f aca="false">IF(ISBLANK($C347),"",IF($BZ347&lt;&gt;Constants!$B$8,$BZ347,IF(ISNUMBER($CK347),RANK($CK347,$CK$9:$CK$508,1),COUNT($CK$9:$CK$508)+1)))</f>
        <v/>
      </c>
      <c r="CM347" s="97" t="str">
        <f aca="false">IF($BZ347&lt;&gt;Constants!$B$8,"",IF(AND(NOT($AL347),NOT($AT347),$AJ347,$AK347,$AR347,$AS347),"",IF($BM347="-&gt;",$BX347,$BL347)))</f>
        <v/>
      </c>
      <c r="CN347" s="93" t="str">
        <f aca="false">IF(ISBLANK($C347),"",IF($BZ347&lt;&gt;Constants!$B$8,$BZ347,IF(ISNUMBER($CM347),RANK($CM347,$CM$9:$CM$508,1),COUNT($CM$9:$CM$508)+1)))</f>
        <v/>
      </c>
      <c r="CO347" s="93" t="str">
        <f aca="false">IF(ISBLANK($C347),"",IF($BZ347&lt;&gt;Constants!$B$8,$BZ347,COUNTIFS($CF$9:$CF$508,"&lt;"&amp;$CF347)+COUNTIFS($CF$9:$CF$508,$CF347,$CH$9:$CH$508,"&lt;"&amp;$CH347)+COUNTIFS($CF$9:$CF$508,$CF347,$CH$9:$CH$508,$CH347,$CJ$9:$CJ$508,"&lt;"&amp;$CJ347)+COUNTIFS($CF$9:$CF$508,$CF347,$CH$9:$CH$508,$CH347,$CJ$9:$CJ$508,$CJ347,$CL$9:$CL$508,"&lt;"&amp;$CL347)+COUNTIFS($CF$9:$CF$508,$CF347,$CH$9:$CH$508,$CH347,$CJ$9:$CJ$508,$CJ347,$CL$9:$CL$508,$CL347,$CN$9:$CN$508,"&lt;"&amp;$CN347)+1))</f>
        <v/>
      </c>
      <c r="CP347" s="93" t="str">
        <f aca="false">IF(ISBLANK($C347),"",IF($BZ347&lt;&gt;Constants!$B$8,$BZ347,$CF347-$CO347))</f>
        <v/>
      </c>
      <c r="CQ347" s="100"/>
      <c r="CR347" s="101"/>
      <c r="CS347" s="102" t="str">
        <f aca="false">IF(ISBLANK($C347),"",IF($BZ347=Constants!$B$12,$BY347,""))</f>
        <v/>
      </c>
      <c r="CT347" s="101" t="str">
        <f aca="false">IF(ISBLANK($C347),"",IF($BZ347&lt;&gt;Constants!$B$8,"",IF($BM347="-&gt;",2,1)))</f>
        <v/>
      </c>
      <c r="CU347" s="103" t="str">
        <f aca="false">IF(ISBLANK($C347),"",IF($BZ347&lt;&gt;Constants!$B$8,"",IF($BM347="-&gt;",$BO347,$BC347)))</f>
        <v/>
      </c>
      <c r="CV347" s="103" t="str">
        <f aca="false">IF(ISBLANK($C347),"",IF($BZ347&lt;&gt;Constants!$B$8,"",IF($BM347="-&gt;",$BP347,$BD347)))</f>
        <v/>
      </c>
      <c r="CW347" s="103" t="str">
        <f aca="false">IF(ISBLANK($C347),"",IF($BZ347&lt;&gt;Constants!$B$8,"",IF($BM347="-&gt;",$BQ347+$BR347,$BE347+$BF347)+$CD347))</f>
        <v/>
      </c>
      <c r="CX347" s="103" t="str">
        <f aca="false">IF(ISBLANK($C347),"",IF($BZ347&lt;&gt;Constants!$B$8,"",IF($BM347="-&gt;",$BS347,$BG347)+$CC347))</f>
        <v/>
      </c>
      <c r="CY347" s="104" t="str">
        <f aca="false">IF(ISBLANK($C347),"",IF($BZ347&lt;&gt;Constants!$B$8,$BZ347,$CE347))</f>
        <v/>
      </c>
      <c r="CZ347" s="105" t="str">
        <f aca="false">IF(ISBLANK($C347),"",$CA347)</f>
        <v/>
      </c>
      <c r="DA347" s="106" t="str">
        <f aca="false">IF(ISBLANK($C347),"",$CP347)</f>
        <v/>
      </c>
      <c r="DB347" s="106" t="str">
        <f aca="false">IF(ISBLANK($C347),"",$CO347)</f>
        <v/>
      </c>
      <c r="DC347" s="107" t="str">
        <f aca="false">IF(ISBLANK($C347),"",IFERROR(_xlfn.SWITCH($DB347,Constants!$B$11,COUNTA($C$9:$C$508)+2,Constants!$B$10,COUNTA($C$9:$C$508)+1,Constants!$B$9,COUNTA($C$9:$C$508)),$DB347))</f>
        <v/>
      </c>
      <c r="DD347" s="9"/>
      <c r="DE347" s="108" t="n">
        <f aca="false">IF(OR(ISNUMBER($DB347),$DB347=Constants!$B$11,$DB347=Constants!$B$9,$DB347=Constants!$B$10),1,0)</f>
        <v>0</v>
      </c>
      <c r="DF347" s="108" t="n">
        <v>339</v>
      </c>
      <c r="DG347" s="108" t="str">
        <f aca="false">IF(ISBLANK($C347),"",IF(ISNUMBER($DC347),$DC347+ROW($B347)/1000,""))</f>
        <v/>
      </c>
      <c r="DH347" s="108" t="str">
        <f aca="false">IF(ISNUMBER($DG347),RANK($DG347,$DG$9:$DG$508,1),"")</f>
        <v/>
      </c>
      <c r="DI347" s="108" t="str">
        <f aca="false">IF(ISBLANK($C347),"",$B347)</f>
        <v/>
      </c>
      <c r="DJ347" s="108" t="str">
        <f aca="false">IF(ISBLANK($C347),"",$C347)</f>
        <v/>
      </c>
      <c r="DK347" s="108" t="str">
        <f aca="false">IF(ISBLANK($C347),"",$D347)</f>
        <v/>
      </c>
      <c r="DL347" s="109" t="str">
        <f aca="false">$CZ347</f>
        <v/>
      </c>
      <c r="DM347" s="110" t="str">
        <f aca="false">$CY347</f>
        <v/>
      </c>
      <c r="DN347" s="108" t="str">
        <f aca="false">IF(ISBLANK($C347),"",$DB347)</f>
        <v/>
      </c>
      <c r="DO347" s="111" t="str">
        <f aca="false">IF($DF347&gt;$DE$8,"",VLOOKUP($DF347,$DH$9:$DN$508,7,FALSE()))</f>
        <v/>
      </c>
      <c r="DP347" s="112" t="str">
        <f aca="false">IF($DF347&gt;$DE$8,"",VLOOKUP($DF347,$DH$9:$DN$508,2,FALSE()))</f>
        <v/>
      </c>
      <c r="DQ347" s="112" t="str">
        <f aca="false">IF($DF347&gt;$DE$8,"",VLOOKUP($DF347,$DH$9:$DN$508,3,FALSE()))</f>
        <v/>
      </c>
      <c r="DR347" s="112" t="str">
        <f aca="false">IF($DF347&gt;$DE$8,"",VLOOKUP($DF347,$DH$9:$DN$508,4,FALSE()))</f>
        <v/>
      </c>
      <c r="DS347" s="112" t="str">
        <f aca="false">IF($DF347&gt;$DE$8,"",VLOOKUP($DF347,$DH$9:$DN$508,5,FALSE()))</f>
        <v/>
      </c>
      <c r="DT347" s="113" t="str">
        <f aca="false">IF($DF347&gt;$DE$8,"",VLOOKUP($DF347,$DH$9:$DN$508,6,FALSE()))</f>
        <v/>
      </c>
      <c r="DU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IF(ISBLANK($C348),"",IF(E348=Constants!$B$3,TRUE(),IF(E348=Constants!$B$4,FALSE(),TRUE())))</f>
        <v/>
      </c>
      <c r="AG348" s="135" t="str">
        <f aca="false">IF(ISBLANK($C348),"",IF(F348=Constants!$B$3,TRUE(),IF(F348=Constants!$B$4,FALSE(),TRUE())))</f>
        <v/>
      </c>
      <c r="AH348" s="135" t="str">
        <f aca="false">IF(ISBLANK($C348),"",IF(G348=Constants!$B$3,TRUE(),IF(G348=Constants!$B$4,FALSE(),TRUE())))</f>
        <v/>
      </c>
      <c r="AI348" s="135" t="str">
        <f aca="false">IF(ISBLANK($C348),"",IF(AND(ISNUMBER(H348),H348&gt;=0),H348,Constants!$B$29))</f>
        <v/>
      </c>
      <c r="AJ348" s="135" t="str">
        <f aca="false">IF(ISBLANK($C348),"",IF(I348=Constants!$B$3,TRUE(),IF(I348=Constants!$B$4,FALSE(),TRUE())))</f>
        <v/>
      </c>
      <c r="AK348" s="135" t="str">
        <f aca="false">IF(ISBLANK($C348),"",IF(J348=Constants!$B$3,TRUE(),IF(J348=Constants!$B$4,FALSE(),TRUE())))</f>
        <v/>
      </c>
      <c r="AL348" s="135" t="str">
        <f aca="false">IF(ISBLANK($C348),"",IF(K348=Constants!$B$5,TRUE(),IF(K348=Constants!$B$6,FALSE(),COUNTA(L348:P348)&gt;0)))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IF(ISBLANK($C348),"",IF(N348=Constants!$B$3,TRUE(),IF(N348=Constants!$B$4,FALSE(),TRUE())))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IF(ISBLANK($C348),"",IF(P348=Constants!$B$3,TRUE(),IF(P348=Constants!$B$4,FALSE(),FALSE())))</f>
        <v/>
      </c>
      <c r="AR348" s="135" t="str">
        <f aca="false">IF(ISBLANK($C348),"",IF(Q348=Constants!$B$3,TRUE(),IF(Q348=Constants!$B$4,FALSE(),TRUE())))</f>
        <v/>
      </c>
      <c r="AS348" s="135" t="str">
        <f aca="false">IF(ISBLANK($C348),"",IF(R348=Constants!$B$3,TRUE(),IF(R348=Constants!$B$4,FALSE(),TRUE())))</f>
        <v/>
      </c>
      <c r="AT348" s="135" t="str">
        <f aca="false">IF(ISBLANK($C348),"",IF(S348=Constants!$B$5,TRUE(),IF(S348=Constants!$B$6,FALSE(),COUNTA(T348:X348)&gt;0)))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IF(ISBLANK($C348),"",IF(V348=Constants!$B$3,TRUE(),IF(V348=Constants!$B$4,FALSE(),TRUE())))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IF(ISBLANK($C348),"",IF(X348=Constants!$B$3,TRUE(),IF(X348=Constants!$B$4,FALSE(),FALSE())))</f>
        <v/>
      </c>
      <c r="AZ348" s="135" t="str">
        <f aca="false">IF(ISBLANK($C348),"",MIN(Constants!$B$31,MAX(0,IF(ISNUMBER(Y348),Y348*60,0)+IF(ISNUMBER(Z348),Z348,0))))</f>
        <v/>
      </c>
      <c r="BA348" s="135" t="str">
        <f aca="false">IF(ISBLANK($C348),"",IF(AA348=Constants!$B$3,TRUE(),IF(AA348=Constants!$B$4,FALSE(),FALSE())))</f>
        <v/>
      </c>
      <c r="BB348" s="134" t="str">
        <f aca="false">IF(ISBLANK($C348),"",AND($AL348,OR($AM348="",$AN348="",AND($AO348,$AP348=""))))</f>
        <v/>
      </c>
      <c r="BC348" s="137" t="str">
        <f aca="false">IF($BZ348&lt;&gt;Constants!$B$8,"",IF($AL348,Constants!$B$21*$AN348+Constants!$B$22*IF($AO348,$AP348,Constants!$B$23),Constants!$B$24))</f>
        <v/>
      </c>
      <c r="BD348" s="138" t="str">
        <f aca="false">IF($BZ348&lt;&gt;Constants!$B$8,"",Constants!$B$25*ABS($AD$9-IF($AL348,$AM348,0)))</f>
        <v/>
      </c>
      <c r="BE348" s="138" t="str">
        <f aca="false">IF($BZ348&lt;&gt;Constants!$B$8,"",IF(AND($AL348,$AQ348,$AO348),Constants!$B$27,0))</f>
        <v/>
      </c>
      <c r="BF348" s="138" t="str">
        <f aca="false">IF($BZ348&lt;&gt;Constants!$B$8,"",IF($AL348,($AI348-Constants!$B$29)*Constants!$B$28,0))</f>
        <v/>
      </c>
      <c r="BG348" s="138" t="str">
        <f aca="false">IF($BZ348&lt;&gt;Constants!$B$8,"",IF($AK348,0,Constants!$B$15)+IF($AJ348,0,Constants!$B$16)+IF($AH348,0,Constants!$B$17))</f>
        <v/>
      </c>
      <c r="BH348" s="139" t="str">
        <f aca="false">IF($BZ348&lt;&gt;Constants!$B$8,"",Constants!$B$20+SUM($BC348:$BG348))</f>
        <v/>
      </c>
      <c r="BI348" s="138" t="str">
        <f aca="false">IF($BZ348&lt;&gt;Constants!$B$8,"",$BC348)</f>
        <v/>
      </c>
      <c r="BJ348" s="138" t="str">
        <f aca="false">IF($BZ348&lt;&gt;Constants!$B$8,"",$BD348)</f>
        <v/>
      </c>
      <c r="BK348" s="138" t="str">
        <f aca="false">IF($BZ348&lt;&gt;Constants!$B$8,"",IF($AL348,$AN348,""))</f>
        <v/>
      </c>
      <c r="BL348" s="140" t="str">
        <f aca="false">IF($BZ348&lt;&gt;Constants!$B$8,"",$AI348)</f>
        <v/>
      </c>
      <c r="BM348" s="135" t="str">
        <f aca="false">IF($BZ348&lt;&gt;Constants!$B$8,"",IF(OR($BT348&lt;$BH348,AND($BT348=$BH348,OR($BU348&lt;$BI348,AND($BU348=$BI348,OR($BV348&lt;$BJ348,AND($BV348=$BJ348,OR(AND(ISNUMBER($BW348),OR(NOT(ISNUMBER($BK348)),$BW348&lt;$BK348)),AND(OR(AND($BW348="",$BK348=""),AND(ISNUMBER($BW348),ISNUMBER($BK348),$BW348=$BK348)),$BX348&lt;$BL348)))))))),"-&gt;","&lt;-"))</f>
        <v/>
      </c>
      <c r="BN348" s="134" t="str">
        <f aca="false">IF(ISBLANK($C348),"",AND($AT348,OR($AU348="",$AV348="",AND($AW348,$AX348=""))))</f>
        <v/>
      </c>
      <c r="BO348" s="137" t="str">
        <f aca="false">IF($BZ348&lt;&gt;Constants!$B$8,"",IF($AT348,Constants!$B$21*$AV348+Constants!$B$22*IF($AW348,$AX348,Constants!$B$23),Constants!$B$24))</f>
        <v/>
      </c>
      <c r="BP348" s="138" t="str">
        <f aca="false">IF($BZ348&lt;&gt;Constants!$B$8,"",Constants!$B$25*ABS($AD$9-IF($AT348,$AU348,0)))</f>
        <v/>
      </c>
      <c r="BQ348" s="138" t="str">
        <f aca="false">IF($BZ348&lt;&gt;Constants!$B$8,"",IF(AND($AT348,$AY348,$AW348),Constants!$B$27,0))</f>
        <v/>
      </c>
      <c r="BR348" s="138" t="str">
        <f aca="false">IF($BZ348&lt;&gt;Constants!$B$8,"",IF($AT348,($AI348-Constants!$B$29)*Constants!$B$28,0))</f>
        <v/>
      </c>
      <c r="BS348" s="138" t="str">
        <f aca="false">IF($BZ348&lt;&gt;Constants!$B$8,"",IF($AS348,0,Constants!$B$15)+IF($AR348,0,Constants!$B$16)+IF($AH348,0,Constants!$B$17))</f>
        <v/>
      </c>
      <c r="BT348" s="139" t="str">
        <f aca="false">IF($BZ348&lt;&gt;Constants!$B$8,"",Constants!$B$20+SUM($BO348:$BS348))</f>
        <v/>
      </c>
      <c r="BU348" s="138" t="str">
        <f aca="false">IF($BZ348&lt;&gt;Constants!$B$8,"",$BO348)</f>
        <v/>
      </c>
      <c r="BV348" s="138" t="str">
        <f aca="false">IF($BZ348&lt;&gt;Constants!$B$8,"",$BP348)</f>
        <v/>
      </c>
      <c r="BW348" s="138" t="str">
        <f aca="false">IF($BZ348&lt;&gt;Constants!$B$8,"",IF($AT348,$AV348,""))</f>
        <v/>
      </c>
      <c r="BX348" s="140" t="str">
        <f aca="false">IF($BZ348&lt;&gt;Constants!$B$8,"",$AI348)</f>
        <v/>
      </c>
      <c r="BY348" s="135" t="str">
        <f aca="false">IF(ISBLANK($C348),"",IF(ISBLANK($D$7),$BY$5,IF(NOT(ISNUMBER($D$7)),$BY$6,"")))</f>
        <v/>
      </c>
      <c r="BZ348" s="135" t="str">
        <f aca="false">IF(ISBLANK($C348),"",IF($BA348,Constants!$B$11,IF(COUNTA($E348:$AA348)=0,Constants!$B$10,IF(NOT($AG348),Constants!$B$9,IF(OR($BY348&lt;&gt;"",$BB348,$BN348),Constants!$B$12,Constants!$B$8)))))</f>
        <v/>
      </c>
      <c r="CA348" s="135" t="str">
        <f aca="false">IF(ISBLANK($C348),"",IF($BZ348&lt;&gt;Constants!$B$8,$BZ348,Constants!$B$13))</f>
        <v/>
      </c>
      <c r="CB348" s="138" t="str">
        <f aca="false">IF($BZ348&lt;&gt;Constants!$B$8,"",IF($BM348="-&gt;",$BT348,$BH348))</f>
        <v/>
      </c>
      <c r="CC348" s="138" t="str">
        <f aca="false">IF($BZ348&lt;&gt;Constants!$B$8,"",IF($AF348,0,Constants!$B$18))</f>
        <v/>
      </c>
      <c r="CD348" s="138" t="str">
        <f aca="false">IF($BZ348&lt;&gt;Constants!$B$8,"",((Constants!$B$31-$AZ348)-Constants!$B$31)/Constants!$B$32)</f>
        <v/>
      </c>
      <c r="CE348" s="138" t="str">
        <f aca="false">IF(ISBLANK($C348),"",IF($BZ348&lt;&gt;Constants!$B$8,$BZ348,SUM($CB348:$CD348)))</f>
        <v/>
      </c>
      <c r="CF348" s="135" t="str">
        <f aca="false">IF(ISBLANK($C348),"",IF($BZ348&lt;&gt;Constants!$B$8,$BZ348,RANK($CE348,$CE$9:$CE$508,1)))</f>
        <v/>
      </c>
      <c r="CG348" s="138" t="str">
        <f aca="false">IF($BZ348&lt;&gt;Constants!$B$8,"",IF($BM348="-&gt;",$BU348,$BI348))</f>
        <v/>
      </c>
      <c r="CH348" s="135" t="str">
        <f aca="false">IF(ISBLANK($C348),"",IF($BZ348&lt;&gt;Constants!$B$8,$BZ348,IF(ISNUMBER($CG348),RANK($CG348,$CG$9:$CG$508,1),COUNT($CG$9:$CG$508)+1)))</f>
        <v/>
      </c>
      <c r="CI348" s="138" t="str">
        <f aca="false">IF($BZ348&lt;&gt;Constants!$B$8,"",IF($BM348="-&gt;",$BV348,$BJ348))</f>
        <v/>
      </c>
      <c r="CJ348" s="135" t="str">
        <f aca="false">IF(ISBLANK($C348),"",IF($BZ348&lt;&gt;Constants!$B$8,$BZ348,IF(ISNUMBER($CI348),RANK($CI348,$CI$9:$CI$508,1),COUNT($CI$9:$CI$508)+1)))</f>
        <v/>
      </c>
      <c r="CK348" s="138" t="str">
        <f aca="false">IF($BZ348&lt;&gt;Constants!$B$8,"",IF($BM348="-&gt;",$BW348,$BK348))</f>
        <v/>
      </c>
      <c r="CL348" s="135" t="str">
        <f aca="false">IF(ISBLANK($C348),"",IF($BZ348&lt;&gt;Constants!$B$8,$BZ348,IF(ISNUMBER($CK348),RANK($CK348,$CK$9:$CK$508,1),COUNT($CK$9:$CK$508)+1)))</f>
        <v/>
      </c>
      <c r="CM348" s="138" t="str">
        <f aca="false">IF($BZ348&lt;&gt;Constants!$B$8,"",IF(AND(NOT($AL348),NOT($AT348),$AJ348,$AK348,$AR348,$AS348),"",IF($BM348="-&gt;",$BX348,$BL348)))</f>
        <v/>
      </c>
      <c r="CN348" s="135" t="str">
        <f aca="false">IF(ISBLANK($C348),"",IF($BZ348&lt;&gt;Constants!$B$8,$BZ348,IF(ISNUMBER($CM348),RANK($CM348,$CM$9:$CM$508,1),COUNT($CM$9:$CM$508)+1)))</f>
        <v/>
      </c>
      <c r="CO348" s="135" t="str">
        <f aca="false">IF(ISBLANK($C348),"",IF($BZ348&lt;&gt;Constants!$B$8,$BZ348,COUNTIFS($CF$9:$CF$508,"&lt;"&amp;$CF348)+COUNTIFS($CF$9:$CF$508,$CF348,$CH$9:$CH$508,"&lt;"&amp;$CH348)+COUNTIFS($CF$9:$CF$508,$CF348,$CH$9:$CH$508,$CH348,$CJ$9:$CJ$508,"&lt;"&amp;$CJ348)+COUNTIFS($CF$9:$CF$508,$CF348,$CH$9:$CH$508,$CH348,$CJ$9:$CJ$508,$CJ348,$CL$9:$CL$508,"&lt;"&amp;$CL348)+COUNTIFS($CF$9:$CF$508,$CF348,$CH$9:$CH$508,$CH348,$CJ$9:$CJ$508,$CJ348,$CL$9:$CL$508,$CL348,$CN$9:$CN$508,"&lt;"&amp;$CN348)+1))</f>
        <v/>
      </c>
      <c r="CP348" s="135" t="str">
        <f aca="false">IF(ISBLANK($C348),"",IF($BZ348&lt;&gt;Constants!$B$8,$BZ348,$CF348-$CO348))</f>
        <v/>
      </c>
      <c r="CQ348" s="141"/>
      <c r="CR348" s="142"/>
      <c r="CS348" s="143" t="str">
        <f aca="false">IF(ISBLANK($C348),"",IF($BZ348=Constants!$B$12,$BY348,""))</f>
        <v/>
      </c>
      <c r="CT348" s="142" t="str">
        <f aca="false">IF(ISBLANK($C348),"",IF($BZ348&lt;&gt;Constants!$B$8,"",IF($BM348="-&gt;",2,1)))</f>
        <v/>
      </c>
      <c r="CU348" s="144" t="str">
        <f aca="false">IF(ISBLANK($C348),"",IF($BZ348&lt;&gt;Constants!$B$8,"",IF($BM348="-&gt;",$BO348,$BC348)))</f>
        <v/>
      </c>
      <c r="CV348" s="144" t="str">
        <f aca="false">IF(ISBLANK($C348),"",IF($BZ348&lt;&gt;Constants!$B$8,"",IF($BM348="-&gt;",$BP348,$BD348)))</f>
        <v/>
      </c>
      <c r="CW348" s="144" t="str">
        <f aca="false">IF(ISBLANK($C348),"",IF($BZ348&lt;&gt;Constants!$B$8,"",IF($BM348="-&gt;",$BQ348+$BR348,$BE348+$BF348)+$CD348))</f>
        <v/>
      </c>
      <c r="CX348" s="144" t="str">
        <f aca="false">IF(ISBLANK($C348),"",IF($BZ348&lt;&gt;Constants!$B$8,"",IF($BM348="-&gt;",$BS348,$BG348)+$CC348))</f>
        <v/>
      </c>
      <c r="CY348" s="145" t="str">
        <f aca="false">IF(ISBLANK($C348),"",IF($BZ348&lt;&gt;Constants!$B$8,$BZ348,$CE348))</f>
        <v/>
      </c>
      <c r="CZ348" s="146" t="str">
        <f aca="false">IF(ISBLANK($C348),"",$CA348)</f>
        <v/>
      </c>
      <c r="DA348" s="147" t="str">
        <f aca="false">IF(ISBLANK($C348),"",$CP348)</f>
        <v/>
      </c>
      <c r="DB348" s="147" t="str">
        <f aca="false">IF(ISBLANK($C348),"",$CO348)</f>
        <v/>
      </c>
      <c r="DC348" s="148" t="str">
        <f aca="false">IF(ISBLANK($C348),"",IFERROR(_xlfn.SWITCH($DB348,Constants!$B$11,COUNTA($C$9:$C$508)+2,Constants!$B$10,COUNTA($C$9:$C$508)+1,Constants!$B$9,COUNTA($C$9:$C$508)),$DB348))</f>
        <v/>
      </c>
      <c r="DD348" s="9"/>
      <c r="DE348" s="149" t="n">
        <f aca="false">IF(OR(ISNUMBER($DB348),$DB348=Constants!$B$11,$DB348=Constants!$B$9,$DB348=Constants!$B$10),1,0)</f>
        <v>0</v>
      </c>
      <c r="DF348" s="149" t="n">
        <v>340</v>
      </c>
      <c r="DG348" s="149" t="str">
        <f aca="false">IF(ISBLANK($C348),"",IF(ISNUMBER($DC348),$DC348+ROW($B348)/1000,""))</f>
        <v/>
      </c>
      <c r="DH348" s="149" t="str">
        <f aca="false">IF(ISNUMBER($DG348),RANK($DG348,$DG$9:$DG$508,1),"")</f>
        <v/>
      </c>
      <c r="DI348" s="149" t="str">
        <f aca="false">IF(ISBLANK($C348),"",$B348)</f>
        <v/>
      </c>
      <c r="DJ348" s="149" t="str">
        <f aca="false">IF(ISBLANK($C348),"",$C348)</f>
        <v/>
      </c>
      <c r="DK348" s="149" t="str">
        <f aca="false">IF(ISBLANK($C348),"",$D348)</f>
        <v/>
      </c>
      <c r="DL348" s="150" t="str">
        <f aca="false">$CZ348</f>
        <v/>
      </c>
      <c r="DM348" s="151" t="str">
        <f aca="false">$CY348</f>
        <v/>
      </c>
      <c r="DN348" s="149" t="str">
        <f aca="false">IF(ISBLANK($C348),"",$DB348)</f>
        <v/>
      </c>
      <c r="DO348" s="152" t="str">
        <f aca="false">IF($DF348&gt;$DE$8,"",VLOOKUP($DF348,$DH$9:$DN$508,7,FALSE()))</f>
        <v/>
      </c>
      <c r="DP348" s="153" t="str">
        <f aca="false">IF($DF348&gt;$DE$8,"",VLOOKUP($DF348,$DH$9:$DN$508,2,FALSE()))</f>
        <v/>
      </c>
      <c r="DQ348" s="153" t="str">
        <f aca="false">IF($DF348&gt;$DE$8,"",VLOOKUP($DF348,$DH$9:$DN$508,3,FALSE()))</f>
        <v/>
      </c>
      <c r="DR348" s="153" t="str">
        <f aca="false">IF($DF348&gt;$DE$8,"",VLOOKUP($DF348,$DH$9:$DN$508,4,FALSE()))</f>
        <v/>
      </c>
      <c r="DS348" s="153" t="str">
        <f aca="false">IF($DF348&gt;$DE$8,"",VLOOKUP($DF348,$DH$9:$DN$508,5,FALSE()))</f>
        <v/>
      </c>
      <c r="DT348" s="154" t="str">
        <f aca="false">IF($DF348&gt;$DE$8,"",VLOOKUP($DF348,$DH$9:$DN$508,6,FALSE()))</f>
        <v/>
      </c>
      <c r="DU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IF(ISBLANK($C349),"",IF(E349=Constants!$B$3,TRUE(),IF(E349=Constants!$B$4,FALSE(),TRUE())))</f>
        <v/>
      </c>
      <c r="AG349" s="135" t="str">
        <f aca="false">IF(ISBLANK($C349),"",IF(F349=Constants!$B$3,TRUE(),IF(F349=Constants!$B$4,FALSE(),TRUE())))</f>
        <v/>
      </c>
      <c r="AH349" s="135" t="str">
        <f aca="false">IF(ISBLANK($C349),"",IF(G349=Constants!$B$3,TRUE(),IF(G349=Constants!$B$4,FALSE(),TRUE())))</f>
        <v/>
      </c>
      <c r="AI349" s="135" t="str">
        <f aca="false">IF(ISBLANK($C349),"",IF(AND(ISNUMBER(H349),H349&gt;=0),H349,Constants!$B$29))</f>
        <v/>
      </c>
      <c r="AJ349" s="135" t="str">
        <f aca="false">IF(ISBLANK($C349),"",IF(I349=Constants!$B$3,TRUE(),IF(I349=Constants!$B$4,FALSE(),TRUE())))</f>
        <v/>
      </c>
      <c r="AK349" s="135" t="str">
        <f aca="false">IF(ISBLANK($C349),"",IF(J349=Constants!$B$3,TRUE(),IF(J349=Constants!$B$4,FALSE(),TRUE())))</f>
        <v/>
      </c>
      <c r="AL349" s="135" t="str">
        <f aca="false">IF(ISBLANK($C349),"",IF(K349=Constants!$B$5,TRUE(),IF(K349=Constants!$B$6,FALSE(),COUNTA(L349:P349)&gt;0)))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IF(ISBLANK($C349),"",IF(N349=Constants!$B$3,TRUE(),IF(N349=Constants!$B$4,FALSE(),TRUE())))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IF(ISBLANK($C349),"",IF(P349=Constants!$B$3,TRUE(),IF(P349=Constants!$B$4,FALSE(),FALSE())))</f>
        <v/>
      </c>
      <c r="AR349" s="135" t="str">
        <f aca="false">IF(ISBLANK($C349),"",IF(Q349=Constants!$B$3,TRUE(),IF(Q349=Constants!$B$4,FALSE(),TRUE())))</f>
        <v/>
      </c>
      <c r="AS349" s="135" t="str">
        <f aca="false">IF(ISBLANK($C349),"",IF(R349=Constants!$B$3,TRUE(),IF(R349=Constants!$B$4,FALSE(),TRUE())))</f>
        <v/>
      </c>
      <c r="AT349" s="135" t="str">
        <f aca="false">IF(ISBLANK($C349),"",IF(S349=Constants!$B$5,TRUE(),IF(S349=Constants!$B$6,FALSE(),COUNTA(T349:X349)&gt;0)))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IF(ISBLANK($C349),"",IF(V349=Constants!$B$3,TRUE(),IF(V349=Constants!$B$4,FALSE(),TRUE())))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IF(ISBLANK($C349),"",IF(X349=Constants!$B$3,TRUE(),IF(X349=Constants!$B$4,FALSE(),FALSE())))</f>
        <v/>
      </c>
      <c r="AZ349" s="135" t="str">
        <f aca="false">IF(ISBLANK($C349),"",MIN(Constants!$B$31,MAX(0,IF(ISNUMBER(Y349),Y349*60,0)+IF(ISNUMBER(Z349),Z349,0))))</f>
        <v/>
      </c>
      <c r="BA349" s="135" t="str">
        <f aca="false">IF(ISBLANK($C349),"",IF(AA349=Constants!$B$3,TRUE(),IF(AA349=Constants!$B$4,FALSE(),FALSE())))</f>
        <v/>
      </c>
      <c r="BB349" s="134" t="str">
        <f aca="false">IF(ISBLANK($C349),"",AND($AL349,OR($AM349="",$AN349="",AND($AO349,$AP349=""))))</f>
        <v/>
      </c>
      <c r="BC349" s="137" t="str">
        <f aca="false">IF($BZ349&lt;&gt;Constants!$B$8,"",IF($AL349,Constants!$B$21*$AN349+Constants!$B$22*IF($AO349,$AP349,Constants!$B$23),Constants!$B$24))</f>
        <v/>
      </c>
      <c r="BD349" s="138" t="str">
        <f aca="false">IF($BZ349&lt;&gt;Constants!$B$8,"",Constants!$B$25*ABS($AD$9-IF($AL349,$AM349,0)))</f>
        <v/>
      </c>
      <c r="BE349" s="138" t="str">
        <f aca="false">IF($BZ349&lt;&gt;Constants!$B$8,"",IF(AND($AL349,$AQ349,$AO349),Constants!$B$27,0))</f>
        <v/>
      </c>
      <c r="BF349" s="138" t="str">
        <f aca="false">IF($BZ349&lt;&gt;Constants!$B$8,"",IF($AL349,($AI349-Constants!$B$29)*Constants!$B$28,0))</f>
        <v/>
      </c>
      <c r="BG349" s="138" t="str">
        <f aca="false">IF($BZ349&lt;&gt;Constants!$B$8,"",IF($AK349,0,Constants!$B$15)+IF($AJ349,0,Constants!$B$16)+IF($AH349,0,Constants!$B$17))</f>
        <v/>
      </c>
      <c r="BH349" s="139" t="str">
        <f aca="false">IF($BZ349&lt;&gt;Constants!$B$8,"",Constants!$B$20+SUM($BC349:$BG349))</f>
        <v/>
      </c>
      <c r="BI349" s="138" t="str">
        <f aca="false">IF($BZ349&lt;&gt;Constants!$B$8,"",$BC349)</f>
        <v/>
      </c>
      <c r="BJ349" s="138" t="str">
        <f aca="false">IF($BZ349&lt;&gt;Constants!$B$8,"",$BD349)</f>
        <v/>
      </c>
      <c r="BK349" s="138" t="str">
        <f aca="false">IF($BZ349&lt;&gt;Constants!$B$8,"",IF($AL349,$AN349,""))</f>
        <v/>
      </c>
      <c r="BL349" s="140" t="str">
        <f aca="false">IF($BZ349&lt;&gt;Constants!$B$8,"",$AI349)</f>
        <v/>
      </c>
      <c r="BM349" s="135" t="str">
        <f aca="false">IF($BZ349&lt;&gt;Constants!$B$8,"",IF(OR($BT349&lt;$BH349,AND($BT349=$BH349,OR($BU349&lt;$BI349,AND($BU349=$BI349,OR($BV349&lt;$BJ349,AND($BV349=$BJ349,OR(AND(ISNUMBER($BW349),OR(NOT(ISNUMBER($BK349)),$BW349&lt;$BK349)),AND(OR(AND($BW349="",$BK349=""),AND(ISNUMBER($BW349),ISNUMBER($BK349),$BW349=$BK349)),$BX349&lt;$BL349)))))))),"-&gt;","&lt;-"))</f>
        <v/>
      </c>
      <c r="BN349" s="134" t="str">
        <f aca="false">IF(ISBLANK($C349),"",AND($AT349,OR($AU349="",$AV349="",AND($AW349,$AX349=""))))</f>
        <v/>
      </c>
      <c r="BO349" s="137" t="str">
        <f aca="false">IF($BZ349&lt;&gt;Constants!$B$8,"",IF($AT349,Constants!$B$21*$AV349+Constants!$B$22*IF($AW349,$AX349,Constants!$B$23),Constants!$B$24))</f>
        <v/>
      </c>
      <c r="BP349" s="138" t="str">
        <f aca="false">IF($BZ349&lt;&gt;Constants!$B$8,"",Constants!$B$25*ABS($AD$9-IF($AT349,$AU349,0)))</f>
        <v/>
      </c>
      <c r="BQ349" s="138" t="str">
        <f aca="false">IF($BZ349&lt;&gt;Constants!$B$8,"",IF(AND($AT349,$AY349,$AW349),Constants!$B$27,0))</f>
        <v/>
      </c>
      <c r="BR349" s="138" t="str">
        <f aca="false">IF($BZ349&lt;&gt;Constants!$B$8,"",IF($AT349,($AI349-Constants!$B$29)*Constants!$B$28,0))</f>
        <v/>
      </c>
      <c r="BS349" s="138" t="str">
        <f aca="false">IF($BZ349&lt;&gt;Constants!$B$8,"",IF($AS349,0,Constants!$B$15)+IF($AR349,0,Constants!$B$16)+IF($AH349,0,Constants!$B$17))</f>
        <v/>
      </c>
      <c r="BT349" s="139" t="str">
        <f aca="false">IF($BZ349&lt;&gt;Constants!$B$8,"",Constants!$B$20+SUM($BO349:$BS349))</f>
        <v/>
      </c>
      <c r="BU349" s="138" t="str">
        <f aca="false">IF($BZ349&lt;&gt;Constants!$B$8,"",$BO349)</f>
        <v/>
      </c>
      <c r="BV349" s="138" t="str">
        <f aca="false">IF($BZ349&lt;&gt;Constants!$B$8,"",$BP349)</f>
        <v/>
      </c>
      <c r="BW349" s="138" t="str">
        <f aca="false">IF($BZ349&lt;&gt;Constants!$B$8,"",IF($AT349,$AV349,""))</f>
        <v/>
      </c>
      <c r="BX349" s="140" t="str">
        <f aca="false">IF($BZ349&lt;&gt;Constants!$B$8,"",$AI349)</f>
        <v/>
      </c>
      <c r="BY349" s="135" t="str">
        <f aca="false">IF(ISBLANK($C349),"",IF(ISBLANK($D$7),$BY$5,IF(NOT(ISNUMBER($D$7)),$BY$6,"")))</f>
        <v/>
      </c>
      <c r="BZ349" s="135" t="str">
        <f aca="false">IF(ISBLANK($C349),"",IF($BA349,Constants!$B$11,IF(COUNTA($E349:$AA349)=0,Constants!$B$10,IF(NOT($AG349),Constants!$B$9,IF(OR($BY349&lt;&gt;"",$BB349,$BN349),Constants!$B$12,Constants!$B$8)))))</f>
        <v/>
      </c>
      <c r="CA349" s="135" t="str">
        <f aca="false">IF(ISBLANK($C349),"",IF($BZ349&lt;&gt;Constants!$B$8,$BZ349,Constants!$B$13))</f>
        <v/>
      </c>
      <c r="CB349" s="138" t="str">
        <f aca="false">IF($BZ349&lt;&gt;Constants!$B$8,"",IF($BM349="-&gt;",$BT349,$BH349))</f>
        <v/>
      </c>
      <c r="CC349" s="138" t="str">
        <f aca="false">IF($BZ349&lt;&gt;Constants!$B$8,"",IF($AF349,0,Constants!$B$18))</f>
        <v/>
      </c>
      <c r="CD349" s="138" t="str">
        <f aca="false">IF($BZ349&lt;&gt;Constants!$B$8,"",((Constants!$B$31-$AZ349)-Constants!$B$31)/Constants!$B$32)</f>
        <v/>
      </c>
      <c r="CE349" s="138" t="str">
        <f aca="false">IF(ISBLANK($C349),"",IF($BZ349&lt;&gt;Constants!$B$8,$BZ349,SUM($CB349:$CD349)))</f>
        <v/>
      </c>
      <c r="CF349" s="135" t="str">
        <f aca="false">IF(ISBLANK($C349),"",IF($BZ349&lt;&gt;Constants!$B$8,$BZ349,RANK($CE349,$CE$9:$CE$508,1)))</f>
        <v/>
      </c>
      <c r="CG349" s="138" t="str">
        <f aca="false">IF($BZ349&lt;&gt;Constants!$B$8,"",IF($BM349="-&gt;",$BU349,$BI349))</f>
        <v/>
      </c>
      <c r="CH349" s="135" t="str">
        <f aca="false">IF(ISBLANK($C349),"",IF($BZ349&lt;&gt;Constants!$B$8,$BZ349,IF(ISNUMBER($CG349),RANK($CG349,$CG$9:$CG$508,1),COUNT($CG$9:$CG$508)+1)))</f>
        <v/>
      </c>
      <c r="CI349" s="138" t="str">
        <f aca="false">IF($BZ349&lt;&gt;Constants!$B$8,"",IF($BM349="-&gt;",$BV349,$BJ349))</f>
        <v/>
      </c>
      <c r="CJ349" s="135" t="str">
        <f aca="false">IF(ISBLANK($C349),"",IF($BZ349&lt;&gt;Constants!$B$8,$BZ349,IF(ISNUMBER($CI349),RANK($CI349,$CI$9:$CI$508,1),COUNT($CI$9:$CI$508)+1)))</f>
        <v/>
      </c>
      <c r="CK349" s="138" t="str">
        <f aca="false">IF($BZ349&lt;&gt;Constants!$B$8,"",IF($BM349="-&gt;",$BW349,$BK349))</f>
        <v/>
      </c>
      <c r="CL349" s="135" t="str">
        <f aca="false">IF(ISBLANK($C349),"",IF($BZ349&lt;&gt;Constants!$B$8,$BZ349,IF(ISNUMBER($CK349),RANK($CK349,$CK$9:$CK$508,1),COUNT($CK$9:$CK$508)+1)))</f>
        <v/>
      </c>
      <c r="CM349" s="138" t="str">
        <f aca="false">IF($BZ349&lt;&gt;Constants!$B$8,"",IF(AND(NOT($AL349),NOT($AT349),$AJ349,$AK349,$AR349,$AS349),"",IF($BM349="-&gt;",$BX349,$BL349)))</f>
        <v/>
      </c>
      <c r="CN349" s="135" t="str">
        <f aca="false">IF(ISBLANK($C349),"",IF($BZ349&lt;&gt;Constants!$B$8,$BZ349,IF(ISNUMBER($CM349),RANK($CM349,$CM$9:$CM$508,1),COUNT($CM$9:$CM$508)+1)))</f>
        <v/>
      </c>
      <c r="CO349" s="135" t="str">
        <f aca="false">IF(ISBLANK($C349),"",IF($BZ349&lt;&gt;Constants!$B$8,$BZ349,COUNTIFS($CF$9:$CF$508,"&lt;"&amp;$CF349)+COUNTIFS($CF$9:$CF$508,$CF349,$CH$9:$CH$508,"&lt;"&amp;$CH349)+COUNTIFS($CF$9:$CF$508,$CF349,$CH$9:$CH$508,$CH349,$CJ$9:$CJ$508,"&lt;"&amp;$CJ349)+COUNTIFS($CF$9:$CF$508,$CF349,$CH$9:$CH$508,$CH349,$CJ$9:$CJ$508,$CJ349,$CL$9:$CL$508,"&lt;"&amp;$CL349)+COUNTIFS($CF$9:$CF$508,$CF349,$CH$9:$CH$508,$CH349,$CJ$9:$CJ$508,$CJ349,$CL$9:$CL$508,$CL349,$CN$9:$CN$508,"&lt;"&amp;$CN349)+1))</f>
        <v/>
      </c>
      <c r="CP349" s="135" t="str">
        <f aca="false">IF(ISBLANK($C349),"",IF($BZ349&lt;&gt;Constants!$B$8,$BZ349,$CF349-$CO349))</f>
        <v/>
      </c>
      <c r="CQ349" s="141"/>
      <c r="CR349" s="142"/>
      <c r="CS349" s="143" t="str">
        <f aca="false">IF(ISBLANK($C349),"",IF($BZ349=Constants!$B$12,$BY349,""))</f>
        <v/>
      </c>
      <c r="CT349" s="142" t="str">
        <f aca="false">IF(ISBLANK($C349),"",IF($BZ349&lt;&gt;Constants!$B$8,"",IF($BM349="-&gt;",2,1)))</f>
        <v/>
      </c>
      <c r="CU349" s="144" t="str">
        <f aca="false">IF(ISBLANK($C349),"",IF($BZ349&lt;&gt;Constants!$B$8,"",IF($BM349="-&gt;",$BO349,$BC349)))</f>
        <v/>
      </c>
      <c r="CV349" s="144" t="str">
        <f aca="false">IF(ISBLANK($C349),"",IF($BZ349&lt;&gt;Constants!$B$8,"",IF($BM349="-&gt;",$BP349,$BD349)))</f>
        <v/>
      </c>
      <c r="CW349" s="144" t="str">
        <f aca="false">IF(ISBLANK($C349),"",IF($BZ349&lt;&gt;Constants!$B$8,"",IF($BM349="-&gt;",$BQ349+$BR349,$BE349+$BF349)+$CD349))</f>
        <v/>
      </c>
      <c r="CX349" s="144" t="str">
        <f aca="false">IF(ISBLANK($C349),"",IF($BZ349&lt;&gt;Constants!$B$8,"",IF($BM349="-&gt;",$BS349,$BG349)+$CC349))</f>
        <v/>
      </c>
      <c r="CY349" s="145" t="str">
        <f aca="false">IF(ISBLANK($C349),"",IF($BZ349&lt;&gt;Constants!$B$8,$BZ349,$CE349))</f>
        <v/>
      </c>
      <c r="CZ349" s="146" t="str">
        <f aca="false">IF(ISBLANK($C349),"",$CA349)</f>
        <v/>
      </c>
      <c r="DA349" s="147" t="str">
        <f aca="false">IF(ISBLANK($C349),"",$CP349)</f>
        <v/>
      </c>
      <c r="DB349" s="147" t="str">
        <f aca="false">IF(ISBLANK($C349),"",$CO349)</f>
        <v/>
      </c>
      <c r="DC349" s="148" t="str">
        <f aca="false">IF(ISBLANK($C349),"",IFERROR(_xlfn.SWITCH($DB349,Constants!$B$11,COUNTA($C$9:$C$508)+2,Constants!$B$10,COUNTA($C$9:$C$508)+1,Constants!$B$9,COUNTA($C$9:$C$508)),$DB349))</f>
        <v/>
      </c>
      <c r="DD349" s="9"/>
      <c r="DE349" s="149" t="n">
        <f aca="false">IF(OR(ISNUMBER($DB349),$DB349=Constants!$B$11,$DB349=Constants!$B$9,$DB349=Constants!$B$10),1,0)</f>
        <v>0</v>
      </c>
      <c r="DF349" s="149" t="n">
        <v>341</v>
      </c>
      <c r="DG349" s="149" t="str">
        <f aca="false">IF(ISBLANK($C349),"",IF(ISNUMBER($DC349),$DC349+ROW($B349)/1000,""))</f>
        <v/>
      </c>
      <c r="DH349" s="149" t="str">
        <f aca="false">IF(ISNUMBER($DG349),RANK($DG349,$DG$9:$DG$508,1),"")</f>
        <v/>
      </c>
      <c r="DI349" s="149" t="str">
        <f aca="false">IF(ISBLANK($C349),"",$B349)</f>
        <v/>
      </c>
      <c r="DJ349" s="149" t="str">
        <f aca="false">IF(ISBLANK($C349),"",$C349)</f>
        <v/>
      </c>
      <c r="DK349" s="149" t="str">
        <f aca="false">IF(ISBLANK($C349),"",$D349)</f>
        <v/>
      </c>
      <c r="DL349" s="150" t="str">
        <f aca="false">$CZ349</f>
        <v/>
      </c>
      <c r="DM349" s="151" t="str">
        <f aca="false">$CY349</f>
        <v/>
      </c>
      <c r="DN349" s="149" t="str">
        <f aca="false">IF(ISBLANK($C349),"",$DB349)</f>
        <v/>
      </c>
      <c r="DO349" s="152" t="str">
        <f aca="false">IF($DF349&gt;$DE$8,"",VLOOKUP($DF349,$DH$9:$DN$508,7,FALSE()))</f>
        <v/>
      </c>
      <c r="DP349" s="153" t="str">
        <f aca="false">IF($DF349&gt;$DE$8,"",VLOOKUP($DF349,$DH$9:$DN$508,2,FALSE()))</f>
        <v/>
      </c>
      <c r="DQ349" s="153" t="str">
        <f aca="false">IF($DF349&gt;$DE$8,"",VLOOKUP($DF349,$DH$9:$DN$508,3,FALSE()))</f>
        <v/>
      </c>
      <c r="DR349" s="153" t="str">
        <f aca="false">IF($DF349&gt;$DE$8,"",VLOOKUP($DF349,$DH$9:$DN$508,4,FALSE()))</f>
        <v/>
      </c>
      <c r="DS349" s="153" t="str">
        <f aca="false">IF($DF349&gt;$DE$8,"",VLOOKUP($DF349,$DH$9:$DN$508,5,FALSE()))</f>
        <v/>
      </c>
      <c r="DT349" s="154" t="str">
        <f aca="false">IF($DF349&gt;$DE$8,"",VLOOKUP($DF349,$DH$9:$DN$508,6,FALSE()))</f>
        <v/>
      </c>
      <c r="DU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IF(ISBLANK($C350),"",IF(E350=Constants!$B$3,TRUE(),IF(E350=Constants!$B$4,FALSE(),TRUE())))</f>
        <v/>
      </c>
      <c r="AG350" s="135" t="str">
        <f aca="false">IF(ISBLANK($C350),"",IF(F350=Constants!$B$3,TRUE(),IF(F350=Constants!$B$4,FALSE(),TRUE())))</f>
        <v/>
      </c>
      <c r="AH350" s="135" t="str">
        <f aca="false">IF(ISBLANK($C350),"",IF(G350=Constants!$B$3,TRUE(),IF(G350=Constants!$B$4,FALSE(),TRUE())))</f>
        <v/>
      </c>
      <c r="AI350" s="135" t="str">
        <f aca="false">IF(ISBLANK($C350),"",IF(AND(ISNUMBER(H350),H350&gt;=0),H350,Constants!$B$29))</f>
        <v/>
      </c>
      <c r="AJ350" s="135" t="str">
        <f aca="false">IF(ISBLANK($C350),"",IF(I350=Constants!$B$3,TRUE(),IF(I350=Constants!$B$4,FALSE(),TRUE())))</f>
        <v/>
      </c>
      <c r="AK350" s="135" t="str">
        <f aca="false">IF(ISBLANK($C350),"",IF(J350=Constants!$B$3,TRUE(),IF(J350=Constants!$B$4,FALSE(),TRUE())))</f>
        <v/>
      </c>
      <c r="AL350" s="135" t="str">
        <f aca="false">IF(ISBLANK($C350),"",IF(K350=Constants!$B$5,TRUE(),IF(K350=Constants!$B$6,FALSE(),COUNTA(L350:P350)&gt;0)))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IF(ISBLANK($C350),"",IF(N350=Constants!$B$3,TRUE(),IF(N350=Constants!$B$4,FALSE(),TRUE())))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IF(ISBLANK($C350),"",IF(P350=Constants!$B$3,TRUE(),IF(P350=Constants!$B$4,FALSE(),FALSE())))</f>
        <v/>
      </c>
      <c r="AR350" s="135" t="str">
        <f aca="false">IF(ISBLANK($C350),"",IF(Q350=Constants!$B$3,TRUE(),IF(Q350=Constants!$B$4,FALSE(),TRUE())))</f>
        <v/>
      </c>
      <c r="AS350" s="135" t="str">
        <f aca="false">IF(ISBLANK($C350),"",IF(R350=Constants!$B$3,TRUE(),IF(R350=Constants!$B$4,FALSE(),TRUE())))</f>
        <v/>
      </c>
      <c r="AT350" s="135" t="str">
        <f aca="false">IF(ISBLANK($C350),"",IF(S350=Constants!$B$5,TRUE(),IF(S350=Constants!$B$6,FALSE(),COUNTA(T350:X350)&gt;0)))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IF(ISBLANK($C350),"",IF(V350=Constants!$B$3,TRUE(),IF(V350=Constants!$B$4,FALSE(),TRUE())))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IF(ISBLANK($C350),"",IF(X350=Constants!$B$3,TRUE(),IF(X350=Constants!$B$4,FALSE(),FALSE())))</f>
        <v/>
      </c>
      <c r="AZ350" s="135" t="str">
        <f aca="false">IF(ISBLANK($C350),"",MIN(Constants!$B$31,MAX(0,IF(ISNUMBER(Y350),Y350*60,0)+IF(ISNUMBER(Z350),Z350,0))))</f>
        <v/>
      </c>
      <c r="BA350" s="135" t="str">
        <f aca="false">IF(ISBLANK($C350),"",IF(AA350=Constants!$B$3,TRUE(),IF(AA350=Constants!$B$4,FALSE(),FALSE())))</f>
        <v/>
      </c>
      <c r="BB350" s="134" t="str">
        <f aca="false">IF(ISBLANK($C350),"",AND($AL350,OR($AM350="",$AN350="",AND($AO350,$AP350=""))))</f>
        <v/>
      </c>
      <c r="BC350" s="137" t="str">
        <f aca="false">IF($BZ350&lt;&gt;Constants!$B$8,"",IF($AL350,Constants!$B$21*$AN350+Constants!$B$22*IF($AO350,$AP350,Constants!$B$23),Constants!$B$24))</f>
        <v/>
      </c>
      <c r="BD350" s="138" t="str">
        <f aca="false">IF($BZ350&lt;&gt;Constants!$B$8,"",Constants!$B$25*ABS($AD$9-IF($AL350,$AM350,0)))</f>
        <v/>
      </c>
      <c r="BE350" s="138" t="str">
        <f aca="false">IF($BZ350&lt;&gt;Constants!$B$8,"",IF(AND($AL350,$AQ350,$AO350),Constants!$B$27,0))</f>
        <v/>
      </c>
      <c r="BF350" s="138" t="str">
        <f aca="false">IF($BZ350&lt;&gt;Constants!$B$8,"",IF($AL350,($AI350-Constants!$B$29)*Constants!$B$28,0))</f>
        <v/>
      </c>
      <c r="BG350" s="138" t="str">
        <f aca="false">IF($BZ350&lt;&gt;Constants!$B$8,"",IF($AK350,0,Constants!$B$15)+IF($AJ350,0,Constants!$B$16)+IF($AH350,0,Constants!$B$17))</f>
        <v/>
      </c>
      <c r="BH350" s="139" t="str">
        <f aca="false">IF($BZ350&lt;&gt;Constants!$B$8,"",Constants!$B$20+SUM($BC350:$BG350))</f>
        <v/>
      </c>
      <c r="BI350" s="138" t="str">
        <f aca="false">IF($BZ350&lt;&gt;Constants!$B$8,"",$BC350)</f>
        <v/>
      </c>
      <c r="BJ350" s="138" t="str">
        <f aca="false">IF($BZ350&lt;&gt;Constants!$B$8,"",$BD350)</f>
        <v/>
      </c>
      <c r="BK350" s="138" t="str">
        <f aca="false">IF($BZ350&lt;&gt;Constants!$B$8,"",IF($AL350,$AN350,""))</f>
        <v/>
      </c>
      <c r="BL350" s="140" t="str">
        <f aca="false">IF($BZ350&lt;&gt;Constants!$B$8,"",$AI350)</f>
        <v/>
      </c>
      <c r="BM350" s="135" t="str">
        <f aca="false">IF($BZ350&lt;&gt;Constants!$B$8,"",IF(OR($BT350&lt;$BH350,AND($BT350=$BH350,OR($BU350&lt;$BI350,AND($BU350=$BI350,OR($BV350&lt;$BJ350,AND($BV350=$BJ350,OR(AND(ISNUMBER($BW350),OR(NOT(ISNUMBER($BK350)),$BW350&lt;$BK350)),AND(OR(AND($BW350="",$BK350=""),AND(ISNUMBER($BW350),ISNUMBER($BK350),$BW350=$BK350)),$BX350&lt;$BL350)))))))),"-&gt;","&lt;-"))</f>
        <v/>
      </c>
      <c r="BN350" s="134" t="str">
        <f aca="false">IF(ISBLANK($C350),"",AND($AT350,OR($AU350="",$AV350="",AND($AW350,$AX350=""))))</f>
        <v/>
      </c>
      <c r="BO350" s="137" t="str">
        <f aca="false">IF($BZ350&lt;&gt;Constants!$B$8,"",IF($AT350,Constants!$B$21*$AV350+Constants!$B$22*IF($AW350,$AX350,Constants!$B$23),Constants!$B$24))</f>
        <v/>
      </c>
      <c r="BP350" s="138" t="str">
        <f aca="false">IF($BZ350&lt;&gt;Constants!$B$8,"",Constants!$B$25*ABS($AD$9-IF($AT350,$AU350,0)))</f>
        <v/>
      </c>
      <c r="BQ350" s="138" t="str">
        <f aca="false">IF($BZ350&lt;&gt;Constants!$B$8,"",IF(AND($AT350,$AY350,$AW350),Constants!$B$27,0))</f>
        <v/>
      </c>
      <c r="BR350" s="138" t="str">
        <f aca="false">IF($BZ350&lt;&gt;Constants!$B$8,"",IF($AT350,($AI350-Constants!$B$29)*Constants!$B$28,0))</f>
        <v/>
      </c>
      <c r="BS350" s="138" t="str">
        <f aca="false">IF($BZ350&lt;&gt;Constants!$B$8,"",IF($AS350,0,Constants!$B$15)+IF($AR350,0,Constants!$B$16)+IF($AH350,0,Constants!$B$17))</f>
        <v/>
      </c>
      <c r="BT350" s="139" t="str">
        <f aca="false">IF($BZ350&lt;&gt;Constants!$B$8,"",Constants!$B$20+SUM($BO350:$BS350))</f>
        <v/>
      </c>
      <c r="BU350" s="138" t="str">
        <f aca="false">IF($BZ350&lt;&gt;Constants!$B$8,"",$BO350)</f>
        <v/>
      </c>
      <c r="BV350" s="138" t="str">
        <f aca="false">IF($BZ350&lt;&gt;Constants!$B$8,"",$BP350)</f>
        <v/>
      </c>
      <c r="BW350" s="138" t="str">
        <f aca="false">IF($BZ350&lt;&gt;Constants!$B$8,"",IF($AT350,$AV350,""))</f>
        <v/>
      </c>
      <c r="BX350" s="140" t="str">
        <f aca="false">IF($BZ350&lt;&gt;Constants!$B$8,"",$AI350)</f>
        <v/>
      </c>
      <c r="BY350" s="135" t="str">
        <f aca="false">IF(ISBLANK($C350),"",IF(ISBLANK($D$7),$BY$5,IF(NOT(ISNUMBER($D$7)),$BY$6,"")))</f>
        <v/>
      </c>
      <c r="BZ350" s="135" t="str">
        <f aca="false">IF(ISBLANK($C350),"",IF($BA350,Constants!$B$11,IF(COUNTA($E350:$AA350)=0,Constants!$B$10,IF(NOT($AG350),Constants!$B$9,IF(OR($BY350&lt;&gt;"",$BB350,$BN350),Constants!$B$12,Constants!$B$8)))))</f>
        <v/>
      </c>
      <c r="CA350" s="135" t="str">
        <f aca="false">IF(ISBLANK($C350),"",IF($BZ350&lt;&gt;Constants!$B$8,$BZ350,Constants!$B$13))</f>
        <v/>
      </c>
      <c r="CB350" s="138" t="str">
        <f aca="false">IF($BZ350&lt;&gt;Constants!$B$8,"",IF($BM350="-&gt;",$BT350,$BH350))</f>
        <v/>
      </c>
      <c r="CC350" s="138" t="str">
        <f aca="false">IF($BZ350&lt;&gt;Constants!$B$8,"",IF($AF350,0,Constants!$B$18))</f>
        <v/>
      </c>
      <c r="CD350" s="138" t="str">
        <f aca="false">IF($BZ350&lt;&gt;Constants!$B$8,"",((Constants!$B$31-$AZ350)-Constants!$B$31)/Constants!$B$32)</f>
        <v/>
      </c>
      <c r="CE350" s="138" t="str">
        <f aca="false">IF(ISBLANK($C350),"",IF($BZ350&lt;&gt;Constants!$B$8,$BZ350,SUM($CB350:$CD350)))</f>
        <v/>
      </c>
      <c r="CF350" s="135" t="str">
        <f aca="false">IF(ISBLANK($C350),"",IF($BZ350&lt;&gt;Constants!$B$8,$BZ350,RANK($CE350,$CE$9:$CE$508,1)))</f>
        <v/>
      </c>
      <c r="CG350" s="138" t="str">
        <f aca="false">IF($BZ350&lt;&gt;Constants!$B$8,"",IF($BM350="-&gt;",$BU350,$BI350))</f>
        <v/>
      </c>
      <c r="CH350" s="135" t="str">
        <f aca="false">IF(ISBLANK($C350),"",IF($BZ350&lt;&gt;Constants!$B$8,$BZ350,IF(ISNUMBER($CG350),RANK($CG350,$CG$9:$CG$508,1),COUNT($CG$9:$CG$508)+1)))</f>
        <v/>
      </c>
      <c r="CI350" s="138" t="str">
        <f aca="false">IF($BZ350&lt;&gt;Constants!$B$8,"",IF($BM350="-&gt;",$BV350,$BJ350))</f>
        <v/>
      </c>
      <c r="CJ350" s="135" t="str">
        <f aca="false">IF(ISBLANK($C350),"",IF($BZ350&lt;&gt;Constants!$B$8,$BZ350,IF(ISNUMBER($CI350),RANK($CI350,$CI$9:$CI$508,1),COUNT($CI$9:$CI$508)+1)))</f>
        <v/>
      </c>
      <c r="CK350" s="138" t="str">
        <f aca="false">IF($BZ350&lt;&gt;Constants!$B$8,"",IF($BM350="-&gt;",$BW350,$BK350))</f>
        <v/>
      </c>
      <c r="CL350" s="135" t="str">
        <f aca="false">IF(ISBLANK($C350),"",IF($BZ350&lt;&gt;Constants!$B$8,$BZ350,IF(ISNUMBER($CK350),RANK($CK350,$CK$9:$CK$508,1),COUNT($CK$9:$CK$508)+1)))</f>
        <v/>
      </c>
      <c r="CM350" s="138" t="str">
        <f aca="false">IF($BZ350&lt;&gt;Constants!$B$8,"",IF(AND(NOT($AL350),NOT($AT350),$AJ350,$AK350,$AR350,$AS350),"",IF($BM350="-&gt;",$BX350,$BL350)))</f>
        <v/>
      </c>
      <c r="CN350" s="135" t="str">
        <f aca="false">IF(ISBLANK($C350),"",IF($BZ350&lt;&gt;Constants!$B$8,$BZ350,IF(ISNUMBER($CM350),RANK($CM350,$CM$9:$CM$508,1),COUNT($CM$9:$CM$508)+1)))</f>
        <v/>
      </c>
      <c r="CO350" s="135" t="str">
        <f aca="false">IF(ISBLANK($C350),"",IF($BZ350&lt;&gt;Constants!$B$8,$BZ350,COUNTIFS($CF$9:$CF$508,"&lt;"&amp;$CF350)+COUNTIFS($CF$9:$CF$508,$CF350,$CH$9:$CH$508,"&lt;"&amp;$CH350)+COUNTIFS($CF$9:$CF$508,$CF350,$CH$9:$CH$508,$CH350,$CJ$9:$CJ$508,"&lt;"&amp;$CJ350)+COUNTIFS($CF$9:$CF$508,$CF350,$CH$9:$CH$508,$CH350,$CJ$9:$CJ$508,$CJ350,$CL$9:$CL$508,"&lt;"&amp;$CL350)+COUNTIFS($CF$9:$CF$508,$CF350,$CH$9:$CH$508,$CH350,$CJ$9:$CJ$508,$CJ350,$CL$9:$CL$508,$CL350,$CN$9:$CN$508,"&lt;"&amp;$CN350)+1))</f>
        <v/>
      </c>
      <c r="CP350" s="135" t="str">
        <f aca="false">IF(ISBLANK($C350),"",IF($BZ350&lt;&gt;Constants!$B$8,$BZ350,$CF350-$CO350))</f>
        <v/>
      </c>
      <c r="CQ350" s="141"/>
      <c r="CR350" s="142"/>
      <c r="CS350" s="143" t="str">
        <f aca="false">IF(ISBLANK($C350),"",IF($BZ350=Constants!$B$12,$BY350,""))</f>
        <v/>
      </c>
      <c r="CT350" s="142" t="str">
        <f aca="false">IF(ISBLANK($C350),"",IF($BZ350&lt;&gt;Constants!$B$8,"",IF($BM350="-&gt;",2,1)))</f>
        <v/>
      </c>
      <c r="CU350" s="144" t="str">
        <f aca="false">IF(ISBLANK($C350),"",IF($BZ350&lt;&gt;Constants!$B$8,"",IF($BM350="-&gt;",$BO350,$BC350)))</f>
        <v/>
      </c>
      <c r="CV350" s="144" t="str">
        <f aca="false">IF(ISBLANK($C350),"",IF($BZ350&lt;&gt;Constants!$B$8,"",IF($BM350="-&gt;",$BP350,$BD350)))</f>
        <v/>
      </c>
      <c r="CW350" s="144" t="str">
        <f aca="false">IF(ISBLANK($C350),"",IF($BZ350&lt;&gt;Constants!$B$8,"",IF($BM350="-&gt;",$BQ350+$BR350,$BE350+$BF350)+$CD350))</f>
        <v/>
      </c>
      <c r="CX350" s="144" t="str">
        <f aca="false">IF(ISBLANK($C350),"",IF($BZ350&lt;&gt;Constants!$B$8,"",IF($BM350="-&gt;",$BS350,$BG350)+$CC350))</f>
        <v/>
      </c>
      <c r="CY350" s="145" t="str">
        <f aca="false">IF(ISBLANK($C350),"",IF($BZ350&lt;&gt;Constants!$B$8,$BZ350,$CE350))</f>
        <v/>
      </c>
      <c r="CZ350" s="146" t="str">
        <f aca="false">IF(ISBLANK($C350),"",$CA350)</f>
        <v/>
      </c>
      <c r="DA350" s="147" t="str">
        <f aca="false">IF(ISBLANK($C350),"",$CP350)</f>
        <v/>
      </c>
      <c r="DB350" s="147" t="str">
        <f aca="false">IF(ISBLANK($C350),"",$CO350)</f>
        <v/>
      </c>
      <c r="DC350" s="148" t="str">
        <f aca="false">IF(ISBLANK($C350),"",IFERROR(_xlfn.SWITCH($DB350,Constants!$B$11,COUNTA($C$9:$C$508)+2,Constants!$B$10,COUNTA($C$9:$C$508)+1,Constants!$B$9,COUNTA($C$9:$C$508)),$DB350))</f>
        <v/>
      </c>
      <c r="DD350" s="9"/>
      <c r="DE350" s="149" t="n">
        <f aca="false">IF(OR(ISNUMBER($DB350),$DB350=Constants!$B$11,$DB350=Constants!$B$9,$DB350=Constants!$B$10),1,0)</f>
        <v>0</v>
      </c>
      <c r="DF350" s="149" t="n">
        <v>342</v>
      </c>
      <c r="DG350" s="149" t="str">
        <f aca="false">IF(ISBLANK($C350),"",IF(ISNUMBER($DC350),$DC350+ROW($B350)/1000,""))</f>
        <v/>
      </c>
      <c r="DH350" s="149" t="str">
        <f aca="false">IF(ISNUMBER($DG350),RANK($DG350,$DG$9:$DG$508,1),"")</f>
        <v/>
      </c>
      <c r="DI350" s="149" t="str">
        <f aca="false">IF(ISBLANK($C350),"",$B350)</f>
        <v/>
      </c>
      <c r="DJ350" s="149" t="str">
        <f aca="false">IF(ISBLANK($C350),"",$C350)</f>
        <v/>
      </c>
      <c r="DK350" s="149" t="str">
        <f aca="false">IF(ISBLANK($C350),"",$D350)</f>
        <v/>
      </c>
      <c r="DL350" s="150" t="str">
        <f aca="false">$CZ350</f>
        <v/>
      </c>
      <c r="DM350" s="151" t="str">
        <f aca="false">$CY350</f>
        <v/>
      </c>
      <c r="DN350" s="149" t="str">
        <f aca="false">IF(ISBLANK($C350),"",$DB350)</f>
        <v/>
      </c>
      <c r="DO350" s="152" t="str">
        <f aca="false">IF($DF350&gt;$DE$8,"",VLOOKUP($DF350,$DH$9:$DN$508,7,FALSE()))</f>
        <v/>
      </c>
      <c r="DP350" s="153" t="str">
        <f aca="false">IF($DF350&gt;$DE$8,"",VLOOKUP($DF350,$DH$9:$DN$508,2,FALSE()))</f>
        <v/>
      </c>
      <c r="DQ350" s="153" t="str">
        <f aca="false">IF($DF350&gt;$DE$8,"",VLOOKUP($DF350,$DH$9:$DN$508,3,FALSE()))</f>
        <v/>
      </c>
      <c r="DR350" s="153" t="str">
        <f aca="false">IF($DF350&gt;$DE$8,"",VLOOKUP($DF350,$DH$9:$DN$508,4,FALSE()))</f>
        <v/>
      </c>
      <c r="DS350" s="153" t="str">
        <f aca="false">IF($DF350&gt;$DE$8,"",VLOOKUP($DF350,$DH$9:$DN$508,5,FALSE()))</f>
        <v/>
      </c>
      <c r="DT350" s="154" t="str">
        <f aca="false">IF($DF350&gt;$DE$8,"",VLOOKUP($DF350,$DH$9:$DN$508,6,FALSE()))</f>
        <v/>
      </c>
      <c r="DU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IF(ISBLANK($C351),"",IF(E351=Constants!$B$3,TRUE(),IF(E351=Constants!$B$4,FALSE(),TRUE())))</f>
        <v/>
      </c>
      <c r="AG351" s="93" t="str">
        <f aca="false">IF(ISBLANK($C351),"",IF(F351=Constants!$B$3,TRUE(),IF(F351=Constants!$B$4,FALSE(),TRUE())))</f>
        <v/>
      </c>
      <c r="AH351" s="93" t="str">
        <f aca="false">IF(ISBLANK($C351),"",IF(G351=Constants!$B$3,TRUE(),IF(G351=Constants!$B$4,FALSE(),TRUE())))</f>
        <v/>
      </c>
      <c r="AI351" s="93" t="str">
        <f aca="false">IF(ISBLANK($C351),"",IF(AND(ISNUMBER(H351),H351&gt;=0),H351,Constants!$B$29))</f>
        <v/>
      </c>
      <c r="AJ351" s="93" t="str">
        <f aca="false">IF(ISBLANK($C351),"",IF(I351=Constants!$B$3,TRUE(),IF(I351=Constants!$B$4,FALSE(),TRUE())))</f>
        <v/>
      </c>
      <c r="AK351" s="93" t="str">
        <f aca="false">IF(ISBLANK($C351),"",IF(J351=Constants!$B$3,TRUE(),IF(J351=Constants!$B$4,FALSE(),TRUE())))</f>
        <v/>
      </c>
      <c r="AL351" s="93" t="str">
        <f aca="false">IF(ISBLANK($C351),"",IF(K351=Constants!$B$5,TRUE(),IF(K351=Constants!$B$6,FALSE(),COUNTA(L351:P351)&gt;0)))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IF(ISBLANK($C351),"",IF(N351=Constants!$B$3,TRUE(),IF(N351=Constants!$B$4,FALSE(),TRUE())))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IF(ISBLANK($C351),"",IF(P351=Constants!$B$3,TRUE(),IF(P351=Constants!$B$4,FALSE(),FALSE())))</f>
        <v/>
      </c>
      <c r="AR351" s="93" t="str">
        <f aca="false">IF(ISBLANK($C351),"",IF(Q351=Constants!$B$3,TRUE(),IF(Q351=Constants!$B$4,FALSE(),TRUE())))</f>
        <v/>
      </c>
      <c r="AS351" s="93" t="str">
        <f aca="false">IF(ISBLANK($C351),"",IF(R351=Constants!$B$3,TRUE(),IF(R351=Constants!$B$4,FALSE(),TRUE())))</f>
        <v/>
      </c>
      <c r="AT351" s="93" t="str">
        <f aca="false">IF(ISBLANK($C351),"",IF(S351=Constants!$B$5,TRUE(),IF(S351=Constants!$B$6,FALSE(),COUNTA(T351:X351)&gt;0)))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IF(ISBLANK($C351),"",IF(V351=Constants!$B$3,TRUE(),IF(V351=Constants!$B$4,FALSE(),TRUE())))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IF(ISBLANK($C351),"",IF(X351=Constants!$B$3,TRUE(),IF(X351=Constants!$B$4,FALSE(),FALSE())))</f>
        <v/>
      </c>
      <c r="AZ351" s="93" t="str">
        <f aca="false">IF(ISBLANK($C351),"",MIN(Constants!$B$31,MAX(0,IF(ISNUMBER(Y351),Y351*60,0)+IF(ISNUMBER(Z351),Z351,0))))</f>
        <v/>
      </c>
      <c r="BA351" s="93" t="str">
        <f aca="false">IF(ISBLANK($C351),"",IF(AA351=Constants!$B$3,TRUE(),IF(AA351=Constants!$B$4,FALSE(),FALSE())))</f>
        <v/>
      </c>
      <c r="BB351" s="92" t="str">
        <f aca="false">IF(ISBLANK($C351),"",AND($AL351,OR($AM351="",$AN351="",AND($AO351,$AP351=""))))</f>
        <v/>
      </c>
      <c r="BC351" s="94" t="str">
        <f aca="false">IF($BZ351&lt;&gt;Constants!$B$8,"",IF($AL351,Constants!$B$21*$AN351+Constants!$B$22*IF($AO351,$AP351,Constants!$B$23),Constants!$B$24))</f>
        <v/>
      </c>
      <c r="BD351" s="97" t="str">
        <f aca="false">IF($BZ351&lt;&gt;Constants!$B$8,"",Constants!$B$25*ABS($AD$9-IF($AL351,$AM351,0)))</f>
        <v/>
      </c>
      <c r="BE351" s="97" t="str">
        <f aca="false">IF($BZ351&lt;&gt;Constants!$B$8,"",IF(AND($AL351,$AQ351,$AO351),Constants!$B$27,0))</f>
        <v/>
      </c>
      <c r="BF351" s="97" t="str">
        <f aca="false">IF($BZ351&lt;&gt;Constants!$B$8,"",IF($AL351,($AI351-Constants!$B$29)*Constants!$B$28,0))</f>
        <v/>
      </c>
      <c r="BG351" s="97" t="str">
        <f aca="false">IF($BZ351&lt;&gt;Constants!$B$8,"",IF($AK351,0,Constants!$B$15)+IF($AJ351,0,Constants!$B$16)+IF($AH351,0,Constants!$B$17))</f>
        <v/>
      </c>
      <c r="BH351" s="98" t="str">
        <f aca="false">IF($BZ351&lt;&gt;Constants!$B$8,"",Constants!$B$20+SUM($BC351:$BG351))</f>
        <v/>
      </c>
      <c r="BI351" s="97" t="str">
        <f aca="false">IF($BZ351&lt;&gt;Constants!$B$8,"",$BC351)</f>
        <v/>
      </c>
      <c r="BJ351" s="97" t="str">
        <f aca="false">IF($BZ351&lt;&gt;Constants!$B$8,"",$BD351)</f>
        <v/>
      </c>
      <c r="BK351" s="97" t="str">
        <f aca="false">IF($BZ351&lt;&gt;Constants!$B$8,"",IF($AL351,$AN351,""))</f>
        <v/>
      </c>
      <c r="BL351" s="99" t="str">
        <f aca="false">IF($BZ351&lt;&gt;Constants!$B$8,"",$AI351)</f>
        <v/>
      </c>
      <c r="BM351" s="93" t="str">
        <f aca="false">IF($BZ351&lt;&gt;Constants!$B$8,"",IF(OR($BT351&lt;$BH351,AND($BT351=$BH351,OR($BU351&lt;$BI351,AND($BU351=$BI351,OR($BV351&lt;$BJ351,AND($BV351=$BJ351,OR(AND(ISNUMBER($BW351),OR(NOT(ISNUMBER($BK351)),$BW351&lt;$BK351)),AND(OR(AND($BW351="",$BK351=""),AND(ISNUMBER($BW351),ISNUMBER($BK351),$BW351=$BK351)),$BX351&lt;$BL351)))))))),"-&gt;","&lt;-"))</f>
        <v/>
      </c>
      <c r="BN351" s="92" t="str">
        <f aca="false">IF(ISBLANK($C351),"",AND($AT351,OR($AU351="",$AV351="",AND($AW351,$AX351=""))))</f>
        <v/>
      </c>
      <c r="BO351" s="94" t="str">
        <f aca="false">IF($BZ351&lt;&gt;Constants!$B$8,"",IF($AT351,Constants!$B$21*$AV351+Constants!$B$22*IF($AW351,$AX351,Constants!$B$23),Constants!$B$24))</f>
        <v/>
      </c>
      <c r="BP351" s="97" t="str">
        <f aca="false">IF($BZ351&lt;&gt;Constants!$B$8,"",Constants!$B$25*ABS($AD$9-IF($AT351,$AU351,0)))</f>
        <v/>
      </c>
      <c r="BQ351" s="97" t="str">
        <f aca="false">IF($BZ351&lt;&gt;Constants!$B$8,"",IF(AND($AT351,$AY351,$AW351),Constants!$B$27,0))</f>
        <v/>
      </c>
      <c r="BR351" s="97" t="str">
        <f aca="false">IF($BZ351&lt;&gt;Constants!$B$8,"",IF($AT351,($AI351-Constants!$B$29)*Constants!$B$28,0))</f>
        <v/>
      </c>
      <c r="BS351" s="97" t="str">
        <f aca="false">IF($BZ351&lt;&gt;Constants!$B$8,"",IF($AS351,0,Constants!$B$15)+IF($AR351,0,Constants!$B$16)+IF($AH351,0,Constants!$B$17))</f>
        <v/>
      </c>
      <c r="BT351" s="98" t="str">
        <f aca="false">IF($BZ351&lt;&gt;Constants!$B$8,"",Constants!$B$20+SUM($BO351:$BS351))</f>
        <v/>
      </c>
      <c r="BU351" s="97" t="str">
        <f aca="false">IF($BZ351&lt;&gt;Constants!$B$8,"",$BO351)</f>
        <v/>
      </c>
      <c r="BV351" s="97" t="str">
        <f aca="false">IF($BZ351&lt;&gt;Constants!$B$8,"",$BP351)</f>
        <v/>
      </c>
      <c r="BW351" s="97" t="str">
        <f aca="false">IF($BZ351&lt;&gt;Constants!$B$8,"",IF($AT351,$AV351,""))</f>
        <v/>
      </c>
      <c r="BX351" s="99" t="str">
        <f aca="false">IF($BZ351&lt;&gt;Constants!$B$8,"",$AI351)</f>
        <v/>
      </c>
      <c r="BY351" s="93" t="str">
        <f aca="false">IF(ISBLANK($C351),"",IF(ISBLANK($D$7),$BY$5,IF(NOT(ISNUMBER($D$7)),$BY$6,"")))</f>
        <v/>
      </c>
      <c r="BZ351" s="93" t="str">
        <f aca="false">IF(ISBLANK($C351),"",IF($BA351,Constants!$B$11,IF(COUNTA($E351:$AA351)=0,Constants!$B$10,IF(NOT($AG351),Constants!$B$9,IF(OR($BY351&lt;&gt;"",$BB351,$BN351),Constants!$B$12,Constants!$B$8)))))</f>
        <v/>
      </c>
      <c r="CA351" s="93" t="str">
        <f aca="false">IF(ISBLANK($C351),"",IF($BZ351&lt;&gt;Constants!$B$8,$BZ351,Constants!$B$13))</f>
        <v/>
      </c>
      <c r="CB351" s="97" t="str">
        <f aca="false">IF($BZ351&lt;&gt;Constants!$B$8,"",IF($BM351="-&gt;",$BT351,$BH351))</f>
        <v/>
      </c>
      <c r="CC351" s="97" t="str">
        <f aca="false">IF($BZ351&lt;&gt;Constants!$B$8,"",IF($AF351,0,Constants!$B$18))</f>
        <v/>
      </c>
      <c r="CD351" s="97" t="str">
        <f aca="false">IF($BZ351&lt;&gt;Constants!$B$8,"",((Constants!$B$31-$AZ351)-Constants!$B$31)/Constants!$B$32)</f>
        <v/>
      </c>
      <c r="CE351" s="97" t="str">
        <f aca="false">IF(ISBLANK($C351),"",IF($BZ351&lt;&gt;Constants!$B$8,$BZ351,SUM($CB351:$CD351)))</f>
        <v/>
      </c>
      <c r="CF351" s="93" t="str">
        <f aca="false">IF(ISBLANK($C351),"",IF($BZ351&lt;&gt;Constants!$B$8,$BZ351,RANK($CE351,$CE$9:$CE$508,1)))</f>
        <v/>
      </c>
      <c r="CG351" s="97" t="str">
        <f aca="false">IF($BZ351&lt;&gt;Constants!$B$8,"",IF($BM351="-&gt;",$BU351,$BI351))</f>
        <v/>
      </c>
      <c r="CH351" s="93" t="str">
        <f aca="false">IF(ISBLANK($C351),"",IF($BZ351&lt;&gt;Constants!$B$8,$BZ351,IF(ISNUMBER($CG351),RANK($CG351,$CG$9:$CG$508,1),COUNT($CG$9:$CG$508)+1)))</f>
        <v/>
      </c>
      <c r="CI351" s="97" t="str">
        <f aca="false">IF($BZ351&lt;&gt;Constants!$B$8,"",IF($BM351="-&gt;",$BV351,$BJ351))</f>
        <v/>
      </c>
      <c r="CJ351" s="93" t="str">
        <f aca="false">IF(ISBLANK($C351),"",IF($BZ351&lt;&gt;Constants!$B$8,$BZ351,IF(ISNUMBER($CI351),RANK($CI351,$CI$9:$CI$508,1),COUNT($CI$9:$CI$508)+1)))</f>
        <v/>
      </c>
      <c r="CK351" s="97" t="str">
        <f aca="false">IF($BZ351&lt;&gt;Constants!$B$8,"",IF($BM351="-&gt;",$BW351,$BK351))</f>
        <v/>
      </c>
      <c r="CL351" s="93" t="str">
        <f aca="false">IF(ISBLANK($C351),"",IF($BZ351&lt;&gt;Constants!$B$8,$BZ351,IF(ISNUMBER($CK351),RANK($CK351,$CK$9:$CK$508,1),COUNT($CK$9:$CK$508)+1)))</f>
        <v/>
      </c>
      <c r="CM351" s="97" t="str">
        <f aca="false">IF($BZ351&lt;&gt;Constants!$B$8,"",IF(AND(NOT($AL351),NOT($AT351),$AJ351,$AK351,$AR351,$AS351),"",IF($BM351="-&gt;",$BX351,$BL351)))</f>
        <v/>
      </c>
      <c r="CN351" s="93" t="str">
        <f aca="false">IF(ISBLANK($C351),"",IF($BZ351&lt;&gt;Constants!$B$8,$BZ351,IF(ISNUMBER($CM351),RANK($CM351,$CM$9:$CM$508,1),COUNT($CM$9:$CM$508)+1)))</f>
        <v/>
      </c>
      <c r="CO351" s="93" t="str">
        <f aca="false">IF(ISBLANK($C351),"",IF($BZ351&lt;&gt;Constants!$B$8,$BZ351,COUNTIFS($CF$9:$CF$508,"&lt;"&amp;$CF351)+COUNTIFS($CF$9:$CF$508,$CF351,$CH$9:$CH$508,"&lt;"&amp;$CH351)+COUNTIFS($CF$9:$CF$508,$CF351,$CH$9:$CH$508,$CH351,$CJ$9:$CJ$508,"&lt;"&amp;$CJ351)+COUNTIFS($CF$9:$CF$508,$CF351,$CH$9:$CH$508,$CH351,$CJ$9:$CJ$508,$CJ351,$CL$9:$CL$508,"&lt;"&amp;$CL351)+COUNTIFS($CF$9:$CF$508,$CF351,$CH$9:$CH$508,$CH351,$CJ$9:$CJ$508,$CJ351,$CL$9:$CL$508,$CL351,$CN$9:$CN$508,"&lt;"&amp;$CN351)+1))</f>
        <v/>
      </c>
      <c r="CP351" s="93" t="str">
        <f aca="false">IF(ISBLANK($C351),"",IF($BZ351&lt;&gt;Constants!$B$8,$BZ351,$CF351-$CO351))</f>
        <v/>
      </c>
      <c r="CQ351" s="100"/>
      <c r="CR351" s="101"/>
      <c r="CS351" s="102" t="str">
        <f aca="false">IF(ISBLANK($C351),"",IF($BZ351=Constants!$B$12,$BY351,""))</f>
        <v/>
      </c>
      <c r="CT351" s="101" t="str">
        <f aca="false">IF(ISBLANK($C351),"",IF($BZ351&lt;&gt;Constants!$B$8,"",IF($BM351="-&gt;",2,1)))</f>
        <v/>
      </c>
      <c r="CU351" s="103" t="str">
        <f aca="false">IF(ISBLANK($C351),"",IF($BZ351&lt;&gt;Constants!$B$8,"",IF($BM351="-&gt;",$BO351,$BC351)))</f>
        <v/>
      </c>
      <c r="CV351" s="103" t="str">
        <f aca="false">IF(ISBLANK($C351),"",IF($BZ351&lt;&gt;Constants!$B$8,"",IF($BM351="-&gt;",$BP351,$BD351)))</f>
        <v/>
      </c>
      <c r="CW351" s="103" t="str">
        <f aca="false">IF(ISBLANK($C351),"",IF($BZ351&lt;&gt;Constants!$B$8,"",IF($BM351="-&gt;",$BQ351+$BR351,$BE351+$BF351)+$CD351))</f>
        <v/>
      </c>
      <c r="CX351" s="103" t="str">
        <f aca="false">IF(ISBLANK($C351),"",IF($BZ351&lt;&gt;Constants!$B$8,"",IF($BM351="-&gt;",$BS351,$BG351)+$CC351))</f>
        <v/>
      </c>
      <c r="CY351" s="104" t="str">
        <f aca="false">IF(ISBLANK($C351),"",IF($BZ351&lt;&gt;Constants!$B$8,$BZ351,$CE351))</f>
        <v/>
      </c>
      <c r="CZ351" s="105" t="str">
        <f aca="false">IF(ISBLANK($C351),"",$CA351)</f>
        <v/>
      </c>
      <c r="DA351" s="106" t="str">
        <f aca="false">IF(ISBLANK($C351),"",$CP351)</f>
        <v/>
      </c>
      <c r="DB351" s="106" t="str">
        <f aca="false">IF(ISBLANK($C351),"",$CO351)</f>
        <v/>
      </c>
      <c r="DC351" s="107" t="str">
        <f aca="false">IF(ISBLANK($C351),"",IFERROR(_xlfn.SWITCH($DB351,Constants!$B$11,COUNTA($C$9:$C$508)+2,Constants!$B$10,COUNTA($C$9:$C$508)+1,Constants!$B$9,COUNTA($C$9:$C$508)),$DB351))</f>
        <v/>
      </c>
      <c r="DD351" s="9"/>
      <c r="DE351" s="108" t="n">
        <f aca="false">IF(OR(ISNUMBER($DB351),$DB351=Constants!$B$11,$DB351=Constants!$B$9,$DB351=Constants!$B$10),1,0)</f>
        <v>0</v>
      </c>
      <c r="DF351" s="108" t="n">
        <v>343</v>
      </c>
      <c r="DG351" s="108" t="str">
        <f aca="false">IF(ISBLANK($C351),"",IF(ISNUMBER($DC351),$DC351+ROW($B351)/1000,""))</f>
        <v/>
      </c>
      <c r="DH351" s="108" t="str">
        <f aca="false">IF(ISNUMBER($DG351),RANK($DG351,$DG$9:$DG$508,1),"")</f>
        <v/>
      </c>
      <c r="DI351" s="108" t="str">
        <f aca="false">IF(ISBLANK($C351),"",$B351)</f>
        <v/>
      </c>
      <c r="DJ351" s="108" t="str">
        <f aca="false">IF(ISBLANK($C351),"",$C351)</f>
        <v/>
      </c>
      <c r="DK351" s="108" t="str">
        <f aca="false">IF(ISBLANK($C351),"",$D351)</f>
        <v/>
      </c>
      <c r="DL351" s="109" t="str">
        <f aca="false">$CZ351</f>
        <v/>
      </c>
      <c r="DM351" s="110" t="str">
        <f aca="false">$CY351</f>
        <v/>
      </c>
      <c r="DN351" s="108" t="str">
        <f aca="false">IF(ISBLANK($C351),"",$DB351)</f>
        <v/>
      </c>
      <c r="DO351" s="111" t="str">
        <f aca="false">IF($DF351&gt;$DE$8,"",VLOOKUP($DF351,$DH$9:$DN$508,7,FALSE()))</f>
        <v/>
      </c>
      <c r="DP351" s="112" t="str">
        <f aca="false">IF($DF351&gt;$DE$8,"",VLOOKUP($DF351,$DH$9:$DN$508,2,FALSE()))</f>
        <v/>
      </c>
      <c r="DQ351" s="112" t="str">
        <f aca="false">IF($DF351&gt;$DE$8,"",VLOOKUP($DF351,$DH$9:$DN$508,3,FALSE()))</f>
        <v/>
      </c>
      <c r="DR351" s="112" t="str">
        <f aca="false">IF($DF351&gt;$DE$8,"",VLOOKUP($DF351,$DH$9:$DN$508,4,FALSE()))</f>
        <v/>
      </c>
      <c r="DS351" s="112" t="str">
        <f aca="false">IF($DF351&gt;$DE$8,"",VLOOKUP($DF351,$DH$9:$DN$508,5,FALSE()))</f>
        <v/>
      </c>
      <c r="DT351" s="113" t="str">
        <f aca="false">IF($DF351&gt;$DE$8,"",VLOOKUP($DF351,$DH$9:$DN$508,6,FALSE()))</f>
        <v/>
      </c>
      <c r="DU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IF(ISBLANK($C352),"",IF(E352=Constants!$B$3,TRUE(),IF(E352=Constants!$B$4,FALSE(),TRUE())))</f>
        <v/>
      </c>
      <c r="AG352" s="93" t="str">
        <f aca="false">IF(ISBLANK($C352),"",IF(F352=Constants!$B$3,TRUE(),IF(F352=Constants!$B$4,FALSE(),TRUE())))</f>
        <v/>
      </c>
      <c r="AH352" s="93" t="str">
        <f aca="false">IF(ISBLANK($C352),"",IF(G352=Constants!$B$3,TRUE(),IF(G352=Constants!$B$4,FALSE(),TRUE())))</f>
        <v/>
      </c>
      <c r="AI352" s="93" t="str">
        <f aca="false">IF(ISBLANK($C352),"",IF(AND(ISNUMBER(H352),H352&gt;=0),H352,Constants!$B$29))</f>
        <v/>
      </c>
      <c r="AJ352" s="93" t="str">
        <f aca="false">IF(ISBLANK($C352),"",IF(I352=Constants!$B$3,TRUE(),IF(I352=Constants!$B$4,FALSE(),TRUE())))</f>
        <v/>
      </c>
      <c r="AK352" s="93" t="str">
        <f aca="false">IF(ISBLANK($C352),"",IF(J352=Constants!$B$3,TRUE(),IF(J352=Constants!$B$4,FALSE(),TRUE())))</f>
        <v/>
      </c>
      <c r="AL352" s="93" t="str">
        <f aca="false">IF(ISBLANK($C352),"",IF(K352=Constants!$B$5,TRUE(),IF(K352=Constants!$B$6,FALSE(),COUNTA(L352:P352)&gt;0)))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IF(ISBLANK($C352),"",IF(N352=Constants!$B$3,TRUE(),IF(N352=Constants!$B$4,FALSE(),TRUE())))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IF(ISBLANK($C352),"",IF(P352=Constants!$B$3,TRUE(),IF(P352=Constants!$B$4,FALSE(),FALSE())))</f>
        <v/>
      </c>
      <c r="AR352" s="93" t="str">
        <f aca="false">IF(ISBLANK($C352),"",IF(Q352=Constants!$B$3,TRUE(),IF(Q352=Constants!$B$4,FALSE(),TRUE())))</f>
        <v/>
      </c>
      <c r="AS352" s="93" t="str">
        <f aca="false">IF(ISBLANK($C352),"",IF(R352=Constants!$B$3,TRUE(),IF(R352=Constants!$B$4,FALSE(),TRUE())))</f>
        <v/>
      </c>
      <c r="AT352" s="93" t="str">
        <f aca="false">IF(ISBLANK($C352),"",IF(S352=Constants!$B$5,TRUE(),IF(S352=Constants!$B$6,FALSE(),COUNTA(T352:X352)&gt;0)))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IF(ISBLANK($C352),"",IF(V352=Constants!$B$3,TRUE(),IF(V352=Constants!$B$4,FALSE(),TRUE())))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IF(ISBLANK($C352),"",IF(X352=Constants!$B$3,TRUE(),IF(X352=Constants!$B$4,FALSE(),FALSE())))</f>
        <v/>
      </c>
      <c r="AZ352" s="93" t="str">
        <f aca="false">IF(ISBLANK($C352),"",MIN(Constants!$B$31,MAX(0,IF(ISNUMBER(Y352),Y352*60,0)+IF(ISNUMBER(Z352),Z352,0))))</f>
        <v/>
      </c>
      <c r="BA352" s="93" t="str">
        <f aca="false">IF(ISBLANK($C352),"",IF(AA352=Constants!$B$3,TRUE(),IF(AA352=Constants!$B$4,FALSE(),FALSE())))</f>
        <v/>
      </c>
      <c r="BB352" s="92" t="str">
        <f aca="false">IF(ISBLANK($C352),"",AND($AL352,OR($AM352="",$AN352="",AND($AO352,$AP352=""))))</f>
        <v/>
      </c>
      <c r="BC352" s="94" t="str">
        <f aca="false">IF($BZ352&lt;&gt;Constants!$B$8,"",IF($AL352,Constants!$B$21*$AN352+Constants!$B$22*IF($AO352,$AP352,Constants!$B$23),Constants!$B$24))</f>
        <v/>
      </c>
      <c r="BD352" s="97" t="str">
        <f aca="false">IF($BZ352&lt;&gt;Constants!$B$8,"",Constants!$B$25*ABS($AD$9-IF($AL352,$AM352,0)))</f>
        <v/>
      </c>
      <c r="BE352" s="97" t="str">
        <f aca="false">IF($BZ352&lt;&gt;Constants!$B$8,"",IF(AND($AL352,$AQ352,$AO352),Constants!$B$27,0))</f>
        <v/>
      </c>
      <c r="BF352" s="97" t="str">
        <f aca="false">IF($BZ352&lt;&gt;Constants!$B$8,"",IF($AL352,($AI352-Constants!$B$29)*Constants!$B$28,0))</f>
        <v/>
      </c>
      <c r="BG352" s="97" t="str">
        <f aca="false">IF($BZ352&lt;&gt;Constants!$B$8,"",IF($AK352,0,Constants!$B$15)+IF($AJ352,0,Constants!$B$16)+IF($AH352,0,Constants!$B$17))</f>
        <v/>
      </c>
      <c r="BH352" s="98" t="str">
        <f aca="false">IF($BZ352&lt;&gt;Constants!$B$8,"",Constants!$B$20+SUM($BC352:$BG352))</f>
        <v/>
      </c>
      <c r="BI352" s="97" t="str">
        <f aca="false">IF($BZ352&lt;&gt;Constants!$B$8,"",$BC352)</f>
        <v/>
      </c>
      <c r="BJ352" s="97" t="str">
        <f aca="false">IF($BZ352&lt;&gt;Constants!$B$8,"",$BD352)</f>
        <v/>
      </c>
      <c r="BK352" s="97" t="str">
        <f aca="false">IF($BZ352&lt;&gt;Constants!$B$8,"",IF($AL352,$AN352,""))</f>
        <v/>
      </c>
      <c r="BL352" s="99" t="str">
        <f aca="false">IF($BZ352&lt;&gt;Constants!$B$8,"",$AI352)</f>
        <v/>
      </c>
      <c r="BM352" s="93" t="str">
        <f aca="false">IF($BZ352&lt;&gt;Constants!$B$8,"",IF(OR($BT352&lt;$BH352,AND($BT352=$BH352,OR($BU352&lt;$BI352,AND($BU352=$BI352,OR($BV352&lt;$BJ352,AND($BV352=$BJ352,OR(AND(ISNUMBER($BW352),OR(NOT(ISNUMBER($BK352)),$BW352&lt;$BK352)),AND(OR(AND($BW352="",$BK352=""),AND(ISNUMBER($BW352),ISNUMBER($BK352),$BW352=$BK352)),$BX352&lt;$BL352)))))))),"-&gt;","&lt;-"))</f>
        <v/>
      </c>
      <c r="BN352" s="92" t="str">
        <f aca="false">IF(ISBLANK($C352),"",AND($AT352,OR($AU352="",$AV352="",AND($AW352,$AX352=""))))</f>
        <v/>
      </c>
      <c r="BO352" s="94" t="str">
        <f aca="false">IF($BZ352&lt;&gt;Constants!$B$8,"",IF($AT352,Constants!$B$21*$AV352+Constants!$B$22*IF($AW352,$AX352,Constants!$B$23),Constants!$B$24))</f>
        <v/>
      </c>
      <c r="BP352" s="97" t="str">
        <f aca="false">IF($BZ352&lt;&gt;Constants!$B$8,"",Constants!$B$25*ABS($AD$9-IF($AT352,$AU352,0)))</f>
        <v/>
      </c>
      <c r="BQ352" s="97" t="str">
        <f aca="false">IF($BZ352&lt;&gt;Constants!$B$8,"",IF(AND($AT352,$AY352,$AW352),Constants!$B$27,0))</f>
        <v/>
      </c>
      <c r="BR352" s="97" t="str">
        <f aca="false">IF($BZ352&lt;&gt;Constants!$B$8,"",IF($AT352,($AI352-Constants!$B$29)*Constants!$B$28,0))</f>
        <v/>
      </c>
      <c r="BS352" s="97" t="str">
        <f aca="false">IF($BZ352&lt;&gt;Constants!$B$8,"",IF($AS352,0,Constants!$B$15)+IF($AR352,0,Constants!$B$16)+IF($AH352,0,Constants!$B$17))</f>
        <v/>
      </c>
      <c r="BT352" s="98" t="str">
        <f aca="false">IF($BZ352&lt;&gt;Constants!$B$8,"",Constants!$B$20+SUM($BO352:$BS352))</f>
        <v/>
      </c>
      <c r="BU352" s="97" t="str">
        <f aca="false">IF($BZ352&lt;&gt;Constants!$B$8,"",$BO352)</f>
        <v/>
      </c>
      <c r="BV352" s="97" t="str">
        <f aca="false">IF($BZ352&lt;&gt;Constants!$B$8,"",$BP352)</f>
        <v/>
      </c>
      <c r="BW352" s="97" t="str">
        <f aca="false">IF($BZ352&lt;&gt;Constants!$B$8,"",IF($AT352,$AV352,""))</f>
        <v/>
      </c>
      <c r="BX352" s="99" t="str">
        <f aca="false">IF($BZ352&lt;&gt;Constants!$B$8,"",$AI352)</f>
        <v/>
      </c>
      <c r="BY352" s="93" t="str">
        <f aca="false">IF(ISBLANK($C352),"",IF(ISBLANK($D$7),$BY$5,IF(NOT(ISNUMBER($D$7)),$BY$6,"")))</f>
        <v/>
      </c>
      <c r="BZ352" s="93" t="str">
        <f aca="false">IF(ISBLANK($C352),"",IF($BA352,Constants!$B$11,IF(COUNTA($E352:$AA352)=0,Constants!$B$10,IF(NOT($AG352),Constants!$B$9,IF(OR($BY352&lt;&gt;"",$BB352,$BN352),Constants!$B$12,Constants!$B$8)))))</f>
        <v/>
      </c>
      <c r="CA352" s="93" t="str">
        <f aca="false">IF(ISBLANK($C352),"",IF($BZ352&lt;&gt;Constants!$B$8,$BZ352,Constants!$B$13))</f>
        <v/>
      </c>
      <c r="CB352" s="97" t="str">
        <f aca="false">IF($BZ352&lt;&gt;Constants!$B$8,"",IF($BM352="-&gt;",$BT352,$BH352))</f>
        <v/>
      </c>
      <c r="CC352" s="97" t="str">
        <f aca="false">IF($BZ352&lt;&gt;Constants!$B$8,"",IF($AF352,0,Constants!$B$18))</f>
        <v/>
      </c>
      <c r="CD352" s="97" t="str">
        <f aca="false">IF($BZ352&lt;&gt;Constants!$B$8,"",((Constants!$B$31-$AZ352)-Constants!$B$31)/Constants!$B$32)</f>
        <v/>
      </c>
      <c r="CE352" s="97" t="str">
        <f aca="false">IF(ISBLANK($C352),"",IF($BZ352&lt;&gt;Constants!$B$8,$BZ352,SUM($CB352:$CD352)))</f>
        <v/>
      </c>
      <c r="CF352" s="93" t="str">
        <f aca="false">IF(ISBLANK($C352),"",IF($BZ352&lt;&gt;Constants!$B$8,$BZ352,RANK($CE352,$CE$9:$CE$508,1)))</f>
        <v/>
      </c>
      <c r="CG352" s="97" t="str">
        <f aca="false">IF($BZ352&lt;&gt;Constants!$B$8,"",IF($BM352="-&gt;",$BU352,$BI352))</f>
        <v/>
      </c>
      <c r="CH352" s="93" t="str">
        <f aca="false">IF(ISBLANK($C352),"",IF($BZ352&lt;&gt;Constants!$B$8,$BZ352,IF(ISNUMBER($CG352),RANK($CG352,$CG$9:$CG$508,1),COUNT($CG$9:$CG$508)+1)))</f>
        <v/>
      </c>
      <c r="CI352" s="97" t="str">
        <f aca="false">IF($BZ352&lt;&gt;Constants!$B$8,"",IF($BM352="-&gt;",$BV352,$BJ352))</f>
        <v/>
      </c>
      <c r="CJ352" s="93" t="str">
        <f aca="false">IF(ISBLANK($C352),"",IF($BZ352&lt;&gt;Constants!$B$8,$BZ352,IF(ISNUMBER($CI352),RANK($CI352,$CI$9:$CI$508,1),COUNT($CI$9:$CI$508)+1)))</f>
        <v/>
      </c>
      <c r="CK352" s="97" t="str">
        <f aca="false">IF($BZ352&lt;&gt;Constants!$B$8,"",IF($BM352="-&gt;",$BW352,$BK352))</f>
        <v/>
      </c>
      <c r="CL352" s="93" t="str">
        <f aca="false">IF(ISBLANK($C352),"",IF($BZ352&lt;&gt;Constants!$B$8,$BZ352,IF(ISNUMBER($CK352),RANK($CK352,$CK$9:$CK$508,1),COUNT($CK$9:$CK$508)+1)))</f>
        <v/>
      </c>
      <c r="CM352" s="97" t="str">
        <f aca="false">IF($BZ352&lt;&gt;Constants!$B$8,"",IF(AND(NOT($AL352),NOT($AT352),$AJ352,$AK352,$AR352,$AS352),"",IF($BM352="-&gt;",$BX352,$BL352)))</f>
        <v/>
      </c>
      <c r="CN352" s="93" t="str">
        <f aca="false">IF(ISBLANK($C352),"",IF($BZ352&lt;&gt;Constants!$B$8,$BZ352,IF(ISNUMBER($CM352),RANK($CM352,$CM$9:$CM$508,1),COUNT($CM$9:$CM$508)+1)))</f>
        <v/>
      </c>
      <c r="CO352" s="93" t="str">
        <f aca="false">IF(ISBLANK($C352),"",IF($BZ352&lt;&gt;Constants!$B$8,$BZ352,COUNTIFS($CF$9:$CF$508,"&lt;"&amp;$CF352)+COUNTIFS($CF$9:$CF$508,$CF352,$CH$9:$CH$508,"&lt;"&amp;$CH352)+COUNTIFS($CF$9:$CF$508,$CF352,$CH$9:$CH$508,$CH352,$CJ$9:$CJ$508,"&lt;"&amp;$CJ352)+COUNTIFS($CF$9:$CF$508,$CF352,$CH$9:$CH$508,$CH352,$CJ$9:$CJ$508,$CJ352,$CL$9:$CL$508,"&lt;"&amp;$CL352)+COUNTIFS($CF$9:$CF$508,$CF352,$CH$9:$CH$508,$CH352,$CJ$9:$CJ$508,$CJ352,$CL$9:$CL$508,$CL352,$CN$9:$CN$508,"&lt;"&amp;$CN352)+1))</f>
        <v/>
      </c>
      <c r="CP352" s="93" t="str">
        <f aca="false">IF(ISBLANK($C352),"",IF($BZ352&lt;&gt;Constants!$B$8,$BZ352,$CF352-$CO352))</f>
        <v/>
      </c>
      <c r="CQ352" s="100"/>
      <c r="CR352" s="101"/>
      <c r="CS352" s="102" t="str">
        <f aca="false">IF(ISBLANK($C352),"",IF($BZ352=Constants!$B$12,$BY352,""))</f>
        <v/>
      </c>
      <c r="CT352" s="101" t="str">
        <f aca="false">IF(ISBLANK($C352),"",IF($BZ352&lt;&gt;Constants!$B$8,"",IF($BM352="-&gt;",2,1)))</f>
        <v/>
      </c>
      <c r="CU352" s="103" t="str">
        <f aca="false">IF(ISBLANK($C352),"",IF($BZ352&lt;&gt;Constants!$B$8,"",IF($BM352="-&gt;",$BO352,$BC352)))</f>
        <v/>
      </c>
      <c r="CV352" s="103" t="str">
        <f aca="false">IF(ISBLANK($C352),"",IF($BZ352&lt;&gt;Constants!$B$8,"",IF($BM352="-&gt;",$BP352,$BD352)))</f>
        <v/>
      </c>
      <c r="CW352" s="103" t="str">
        <f aca="false">IF(ISBLANK($C352),"",IF($BZ352&lt;&gt;Constants!$B$8,"",IF($BM352="-&gt;",$BQ352+$BR352,$BE352+$BF352)+$CD352))</f>
        <v/>
      </c>
      <c r="CX352" s="103" t="str">
        <f aca="false">IF(ISBLANK($C352),"",IF($BZ352&lt;&gt;Constants!$B$8,"",IF($BM352="-&gt;",$BS352,$BG352)+$CC352))</f>
        <v/>
      </c>
      <c r="CY352" s="104" t="str">
        <f aca="false">IF(ISBLANK($C352),"",IF($BZ352&lt;&gt;Constants!$B$8,$BZ352,$CE352))</f>
        <v/>
      </c>
      <c r="CZ352" s="105" t="str">
        <f aca="false">IF(ISBLANK($C352),"",$CA352)</f>
        <v/>
      </c>
      <c r="DA352" s="106" t="str">
        <f aca="false">IF(ISBLANK($C352),"",$CP352)</f>
        <v/>
      </c>
      <c r="DB352" s="106" t="str">
        <f aca="false">IF(ISBLANK($C352),"",$CO352)</f>
        <v/>
      </c>
      <c r="DC352" s="107" t="str">
        <f aca="false">IF(ISBLANK($C352),"",IFERROR(_xlfn.SWITCH($DB352,Constants!$B$11,COUNTA($C$9:$C$508)+2,Constants!$B$10,COUNTA($C$9:$C$508)+1,Constants!$B$9,COUNTA($C$9:$C$508)),$DB352))</f>
        <v/>
      </c>
      <c r="DD352" s="9"/>
      <c r="DE352" s="108" t="n">
        <f aca="false">IF(OR(ISNUMBER($DB352),$DB352=Constants!$B$11,$DB352=Constants!$B$9,$DB352=Constants!$B$10),1,0)</f>
        <v>0</v>
      </c>
      <c r="DF352" s="108" t="n">
        <v>344</v>
      </c>
      <c r="DG352" s="108" t="str">
        <f aca="false">IF(ISBLANK($C352),"",IF(ISNUMBER($DC352),$DC352+ROW($B352)/1000,""))</f>
        <v/>
      </c>
      <c r="DH352" s="108" t="str">
        <f aca="false">IF(ISNUMBER($DG352),RANK($DG352,$DG$9:$DG$508,1),"")</f>
        <v/>
      </c>
      <c r="DI352" s="108" t="str">
        <f aca="false">IF(ISBLANK($C352),"",$B352)</f>
        <v/>
      </c>
      <c r="DJ352" s="108" t="str">
        <f aca="false">IF(ISBLANK($C352),"",$C352)</f>
        <v/>
      </c>
      <c r="DK352" s="108" t="str">
        <f aca="false">IF(ISBLANK($C352),"",$D352)</f>
        <v/>
      </c>
      <c r="DL352" s="109" t="str">
        <f aca="false">$CZ352</f>
        <v/>
      </c>
      <c r="DM352" s="110" t="str">
        <f aca="false">$CY352</f>
        <v/>
      </c>
      <c r="DN352" s="108" t="str">
        <f aca="false">IF(ISBLANK($C352),"",$DB352)</f>
        <v/>
      </c>
      <c r="DO352" s="111" t="str">
        <f aca="false">IF($DF352&gt;$DE$8,"",VLOOKUP($DF352,$DH$9:$DN$508,7,FALSE()))</f>
        <v/>
      </c>
      <c r="DP352" s="112" t="str">
        <f aca="false">IF($DF352&gt;$DE$8,"",VLOOKUP($DF352,$DH$9:$DN$508,2,FALSE()))</f>
        <v/>
      </c>
      <c r="DQ352" s="112" t="str">
        <f aca="false">IF($DF352&gt;$DE$8,"",VLOOKUP($DF352,$DH$9:$DN$508,3,FALSE()))</f>
        <v/>
      </c>
      <c r="DR352" s="112" t="str">
        <f aca="false">IF($DF352&gt;$DE$8,"",VLOOKUP($DF352,$DH$9:$DN$508,4,FALSE()))</f>
        <v/>
      </c>
      <c r="DS352" s="112" t="str">
        <f aca="false">IF($DF352&gt;$DE$8,"",VLOOKUP($DF352,$DH$9:$DN$508,5,FALSE()))</f>
        <v/>
      </c>
      <c r="DT352" s="113" t="str">
        <f aca="false">IF($DF352&gt;$DE$8,"",VLOOKUP($DF352,$DH$9:$DN$508,6,FALSE()))</f>
        <v/>
      </c>
      <c r="DU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IF(ISBLANK($C353),"",IF(E353=Constants!$B$3,TRUE(),IF(E353=Constants!$B$4,FALSE(),TRUE())))</f>
        <v/>
      </c>
      <c r="AG353" s="93" t="str">
        <f aca="false">IF(ISBLANK($C353),"",IF(F353=Constants!$B$3,TRUE(),IF(F353=Constants!$B$4,FALSE(),TRUE())))</f>
        <v/>
      </c>
      <c r="AH353" s="93" t="str">
        <f aca="false">IF(ISBLANK($C353),"",IF(G353=Constants!$B$3,TRUE(),IF(G353=Constants!$B$4,FALSE(),TRUE())))</f>
        <v/>
      </c>
      <c r="AI353" s="93" t="str">
        <f aca="false">IF(ISBLANK($C353),"",IF(AND(ISNUMBER(H353),H353&gt;=0),H353,Constants!$B$29))</f>
        <v/>
      </c>
      <c r="AJ353" s="93" t="str">
        <f aca="false">IF(ISBLANK($C353),"",IF(I353=Constants!$B$3,TRUE(),IF(I353=Constants!$B$4,FALSE(),TRUE())))</f>
        <v/>
      </c>
      <c r="AK353" s="93" t="str">
        <f aca="false">IF(ISBLANK($C353),"",IF(J353=Constants!$B$3,TRUE(),IF(J353=Constants!$B$4,FALSE(),TRUE())))</f>
        <v/>
      </c>
      <c r="AL353" s="93" t="str">
        <f aca="false">IF(ISBLANK($C353),"",IF(K353=Constants!$B$5,TRUE(),IF(K353=Constants!$B$6,FALSE(),COUNTA(L353:P353)&gt;0)))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IF(ISBLANK($C353),"",IF(N353=Constants!$B$3,TRUE(),IF(N353=Constants!$B$4,FALSE(),TRUE())))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IF(ISBLANK($C353),"",IF(P353=Constants!$B$3,TRUE(),IF(P353=Constants!$B$4,FALSE(),FALSE())))</f>
        <v/>
      </c>
      <c r="AR353" s="93" t="str">
        <f aca="false">IF(ISBLANK($C353),"",IF(Q353=Constants!$B$3,TRUE(),IF(Q353=Constants!$B$4,FALSE(),TRUE())))</f>
        <v/>
      </c>
      <c r="AS353" s="93" t="str">
        <f aca="false">IF(ISBLANK($C353),"",IF(R353=Constants!$B$3,TRUE(),IF(R353=Constants!$B$4,FALSE(),TRUE())))</f>
        <v/>
      </c>
      <c r="AT353" s="93" t="str">
        <f aca="false">IF(ISBLANK($C353),"",IF(S353=Constants!$B$5,TRUE(),IF(S353=Constants!$B$6,FALSE(),COUNTA(T353:X353)&gt;0)))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IF(ISBLANK($C353),"",IF(V353=Constants!$B$3,TRUE(),IF(V353=Constants!$B$4,FALSE(),TRUE())))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IF(ISBLANK($C353),"",IF(X353=Constants!$B$3,TRUE(),IF(X353=Constants!$B$4,FALSE(),FALSE())))</f>
        <v/>
      </c>
      <c r="AZ353" s="93" t="str">
        <f aca="false">IF(ISBLANK($C353),"",MIN(Constants!$B$31,MAX(0,IF(ISNUMBER(Y353),Y353*60,0)+IF(ISNUMBER(Z353),Z353,0))))</f>
        <v/>
      </c>
      <c r="BA353" s="93" t="str">
        <f aca="false">IF(ISBLANK($C353),"",IF(AA353=Constants!$B$3,TRUE(),IF(AA353=Constants!$B$4,FALSE(),FALSE())))</f>
        <v/>
      </c>
      <c r="BB353" s="92" t="str">
        <f aca="false">IF(ISBLANK($C353),"",AND($AL353,OR($AM353="",$AN353="",AND($AO353,$AP353=""))))</f>
        <v/>
      </c>
      <c r="BC353" s="94" t="str">
        <f aca="false">IF($BZ353&lt;&gt;Constants!$B$8,"",IF($AL353,Constants!$B$21*$AN353+Constants!$B$22*IF($AO353,$AP353,Constants!$B$23),Constants!$B$24))</f>
        <v/>
      </c>
      <c r="BD353" s="97" t="str">
        <f aca="false">IF($BZ353&lt;&gt;Constants!$B$8,"",Constants!$B$25*ABS($AD$9-IF($AL353,$AM353,0)))</f>
        <v/>
      </c>
      <c r="BE353" s="97" t="str">
        <f aca="false">IF($BZ353&lt;&gt;Constants!$B$8,"",IF(AND($AL353,$AQ353,$AO353),Constants!$B$27,0))</f>
        <v/>
      </c>
      <c r="BF353" s="97" t="str">
        <f aca="false">IF($BZ353&lt;&gt;Constants!$B$8,"",IF($AL353,($AI353-Constants!$B$29)*Constants!$B$28,0))</f>
        <v/>
      </c>
      <c r="BG353" s="97" t="str">
        <f aca="false">IF($BZ353&lt;&gt;Constants!$B$8,"",IF($AK353,0,Constants!$B$15)+IF($AJ353,0,Constants!$B$16)+IF($AH353,0,Constants!$B$17))</f>
        <v/>
      </c>
      <c r="BH353" s="98" t="str">
        <f aca="false">IF($BZ353&lt;&gt;Constants!$B$8,"",Constants!$B$20+SUM($BC353:$BG353))</f>
        <v/>
      </c>
      <c r="BI353" s="97" t="str">
        <f aca="false">IF($BZ353&lt;&gt;Constants!$B$8,"",$BC353)</f>
        <v/>
      </c>
      <c r="BJ353" s="97" t="str">
        <f aca="false">IF($BZ353&lt;&gt;Constants!$B$8,"",$BD353)</f>
        <v/>
      </c>
      <c r="BK353" s="97" t="str">
        <f aca="false">IF($BZ353&lt;&gt;Constants!$B$8,"",IF($AL353,$AN353,""))</f>
        <v/>
      </c>
      <c r="BL353" s="99" t="str">
        <f aca="false">IF($BZ353&lt;&gt;Constants!$B$8,"",$AI353)</f>
        <v/>
      </c>
      <c r="BM353" s="93" t="str">
        <f aca="false">IF($BZ353&lt;&gt;Constants!$B$8,"",IF(OR($BT353&lt;$BH353,AND($BT353=$BH353,OR($BU353&lt;$BI353,AND($BU353=$BI353,OR($BV353&lt;$BJ353,AND($BV353=$BJ353,OR(AND(ISNUMBER($BW353),OR(NOT(ISNUMBER($BK353)),$BW353&lt;$BK353)),AND(OR(AND($BW353="",$BK353=""),AND(ISNUMBER($BW353),ISNUMBER($BK353),$BW353=$BK353)),$BX353&lt;$BL353)))))))),"-&gt;","&lt;-"))</f>
        <v/>
      </c>
      <c r="BN353" s="92" t="str">
        <f aca="false">IF(ISBLANK($C353),"",AND($AT353,OR($AU353="",$AV353="",AND($AW353,$AX353=""))))</f>
        <v/>
      </c>
      <c r="BO353" s="94" t="str">
        <f aca="false">IF($BZ353&lt;&gt;Constants!$B$8,"",IF($AT353,Constants!$B$21*$AV353+Constants!$B$22*IF($AW353,$AX353,Constants!$B$23),Constants!$B$24))</f>
        <v/>
      </c>
      <c r="BP353" s="97" t="str">
        <f aca="false">IF($BZ353&lt;&gt;Constants!$B$8,"",Constants!$B$25*ABS($AD$9-IF($AT353,$AU353,0)))</f>
        <v/>
      </c>
      <c r="BQ353" s="97" t="str">
        <f aca="false">IF($BZ353&lt;&gt;Constants!$B$8,"",IF(AND($AT353,$AY353,$AW353),Constants!$B$27,0))</f>
        <v/>
      </c>
      <c r="BR353" s="97" t="str">
        <f aca="false">IF($BZ353&lt;&gt;Constants!$B$8,"",IF($AT353,($AI353-Constants!$B$29)*Constants!$B$28,0))</f>
        <v/>
      </c>
      <c r="BS353" s="97" t="str">
        <f aca="false">IF($BZ353&lt;&gt;Constants!$B$8,"",IF($AS353,0,Constants!$B$15)+IF($AR353,0,Constants!$B$16)+IF($AH353,0,Constants!$B$17))</f>
        <v/>
      </c>
      <c r="BT353" s="98" t="str">
        <f aca="false">IF($BZ353&lt;&gt;Constants!$B$8,"",Constants!$B$20+SUM($BO353:$BS353))</f>
        <v/>
      </c>
      <c r="BU353" s="97" t="str">
        <f aca="false">IF($BZ353&lt;&gt;Constants!$B$8,"",$BO353)</f>
        <v/>
      </c>
      <c r="BV353" s="97" t="str">
        <f aca="false">IF($BZ353&lt;&gt;Constants!$B$8,"",$BP353)</f>
        <v/>
      </c>
      <c r="BW353" s="97" t="str">
        <f aca="false">IF($BZ353&lt;&gt;Constants!$B$8,"",IF($AT353,$AV353,""))</f>
        <v/>
      </c>
      <c r="BX353" s="99" t="str">
        <f aca="false">IF($BZ353&lt;&gt;Constants!$B$8,"",$AI353)</f>
        <v/>
      </c>
      <c r="BY353" s="93" t="str">
        <f aca="false">IF(ISBLANK($C353),"",IF(ISBLANK($D$7),$BY$5,IF(NOT(ISNUMBER($D$7)),$BY$6,"")))</f>
        <v/>
      </c>
      <c r="BZ353" s="93" t="str">
        <f aca="false">IF(ISBLANK($C353),"",IF($BA353,Constants!$B$11,IF(COUNTA($E353:$AA353)=0,Constants!$B$10,IF(NOT($AG353),Constants!$B$9,IF(OR($BY353&lt;&gt;"",$BB353,$BN353),Constants!$B$12,Constants!$B$8)))))</f>
        <v/>
      </c>
      <c r="CA353" s="93" t="str">
        <f aca="false">IF(ISBLANK($C353),"",IF($BZ353&lt;&gt;Constants!$B$8,$BZ353,Constants!$B$13))</f>
        <v/>
      </c>
      <c r="CB353" s="97" t="str">
        <f aca="false">IF($BZ353&lt;&gt;Constants!$B$8,"",IF($BM353="-&gt;",$BT353,$BH353))</f>
        <v/>
      </c>
      <c r="CC353" s="97" t="str">
        <f aca="false">IF($BZ353&lt;&gt;Constants!$B$8,"",IF($AF353,0,Constants!$B$18))</f>
        <v/>
      </c>
      <c r="CD353" s="97" t="str">
        <f aca="false">IF($BZ353&lt;&gt;Constants!$B$8,"",((Constants!$B$31-$AZ353)-Constants!$B$31)/Constants!$B$32)</f>
        <v/>
      </c>
      <c r="CE353" s="97" t="str">
        <f aca="false">IF(ISBLANK($C353),"",IF($BZ353&lt;&gt;Constants!$B$8,$BZ353,SUM($CB353:$CD353)))</f>
        <v/>
      </c>
      <c r="CF353" s="93" t="str">
        <f aca="false">IF(ISBLANK($C353),"",IF($BZ353&lt;&gt;Constants!$B$8,$BZ353,RANK($CE353,$CE$9:$CE$508,1)))</f>
        <v/>
      </c>
      <c r="CG353" s="97" t="str">
        <f aca="false">IF($BZ353&lt;&gt;Constants!$B$8,"",IF($BM353="-&gt;",$BU353,$BI353))</f>
        <v/>
      </c>
      <c r="CH353" s="93" t="str">
        <f aca="false">IF(ISBLANK($C353),"",IF($BZ353&lt;&gt;Constants!$B$8,$BZ353,IF(ISNUMBER($CG353),RANK($CG353,$CG$9:$CG$508,1),COUNT($CG$9:$CG$508)+1)))</f>
        <v/>
      </c>
      <c r="CI353" s="97" t="str">
        <f aca="false">IF($BZ353&lt;&gt;Constants!$B$8,"",IF($BM353="-&gt;",$BV353,$BJ353))</f>
        <v/>
      </c>
      <c r="CJ353" s="93" t="str">
        <f aca="false">IF(ISBLANK($C353),"",IF($BZ353&lt;&gt;Constants!$B$8,$BZ353,IF(ISNUMBER($CI353),RANK($CI353,$CI$9:$CI$508,1),COUNT($CI$9:$CI$508)+1)))</f>
        <v/>
      </c>
      <c r="CK353" s="97" t="str">
        <f aca="false">IF($BZ353&lt;&gt;Constants!$B$8,"",IF($BM353="-&gt;",$BW353,$BK353))</f>
        <v/>
      </c>
      <c r="CL353" s="93" t="str">
        <f aca="false">IF(ISBLANK($C353),"",IF($BZ353&lt;&gt;Constants!$B$8,$BZ353,IF(ISNUMBER($CK353),RANK($CK353,$CK$9:$CK$508,1),COUNT($CK$9:$CK$508)+1)))</f>
        <v/>
      </c>
      <c r="CM353" s="97" t="str">
        <f aca="false">IF($BZ353&lt;&gt;Constants!$B$8,"",IF(AND(NOT($AL353),NOT($AT353),$AJ353,$AK353,$AR353,$AS353),"",IF($BM353="-&gt;",$BX353,$BL353)))</f>
        <v/>
      </c>
      <c r="CN353" s="93" t="str">
        <f aca="false">IF(ISBLANK($C353),"",IF($BZ353&lt;&gt;Constants!$B$8,$BZ353,IF(ISNUMBER($CM353),RANK($CM353,$CM$9:$CM$508,1),COUNT($CM$9:$CM$508)+1)))</f>
        <v/>
      </c>
      <c r="CO353" s="93" t="str">
        <f aca="false">IF(ISBLANK($C353),"",IF($BZ353&lt;&gt;Constants!$B$8,$BZ353,COUNTIFS($CF$9:$CF$508,"&lt;"&amp;$CF353)+COUNTIFS($CF$9:$CF$508,$CF353,$CH$9:$CH$508,"&lt;"&amp;$CH353)+COUNTIFS($CF$9:$CF$508,$CF353,$CH$9:$CH$508,$CH353,$CJ$9:$CJ$508,"&lt;"&amp;$CJ353)+COUNTIFS($CF$9:$CF$508,$CF353,$CH$9:$CH$508,$CH353,$CJ$9:$CJ$508,$CJ353,$CL$9:$CL$508,"&lt;"&amp;$CL353)+COUNTIFS($CF$9:$CF$508,$CF353,$CH$9:$CH$508,$CH353,$CJ$9:$CJ$508,$CJ353,$CL$9:$CL$508,$CL353,$CN$9:$CN$508,"&lt;"&amp;$CN353)+1))</f>
        <v/>
      </c>
      <c r="CP353" s="93" t="str">
        <f aca="false">IF(ISBLANK($C353),"",IF($BZ353&lt;&gt;Constants!$B$8,$BZ353,$CF353-$CO353))</f>
        <v/>
      </c>
      <c r="CQ353" s="100"/>
      <c r="CR353" s="101"/>
      <c r="CS353" s="102" t="str">
        <f aca="false">IF(ISBLANK($C353),"",IF($BZ353=Constants!$B$12,$BY353,""))</f>
        <v/>
      </c>
      <c r="CT353" s="101" t="str">
        <f aca="false">IF(ISBLANK($C353),"",IF($BZ353&lt;&gt;Constants!$B$8,"",IF($BM353="-&gt;",2,1)))</f>
        <v/>
      </c>
      <c r="CU353" s="103" t="str">
        <f aca="false">IF(ISBLANK($C353),"",IF($BZ353&lt;&gt;Constants!$B$8,"",IF($BM353="-&gt;",$BO353,$BC353)))</f>
        <v/>
      </c>
      <c r="CV353" s="103" t="str">
        <f aca="false">IF(ISBLANK($C353),"",IF($BZ353&lt;&gt;Constants!$B$8,"",IF($BM353="-&gt;",$BP353,$BD353)))</f>
        <v/>
      </c>
      <c r="CW353" s="103" t="str">
        <f aca="false">IF(ISBLANK($C353),"",IF($BZ353&lt;&gt;Constants!$B$8,"",IF($BM353="-&gt;",$BQ353+$BR353,$BE353+$BF353)+$CD353))</f>
        <v/>
      </c>
      <c r="CX353" s="103" t="str">
        <f aca="false">IF(ISBLANK($C353),"",IF($BZ353&lt;&gt;Constants!$B$8,"",IF($BM353="-&gt;",$BS353,$BG353)+$CC353))</f>
        <v/>
      </c>
      <c r="CY353" s="104" t="str">
        <f aca="false">IF(ISBLANK($C353),"",IF($BZ353&lt;&gt;Constants!$B$8,$BZ353,$CE353))</f>
        <v/>
      </c>
      <c r="CZ353" s="105" t="str">
        <f aca="false">IF(ISBLANK($C353),"",$CA353)</f>
        <v/>
      </c>
      <c r="DA353" s="106" t="str">
        <f aca="false">IF(ISBLANK($C353),"",$CP353)</f>
        <v/>
      </c>
      <c r="DB353" s="106" t="str">
        <f aca="false">IF(ISBLANK($C353),"",$CO353)</f>
        <v/>
      </c>
      <c r="DC353" s="107" t="str">
        <f aca="false">IF(ISBLANK($C353),"",IFERROR(_xlfn.SWITCH($DB353,Constants!$B$11,COUNTA($C$9:$C$508)+2,Constants!$B$10,COUNTA($C$9:$C$508)+1,Constants!$B$9,COUNTA($C$9:$C$508)),$DB353))</f>
        <v/>
      </c>
      <c r="DD353" s="9"/>
      <c r="DE353" s="108" t="n">
        <f aca="false">IF(OR(ISNUMBER($DB353),$DB353=Constants!$B$11,$DB353=Constants!$B$9,$DB353=Constants!$B$10),1,0)</f>
        <v>0</v>
      </c>
      <c r="DF353" s="108" t="n">
        <v>345</v>
      </c>
      <c r="DG353" s="108" t="str">
        <f aca="false">IF(ISBLANK($C353),"",IF(ISNUMBER($DC353),$DC353+ROW($B353)/1000,""))</f>
        <v/>
      </c>
      <c r="DH353" s="108" t="str">
        <f aca="false">IF(ISNUMBER($DG353),RANK($DG353,$DG$9:$DG$508,1),"")</f>
        <v/>
      </c>
      <c r="DI353" s="108" t="str">
        <f aca="false">IF(ISBLANK($C353),"",$B353)</f>
        <v/>
      </c>
      <c r="DJ353" s="108" t="str">
        <f aca="false">IF(ISBLANK($C353),"",$C353)</f>
        <v/>
      </c>
      <c r="DK353" s="108" t="str">
        <f aca="false">IF(ISBLANK($C353),"",$D353)</f>
        <v/>
      </c>
      <c r="DL353" s="109" t="str">
        <f aca="false">$CZ353</f>
        <v/>
      </c>
      <c r="DM353" s="110" t="str">
        <f aca="false">$CY353</f>
        <v/>
      </c>
      <c r="DN353" s="108" t="str">
        <f aca="false">IF(ISBLANK($C353),"",$DB353)</f>
        <v/>
      </c>
      <c r="DO353" s="111" t="str">
        <f aca="false">IF($DF353&gt;$DE$8,"",VLOOKUP($DF353,$DH$9:$DN$508,7,FALSE()))</f>
        <v/>
      </c>
      <c r="DP353" s="112" t="str">
        <f aca="false">IF($DF353&gt;$DE$8,"",VLOOKUP($DF353,$DH$9:$DN$508,2,FALSE()))</f>
        <v/>
      </c>
      <c r="DQ353" s="112" t="str">
        <f aca="false">IF($DF353&gt;$DE$8,"",VLOOKUP($DF353,$DH$9:$DN$508,3,FALSE()))</f>
        <v/>
      </c>
      <c r="DR353" s="112" t="str">
        <f aca="false">IF($DF353&gt;$DE$8,"",VLOOKUP($DF353,$DH$9:$DN$508,4,FALSE()))</f>
        <v/>
      </c>
      <c r="DS353" s="112" t="str">
        <f aca="false">IF($DF353&gt;$DE$8,"",VLOOKUP($DF353,$DH$9:$DN$508,5,FALSE()))</f>
        <v/>
      </c>
      <c r="DT353" s="113" t="str">
        <f aca="false">IF($DF353&gt;$DE$8,"",VLOOKUP($DF353,$DH$9:$DN$508,6,FALSE()))</f>
        <v/>
      </c>
      <c r="DU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IF(ISBLANK($C354),"",IF(E354=Constants!$B$3,TRUE(),IF(E354=Constants!$B$4,FALSE(),TRUE())))</f>
        <v/>
      </c>
      <c r="AG354" s="135" t="str">
        <f aca="false">IF(ISBLANK($C354),"",IF(F354=Constants!$B$3,TRUE(),IF(F354=Constants!$B$4,FALSE(),TRUE())))</f>
        <v/>
      </c>
      <c r="AH354" s="135" t="str">
        <f aca="false">IF(ISBLANK($C354),"",IF(G354=Constants!$B$3,TRUE(),IF(G354=Constants!$B$4,FALSE(),TRUE())))</f>
        <v/>
      </c>
      <c r="AI354" s="135" t="str">
        <f aca="false">IF(ISBLANK($C354),"",IF(AND(ISNUMBER(H354),H354&gt;=0),H354,Constants!$B$29))</f>
        <v/>
      </c>
      <c r="AJ354" s="135" t="str">
        <f aca="false">IF(ISBLANK($C354),"",IF(I354=Constants!$B$3,TRUE(),IF(I354=Constants!$B$4,FALSE(),TRUE())))</f>
        <v/>
      </c>
      <c r="AK354" s="135" t="str">
        <f aca="false">IF(ISBLANK($C354),"",IF(J354=Constants!$B$3,TRUE(),IF(J354=Constants!$B$4,FALSE(),TRUE())))</f>
        <v/>
      </c>
      <c r="AL354" s="135" t="str">
        <f aca="false">IF(ISBLANK($C354),"",IF(K354=Constants!$B$5,TRUE(),IF(K354=Constants!$B$6,FALSE(),COUNTA(L354:P354)&gt;0)))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IF(ISBLANK($C354),"",IF(N354=Constants!$B$3,TRUE(),IF(N354=Constants!$B$4,FALSE(),TRUE())))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IF(ISBLANK($C354),"",IF(P354=Constants!$B$3,TRUE(),IF(P354=Constants!$B$4,FALSE(),FALSE())))</f>
        <v/>
      </c>
      <c r="AR354" s="135" t="str">
        <f aca="false">IF(ISBLANK($C354),"",IF(Q354=Constants!$B$3,TRUE(),IF(Q354=Constants!$B$4,FALSE(),TRUE())))</f>
        <v/>
      </c>
      <c r="AS354" s="135" t="str">
        <f aca="false">IF(ISBLANK($C354),"",IF(R354=Constants!$B$3,TRUE(),IF(R354=Constants!$B$4,FALSE(),TRUE())))</f>
        <v/>
      </c>
      <c r="AT354" s="135" t="str">
        <f aca="false">IF(ISBLANK($C354),"",IF(S354=Constants!$B$5,TRUE(),IF(S354=Constants!$B$6,FALSE(),COUNTA(T354:X354)&gt;0)))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IF(ISBLANK($C354),"",IF(V354=Constants!$B$3,TRUE(),IF(V354=Constants!$B$4,FALSE(),TRUE())))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IF(ISBLANK($C354),"",IF(X354=Constants!$B$3,TRUE(),IF(X354=Constants!$B$4,FALSE(),FALSE())))</f>
        <v/>
      </c>
      <c r="AZ354" s="135" t="str">
        <f aca="false">IF(ISBLANK($C354),"",MIN(Constants!$B$31,MAX(0,IF(ISNUMBER(Y354),Y354*60,0)+IF(ISNUMBER(Z354),Z354,0))))</f>
        <v/>
      </c>
      <c r="BA354" s="135" t="str">
        <f aca="false">IF(ISBLANK($C354),"",IF(AA354=Constants!$B$3,TRUE(),IF(AA354=Constants!$B$4,FALSE(),FALSE())))</f>
        <v/>
      </c>
      <c r="BB354" s="134" t="str">
        <f aca="false">IF(ISBLANK($C354),"",AND($AL354,OR($AM354="",$AN354="",AND($AO354,$AP354=""))))</f>
        <v/>
      </c>
      <c r="BC354" s="137" t="str">
        <f aca="false">IF($BZ354&lt;&gt;Constants!$B$8,"",IF($AL354,Constants!$B$21*$AN354+Constants!$B$22*IF($AO354,$AP354,Constants!$B$23),Constants!$B$24))</f>
        <v/>
      </c>
      <c r="BD354" s="138" t="str">
        <f aca="false">IF($BZ354&lt;&gt;Constants!$B$8,"",Constants!$B$25*ABS($AD$9-IF($AL354,$AM354,0)))</f>
        <v/>
      </c>
      <c r="BE354" s="138" t="str">
        <f aca="false">IF($BZ354&lt;&gt;Constants!$B$8,"",IF(AND($AL354,$AQ354,$AO354),Constants!$B$27,0))</f>
        <v/>
      </c>
      <c r="BF354" s="138" t="str">
        <f aca="false">IF($BZ354&lt;&gt;Constants!$B$8,"",IF($AL354,($AI354-Constants!$B$29)*Constants!$B$28,0))</f>
        <v/>
      </c>
      <c r="BG354" s="138" t="str">
        <f aca="false">IF($BZ354&lt;&gt;Constants!$B$8,"",IF($AK354,0,Constants!$B$15)+IF($AJ354,0,Constants!$B$16)+IF($AH354,0,Constants!$B$17))</f>
        <v/>
      </c>
      <c r="BH354" s="139" t="str">
        <f aca="false">IF($BZ354&lt;&gt;Constants!$B$8,"",Constants!$B$20+SUM($BC354:$BG354))</f>
        <v/>
      </c>
      <c r="BI354" s="138" t="str">
        <f aca="false">IF($BZ354&lt;&gt;Constants!$B$8,"",$BC354)</f>
        <v/>
      </c>
      <c r="BJ354" s="138" t="str">
        <f aca="false">IF($BZ354&lt;&gt;Constants!$B$8,"",$BD354)</f>
        <v/>
      </c>
      <c r="BK354" s="138" t="str">
        <f aca="false">IF($BZ354&lt;&gt;Constants!$B$8,"",IF($AL354,$AN354,""))</f>
        <v/>
      </c>
      <c r="BL354" s="140" t="str">
        <f aca="false">IF($BZ354&lt;&gt;Constants!$B$8,"",$AI354)</f>
        <v/>
      </c>
      <c r="BM354" s="135" t="str">
        <f aca="false">IF($BZ354&lt;&gt;Constants!$B$8,"",IF(OR($BT354&lt;$BH354,AND($BT354=$BH354,OR($BU354&lt;$BI354,AND($BU354=$BI354,OR($BV354&lt;$BJ354,AND($BV354=$BJ354,OR(AND(ISNUMBER($BW354),OR(NOT(ISNUMBER($BK354)),$BW354&lt;$BK354)),AND(OR(AND($BW354="",$BK354=""),AND(ISNUMBER($BW354),ISNUMBER($BK354),$BW354=$BK354)),$BX354&lt;$BL354)))))))),"-&gt;","&lt;-"))</f>
        <v/>
      </c>
      <c r="BN354" s="134" t="str">
        <f aca="false">IF(ISBLANK($C354),"",AND($AT354,OR($AU354="",$AV354="",AND($AW354,$AX354=""))))</f>
        <v/>
      </c>
      <c r="BO354" s="137" t="str">
        <f aca="false">IF($BZ354&lt;&gt;Constants!$B$8,"",IF($AT354,Constants!$B$21*$AV354+Constants!$B$22*IF($AW354,$AX354,Constants!$B$23),Constants!$B$24))</f>
        <v/>
      </c>
      <c r="BP354" s="138" t="str">
        <f aca="false">IF($BZ354&lt;&gt;Constants!$B$8,"",Constants!$B$25*ABS($AD$9-IF($AT354,$AU354,0)))</f>
        <v/>
      </c>
      <c r="BQ354" s="138" t="str">
        <f aca="false">IF($BZ354&lt;&gt;Constants!$B$8,"",IF(AND($AT354,$AY354,$AW354),Constants!$B$27,0))</f>
        <v/>
      </c>
      <c r="BR354" s="138" t="str">
        <f aca="false">IF($BZ354&lt;&gt;Constants!$B$8,"",IF($AT354,($AI354-Constants!$B$29)*Constants!$B$28,0))</f>
        <v/>
      </c>
      <c r="BS354" s="138" t="str">
        <f aca="false">IF($BZ354&lt;&gt;Constants!$B$8,"",IF($AS354,0,Constants!$B$15)+IF($AR354,0,Constants!$B$16)+IF($AH354,0,Constants!$B$17))</f>
        <v/>
      </c>
      <c r="BT354" s="139" t="str">
        <f aca="false">IF($BZ354&lt;&gt;Constants!$B$8,"",Constants!$B$20+SUM($BO354:$BS354))</f>
        <v/>
      </c>
      <c r="BU354" s="138" t="str">
        <f aca="false">IF($BZ354&lt;&gt;Constants!$B$8,"",$BO354)</f>
        <v/>
      </c>
      <c r="BV354" s="138" t="str">
        <f aca="false">IF($BZ354&lt;&gt;Constants!$B$8,"",$BP354)</f>
        <v/>
      </c>
      <c r="BW354" s="138" t="str">
        <f aca="false">IF($BZ354&lt;&gt;Constants!$B$8,"",IF($AT354,$AV354,""))</f>
        <v/>
      </c>
      <c r="BX354" s="140" t="str">
        <f aca="false">IF($BZ354&lt;&gt;Constants!$B$8,"",$AI354)</f>
        <v/>
      </c>
      <c r="BY354" s="135" t="str">
        <f aca="false">IF(ISBLANK($C354),"",IF(ISBLANK($D$7),$BY$5,IF(NOT(ISNUMBER($D$7)),$BY$6,"")))</f>
        <v/>
      </c>
      <c r="BZ354" s="135" t="str">
        <f aca="false">IF(ISBLANK($C354),"",IF($BA354,Constants!$B$11,IF(COUNTA($E354:$AA354)=0,Constants!$B$10,IF(NOT($AG354),Constants!$B$9,IF(OR($BY354&lt;&gt;"",$BB354,$BN354),Constants!$B$12,Constants!$B$8)))))</f>
        <v/>
      </c>
      <c r="CA354" s="135" t="str">
        <f aca="false">IF(ISBLANK($C354),"",IF($BZ354&lt;&gt;Constants!$B$8,$BZ354,Constants!$B$13))</f>
        <v/>
      </c>
      <c r="CB354" s="138" t="str">
        <f aca="false">IF($BZ354&lt;&gt;Constants!$B$8,"",IF($BM354="-&gt;",$BT354,$BH354))</f>
        <v/>
      </c>
      <c r="CC354" s="138" t="str">
        <f aca="false">IF($BZ354&lt;&gt;Constants!$B$8,"",IF($AF354,0,Constants!$B$18))</f>
        <v/>
      </c>
      <c r="CD354" s="138" t="str">
        <f aca="false">IF($BZ354&lt;&gt;Constants!$B$8,"",((Constants!$B$31-$AZ354)-Constants!$B$31)/Constants!$B$32)</f>
        <v/>
      </c>
      <c r="CE354" s="138" t="str">
        <f aca="false">IF(ISBLANK($C354),"",IF($BZ354&lt;&gt;Constants!$B$8,$BZ354,SUM($CB354:$CD354)))</f>
        <v/>
      </c>
      <c r="CF354" s="135" t="str">
        <f aca="false">IF(ISBLANK($C354),"",IF($BZ354&lt;&gt;Constants!$B$8,$BZ354,RANK($CE354,$CE$9:$CE$508,1)))</f>
        <v/>
      </c>
      <c r="CG354" s="138" t="str">
        <f aca="false">IF($BZ354&lt;&gt;Constants!$B$8,"",IF($BM354="-&gt;",$BU354,$BI354))</f>
        <v/>
      </c>
      <c r="CH354" s="135" t="str">
        <f aca="false">IF(ISBLANK($C354),"",IF($BZ354&lt;&gt;Constants!$B$8,$BZ354,IF(ISNUMBER($CG354),RANK($CG354,$CG$9:$CG$508,1),COUNT($CG$9:$CG$508)+1)))</f>
        <v/>
      </c>
      <c r="CI354" s="138" t="str">
        <f aca="false">IF($BZ354&lt;&gt;Constants!$B$8,"",IF($BM354="-&gt;",$BV354,$BJ354))</f>
        <v/>
      </c>
      <c r="CJ354" s="135" t="str">
        <f aca="false">IF(ISBLANK($C354),"",IF($BZ354&lt;&gt;Constants!$B$8,$BZ354,IF(ISNUMBER($CI354),RANK($CI354,$CI$9:$CI$508,1),COUNT($CI$9:$CI$508)+1)))</f>
        <v/>
      </c>
      <c r="CK354" s="138" t="str">
        <f aca="false">IF($BZ354&lt;&gt;Constants!$B$8,"",IF($BM354="-&gt;",$BW354,$BK354))</f>
        <v/>
      </c>
      <c r="CL354" s="135" t="str">
        <f aca="false">IF(ISBLANK($C354),"",IF($BZ354&lt;&gt;Constants!$B$8,$BZ354,IF(ISNUMBER($CK354),RANK($CK354,$CK$9:$CK$508,1),COUNT($CK$9:$CK$508)+1)))</f>
        <v/>
      </c>
      <c r="CM354" s="138" t="str">
        <f aca="false">IF($BZ354&lt;&gt;Constants!$B$8,"",IF(AND(NOT($AL354),NOT($AT354),$AJ354,$AK354,$AR354,$AS354),"",IF($BM354="-&gt;",$BX354,$BL354)))</f>
        <v/>
      </c>
      <c r="CN354" s="135" t="str">
        <f aca="false">IF(ISBLANK($C354),"",IF($BZ354&lt;&gt;Constants!$B$8,$BZ354,IF(ISNUMBER($CM354),RANK($CM354,$CM$9:$CM$508,1),COUNT($CM$9:$CM$508)+1)))</f>
        <v/>
      </c>
      <c r="CO354" s="135" t="str">
        <f aca="false">IF(ISBLANK($C354),"",IF($BZ354&lt;&gt;Constants!$B$8,$BZ354,COUNTIFS($CF$9:$CF$508,"&lt;"&amp;$CF354)+COUNTIFS($CF$9:$CF$508,$CF354,$CH$9:$CH$508,"&lt;"&amp;$CH354)+COUNTIFS($CF$9:$CF$508,$CF354,$CH$9:$CH$508,$CH354,$CJ$9:$CJ$508,"&lt;"&amp;$CJ354)+COUNTIFS($CF$9:$CF$508,$CF354,$CH$9:$CH$508,$CH354,$CJ$9:$CJ$508,$CJ354,$CL$9:$CL$508,"&lt;"&amp;$CL354)+COUNTIFS($CF$9:$CF$508,$CF354,$CH$9:$CH$508,$CH354,$CJ$9:$CJ$508,$CJ354,$CL$9:$CL$508,$CL354,$CN$9:$CN$508,"&lt;"&amp;$CN354)+1))</f>
        <v/>
      </c>
      <c r="CP354" s="135" t="str">
        <f aca="false">IF(ISBLANK($C354),"",IF($BZ354&lt;&gt;Constants!$B$8,$BZ354,$CF354-$CO354))</f>
        <v/>
      </c>
      <c r="CQ354" s="141"/>
      <c r="CR354" s="142"/>
      <c r="CS354" s="143" t="str">
        <f aca="false">IF(ISBLANK($C354),"",IF($BZ354=Constants!$B$12,$BY354,""))</f>
        <v/>
      </c>
      <c r="CT354" s="142" t="str">
        <f aca="false">IF(ISBLANK($C354),"",IF($BZ354&lt;&gt;Constants!$B$8,"",IF($BM354="-&gt;",2,1)))</f>
        <v/>
      </c>
      <c r="CU354" s="144" t="str">
        <f aca="false">IF(ISBLANK($C354),"",IF($BZ354&lt;&gt;Constants!$B$8,"",IF($BM354="-&gt;",$BO354,$BC354)))</f>
        <v/>
      </c>
      <c r="CV354" s="144" t="str">
        <f aca="false">IF(ISBLANK($C354),"",IF($BZ354&lt;&gt;Constants!$B$8,"",IF($BM354="-&gt;",$BP354,$BD354)))</f>
        <v/>
      </c>
      <c r="CW354" s="144" t="str">
        <f aca="false">IF(ISBLANK($C354),"",IF($BZ354&lt;&gt;Constants!$B$8,"",IF($BM354="-&gt;",$BQ354+$BR354,$BE354+$BF354)+$CD354))</f>
        <v/>
      </c>
      <c r="CX354" s="144" t="str">
        <f aca="false">IF(ISBLANK($C354),"",IF($BZ354&lt;&gt;Constants!$B$8,"",IF($BM354="-&gt;",$BS354,$BG354)+$CC354))</f>
        <v/>
      </c>
      <c r="CY354" s="145" t="str">
        <f aca="false">IF(ISBLANK($C354),"",IF($BZ354&lt;&gt;Constants!$B$8,$BZ354,$CE354))</f>
        <v/>
      </c>
      <c r="CZ354" s="146" t="str">
        <f aca="false">IF(ISBLANK($C354),"",$CA354)</f>
        <v/>
      </c>
      <c r="DA354" s="147" t="str">
        <f aca="false">IF(ISBLANK($C354),"",$CP354)</f>
        <v/>
      </c>
      <c r="DB354" s="147" t="str">
        <f aca="false">IF(ISBLANK($C354),"",$CO354)</f>
        <v/>
      </c>
      <c r="DC354" s="148" t="str">
        <f aca="false">IF(ISBLANK($C354),"",IFERROR(_xlfn.SWITCH($DB354,Constants!$B$11,COUNTA($C$9:$C$508)+2,Constants!$B$10,COUNTA($C$9:$C$508)+1,Constants!$B$9,COUNTA($C$9:$C$508)),$DB354))</f>
        <v/>
      </c>
      <c r="DD354" s="9"/>
      <c r="DE354" s="149" t="n">
        <f aca="false">IF(OR(ISNUMBER($DB354),$DB354=Constants!$B$11,$DB354=Constants!$B$9,$DB354=Constants!$B$10),1,0)</f>
        <v>0</v>
      </c>
      <c r="DF354" s="149" t="n">
        <v>346</v>
      </c>
      <c r="DG354" s="149" t="str">
        <f aca="false">IF(ISBLANK($C354),"",IF(ISNUMBER($DC354),$DC354+ROW($B354)/1000,""))</f>
        <v/>
      </c>
      <c r="DH354" s="149" t="str">
        <f aca="false">IF(ISNUMBER($DG354),RANK($DG354,$DG$9:$DG$508,1),"")</f>
        <v/>
      </c>
      <c r="DI354" s="149" t="str">
        <f aca="false">IF(ISBLANK($C354),"",$B354)</f>
        <v/>
      </c>
      <c r="DJ354" s="149" t="str">
        <f aca="false">IF(ISBLANK($C354),"",$C354)</f>
        <v/>
      </c>
      <c r="DK354" s="149" t="str">
        <f aca="false">IF(ISBLANK($C354),"",$D354)</f>
        <v/>
      </c>
      <c r="DL354" s="150" t="str">
        <f aca="false">$CZ354</f>
        <v/>
      </c>
      <c r="DM354" s="151" t="str">
        <f aca="false">$CY354</f>
        <v/>
      </c>
      <c r="DN354" s="149" t="str">
        <f aca="false">IF(ISBLANK($C354),"",$DB354)</f>
        <v/>
      </c>
      <c r="DO354" s="152" t="str">
        <f aca="false">IF($DF354&gt;$DE$8,"",VLOOKUP($DF354,$DH$9:$DN$508,7,FALSE()))</f>
        <v/>
      </c>
      <c r="DP354" s="153" t="str">
        <f aca="false">IF($DF354&gt;$DE$8,"",VLOOKUP($DF354,$DH$9:$DN$508,2,FALSE()))</f>
        <v/>
      </c>
      <c r="DQ354" s="153" t="str">
        <f aca="false">IF($DF354&gt;$DE$8,"",VLOOKUP($DF354,$DH$9:$DN$508,3,FALSE()))</f>
        <v/>
      </c>
      <c r="DR354" s="153" t="str">
        <f aca="false">IF($DF354&gt;$DE$8,"",VLOOKUP($DF354,$DH$9:$DN$508,4,FALSE()))</f>
        <v/>
      </c>
      <c r="DS354" s="153" t="str">
        <f aca="false">IF($DF354&gt;$DE$8,"",VLOOKUP($DF354,$DH$9:$DN$508,5,FALSE()))</f>
        <v/>
      </c>
      <c r="DT354" s="154" t="str">
        <f aca="false">IF($DF354&gt;$DE$8,"",VLOOKUP($DF354,$DH$9:$DN$508,6,FALSE()))</f>
        <v/>
      </c>
      <c r="DU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IF(ISBLANK($C355),"",IF(E355=Constants!$B$3,TRUE(),IF(E355=Constants!$B$4,FALSE(),TRUE())))</f>
        <v/>
      </c>
      <c r="AG355" s="135" t="str">
        <f aca="false">IF(ISBLANK($C355),"",IF(F355=Constants!$B$3,TRUE(),IF(F355=Constants!$B$4,FALSE(),TRUE())))</f>
        <v/>
      </c>
      <c r="AH355" s="135" t="str">
        <f aca="false">IF(ISBLANK($C355),"",IF(G355=Constants!$B$3,TRUE(),IF(G355=Constants!$B$4,FALSE(),TRUE())))</f>
        <v/>
      </c>
      <c r="AI355" s="135" t="str">
        <f aca="false">IF(ISBLANK($C355),"",IF(AND(ISNUMBER(H355),H355&gt;=0),H355,Constants!$B$29))</f>
        <v/>
      </c>
      <c r="AJ355" s="135" t="str">
        <f aca="false">IF(ISBLANK($C355),"",IF(I355=Constants!$B$3,TRUE(),IF(I355=Constants!$B$4,FALSE(),TRUE())))</f>
        <v/>
      </c>
      <c r="AK355" s="135" t="str">
        <f aca="false">IF(ISBLANK($C355),"",IF(J355=Constants!$B$3,TRUE(),IF(J355=Constants!$B$4,FALSE(),TRUE())))</f>
        <v/>
      </c>
      <c r="AL355" s="135" t="str">
        <f aca="false">IF(ISBLANK($C355),"",IF(K355=Constants!$B$5,TRUE(),IF(K355=Constants!$B$6,FALSE(),COUNTA(L355:P355)&gt;0)))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IF(ISBLANK($C355),"",IF(N355=Constants!$B$3,TRUE(),IF(N355=Constants!$B$4,FALSE(),TRUE())))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IF(ISBLANK($C355),"",IF(P355=Constants!$B$3,TRUE(),IF(P355=Constants!$B$4,FALSE(),FALSE())))</f>
        <v/>
      </c>
      <c r="AR355" s="135" t="str">
        <f aca="false">IF(ISBLANK($C355),"",IF(Q355=Constants!$B$3,TRUE(),IF(Q355=Constants!$B$4,FALSE(),TRUE())))</f>
        <v/>
      </c>
      <c r="AS355" s="135" t="str">
        <f aca="false">IF(ISBLANK($C355),"",IF(R355=Constants!$B$3,TRUE(),IF(R355=Constants!$B$4,FALSE(),TRUE())))</f>
        <v/>
      </c>
      <c r="AT355" s="135" t="str">
        <f aca="false">IF(ISBLANK($C355),"",IF(S355=Constants!$B$5,TRUE(),IF(S355=Constants!$B$6,FALSE(),COUNTA(T355:X355)&gt;0)))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IF(ISBLANK($C355),"",IF(V355=Constants!$B$3,TRUE(),IF(V355=Constants!$B$4,FALSE(),TRUE())))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IF(ISBLANK($C355),"",IF(X355=Constants!$B$3,TRUE(),IF(X355=Constants!$B$4,FALSE(),FALSE())))</f>
        <v/>
      </c>
      <c r="AZ355" s="135" t="str">
        <f aca="false">IF(ISBLANK($C355),"",MIN(Constants!$B$31,MAX(0,IF(ISNUMBER(Y355),Y355*60,0)+IF(ISNUMBER(Z355),Z355,0))))</f>
        <v/>
      </c>
      <c r="BA355" s="135" t="str">
        <f aca="false">IF(ISBLANK($C355),"",IF(AA355=Constants!$B$3,TRUE(),IF(AA355=Constants!$B$4,FALSE(),FALSE())))</f>
        <v/>
      </c>
      <c r="BB355" s="134" t="str">
        <f aca="false">IF(ISBLANK($C355),"",AND($AL355,OR($AM355="",$AN355="",AND($AO355,$AP355=""))))</f>
        <v/>
      </c>
      <c r="BC355" s="137" t="str">
        <f aca="false">IF($BZ355&lt;&gt;Constants!$B$8,"",IF($AL355,Constants!$B$21*$AN355+Constants!$B$22*IF($AO355,$AP355,Constants!$B$23),Constants!$B$24))</f>
        <v/>
      </c>
      <c r="BD355" s="138" t="str">
        <f aca="false">IF($BZ355&lt;&gt;Constants!$B$8,"",Constants!$B$25*ABS($AD$9-IF($AL355,$AM355,0)))</f>
        <v/>
      </c>
      <c r="BE355" s="138" t="str">
        <f aca="false">IF($BZ355&lt;&gt;Constants!$B$8,"",IF(AND($AL355,$AQ355,$AO355),Constants!$B$27,0))</f>
        <v/>
      </c>
      <c r="BF355" s="138" t="str">
        <f aca="false">IF($BZ355&lt;&gt;Constants!$B$8,"",IF($AL355,($AI355-Constants!$B$29)*Constants!$B$28,0))</f>
        <v/>
      </c>
      <c r="BG355" s="138" t="str">
        <f aca="false">IF($BZ355&lt;&gt;Constants!$B$8,"",IF($AK355,0,Constants!$B$15)+IF($AJ355,0,Constants!$B$16)+IF($AH355,0,Constants!$B$17))</f>
        <v/>
      </c>
      <c r="BH355" s="139" t="str">
        <f aca="false">IF($BZ355&lt;&gt;Constants!$B$8,"",Constants!$B$20+SUM($BC355:$BG355))</f>
        <v/>
      </c>
      <c r="BI355" s="138" t="str">
        <f aca="false">IF($BZ355&lt;&gt;Constants!$B$8,"",$BC355)</f>
        <v/>
      </c>
      <c r="BJ355" s="138" t="str">
        <f aca="false">IF($BZ355&lt;&gt;Constants!$B$8,"",$BD355)</f>
        <v/>
      </c>
      <c r="BK355" s="138" t="str">
        <f aca="false">IF($BZ355&lt;&gt;Constants!$B$8,"",IF($AL355,$AN355,""))</f>
        <v/>
      </c>
      <c r="BL355" s="140" t="str">
        <f aca="false">IF($BZ355&lt;&gt;Constants!$B$8,"",$AI355)</f>
        <v/>
      </c>
      <c r="BM355" s="135" t="str">
        <f aca="false">IF($BZ355&lt;&gt;Constants!$B$8,"",IF(OR($BT355&lt;$BH355,AND($BT355=$BH355,OR($BU355&lt;$BI355,AND($BU355=$BI355,OR($BV355&lt;$BJ355,AND($BV355=$BJ355,OR(AND(ISNUMBER($BW355),OR(NOT(ISNUMBER($BK355)),$BW355&lt;$BK355)),AND(OR(AND($BW355="",$BK355=""),AND(ISNUMBER($BW355),ISNUMBER($BK355),$BW355=$BK355)),$BX355&lt;$BL355)))))))),"-&gt;","&lt;-"))</f>
        <v/>
      </c>
      <c r="BN355" s="134" t="str">
        <f aca="false">IF(ISBLANK($C355),"",AND($AT355,OR($AU355="",$AV355="",AND($AW355,$AX355=""))))</f>
        <v/>
      </c>
      <c r="BO355" s="137" t="str">
        <f aca="false">IF($BZ355&lt;&gt;Constants!$B$8,"",IF($AT355,Constants!$B$21*$AV355+Constants!$B$22*IF($AW355,$AX355,Constants!$B$23),Constants!$B$24))</f>
        <v/>
      </c>
      <c r="BP355" s="138" t="str">
        <f aca="false">IF($BZ355&lt;&gt;Constants!$B$8,"",Constants!$B$25*ABS($AD$9-IF($AT355,$AU355,0)))</f>
        <v/>
      </c>
      <c r="BQ355" s="138" t="str">
        <f aca="false">IF($BZ355&lt;&gt;Constants!$B$8,"",IF(AND($AT355,$AY355,$AW355),Constants!$B$27,0))</f>
        <v/>
      </c>
      <c r="BR355" s="138" t="str">
        <f aca="false">IF($BZ355&lt;&gt;Constants!$B$8,"",IF($AT355,($AI355-Constants!$B$29)*Constants!$B$28,0))</f>
        <v/>
      </c>
      <c r="BS355" s="138" t="str">
        <f aca="false">IF($BZ355&lt;&gt;Constants!$B$8,"",IF($AS355,0,Constants!$B$15)+IF($AR355,0,Constants!$B$16)+IF($AH355,0,Constants!$B$17))</f>
        <v/>
      </c>
      <c r="BT355" s="139" t="str">
        <f aca="false">IF($BZ355&lt;&gt;Constants!$B$8,"",Constants!$B$20+SUM($BO355:$BS355))</f>
        <v/>
      </c>
      <c r="BU355" s="138" t="str">
        <f aca="false">IF($BZ355&lt;&gt;Constants!$B$8,"",$BO355)</f>
        <v/>
      </c>
      <c r="BV355" s="138" t="str">
        <f aca="false">IF($BZ355&lt;&gt;Constants!$B$8,"",$BP355)</f>
        <v/>
      </c>
      <c r="BW355" s="138" t="str">
        <f aca="false">IF($BZ355&lt;&gt;Constants!$B$8,"",IF($AT355,$AV355,""))</f>
        <v/>
      </c>
      <c r="BX355" s="140" t="str">
        <f aca="false">IF($BZ355&lt;&gt;Constants!$B$8,"",$AI355)</f>
        <v/>
      </c>
      <c r="BY355" s="135" t="str">
        <f aca="false">IF(ISBLANK($C355),"",IF(ISBLANK($D$7),$BY$5,IF(NOT(ISNUMBER($D$7)),$BY$6,"")))</f>
        <v/>
      </c>
      <c r="BZ355" s="135" t="str">
        <f aca="false">IF(ISBLANK($C355),"",IF($BA355,Constants!$B$11,IF(COUNTA($E355:$AA355)=0,Constants!$B$10,IF(NOT($AG355),Constants!$B$9,IF(OR($BY355&lt;&gt;"",$BB355,$BN355),Constants!$B$12,Constants!$B$8)))))</f>
        <v/>
      </c>
      <c r="CA355" s="135" t="str">
        <f aca="false">IF(ISBLANK($C355),"",IF($BZ355&lt;&gt;Constants!$B$8,$BZ355,Constants!$B$13))</f>
        <v/>
      </c>
      <c r="CB355" s="138" t="str">
        <f aca="false">IF($BZ355&lt;&gt;Constants!$B$8,"",IF($BM355="-&gt;",$BT355,$BH355))</f>
        <v/>
      </c>
      <c r="CC355" s="138" t="str">
        <f aca="false">IF($BZ355&lt;&gt;Constants!$B$8,"",IF($AF355,0,Constants!$B$18))</f>
        <v/>
      </c>
      <c r="CD355" s="138" t="str">
        <f aca="false">IF($BZ355&lt;&gt;Constants!$B$8,"",((Constants!$B$31-$AZ355)-Constants!$B$31)/Constants!$B$32)</f>
        <v/>
      </c>
      <c r="CE355" s="138" t="str">
        <f aca="false">IF(ISBLANK($C355),"",IF($BZ355&lt;&gt;Constants!$B$8,$BZ355,SUM($CB355:$CD355)))</f>
        <v/>
      </c>
      <c r="CF355" s="135" t="str">
        <f aca="false">IF(ISBLANK($C355),"",IF($BZ355&lt;&gt;Constants!$B$8,$BZ355,RANK($CE355,$CE$9:$CE$508,1)))</f>
        <v/>
      </c>
      <c r="CG355" s="138" t="str">
        <f aca="false">IF($BZ355&lt;&gt;Constants!$B$8,"",IF($BM355="-&gt;",$BU355,$BI355))</f>
        <v/>
      </c>
      <c r="CH355" s="135" t="str">
        <f aca="false">IF(ISBLANK($C355),"",IF($BZ355&lt;&gt;Constants!$B$8,$BZ355,IF(ISNUMBER($CG355),RANK($CG355,$CG$9:$CG$508,1),COUNT($CG$9:$CG$508)+1)))</f>
        <v/>
      </c>
      <c r="CI355" s="138" t="str">
        <f aca="false">IF($BZ355&lt;&gt;Constants!$B$8,"",IF($BM355="-&gt;",$BV355,$BJ355))</f>
        <v/>
      </c>
      <c r="CJ355" s="135" t="str">
        <f aca="false">IF(ISBLANK($C355),"",IF($BZ355&lt;&gt;Constants!$B$8,$BZ355,IF(ISNUMBER($CI355),RANK($CI355,$CI$9:$CI$508,1),COUNT($CI$9:$CI$508)+1)))</f>
        <v/>
      </c>
      <c r="CK355" s="138" t="str">
        <f aca="false">IF($BZ355&lt;&gt;Constants!$B$8,"",IF($BM355="-&gt;",$BW355,$BK355))</f>
        <v/>
      </c>
      <c r="CL355" s="135" t="str">
        <f aca="false">IF(ISBLANK($C355),"",IF($BZ355&lt;&gt;Constants!$B$8,$BZ355,IF(ISNUMBER($CK355),RANK($CK355,$CK$9:$CK$508,1),COUNT($CK$9:$CK$508)+1)))</f>
        <v/>
      </c>
      <c r="CM355" s="138" t="str">
        <f aca="false">IF($BZ355&lt;&gt;Constants!$B$8,"",IF(AND(NOT($AL355),NOT($AT355),$AJ355,$AK355,$AR355,$AS355),"",IF($BM355="-&gt;",$BX355,$BL355)))</f>
        <v/>
      </c>
      <c r="CN355" s="135" t="str">
        <f aca="false">IF(ISBLANK($C355),"",IF($BZ355&lt;&gt;Constants!$B$8,$BZ355,IF(ISNUMBER($CM355),RANK($CM355,$CM$9:$CM$508,1),COUNT($CM$9:$CM$508)+1)))</f>
        <v/>
      </c>
      <c r="CO355" s="135" t="str">
        <f aca="false">IF(ISBLANK($C355),"",IF($BZ355&lt;&gt;Constants!$B$8,$BZ355,COUNTIFS($CF$9:$CF$508,"&lt;"&amp;$CF355)+COUNTIFS($CF$9:$CF$508,$CF355,$CH$9:$CH$508,"&lt;"&amp;$CH355)+COUNTIFS($CF$9:$CF$508,$CF355,$CH$9:$CH$508,$CH355,$CJ$9:$CJ$508,"&lt;"&amp;$CJ355)+COUNTIFS($CF$9:$CF$508,$CF355,$CH$9:$CH$508,$CH355,$CJ$9:$CJ$508,$CJ355,$CL$9:$CL$508,"&lt;"&amp;$CL355)+COUNTIFS($CF$9:$CF$508,$CF355,$CH$9:$CH$508,$CH355,$CJ$9:$CJ$508,$CJ355,$CL$9:$CL$508,$CL355,$CN$9:$CN$508,"&lt;"&amp;$CN355)+1))</f>
        <v/>
      </c>
      <c r="CP355" s="135" t="str">
        <f aca="false">IF(ISBLANK($C355),"",IF($BZ355&lt;&gt;Constants!$B$8,$BZ355,$CF355-$CO355))</f>
        <v/>
      </c>
      <c r="CQ355" s="141"/>
      <c r="CR355" s="142"/>
      <c r="CS355" s="143" t="str">
        <f aca="false">IF(ISBLANK($C355),"",IF($BZ355=Constants!$B$12,$BY355,""))</f>
        <v/>
      </c>
      <c r="CT355" s="142" t="str">
        <f aca="false">IF(ISBLANK($C355),"",IF($BZ355&lt;&gt;Constants!$B$8,"",IF($BM355="-&gt;",2,1)))</f>
        <v/>
      </c>
      <c r="CU355" s="144" t="str">
        <f aca="false">IF(ISBLANK($C355),"",IF($BZ355&lt;&gt;Constants!$B$8,"",IF($BM355="-&gt;",$BO355,$BC355)))</f>
        <v/>
      </c>
      <c r="CV355" s="144" t="str">
        <f aca="false">IF(ISBLANK($C355),"",IF($BZ355&lt;&gt;Constants!$B$8,"",IF($BM355="-&gt;",$BP355,$BD355)))</f>
        <v/>
      </c>
      <c r="CW355" s="144" t="str">
        <f aca="false">IF(ISBLANK($C355),"",IF($BZ355&lt;&gt;Constants!$B$8,"",IF($BM355="-&gt;",$BQ355+$BR355,$BE355+$BF355)+$CD355))</f>
        <v/>
      </c>
      <c r="CX355" s="144" t="str">
        <f aca="false">IF(ISBLANK($C355),"",IF($BZ355&lt;&gt;Constants!$B$8,"",IF($BM355="-&gt;",$BS355,$BG355)+$CC355))</f>
        <v/>
      </c>
      <c r="CY355" s="145" t="str">
        <f aca="false">IF(ISBLANK($C355),"",IF($BZ355&lt;&gt;Constants!$B$8,$BZ355,$CE355))</f>
        <v/>
      </c>
      <c r="CZ355" s="146" t="str">
        <f aca="false">IF(ISBLANK($C355),"",$CA355)</f>
        <v/>
      </c>
      <c r="DA355" s="147" t="str">
        <f aca="false">IF(ISBLANK($C355),"",$CP355)</f>
        <v/>
      </c>
      <c r="DB355" s="147" t="str">
        <f aca="false">IF(ISBLANK($C355),"",$CO355)</f>
        <v/>
      </c>
      <c r="DC355" s="148" t="str">
        <f aca="false">IF(ISBLANK($C355),"",IFERROR(_xlfn.SWITCH($DB355,Constants!$B$11,COUNTA($C$9:$C$508)+2,Constants!$B$10,COUNTA($C$9:$C$508)+1,Constants!$B$9,COUNTA($C$9:$C$508)),$DB355))</f>
        <v/>
      </c>
      <c r="DD355" s="9"/>
      <c r="DE355" s="149" t="n">
        <f aca="false">IF(OR(ISNUMBER($DB355),$DB355=Constants!$B$11,$DB355=Constants!$B$9,$DB355=Constants!$B$10),1,0)</f>
        <v>0</v>
      </c>
      <c r="DF355" s="149" t="n">
        <v>347</v>
      </c>
      <c r="DG355" s="149" t="str">
        <f aca="false">IF(ISBLANK($C355),"",IF(ISNUMBER($DC355),$DC355+ROW($B355)/1000,""))</f>
        <v/>
      </c>
      <c r="DH355" s="149" t="str">
        <f aca="false">IF(ISNUMBER($DG355),RANK($DG355,$DG$9:$DG$508,1),"")</f>
        <v/>
      </c>
      <c r="DI355" s="149" t="str">
        <f aca="false">IF(ISBLANK($C355),"",$B355)</f>
        <v/>
      </c>
      <c r="DJ355" s="149" t="str">
        <f aca="false">IF(ISBLANK($C355),"",$C355)</f>
        <v/>
      </c>
      <c r="DK355" s="149" t="str">
        <f aca="false">IF(ISBLANK($C355),"",$D355)</f>
        <v/>
      </c>
      <c r="DL355" s="150" t="str">
        <f aca="false">$CZ355</f>
        <v/>
      </c>
      <c r="DM355" s="151" t="str">
        <f aca="false">$CY355</f>
        <v/>
      </c>
      <c r="DN355" s="149" t="str">
        <f aca="false">IF(ISBLANK($C355),"",$DB355)</f>
        <v/>
      </c>
      <c r="DO355" s="152" t="str">
        <f aca="false">IF($DF355&gt;$DE$8,"",VLOOKUP($DF355,$DH$9:$DN$508,7,FALSE()))</f>
        <v/>
      </c>
      <c r="DP355" s="153" t="str">
        <f aca="false">IF($DF355&gt;$DE$8,"",VLOOKUP($DF355,$DH$9:$DN$508,2,FALSE()))</f>
        <v/>
      </c>
      <c r="DQ355" s="153" t="str">
        <f aca="false">IF($DF355&gt;$DE$8,"",VLOOKUP($DF355,$DH$9:$DN$508,3,FALSE()))</f>
        <v/>
      </c>
      <c r="DR355" s="153" t="str">
        <f aca="false">IF($DF355&gt;$DE$8,"",VLOOKUP($DF355,$DH$9:$DN$508,4,FALSE()))</f>
        <v/>
      </c>
      <c r="DS355" s="153" t="str">
        <f aca="false">IF($DF355&gt;$DE$8,"",VLOOKUP($DF355,$DH$9:$DN$508,5,FALSE()))</f>
        <v/>
      </c>
      <c r="DT355" s="154" t="str">
        <f aca="false">IF($DF355&gt;$DE$8,"",VLOOKUP($DF355,$DH$9:$DN$508,6,FALSE()))</f>
        <v/>
      </c>
      <c r="DU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IF(ISBLANK($C356),"",IF(E356=Constants!$B$3,TRUE(),IF(E356=Constants!$B$4,FALSE(),TRUE())))</f>
        <v/>
      </c>
      <c r="AG356" s="135" t="str">
        <f aca="false">IF(ISBLANK($C356),"",IF(F356=Constants!$B$3,TRUE(),IF(F356=Constants!$B$4,FALSE(),TRUE())))</f>
        <v/>
      </c>
      <c r="AH356" s="135" t="str">
        <f aca="false">IF(ISBLANK($C356),"",IF(G356=Constants!$B$3,TRUE(),IF(G356=Constants!$B$4,FALSE(),TRUE())))</f>
        <v/>
      </c>
      <c r="AI356" s="135" t="str">
        <f aca="false">IF(ISBLANK($C356),"",IF(AND(ISNUMBER(H356),H356&gt;=0),H356,Constants!$B$29))</f>
        <v/>
      </c>
      <c r="AJ356" s="135" t="str">
        <f aca="false">IF(ISBLANK($C356),"",IF(I356=Constants!$B$3,TRUE(),IF(I356=Constants!$B$4,FALSE(),TRUE())))</f>
        <v/>
      </c>
      <c r="AK356" s="135" t="str">
        <f aca="false">IF(ISBLANK($C356),"",IF(J356=Constants!$B$3,TRUE(),IF(J356=Constants!$B$4,FALSE(),TRUE())))</f>
        <v/>
      </c>
      <c r="AL356" s="135" t="str">
        <f aca="false">IF(ISBLANK($C356),"",IF(K356=Constants!$B$5,TRUE(),IF(K356=Constants!$B$6,FALSE(),COUNTA(L356:P356)&gt;0)))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IF(ISBLANK($C356),"",IF(N356=Constants!$B$3,TRUE(),IF(N356=Constants!$B$4,FALSE(),TRUE())))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IF(ISBLANK($C356),"",IF(P356=Constants!$B$3,TRUE(),IF(P356=Constants!$B$4,FALSE(),FALSE())))</f>
        <v/>
      </c>
      <c r="AR356" s="135" t="str">
        <f aca="false">IF(ISBLANK($C356),"",IF(Q356=Constants!$B$3,TRUE(),IF(Q356=Constants!$B$4,FALSE(),TRUE())))</f>
        <v/>
      </c>
      <c r="AS356" s="135" t="str">
        <f aca="false">IF(ISBLANK($C356),"",IF(R356=Constants!$B$3,TRUE(),IF(R356=Constants!$B$4,FALSE(),TRUE())))</f>
        <v/>
      </c>
      <c r="AT356" s="135" t="str">
        <f aca="false">IF(ISBLANK($C356),"",IF(S356=Constants!$B$5,TRUE(),IF(S356=Constants!$B$6,FALSE(),COUNTA(T356:X356)&gt;0)))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IF(ISBLANK($C356),"",IF(V356=Constants!$B$3,TRUE(),IF(V356=Constants!$B$4,FALSE(),TRUE())))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IF(ISBLANK($C356),"",IF(X356=Constants!$B$3,TRUE(),IF(X356=Constants!$B$4,FALSE(),FALSE())))</f>
        <v/>
      </c>
      <c r="AZ356" s="135" t="str">
        <f aca="false">IF(ISBLANK($C356),"",MIN(Constants!$B$31,MAX(0,IF(ISNUMBER(Y356),Y356*60,0)+IF(ISNUMBER(Z356),Z356,0))))</f>
        <v/>
      </c>
      <c r="BA356" s="135" t="str">
        <f aca="false">IF(ISBLANK($C356),"",IF(AA356=Constants!$B$3,TRUE(),IF(AA356=Constants!$B$4,FALSE(),FALSE())))</f>
        <v/>
      </c>
      <c r="BB356" s="134" t="str">
        <f aca="false">IF(ISBLANK($C356),"",AND($AL356,OR($AM356="",$AN356="",AND($AO356,$AP356=""))))</f>
        <v/>
      </c>
      <c r="BC356" s="137" t="str">
        <f aca="false">IF($BZ356&lt;&gt;Constants!$B$8,"",IF($AL356,Constants!$B$21*$AN356+Constants!$B$22*IF($AO356,$AP356,Constants!$B$23),Constants!$B$24))</f>
        <v/>
      </c>
      <c r="BD356" s="138" t="str">
        <f aca="false">IF($BZ356&lt;&gt;Constants!$B$8,"",Constants!$B$25*ABS($AD$9-IF($AL356,$AM356,0)))</f>
        <v/>
      </c>
      <c r="BE356" s="138" t="str">
        <f aca="false">IF($BZ356&lt;&gt;Constants!$B$8,"",IF(AND($AL356,$AQ356,$AO356),Constants!$B$27,0))</f>
        <v/>
      </c>
      <c r="BF356" s="138" t="str">
        <f aca="false">IF($BZ356&lt;&gt;Constants!$B$8,"",IF($AL356,($AI356-Constants!$B$29)*Constants!$B$28,0))</f>
        <v/>
      </c>
      <c r="BG356" s="138" t="str">
        <f aca="false">IF($BZ356&lt;&gt;Constants!$B$8,"",IF($AK356,0,Constants!$B$15)+IF($AJ356,0,Constants!$B$16)+IF($AH356,0,Constants!$B$17))</f>
        <v/>
      </c>
      <c r="BH356" s="139" t="str">
        <f aca="false">IF($BZ356&lt;&gt;Constants!$B$8,"",Constants!$B$20+SUM($BC356:$BG356))</f>
        <v/>
      </c>
      <c r="BI356" s="138" t="str">
        <f aca="false">IF($BZ356&lt;&gt;Constants!$B$8,"",$BC356)</f>
        <v/>
      </c>
      <c r="BJ356" s="138" t="str">
        <f aca="false">IF($BZ356&lt;&gt;Constants!$B$8,"",$BD356)</f>
        <v/>
      </c>
      <c r="BK356" s="138" t="str">
        <f aca="false">IF($BZ356&lt;&gt;Constants!$B$8,"",IF($AL356,$AN356,""))</f>
        <v/>
      </c>
      <c r="BL356" s="140" t="str">
        <f aca="false">IF($BZ356&lt;&gt;Constants!$B$8,"",$AI356)</f>
        <v/>
      </c>
      <c r="BM356" s="135" t="str">
        <f aca="false">IF($BZ356&lt;&gt;Constants!$B$8,"",IF(OR($BT356&lt;$BH356,AND($BT356=$BH356,OR($BU356&lt;$BI356,AND($BU356=$BI356,OR($BV356&lt;$BJ356,AND($BV356=$BJ356,OR(AND(ISNUMBER($BW356),OR(NOT(ISNUMBER($BK356)),$BW356&lt;$BK356)),AND(OR(AND($BW356="",$BK356=""),AND(ISNUMBER($BW356),ISNUMBER($BK356),$BW356=$BK356)),$BX356&lt;$BL356)))))))),"-&gt;","&lt;-"))</f>
        <v/>
      </c>
      <c r="BN356" s="134" t="str">
        <f aca="false">IF(ISBLANK($C356),"",AND($AT356,OR($AU356="",$AV356="",AND($AW356,$AX356=""))))</f>
        <v/>
      </c>
      <c r="BO356" s="137" t="str">
        <f aca="false">IF($BZ356&lt;&gt;Constants!$B$8,"",IF($AT356,Constants!$B$21*$AV356+Constants!$B$22*IF($AW356,$AX356,Constants!$B$23),Constants!$B$24))</f>
        <v/>
      </c>
      <c r="BP356" s="138" t="str">
        <f aca="false">IF($BZ356&lt;&gt;Constants!$B$8,"",Constants!$B$25*ABS($AD$9-IF($AT356,$AU356,0)))</f>
        <v/>
      </c>
      <c r="BQ356" s="138" t="str">
        <f aca="false">IF($BZ356&lt;&gt;Constants!$B$8,"",IF(AND($AT356,$AY356,$AW356),Constants!$B$27,0))</f>
        <v/>
      </c>
      <c r="BR356" s="138" t="str">
        <f aca="false">IF($BZ356&lt;&gt;Constants!$B$8,"",IF($AT356,($AI356-Constants!$B$29)*Constants!$B$28,0))</f>
        <v/>
      </c>
      <c r="BS356" s="138" t="str">
        <f aca="false">IF($BZ356&lt;&gt;Constants!$B$8,"",IF($AS356,0,Constants!$B$15)+IF($AR356,0,Constants!$B$16)+IF($AH356,0,Constants!$B$17))</f>
        <v/>
      </c>
      <c r="BT356" s="139" t="str">
        <f aca="false">IF($BZ356&lt;&gt;Constants!$B$8,"",Constants!$B$20+SUM($BO356:$BS356))</f>
        <v/>
      </c>
      <c r="BU356" s="138" t="str">
        <f aca="false">IF($BZ356&lt;&gt;Constants!$B$8,"",$BO356)</f>
        <v/>
      </c>
      <c r="BV356" s="138" t="str">
        <f aca="false">IF($BZ356&lt;&gt;Constants!$B$8,"",$BP356)</f>
        <v/>
      </c>
      <c r="BW356" s="138" t="str">
        <f aca="false">IF($BZ356&lt;&gt;Constants!$B$8,"",IF($AT356,$AV356,""))</f>
        <v/>
      </c>
      <c r="BX356" s="140" t="str">
        <f aca="false">IF($BZ356&lt;&gt;Constants!$B$8,"",$AI356)</f>
        <v/>
      </c>
      <c r="BY356" s="135" t="str">
        <f aca="false">IF(ISBLANK($C356),"",IF(ISBLANK($D$7),$BY$5,IF(NOT(ISNUMBER($D$7)),$BY$6,"")))</f>
        <v/>
      </c>
      <c r="BZ356" s="135" t="str">
        <f aca="false">IF(ISBLANK($C356),"",IF($BA356,Constants!$B$11,IF(COUNTA($E356:$AA356)=0,Constants!$B$10,IF(NOT($AG356),Constants!$B$9,IF(OR($BY356&lt;&gt;"",$BB356,$BN356),Constants!$B$12,Constants!$B$8)))))</f>
        <v/>
      </c>
      <c r="CA356" s="135" t="str">
        <f aca="false">IF(ISBLANK($C356),"",IF($BZ356&lt;&gt;Constants!$B$8,$BZ356,Constants!$B$13))</f>
        <v/>
      </c>
      <c r="CB356" s="138" t="str">
        <f aca="false">IF($BZ356&lt;&gt;Constants!$B$8,"",IF($BM356="-&gt;",$BT356,$BH356))</f>
        <v/>
      </c>
      <c r="CC356" s="138" t="str">
        <f aca="false">IF($BZ356&lt;&gt;Constants!$B$8,"",IF($AF356,0,Constants!$B$18))</f>
        <v/>
      </c>
      <c r="CD356" s="138" t="str">
        <f aca="false">IF($BZ356&lt;&gt;Constants!$B$8,"",((Constants!$B$31-$AZ356)-Constants!$B$31)/Constants!$B$32)</f>
        <v/>
      </c>
      <c r="CE356" s="138" t="str">
        <f aca="false">IF(ISBLANK($C356),"",IF($BZ356&lt;&gt;Constants!$B$8,$BZ356,SUM($CB356:$CD356)))</f>
        <v/>
      </c>
      <c r="CF356" s="135" t="str">
        <f aca="false">IF(ISBLANK($C356),"",IF($BZ356&lt;&gt;Constants!$B$8,$BZ356,RANK($CE356,$CE$9:$CE$508,1)))</f>
        <v/>
      </c>
      <c r="CG356" s="138" t="str">
        <f aca="false">IF($BZ356&lt;&gt;Constants!$B$8,"",IF($BM356="-&gt;",$BU356,$BI356))</f>
        <v/>
      </c>
      <c r="CH356" s="135" t="str">
        <f aca="false">IF(ISBLANK($C356),"",IF($BZ356&lt;&gt;Constants!$B$8,$BZ356,IF(ISNUMBER($CG356),RANK($CG356,$CG$9:$CG$508,1),COUNT($CG$9:$CG$508)+1)))</f>
        <v/>
      </c>
      <c r="CI356" s="138" t="str">
        <f aca="false">IF($BZ356&lt;&gt;Constants!$B$8,"",IF($BM356="-&gt;",$BV356,$BJ356))</f>
        <v/>
      </c>
      <c r="CJ356" s="135" t="str">
        <f aca="false">IF(ISBLANK($C356),"",IF($BZ356&lt;&gt;Constants!$B$8,$BZ356,IF(ISNUMBER($CI356),RANK($CI356,$CI$9:$CI$508,1),COUNT($CI$9:$CI$508)+1)))</f>
        <v/>
      </c>
      <c r="CK356" s="138" t="str">
        <f aca="false">IF($BZ356&lt;&gt;Constants!$B$8,"",IF($BM356="-&gt;",$BW356,$BK356))</f>
        <v/>
      </c>
      <c r="CL356" s="135" t="str">
        <f aca="false">IF(ISBLANK($C356),"",IF($BZ356&lt;&gt;Constants!$B$8,$BZ356,IF(ISNUMBER($CK356),RANK($CK356,$CK$9:$CK$508,1),COUNT($CK$9:$CK$508)+1)))</f>
        <v/>
      </c>
      <c r="CM356" s="138" t="str">
        <f aca="false">IF($BZ356&lt;&gt;Constants!$B$8,"",IF(AND(NOT($AL356),NOT($AT356),$AJ356,$AK356,$AR356,$AS356),"",IF($BM356="-&gt;",$BX356,$BL356)))</f>
        <v/>
      </c>
      <c r="CN356" s="135" t="str">
        <f aca="false">IF(ISBLANK($C356),"",IF($BZ356&lt;&gt;Constants!$B$8,$BZ356,IF(ISNUMBER($CM356),RANK($CM356,$CM$9:$CM$508,1),COUNT($CM$9:$CM$508)+1)))</f>
        <v/>
      </c>
      <c r="CO356" s="135" t="str">
        <f aca="false">IF(ISBLANK($C356),"",IF($BZ356&lt;&gt;Constants!$B$8,$BZ356,COUNTIFS($CF$9:$CF$508,"&lt;"&amp;$CF356)+COUNTIFS($CF$9:$CF$508,$CF356,$CH$9:$CH$508,"&lt;"&amp;$CH356)+COUNTIFS($CF$9:$CF$508,$CF356,$CH$9:$CH$508,$CH356,$CJ$9:$CJ$508,"&lt;"&amp;$CJ356)+COUNTIFS($CF$9:$CF$508,$CF356,$CH$9:$CH$508,$CH356,$CJ$9:$CJ$508,$CJ356,$CL$9:$CL$508,"&lt;"&amp;$CL356)+COUNTIFS($CF$9:$CF$508,$CF356,$CH$9:$CH$508,$CH356,$CJ$9:$CJ$508,$CJ356,$CL$9:$CL$508,$CL356,$CN$9:$CN$508,"&lt;"&amp;$CN356)+1))</f>
        <v/>
      </c>
      <c r="CP356" s="135" t="str">
        <f aca="false">IF(ISBLANK($C356),"",IF($BZ356&lt;&gt;Constants!$B$8,$BZ356,$CF356-$CO356))</f>
        <v/>
      </c>
      <c r="CQ356" s="141"/>
      <c r="CR356" s="142"/>
      <c r="CS356" s="143" t="str">
        <f aca="false">IF(ISBLANK($C356),"",IF($BZ356=Constants!$B$12,$BY356,""))</f>
        <v/>
      </c>
      <c r="CT356" s="142" t="str">
        <f aca="false">IF(ISBLANK($C356),"",IF($BZ356&lt;&gt;Constants!$B$8,"",IF($BM356="-&gt;",2,1)))</f>
        <v/>
      </c>
      <c r="CU356" s="144" t="str">
        <f aca="false">IF(ISBLANK($C356),"",IF($BZ356&lt;&gt;Constants!$B$8,"",IF($BM356="-&gt;",$BO356,$BC356)))</f>
        <v/>
      </c>
      <c r="CV356" s="144" t="str">
        <f aca="false">IF(ISBLANK($C356),"",IF($BZ356&lt;&gt;Constants!$B$8,"",IF($BM356="-&gt;",$BP356,$BD356)))</f>
        <v/>
      </c>
      <c r="CW356" s="144" t="str">
        <f aca="false">IF(ISBLANK($C356),"",IF($BZ356&lt;&gt;Constants!$B$8,"",IF($BM356="-&gt;",$BQ356+$BR356,$BE356+$BF356)+$CD356))</f>
        <v/>
      </c>
      <c r="CX356" s="144" t="str">
        <f aca="false">IF(ISBLANK($C356),"",IF($BZ356&lt;&gt;Constants!$B$8,"",IF($BM356="-&gt;",$BS356,$BG356)+$CC356))</f>
        <v/>
      </c>
      <c r="CY356" s="145" t="str">
        <f aca="false">IF(ISBLANK($C356),"",IF($BZ356&lt;&gt;Constants!$B$8,$BZ356,$CE356))</f>
        <v/>
      </c>
      <c r="CZ356" s="146" t="str">
        <f aca="false">IF(ISBLANK($C356),"",$CA356)</f>
        <v/>
      </c>
      <c r="DA356" s="147" t="str">
        <f aca="false">IF(ISBLANK($C356),"",$CP356)</f>
        <v/>
      </c>
      <c r="DB356" s="147" t="str">
        <f aca="false">IF(ISBLANK($C356),"",$CO356)</f>
        <v/>
      </c>
      <c r="DC356" s="148" t="str">
        <f aca="false">IF(ISBLANK($C356),"",IFERROR(_xlfn.SWITCH($DB356,Constants!$B$11,COUNTA($C$9:$C$508)+2,Constants!$B$10,COUNTA($C$9:$C$508)+1,Constants!$B$9,COUNTA($C$9:$C$508)),$DB356))</f>
        <v/>
      </c>
      <c r="DD356" s="9"/>
      <c r="DE356" s="149" t="n">
        <f aca="false">IF(OR(ISNUMBER($DB356),$DB356=Constants!$B$11,$DB356=Constants!$B$9,$DB356=Constants!$B$10),1,0)</f>
        <v>0</v>
      </c>
      <c r="DF356" s="149" t="n">
        <v>348</v>
      </c>
      <c r="DG356" s="149" t="str">
        <f aca="false">IF(ISBLANK($C356),"",IF(ISNUMBER($DC356),$DC356+ROW($B356)/1000,""))</f>
        <v/>
      </c>
      <c r="DH356" s="149" t="str">
        <f aca="false">IF(ISNUMBER($DG356),RANK($DG356,$DG$9:$DG$508,1),"")</f>
        <v/>
      </c>
      <c r="DI356" s="149" t="str">
        <f aca="false">IF(ISBLANK($C356),"",$B356)</f>
        <v/>
      </c>
      <c r="DJ356" s="149" t="str">
        <f aca="false">IF(ISBLANK($C356),"",$C356)</f>
        <v/>
      </c>
      <c r="DK356" s="149" t="str">
        <f aca="false">IF(ISBLANK($C356),"",$D356)</f>
        <v/>
      </c>
      <c r="DL356" s="150" t="str">
        <f aca="false">$CZ356</f>
        <v/>
      </c>
      <c r="DM356" s="151" t="str">
        <f aca="false">$CY356</f>
        <v/>
      </c>
      <c r="DN356" s="149" t="str">
        <f aca="false">IF(ISBLANK($C356),"",$DB356)</f>
        <v/>
      </c>
      <c r="DO356" s="152" t="str">
        <f aca="false">IF($DF356&gt;$DE$8,"",VLOOKUP($DF356,$DH$9:$DN$508,7,FALSE()))</f>
        <v/>
      </c>
      <c r="DP356" s="153" t="str">
        <f aca="false">IF($DF356&gt;$DE$8,"",VLOOKUP($DF356,$DH$9:$DN$508,2,FALSE()))</f>
        <v/>
      </c>
      <c r="DQ356" s="153" t="str">
        <f aca="false">IF($DF356&gt;$DE$8,"",VLOOKUP($DF356,$DH$9:$DN$508,3,FALSE()))</f>
        <v/>
      </c>
      <c r="DR356" s="153" t="str">
        <f aca="false">IF($DF356&gt;$DE$8,"",VLOOKUP($DF356,$DH$9:$DN$508,4,FALSE()))</f>
        <v/>
      </c>
      <c r="DS356" s="153" t="str">
        <f aca="false">IF($DF356&gt;$DE$8,"",VLOOKUP($DF356,$DH$9:$DN$508,5,FALSE()))</f>
        <v/>
      </c>
      <c r="DT356" s="154" t="str">
        <f aca="false">IF($DF356&gt;$DE$8,"",VLOOKUP($DF356,$DH$9:$DN$508,6,FALSE()))</f>
        <v/>
      </c>
      <c r="DU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IF(ISBLANK($C357),"",IF(E357=Constants!$B$3,TRUE(),IF(E357=Constants!$B$4,FALSE(),TRUE())))</f>
        <v/>
      </c>
      <c r="AG357" s="93" t="str">
        <f aca="false">IF(ISBLANK($C357),"",IF(F357=Constants!$B$3,TRUE(),IF(F357=Constants!$B$4,FALSE(),TRUE())))</f>
        <v/>
      </c>
      <c r="AH357" s="93" t="str">
        <f aca="false">IF(ISBLANK($C357),"",IF(G357=Constants!$B$3,TRUE(),IF(G357=Constants!$B$4,FALSE(),TRUE())))</f>
        <v/>
      </c>
      <c r="AI357" s="93" t="str">
        <f aca="false">IF(ISBLANK($C357),"",IF(AND(ISNUMBER(H357),H357&gt;=0),H357,Constants!$B$29))</f>
        <v/>
      </c>
      <c r="AJ357" s="93" t="str">
        <f aca="false">IF(ISBLANK($C357),"",IF(I357=Constants!$B$3,TRUE(),IF(I357=Constants!$B$4,FALSE(),TRUE())))</f>
        <v/>
      </c>
      <c r="AK357" s="93" t="str">
        <f aca="false">IF(ISBLANK($C357),"",IF(J357=Constants!$B$3,TRUE(),IF(J357=Constants!$B$4,FALSE(),TRUE())))</f>
        <v/>
      </c>
      <c r="AL357" s="93" t="str">
        <f aca="false">IF(ISBLANK($C357),"",IF(K357=Constants!$B$5,TRUE(),IF(K357=Constants!$B$6,FALSE(),COUNTA(L357:P357)&gt;0)))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IF(ISBLANK($C357),"",IF(N357=Constants!$B$3,TRUE(),IF(N357=Constants!$B$4,FALSE(),TRUE())))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IF(ISBLANK($C357),"",IF(P357=Constants!$B$3,TRUE(),IF(P357=Constants!$B$4,FALSE(),FALSE())))</f>
        <v/>
      </c>
      <c r="AR357" s="93" t="str">
        <f aca="false">IF(ISBLANK($C357),"",IF(Q357=Constants!$B$3,TRUE(),IF(Q357=Constants!$B$4,FALSE(),TRUE())))</f>
        <v/>
      </c>
      <c r="AS357" s="93" t="str">
        <f aca="false">IF(ISBLANK($C357),"",IF(R357=Constants!$B$3,TRUE(),IF(R357=Constants!$B$4,FALSE(),TRUE())))</f>
        <v/>
      </c>
      <c r="AT357" s="93" t="str">
        <f aca="false">IF(ISBLANK($C357),"",IF(S357=Constants!$B$5,TRUE(),IF(S357=Constants!$B$6,FALSE(),COUNTA(T357:X357)&gt;0)))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IF(ISBLANK($C357),"",IF(V357=Constants!$B$3,TRUE(),IF(V357=Constants!$B$4,FALSE(),TRUE())))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IF(ISBLANK($C357),"",IF(X357=Constants!$B$3,TRUE(),IF(X357=Constants!$B$4,FALSE(),FALSE())))</f>
        <v/>
      </c>
      <c r="AZ357" s="93" t="str">
        <f aca="false">IF(ISBLANK($C357),"",MIN(Constants!$B$31,MAX(0,IF(ISNUMBER(Y357),Y357*60,0)+IF(ISNUMBER(Z357),Z357,0))))</f>
        <v/>
      </c>
      <c r="BA357" s="93" t="str">
        <f aca="false">IF(ISBLANK($C357),"",IF(AA357=Constants!$B$3,TRUE(),IF(AA357=Constants!$B$4,FALSE(),FALSE())))</f>
        <v/>
      </c>
      <c r="BB357" s="92" t="str">
        <f aca="false">IF(ISBLANK($C357),"",AND($AL357,OR($AM357="",$AN357="",AND($AO357,$AP357=""))))</f>
        <v/>
      </c>
      <c r="BC357" s="94" t="str">
        <f aca="false">IF($BZ357&lt;&gt;Constants!$B$8,"",IF($AL357,Constants!$B$21*$AN357+Constants!$B$22*IF($AO357,$AP357,Constants!$B$23),Constants!$B$24))</f>
        <v/>
      </c>
      <c r="BD357" s="97" t="str">
        <f aca="false">IF($BZ357&lt;&gt;Constants!$B$8,"",Constants!$B$25*ABS($AD$9-IF($AL357,$AM357,0)))</f>
        <v/>
      </c>
      <c r="BE357" s="97" t="str">
        <f aca="false">IF($BZ357&lt;&gt;Constants!$B$8,"",IF(AND($AL357,$AQ357,$AO357),Constants!$B$27,0))</f>
        <v/>
      </c>
      <c r="BF357" s="97" t="str">
        <f aca="false">IF($BZ357&lt;&gt;Constants!$B$8,"",IF($AL357,($AI357-Constants!$B$29)*Constants!$B$28,0))</f>
        <v/>
      </c>
      <c r="BG357" s="97" t="str">
        <f aca="false">IF($BZ357&lt;&gt;Constants!$B$8,"",IF($AK357,0,Constants!$B$15)+IF($AJ357,0,Constants!$B$16)+IF($AH357,0,Constants!$B$17))</f>
        <v/>
      </c>
      <c r="BH357" s="98" t="str">
        <f aca="false">IF($BZ357&lt;&gt;Constants!$B$8,"",Constants!$B$20+SUM($BC357:$BG357))</f>
        <v/>
      </c>
      <c r="BI357" s="97" t="str">
        <f aca="false">IF($BZ357&lt;&gt;Constants!$B$8,"",$BC357)</f>
        <v/>
      </c>
      <c r="BJ357" s="97" t="str">
        <f aca="false">IF($BZ357&lt;&gt;Constants!$B$8,"",$BD357)</f>
        <v/>
      </c>
      <c r="BK357" s="97" t="str">
        <f aca="false">IF($BZ357&lt;&gt;Constants!$B$8,"",IF($AL357,$AN357,""))</f>
        <v/>
      </c>
      <c r="BL357" s="99" t="str">
        <f aca="false">IF($BZ357&lt;&gt;Constants!$B$8,"",$AI357)</f>
        <v/>
      </c>
      <c r="BM357" s="93" t="str">
        <f aca="false">IF($BZ357&lt;&gt;Constants!$B$8,"",IF(OR($BT357&lt;$BH357,AND($BT357=$BH357,OR($BU357&lt;$BI357,AND($BU357=$BI357,OR($BV357&lt;$BJ357,AND($BV357=$BJ357,OR(AND(ISNUMBER($BW357),OR(NOT(ISNUMBER($BK357)),$BW357&lt;$BK357)),AND(OR(AND($BW357="",$BK357=""),AND(ISNUMBER($BW357),ISNUMBER($BK357),$BW357=$BK357)),$BX357&lt;$BL357)))))))),"-&gt;","&lt;-"))</f>
        <v/>
      </c>
      <c r="BN357" s="92" t="str">
        <f aca="false">IF(ISBLANK($C357),"",AND($AT357,OR($AU357="",$AV357="",AND($AW357,$AX357=""))))</f>
        <v/>
      </c>
      <c r="BO357" s="94" t="str">
        <f aca="false">IF($BZ357&lt;&gt;Constants!$B$8,"",IF($AT357,Constants!$B$21*$AV357+Constants!$B$22*IF($AW357,$AX357,Constants!$B$23),Constants!$B$24))</f>
        <v/>
      </c>
      <c r="BP357" s="97" t="str">
        <f aca="false">IF($BZ357&lt;&gt;Constants!$B$8,"",Constants!$B$25*ABS($AD$9-IF($AT357,$AU357,0)))</f>
        <v/>
      </c>
      <c r="BQ357" s="97" t="str">
        <f aca="false">IF($BZ357&lt;&gt;Constants!$B$8,"",IF(AND($AT357,$AY357,$AW357),Constants!$B$27,0))</f>
        <v/>
      </c>
      <c r="BR357" s="97" t="str">
        <f aca="false">IF($BZ357&lt;&gt;Constants!$B$8,"",IF($AT357,($AI357-Constants!$B$29)*Constants!$B$28,0))</f>
        <v/>
      </c>
      <c r="BS357" s="97" t="str">
        <f aca="false">IF($BZ357&lt;&gt;Constants!$B$8,"",IF($AS357,0,Constants!$B$15)+IF($AR357,0,Constants!$B$16)+IF($AH357,0,Constants!$B$17))</f>
        <v/>
      </c>
      <c r="BT357" s="98" t="str">
        <f aca="false">IF($BZ357&lt;&gt;Constants!$B$8,"",Constants!$B$20+SUM($BO357:$BS357))</f>
        <v/>
      </c>
      <c r="BU357" s="97" t="str">
        <f aca="false">IF($BZ357&lt;&gt;Constants!$B$8,"",$BO357)</f>
        <v/>
      </c>
      <c r="BV357" s="97" t="str">
        <f aca="false">IF($BZ357&lt;&gt;Constants!$B$8,"",$BP357)</f>
        <v/>
      </c>
      <c r="BW357" s="97" t="str">
        <f aca="false">IF($BZ357&lt;&gt;Constants!$B$8,"",IF($AT357,$AV357,""))</f>
        <v/>
      </c>
      <c r="BX357" s="99" t="str">
        <f aca="false">IF($BZ357&lt;&gt;Constants!$B$8,"",$AI357)</f>
        <v/>
      </c>
      <c r="BY357" s="93" t="str">
        <f aca="false">IF(ISBLANK($C357),"",IF(ISBLANK($D$7),$BY$5,IF(NOT(ISNUMBER($D$7)),$BY$6,"")))</f>
        <v/>
      </c>
      <c r="BZ357" s="93" t="str">
        <f aca="false">IF(ISBLANK($C357),"",IF($BA357,Constants!$B$11,IF(COUNTA($E357:$AA357)=0,Constants!$B$10,IF(NOT($AG357),Constants!$B$9,IF(OR($BY357&lt;&gt;"",$BB357,$BN357),Constants!$B$12,Constants!$B$8)))))</f>
        <v/>
      </c>
      <c r="CA357" s="93" t="str">
        <f aca="false">IF(ISBLANK($C357),"",IF($BZ357&lt;&gt;Constants!$B$8,$BZ357,Constants!$B$13))</f>
        <v/>
      </c>
      <c r="CB357" s="97" t="str">
        <f aca="false">IF($BZ357&lt;&gt;Constants!$B$8,"",IF($BM357="-&gt;",$BT357,$BH357))</f>
        <v/>
      </c>
      <c r="CC357" s="97" t="str">
        <f aca="false">IF($BZ357&lt;&gt;Constants!$B$8,"",IF($AF357,0,Constants!$B$18))</f>
        <v/>
      </c>
      <c r="CD357" s="97" t="str">
        <f aca="false">IF($BZ357&lt;&gt;Constants!$B$8,"",((Constants!$B$31-$AZ357)-Constants!$B$31)/Constants!$B$32)</f>
        <v/>
      </c>
      <c r="CE357" s="97" t="str">
        <f aca="false">IF(ISBLANK($C357),"",IF($BZ357&lt;&gt;Constants!$B$8,$BZ357,SUM($CB357:$CD357)))</f>
        <v/>
      </c>
      <c r="CF357" s="93" t="str">
        <f aca="false">IF(ISBLANK($C357),"",IF($BZ357&lt;&gt;Constants!$B$8,$BZ357,RANK($CE357,$CE$9:$CE$508,1)))</f>
        <v/>
      </c>
      <c r="CG357" s="97" t="str">
        <f aca="false">IF($BZ357&lt;&gt;Constants!$B$8,"",IF($BM357="-&gt;",$BU357,$BI357))</f>
        <v/>
      </c>
      <c r="CH357" s="93" t="str">
        <f aca="false">IF(ISBLANK($C357),"",IF($BZ357&lt;&gt;Constants!$B$8,$BZ357,IF(ISNUMBER($CG357),RANK($CG357,$CG$9:$CG$508,1),COUNT($CG$9:$CG$508)+1)))</f>
        <v/>
      </c>
      <c r="CI357" s="97" t="str">
        <f aca="false">IF($BZ357&lt;&gt;Constants!$B$8,"",IF($BM357="-&gt;",$BV357,$BJ357))</f>
        <v/>
      </c>
      <c r="CJ357" s="93" t="str">
        <f aca="false">IF(ISBLANK($C357),"",IF($BZ357&lt;&gt;Constants!$B$8,$BZ357,IF(ISNUMBER($CI357),RANK($CI357,$CI$9:$CI$508,1),COUNT($CI$9:$CI$508)+1)))</f>
        <v/>
      </c>
      <c r="CK357" s="97" t="str">
        <f aca="false">IF($BZ357&lt;&gt;Constants!$B$8,"",IF($BM357="-&gt;",$BW357,$BK357))</f>
        <v/>
      </c>
      <c r="CL357" s="93" t="str">
        <f aca="false">IF(ISBLANK($C357),"",IF($BZ357&lt;&gt;Constants!$B$8,$BZ357,IF(ISNUMBER($CK357),RANK($CK357,$CK$9:$CK$508,1),COUNT($CK$9:$CK$508)+1)))</f>
        <v/>
      </c>
      <c r="CM357" s="97" t="str">
        <f aca="false">IF($BZ357&lt;&gt;Constants!$B$8,"",IF(AND(NOT($AL357),NOT($AT357),$AJ357,$AK357,$AR357,$AS357),"",IF($BM357="-&gt;",$BX357,$BL357)))</f>
        <v/>
      </c>
      <c r="CN357" s="93" t="str">
        <f aca="false">IF(ISBLANK($C357),"",IF($BZ357&lt;&gt;Constants!$B$8,$BZ357,IF(ISNUMBER($CM357),RANK($CM357,$CM$9:$CM$508,1),COUNT($CM$9:$CM$508)+1)))</f>
        <v/>
      </c>
      <c r="CO357" s="93" t="str">
        <f aca="false">IF(ISBLANK($C357),"",IF($BZ357&lt;&gt;Constants!$B$8,$BZ357,COUNTIFS($CF$9:$CF$508,"&lt;"&amp;$CF357)+COUNTIFS($CF$9:$CF$508,$CF357,$CH$9:$CH$508,"&lt;"&amp;$CH357)+COUNTIFS($CF$9:$CF$508,$CF357,$CH$9:$CH$508,$CH357,$CJ$9:$CJ$508,"&lt;"&amp;$CJ357)+COUNTIFS($CF$9:$CF$508,$CF357,$CH$9:$CH$508,$CH357,$CJ$9:$CJ$508,$CJ357,$CL$9:$CL$508,"&lt;"&amp;$CL357)+COUNTIFS($CF$9:$CF$508,$CF357,$CH$9:$CH$508,$CH357,$CJ$9:$CJ$508,$CJ357,$CL$9:$CL$508,$CL357,$CN$9:$CN$508,"&lt;"&amp;$CN357)+1))</f>
        <v/>
      </c>
      <c r="CP357" s="93" t="str">
        <f aca="false">IF(ISBLANK($C357),"",IF($BZ357&lt;&gt;Constants!$B$8,$BZ357,$CF357-$CO357))</f>
        <v/>
      </c>
      <c r="CQ357" s="100"/>
      <c r="CR357" s="101"/>
      <c r="CS357" s="102" t="str">
        <f aca="false">IF(ISBLANK($C357),"",IF($BZ357=Constants!$B$12,$BY357,""))</f>
        <v/>
      </c>
      <c r="CT357" s="101" t="str">
        <f aca="false">IF(ISBLANK($C357),"",IF($BZ357&lt;&gt;Constants!$B$8,"",IF($BM357="-&gt;",2,1)))</f>
        <v/>
      </c>
      <c r="CU357" s="103" t="str">
        <f aca="false">IF(ISBLANK($C357),"",IF($BZ357&lt;&gt;Constants!$B$8,"",IF($BM357="-&gt;",$BO357,$BC357)))</f>
        <v/>
      </c>
      <c r="CV357" s="103" t="str">
        <f aca="false">IF(ISBLANK($C357),"",IF($BZ357&lt;&gt;Constants!$B$8,"",IF($BM357="-&gt;",$BP357,$BD357)))</f>
        <v/>
      </c>
      <c r="CW357" s="103" t="str">
        <f aca="false">IF(ISBLANK($C357),"",IF($BZ357&lt;&gt;Constants!$B$8,"",IF($BM357="-&gt;",$BQ357+$BR357,$BE357+$BF357)+$CD357))</f>
        <v/>
      </c>
      <c r="CX357" s="103" t="str">
        <f aca="false">IF(ISBLANK($C357),"",IF($BZ357&lt;&gt;Constants!$B$8,"",IF($BM357="-&gt;",$BS357,$BG357)+$CC357))</f>
        <v/>
      </c>
      <c r="CY357" s="104" t="str">
        <f aca="false">IF(ISBLANK($C357),"",IF($BZ357&lt;&gt;Constants!$B$8,$BZ357,$CE357))</f>
        <v/>
      </c>
      <c r="CZ357" s="105" t="str">
        <f aca="false">IF(ISBLANK($C357),"",$CA357)</f>
        <v/>
      </c>
      <c r="DA357" s="106" t="str">
        <f aca="false">IF(ISBLANK($C357),"",$CP357)</f>
        <v/>
      </c>
      <c r="DB357" s="106" t="str">
        <f aca="false">IF(ISBLANK($C357),"",$CO357)</f>
        <v/>
      </c>
      <c r="DC357" s="107" t="str">
        <f aca="false">IF(ISBLANK($C357),"",IFERROR(_xlfn.SWITCH($DB357,Constants!$B$11,COUNTA($C$9:$C$508)+2,Constants!$B$10,COUNTA($C$9:$C$508)+1,Constants!$B$9,COUNTA($C$9:$C$508)),$DB357))</f>
        <v/>
      </c>
      <c r="DD357" s="9"/>
      <c r="DE357" s="108" t="n">
        <f aca="false">IF(OR(ISNUMBER($DB357),$DB357=Constants!$B$11,$DB357=Constants!$B$9,$DB357=Constants!$B$10),1,0)</f>
        <v>0</v>
      </c>
      <c r="DF357" s="108" t="n">
        <v>349</v>
      </c>
      <c r="DG357" s="108" t="str">
        <f aca="false">IF(ISBLANK($C357),"",IF(ISNUMBER($DC357),$DC357+ROW($B357)/1000,""))</f>
        <v/>
      </c>
      <c r="DH357" s="108" t="str">
        <f aca="false">IF(ISNUMBER($DG357),RANK($DG357,$DG$9:$DG$508,1),"")</f>
        <v/>
      </c>
      <c r="DI357" s="108" t="str">
        <f aca="false">IF(ISBLANK($C357),"",$B357)</f>
        <v/>
      </c>
      <c r="DJ357" s="108" t="str">
        <f aca="false">IF(ISBLANK($C357),"",$C357)</f>
        <v/>
      </c>
      <c r="DK357" s="108" t="str">
        <f aca="false">IF(ISBLANK($C357),"",$D357)</f>
        <v/>
      </c>
      <c r="DL357" s="109" t="str">
        <f aca="false">$CZ357</f>
        <v/>
      </c>
      <c r="DM357" s="110" t="str">
        <f aca="false">$CY357</f>
        <v/>
      </c>
      <c r="DN357" s="108" t="str">
        <f aca="false">IF(ISBLANK($C357),"",$DB357)</f>
        <v/>
      </c>
      <c r="DO357" s="111" t="str">
        <f aca="false">IF($DF357&gt;$DE$8,"",VLOOKUP($DF357,$DH$9:$DN$508,7,FALSE()))</f>
        <v/>
      </c>
      <c r="DP357" s="112" t="str">
        <f aca="false">IF($DF357&gt;$DE$8,"",VLOOKUP($DF357,$DH$9:$DN$508,2,FALSE()))</f>
        <v/>
      </c>
      <c r="DQ357" s="112" t="str">
        <f aca="false">IF($DF357&gt;$DE$8,"",VLOOKUP($DF357,$DH$9:$DN$508,3,FALSE()))</f>
        <v/>
      </c>
      <c r="DR357" s="112" t="str">
        <f aca="false">IF($DF357&gt;$DE$8,"",VLOOKUP($DF357,$DH$9:$DN$508,4,FALSE()))</f>
        <v/>
      </c>
      <c r="DS357" s="112" t="str">
        <f aca="false">IF($DF357&gt;$DE$8,"",VLOOKUP($DF357,$DH$9:$DN$508,5,FALSE()))</f>
        <v/>
      </c>
      <c r="DT357" s="113" t="str">
        <f aca="false">IF($DF357&gt;$DE$8,"",VLOOKUP($DF357,$DH$9:$DN$508,6,FALSE()))</f>
        <v/>
      </c>
      <c r="DU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IF(ISBLANK($C358),"",IF(E358=Constants!$B$3,TRUE(),IF(E358=Constants!$B$4,FALSE(),TRUE())))</f>
        <v/>
      </c>
      <c r="AG358" s="93" t="str">
        <f aca="false">IF(ISBLANK($C358),"",IF(F358=Constants!$B$3,TRUE(),IF(F358=Constants!$B$4,FALSE(),TRUE())))</f>
        <v/>
      </c>
      <c r="AH358" s="93" t="str">
        <f aca="false">IF(ISBLANK($C358),"",IF(G358=Constants!$B$3,TRUE(),IF(G358=Constants!$B$4,FALSE(),TRUE())))</f>
        <v/>
      </c>
      <c r="AI358" s="93" t="str">
        <f aca="false">IF(ISBLANK($C358),"",IF(AND(ISNUMBER(H358),H358&gt;=0),H358,Constants!$B$29))</f>
        <v/>
      </c>
      <c r="AJ358" s="93" t="str">
        <f aca="false">IF(ISBLANK($C358),"",IF(I358=Constants!$B$3,TRUE(),IF(I358=Constants!$B$4,FALSE(),TRUE())))</f>
        <v/>
      </c>
      <c r="AK358" s="93" t="str">
        <f aca="false">IF(ISBLANK($C358),"",IF(J358=Constants!$B$3,TRUE(),IF(J358=Constants!$B$4,FALSE(),TRUE())))</f>
        <v/>
      </c>
      <c r="AL358" s="93" t="str">
        <f aca="false">IF(ISBLANK($C358),"",IF(K358=Constants!$B$5,TRUE(),IF(K358=Constants!$B$6,FALSE(),COUNTA(L358:P358)&gt;0)))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IF(ISBLANK($C358),"",IF(N358=Constants!$B$3,TRUE(),IF(N358=Constants!$B$4,FALSE(),TRUE())))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IF(ISBLANK($C358),"",IF(P358=Constants!$B$3,TRUE(),IF(P358=Constants!$B$4,FALSE(),FALSE())))</f>
        <v/>
      </c>
      <c r="AR358" s="93" t="str">
        <f aca="false">IF(ISBLANK($C358),"",IF(Q358=Constants!$B$3,TRUE(),IF(Q358=Constants!$B$4,FALSE(),TRUE())))</f>
        <v/>
      </c>
      <c r="AS358" s="93" t="str">
        <f aca="false">IF(ISBLANK($C358),"",IF(R358=Constants!$B$3,TRUE(),IF(R358=Constants!$B$4,FALSE(),TRUE())))</f>
        <v/>
      </c>
      <c r="AT358" s="93" t="str">
        <f aca="false">IF(ISBLANK($C358),"",IF(S358=Constants!$B$5,TRUE(),IF(S358=Constants!$B$6,FALSE(),COUNTA(T358:X358)&gt;0)))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IF(ISBLANK($C358),"",IF(V358=Constants!$B$3,TRUE(),IF(V358=Constants!$B$4,FALSE(),TRUE())))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IF(ISBLANK($C358),"",IF(X358=Constants!$B$3,TRUE(),IF(X358=Constants!$B$4,FALSE(),FALSE())))</f>
        <v/>
      </c>
      <c r="AZ358" s="93" t="str">
        <f aca="false">IF(ISBLANK($C358),"",MIN(Constants!$B$31,MAX(0,IF(ISNUMBER(Y358),Y358*60,0)+IF(ISNUMBER(Z358),Z358,0))))</f>
        <v/>
      </c>
      <c r="BA358" s="93" t="str">
        <f aca="false">IF(ISBLANK($C358),"",IF(AA358=Constants!$B$3,TRUE(),IF(AA358=Constants!$B$4,FALSE(),FALSE())))</f>
        <v/>
      </c>
      <c r="BB358" s="92" t="str">
        <f aca="false">IF(ISBLANK($C358),"",AND($AL358,OR($AM358="",$AN358="",AND($AO358,$AP358=""))))</f>
        <v/>
      </c>
      <c r="BC358" s="94" t="str">
        <f aca="false">IF($BZ358&lt;&gt;Constants!$B$8,"",IF($AL358,Constants!$B$21*$AN358+Constants!$B$22*IF($AO358,$AP358,Constants!$B$23),Constants!$B$24))</f>
        <v/>
      </c>
      <c r="BD358" s="97" t="str">
        <f aca="false">IF($BZ358&lt;&gt;Constants!$B$8,"",Constants!$B$25*ABS($AD$9-IF($AL358,$AM358,0)))</f>
        <v/>
      </c>
      <c r="BE358" s="97" t="str">
        <f aca="false">IF($BZ358&lt;&gt;Constants!$B$8,"",IF(AND($AL358,$AQ358,$AO358),Constants!$B$27,0))</f>
        <v/>
      </c>
      <c r="BF358" s="97" t="str">
        <f aca="false">IF($BZ358&lt;&gt;Constants!$B$8,"",IF($AL358,($AI358-Constants!$B$29)*Constants!$B$28,0))</f>
        <v/>
      </c>
      <c r="BG358" s="97" t="str">
        <f aca="false">IF($BZ358&lt;&gt;Constants!$B$8,"",IF($AK358,0,Constants!$B$15)+IF($AJ358,0,Constants!$B$16)+IF($AH358,0,Constants!$B$17))</f>
        <v/>
      </c>
      <c r="BH358" s="98" t="str">
        <f aca="false">IF($BZ358&lt;&gt;Constants!$B$8,"",Constants!$B$20+SUM($BC358:$BG358))</f>
        <v/>
      </c>
      <c r="BI358" s="97" t="str">
        <f aca="false">IF($BZ358&lt;&gt;Constants!$B$8,"",$BC358)</f>
        <v/>
      </c>
      <c r="BJ358" s="97" t="str">
        <f aca="false">IF($BZ358&lt;&gt;Constants!$B$8,"",$BD358)</f>
        <v/>
      </c>
      <c r="BK358" s="97" t="str">
        <f aca="false">IF($BZ358&lt;&gt;Constants!$B$8,"",IF($AL358,$AN358,""))</f>
        <v/>
      </c>
      <c r="BL358" s="99" t="str">
        <f aca="false">IF($BZ358&lt;&gt;Constants!$B$8,"",$AI358)</f>
        <v/>
      </c>
      <c r="BM358" s="93" t="str">
        <f aca="false">IF($BZ358&lt;&gt;Constants!$B$8,"",IF(OR($BT358&lt;$BH358,AND($BT358=$BH358,OR($BU358&lt;$BI358,AND($BU358=$BI358,OR($BV358&lt;$BJ358,AND($BV358=$BJ358,OR(AND(ISNUMBER($BW358),OR(NOT(ISNUMBER($BK358)),$BW358&lt;$BK358)),AND(OR(AND($BW358="",$BK358=""),AND(ISNUMBER($BW358),ISNUMBER($BK358),$BW358=$BK358)),$BX358&lt;$BL358)))))))),"-&gt;","&lt;-"))</f>
        <v/>
      </c>
      <c r="BN358" s="92" t="str">
        <f aca="false">IF(ISBLANK($C358),"",AND($AT358,OR($AU358="",$AV358="",AND($AW358,$AX358=""))))</f>
        <v/>
      </c>
      <c r="BO358" s="94" t="str">
        <f aca="false">IF($BZ358&lt;&gt;Constants!$B$8,"",IF($AT358,Constants!$B$21*$AV358+Constants!$B$22*IF($AW358,$AX358,Constants!$B$23),Constants!$B$24))</f>
        <v/>
      </c>
      <c r="BP358" s="97" t="str">
        <f aca="false">IF($BZ358&lt;&gt;Constants!$B$8,"",Constants!$B$25*ABS($AD$9-IF($AT358,$AU358,0)))</f>
        <v/>
      </c>
      <c r="BQ358" s="97" t="str">
        <f aca="false">IF($BZ358&lt;&gt;Constants!$B$8,"",IF(AND($AT358,$AY358,$AW358),Constants!$B$27,0))</f>
        <v/>
      </c>
      <c r="BR358" s="97" t="str">
        <f aca="false">IF($BZ358&lt;&gt;Constants!$B$8,"",IF($AT358,($AI358-Constants!$B$29)*Constants!$B$28,0))</f>
        <v/>
      </c>
      <c r="BS358" s="97" t="str">
        <f aca="false">IF($BZ358&lt;&gt;Constants!$B$8,"",IF($AS358,0,Constants!$B$15)+IF($AR358,0,Constants!$B$16)+IF($AH358,0,Constants!$B$17))</f>
        <v/>
      </c>
      <c r="BT358" s="98" t="str">
        <f aca="false">IF($BZ358&lt;&gt;Constants!$B$8,"",Constants!$B$20+SUM($BO358:$BS358))</f>
        <v/>
      </c>
      <c r="BU358" s="97" t="str">
        <f aca="false">IF($BZ358&lt;&gt;Constants!$B$8,"",$BO358)</f>
        <v/>
      </c>
      <c r="BV358" s="97" t="str">
        <f aca="false">IF($BZ358&lt;&gt;Constants!$B$8,"",$BP358)</f>
        <v/>
      </c>
      <c r="BW358" s="97" t="str">
        <f aca="false">IF($BZ358&lt;&gt;Constants!$B$8,"",IF($AT358,$AV358,""))</f>
        <v/>
      </c>
      <c r="BX358" s="99" t="str">
        <f aca="false">IF($BZ358&lt;&gt;Constants!$B$8,"",$AI358)</f>
        <v/>
      </c>
      <c r="BY358" s="93" t="str">
        <f aca="false">IF(ISBLANK($C358),"",IF(ISBLANK($D$7),$BY$5,IF(NOT(ISNUMBER($D$7)),$BY$6,"")))</f>
        <v/>
      </c>
      <c r="BZ358" s="93" t="str">
        <f aca="false">IF(ISBLANK($C358),"",IF($BA358,Constants!$B$11,IF(COUNTA($E358:$AA358)=0,Constants!$B$10,IF(NOT($AG358),Constants!$B$9,IF(OR($BY358&lt;&gt;"",$BB358,$BN358),Constants!$B$12,Constants!$B$8)))))</f>
        <v/>
      </c>
      <c r="CA358" s="93" t="str">
        <f aca="false">IF(ISBLANK($C358),"",IF($BZ358&lt;&gt;Constants!$B$8,$BZ358,Constants!$B$13))</f>
        <v/>
      </c>
      <c r="CB358" s="97" t="str">
        <f aca="false">IF($BZ358&lt;&gt;Constants!$B$8,"",IF($BM358="-&gt;",$BT358,$BH358))</f>
        <v/>
      </c>
      <c r="CC358" s="97" t="str">
        <f aca="false">IF($BZ358&lt;&gt;Constants!$B$8,"",IF($AF358,0,Constants!$B$18))</f>
        <v/>
      </c>
      <c r="CD358" s="97" t="str">
        <f aca="false">IF($BZ358&lt;&gt;Constants!$B$8,"",((Constants!$B$31-$AZ358)-Constants!$B$31)/Constants!$B$32)</f>
        <v/>
      </c>
      <c r="CE358" s="97" t="str">
        <f aca="false">IF(ISBLANK($C358),"",IF($BZ358&lt;&gt;Constants!$B$8,$BZ358,SUM($CB358:$CD358)))</f>
        <v/>
      </c>
      <c r="CF358" s="93" t="str">
        <f aca="false">IF(ISBLANK($C358),"",IF($BZ358&lt;&gt;Constants!$B$8,$BZ358,RANK($CE358,$CE$9:$CE$508,1)))</f>
        <v/>
      </c>
      <c r="CG358" s="97" t="str">
        <f aca="false">IF($BZ358&lt;&gt;Constants!$B$8,"",IF($BM358="-&gt;",$BU358,$BI358))</f>
        <v/>
      </c>
      <c r="CH358" s="93" t="str">
        <f aca="false">IF(ISBLANK($C358),"",IF($BZ358&lt;&gt;Constants!$B$8,$BZ358,IF(ISNUMBER($CG358),RANK($CG358,$CG$9:$CG$508,1),COUNT($CG$9:$CG$508)+1)))</f>
        <v/>
      </c>
      <c r="CI358" s="97" t="str">
        <f aca="false">IF($BZ358&lt;&gt;Constants!$B$8,"",IF($BM358="-&gt;",$BV358,$BJ358))</f>
        <v/>
      </c>
      <c r="CJ358" s="93" t="str">
        <f aca="false">IF(ISBLANK($C358),"",IF($BZ358&lt;&gt;Constants!$B$8,$BZ358,IF(ISNUMBER($CI358),RANK($CI358,$CI$9:$CI$508,1),COUNT($CI$9:$CI$508)+1)))</f>
        <v/>
      </c>
      <c r="CK358" s="97" t="str">
        <f aca="false">IF($BZ358&lt;&gt;Constants!$B$8,"",IF($BM358="-&gt;",$BW358,$BK358))</f>
        <v/>
      </c>
      <c r="CL358" s="93" t="str">
        <f aca="false">IF(ISBLANK($C358),"",IF($BZ358&lt;&gt;Constants!$B$8,$BZ358,IF(ISNUMBER($CK358),RANK($CK358,$CK$9:$CK$508,1),COUNT($CK$9:$CK$508)+1)))</f>
        <v/>
      </c>
      <c r="CM358" s="97" t="str">
        <f aca="false">IF($BZ358&lt;&gt;Constants!$B$8,"",IF(AND(NOT($AL358),NOT($AT358),$AJ358,$AK358,$AR358,$AS358),"",IF($BM358="-&gt;",$BX358,$BL358)))</f>
        <v/>
      </c>
      <c r="CN358" s="93" t="str">
        <f aca="false">IF(ISBLANK($C358),"",IF($BZ358&lt;&gt;Constants!$B$8,$BZ358,IF(ISNUMBER($CM358),RANK($CM358,$CM$9:$CM$508,1),COUNT($CM$9:$CM$508)+1)))</f>
        <v/>
      </c>
      <c r="CO358" s="93" t="str">
        <f aca="false">IF(ISBLANK($C358),"",IF($BZ358&lt;&gt;Constants!$B$8,$BZ358,COUNTIFS($CF$9:$CF$508,"&lt;"&amp;$CF358)+COUNTIFS($CF$9:$CF$508,$CF358,$CH$9:$CH$508,"&lt;"&amp;$CH358)+COUNTIFS($CF$9:$CF$508,$CF358,$CH$9:$CH$508,$CH358,$CJ$9:$CJ$508,"&lt;"&amp;$CJ358)+COUNTIFS($CF$9:$CF$508,$CF358,$CH$9:$CH$508,$CH358,$CJ$9:$CJ$508,$CJ358,$CL$9:$CL$508,"&lt;"&amp;$CL358)+COUNTIFS($CF$9:$CF$508,$CF358,$CH$9:$CH$508,$CH358,$CJ$9:$CJ$508,$CJ358,$CL$9:$CL$508,$CL358,$CN$9:$CN$508,"&lt;"&amp;$CN358)+1))</f>
        <v/>
      </c>
      <c r="CP358" s="93" t="str">
        <f aca="false">IF(ISBLANK($C358),"",IF($BZ358&lt;&gt;Constants!$B$8,$BZ358,$CF358-$CO358))</f>
        <v/>
      </c>
      <c r="CQ358" s="100"/>
      <c r="CR358" s="101"/>
      <c r="CS358" s="102" t="str">
        <f aca="false">IF(ISBLANK($C358),"",IF($BZ358=Constants!$B$12,$BY358,""))</f>
        <v/>
      </c>
      <c r="CT358" s="101" t="str">
        <f aca="false">IF(ISBLANK($C358),"",IF($BZ358&lt;&gt;Constants!$B$8,"",IF($BM358="-&gt;",2,1)))</f>
        <v/>
      </c>
      <c r="CU358" s="103" t="str">
        <f aca="false">IF(ISBLANK($C358),"",IF($BZ358&lt;&gt;Constants!$B$8,"",IF($BM358="-&gt;",$BO358,$BC358)))</f>
        <v/>
      </c>
      <c r="CV358" s="103" t="str">
        <f aca="false">IF(ISBLANK($C358),"",IF($BZ358&lt;&gt;Constants!$B$8,"",IF($BM358="-&gt;",$BP358,$BD358)))</f>
        <v/>
      </c>
      <c r="CW358" s="103" t="str">
        <f aca="false">IF(ISBLANK($C358),"",IF($BZ358&lt;&gt;Constants!$B$8,"",IF($BM358="-&gt;",$BQ358+$BR358,$BE358+$BF358)+$CD358))</f>
        <v/>
      </c>
      <c r="CX358" s="103" t="str">
        <f aca="false">IF(ISBLANK($C358),"",IF($BZ358&lt;&gt;Constants!$B$8,"",IF($BM358="-&gt;",$BS358,$BG358)+$CC358))</f>
        <v/>
      </c>
      <c r="CY358" s="104" t="str">
        <f aca="false">IF(ISBLANK($C358),"",IF($BZ358&lt;&gt;Constants!$B$8,$BZ358,$CE358))</f>
        <v/>
      </c>
      <c r="CZ358" s="105" t="str">
        <f aca="false">IF(ISBLANK($C358),"",$CA358)</f>
        <v/>
      </c>
      <c r="DA358" s="106" t="str">
        <f aca="false">IF(ISBLANK($C358),"",$CP358)</f>
        <v/>
      </c>
      <c r="DB358" s="106" t="str">
        <f aca="false">IF(ISBLANK($C358),"",$CO358)</f>
        <v/>
      </c>
      <c r="DC358" s="107" t="str">
        <f aca="false">IF(ISBLANK($C358),"",IFERROR(_xlfn.SWITCH($DB358,Constants!$B$11,COUNTA($C$9:$C$508)+2,Constants!$B$10,COUNTA($C$9:$C$508)+1,Constants!$B$9,COUNTA($C$9:$C$508)),$DB358))</f>
        <v/>
      </c>
      <c r="DD358" s="9"/>
      <c r="DE358" s="108" t="n">
        <f aca="false">IF(OR(ISNUMBER($DB358),$DB358=Constants!$B$11,$DB358=Constants!$B$9,$DB358=Constants!$B$10),1,0)</f>
        <v>0</v>
      </c>
      <c r="DF358" s="108" t="n">
        <v>350</v>
      </c>
      <c r="DG358" s="108" t="str">
        <f aca="false">IF(ISBLANK($C358),"",IF(ISNUMBER($DC358),$DC358+ROW($B358)/1000,""))</f>
        <v/>
      </c>
      <c r="DH358" s="108" t="str">
        <f aca="false">IF(ISNUMBER($DG358),RANK($DG358,$DG$9:$DG$508,1),"")</f>
        <v/>
      </c>
      <c r="DI358" s="108" t="str">
        <f aca="false">IF(ISBLANK($C358),"",$B358)</f>
        <v/>
      </c>
      <c r="DJ358" s="108" t="str">
        <f aca="false">IF(ISBLANK($C358),"",$C358)</f>
        <v/>
      </c>
      <c r="DK358" s="108" t="str">
        <f aca="false">IF(ISBLANK($C358),"",$D358)</f>
        <v/>
      </c>
      <c r="DL358" s="109" t="str">
        <f aca="false">$CZ358</f>
        <v/>
      </c>
      <c r="DM358" s="110" t="str">
        <f aca="false">$CY358</f>
        <v/>
      </c>
      <c r="DN358" s="108" t="str">
        <f aca="false">IF(ISBLANK($C358),"",$DB358)</f>
        <v/>
      </c>
      <c r="DO358" s="111" t="str">
        <f aca="false">IF($DF358&gt;$DE$8,"",VLOOKUP($DF358,$DH$9:$DN$508,7,FALSE()))</f>
        <v/>
      </c>
      <c r="DP358" s="112" t="str">
        <f aca="false">IF($DF358&gt;$DE$8,"",VLOOKUP($DF358,$DH$9:$DN$508,2,FALSE()))</f>
        <v/>
      </c>
      <c r="DQ358" s="112" t="str">
        <f aca="false">IF($DF358&gt;$DE$8,"",VLOOKUP($DF358,$DH$9:$DN$508,3,FALSE()))</f>
        <v/>
      </c>
      <c r="DR358" s="112" t="str">
        <f aca="false">IF($DF358&gt;$DE$8,"",VLOOKUP($DF358,$DH$9:$DN$508,4,FALSE()))</f>
        <v/>
      </c>
      <c r="DS358" s="112" t="str">
        <f aca="false">IF($DF358&gt;$DE$8,"",VLOOKUP($DF358,$DH$9:$DN$508,5,FALSE()))</f>
        <v/>
      </c>
      <c r="DT358" s="113" t="str">
        <f aca="false">IF($DF358&gt;$DE$8,"",VLOOKUP($DF358,$DH$9:$DN$508,6,FALSE()))</f>
        <v/>
      </c>
      <c r="DU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IF(ISBLANK($C359),"",IF(E359=Constants!$B$3,TRUE(),IF(E359=Constants!$B$4,FALSE(),TRUE())))</f>
        <v/>
      </c>
      <c r="AG359" s="93" t="str">
        <f aca="false">IF(ISBLANK($C359),"",IF(F359=Constants!$B$3,TRUE(),IF(F359=Constants!$B$4,FALSE(),TRUE())))</f>
        <v/>
      </c>
      <c r="AH359" s="93" t="str">
        <f aca="false">IF(ISBLANK($C359),"",IF(G359=Constants!$B$3,TRUE(),IF(G359=Constants!$B$4,FALSE(),TRUE())))</f>
        <v/>
      </c>
      <c r="AI359" s="93" t="str">
        <f aca="false">IF(ISBLANK($C359),"",IF(AND(ISNUMBER(H359),H359&gt;=0),H359,Constants!$B$29))</f>
        <v/>
      </c>
      <c r="AJ359" s="93" t="str">
        <f aca="false">IF(ISBLANK($C359),"",IF(I359=Constants!$B$3,TRUE(),IF(I359=Constants!$B$4,FALSE(),TRUE())))</f>
        <v/>
      </c>
      <c r="AK359" s="93" t="str">
        <f aca="false">IF(ISBLANK($C359),"",IF(J359=Constants!$B$3,TRUE(),IF(J359=Constants!$B$4,FALSE(),TRUE())))</f>
        <v/>
      </c>
      <c r="AL359" s="93" t="str">
        <f aca="false">IF(ISBLANK($C359),"",IF(K359=Constants!$B$5,TRUE(),IF(K359=Constants!$B$6,FALSE(),COUNTA(L359:P359)&gt;0)))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IF(ISBLANK($C359),"",IF(N359=Constants!$B$3,TRUE(),IF(N359=Constants!$B$4,FALSE(),TRUE())))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IF(ISBLANK($C359),"",IF(P359=Constants!$B$3,TRUE(),IF(P359=Constants!$B$4,FALSE(),FALSE())))</f>
        <v/>
      </c>
      <c r="AR359" s="93" t="str">
        <f aca="false">IF(ISBLANK($C359),"",IF(Q359=Constants!$B$3,TRUE(),IF(Q359=Constants!$B$4,FALSE(),TRUE())))</f>
        <v/>
      </c>
      <c r="AS359" s="93" t="str">
        <f aca="false">IF(ISBLANK($C359),"",IF(R359=Constants!$B$3,TRUE(),IF(R359=Constants!$B$4,FALSE(),TRUE())))</f>
        <v/>
      </c>
      <c r="AT359" s="93" t="str">
        <f aca="false">IF(ISBLANK($C359),"",IF(S359=Constants!$B$5,TRUE(),IF(S359=Constants!$B$6,FALSE(),COUNTA(T359:X359)&gt;0)))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IF(ISBLANK($C359),"",IF(V359=Constants!$B$3,TRUE(),IF(V359=Constants!$B$4,FALSE(),TRUE())))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IF(ISBLANK($C359),"",IF(X359=Constants!$B$3,TRUE(),IF(X359=Constants!$B$4,FALSE(),FALSE())))</f>
        <v/>
      </c>
      <c r="AZ359" s="93" t="str">
        <f aca="false">IF(ISBLANK($C359),"",MIN(Constants!$B$31,MAX(0,IF(ISNUMBER(Y359),Y359*60,0)+IF(ISNUMBER(Z359),Z359,0))))</f>
        <v/>
      </c>
      <c r="BA359" s="93" t="str">
        <f aca="false">IF(ISBLANK($C359),"",IF(AA359=Constants!$B$3,TRUE(),IF(AA359=Constants!$B$4,FALSE(),FALSE())))</f>
        <v/>
      </c>
      <c r="BB359" s="92" t="str">
        <f aca="false">IF(ISBLANK($C359),"",AND($AL359,OR($AM359="",$AN359="",AND($AO359,$AP359=""))))</f>
        <v/>
      </c>
      <c r="BC359" s="94" t="str">
        <f aca="false">IF($BZ359&lt;&gt;Constants!$B$8,"",IF($AL359,Constants!$B$21*$AN359+Constants!$B$22*IF($AO359,$AP359,Constants!$B$23),Constants!$B$24))</f>
        <v/>
      </c>
      <c r="BD359" s="97" t="str">
        <f aca="false">IF($BZ359&lt;&gt;Constants!$B$8,"",Constants!$B$25*ABS($AD$9-IF($AL359,$AM359,0)))</f>
        <v/>
      </c>
      <c r="BE359" s="97" t="str">
        <f aca="false">IF($BZ359&lt;&gt;Constants!$B$8,"",IF(AND($AL359,$AQ359,$AO359),Constants!$B$27,0))</f>
        <v/>
      </c>
      <c r="BF359" s="97" t="str">
        <f aca="false">IF($BZ359&lt;&gt;Constants!$B$8,"",IF($AL359,($AI359-Constants!$B$29)*Constants!$B$28,0))</f>
        <v/>
      </c>
      <c r="BG359" s="97" t="str">
        <f aca="false">IF($BZ359&lt;&gt;Constants!$B$8,"",IF($AK359,0,Constants!$B$15)+IF($AJ359,0,Constants!$B$16)+IF($AH359,0,Constants!$B$17))</f>
        <v/>
      </c>
      <c r="BH359" s="98" t="str">
        <f aca="false">IF($BZ359&lt;&gt;Constants!$B$8,"",Constants!$B$20+SUM($BC359:$BG359))</f>
        <v/>
      </c>
      <c r="BI359" s="97" t="str">
        <f aca="false">IF($BZ359&lt;&gt;Constants!$B$8,"",$BC359)</f>
        <v/>
      </c>
      <c r="BJ359" s="97" t="str">
        <f aca="false">IF($BZ359&lt;&gt;Constants!$B$8,"",$BD359)</f>
        <v/>
      </c>
      <c r="BK359" s="97" t="str">
        <f aca="false">IF($BZ359&lt;&gt;Constants!$B$8,"",IF($AL359,$AN359,""))</f>
        <v/>
      </c>
      <c r="BL359" s="99" t="str">
        <f aca="false">IF($BZ359&lt;&gt;Constants!$B$8,"",$AI359)</f>
        <v/>
      </c>
      <c r="BM359" s="93" t="str">
        <f aca="false">IF($BZ359&lt;&gt;Constants!$B$8,"",IF(OR($BT359&lt;$BH359,AND($BT359=$BH359,OR($BU359&lt;$BI359,AND($BU359=$BI359,OR($BV359&lt;$BJ359,AND($BV359=$BJ359,OR(AND(ISNUMBER($BW359),OR(NOT(ISNUMBER($BK359)),$BW359&lt;$BK359)),AND(OR(AND($BW359="",$BK359=""),AND(ISNUMBER($BW359),ISNUMBER($BK359),$BW359=$BK359)),$BX359&lt;$BL359)))))))),"-&gt;","&lt;-"))</f>
        <v/>
      </c>
      <c r="BN359" s="92" t="str">
        <f aca="false">IF(ISBLANK($C359),"",AND($AT359,OR($AU359="",$AV359="",AND($AW359,$AX359=""))))</f>
        <v/>
      </c>
      <c r="BO359" s="94" t="str">
        <f aca="false">IF($BZ359&lt;&gt;Constants!$B$8,"",IF($AT359,Constants!$B$21*$AV359+Constants!$B$22*IF($AW359,$AX359,Constants!$B$23),Constants!$B$24))</f>
        <v/>
      </c>
      <c r="BP359" s="97" t="str">
        <f aca="false">IF($BZ359&lt;&gt;Constants!$B$8,"",Constants!$B$25*ABS($AD$9-IF($AT359,$AU359,0)))</f>
        <v/>
      </c>
      <c r="BQ359" s="97" t="str">
        <f aca="false">IF($BZ359&lt;&gt;Constants!$B$8,"",IF(AND($AT359,$AY359,$AW359),Constants!$B$27,0))</f>
        <v/>
      </c>
      <c r="BR359" s="97" t="str">
        <f aca="false">IF($BZ359&lt;&gt;Constants!$B$8,"",IF($AT359,($AI359-Constants!$B$29)*Constants!$B$28,0))</f>
        <v/>
      </c>
      <c r="BS359" s="97" t="str">
        <f aca="false">IF($BZ359&lt;&gt;Constants!$B$8,"",IF($AS359,0,Constants!$B$15)+IF($AR359,0,Constants!$B$16)+IF($AH359,0,Constants!$B$17))</f>
        <v/>
      </c>
      <c r="BT359" s="98" t="str">
        <f aca="false">IF($BZ359&lt;&gt;Constants!$B$8,"",Constants!$B$20+SUM($BO359:$BS359))</f>
        <v/>
      </c>
      <c r="BU359" s="97" t="str">
        <f aca="false">IF($BZ359&lt;&gt;Constants!$B$8,"",$BO359)</f>
        <v/>
      </c>
      <c r="BV359" s="97" t="str">
        <f aca="false">IF($BZ359&lt;&gt;Constants!$B$8,"",$BP359)</f>
        <v/>
      </c>
      <c r="BW359" s="97" t="str">
        <f aca="false">IF($BZ359&lt;&gt;Constants!$B$8,"",IF($AT359,$AV359,""))</f>
        <v/>
      </c>
      <c r="BX359" s="99" t="str">
        <f aca="false">IF($BZ359&lt;&gt;Constants!$B$8,"",$AI359)</f>
        <v/>
      </c>
      <c r="BY359" s="93" t="str">
        <f aca="false">IF(ISBLANK($C359),"",IF(ISBLANK($D$7),$BY$5,IF(NOT(ISNUMBER($D$7)),$BY$6,"")))</f>
        <v/>
      </c>
      <c r="BZ359" s="93" t="str">
        <f aca="false">IF(ISBLANK($C359),"",IF($BA359,Constants!$B$11,IF(COUNTA($E359:$AA359)=0,Constants!$B$10,IF(NOT($AG359),Constants!$B$9,IF(OR($BY359&lt;&gt;"",$BB359,$BN359),Constants!$B$12,Constants!$B$8)))))</f>
        <v/>
      </c>
      <c r="CA359" s="93" t="str">
        <f aca="false">IF(ISBLANK($C359),"",IF($BZ359&lt;&gt;Constants!$B$8,$BZ359,Constants!$B$13))</f>
        <v/>
      </c>
      <c r="CB359" s="97" t="str">
        <f aca="false">IF($BZ359&lt;&gt;Constants!$B$8,"",IF($BM359="-&gt;",$BT359,$BH359))</f>
        <v/>
      </c>
      <c r="CC359" s="97" t="str">
        <f aca="false">IF($BZ359&lt;&gt;Constants!$B$8,"",IF($AF359,0,Constants!$B$18))</f>
        <v/>
      </c>
      <c r="CD359" s="97" t="str">
        <f aca="false">IF($BZ359&lt;&gt;Constants!$B$8,"",((Constants!$B$31-$AZ359)-Constants!$B$31)/Constants!$B$32)</f>
        <v/>
      </c>
      <c r="CE359" s="97" t="str">
        <f aca="false">IF(ISBLANK($C359),"",IF($BZ359&lt;&gt;Constants!$B$8,$BZ359,SUM($CB359:$CD359)))</f>
        <v/>
      </c>
      <c r="CF359" s="93" t="str">
        <f aca="false">IF(ISBLANK($C359),"",IF($BZ359&lt;&gt;Constants!$B$8,$BZ359,RANK($CE359,$CE$9:$CE$508,1)))</f>
        <v/>
      </c>
      <c r="CG359" s="97" t="str">
        <f aca="false">IF($BZ359&lt;&gt;Constants!$B$8,"",IF($BM359="-&gt;",$BU359,$BI359))</f>
        <v/>
      </c>
      <c r="CH359" s="93" t="str">
        <f aca="false">IF(ISBLANK($C359),"",IF($BZ359&lt;&gt;Constants!$B$8,$BZ359,IF(ISNUMBER($CG359),RANK($CG359,$CG$9:$CG$508,1),COUNT($CG$9:$CG$508)+1)))</f>
        <v/>
      </c>
      <c r="CI359" s="97" t="str">
        <f aca="false">IF($BZ359&lt;&gt;Constants!$B$8,"",IF($BM359="-&gt;",$BV359,$BJ359))</f>
        <v/>
      </c>
      <c r="CJ359" s="93" t="str">
        <f aca="false">IF(ISBLANK($C359),"",IF($BZ359&lt;&gt;Constants!$B$8,$BZ359,IF(ISNUMBER($CI359),RANK($CI359,$CI$9:$CI$508,1),COUNT($CI$9:$CI$508)+1)))</f>
        <v/>
      </c>
      <c r="CK359" s="97" t="str">
        <f aca="false">IF($BZ359&lt;&gt;Constants!$B$8,"",IF($BM359="-&gt;",$BW359,$BK359))</f>
        <v/>
      </c>
      <c r="CL359" s="93" t="str">
        <f aca="false">IF(ISBLANK($C359),"",IF($BZ359&lt;&gt;Constants!$B$8,$BZ359,IF(ISNUMBER($CK359),RANK($CK359,$CK$9:$CK$508,1),COUNT($CK$9:$CK$508)+1)))</f>
        <v/>
      </c>
      <c r="CM359" s="97" t="str">
        <f aca="false">IF($BZ359&lt;&gt;Constants!$B$8,"",IF(AND(NOT($AL359),NOT($AT359),$AJ359,$AK359,$AR359,$AS359),"",IF($BM359="-&gt;",$BX359,$BL359)))</f>
        <v/>
      </c>
      <c r="CN359" s="93" t="str">
        <f aca="false">IF(ISBLANK($C359),"",IF($BZ359&lt;&gt;Constants!$B$8,$BZ359,IF(ISNUMBER($CM359),RANK($CM359,$CM$9:$CM$508,1),COUNT($CM$9:$CM$508)+1)))</f>
        <v/>
      </c>
      <c r="CO359" s="93" t="str">
        <f aca="false">IF(ISBLANK($C359),"",IF($BZ359&lt;&gt;Constants!$B$8,$BZ359,COUNTIFS($CF$9:$CF$508,"&lt;"&amp;$CF359)+COUNTIFS($CF$9:$CF$508,$CF359,$CH$9:$CH$508,"&lt;"&amp;$CH359)+COUNTIFS($CF$9:$CF$508,$CF359,$CH$9:$CH$508,$CH359,$CJ$9:$CJ$508,"&lt;"&amp;$CJ359)+COUNTIFS($CF$9:$CF$508,$CF359,$CH$9:$CH$508,$CH359,$CJ$9:$CJ$508,$CJ359,$CL$9:$CL$508,"&lt;"&amp;$CL359)+COUNTIFS($CF$9:$CF$508,$CF359,$CH$9:$CH$508,$CH359,$CJ$9:$CJ$508,$CJ359,$CL$9:$CL$508,$CL359,$CN$9:$CN$508,"&lt;"&amp;$CN359)+1))</f>
        <v/>
      </c>
      <c r="CP359" s="93" t="str">
        <f aca="false">IF(ISBLANK($C359),"",IF($BZ359&lt;&gt;Constants!$B$8,$BZ359,$CF359-$CO359))</f>
        <v/>
      </c>
      <c r="CQ359" s="100"/>
      <c r="CR359" s="101"/>
      <c r="CS359" s="102" t="str">
        <f aca="false">IF(ISBLANK($C359),"",IF($BZ359=Constants!$B$12,$BY359,""))</f>
        <v/>
      </c>
      <c r="CT359" s="101" t="str">
        <f aca="false">IF(ISBLANK($C359),"",IF($BZ359&lt;&gt;Constants!$B$8,"",IF($BM359="-&gt;",2,1)))</f>
        <v/>
      </c>
      <c r="CU359" s="103" t="str">
        <f aca="false">IF(ISBLANK($C359),"",IF($BZ359&lt;&gt;Constants!$B$8,"",IF($BM359="-&gt;",$BO359,$BC359)))</f>
        <v/>
      </c>
      <c r="CV359" s="103" t="str">
        <f aca="false">IF(ISBLANK($C359),"",IF($BZ359&lt;&gt;Constants!$B$8,"",IF($BM359="-&gt;",$BP359,$BD359)))</f>
        <v/>
      </c>
      <c r="CW359" s="103" t="str">
        <f aca="false">IF(ISBLANK($C359),"",IF($BZ359&lt;&gt;Constants!$B$8,"",IF($BM359="-&gt;",$BQ359+$BR359,$BE359+$BF359)+$CD359))</f>
        <v/>
      </c>
      <c r="CX359" s="103" t="str">
        <f aca="false">IF(ISBLANK($C359),"",IF($BZ359&lt;&gt;Constants!$B$8,"",IF($BM359="-&gt;",$BS359,$BG359)+$CC359))</f>
        <v/>
      </c>
      <c r="CY359" s="104" t="str">
        <f aca="false">IF(ISBLANK($C359),"",IF($BZ359&lt;&gt;Constants!$B$8,$BZ359,$CE359))</f>
        <v/>
      </c>
      <c r="CZ359" s="105" t="str">
        <f aca="false">IF(ISBLANK($C359),"",$CA359)</f>
        <v/>
      </c>
      <c r="DA359" s="106" t="str">
        <f aca="false">IF(ISBLANK($C359),"",$CP359)</f>
        <v/>
      </c>
      <c r="DB359" s="106" t="str">
        <f aca="false">IF(ISBLANK($C359),"",$CO359)</f>
        <v/>
      </c>
      <c r="DC359" s="107" t="str">
        <f aca="false">IF(ISBLANK($C359),"",IFERROR(_xlfn.SWITCH($DB359,Constants!$B$11,COUNTA($C$9:$C$508)+2,Constants!$B$10,COUNTA($C$9:$C$508)+1,Constants!$B$9,COUNTA($C$9:$C$508)),$DB359))</f>
        <v/>
      </c>
      <c r="DD359" s="9"/>
      <c r="DE359" s="108" t="n">
        <f aca="false">IF(OR(ISNUMBER($DB359),$DB359=Constants!$B$11,$DB359=Constants!$B$9,$DB359=Constants!$B$10),1,0)</f>
        <v>0</v>
      </c>
      <c r="DF359" s="108" t="n">
        <v>351</v>
      </c>
      <c r="DG359" s="108" t="str">
        <f aca="false">IF(ISBLANK($C359),"",IF(ISNUMBER($DC359),$DC359+ROW($B359)/1000,""))</f>
        <v/>
      </c>
      <c r="DH359" s="108" t="str">
        <f aca="false">IF(ISNUMBER($DG359),RANK($DG359,$DG$9:$DG$508,1),"")</f>
        <v/>
      </c>
      <c r="DI359" s="108" t="str">
        <f aca="false">IF(ISBLANK($C359),"",$B359)</f>
        <v/>
      </c>
      <c r="DJ359" s="108" t="str">
        <f aca="false">IF(ISBLANK($C359),"",$C359)</f>
        <v/>
      </c>
      <c r="DK359" s="108" t="str">
        <f aca="false">IF(ISBLANK($C359),"",$D359)</f>
        <v/>
      </c>
      <c r="DL359" s="109" t="str">
        <f aca="false">$CZ359</f>
        <v/>
      </c>
      <c r="DM359" s="110" t="str">
        <f aca="false">$CY359</f>
        <v/>
      </c>
      <c r="DN359" s="108" t="str">
        <f aca="false">IF(ISBLANK($C359),"",$DB359)</f>
        <v/>
      </c>
      <c r="DO359" s="111" t="str">
        <f aca="false">IF($DF359&gt;$DE$8,"",VLOOKUP($DF359,$DH$9:$DN$508,7,FALSE()))</f>
        <v/>
      </c>
      <c r="DP359" s="112" t="str">
        <f aca="false">IF($DF359&gt;$DE$8,"",VLOOKUP($DF359,$DH$9:$DN$508,2,FALSE()))</f>
        <v/>
      </c>
      <c r="DQ359" s="112" t="str">
        <f aca="false">IF($DF359&gt;$DE$8,"",VLOOKUP($DF359,$DH$9:$DN$508,3,FALSE()))</f>
        <v/>
      </c>
      <c r="DR359" s="112" t="str">
        <f aca="false">IF($DF359&gt;$DE$8,"",VLOOKUP($DF359,$DH$9:$DN$508,4,FALSE()))</f>
        <v/>
      </c>
      <c r="DS359" s="112" t="str">
        <f aca="false">IF($DF359&gt;$DE$8,"",VLOOKUP($DF359,$DH$9:$DN$508,5,FALSE()))</f>
        <v/>
      </c>
      <c r="DT359" s="113" t="str">
        <f aca="false">IF($DF359&gt;$DE$8,"",VLOOKUP($DF359,$DH$9:$DN$508,6,FALSE()))</f>
        <v/>
      </c>
      <c r="DU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IF(ISBLANK($C360),"",IF(E360=Constants!$B$3,TRUE(),IF(E360=Constants!$B$4,FALSE(),TRUE())))</f>
        <v/>
      </c>
      <c r="AG360" s="135" t="str">
        <f aca="false">IF(ISBLANK($C360),"",IF(F360=Constants!$B$3,TRUE(),IF(F360=Constants!$B$4,FALSE(),TRUE())))</f>
        <v/>
      </c>
      <c r="AH360" s="135" t="str">
        <f aca="false">IF(ISBLANK($C360),"",IF(G360=Constants!$B$3,TRUE(),IF(G360=Constants!$B$4,FALSE(),TRUE())))</f>
        <v/>
      </c>
      <c r="AI360" s="135" t="str">
        <f aca="false">IF(ISBLANK($C360),"",IF(AND(ISNUMBER(H360),H360&gt;=0),H360,Constants!$B$29))</f>
        <v/>
      </c>
      <c r="AJ360" s="135" t="str">
        <f aca="false">IF(ISBLANK($C360),"",IF(I360=Constants!$B$3,TRUE(),IF(I360=Constants!$B$4,FALSE(),TRUE())))</f>
        <v/>
      </c>
      <c r="AK360" s="135" t="str">
        <f aca="false">IF(ISBLANK($C360),"",IF(J360=Constants!$B$3,TRUE(),IF(J360=Constants!$B$4,FALSE(),TRUE())))</f>
        <v/>
      </c>
      <c r="AL360" s="135" t="str">
        <f aca="false">IF(ISBLANK($C360),"",IF(K360=Constants!$B$5,TRUE(),IF(K360=Constants!$B$6,FALSE(),COUNTA(L360:P360)&gt;0)))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IF(ISBLANK($C360),"",IF(N360=Constants!$B$3,TRUE(),IF(N360=Constants!$B$4,FALSE(),TRUE())))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IF(ISBLANK($C360),"",IF(P360=Constants!$B$3,TRUE(),IF(P360=Constants!$B$4,FALSE(),FALSE())))</f>
        <v/>
      </c>
      <c r="AR360" s="135" t="str">
        <f aca="false">IF(ISBLANK($C360),"",IF(Q360=Constants!$B$3,TRUE(),IF(Q360=Constants!$B$4,FALSE(),TRUE())))</f>
        <v/>
      </c>
      <c r="AS360" s="135" t="str">
        <f aca="false">IF(ISBLANK($C360),"",IF(R360=Constants!$B$3,TRUE(),IF(R360=Constants!$B$4,FALSE(),TRUE())))</f>
        <v/>
      </c>
      <c r="AT360" s="135" t="str">
        <f aca="false">IF(ISBLANK($C360),"",IF(S360=Constants!$B$5,TRUE(),IF(S360=Constants!$B$6,FALSE(),COUNTA(T360:X360)&gt;0)))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IF(ISBLANK($C360),"",IF(V360=Constants!$B$3,TRUE(),IF(V360=Constants!$B$4,FALSE(),TRUE())))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IF(ISBLANK($C360),"",IF(X360=Constants!$B$3,TRUE(),IF(X360=Constants!$B$4,FALSE(),FALSE())))</f>
        <v/>
      </c>
      <c r="AZ360" s="135" t="str">
        <f aca="false">IF(ISBLANK($C360),"",MIN(Constants!$B$31,MAX(0,IF(ISNUMBER(Y360),Y360*60,0)+IF(ISNUMBER(Z360),Z360,0))))</f>
        <v/>
      </c>
      <c r="BA360" s="135" t="str">
        <f aca="false">IF(ISBLANK($C360),"",IF(AA360=Constants!$B$3,TRUE(),IF(AA360=Constants!$B$4,FALSE(),FALSE())))</f>
        <v/>
      </c>
      <c r="BB360" s="134" t="str">
        <f aca="false">IF(ISBLANK($C360),"",AND($AL360,OR($AM360="",$AN360="",AND($AO360,$AP360=""))))</f>
        <v/>
      </c>
      <c r="BC360" s="137" t="str">
        <f aca="false">IF($BZ360&lt;&gt;Constants!$B$8,"",IF($AL360,Constants!$B$21*$AN360+Constants!$B$22*IF($AO360,$AP360,Constants!$B$23),Constants!$B$24))</f>
        <v/>
      </c>
      <c r="BD360" s="138" t="str">
        <f aca="false">IF($BZ360&lt;&gt;Constants!$B$8,"",Constants!$B$25*ABS($AD$9-IF($AL360,$AM360,0)))</f>
        <v/>
      </c>
      <c r="BE360" s="138" t="str">
        <f aca="false">IF($BZ360&lt;&gt;Constants!$B$8,"",IF(AND($AL360,$AQ360,$AO360),Constants!$B$27,0))</f>
        <v/>
      </c>
      <c r="BF360" s="138" t="str">
        <f aca="false">IF($BZ360&lt;&gt;Constants!$B$8,"",IF($AL360,($AI360-Constants!$B$29)*Constants!$B$28,0))</f>
        <v/>
      </c>
      <c r="BG360" s="138" t="str">
        <f aca="false">IF($BZ360&lt;&gt;Constants!$B$8,"",IF($AK360,0,Constants!$B$15)+IF($AJ360,0,Constants!$B$16)+IF($AH360,0,Constants!$B$17))</f>
        <v/>
      </c>
      <c r="BH360" s="139" t="str">
        <f aca="false">IF($BZ360&lt;&gt;Constants!$B$8,"",Constants!$B$20+SUM($BC360:$BG360))</f>
        <v/>
      </c>
      <c r="BI360" s="138" t="str">
        <f aca="false">IF($BZ360&lt;&gt;Constants!$B$8,"",$BC360)</f>
        <v/>
      </c>
      <c r="BJ360" s="138" t="str">
        <f aca="false">IF($BZ360&lt;&gt;Constants!$B$8,"",$BD360)</f>
        <v/>
      </c>
      <c r="BK360" s="138" t="str">
        <f aca="false">IF($BZ360&lt;&gt;Constants!$B$8,"",IF($AL360,$AN360,""))</f>
        <v/>
      </c>
      <c r="BL360" s="140" t="str">
        <f aca="false">IF($BZ360&lt;&gt;Constants!$B$8,"",$AI360)</f>
        <v/>
      </c>
      <c r="BM360" s="135" t="str">
        <f aca="false">IF($BZ360&lt;&gt;Constants!$B$8,"",IF(OR($BT360&lt;$BH360,AND($BT360=$BH360,OR($BU360&lt;$BI360,AND($BU360=$BI360,OR($BV360&lt;$BJ360,AND($BV360=$BJ360,OR(AND(ISNUMBER($BW360),OR(NOT(ISNUMBER($BK360)),$BW360&lt;$BK360)),AND(OR(AND($BW360="",$BK360=""),AND(ISNUMBER($BW360),ISNUMBER($BK360),$BW360=$BK360)),$BX360&lt;$BL360)))))))),"-&gt;","&lt;-"))</f>
        <v/>
      </c>
      <c r="BN360" s="134" t="str">
        <f aca="false">IF(ISBLANK($C360),"",AND($AT360,OR($AU360="",$AV360="",AND($AW360,$AX360=""))))</f>
        <v/>
      </c>
      <c r="BO360" s="137" t="str">
        <f aca="false">IF($BZ360&lt;&gt;Constants!$B$8,"",IF($AT360,Constants!$B$21*$AV360+Constants!$B$22*IF($AW360,$AX360,Constants!$B$23),Constants!$B$24))</f>
        <v/>
      </c>
      <c r="BP360" s="138" t="str">
        <f aca="false">IF($BZ360&lt;&gt;Constants!$B$8,"",Constants!$B$25*ABS($AD$9-IF($AT360,$AU360,0)))</f>
        <v/>
      </c>
      <c r="BQ360" s="138" t="str">
        <f aca="false">IF($BZ360&lt;&gt;Constants!$B$8,"",IF(AND($AT360,$AY360,$AW360),Constants!$B$27,0))</f>
        <v/>
      </c>
      <c r="BR360" s="138" t="str">
        <f aca="false">IF($BZ360&lt;&gt;Constants!$B$8,"",IF($AT360,($AI360-Constants!$B$29)*Constants!$B$28,0))</f>
        <v/>
      </c>
      <c r="BS360" s="138" t="str">
        <f aca="false">IF($BZ360&lt;&gt;Constants!$B$8,"",IF($AS360,0,Constants!$B$15)+IF($AR360,0,Constants!$B$16)+IF($AH360,0,Constants!$B$17))</f>
        <v/>
      </c>
      <c r="BT360" s="139" t="str">
        <f aca="false">IF($BZ360&lt;&gt;Constants!$B$8,"",Constants!$B$20+SUM($BO360:$BS360))</f>
        <v/>
      </c>
      <c r="BU360" s="138" t="str">
        <f aca="false">IF($BZ360&lt;&gt;Constants!$B$8,"",$BO360)</f>
        <v/>
      </c>
      <c r="BV360" s="138" t="str">
        <f aca="false">IF($BZ360&lt;&gt;Constants!$B$8,"",$BP360)</f>
        <v/>
      </c>
      <c r="BW360" s="138" t="str">
        <f aca="false">IF($BZ360&lt;&gt;Constants!$B$8,"",IF($AT360,$AV360,""))</f>
        <v/>
      </c>
      <c r="BX360" s="140" t="str">
        <f aca="false">IF($BZ360&lt;&gt;Constants!$B$8,"",$AI360)</f>
        <v/>
      </c>
      <c r="BY360" s="135" t="str">
        <f aca="false">IF(ISBLANK($C360),"",IF(ISBLANK($D$7),$BY$5,IF(NOT(ISNUMBER($D$7)),$BY$6,"")))</f>
        <v/>
      </c>
      <c r="BZ360" s="135" t="str">
        <f aca="false">IF(ISBLANK($C360),"",IF($BA360,Constants!$B$11,IF(COUNTA($E360:$AA360)=0,Constants!$B$10,IF(NOT($AG360),Constants!$B$9,IF(OR($BY360&lt;&gt;"",$BB360,$BN360),Constants!$B$12,Constants!$B$8)))))</f>
        <v/>
      </c>
      <c r="CA360" s="135" t="str">
        <f aca="false">IF(ISBLANK($C360),"",IF($BZ360&lt;&gt;Constants!$B$8,$BZ360,Constants!$B$13))</f>
        <v/>
      </c>
      <c r="CB360" s="138" t="str">
        <f aca="false">IF($BZ360&lt;&gt;Constants!$B$8,"",IF($BM360="-&gt;",$BT360,$BH360))</f>
        <v/>
      </c>
      <c r="CC360" s="138" t="str">
        <f aca="false">IF($BZ360&lt;&gt;Constants!$B$8,"",IF($AF360,0,Constants!$B$18))</f>
        <v/>
      </c>
      <c r="CD360" s="138" t="str">
        <f aca="false">IF($BZ360&lt;&gt;Constants!$B$8,"",((Constants!$B$31-$AZ360)-Constants!$B$31)/Constants!$B$32)</f>
        <v/>
      </c>
      <c r="CE360" s="138" t="str">
        <f aca="false">IF(ISBLANK($C360),"",IF($BZ360&lt;&gt;Constants!$B$8,$BZ360,SUM($CB360:$CD360)))</f>
        <v/>
      </c>
      <c r="CF360" s="135" t="str">
        <f aca="false">IF(ISBLANK($C360),"",IF($BZ360&lt;&gt;Constants!$B$8,$BZ360,RANK($CE360,$CE$9:$CE$508,1)))</f>
        <v/>
      </c>
      <c r="CG360" s="138" t="str">
        <f aca="false">IF($BZ360&lt;&gt;Constants!$B$8,"",IF($BM360="-&gt;",$BU360,$BI360))</f>
        <v/>
      </c>
      <c r="CH360" s="135" t="str">
        <f aca="false">IF(ISBLANK($C360),"",IF($BZ360&lt;&gt;Constants!$B$8,$BZ360,IF(ISNUMBER($CG360),RANK($CG360,$CG$9:$CG$508,1),COUNT($CG$9:$CG$508)+1)))</f>
        <v/>
      </c>
      <c r="CI360" s="138" t="str">
        <f aca="false">IF($BZ360&lt;&gt;Constants!$B$8,"",IF($BM360="-&gt;",$BV360,$BJ360))</f>
        <v/>
      </c>
      <c r="CJ360" s="135" t="str">
        <f aca="false">IF(ISBLANK($C360),"",IF($BZ360&lt;&gt;Constants!$B$8,$BZ360,IF(ISNUMBER($CI360),RANK($CI360,$CI$9:$CI$508,1),COUNT($CI$9:$CI$508)+1)))</f>
        <v/>
      </c>
      <c r="CK360" s="138" t="str">
        <f aca="false">IF($BZ360&lt;&gt;Constants!$B$8,"",IF($BM360="-&gt;",$BW360,$BK360))</f>
        <v/>
      </c>
      <c r="CL360" s="135" t="str">
        <f aca="false">IF(ISBLANK($C360),"",IF($BZ360&lt;&gt;Constants!$B$8,$BZ360,IF(ISNUMBER($CK360),RANK($CK360,$CK$9:$CK$508,1),COUNT($CK$9:$CK$508)+1)))</f>
        <v/>
      </c>
      <c r="CM360" s="138" t="str">
        <f aca="false">IF($BZ360&lt;&gt;Constants!$B$8,"",IF(AND(NOT($AL360),NOT($AT360),$AJ360,$AK360,$AR360,$AS360),"",IF($BM360="-&gt;",$BX360,$BL360)))</f>
        <v/>
      </c>
      <c r="CN360" s="135" t="str">
        <f aca="false">IF(ISBLANK($C360),"",IF($BZ360&lt;&gt;Constants!$B$8,$BZ360,IF(ISNUMBER($CM360),RANK($CM360,$CM$9:$CM$508,1),COUNT($CM$9:$CM$508)+1)))</f>
        <v/>
      </c>
      <c r="CO360" s="135" t="str">
        <f aca="false">IF(ISBLANK($C360),"",IF($BZ360&lt;&gt;Constants!$B$8,$BZ360,COUNTIFS($CF$9:$CF$508,"&lt;"&amp;$CF360)+COUNTIFS($CF$9:$CF$508,$CF360,$CH$9:$CH$508,"&lt;"&amp;$CH360)+COUNTIFS($CF$9:$CF$508,$CF360,$CH$9:$CH$508,$CH360,$CJ$9:$CJ$508,"&lt;"&amp;$CJ360)+COUNTIFS($CF$9:$CF$508,$CF360,$CH$9:$CH$508,$CH360,$CJ$9:$CJ$508,$CJ360,$CL$9:$CL$508,"&lt;"&amp;$CL360)+COUNTIFS($CF$9:$CF$508,$CF360,$CH$9:$CH$508,$CH360,$CJ$9:$CJ$508,$CJ360,$CL$9:$CL$508,$CL360,$CN$9:$CN$508,"&lt;"&amp;$CN360)+1))</f>
        <v/>
      </c>
      <c r="CP360" s="135" t="str">
        <f aca="false">IF(ISBLANK($C360),"",IF($BZ360&lt;&gt;Constants!$B$8,$BZ360,$CF360-$CO360))</f>
        <v/>
      </c>
      <c r="CQ360" s="141"/>
      <c r="CR360" s="142"/>
      <c r="CS360" s="143" t="str">
        <f aca="false">IF(ISBLANK($C360),"",IF($BZ360=Constants!$B$12,$BY360,""))</f>
        <v/>
      </c>
      <c r="CT360" s="142" t="str">
        <f aca="false">IF(ISBLANK($C360),"",IF($BZ360&lt;&gt;Constants!$B$8,"",IF($BM360="-&gt;",2,1)))</f>
        <v/>
      </c>
      <c r="CU360" s="144" t="str">
        <f aca="false">IF(ISBLANK($C360),"",IF($BZ360&lt;&gt;Constants!$B$8,"",IF($BM360="-&gt;",$BO360,$BC360)))</f>
        <v/>
      </c>
      <c r="CV360" s="144" t="str">
        <f aca="false">IF(ISBLANK($C360),"",IF($BZ360&lt;&gt;Constants!$B$8,"",IF($BM360="-&gt;",$BP360,$BD360)))</f>
        <v/>
      </c>
      <c r="CW360" s="144" t="str">
        <f aca="false">IF(ISBLANK($C360),"",IF($BZ360&lt;&gt;Constants!$B$8,"",IF($BM360="-&gt;",$BQ360+$BR360,$BE360+$BF360)+$CD360))</f>
        <v/>
      </c>
      <c r="CX360" s="144" t="str">
        <f aca="false">IF(ISBLANK($C360),"",IF($BZ360&lt;&gt;Constants!$B$8,"",IF($BM360="-&gt;",$BS360,$BG360)+$CC360))</f>
        <v/>
      </c>
      <c r="CY360" s="145" t="str">
        <f aca="false">IF(ISBLANK($C360),"",IF($BZ360&lt;&gt;Constants!$B$8,$BZ360,$CE360))</f>
        <v/>
      </c>
      <c r="CZ360" s="146" t="str">
        <f aca="false">IF(ISBLANK($C360),"",$CA360)</f>
        <v/>
      </c>
      <c r="DA360" s="147" t="str">
        <f aca="false">IF(ISBLANK($C360),"",$CP360)</f>
        <v/>
      </c>
      <c r="DB360" s="147" t="str">
        <f aca="false">IF(ISBLANK($C360),"",$CO360)</f>
        <v/>
      </c>
      <c r="DC360" s="148" t="str">
        <f aca="false">IF(ISBLANK($C360),"",IFERROR(_xlfn.SWITCH($DB360,Constants!$B$11,COUNTA($C$9:$C$508)+2,Constants!$B$10,COUNTA($C$9:$C$508)+1,Constants!$B$9,COUNTA($C$9:$C$508)),$DB360))</f>
        <v/>
      </c>
      <c r="DD360" s="9"/>
      <c r="DE360" s="149" t="n">
        <f aca="false">IF(OR(ISNUMBER($DB360),$DB360=Constants!$B$11,$DB360=Constants!$B$9,$DB360=Constants!$B$10),1,0)</f>
        <v>0</v>
      </c>
      <c r="DF360" s="149" t="n">
        <v>352</v>
      </c>
      <c r="DG360" s="149" t="str">
        <f aca="false">IF(ISBLANK($C360),"",IF(ISNUMBER($DC360),$DC360+ROW($B360)/1000,""))</f>
        <v/>
      </c>
      <c r="DH360" s="149" t="str">
        <f aca="false">IF(ISNUMBER($DG360),RANK($DG360,$DG$9:$DG$508,1),"")</f>
        <v/>
      </c>
      <c r="DI360" s="149" t="str">
        <f aca="false">IF(ISBLANK($C360),"",$B360)</f>
        <v/>
      </c>
      <c r="DJ360" s="149" t="str">
        <f aca="false">IF(ISBLANK($C360),"",$C360)</f>
        <v/>
      </c>
      <c r="DK360" s="149" t="str">
        <f aca="false">IF(ISBLANK($C360),"",$D360)</f>
        <v/>
      </c>
      <c r="DL360" s="150" t="str">
        <f aca="false">$CZ360</f>
        <v/>
      </c>
      <c r="DM360" s="151" t="str">
        <f aca="false">$CY360</f>
        <v/>
      </c>
      <c r="DN360" s="149" t="str">
        <f aca="false">IF(ISBLANK($C360),"",$DB360)</f>
        <v/>
      </c>
      <c r="DO360" s="152" t="str">
        <f aca="false">IF($DF360&gt;$DE$8,"",VLOOKUP($DF360,$DH$9:$DN$508,7,FALSE()))</f>
        <v/>
      </c>
      <c r="DP360" s="153" t="str">
        <f aca="false">IF($DF360&gt;$DE$8,"",VLOOKUP($DF360,$DH$9:$DN$508,2,FALSE()))</f>
        <v/>
      </c>
      <c r="DQ360" s="153" t="str">
        <f aca="false">IF($DF360&gt;$DE$8,"",VLOOKUP($DF360,$DH$9:$DN$508,3,FALSE()))</f>
        <v/>
      </c>
      <c r="DR360" s="153" t="str">
        <f aca="false">IF($DF360&gt;$DE$8,"",VLOOKUP($DF360,$DH$9:$DN$508,4,FALSE()))</f>
        <v/>
      </c>
      <c r="DS360" s="153" t="str">
        <f aca="false">IF($DF360&gt;$DE$8,"",VLOOKUP($DF360,$DH$9:$DN$508,5,FALSE()))</f>
        <v/>
      </c>
      <c r="DT360" s="154" t="str">
        <f aca="false">IF($DF360&gt;$DE$8,"",VLOOKUP($DF360,$DH$9:$DN$508,6,FALSE()))</f>
        <v/>
      </c>
      <c r="DU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IF(ISBLANK($C361),"",IF(E361=Constants!$B$3,TRUE(),IF(E361=Constants!$B$4,FALSE(),TRUE())))</f>
        <v/>
      </c>
      <c r="AG361" s="135" t="str">
        <f aca="false">IF(ISBLANK($C361),"",IF(F361=Constants!$B$3,TRUE(),IF(F361=Constants!$B$4,FALSE(),TRUE())))</f>
        <v/>
      </c>
      <c r="AH361" s="135" t="str">
        <f aca="false">IF(ISBLANK($C361),"",IF(G361=Constants!$B$3,TRUE(),IF(G361=Constants!$B$4,FALSE(),TRUE())))</f>
        <v/>
      </c>
      <c r="AI361" s="135" t="str">
        <f aca="false">IF(ISBLANK($C361),"",IF(AND(ISNUMBER(H361),H361&gt;=0),H361,Constants!$B$29))</f>
        <v/>
      </c>
      <c r="AJ361" s="135" t="str">
        <f aca="false">IF(ISBLANK($C361),"",IF(I361=Constants!$B$3,TRUE(),IF(I361=Constants!$B$4,FALSE(),TRUE())))</f>
        <v/>
      </c>
      <c r="AK361" s="135" t="str">
        <f aca="false">IF(ISBLANK($C361),"",IF(J361=Constants!$B$3,TRUE(),IF(J361=Constants!$B$4,FALSE(),TRUE())))</f>
        <v/>
      </c>
      <c r="AL361" s="135" t="str">
        <f aca="false">IF(ISBLANK($C361),"",IF(K361=Constants!$B$5,TRUE(),IF(K361=Constants!$B$6,FALSE(),COUNTA(L361:P361)&gt;0)))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IF(ISBLANK($C361),"",IF(N361=Constants!$B$3,TRUE(),IF(N361=Constants!$B$4,FALSE(),TRUE())))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IF(ISBLANK($C361),"",IF(P361=Constants!$B$3,TRUE(),IF(P361=Constants!$B$4,FALSE(),FALSE())))</f>
        <v/>
      </c>
      <c r="AR361" s="135" t="str">
        <f aca="false">IF(ISBLANK($C361),"",IF(Q361=Constants!$B$3,TRUE(),IF(Q361=Constants!$B$4,FALSE(),TRUE())))</f>
        <v/>
      </c>
      <c r="AS361" s="135" t="str">
        <f aca="false">IF(ISBLANK($C361),"",IF(R361=Constants!$B$3,TRUE(),IF(R361=Constants!$B$4,FALSE(),TRUE())))</f>
        <v/>
      </c>
      <c r="AT361" s="135" t="str">
        <f aca="false">IF(ISBLANK($C361),"",IF(S361=Constants!$B$5,TRUE(),IF(S361=Constants!$B$6,FALSE(),COUNTA(T361:X361)&gt;0)))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IF(ISBLANK($C361),"",IF(V361=Constants!$B$3,TRUE(),IF(V361=Constants!$B$4,FALSE(),TRUE())))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IF(ISBLANK($C361),"",IF(X361=Constants!$B$3,TRUE(),IF(X361=Constants!$B$4,FALSE(),FALSE())))</f>
        <v/>
      </c>
      <c r="AZ361" s="135" t="str">
        <f aca="false">IF(ISBLANK($C361),"",MIN(Constants!$B$31,MAX(0,IF(ISNUMBER(Y361),Y361*60,0)+IF(ISNUMBER(Z361),Z361,0))))</f>
        <v/>
      </c>
      <c r="BA361" s="135" t="str">
        <f aca="false">IF(ISBLANK($C361),"",IF(AA361=Constants!$B$3,TRUE(),IF(AA361=Constants!$B$4,FALSE(),FALSE())))</f>
        <v/>
      </c>
      <c r="BB361" s="134" t="str">
        <f aca="false">IF(ISBLANK($C361),"",AND($AL361,OR($AM361="",$AN361="",AND($AO361,$AP361=""))))</f>
        <v/>
      </c>
      <c r="BC361" s="137" t="str">
        <f aca="false">IF($BZ361&lt;&gt;Constants!$B$8,"",IF($AL361,Constants!$B$21*$AN361+Constants!$B$22*IF($AO361,$AP361,Constants!$B$23),Constants!$B$24))</f>
        <v/>
      </c>
      <c r="BD361" s="138" t="str">
        <f aca="false">IF($BZ361&lt;&gt;Constants!$B$8,"",Constants!$B$25*ABS($AD$9-IF($AL361,$AM361,0)))</f>
        <v/>
      </c>
      <c r="BE361" s="138" t="str">
        <f aca="false">IF($BZ361&lt;&gt;Constants!$B$8,"",IF(AND($AL361,$AQ361,$AO361),Constants!$B$27,0))</f>
        <v/>
      </c>
      <c r="BF361" s="138" t="str">
        <f aca="false">IF($BZ361&lt;&gt;Constants!$B$8,"",IF($AL361,($AI361-Constants!$B$29)*Constants!$B$28,0))</f>
        <v/>
      </c>
      <c r="BG361" s="138" t="str">
        <f aca="false">IF($BZ361&lt;&gt;Constants!$B$8,"",IF($AK361,0,Constants!$B$15)+IF($AJ361,0,Constants!$B$16)+IF($AH361,0,Constants!$B$17))</f>
        <v/>
      </c>
      <c r="BH361" s="139" t="str">
        <f aca="false">IF($BZ361&lt;&gt;Constants!$B$8,"",Constants!$B$20+SUM($BC361:$BG361))</f>
        <v/>
      </c>
      <c r="BI361" s="138" t="str">
        <f aca="false">IF($BZ361&lt;&gt;Constants!$B$8,"",$BC361)</f>
        <v/>
      </c>
      <c r="BJ361" s="138" t="str">
        <f aca="false">IF($BZ361&lt;&gt;Constants!$B$8,"",$BD361)</f>
        <v/>
      </c>
      <c r="BK361" s="138" t="str">
        <f aca="false">IF($BZ361&lt;&gt;Constants!$B$8,"",IF($AL361,$AN361,""))</f>
        <v/>
      </c>
      <c r="BL361" s="140" t="str">
        <f aca="false">IF($BZ361&lt;&gt;Constants!$B$8,"",$AI361)</f>
        <v/>
      </c>
      <c r="BM361" s="135" t="str">
        <f aca="false">IF($BZ361&lt;&gt;Constants!$B$8,"",IF(OR($BT361&lt;$BH361,AND($BT361=$BH361,OR($BU361&lt;$BI361,AND($BU361=$BI361,OR($BV361&lt;$BJ361,AND($BV361=$BJ361,OR(AND(ISNUMBER($BW361),OR(NOT(ISNUMBER($BK361)),$BW361&lt;$BK361)),AND(OR(AND($BW361="",$BK361=""),AND(ISNUMBER($BW361),ISNUMBER($BK361),$BW361=$BK361)),$BX361&lt;$BL361)))))))),"-&gt;","&lt;-"))</f>
        <v/>
      </c>
      <c r="BN361" s="134" t="str">
        <f aca="false">IF(ISBLANK($C361),"",AND($AT361,OR($AU361="",$AV361="",AND($AW361,$AX361=""))))</f>
        <v/>
      </c>
      <c r="BO361" s="137" t="str">
        <f aca="false">IF($BZ361&lt;&gt;Constants!$B$8,"",IF($AT361,Constants!$B$21*$AV361+Constants!$B$22*IF($AW361,$AX361,Constants!$B$23),Constants!$B$24))</f>
        <v/>
      </c>
      <c r="BP361" s="138" t="str">
        <f aca="false">IF($BZ361&lt;&gt;Constants!$B$8,"",Constants!$B$25*ABS($AD$9-IF($AT361,$AU361,0)))</f>
        <v/>
      </c>
      <c r="BQ361" s="138" t="str">
        <f aca="false">IF($BZ361&lt;&gt;Constants!$B$8,"",IF(AND($AT361,$AY361,$AW361),Constants!$B$27,0))</f>
        <v/>
      </c>
      <c r="BR361" s="138" t="str">
        <f aca="false">IF($BZ361&lt;&gt;Constants!$B$8,"",IF($AT361,($AI361-Constants!$B$29)*Constants!$B$28,0))</f>
        <v/>
      </c>
      <c r="BS361" s="138" t="str">
        <f aca="false">IF($BZ361&lt;&gt;Constants!$B$8,"",IF($AS361,0,Constants!$B$15)+IF($AR361,0,Constants!$B$16)+IF($AH361,0,Constants!$B$17))</f>
        <v/>
      </c>
      <c r="BT361" s="139" t="str">
        <f aca="false">IF($BZ361&lt;&gt;Constants!$B$8,"",Constants!$B$20+SUM($BO361:$BS361))</f>
        <v/>
      </c>
      <c r="BU361" s="138" t="str">
        <f aca="false">IF($BZ361&lt;&gt;Constants!$B$8,"",$BO361)</f>
        <v/>
      </c>
      <c r="BV361" s="138" t="str">
        <f aca="false">IF($BZ361&lt;&gt;Constants!$B$8,"",$BP361)</f>
        <v/>
      </c>
      <c r="BW361" s="138" t="str">
        <f aca="false">IF($BZ361&lt;&gt;Constants!$B$8,"",IF($AT361,$AV361,""))</f>
        <v/>
      </c>
      <c r="BX361" s="140" t="str">
        <f aca="false">IF($BZ361&lt;&gt;Constants!$B$8,"",$AI361)</f>
        <v/>
      </c>
      <c r="BY361" s="135" t="str">
        <f aca="false">IF(ISBLANK($C361),"",IF(ISBLANK($D$7),$BY$5,IF(NOT(ISNUMBER($D$7)),$BY$6,"")))</f>
        <v/>
      </c>
      <c r="BZ361" s="135" t="str">
        <f aca="false">IF(ISBLANK($C361),"",IF($BA361,Constants!$B$11,IF(COUNTA($E361:$AA361)=0,Constants!$B$10,IF(NOT($AG361),Constants!$B$9,IF(OR($BY361&lt;&gt;"",$BB361,$BN361),Constants!$B$12,Constants!$B$8)))))</f>
        <v/>
      </c>
      <c r="CA361" s="135" t="str">
        <f aca="false">IF(ISBLANK($C361),"",IF($BZ361&lt;&gt;Constants!$B$8,$BZ361,Constants!$B$13))</f>
        <v/>
      </c>
      <c r="CB361" s="138" t="str">
        <f aca="false">IF($BZ361&lt;&gt;Constants!$B$8,"",IF($BM361="-&gt;",$BT361,$BH361))</f>
        <v/>
      </c>
      <c r="CC361" s="138" t="str">
        <f aca="false">IF($BZ361&lt;&gt;Constants!$B$8,"",IF($AF361,0,Constants!$B$18))</f>
        <v/>
      </c>
      <c r="CD361" s="138" t="str">
        <f aca="false">IF($BZ361&lt;&gt;Constants!$B$8,"",((Constants!$B$31-$AZ361)-Constants!$B$31)/Constants!$B$32)</f>
        <v/>
      </c>
      <c r="CE361" s="138" t="str">
        <f aca="false">IF(ISBLANK($C361),"",IF($BZ361&lt;&gt;Constants!$B$8,$BZ361,SUM($CB361:$CD361)))</f>
        <v/>
      </c>
      <c r="CF361" s="135" t="str">
        <f aca="false">IF(ISBLANK($C361),"",IF($BZ361&lt;&gt;Constants!$B$8,$BZ361,RANK($CE361,$CE$9:$CE$508,1)))</f>
        <v/>
      </c>
      <c r="CG361" s="138" t="str">
        <f aca="false">IF($BZ361&lt;&gt;Constants!$B$8,"",IF($BM361="-&gt;",$BU361,$BI361))</f>
        <v/>
      </c>
      <c r="CH361" s="135" t="str">
        <f aca="false">IF(ISBLANK($C361),"",IF($BZ361&lt;&gt;Constants!$B$8,$BZ361,IF(ISNUMBER($CG361),RANK($CG361,$CG$9:$CG$508,1),COUNT($CG$9:$CG$508)+1)))</f>
        <v/>
      </c>
      <c r="CI361" s="138" t="str">
        <f aca="false">IF($BZ361&lt;&gt;Constants!$B$8,"",IF($BM361="-&gt;",$BV361,$BJ361))</f>
        <v/>
      </c>
      <c r="CJ361" s="135" t="str">
        <f aca="false">IF(ISBLANK($C361),"",IF($BZ361&lt;&gt;Constants!$B$8,$BZ361,IF(ISNUMBER($CI361),RANK($CI361,$CI$9:$CI$508,1),COUNT($CI$9:$CI$508)+1)))</f>
        <v/>
      </c>
      <c r="CK361" s="138" t="str">
        <f aca="false">IF($BZ361&lt;&gt;Constants!$B$8,"",IF($BM361="-&gt;",$BW361,$BK361))</f>
        <v/>
      </c>
      <c r="CL361" s="135" t="str">
        <f aca="false">IF(ISBLANK($C361),"",IF($BZ361&lt;&gt;Constants!$B$8,$BZ361,IF(ISNUMBER($CK361),RANK($CK361,$CK$9:$CK$508,1),COUNT($CK$9:$CK$508)+1)))</f>
        <v/>
      </c>
      <c r="CM361" s="138" t="str">
        <f aca="false">IF($BZ361&lt;&gt;Constants!$B$8,"",IF(AND(NOT($AL361),NOT($AT361),$AJ361,$AK361,$AR361,$AS361),"",IF($BM361="-&gt;",$BX361,$BL361)))</f>
        <v/>
      </c>
      <c r="CN361" s="135" t="str">
        <f aca="false">IF(ISBLANK($C361),"",IF($BZ361&lt;&gt;Constants!$B$8,$BZ361,IF(ISNUMBER($CM361),RANK($CM361,$CM$9:$CM$508,1),COUNT($CM$9:$CM$508)+1)))</f>
        <v/>
      </c>
      <c r="CO361" s="135" t="str">
        <f aca="false">IF(ISBLANK($C361),"",IF($BZ361&lt;&gt;Constants!$B$8,$BZ361,COUNTIFS($CF$9:$CF$508,"&lt;"&amp;$CF361)+COUNTIFS($CF$9:$CF$508,$CF361,$CH$9:$CH$508,"&lt;"&amp;$CH361)+COUNTIFS($CF$9:$CF$508,$CF361,$CH$9:$CH$508,$CH361,$CJ$9:$CJ$508,"&lt;"&amp;$CJ361)+COUNTIFS($CF$9:$CF$508,$CF361,$CH$9:$CH$508,$CH361,$CJ$9:$CJ$508,$CJ361,$CL$9:$CL$508,"&lt;"&amp;$CL361)+COUNTIFS($CF$9:$CF$508,$CF361,$CH$9:$CH$508,$CH361,$CJ$9:$CJ$508,$CJ361,$CL$9:$CL$508,$CL361,$CN$9:$CN$508,"&lt;"&amp;$CN361)+1))</f>
        <v/>
      </c>
      <c r="CP361" s="135" t="str">
        <f aca="false">IF(ISBLANK($C361),"",IF($BZ361&lt;&gt;Constants!$B$8,$BZ361,$CF361-$CO361))</f>
        <v/>
      </c>
      <c r="CQ361" s="141"/>
      <c r="CR361" s="142"/>
      <c r="CS361" s="143" t="str">
        <f aca="false">IF(ISBLANK($C361),"",IF($BZ361=Constants!$B$12,$BY361,""))</f>
        <v/>
      </c>
      <c r="CT361" s="142" t="str">
        <f aca="false">IF(ISBLANK($C361),"",IF($BZ361&lt;&gt;Constants!$B$8,"",IF($BM361="-&gt;",2,1)))</f>
        <v/>
      </c>
      <c r="CU361" s="144" t="str">
        <f aca="false">IF(ISBLANK($C361),"",IF($BZ361&lt;&gt;Constants!$B$8,"",IF($BM361="-&gt;",$BO361,$BC361)))</f>
        <v/>
      </c>
      <c r="CV361" s="144" t="str">
        <f aca="false">IF(ISBLANK($C361),"",IF($BZ361&lt;&gt;Constants!$B$8,"",IF($BM361="-&gt;",$BP361,$BD361)))</f>
        <v/>
      </c>
      <c r="CW361" s="144" t="str">
        <f aca="false">IF(ISBLANK($C361),"",IF($BZ361&lt;&gt;Constants!$B$8,"",IF($BM361="-&gt;",$BQ361+$BR361,$BE361+$BF361)+$CD361))</f>
        <v/>
      </c>
      <c r="CX361" s="144" t="str">
        <f aca="false">IF(ISBLANK($C361),"",IF($BZ361&lt;&gt;Constants!$B$8,"",IF($BM361="-&gt;",$BS361,$BG361)+$CC361))</f>
        <v/>
      </c>
      <c r="CY361" s="145" t="str">
        <f aca="false">IF(ISBLANK($C361),"",IF($BZ361&lt;&gt;Constants!$B$8,$BZ361,$CE361))</f>
        <v/>
      </c>
      <c r="CZ361" s="146" t="str">
        <f aca="false">IF(ISBLANK($C361),"",$CA361)</f>
        <v/>
      </c>
      <c r="DA361" s="147" t="str">
        <f aca="false">IF(ISBLANK($C361),"",$CP361)</f>
        <v/>
      </c>
      <c r="DB361" s="147" t="str">
        <f aca="false">IF(ISBLANK($C361),"",$CO361)</f>
        <v/>
      </c>
      <c r="DC361" s="148" t="str">
        <f aca="false">IF(ISBLANK($C361),"",IFERROR(_xlfn.SWITCH($DB361,Constants!$B$11,COUNTA($C$9:$C$508)+2,Constants!$B$10,COUNTA($C$9:$C$508)+1,Constants!$B$9,COUNTA($C$9:$C$508)),$DB361))</f>
        <v/>
      </c>
      <c r="DD361" s="9"/>
      <c r="DE361" s="149" t="n">
        <f aca="false">IF(OR(ISNUMBER($DB361),$DB361=Constants!$B$11,$DB361=Constants!$B$9,$DB361=Constants!$B$10),1,0)</f>
        <v>0</v>
      </c>
      <c r="DF361" s="149" t="n">
        <v>353</v>
      </c>
      <c r="DG361" s="149" t="str">
        <f aca="false">IF(ISBLANK($C361),"",IF(ISNUMBER($DC361),$DC361+ROW($B361)/1000,""))</f>
        <v/>
      </c>
      <c r="DH361" s="149" t="str">
        <f aca="false">IF(ISNUMBER($DG361),RANK($DG361,$DG$9:$DG$508,1),"")</f>
        <v/>
      </c>
      <c r="DI361" s="149" t="str">
        <f aca="false">IF(ISBLANK($C361),"",$B361)</f>
        <v/>
      </c>
      <c r="DJ361" s="149" t="str">
        <f aca="false">IF(ISBLANK($C361),"",$C361)</f>
        <v/>
      </c>
      <c r="DK361" s="149" t="str">
        <f aca="false">IF(ISBLANK($C361),"",$D361)</f>
        <v/>
      </c>
      <c r="DL361" s="150" t="str">
        <f aca="false">$CZ361</f>
        <v/>
      </c>
      <c r="DM361" s="151" t="str">
        <f aca="false">$CY361</f>
        <v/>
      </c>
      <c r="DN361" s="149" t="str">
        <f aca="false">IF(ISBLANK($C361),"",$DB361)</f>
        <v/>
      </c>
      <c r="DO361" s="152" t="str">
        <f aca="false">IF($DF361&gt;$DE$8,"",VLOOKUP($DF361,$DH$9:$DN$508,7,FALSE()))</f>
        <v/>
      </c>
      <c r="DP361" s="153" t="str">
        <f aca="false">IF($DF361&gt;$DE$8,"",VLOOKUP($DF361,$DH$9:$DN$508,2,FALSE()))</f>
        <v/>
      </c>
      <c r="DQ361" s="153" t="str">
        <f aca="false">IF($DF361&gt;$DE$8,"",VLOOKUP($DF361,$DH$9:$DN$508,3,FALSE()))</f>
        <v/>
      </c>
      <c r="DR361" s="153" t="str">
        <f aca="false">IF($DF361&gt;$DE$8,"",VLOOKUP($DF361,$DH$9:$DN$508,4,FALSE()))</f>
        <v/>
      </c>
      <c r="DS361" s="153" t="str">
        <f aca="false">IF($DF361&gt;$DE$8,"",VLOOKUP($DF361,$DH$9:$DN$508,5,FALSE()))</f>
        <v/>
      </c>
      <c r="DT361" s="154" t="str">
        <f aca="false">IF($DF361&gt;$DE$8,"",VLOOKUP($DF361,$DH$9:$DN$508,6,FALSE()))</f>
        <v/>
      </c>
      <c r="DU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IF(ISBLANK($C362),"",IF(E362=Constants!$B$3,TRUE(),IF(E362=Constants!$B$4,FALSE(),TRUE())))</f>
        <v/>
      </c>
      <c r="AG362" s="135" t="str">
        <f aca="false">IF(ISBLANK($C362),"",IF(F362=Constants!$B$3,TRUE(),IF(F362=Constants!$B$4,FALSE(),TRUE())))</f>
        <v/>
      </c>
      <c r="AH362" s="135" t="str">
        <f aca="false">IF(ISBLANK($C362),"",IF(G362=Constants!$B$3,TRUE(),IF(G362=Constants!$B$4,FALSE(),TRUE())))</f>
        <v/>
      </c>
      <c r="AI362" s="135" t="str">
        <f aca="false">IF(ISBLANK($C362),"",IF(AND(ISNUMBER(H362),H362&gt;=0),H362,Constants!$B$29))</f>
        <v/>
      </c>
      <c r="AJ362" s="135" t="str">
        <f aca="false">IF(ISBLANK($C362),"",IF(I362=Constants!$B$3,TRUE(),IF(I362=Constants!$B$4,FALSE(),TRUE())))</f>
        <v/>
      </c>
      <c r="AK362" s="135" t="str">
        <f aca="false">IF(ISBLANK($C362),"",IF(J362=Constants!$B$3,TRUE(),IF(J362=Constants!$B$4,FALSE(),TRUE())))</f>
        <v/>
      </c>
      <c r="AL362" s="135" t="str">
        <f aca="false">IF(ISBLANK($C362),"",IF(K362=Constants!$B$5,TRUE(),IF(K362=Constants!$B$6,FALSE(),COUNTA(L362:P362)&gt;0)))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IF(ISBLANK($C362),"",IF(N362=Constants!$B$3,TRUE(),IF(N362=Constants!$B$4,FALSE(),TRUE())))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IF(ISBLANK($C362),"",IF(P362=Constants!$B$3,TRUE(),IF(P362=Constants!$B$4,FALSE(),FALSE())))</f>
        <v/>
      </c>
      <c r="AR362" s="135" t="str">
        <f aca="false">IF(ISBLANK($C362),"",IF(Q362=Constants!$B$3,TRUE(),IF(Q362=Constants!$B$4,FALSE(),TRUE())))</f>
        <v/>
      </c>
      <c r="AS362" s="135" t="str">
        <f aca="false">IF(ISBLANK($C362),"",IF(R362=Constants!$B$3,TRUE(),IF(R362=Constants!$B$4,FALSE(),TRUE())))</f>
        <v/>
      </c>
      <c r="AT362" s="135" t="str">
        <f aca="false">IF(ISBLANK($C362),"",IF(S362=Constants!$B$5,TRUE(),IF(S362=Constants!$B$6,FALSE(),COUNTA(T362:X362)&gt;0)))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IF(ISBLANK($C362),"",IF(V362=Constants!$B$3,TRUE(),IF(V362=Constants!$B$4,FALSE(),TRUE())))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IF(ISBLANK($C362),"",IF(X362=Constants!$B$3,TRUE(),IF(X362=Constants!$B$4,FALSE(),FALSE())))</f>
        <v/>
      </c>
      <c r="AZ362" s="135" t="str">
        <f aca="false">IF(ISBLANK($C362),"",MIN(Constants!$B$31,MAX(0,IF(ISNUMBER(Y362),Y362*60,0)+IF(ISNUMBER(Z362),Z362,0))))</f>
        <v/>
      </c>
      <c r="BA362" s="135" t="str">
        <f aca="false">IF(ISBLANK($C362),"",IF(AA362=Constants!$B$3,TRUE(),IF(AA362=Constants!$B$4,FALSE(),FALSE())))</f>
        <v/>
      </c>
      <c r="BB362" s="134" t="str">
        <f aca="false">IF(ISBLANK($C362),"",AND($AL362,OR($AM362="",$AN362="",AND($AO362,$AP362=""))))</f>
        <v/>
      </c>
      <c r="BC362" s="137" t="str">
        <f aca="false">IF($BZ362&lt;&gt;Constants!$B$8,"",IF($AL362,Constants!$B$21*$AN362+Constants!$B$22*IF($AO362,$AP362,Constants!$B$23),Constants!$B$24))</f>
        <v/>
      </c>
      <c r="BD362" s="138" t="str">
        <f aca="false">IF($BZ362&lt;&gt;Constants!$B$8,"",Constants!$B$25*ABS($AD$9-IF($AL362,$AM362,0)))</f>
        <v/>
      </c>
      <c r="BE362" s="138" t="str">
        <f aca="false">IF($BZ362&lt;&gt;Constants!$B$8,"",IF(AND($AL362,$AQ362,$AO362),Constants!$B$27,0))</f>
        <v/>
      </c>
      <c r="BF362" s="138" t="str">
        <f aca="false">IF($BZ362&lt;&gt;Constants!$B$8,"",IF($AL362,($AI362-Constants!$B$29)*Constants!$B$28,0))</f>
        <v/>
      </c>
      <c r="BG362" s="138" t="str">
        <f aca="false">IF($BZ362&lt;&gt;Constants!$B$8,"",IF($AK362,0,Constants!$B$15)+IF($AJ362,0,Constants!$B$16)+IF($AH362,0,Constants!$B$17))</f>
        <v/>
      </c>
      <c r="BH362" s="139" t="str">
        <f aca="false">IF($BZ362&lt;&gt;Constants!$B$8,"",Constants!$B$20+SUM($BC362:$BG362))</f>
        <v/>
      </c>
      <c r="BI362" s="138" t="str">
        <f aca="false">IF($BZ362&lt;&gt;Constants!$B$8,"",$BC362)</f>
        <v/>
      </c>
      <c r="BJ362" s="138" t="str">
        <f aca="false">IF($BZ362&lt;&gt;Constants!$B$8,"",$BD362)</f>
        <v/>
      </c>
      <c r="BK362" s="138" t="str">
        <f aca="false">IF($BZ362&lt;&gt;Constants!$B$8,"",IF($AL362,$AN362,""))</f>
        <v/>
      </c>
      <c r="BL362" s="140" t="str">
        <f aca="false">IF($BZ362&lt;&gt;Constants!$B$8,"",$AI362)</f>
        <v/>
      </c>
      <c r="BM362" s="135" t="str">
        <f aca="false">IF($BZ362&lt;&gt;Constants!$B$8,"",IF(OR($BT362&lt;$BH362,AND($BT362=$BH362,OR($BU362&lt;$BI362,AND($BU362=$BI362,OR($BV362&lt;$BJ362,AND($BV362=$BJ362,OR(AND(ISNUMBER($BW362),OR(NOT(ISNUMBER($BK362)),$BW362&lt;$BK362)),AND(OR(AND($BW362="",$BK362=""),AND(ISNUMBER($BW362),ISNUMBER($BK362),$BW362=$BK362)),$BX362&lt;$BL362)))))))),"-&gt;","&lt;-"))</f>
        <v/>
      </c>
      <c r="BN362" s="134" t="str">
        <f aca="false">IF(ISBLANK($C362),"",AND($AT362,OR($AU362="",$AV362="",AND($AW362,$AX362=""))))</f>
        <v/>
      </c>
      <c r="BO362" s="137" t="str">
        <f aca="false">IF($BZ362&lt;&gt;Constants!$B$8,"",IF($AT362,Constants!$B$21*$AV362+Constants!$B$22*IF($AW362,$AX362,Constants!$B$23),Constants!$B$24))</f>
        <v/>
      </c>
      <c r="BP362" s="138" t="str">
        <f aca="false">IF($BZ362&lt;&gt;Constants!$B$8,"",Constants!$B$25*ABS($AD$9-IF($AT362,$AU362,0)))</f>
        <v/>
      </c>
      <c r="BQ362" s="138" t="str">
        <f aca="false">IF($BZ362&lt;&gt;Constants!$B$8,"",IF(AND($AT362,$AY362,$AW362),Constants!$B$27,0))</f>
        <v/>
      </c>
      <c r="BR362" s="138" t="str">
        <f aca="false">IF($BZ362&lt;&gt;Constants!$B$8,"",IF($AT362,($AI362-Constants!$B$29)*Constants!$B$28,0))</f>
        <v/>
      </c>
      <c r="BS362" s="138" t="str">
        <f aca="false">IF($BZ362&lt;&gt;Constants!$B$8,"",IF($AS362,0,Constants!$B$15)+IF($AR362,0,Constants!$B$16)+IF($AH362,0,Constants!$B$17))</f>
        <v/>
      </c>
      <c r="BT362" s="139" t="str">
        <f aca="false">IF($BZ362&lt;&gt;Constants!$B$8,"",Constants!$B$20+SUM($BO362:$BS362))</f>
        <v/>
      </c>
      <c r="BU362" s="138" t="str">
        <f aca="false">IF($BZ362&lt;&gt;Constants!$B$8,"",$BO362)</f>
        <v/>
      </c>
      <c r="BV362" s="138" t="str">
        <f aca="false">IF($BZ362&lt;&gt;Constants!$B$8,"",$BP362)</f>
        <v/>
      </c>
      <c r="BW362" s="138" t="str">
        <f aca="false">IF($BZ362&lt;&gt;Constants!$B$8,"",IF($AT362,$AV362,""))</f>
        <v/>
      </c>
      <c r="BX362" s="140" t="str">
        <f aca="false">IF($BZ362&lt;&gt;Constants!$B$8,"",$AI362)</f>
        <v/>
      </c>
      <c r="BY362" s="135" t="str">
        <f aca="false">IF(ISBLANK($C362),"",IF(ISBLANK($D$7),$BY$5,IF(NOT(ISNUMBER($D$7)),$BY$6,"")))</f>
        <v/>
      </c>
      <c r="BZ362" s="135" t="str">
        <f aca="false">IF(ISBLANK($C362),"",IF($BA362,Constants!$B$11,IF(COUNTA($E362:$AA362)=0,Constants!$B$10,IF(NOT($AG362),Constants!$B$9,IF(OR($BY362&lt;&gt;"",$BB362,$BN362),Constants!$B$12,Constants!$B$8)))))</f>
        <v/>
      </c>
      <c r="CA362" s="135" t="str">
        <f aca="false">IF(ISBLANK($C362),"",IF($BZ362&lt;&gt;Constants!$B$8,$BZ362,Constants!$B$13))</f>
        <v/>
      </c>
      <c r="CB362" s="138" t="str">
        <f aca="false">IF($BZ362&lt;&gt;Constants!$B$8,"",IF($BM362="-&gt;",$BT362,$BH362))</f>
        <v/>
      </c>
      <c r="CC362" s="138" t="str">
        <f aca="false">IF($BZ362&lt;&gt;Constants!$B$8,"",IF($AF362,0,Constants!$B$18))</f>
        <v/>
      </c>
      <c r="CD362" s="138" t="str">
        <f aca="false">IF($BZ362&lt;&gt;Constants!$B$8,"",((Constants!$B$31-$AZ362)-Constants!$B$31)/Constants!$B$32)</f>
        <v/>
      </c>
      <c r="CE362" s="138" t="str">
        <f aca="false">IF(ISBLANK($C362),"",IF($BZ362&lt;&gt;Constants!$B$8,$BZ362,SUM($CB362:$CD362)))</f>
        <v/>
      </c>
      <c r="CF362" s="135" t="str">
        <f aca="false">IF(ISBLANK($C362),"",IF($BZ362&lt;&gt;Constants!$B$8,$BZ362,RANK($CE362,$CE$9:$CE$508,1)))</f>
        <v/>
      </c>
      <c r="CG362" s="138" t="str">
        <f aca="false">IF($BZ362&lt;&gt;Constants!$B$8,"",IF($BM362="-&gt;",$BU362,$BI362))</f>
        <v/>
      </c>
      <c r="CH362" s="135" t="str">
        <f aca="false">IF(ISBLANK($C362),"",IF($BZ362&lt;&gt;Constants!$B$8,$BZ362,IF(ISNUMBER($CG362),RANK($CG362,$CG$9:$CG$508,1),COUNT($CG$9:$CG$508)+1)))</f>
        <v/>
      </c>
      <c r="CI362" s="138" t="str">
        <f aca="false">IF($BZ362&lt;&gt;Constants!$B$8,"",IF($BM362="-&gt;",$BV362,$BJ362))</f>
        <v/>
      </c>
      <c r="CJ362" s="135" t="str">
        <f aca="false">IF(ISBLANK($C362),"",IF($BZ362&lt;&gt;Constants!$B$8,$BZ362,IF(ISNUMBER($CI362),RANK($CI362,$CI$9:$CI$508,1),COUNT($CI$9:$CI$508)+1)))</f>
        <v/>
      </c>
      <c r="CK362" s="138" t="str">
        <f aca="false">IF($BZ362&lt;&gt;Constants!$B$8,"",IF($BM362="-&gt;",$BW362,$BK362))</f>
        <v/>
      </c>
      <c r="CL362" s="135" t="str">
        <f aca="false">IF(ISBLANK($C362),"",IF($BZ362&lt;&gt;Constants!$B$8,$BZ362,IF(ISNUMBER($CK362),RANK($CK362,$CK$9:$CK$508,1),COUNT($CK$9:$CK$508)+1)))</f>
        <v/>
      </c>
      <c r="CM362" s="138" t="str">
        <f aca="false">IF($BZ362&lt;&gt;Constants!$B$8,"",IF(AND(NOT($AL362),NOT($AT362),$AJ362,$AK362,$AR362,$AS362),"",IF($BM362="-&gt;",$BX362,$BL362)))</f>
        <v/>
      </c>
      <c r="CN362" s="135" t="str">
        <f aca="false">IF(ISBLANK($C362),"",IF($BZ362&lt;&gt;Constants!$B$8,$BZ362,IF(ISNUMBER($CM362),RANK($CM362,$CM$9:$CM$508,1),COUNT($CM$9:$CM$508)+1)))</f>
        <v/>
      </c>
      <c r="CO362" s="135" t="str">
        <f aca="false">IF(ISBLANK($C362),"",IF($BZ362&lt;&gt;Constants!$B$8,$BZ362,COUNTIFS($CF$9:$CF$508,"&lt;"&amp;$CF362)+COUNTIFS($CF$9:$CF$508,$CF362,$CH$9:$CH$508,"&lt;"&amp;$CH362)+COUNTIFS($CF$9:$CF$508,$CF362,$CH$9:$CH$508,$CH362,$CJ$9:$CJ$508,"&lt;"&amp;$CJ362)+COUNTIFS($CF$9:$CF$508,$CF362,$CH$9:$CH$508,$CH362,$CJ$9:$CJ$508,$CJ362,$CL$9:$CL$508,"&lt;"&amp;$CL362)+COUNTIFS($CF$9:$CF$508,$CF362,$CH$9:$CH$508,$CH362,$CJ$9:$CJ$508,$CJ362,$CL$9:$CL$508,$CL362,$CN$9:$CN$508,"&lt;"&amp;$CN362)+1))</f>
        <v/>
      </c>
      <c r="CP362" s="135" t="str">
        <f aca="false">IF(ISBLANK($C362),"",IF($BZ362&lt;&gt;Constants!$B$8,$BZ362,$CF362-$CO362))</f>
        <v/>
      </c>
      <c r="CQ362" s="141"/>
      <c r="CR362" s="142"/>
      <c r="CS362" s="143" t="str">
        <f aca="false">IF(ISBLANK($C362),"",IF($BZ362=Constants!$B$12,$BY362,""))</f>
        <v/>
      </c>
      <c r="CT362" s="142" t="str">
        <f aca="false">IF(ISBLANK($C362),"",IF($BZ362&lt;&gt;Constants!$B$8,"",IF($BM362="-&gt;",2,1)))</f>
        <v/>
      </c>
      <c r="CU362" s="144" t="str">
        <f aca="false">IF(ISBLANK($C362),"",IF($BZ362&lt;&gt;Constants!$B$8,"",IF($BM362="-&gt;",$BO362,$BC362)))</f>
        <v/>
      </c>
      <c r="CV362" s="144" t="str">
        <f aca="false">IF(ISBLANK($C362),"",IF($BZ362&lt;&gt;Constants!$B$8,"",IF($BM362="-&gt;",$BP362,$BD362)))</f>
        <v/>
      </c>
      <c r="CW362" s="144" t="str">
        <f aca="false">IF(ISBLANK($C362),"",IF($BZ362&lt;&gt;Constants!$B$8,"",IF($BM362="-&gt;",$BQ362+$BR362,$BE362+$BF362)+$CD362))</f>
        <v/>
      </c>
      <c r="CX362" s="144" t="str">
        <f aca="false">IF(ISBLANK($C362),"",IF($BZ362&lt;&gt;Constants!$B$8,"",IF($BM362="-&gt;",$BS362,$BG362)+$CC362))</f>
        <v/>
      </c>
      <c r="CY362" s="145" t="str">
        <f aca="false">IF(ISBLANK($C362),"",IF($BZ362&lt;&gt;Constants!$B$8,$BZ362,$CE362))</f>
        <v/>
      </c>
      <c r="CZ362" s="146" t="str">
        <f aca="false">IF(ISBLANK($C362),"",$CA362)</f>
        <v/>
      </c>
      <c r="DA362" s="147" t="str">
        <f aca="false">IF(ISBLANK($C362),"",$CP362)</f>
        <v/>
      </c>
      <c r="DB362" s="147" t="str">
        <f aca="false">IF(ISBLANK($C362),"",$CO362)</f>
        <v/>
      </c>
      <c r="DC362" s="148" t="str">
        <f aca="false">IF(ISBLANK($C362),"",IFERROR(_xlfn.SWITCH($DB362,Constants!$B$11,COUNTA($C$9:$C$508)+2,Constants!$B$10,COUNTA($C$9:$C$508)+1,Constants!$B$9,COUNTA($C$9:$C$508)),$DB362))</f>
        <v/>
      </c>
      <c r="DD362" s="9"/>
      <c r="DE362" s="149" t="n">
        <f aca="false">IF(OR(ISNUMBER($DB362),$DB362=Constants!$B$11,$DB362=Constants!$B$9,$DB362=Constants!$B$10),1,0)</f>
        <v>0</v>
      </c>
      <c r="DF362" s="149" t="n">
        <v>354</v>
      </c>
      <c r="DG362" s="149" t="str">
        <f aca="false">IF(ISBLANK($C362),"",IF(ISNUMBER($DC362),$DC362+ROW($B362)/1000,""))</f>
        <v/>
      </c>
      <c r="DH362" s="149" t="str">
        <f aca="false">IF(ISNUMBER($DG362),RANK($DG362,$DG$9:$DG$508,1),"")</f>
        <v/>
      </c>
      <c r="DI362" s="149" t="str">
        <f aca="false">IF(ISBLANK($C362),"",$B362)</f>
        <v/>
      </c>
      <c r="DJ362" s="149" t="str">
        <f aca="false">IF(ISBLANK($C362),"",$C362)</f>
        <v/>
      </c>
      <c r="DK362" s="149" t="str">
        <f aca="false">IF(ISBLANK($C362),"",$D362)</f>
        <v/>
      </c>
      <c r="DL362" s="150" t="str">
        <f aca="false">$CZ362</f>
        <v/>
      </c>
      <c r="DM362" s="151" t="str">
        <f aca="false">$CY362</f>
        <v/>
      </c>
      <c r="DN362" s="149" t="str">
        <f aca="false">IF(ISBLANK($C362),"",$DB362)</f>
        <v/>
      </c>
      <c r="DO362" s="152" t="str">
        <f aca="false">IF($DF362&gt;$DE$8,"",VLOOKUP($DF362,$DH$9:$DN$508,7,FALSE()))</f>
        <v/>
      </c>
      <c r="DP362" s="153" t="str">
        <f aca="false">IF($DF362&gt;$DE$8,"",VLOOKUP($DF362,$DH$9:$DN$508,2,FALSE()))</f>
        <v/>
      </c>
      <c r="DQ362" s="153" t="str">
        <f aca="false">IF($DF362&gt;$DE$8,"",VLOOKUP($DF362,$DH$9:$DN$508,3,FALSE()))</f>
        <v/>
      </c>
      <c r="DR362" s="153" t="str">
        <f aca="false">IF($DF362&gt;$DE$8,"",VLOOKUP($DF362,$DH$9:$DN$508,4,FALSE()))</f>
        <v/>
      </c>
      <c r="DS362" s="153" t="str">
        <f aca="false">IF($DF362&gt;$DE$8,"",VLOOKUP($DF362,$DH$9:$DN$508,5,FALSE()))</f>
        <v/>
      </c>
      <c r="DT362" s="154" t="str">
        <f aca="false">IF($DF362&gt;$DE$8,"",VLOOKUP($DF362,$DH$9:$DN$508,6,FALSE()))</f>
        <v/>
      </c>
      <c r="DU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IF(ISBLANK($C363),"",IF(E363=Constants!$B$3,TRUE(),IF(E363=Constants!$B$4,FALSE(),TRUE())))</f>
        <v/>
      </c>
      <c r="AG363" s="93" t="str">
        <f aca="false">IF(ISBLANK($C363),"",IF(F363=Constants!$B$3,TRUE(),IF(F363=Constants!$B$4,FALSE(),TRUE())))</f>
        <v/>
      </c>
      <c r="AH363" s="93" t="str">
        <f aca="false">IF(ISBLANK($C363),"",IF(G363=Constants!$B$3,TRUE(),IF(G363=Constants!$B$4,FALSE(),TRUE())))</f>
        <v/>
      </c>
      <c r="AI363" s="93" t="str">
        <f aca="false">IF(ISBLANK($C363),"",IF(AND(ISNUMBER(H363),H363&gt;=0),H363,Constants!$B$29))</f>
        <v/>
      </c>
      <c r="AJ363" s="93" t="str">
        <f aca="false">IF(ISBLANK($C363),"",IF(I363=Constants!$B$3,TRUE(),IF(I363=Constants!$B$4,FALSE(),TRUE())))</f>
        <v/>
      </c>
      <c r="AK363" s="93" t="str">
        <f aca="false">IF(ISBLANK($C363),"",IF(J363=Constants!$B$3,TRUE(),IF(J363=Constants!$B$4,FALSE(),TRUE())))</f>
        <v/>
      </c>
      <c r="AL363" s="93" t="str">
        <f aca="false">IF(ISBLANK($C363),"",IF(K363=Constants!$B$5,TRUE(),IF(K363=Constants!$B$6,FALSE(),COUNTA(L363:P363)&gt;0)))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IF(ISBLANK($C363),"",IF(N363=Constants!$B$3,TRUE(),IF(N363=Constants!$B$4,FALSE(),TRUE())))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IF(ISBLANK($C363),"",IF(P363=Constants!$B$3,TRUE(),IF(P363=Constants!$B$4,FALSE(),FALSE())))</f>
        <v/>
      </c>
      <c r="AR363" s="93" t="str">
        <f aca="false">IF(ISBLANK($C363),"",IF(Q363=Constants!$B$3,TRUE(),IF(Q363=Constants!$B$4,FALSE(),TRUE())))</f>
        <v/>
      </c>
      <c r="AS363" s="93" t="str">
        <f aca="false">IF(ISBLANK($C363),"",IF(R363=Constants!$B$3,TRUE(),IF(R363=Constants!$B$4,FALSE(),TRUE())))</f>
        <v/>
      </c>
      <c r="AT363" s="93" t="str">
        <f aca="false">IF(ISBLANK($C363),"",IF(S363=Constants!$B$5,TRUE(),IF(S363=Constants!$B$6,FALSE(),COUNTA(T363:X363)&gt;0)))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IF(ISBLANK($C363),"",IF(V363=Constants!$B$3,TRUE(),IF(V363=Constants!$B$4,FALSE(),TRUE())))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IF(ISBLANK($C363),"",IF(X363=Constants!$B$3,TRUE(),IF(X363=Constants!$B$4,FALSE(),FALSE())))</f>
        <v/>
      </c>
      <c r="AZ363" s="93" t="str">
        <f aca="false">IF(ISBLANK($C363),"",MIN(Constants!$B$31,MAX(0,IF(ISNUMBER(Y363),Y363*60,0)+IF(ISNUMBER(Z363),Z363,0))))</f>
        <v/>
      </c>
      <c r="BA363" s="93" t="str">
        <f aca="false">IF(ISBLANK($C363),"",IF(AA363=Constants!$B$3,TRUE(),IF(AA363=Constants!$B$4,FALSE(),FALSE())))</f>
        <v/>
      </c>
      <c r="BB363" s="92" t="str">
        <f aca="false">IF(ISBLANK($C363),"",AND($AL363,OR($AM363="",$AN363="",AND($AO363,$AP363=""))))</f>
        <v/>
      </c>
      <c r="BC363" s="94" t="str">
        <f aca="false">IF($BZ363&lt;&gt;Constants!$B$8,"",IF($AL363,Constants!$B$21*$AN363+Constants!$B$22*IF($AO363,$AP363,Constants!$B$23),Constants!$B$24))</f>
        <v/>
      </c>
      <c r="BD363" s="97" t="str">
        <f aca="false">IF($BZ363&lt;&gt;Constants!$B$8,"",Constants!$B$25*ABS($AD$9-IF($AL363,$AM363,0)))</f>
        <v/>
      </c>
      <c r="BE363" s="97" t="str">
        <f aca="false">IF($BZ363&lt;&gt;Constants!$B$8,"",IF(AND($AL363,$AQ363,$AO363),Constants!$B$27,0))</f>
        <v/>
      </c>
      <c r="BF363" s="97" t="str">
        <f aca="false">IF($BZ363&lt;&gt;Constants!$B$8,"",IF($AL363,($AI363-Constants!$B$29)*Constants!$B$28,0))</f>
        <v/>
      </c>
      <c r="BG363" s="97" t="str">
        <f aca="false">IF($BZ363&lt;&gt;Constants!$B$8,"",IF($AK363,0,Constants!$B$15)+IF($AJ363,0,Constants!$B$16)+IF($AH363,0,Constants!$B$17))</f>
        <v/>
      </c>
      <c r="BH363" s="98" t="str">
        <f aca="false">IF($BZ363&lt;&gt;Constants!$B$8,"",Constants!$B$20+SUM($BC363:$BG363))</f>
        <v/>
      </c>
      <c r="BI363" s="97" t="str">
        <f aca="false">IF($BZ363&lt;&gt;Constants!$B$8,"",$BC363)</f>
        <v/>
      </c>
      <c r="BJ363" s="97" t="str">
        <f aca="false">IF($BZ363&lt;&gt;Constants!$B$8,"",$BD363)</f>
        <v/>
      </c>
      <c r="BK363" s="97" t="str">
        <f aca="false">IF($BZ363&lt;&gt;Constants!$B$8,"",IF($AL363,$AN363,""))</f>
        <v/>
      </c>
      <c r="BL363" s="99" t="str">
        <f aca="false">IF($BZ363&lt;&gt;Constants!$B$8,"",$AI363)</f>
        <v/>
      </c>
      <c r="BM363" s="93" t="str">
        <f aca="false">IF($BZ363&lt;&gt;Constants!$B$8,"",IF(OR($BT363&lt;$BH363,AND($BT363=$BH363,OR($BU363&lt;$BI363,AND($BU363=$BI363,OR($BV363&lt;$BJ363,AND($BV363=$BJ363,OR(AND(ISNUMBER($BW363),OR(NOT(ISNUMBER($BK363)),$BW363&lt;$BK363)),AND(OR(AND($BW363="",$BK363=""),AND(ISNUMBER($BW363),ISNUMBER($BK363),$BW363=$BK363)),$BX363&lt;$BL363)))))))),"-&gt;","&lt;-"))</f>
        <v/>
      </c>
      <c r="BN363" s="92" t="str">
        <f aca="false">IF(ISBLANK($C363),"",AND($AT363,OR($AU363="",$AV363="",AND($AW363,$AX363=""))))</f>
        <v/>
      </c>
      <c r="BO363" s="94" t="str">
        <f aca="false">IF($BZ363&lt;&gt;Constants!$B$8,"",IF($AT363,Constants!$B$21*$AV363+Constants!$B$22*IF($AW363,$AX363,Constants!$B$23),Constants!$B$24))</f>
        <v/>
      </c>
      <c r="BP363" s="97" t="str">
        <f aca="false">IF($BZ363&lt;&gt;Constants!$B$8,"",Constants!$B$25*ABS($AD$9-IF($AT363,$AU363,0)))</f>
        <v/>
      </c>
      <c r="BQ363" s="97" t="str">
        <f aca="false">IF($BZ363&lt;&gt;Constants!$B$8,"",IF(AND($AT363,$AY363,$AW363),Constants!$B$27,0))</f>
        <v/>
      </c>
      <c r="BR363" s="97" t="str">
        <f aca="false">IF($BZ363&lt;&gt;Constants!$B$8,"",IF($AT363,($AI363-Constants!$B$29)*Constants!$B$28,0))</f>
        <v/>
      </c>
      <c r="BS363" s="97" t="str">
        <f aca="false">IF($BZ363&lt;&gt;Constants!$B$8,"",IF($AS363,0,Constants!$B$15)+IF($AR363,0,Constants!$B$16)+IF($AH363,0,Constants!$B$17))</f>
        <v/>
      </c>
      <c r="BT363" s="98" t="str">
        <f aca="false">IF($BZ363&lt;&gt;Constants!$B$8,"",Constants!$B$20+SUM($BO363:$BS363))</f>
        <v/>
      </c>
      <c r="BU363" s="97" t="str">
        <f aca="false">IF($BZ363&lt;&gt;Constants!$B$8,"",$BO363)</f>
        <v/>
      </c>
      <c r="BV363" s="97" t="str">
        <f aca="false">IF($BZ363&lt;&gt;Constants!$B$8,"",$BP363)</f>
        <v/>
      </c>
      <c r="BW363" s="97" t="str">
        <f aca="false">IF($BZ363&lt;&gt;Constants!$B$8,"",IF($AT363,$AV363,""))</f>
        <v/>
      </c>
      <c r="BX363" s="99" t="str">
        <f aca="false">IF($BZ363&lt;&gt;Constants!$B$8,"",$AI363)</f>
        <v/>
      </c>
      <c r="BY363" s="93" t="str">
        <f aca="false">IF(ISBLANK($C363),"",IF(ISBLANK($D$7),$BY$5,IF(NOT(ISNUMBER($D$7)),$BY$6,"")))</f>
        <v/>
      </c>
      <c r="BZ363" s="93" t="str">
        <f aca="false">IF(ISBLANK($C363),"",IF($BA363,Constants!$B$11,IF(COUNTA($E363:$AA363)=0,Constants!$B$10,IF(NOT($AG363),Constants!$B$9,IF(OR($BY363&lt;&gt;"",$BB363,$BN363),Constants!$B$12,Constants!$B$8)))))</f>
        <v/>
      </c>
      <c r="CA363" s="93" t="str">
        <f aca="false">IF(ISBLANK($C363),"",IF($BZ363&lt;&gt;Constants!$B$8,$BZ363,Constants!$B$13))</f>
        <v/>
      </c>
      <c r="CB363" s="97" t="str">
        <f aca="false">IF($BZ363&lt;&gt;Constants!$B$8,"",IF($BM363="-&gt;",$BT363,$BH363))</f>
        <v/>
      </c>
      <c r="CC363" s="97" t="str">
        <f aca="false">IF($BZ363&lt;&gt;Constants!$B$8,"",IF($AF363,0,Constants!$B$18))</f>
        <v/>
      </c>
      <c r="CD363" s="97" t="str">
        <f aca="false">IF($BZ363&lt;&gt;Constants!$B$8,"",((Constants!$B$31-$AZ363)-Constants!$B$31)/Constants!$B$32)</f>
        <v/>
      </c>
      <c r="CE363" s="97" t="str">
        <f aca="false">IF(ISBLANK($C363),"",IF($BZ363&lt;&gt;Constants!$B$8,$BZ363,SUM($CB363:$CD363)))</f>
        <v/>
      </c>
      <c r="CF363" s="93" t="str">
        <f aca="false">IF(ISBLANK($C363),"",IF($BZ363&lt;&gt;Constants!$B$8,$BZ363,RANK($CE363,$CE$9:$CE$508,1)))</f>
        <v/>
      </c>
      <c r="CG363" s="97" t="str">
        <f aca="false">IF($BZ363&lt;&gt;Constants!$B$8,"",IF($BM363="-&gt;",$BU363,$BI363))</f>
        <v/>
      </c>
      <c r="CH363" s="93" t="str">
        <f aca="false">IF(ISBLANK($C363),"",IF($BZ363&lt;&gt;Constants!$B$8,$BZ363,IF(ISNUMBER($CG363),RANK($CG363,$CG$9:$CG$508,1),COUNT($CG$9:$CG$508)+1)))</f>
        <v/>
      </c>
      <c r="CI363" s="97" t="str">
        <f aca="false">IF($BZ363&lt;&gt;Constants!$B$8,"",IF($BM363="-&gt;",$BV363,$BJ363))</f>
        <v/>
      </c>
      <c r="CJ363" s="93" t="str">
        <f aca="false">IF(ISBLANK($C363),"",IF($BZ363&lt;&gt;Constants!$B$8,$BZ363,IF(ISNUMBER($CI363),RANK($CI363,$CI$9:$CI$508,1),COUNT($CI$9:$CI$508)+1)))</f>
        <v/>
      </c>
      <c r="CK363" s="97" t="str">
        <f aca="false">IF($BZ363&lt;&gt;Constants!$B$8,"",IF($BM363="-&gt;",$BW363,$BK363))</f>
        <v/>
      </c>
      <c r="CL363" s="93" t="str">
        <f aca="false">IF(ISBLANK($C363),"",IF($BZ363&lt;&gt;Constants!$B$8,$BZ363,IF(ISNUMBER($CK363),RANK($CK363,$CK$9:$CK$508,1),COUNT($CK$9:$CK$508)+1)))</f>
        <v/>
      </c>
      <c r="CM363" s="97" t="str">
        <f aca="false">IF($BZ363&lt;&gt;Constants!$B$8,"",IF(AND(NOT($AL363),NOT($AT363),$AJ363,$AK363,$AR363,$AS363),"",IF($BM363="-&gt;",$BX363,$BL363)))</f>
        <v/>
      </c>
      <c r="CN363" s="93" t="str">
        <f aca="false">IF(ISBLANK($C363),"",IF($BZ363&lt;&gt;Constants!$B$8,$BZ363,IF(ISNUMBER($CM363),RANK($CM363,$CM$9:$CM$508,1),COUNT($CM$9:$CM$508)+1)))</f>
        <v/>
      </c>
      <c r="CO363" s="93" t="str">
        <f aca="false">IF(ISBLANK($C363),"",IF($BZ363&lt;&gt;Constants!$B$8,$BZ363,COUNTIFS($CF$9:$CF$508,"&lt;"&amp;$CF363)+COUNTIFS($CF$9:$CF$508,$CF363,$CH$9:$CH$508,"&lt;"&amp;$CH363)+COUNTIFS($CF$9:$CF$508,$CF363,$CH$9:$CH$508,$CH363,$CJ$9:$CJ$508,"&lt;"&amp;$CJ363)+COUNTIFS($CF$9:$CF$508,$CF363,$CH$9:$CH$508,$CH363,$CJ$9:$CJ$508,$CJ363,$CL$9:$CL$508,"&lt;"&amp;$CL363)+COUNTIFS($CF$9:$CF$508,$CF363,$CH$9:$CH$508,$CH363,$CJ$9:$CJ$508,$CJ363,$CL$9:$CL$508,$CL363,$CN$9:$CN$508,"&lt;"&amp;$CN363)+1))</f>
        <v/>
      </c>
      <c r="CP363" s="93" t="str">
        <f aca="false">IF(ISBLANK($C363),"",IF($BZ363&lt;&gt;Constants!$B$8,$BZ363,$CF363-$CO363))</f>
        <v/>
      </c>
      <c r="CQ363" s="100"/>
      <c r="CR363" s="101"/>
      <c r="CS363" s="102" t="str">
        <f aca="false">IF(ISBLANK($C363),"",IF($BZ363=Constants!$B$12,$BY363,""))</f>
        <v/>
      </c>
      <c r="CT363" s="101" t="str">
        <f aca="false">IF(ISBLANK($C363),"",IF($BZ363&lt;&gt;Constants!$B$8,"",IF($BM363="-&gt;",2,1)))</f>
        <v/>
      </c>
      <c r="CU363" s="103" t="str">
        <f aca="false">IF(ISBLANK($C363),"",IF($BZ363&lt;&gt;Constants!$B$8,"",IF($BM363="-&gt;",$BO363,$BC363)))</f>
        <v/>
      </c>
      <c r="CV363" s="103" t="str">
        <f aca="false">IF(ISBLANK($C363),"",IF($BZ363&lt;&gt;Constants!$B$8,"",IF($BM363="-&gt;",$BP363,$BD363)))</f>
        <v/>
      </c>
      <c r="CW363" s="103" t="str">
        <f aca="false">IF(ISBLANK($C363),"",IF($BZ363&lt;&gt;Constants!$B$8,"",IF($BM363="-&gt;",$BQ363+$BR363,$BE363+$BF363)+$CD363))</f>
        <v/>
      </c>
      <c r="CX363" s="103" t="str">
        <f aca="false">IF(ISBLANK($C363),"",IF($BZ363&lt;&gt;Constants!$B$8,"",IF($BM363="-&gt;",$BS363,$BG363)+$CC363))</f>
        <v/>
      </c>
      <c r="CY363" s="104" t="str">
        <f aca="false">IF(ISBLANK($C363),"",IF($BZ363&lt;&gt;Constants!$B$8,$BZ363,$CE363))</f>
        <v/>
      </c>
      <c r="CZ363" s="105" t="str">
        <f aca="false">IF(ISBLANK($C363),"",$CA363)</f>
        <v/>
      </c>
      <c r="DA363" s="106" t="str">
        <f aca="false">IF(ISBLANK($C363),"",$CP363)</f>
        <v/>
      </c>
      <c r="DB363" s="106" t="str">
        <f aca="false">IF(ISBLANK($C363),"",$CO363)</f>
        <v/>
      </c>
      <c r="DC363" s="107" t="str">
        <f aca="false">IF(ISBLANK($C363),"",IFERROR(_xlfn.SWITCH($DB363,Constants!$B$11,COUNTA($C$9:$C$508)+2,Constants!$B$10,COUNTA($C$9:$C$508)+1,Constants!$B$9,COUNTA($C$9:$C$508)),$DB363))</f>
        <v/>
      </c>
      <c r="DD363" s="9"/>
      <c r="DE363" s="108" t="n">
        <f aca="false">IF(OR(ISNUMBER($DB363),$DB363=Constants!$B$11,$DB363=Constants!$B$9,$DB363=Constants!$B$10),1,0)</f>
        <v>0</v>
      </c>
      <c r="DF363" s="108" t="n">
        <v>355</v>
      </c>
      <c r="DG363" s="108" t="str">
        <f aca="false">IF(ISBLANK($C363),"",IF(ISNUMBER($DC363),$DC363+ROW($B363)/1000,""))</f>
        <v/>
      </c>
      <c r="DH363" s="108" t="str">
        <f aca="false">IF(ISNUMBER($DG363),RANK($DG363,$DG$9:$DG$508,1),"")</f>
        <v/>
      </c>
      <c r="DI363" s="108" t="str">
        <f aca="false">IF(ISBLANK($C363),"",$B363)</f>
        <v/>
      </c>
      <c r="DJ363" s="108" t="str">
        <f aca="false">IF(ISBLANK($C363),"",$C363)</f>
        <v/>
      </c>
      <c r="DK363" s="108" t="str">
        <f aca="false">IF(ISBLANK($C363),"",$D363)</f>
        <v/>
      </c>
      <c r="DL363" s="109" t="str">
        <f aca="false">$CZ363</f>
        <v/>
      </c>
      <c r="DM363" s="110" t="str">
        <f aca="false">$CY363</f>
        <v/>
      </c>
      <c r="DN363" s="108" t="str">
        <f aca="false">IF(ISBLANK($C363),"",$DB363)</f>
        <v/>
      </c>
      <c r="DO363" s="111" t="str">
        <f aca="false">IF($DF363&gt;$DE$8,"",VLOOKUP($DF363,$DH$9:$DN$508,7,FALSE()))</f>
        <v/>
      </c>
      <c r="DP363" s="112" t="str">
        <f aca="false">IF($DF363&gt;$DE$8,"",VLOOKUP($DF363,$DH$9:$DN$508,2,FALSE()))</f>
        <v/>
      </c>
      <c r="DQ363" s="112" t="str">
        <f aca="false">IF($DF363&gt;$DE$8,"",VLOOKUP($DF363,$DH$9:$DN$508,3,FALSE()))</f>
        <v/>
      </c>
      <c r="DR363" s="112" t="str">
        <f aca="false">IF($DF363&gt;$DE$8,"",VLOOKUP($DF363,$DH$9:$DN$508,4,FALSE()))</f>
        <v/>
      </c>
      <c r="DS363" s="112" t="str">
        <f aca="false">IF($DF363&gt;$DE$8,"",VLOOKUP($DF363,$DH$9:$DN$508,5,FALSE()))</f>
        <v/>
      </c>
      <c r="DT363" s="113" t="str">
        <f aca="false">IF($DF363&gt;$DE$8,"",VLOOKUP($DF363,$DH$9:$DN$508,6,FALSE()))</f>
        <v/>
      </c>
      <c r="DU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IF(ISBLANK($C364),"",IF(E364=Constants!$B$3,TRUE(),IF(E364=Constants!$B$4,FALSE(),TRUE())))</f>
        <v/>
      </c>
      <c r="AG364" s="93" t="str">
        <f aca="false">IF(ISBLANK($C364),"",IF(F364=Constants!$B$3,TRUE(),IF(F364=Constants!$B$4,FALSE(),TRUE())))</f>
        <v/>
      </c>
      <c r="AH364" s="93" t="str">
        <f aca="false">IF(ISBLANK($C364),"",IF(G364=Constants!$B$3,TRUE(),IF(G364=Constants!$B$4,FALSE(),TRUE())))</f>
        <v/>
      </c>
      <c r="AI364" s="93" t="str">
        <f aca="false">IF(ISBLANK($C364),"",IF(AND(ISNUMBER(H364),H364&gt;=0),H364,Constants!$B$29))</f>
        <v/>
      </c>
      <c r="AJ364" s="93" t="str">
        <f aca="false">IF(ISBLANK($C364),"",IF(I364=Constants!$B$3,TRUE(),IF(I364=Constants!$B$4,FALSE(),TRUE())))</f>
        <v/>
      </c>
      <c r="AK364" s="93" t="str">
        <f aca="false">IF(ISBLANK($C364),"",IF(J364=Constants!$B$3,TRUE(),IF(J364=Constants!$B$4,FALSE(),TRUE())))</f>
        <v/>
      </c>
      <c r="AL364" s="93" t="str">
        <f aca="false">IF(ISBLANK($C364),"",IF(K364=Constants!$B$5,TRUE(),IF(K364=Constants!$B$6,FALSE(),COUNTA(L364:P364)&gt;0)))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IF(ISBLANK($C364),"",IF(N364=Constants!$B$3,TRUE(),IF(N364=Constants!$B$4,FALSE(),TRUE())))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IF(ISBLANK($C364),"",IF(P364=Constants!$B$3,TRUE(),IF(P364=Constants!$B$4,FALSE(),FALSE())))</f>
        <v/>
      </c>
      <c r="AR364" s="93" t="str">
        <f aca="false">IF(ISBLANK($C364),"",IF(Q364=Constants!$B$3,TRUE(),IF(Q364=Constants!$B$4,FALSE(),TRUE())))</f>
        <v/>
      </c>
      <c r="AS364" s="93" t="str">
        <f aca="false">IF(ISBLANK($C364),"",IF(R364=Constants!$B$3,TRUE(),IF(R364=Constants!$B$4,FALSE(),TRUE())))</f>
        <v/>
      </c>
      <c r="AT364" s="93" t="str">
        <f aca="false">IF(ISBLANK($C364),"",IF(S364=Constants!$B$5,TRUE(),IF(S364=Constants!$B$6,FALSE(),COUNTA(T364:X364)&gt;0)))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IF(ISBLANK($C364),"",IF(V364=Constants!$B$3,TRUE(),IF(V364=Constants!$B$4,FALSE(),TRUE())))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IF(ISBLANK($C364),"",IF(X364=Constants!$B$3,TRUE(),IF(X364=Constants!$B$4,FALSE(),FALSE())))</f>
        <v/>
      </c>
      <c r="AZ364" s="93" t="str">
        <f aca="false">IF(ISBLANK($C364),"",MIN(Constants!$B$31,MAX(0,IF(ISNUMBER(Y364),Y364*60,0)+IF(ISNUMBER(Z364),Z364,0))))</f>
        <v/>
      </c>
      <c r="BA364" s="93" t="str">
        <f aca="false">IF(ISBLANK($C364),"",IF(AA364=Constants!$B$3,TRUE(),IF(AA364=Constants!$B$4,FALSE(),FALSE())))</f>
        <v/>
      </c>
      <c r="BB364" s="92" t="str">
        <f aca="false">IF(ISBLANK($C364),"",AND($AL364,OR($AM364="",$AN364="",AND($AO364,$AP364=""))))</f>
        <v/>
      </c>
      <c r="BC364" s="94" t="str">
        <f aca="false">IF($BZ364&lt;&gt;Constants!$B$8,"",IF($AL364,Constants!$B$21*$AN364+Constants!$B$22*IF($AO364,$AP364,Constants!$B$23),Constants!$B$24))</f>
        <v/>
      </c>
      <c r="BD364" s="97" t="str">
        <f aca="false">IF($BZ364&lt;&gt;Constants!$B$8,"",Constants!$B$25*ABS($AD$9-IF($AL364,$AM364,0)))</f>
        <v/>
      </c>
      <c r="BE364" s="97" t="str">
        <f aca="false">IF($BZ364&lt;&gt;Constants!$B$8,"",IF(AND($AL364,$AQ364,$AO364),Constants!$B$27,0))</f>
        <v/>
      </c>
      <c r="BF364" s="97" t="str">
        <f aca="false">IF($BZ364&lt;&gt;Constants!$B$8,"",IF($AL364,($AI364-Constants!$B$29)*Constants!$B$28,0))</f>
        <v/>
      </c>
      <c r="BG364" s="97" t="str">
        <f aca="false">IF($BZ364&lt;&gt;Constants!$B$8,"",IF($AK364,0,Constants!$B$15)+IF($AJ364,0,Constants!$B$16)+IF($AH364,0,Constants!$B$17))</f>
        <v/>
      </c>
      <c r="BH364" s="98" t="str">
        <f aca="false">IF($BZ364&lt;&gt;Constants!$B$8,"",Constants!$B$20+SUM($BC364:$BG364))</f>
        <v/>
      </c>
      <c r="BI364" s="97" t="str">
        <f aca="false">IF($BZ364&lt;&gt;Constants!$B$8,"",$BC364)</f>
        <v/>
      </c>
      <c r="BJ364" s="97" t="str">
        <f aca="false">IF($BZ364&lt;&gt;Constants!$B$8,"",$BD364)</f>
        <v/>
      </c>
      <c r="BK364" s="97" t="str">
        <f aca="false">IF($BZ364&lt;&gt;Constants!$B$8,"",IF($AL364,$AN364,""))</f>
        <v/>
      </c>
      <c r="BL364" s="99" t="str">
        <f aca="false">IF($BZ364&lt;&gt;Constants!$B$8,"",$AI364)</f>
        <v/>
      </c>
      <c r="BM364" s="93" t="str">
        <f aca="false">IF($BZ364&lt;&gt;Constants!$B$8,"",IF(OR($BT364&lt;$BH364,AND($BT364=$BH364,OR($BU364&lt;$BI364,AND($BU364=$BI364,OR($BV364&lt;$BJ364,AND($BV364=$BJ364,OR(AND(ISNUMBER($BW364),OR(NOT(ISNUMBER($BK364)),$BW364&lt;$BK364)),AND(OR(AND($BW364="",$BK364=""),AND(ISNUMBER($BW364),ISNUMBER($BK364),$BW364=$BK364)),$BX364&lt;$BL364)))))))),"-&gt;","&lt;-"))</f>
        <v/>
      </c>
      <c r="BN364" s="92" t="str">
        <f aca="false">IF(ISBLANK($C364),"",AND($AT364,OR($AU364="",$AV364="",AND($AW364,$AX364=""))))</f>
        <v/>
      </c>
      <c r="BO364" s="94" t="str">
        <f aca="false">IF($BZ364&lt;&gt;Constants!$B$8,"",IF($AT364,Constants!$B$21*$AV364+Constants!$B$22*IF($AW364,$AX364,Constants!$B$23),Constants!$B$24))</f>
        <v/>
      </c>
      <c r="BP364" s="97" t="str">
        <f aca="false">IF($BZ364&lt;&gt;Constants!$B$8,"",Constants!$B$25*ABS($AD$9-IF($AT364,$AU364,0)))</f>
        <v/>
      </c>
      <c r="BQ364" s="97" t="str">
        <f aca="false">IF($BZ364&lt;&gt;Constants!$B$8,"",IF(AND($AT364,$AY364,$AW364),Constants!$B$27,0))</f>
        <v/>
      </c>
      <c r="BR364" s="97" t="str">
        <f aca="false">IF($BZ364&lt;&gt;Constants!$B$8,"",IF($AT364,($AI364-Constants!$B$29)*Constants!$B$28,0))</f>
        <v/>
      </c>
      <c r="BS364" s="97" t="str">
        <f aca="false">IF($BZ364&lt;&gt;Constants!$B$8,"",IF($AS364,0,Constants!$B$15)+IF($AR364,0,Constants!$B$16)+IF($AH364,0,Constants!$B$17))</f>
        <v/>
      </c>
      <c r="BT364" s="98" t="str">
        <f aca="false">IF($BZ364&lt;&gt;Constants!$B$8,"",Constants!$B$20+SUM($BO364:$BS364))</f>
        <v/>
      </c>
      <c r="BU364" s="97" t="str">
        <f aca="false">IF($BZ364&lt;&gt;Constants!$B$8,"",$BO364)</f>
        <v/>
      </c>
      <c r="BV364" s="97" t="str">
        <f aca="false">IF($BZ364&lt;&gt;Constants!$B$8,"",$BP364)</f>
        <v/>
      </c>
      <c r="BW364" s="97" t="str">
        <f aca="false">IF($BZ364&lt;&gt;Constants!$B$8,"",IF($AT364,$AV364,""))</f>
        <v/>
      </c>
      <c r="BX364" s="99" t="str">
        <f aca="false">IF($BZ364&lt;&gt;Constants!$B$8,"",$AI364)</f>
        <v/>
      </c>
      <c r="BY364" s="93" t="str">
        <f aca="false">IF(ISBLANK($C364),"",IF(ISBLANK($D$7),$BY$5,IF(NOT(ISNUMBER($D$7)),$BY$6,"")))</f>
        <v/>
      </c>
      <c r="BZ364" s="93" t="str">
        <f aca="false">IF(ISBLANK($C364),"",IF($BA364,Constants!$B$11,IF(COUNTA($E364:$AA364)=0,Constants!$B$10,IF(NOT($AG364),Constants!$B$9,IF(OR($BY364&lt;&gt;"",$BB364,$BN364),Constants!$B$12,Constants!$B$8)))))</f>
        <v/>
      </c>
      <c r="CA364" s="93" t="str">
        <f aca="false">IF(ISBLANK($C364),"",IF($BZ364&lt;&gt;Constants!$B$8,$BZ364,Constants!$B$13))</f>
        <v/>
      </c>
      <c r="CB364" s="97" t="str">
        <f aca="false">IF($BZ364&lt;&gt;Constants!$B$8,"",IF($BM364="-&gt;",$BT364,$BH364))</f>
        <v/>
      </c>
      <c r="CC364" s="97" t="str">
        <f aca="false">IF($BZ364&lt;&gt;Constants!$B$8,"",IF($AF364,0,Constants!$B$18))</f>
        <v/>
      </c>
      <c r="CD364" s="97" t="str">
        <f aca="false">IF($BZ364&lt;&gt;Constants!$B$8,"",((Constants!$B$31-$AZ364)-Constants!$B$31)/Constants!$B$32)</f>
        <v/>
      </c>
      <c r="CE364" s="97" t="str">
        <f aca="false">IF(ISBLANK($C364),"",IF($BZ364&lt;&gt;Constants!$B$8,$BZ364,SUM($CB364:$CD364)))</f>
        <v/>
      </c>
      <c r="CF364" s="93" t="str">
        <f aca="false">IF(ISBLANK($C364),"",IF($BZ364&lt;&gt;Constants!$B$8,$BZ364,RANK($CE364,$CE$9:$CE$508,1)))</f>
        <v/>
      </c>
      <c r="CG364" s="97" t="str">
        <f aca="false">IF($BZ364&lt;&gt;Constants!$B$8,"",IF($BM364="-&gt;",$BU364,$BI364))</f>
        <v/>
      </c>
      <c r="CH364" s="93" t="str">
        <f aca="false">IF(ISBLANK($C364),"",IF($BZ364&lt;&gt;Constants!$B$8,$BZ364,IF(ISNUMBER($CG364),RANK($CG364,$CG$9:$CG$508,1),COUNT($CG$9:$CG$508)+1)))</f>
        <v/>
      </c>
      <c r="CI364" s="97" t="str">
        <f aca="false">IF($BZ364&lt;&gt;Constants!$B$8,"",IF($BM364="-&gt;",$BV364,$BJ364))</f>
        <v/>
      </c>
      <c r="CJ364" s="93" t="str">
        <f aca="false">IF(ISBLANK($C364),"",IF($BZ364&lt;&gt;Constants!$B$8,$BZ364,IF(ISNUMBER($CI364),RANK($CI364,$CI$9:$CI$508,1),COUNT($CI$9:$CI$508)+1)))</f>
        <v/>
      </c>
      <c r="CK364" s="97" t="str">
        <f aca="false">IF($BZ364&lt;&gt;Constants!$B$8,"",IF($BM364="-&gt;",$BW364,$BK364))</f>
        <v/>
      </c>
      <c r="CL364" s="93" t="str">
        <f aca="false">IF(ISBLANK($C364),"",IF($BZ364&lt;&gt;Constants!$B$8,$BZ364,IF(ISNUMBER($CK364),RANK($CK364,$CK$9:$CK$508,1),COUNT($CK$9:$CK$508)+1)))</f>
        <v/>
      </c>
      <c r="CM364" s="97" t="str">
        <f aca="false">IF($BZ364&lt;&gt;Constants!$B$8,"",IF(AND(NOT($AL364),NOT($AT364),$AJ364,$AK364,$AR364,$AS364),"",IF($BM364="-&gt;",$BX364,$BL364)))</f>
        <v/>
      </c>
      <c r="CN364" s="93" t="str">
        <f aca="false">IF(ISBLANK($C364),"",IF($BZ364&lt;&gt;Constants!$B$8,$BZ364,IF(ISNUMBER($CM364),RANK($CM364,$CM$9:$CM$508,1),COUNT($CM$9:$CM$508)+1)))</f>
        <v/>
      </c>
      <c r="CO364" s="93" t="str">
        <f aca="false">IF(ISBLANK($C364),"",IF($BZ364&lt;&gt;Constants!$B$8,$BZ364,COUNTIFS($CF$9:$CF$508,"&lt;"&amp;$CF364)+COUNTIFS($CF$9:$CF$508,$CF364,$CH$9:$CH$508,"&lt;"&amp;$CH364)+COUNTIFS($CF$9:$CF$508,$CF364,$CH$9:$CH$508,$CH364,$CJ$9:$CJ$508,"&lt;"&amp;$CJ364)+COUNTIFS($CF$9:$CF$508,$CF364,$CH$9:$CH$508,$CH364,$CJ$9:$CJ$508,$CJ364,$CL$9:$CL$508,"&lt;"&amp;$CL364)+COUNTIFS($CF$9:$CF$508,$CF364,$CH$9:$CH$508,$CH364,$CJ$9:$CJ$508,$CJ364,$CL$9:$CL$508,$CL364,$CN$9:$CN$508,"&lt;"&amp;$CN364)+1))</f>
        <v/>
      </c>
      <c r="CP364" s="93" t="str">
        <f aca="false">IF(ISBLANK($C364),"",IF($BZ364&lt;&gt;Constants!$B$8,$BZ364,$CF364-$CO364))</f>
        <v/>
      </c>
      <c r="CQ364" s="100"/>
      <c r="CR364" s="101"/>
      <c r="CS364" s="102" t="str">
        <f aca="false">IF(ISBLANK($C364),"",IF($BZ364=Constants!$B$12,$BY364,""))</f>
        <v/>
      </c>
      <c r="CT364" s="101" t="str">
        <f aca="false">IF(ISBLANK($C364),"",IF($BZ364&lt;&gt;Constants!$B$8,"",IF($BM364="-&gt;",2,1)))</f>
        <v/>
      </c>
      <c r="CU364" s="103" t="str">
        <f aca="false">IF(ISBLANK($C364),"",IF($BZ364&lt;&gt;Constants!$B$8,"",IF($BM364="-&gt;",$BO364,$BC364)))</f>
        <v/>
      </c>
      <c r="CV364" s="103" t="str">
        <f aca="false">IF(ISBLANK($C364),"",IF($BZ364&lt;&gt;Constants!$B$8,"",IF($BM364="-&gt;",$BP364,$BD364)))</f>
        <v/>
      </c>
      <c r="CW364" s="103" t="str">
        <f aca="false">IF(ISBLANK($C364),"",IF($BZ364&lt;&gt;Constants!$B$8,"",IF($BM364="-&gt;",$BQ364+$BR364,$BE364+$BF364)+$CD364))</f>
        <v/>
      </c>
      <c r="CX364" s="103" t="str">
        <f aca="false">IF(ISBLANK($C364),"",IF($BZ364&lt;&gt;Constants!$B$8,"",IF($BM364="-&gt;",$BS364,$BG364)+$CC364))</f>
        <v/>
      </c>
      <c r="CY364" s="104" t="str">
        <f aca="false">IF(ISBLANK($C364),"",IF($BZ364&lt;&gt;Constants!$B$8,$BZ364,$CE364))</f>
        <v/>
      </c>
      <c r="CZ364" s="105" t="str">
        <f aca="false">IF(ISBLANK($C364),"",$CA364)</f>
        <v/>
      </c>
      <c r="DA364" s="106" t="str">
        <f aca="false">IF(ISBLANK($C364),"",$CP364)</f>
        <v/>
      </c>
      <c r="DB364" s="106" t="str">
        <f aca="false">IF(ISBLANK($C364),"",$CO364)</f>
        <v/>
      </c>
      <c r="DC364" s="107" t="str">
        <f aca="false">IF(ISBLANK($C364),"",IFERROR(_xlfn.SWITCH($DB364,Constants!$B$11,COUNTA($C$9:$C$508)+2,Constants!$B$10,COUNTA($C$9:$C$508)+1,Constants!$B$9,COUNTA($C$9:$C$508)),$DB364))</f>
        <v/>
      </c>
      <c r="DD364" s="9"/>
      <c r="DE364" s="108" t="n">
        <f aca="false">IF(OR(ISNUMBER($DB364),$DB364=Constants!$B$11,$DB364=Constants!$B$9,$DB364=Constants!$B$10),1,0)</f>
        <v>0</v>
      </c>
      <c r="DF364" s="108" t="n">
        <v>356</v>
      </c>
      <c r="DG364" s="108" t="str">
        <f aca="false">IF(ISBLANK($C364),"",IF(ISNUMBER($DC364),$DC364+ROW($B364)/1000,""))</f>
        <v/>
      </c>
      <c r="DH364" s="108" t="str">
        <f aca="false">IF(ISNUMBER($DG364),RANK($DG364,$DG$9:$DG$508,1),"")</f>
        <v/>
      </c>
      <c r="DI364" s="108" t="str">
        <f aca="false">IF(ISBLANK($C364),"",$B364)</f>
        <v/>
      </c>
      <c r="DJ364" s="108" t="str">
        <f aca="false">IF(ISBLANK($C364),"",$C364)</f>
        <v/>
      </c>
      <c r="DK364" s="108" t="str">
        <f aca="false">IF(ISBLANK($C364),"",$D364)</f>
        <v/>
      </c>
      <c r="DL364" s="109" t="str">
        <f aca="false">$CZ364</f>
        <v/>
      </c>
      <c r="DM364" s="110" t="str">
        <f aca="false">$CY364</f>
        <v/>
      </c>
      <c r="DN364" s="108" t="str">
        <f aca="false">IF(ISBLANK($C364),"",$DB364)</f>
        <v/>
      </c>
      <c r="DO364" s="111" t="str">
        <f aca="false">IF($DF364&gt;$DE$8,"",VLOOKUP($DF364,$DH$9:$DN$508,7,FALSE()))</f>
        <v/>
      </c>
      <c r="DP364" s="112" t="str">
        <f aca="false">IF($DF364&gt;$DE$8,"",VLOOKUP($DF364,$DH$9:$DN$508,2,FALSE()))</f>
        <v/>
      </c>
      <c r="DQ364" s="112" t="str">
        <f aca="false">IF($DF364&gt;$DE$8,"",VLOOKUP($DF364,$DH$9:$DN$508,3,FALSE()))</f>
        <v/>
      </c>
      <c r="DR364" s="112" t="str">
        <f aca="false">IF($DF364&gt;$DE$8,"",VLOOKUP($DF364,$DH$9:$DN$508,4,FALSE()))</f>
        <v/>
      </c>
      <c r="DS364" s="112" t="str">
        <f aca="false">IF($DF364&gt;$DE$8,"",VLOOKUP($DF364,$DH$9:$DN$508,5,FALSE()))</f>
        <v/>
      </c>
      <c r="DT364" s="113" t="str">
        <f aca="false">IF($DF364&gt;$DE$8,"",VLOOKUP($DF364,$DH$9:$DN$508,6,FALSE()))</f>
        <v/>
      </c>
      <c r="DU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IF(ISBLANK($C365),"",IF(E365=Constants!$B$3,TRUE(),IF(E365=Constants!$B$4,FALSE(),TRUE())))</f>
        <v/>
      </c>
      <c r="AG365" s="93" t="str">
        <f aca="false">IF(ISBLANK($C365),"",IF(F365=Constants!$B$3,TRUE(),IF(F365=Constants!$B$4,FALSE(),TRUE())))</f>
        <v/>
      </c>
      <c r="AH365" s="93" t="str">
        <f aca="false">IF(ISBLANK($C365),"",IF(G365=Constants!$B$3,TRUE(),IF(G365=Constants!$B$4,FALSE(),TRUE())))</f>
        <v/>
      </c>
      <c r="AI365" s="93" t="str">
        <f aca="false">IF(ISBLANK($C365),"",IF(AND(ISNUMBER(H365),H365&gt;=0),H365,Constants!$B$29))</f>
        <v/>
      </c>
      <c r="AJ365" s="93" t="str">
        <f aca="false">IF(ISBLANK($C365),"",IF(I365=Constants!$B$3,TRUE(),IF(I365=Constants!$B$4,FALSE(),TRUE())))</f>
        <v/>
      </c>
      <c r="AK365" s="93" t="str">
        <f aca="false">IF(ISBLANK($C365),"",IF(J365=Constants!$B$3,TRUE(),IF(J365=Constants!$B$4,FALSE(),TRUE())))</f>
        <v/>
      </c>
      <c r="AL365" s="93" t="str">
        <f aca="false">IF(ISBLANK($C365),"",IF(K365=Constants!$B$5,TRUE(),IF(K365=Constants!$B$6,FALSE(),COUNTA(L365:P365)&gt;0)))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IF(ISBLANK($C365),"",IF(N365=Constants!$B$3,TRUE(),IF(N365=Constants!$B$4,FALSE(),TRUE())))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IF(ISBLANK($C365),"",IF(P365=Constants!$B$3,TRUE(),IF(P365=Constants!$B$4,FALSE(),FALSE())))</f>
        <v/>
      </c>
      <c r="AR365" s="93" t="str">
        <f aca="false">IF(ISBLANK($C365),"",IF(Q365=Constants!$B$3,TRUE(),IF(Q365=Constants!$B$4,FALSE(),TRUE())))</f>
        <v/>
      </c>
      <c r="AS365" s="93" t="str">
        <f aca="false">IF(ISBLANK($C365),"",IF(R365=Constants!$B$3,TRUE(),IF(R365=Constants!$B$4,FALSE(),TRUE())))</f>
        <v/>
      </c>
      <c r="AT365" s="93" t="str">
        <f aca="false">IF(ISBLANK($C365),"",IF(S365=Constants!$B$5,TRUE(),IF(S365=Constants!$B$6,FALSE(),COUNTA(T365:X365)&gt;0)))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IF(ISBLANK($C365),"",IF(V365=Constants!$B$3,TRUE(),IF(V365=Constants!$B$4,FALSE(),TRUE())))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IF(ISBLANK($C365),"",IF(X365=Constants!$B$3,TRUE(),IF(X365=Constants!$B$4,FALSE(),FALSE())))</f>
        <v/>
      </c>
      <c r="AZ365" s="93" t="str">
        <f aca="false">IF(ISBLANK($C365),"",MIN(Constants!$B$31,MAX(0,IF(ISNUMBER(Y365),Y365*60,0)+IF(ISNUMBER(Z365),Z365,0))))</f>
        <v/>
      </c>
      <c r="BA365" s="93" t="str">
        <f aca="false">IF(ISBLANK($C365),"",IF(AA365=Constants!$B$3,TRUE(),IF(AA365=Constants!$B$4,FALSE(),FALSE())))</f>
        <v/>
      </c>
      <c r="BB365" s="92" t="str">
        <f aca="false">IF(ISBLANK($C365),"",AND($AL365,OR($AM365="",$AN365="",AND($AO365,$AP365=""))))</f>
        <v/>
      </c>
      <c r="BC365" s="94" t="str">
        <f aca="false">IF($BZ365&lt;&gt;Constants!$B$8,"",IF($AL365,Constants!$B$21*$AN365+Constants!$B$22*IF($AO365,$AP365,Constants!$B$23),Constants!$B$24))</f>
        <v/>
      </c>
      <c r="BD365" s="97" t="str">
        <f aca="false">IF($BZ365&lt;&gt;Constants!$B$8,"",Constants!$B$25*ABS($AD$9-IF($AL365,$AM365,0)))</f>
        <v/>
      </c>
      <c r="BE365" s="97" t="str">
        <f aca="false">IF($BZ365&lt;&gt;Constants!$B$8,"",IF(AND($AL365,$AQ365,$AO365),Constants!$B$27,0))</f>
        <v/>
      </c>
      <c r="BF365" s="97" t="str">
        <f aca="false">IF($BZ365&lt;&gt;Constants!$B$8,"",IF($AL365,($AI365-Constants!$B$29)*Constants!$B$28,0))</f>
        <v/>
      </c>
      <c r="BG365" s="97" t="str">
        <f aca="false">IF($BZ365&lt;&gt;Constants!$B$8,"",IF($AK365,0,Constants!$B$15)+IF($AJ365,0,Constants!$B$16)+IF($AH365,0,Constants!$B$17))</f>
        <v/>
      </c>
      <c r="BH365" s="98" t="str">
        <f aca="false">IF($BZ365&lt;&gt;Constants!$B$8,"",Constants!$B$20+SUM($BC365:$BG365))</f>
        <v/>
      </c>
      <c r="BI365" s="97" t="str">
        <f aca="false">IF($BZ365&lt;&gt;Constants!$B$8,"",$BC365)</f>
        <v/>
      </c>
      <c r="BJ365" s="97" t="str">
        <f aca="false">IF($BZ365&lt;&gt;Constants!$B$8,"",$BD365)</f>
        <v/>
      </c>
      <c r="BK365" s="97" t="str">
        <f aca="false">IF($BZ365&lt;&gt;Constants!$B$8,"",IF($AL365,$AN365,""))</f>
        <v/>
      </c>
      <c r="BL365" s="99" t="str">
        <f aca="false">IF($BZ365&lt;&gt;Constants!$B$8,"",$AI365)</f>
        <v/>
      </c>
      <c r="BM365" s="93" t="str">
        <f aca="false">IF($BZ365&lt;&gt;Constants!$B$8,"",IF(OR($BT365&lt;$BH365,AND($BT365=$BH365,OR($BU365&lt;$BI365,AND($BU365=$BI365,OR($BV365&lt;$BJ365,AND($BV365=$BJ365,OR(AND(ISNUMBER($BW365),OR(NOT(ISNUMBER($BK365)),$BW365&lt;$BK365)),AND(OR(AND($BW365="",$BK365=""),AND(ISNUMBER($BW365),ISNUMBER($BK365),$BW365=$BK365)),$BX365&lt;$BL365)))))))),"-&gt;","&lt;-"))</f>
        <v/>
      </c>
      <c r="BN365" s="92" t="str">
        <f aca="false">IF(ISBLANK($C365),"",AND($AT365,OR($AU365="",$AV365="",AND($AW365,$AX365=""))))</f>
        <v/>
      </c>
      <c r="BO365" s="94" t="str">
        <f aca="false">IF($BZ365&lt;&gt;Constants!$B$8,"",IF($AT365,Constants!$B$21*$AV365+Constants!$B$22*IF($AW365,$AX365,Constants!$B$23),Constants!$B$24))</f>
        <v/>
      </c>
      <c r="BP365" s="97" t="str">
        <f aca="false">IF($BZ365&lt;&gt;Constants!$B$8,"",Constants!$B$25*ABS($AD$9-IF($AT365,$AU365,0)))</f>
        <v/>
      </c>
      <c r="BQ365" s="97" t="str">
        <f aca="false">IF($BZ365&lt;&gt;Constants!$B$8,"",IF(AND($AT365,$AY365,$AW365),Constants!$B$27,0))</f>
        <v/>
      </c>
      <c r="BR365" s="97" t="str">
        <f aca="false">IF($BZ365&lt;&gt;Constants!$B$8,"",IF($AT365,($AI365-Constants!$B$29)*Constants!$B$28,0))</f>
        <v/>
      </c>
      <c r="BS365" s="97" t="str">
        <f aca="false">IF($BZ365&lt;&gt;Constants!$B$8,"",IF($AS365,0,Constants!$B$15)+IF($AR365,0,Constants!$B$16)+IF($AH365,0,Constants!$B$17))</f>
        <v/>
      </c>
      <c r="BT365" s="98" t="str">
        <f aca="false">IF($BZ365&lt;&gt;Constants!$B$8,"",Constants!$B$20+SUM($BO365:$BS365))</f>
        <v/>
      </c>
      <c r="BU365" s="97" t="str">
        <f aca="false">IF($BZ365&lt;&gt;Constants!$B$8,"",$BO365)</f>
        <v/>
      </c>
      <c r="BV365" s="97" t="str">
        <f aca="false">IF($BZ365&lt;&gt;Constants!$B$8,"",$BP365)</f>
        <v/>
      </c>
      <c r="BW365" s="97" t="str">
        <f aca="false">IF($BZ365&lt;&gt;Constants!$B$8,"",IF($AT365,$AV365,""))</f>
        <v/>
      </c>
      <c r="BX365" s="99" t="str">
        <f aca="false">IF($BZ365&lt;&gt;Constants!$B$8,"",$AI365)</f>
        <v/>
      </c>
      <c r="BY365" s="93" t="str">
        <f aca="false">IF(ISBLANK($C365),"",IF(ISBLANK($D$7),$BY$5,IF(NOT(ISNUMBER($D$7)),$BY$6,"")))</f>
        <v/>
      </c>
      <c r="BZ365" s="93" t="str">
        <f aca="false">IF(ISBLANK($C365),"",IF($BA365,Constants!$B$11,IF(COUNTA($E365:$AA365)=0,Constants!$B$10,IF(NOT($AG365),Constants!$B$9,IF(OR($BY365&lt;&gt;"",$BB365,$BN365),Constants!$B$12,Constants!$B$8)))))</f>
        <v/>
      </c>
      <c r="CA365" s="93" t="str">
        <f aca="false">IF(ISBLANK($C365),"",IF($BZ365&lt;&gt;Constants!$B$8,$BZ365,Constants!$B$13))</f>
        <v/>
      </c>
      <c r="CB365" s="97" t="str">
        <f aca="false">IF($BZ365&lt;&gt;Constants!$B$8,"",IF($BM365="-&gt;",$BT365,$BH365))</f>
        <v/>
      </c>
      <c r="CC365" s="97" t="str">
        <f aca="false">IF($BZ365&lt;&gt;Constants!$B$8,"",IF($AF365,0,Constants!$B$18))</f>
        <v/>
      </c>
      <c r="CD365" s="97" t="str">
        <f aca="false">IF($BZ365&lt;&gt;Constants!$B$8,"",((Constants!$B$31-$AZ365)-Constants!$B$31)/Constants!$B$32)</f>
        <v/>
      </c>
      <c r="CE365" s="97" t="str">
        <f aca="false">IF(ISBLANK($C365),"",IF($BZ365&lt;&gt;Constants!$B$8,$BZ365,SUM($CB365:$CD365)))</f>
        <v/>
      </c>
      <c r="CF365" s="93" t="str">
        <f aca="false">IF(ISBLANK($C365),"",IF($BZ365&lt;&gt;Constants!$B$8,$BZ365,RANK($CE365,$CE$9:$CE$508,1)))</f>
        <v/>
      </c>
      <c r="CG365" s="97" t="str">
        <f aca="false">IF($BZ365&lt;&gt;Constants!$B$8,"",IF($BM365="-&gt;",$BU365,$BI365))</f>
        <v/>
      </c>
      <c r="CH365" s="93" t="str">
        <f aca="false">IF(ISBLANK($C365),"",IF($BZ365&lt;&gt;Constants!$B$8,$BZ365,IF(ISNUMBER($CG365),RANK($CG365,$CG$9:$CG$508,1),COUNT($CG$9:$CG$508)+1)))</f>
        <v/>
      </c>
      <c r="CI365" s="97" t="str">
        <f aca="false">IF($BZ365&lt;&gt;Constants!$B$8,"",IF($BM365="-&gt;",$BV365,$BJ365))</f>
        <v/>
      </c>
      <c r="CJ365" s="93" t="str">
        <f aca="false">IF(ISBLANK($C365),"",IF($BZ365&lt;&gt;Constants!$B$8,$BZ365,IF(ISNUMBER($CI365),RANK($CI365,$CI$9:$CI$508,1),COUNT($CI$9:$CI$508)+1)))</f>
        <v/>
      </c>
      <c r="CK365" s="97" t="str">
        <f aca="false">IF($BZ365&lt;&gt;Constants!$B$8,"",IF($BM365="-&gt;",$BW365,$BK365))</f>
        <v/>
      </c>
      <c r="CL365" s="93" t="str">
        <f aca="false">IF(ISBLANK($C365),"",IF($BZ365&lt;&gt;Constants!$B$8,$BZ365,IF(ISNUMBER($CK365),RANK($CK365,$CK$9:$CK$508,1),COUNT($CK$9:$CK$508)+1)))</f>
        <v/>
      </c>
      <c r="CM365" s="97" t="str">
        <f aca="false">IF($BZ365&lt;&gt;Constants!$B$8,"",IF(AND(NOT($AL365),NOT($AT365),$AJ365,$AK365,$AR365,$AS365),"",IF($BM365="-&gt;",$BX365,$BL365)))</f>
        <v/>
      </c>
      <c r="CN365" s="93" t="str">
        <f aca="false">IF(ISBLANK($C365),"",IF($BZ365&lt;&gt;Constants!$B$8,$BZ365,IF(ISNUMBER($CM365),RANK($CM365,$CM$9:$CM$508,1),COUNT($CM$9:$CM$508)+1)))</f>
        <v/>
      </c>
      <c r="CO365" s="93" t="str">
        <f aca="false">IF(ISBLANK($C365),"",IF($BZ365&lt;&gt;Constants!$B$8,$BZ365,COUNTIFS($CF$9:$CF$508,"&lt;"&amp;$CF365)+COUNTIFS($CF$9:$CF$508,$CF365,$CH$9:$CH$508,"&lt;"&amp;$CH365)+COUNTIFS($CF$9:$CF$508,$CF365,$CH$9:$CH$508,$CH365,$CJ$9:$CJ$508,"&lt;"&amp;$CJ365)+COUNTIFS($CF$9:$CF$508,$CF365,$CH$9:$CH$508,$CH365,$CJ$9:$CJ$508,$CJ365,$CL$9:$CL$508,"&lt;"&amp;$CL365)+COUNTIFS($CF$9:$CF$508,$CF365,$CH$9:$CH$508,$CH365,$CJ$9:$CJ$508,$CJ365,$CL$9:$CL$508,$CL365,$CN$9:$CN$508,"&lt;"&amp;$CN365)+1))</f>
        <v/>
      </c>
      <c r="CP365" s="93" t="str">
        <f aca="false">IF(ISBLANK($C365),"",IF($BZ365&lt;&gt;Constants!$B$8,$BZ365,$CF365-$CO365))</f>
        <v/>
      </c>
      <c r="CQ365" s="100"/>
      <c r="CR365" s="101"/>
      <c r="CS365" s="102" t="str">
        <f aca="false">IF(ISBLANK($C365),"",IF($BZ365=Constants!$B$12,$BY365,""))</f>
        <v/>
      </c>
      <c r="CT365" s="101" t="str">
        <f aca="false">IF(ISBLANK($C365),"",IF($BZ365&lt;&gt;Constants!$B$8,"",IF($BM365="-&gt;",2,1)))</f>
        <v/>
      </c>
      <c r="CU365" s="103" t="str">
        <f aca="false">IF(ISBLANK($C365),"",IF($BZ365&lt;&gt;Constants!$B$8,"",IF($BM365="-&gt;",$BO365,$BC365)))</f>
        <v/>
      </c>
      <c r="CV365" s="103" t="str">
        <f aca="false">IF(ISBLANK($C365),"",IF($BZ365&lt;&gt;Constants!$B$8,"",IF($BM365="-&gt;",$BP365,$BD365)))</f>
        <v/>
      </c>
      <c r="CW365" s="103" t="str">
        <f aca="false">IF(ISBLANK($C365),"",IF($BZ365&lt;&gt;Constants!$B$8,"",IF($BM365="-&gt;",$BQ365+$BR365,$BE365+$BF365)+$CD365))</f>
        <v/>
      </c>
      <c r="CX365" s="103" t="str">
        <f aca="false">IF(ISBLANK($C365),"",IF($BZ365&lt;&gt;Constants!$B$8,"",IF($BM365="-&gt;",$BS365,$BG365)+$CC365))</f>
        <v/>
      </c>
      <c r="CY365" s="104" t="str">
        <f aca="false">IF(ISBLANK($C365),"",IF($BZ365&lt;&gt;Constants!$B$8,$BZ365,$CE365))</f>
        <v/>
      </c>
      <c r="CZ365" s="105" t="str">
        <f aca="false">IF(ISBLANK($C365),"",$CA365)</f>
        <v/>
      </c>
      <c r="DA365" s="106" t="str">
        <f aca="false">IF(ISBLANK($C365),"",$CP365)</f>
        <v/>
      </c>
      <c r="DB365" s="106" t="str">
        <f aca="false">IF(ISBLANK($C365),"",$CO365)</f>
        <v/>
      </c>
      <c r="DC365" s="107" t="str">
        <f aca="false">IF(ISBLANK($C365),"",IFERROR(_xlfn.SWITCH($DB365,Constants!$B$11,COUNTA($C$9:$C$508)+2,Constants!$B$10,COUNTA($C$9:$C$508)+1,Constants!$B$9,COUNTA($C$9:$C$508)),$DB365))</f>
        <v/>
      </c>
      <c r="DD365" s="9"/>
      <c r="DE365" s="108" t="n">
        <f aca="false">IF(OR(ISNUMBER($DB365),$DB365=Constants!$B$11,$DB365=Constants!$B$9,$DB365=Constants!$B$10),1,0)</f>
        <v>0</v>
      </c>
      <c r="DF365" s="108" t="n">
        <v>357</v>
      </c>
      <c r="DG365" s="108" t="str">
        <f aca="false">IF(ISBLANK($C365),"",IF(ISNUMBER($DC365),$DC365+ROW($B365)/1000,""))</f>
        <v/>
      </c>
      <c r="DH365" s="108" t="str">
        <f aca="false">IF(ISNUMBER($DG365),RANK($DG365,$DG$9:$DG$508,1),"")</f>
        <v/>
      </c>
      <c r="DI365" s="108" t="str">
        <f aca="false">IF(ISBLANK($C365),"",$B365)</f>
        <v/>
      </c>
      <c r="DJ365" s="108" t="str">
        <f aca="false">IF(ISBLANK($C365),"",$C365)</f>
        <v/>
      </c>
      <c r="DK365" s="108" t="str">
        <f aca="false">IF(ISBLANK($C365),"",$D365)</f>
        <v/>
      </c>
      <c r="DL365" s="109" t="str">
        <f aca="false">$CZ365</f>
        <v/>
      </c>
      <c r="DM365" s="110" t="str">
        <f aca="false">$CY365</f>
        <v/>
      </c>
      <c r="DN365" s="108" t="str">
        <f aca="false">IF(ISBLANK($C365),"",$DB365)</f>
        <v/>
      </c>
      <c r="DO365" s="111" t="str">
        <f aca="false">IF($DF365&gt;$DE$8,"",VLOOKUP($DF365,$DH$9:$DN$508,7,FALSE()))</f>
        <v/>
      </c>
      <c r="DP365" s="112" t="str">
        <f aca="false">IF($DF365&gt;$DE$8,"",VLOOKUP($DF365,$DH$9:$DN$508,2,FALSE()))</f>
        <v/>
      </c>
      <c r="DQ365" s="112" t="str">
        <f aca="false">IF($DF365&gt;$DE$8,"",VLOOKUP($DF365,$DH$9:$DN$508,3,FALSE()))</f>
        <v/>
      </c>
      <c r="DR365" s="112" t="str">
        <f aca="false">IF($DF365&gt;$DE$8,"",VLOOKUP($DF365,$DH$9:$DN$508,4,FALSE()))</f>
        <v/>
      </c>
      <c r="DS365" s="112" t="str">
        <f aca="false">IF($DF365&gt;$DE$8,"",VLOOKUP($DF365,$DH$9:$DN$508,5,FALSE()))</f>
        <v/>
      </c>
      <c r="DT365" s="113" t="str">
        <f aca="false">IF($DF365&gt;$DE$8,"",VLOOKUP($DF365,$DH$9:$DN$508,6,FALSE()))</f>
        <v/>
      </c>
      <c r="DU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IF(ISBLANK($C366),"",IF(E366=Constants!$B$3,TRUE(),IF(E366=Constants!$B$4,FALSE(),TRUE())))</f>
        <v/>
      </c>
      <c r="AG366" s="135" t="str">
        <f aca="false">IF(ISBLANK($C366),"",IF(F366=Constants!$B$3,TRUE(),IF(F366=Constants!$B$4,FALSE(),TRUE())))</f>
        <v/>
      </c>
      <c r="AH366" s="135" t="str">
        <f aca="false">IF(ISBLANK($C366),"",IF(G366=Constants!$B$3,TRUE(),IF(G366=Constants!$B$4,FALSE(),TRUE())))</f>
        <v/>
      </c>
      <c r="AI366" s="135" t="str">
        <f aca="false">IF(ISBLANK($C366),"",IF(AND(ISNUMBER(H366),H366&gt;=0),H366,Constants!$B$29))</f>
        <v/>
      </c>
      <c r="AJ366" s="135" t="str">
        <f aca="false">IF(ISBLANK($C366),"",IF(I366=Constants!$B$3,TRUE(),IF(I366=Constants!$B$4,FALSE(),TRUE())))</f>
        <v/>
      </c>
      <c r="AK366" s="135" t="str">
        <f aca="false">IF(ISBLANK($C366),"",IF(J366=Constants!$B$3,TRUE(),IF(J366=Constants!$B$4,FALSE(),TRUE())))</f>
        <v/>
      </c>
      <c r="AL366" s="135" t="str">
        <f aca="false">IF(ISBLANK($C366),"",IF(K366=Constants!$B$5,TRUE(),IF(K366=Constants!$B$6,FALSE(),COUNTA(L366:P366)&gt;0)))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IF(ISBLANK($C366),"",IF(N366=Constants!$B$3,TRUE(),IF(N366=Constants!$B$4,FALSE(),TRUE())))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IF(ISBLANK($C366),"",IF(P366=Constants!$B$3,TRUE(),IF(P366=Constants!$B$4,FALSE(),FALSE())))</f>
        <v/>
      </c>
      <c r="AR366" s="135" t="str">
        <f aca="false">IF(ISBLANK($C366),"",IF(Q366=Constants!$B$3,TRUE(),IF(Q366=Constants!$B$4,FALSE(),TRUE())))</f>
        <v/>
      </c>
      <c r="AS366" s="135" t="str">
        <f aca="false">IF(ISBLANK($C366),"",IF(R366=Constants!$B$3,TRUE(),IF(R366=Constants!$B$4,FALSE(),TRUE())))</f>
        <v/>
      </c>
      <c r="AT366" s="135" t="str">
        <f aca="false">IF(ISBLANK($C366),"",IF(S366=Constants!$B$5,TRUE(),IF(S366=Constants!$B$6,FALSE(),COUNTA(T366:X366)&gt;0)))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IF(ISBLANK($C366),"",IF(V366=Constants!$B$3,TRUE(),IF(V366=Constants!$B$4,FALSE(),TRUE())))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IF(ISBLANK($C366),"",IF(X366=Constants!$B$3,TRUE(),IF(X366=Constants!$B$4,FALSE(),FALSE())))</f>
        <v/>
      </c>
      <c r="AZ366" s="135" t="str">
        <f aca="false">IF(ISBLANK($C366),"",MIN(Constants!$B$31,MAX(0,IF(ISNUMBER(Y366),Y366*60,0)+IF(ISNUMBER(Z366),Z366,0))))</f>
        <v/>
      </c>
      <c r="BA366" s="135" t="str">
        <f aca="false">IF(ISBLANK($C366),"",IF(AA366=Constants!$B$3,TRUE(),IF(AA366=Constants!$B$4,FALSE(),FALSE())))</f>
        <v/>
      </c>
      <c r="BB366" s="134" t="str">
        <f aca="false">IF(ISBLANK($C366),"",AND($AL366,OR($AM366="",$AN366="",AND($AO366,$AP366=""))))</f>
        <v/>
      </c>
      <c r="BC366" s="137" t="str">
        <f aca="false">IF($BZ366&lt;&gt;Constants!$B$8,"",IF($AL366,Constants!$B$21*$AN366+Constants!$B$22*IF($AO366,$AP366,Constants!$B$23),Constants!$B$24))</f>
        <v/>
      </c>
      <c r="BD366" s="138" t="str">
        <f aca="false">IF($BZ366&lt;&gt;Constants!$B$8,"",Constants!$B$25*ABS($AD$9-IF($AL366,$AM366,0)))</f>
        <v/>
      </c>
      <c r="BE366" s="138" t="str">
        <f aca="false">IF($BZ366&lt;&gt;Constants!$B$8,"",IF(AND($AL366,$AQ366,$AO366),Constants!$B$27,0))</f>
        <v/>
      </c>
      <c r="BF366" s="138" t="str">
        <f aca="false">IF($BZ366&lt;&gt;Constants!$B$8,"",IF($AL366,($AI366-Constants!$B$29)*Constants!$B$28,0))</f>
        <v/>
      </c>
      <c r="BG366" s="138" t="str">
        <f aca="false">IF($BZ366&lt;&gt;Constants!$B$8,"",IF($AK366,0,Constants!$B$15)+IF($AJ366,0,Constants!$B$16)+IF($AH366,0,Constants!$B$17))</f>
        <v/>
      </c>
      <c r="BH366" s="139" t="str">
        <f aca="false">IF($BZ366&lt;&gt;Constants!$B$8,"",Constants!$B$20+SUM($BC366:$BG366))</f>
        <v/>
      </c>
      <c r="BI366" s="138" t="str">
        <f aca="false">IF($BZ366&lt;&gt;Constants!$B$8,"",$BC366)</f>
        <v/>
      </c>
      <c r="BJ366" s="138" t="str">
        <f aca="false">IF($BZ366&lt;&gt;Constants!$B$8,"",$BD366)</f>
        <v/>
      </c>
      <c r="BK366" s="138" t="str">
        <f aca="false">IF($BZ366&lt;&gt;Constants!$B$8,"",IF($AL366,$AN366,""))</f>
        <v/>
      </c>
      <c r="BL366" s="140" t="str">
        <f aca="false">IF($BZ366&lt;&gt;Constants!$B$8,"",$AI366)</f>
        <v/>
      </c>
      <c r="BM366" s="135" t="str">
        <f aca="false">IF($BZ366&lt;&gt;Constants!$B$8,"",IF(OR($BT366&lt;$BH366,AND($BT366=$BH366,OR($BU366&lt;$BI366,AND($BU366=$BI366,OR($BV366&lt;$BJ366,AND($BV366=$BJ366,OR(AND(ISNUMBER($BW366),OR(NOT(ISNUMBER($BK366)),$BW366&lt;$BK366)),AND(OR(AND($BW366="",$BK366=""),AND(ISNUMBER($BW366),ISNUMBER($BK366),$BW366=$BK366)),$BX366&lt;$BL366)))))))),"-&gt;","&lt;-"))</f>
        <v/>
      </c>
      <c r="BN366" s="134" t="str">
        <f aca="false">IF(ISBLANK($C366),"",AND($AT366,OR($AU366="",$AV366="",AND($AW366,$AX366=""))))</f>
        <v/>
      </c>
      <c r="BO366" s="137" t="str">
        <f aca="false">IF($BZ366&lt;&gt;Constants!$B$8,"",IF($AT366,Constants!$B$21*$AV366+Constants!$B$22*IF($AW366,$AX366,Constants!$B$23),Constants!$B$24))</f>
        <v/>
      </c>
      <c r="BP366" s="138" t="str">
        <f aca="false">IF($BZ366&lt;&gt;Constants!$B$8,"",Constants!$B$25*ABS($AD$9-IF($AT366,$AU366,0)))</f>
        <v/>
      </c>
      <c r="BQ366" s="138" t="str">
        <f aca="false">IF($BZ366&lt;&gt;Constants!$B$8,"",IF(AND($AT366,$AY366,$AW366),Constants!$B$27,0))</f>
        <v/>
      </c>
      <c r="BR366" s="138" t="str">
        <f aca="false">IF($BZ366&lt;&gt;Constants!$B$8,"",IF($AT366,($AI366-Constants!$B$29)*Constants!$B$28,0))</f>
        <v/>
      </c>
      <c r="BS366" s="138" t="str">
        <f aca="false">IF($BZ366&lt;&gt;Constants!$B$8,"",IF($AS366,0,Constants!$B$15)+IF($AR366,0,Constants!$B$16)+IF($AH366,0,Constants!$B$17))</f>
        <v/>
      </c>
      <c r="BT366" s="139" t="str">
        <f aca="false">IF($BZ366&lt;&gt;Constants!$B$8,"",Constants!$B$20+SUM($BO366:$BS366))</f>
        <v/>
      </c>
      <c r="BU366" s="138" t="str">
        <f aca="false">IF($BZ366&lt;&gt;Constants!$B$8,"",$BO366)</f>
        <v/>
      </c>
      <c r="BV366" s="138" t="str">
        <f aca="false">IF($BZ366&lt;&gt;Constants!$B$8,"",$BP366)</f>
        <v/>
      </c>
      <c r="BW366" s="138" t="str">
        <f aca="false">IF($BZ366&lt;&gt;Constants!$B$8,"",IF($AT366,$AV366,""))</f>
        <v/>
      </c>
      <c r="BX366" s="140" t="str">
        <f aca="false">IF($BZ366&lt;&gt;Constants!$B$8,"",$AI366)</f>
        <v/>
      </c>
      <c r="BY366" s="135" t="str">
        <f aca="false">IF(ISBLANK($C366),"",IF(ISBLANK($D$7),$BY$5,IF(NOT(ISNUMBER($D$7)),$BY$6,"")))</f>
        <v/>
      </c>
      <c r="BZ366" s="135" t="str">
        <f aca="false">IF(ISBLANK($C366),"",IF($BA366,Constants!$B$11,IF(COUNTA($E366:$AA366)=0,Constants!$B$10,IF(NOT($AG366),Constants!$B$9,IF(OR($BY366&lt;&gt;"",$BB366,$BN366),Constants!$B$12,Constants!$B$8)))))</f>
        <v/>
      </c>
      <c r="CA366" s="135" t="str">
        <f aca="false">IF(ISBLANK($C366),"",IF($BZ366&lt;&gt;Constants!$B$8,$BZ366,Constants!$B$13))</f>
        <v/>
      </c>
      <c r="CB366" s="138" t="str">
        <f aca="false">IF($BZ366&lt;&gt;Constants!$B$8,"",IF($BM366="-&gt;",$BT366,$BH366))</f>
        <v/>
      </c>
      <c r="CC366" s="138" t="str">
        <f aca="false">IF($BZ366&lt;&gt;Constants!$B$8,"",IF($AF366,0,Constants!$B$18))</f>
        <v/>
      </c>
      <c r="CD366" s="138" t="str">
        <f aca="false">IF($BZ366&lt;&gt;Constants!$B$8,"",((Constants!$B$31-$AZ366)-Constants!$B$31)/Constants!$B$32)</f>
        <v/>
      </c>
      <c r="CE366" s="138" t="str">
        <f aca="false">IF(ISBLANK($C366),"",IF($BZ366&lt;&gt;Constants!$B$8,$BZ366,SUM($CB366:$CD366)))</f>
        <v/>
      </c>
      <c r="CF366" s="135" t="str">
        <f aca="false">IF(ISBLANK($C366),"",IF($BZ366&lt;&gt;Constants!$B$8,$BZ366,RANK($CE366,$CE$9:$CE$508,1)))</f>
        <v/>
      </c>
      <c r="CG366" s="138" t="str">
        <f aca="false">IF($BZ366&lt;&gt;Constants!$B$8,"",IF($BM366="-&gt;",$BU366,$BI366))</f>
        <v/>
      </c>
      <c r="CH366" s="135" t="str">
        <f aca="false">IF(ISBLANK($C366),"",IF($BZ366&lt;&gt;Constants!$B$8,$BZ366,IF(ISNUMBER($CG366),RANK($CG366,$CG$9:$CG$508,1),COUNT($CG$9:$CG$508)+1)))</f>
        <v/>
      </c>
      <c r="CI366" s="138" t="str">
        <f aca="false">IF($BZ366&lt;&gt;Constants!$B$8,"",IF($BM366="-&gt;",$BV366,$BJ366))</f>
        <v/>
      </c>
      <c r="CJ366" s="135" t="str">
        <f aca="false">IF(ISBLANK($C366),"",IF($BZ366&lt;&gt;Constants!$B$8,$BZ366,IF(ISNUMBER($CI366),RANK($CI366,$CI$9:$CI$508,1),COUNT($CI$9:$CI$508)+1)))</f>
        <v/>
      </c>
      <c r="CK366" s="138" t="str">
        <f aca="false">IF($BZ366&lt;&gt;Constants!$B$8,"",IF($BM366="-&gt;",$BW366,$BK366))</f>
        <v/>
      </c>
      <c r="CL366" s="135" t="str">
        <f aca="false">IF(ISBLANK($C366),"",IF($BZ366&lt;&gt;Constants!$B$8,$BZ366,IF(ISNUMBER($CK366),RANK($CK366,$CK$9:$CK$508,1),COUNT($CK$9:$CK$508)+1)))</f>
        <v/>
      </c>
      <c r="CM366" s="138" t="str">
        <f aca="false">IF($BZ366&lt;&gt;Constants!$B$8,"",IF(AND(NOT($AL366),NOT($AT366),$AJ366,$AK366,$AR366,$AS366),"",IF($BM366="-&gt;",$BX366,$BL366)))</f>
        <v/>
      </c>
      <c r="CN366" s="135" t="str">
        <f aca="false">IF(ISBLANK($C366),"",IF($BZ366&lt;&gt;Constants!$B$8,$BZ366,IF(ISNUMBER($CM366),RANK($CM366,$CM$9:$CM$508,1),COUNT($CM$9:$CM$508)+1)))</f>
        <v/>
      </c>
      <c r="CO366" s="135" t="str">
        <f aca="false">IF(ISBLANK($C366),"",IF($BZ366&lt;&gt;Constants!$B$8,$BZ366,COUNTIFS($CF$9:$CF$508,"&lt;"&amp;$CF366)+COUNTIFS($CF$9:$CF$508,$CF366,$CH$9:$CH$508,"&lt;"&amp;$CH366)+COUNTIFS($CF$9:$CF$508,$CF366,$CH$9:$CH$508,$CH366,$CJ$9:$CJ$508,"&lt;"&amp;$CJ366)+COUNTIFS($CF$9:$CF$508,$CF366,$CH$9:$CH$508,$CH366,$CJ$9:$CJ$508,$CJ366,$CL$9:$CL$508,"&lt;"&amp;$CL366)+COUNTIFS($CF$9:$CF$508,$CF366,$CH$9:$CH$508,$CH366,$CJ$9:$CJ$508,$CJ366,$CL$9:$CL$508,$CL366,$CN$9:$CN$508,"&lt;"&amp;$CN366)+1))</f>
        <v/>
      </c>
      <c r="CP366" s="135" t="str">
        <f aca="false">IF(ISBLANK($C366),"",IF($BZ366&lt;&gt;Constants!$B$8,$BZ366,$CF366-$CO366))</f>
        <v/>
      </c>
      <c r="CQ366" s="141"/>
      <c r="CR366" s="142"/>
      <c r="CS366" s="143" t="str">
        <f aca="false">IF(ISBLANK($C366),"",IF($BZ366=Constants!$B$12,$BY366,""))</f>
        <v/>
      </c>
      <c r="CT366" s="142" t="str">
        <f aca="false">IF(ISBLANK($C366),"",IF($BZ366&lt;&gt;Constants!$B$8,"",IF($BM366="-&gt;",2,1)))</f>
        <v/>
      </c>
      <c r="CU366" s="144" t="str">
        <f aca="false">IF(ISBLANK($C366),"",IF($BZ366&lt;&gt;Constants!$B$8,"",IF($BM366="-&gt;",$BO366,$BC366)))</f>
        <v/>
      </c>
      <c r="CV366" s="144" t="str">
        <f aca="false">IF(ISBLANK($C366),"",IF($BZ366&lt;&gt;Constants!$B$8,"",IF($BM366="-&gt;",$BP366,$BD366)))</f>
        <v/>
      </c>
      <c r="CW366" s="144" t="str">
        <f aca="false">IF(ISBLANK($C366),"",IF($BZ366&lt;&gt;Constants!$B$8,"",IF($BM366="-&gt;",$BQ366+$BR366,$BE366+$BF366)+$CD366))</f>
        <v/>
      </c>
      <c r="CX366" s="144" t="str">
        <f aca="false">IF(ISBLANK($C366),"",IF($BZ366&lt;&gt;Constants!$B$8,"",IF($BM366="-&gt;",$BS366,$BG366)+$CC366))</f>
        <v/>
      </c>
      <c r="CY366" s="145" t="str">
        <f aca="false">IF(ISBLANK($C366),"",IF($BZ366&lt;&gt;Constants!$B$8,$BZ366,$CE366))</f>
        <v/>
      </c>
      <c r="CZ366" s="146" t="str">
        <f aca="false">IF(ISBLANK($C366),"",$CA366)</f>
        <v/>
      </c>
      <c r="DA366" s="147" t="str">
        <f aca="false">IF(ISBLANK($C366),"",$CP366)</f>
        <v/>
      </c>
      <c r="DB366" s="147" t="str">
        <f aca="false">IF(ISBLANK($C366),"",$CO366)</f>
        <v/>
      </c>
      <c r="DC366" s="148" t="str">
        <f aca="false">IF(ISBLANK($C366),"",IFERROR(_xlfn.SWITCH($DB366,Constants!$B$11,COUNTA($C$9:$C$508)+2,Constants!$B$10,COUNTA($C$9:$C$508)+1,Constants!$B$9,COUNTA($C$9:$C$508)),$DB366))</f>
        <v/>
      </c>
      <c r="DD366" s="9"/>
      <c r="DE366" s="149" t="n">
        <f aca="false">IF(OR(ISNUMBER($DB366),$DB366=Constants!$B$11,$DB366=Constants!$B$9,$DB366=Constants!$B$10),1,0)</f>
        <v>0</v>
      </c>
      <c r="DF366" s="149" t="n">
        <v>358</v>
      </c>
      <c r="DG366" s="149" t="str">
        <f aca="false">IF(ISBLANK($C366),"",IF(ISNUMBER($DC366),$DC366+ROW($B366)/1000,""))</f>
        <v/>
      </c>
      <c r="DH366" s="149" t="str">
        <f aca="false">IF(ISNUMBER($DG366),RANK($DG366,$DG$9:$DG$508,1),"")</f>
        <v/>
      </c>
      <c r="DI366" s="149" t="str">
        <f aca="false">IF(ISBLANK($C366),"",$B366)</f>
        <v/>
      </c>
      <c r="DJ366" s="149" t="str">
        <f aca="false">IF(ISBLANK($C366),"",$C366)</f>
        <v/>
      </c>
      <c r="DK366" s="149" t="str">
        <f aca="false">IF(ISBLANK($C366),"",$D366)</f>
        <v/>
      </c>
      <c r="DL366" s="150" t="str">
        <f aca="false">$CZ366</f>
        <v/>
      </c>
      <c r="DM366" s="151" t="str">
        <f aca="false">$CY366</f>
        <v/>
      </c>
      <c r="DN366" s="149" t="str">
        <f aca="false">IF(ISBLANK($C366),"",$DB366)</f>
        <v/>
      </c>
      <c r="DO366" s="152" t="str">
        <f aca="false">IF($DF366&gt;$DE$8,"",VLOOKUP($DF366,$DH$9:$DN$508,7,FALSE()))</f>
        <v/>
      </c>
      <c r="DP366" s="153" t="str">
        <f aca="false">IF($DF366&gt;$DE$8,"",VLOOKUP($DF366,$DH$9:$DN$508,2,FALSE()))</f>
        <v/>
      </c>
      <c r="DQ366" s="153" t="str">
        <f aca="false">IF($DF366&gt;$DE$8,"",VLOOKUP($DF366,$DH$9:$DN$508,3,FALSE()))</f>
        <v/>
      </c>
      <c r="DR366" s="153" t="str">
        <f aca="false">IF($DF366&gt;$DE$8,"",VLOOKUP($DF366,$DH$9:$DN$508,4,FALSE()))</f>
        <v/>
      </c>
      <c r="DS366" s="153" t="str">
        <f aca="false">IF($DF366&gt;$DE$8,"",VLOOKUP($DF366,$DH$9:$DN$508,5,FALSE()))</f>
        <v/>
      </c>
      <c r="DT366" s="154" t="str">
        <f aca="false">IF($DF366&gt;$DE$8,"",VLOOKUP($DF366,$DH$9:$DN$508,6,FALSE()))</f>
        <v/>
      </c>
      <c r="DU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IF(ISBLANK($C367),"",IF(E367=Constants!$B$3,TRUE(),IF(E367=Constants!$B$4,FALSE(),TRUE())))</f>
        <v/>
      </c>
      <c r="AG367" s="135" t="str">
        <f aca="false">IF(ISBLANK($C367),"",IF(F367=Constants!$B$3,TRUE(),IF(F367=Constants!$B$4,FALSE(),TRUE())))</f>
        <v/>
      </c>
      <c r="AH367" s="135" t="str">
        <f aca="false">IF(ISBLANK($C367),"",IF(G367=Constants!$B$3,TRUE(),IF(G367=Constants!$B$4,FALSE(),TRUE())))</f>
        <v/>
      </c>
      <c r="AI367" s="135" t="str">
        <f aca="false">IF(ISBLANK($C367),"",IF(AND(ISNUMBER(H367),H367&gt;=0),H367,Constants!$B$29))</f>
        <v/>
      </c>
      <c r="AJ367" s="135" t="str">
        <f aca="false">IF(ISBLANK($C367),"",IF(I367=Constants!$B$3,TRUE(),IF(I367=Constants!$B$4,FALSE(),TRUE())))</f>
        <v/>
      </c>
      <c r="AK367" s="135" t="str">
        <f aca="false">IF(ISBLANK($C367),"",IF(J367=Constants!$B$3,TRUE(),IF(J367=Constants!$B$4,FALSE(),TRUE())))</f>
        <v/>
      </c>
      <c r="AL367" s="135" t="str">
        <f aca="false">IF(ISBLANK($C367),"",IF(K367=Constants!$B$5,TRUE(),IF(K367=Constants!$B$6,FALSE(),COUNTA(L367:P367)&gt;0)))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IF(ISBLANK($C367),"",IF(N367=Constants!$B$3,TRUE(),IF(N367=Constants!$B$4,FALSE(),TRUE())))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IF(ISBLANK($C367),"",IF(P367=Constants!$B$3,TRUE(),IF(P367=Constants!$B$4,FALSE(),FALSE())))</f>
        <v/>
      </c>
      <c r="AR367" s="135" t="str">
        <f aca="false">IF(ISBLANK($C367),"",IF(Q367=Constants!$B$3,TRUE(),IF(Q367=Constants!$B$4,FALSE(),TRUE())))</f>
        <v/>
      </c>
      <c r="AS367" s="135" t="str">
        <f aca="false">IF(ISBLANK($C367),"",IF(R367=Constants!$B$3,TRUE(),IF(R367=Constants!$B$4,FALSE(),TRUE())))</f>
        <v/>
      </c>
      <c r="AT367" s="135" t="str">
        <f aca="false">IF(ISBLANK($C367),"",IF(S367=Constants!$B$5,TRUE(),IF(S367=Constants!$B$6,FALSE(),COUNTA(T367:X367)&gt;0)))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IF(ISBLANK($C367),"",IF(V367=Constants!$B$3,TRUE(),IF(V367=Constants!$B$4,FALSE(),TRUE())))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IF(ISBLANK($C367),"",IF(X367=Constants!$B$3,TRUE(),IF(X367=Constants!$B$4,FALSE(),FALSE())))</f>
        <v/>
      </c>
      <c r="AZ367" s="135" t="str">
        <f aca="false">IF(ISBLANK($C367),"",MIN(Constants!$B$31,MAX(0,IF(ISNUMBER(Y367),Y367*60,0)+IF(ISNUMBER(Z367),Z367,0))))</f>
        <v/>
      </c>
      <c r="BA367" s="135" t="str">
        <f aca="false">IF(ISBLANK($C367),"",IF(AA367=Constants!$B$3,TRUE(),IF(AA367=Constants!$B$4,FALSE(),FALSE())))</f>
        <v/>
      </c>
      <c r="BB367" s="134" t="str">
        <f aca="false">IF(ISBLANK($C367),"",AND($AL367,OR($AM367="",$AN367="",AND($AO367,$AP367=""))))</f>
        <v/>
      </c>
      <c r="BC367" s="137" t="str">
        <f aca="false">IF($BZ367&lt;&gt;Constants!$B$8,"",IF($AL367,Constants!$B$21*$AN367+Constants!$B$22*IF($AO367,$AP367,Constants!$B$23),Constants!$B$24))</f>
        <v/>
      </c>
      <c r="BD367" s="138" t="str">
        <f aca="false">IF($BZ367&lt;&gt;Constants!$B$8,"",Constants!$B$25*ABS($AD$9-IF($AL367,$AM367,0)))</f>
        <v/>
      </c>
      <c r="BE367" s="138" t="str">
        <f aca="false">IF($BZ367&lt;&gt;Constants!$B$8,"",IF(AND($AL367,$AQ367,$AO367),Constants!$B$27,0))</f>
        <v/>
      </c>
      <c r="BF367" s="138" t="str">
        <f aca="false">IF($BZ367&lt;&gt;Constants!$B$8,"",IF($AL367,($AI367-Constants!$B$29)*Constants!$B$28,0))</f>
        <v/>
      </c>
      <c r="BG367" s="138" t="str">
        <f aca="false">IF($BZ367&lt;&gt;Constants!$B$8,"",IF($AK367,0,Constants!$B$15)+IF($AJ367,0,Constants!$B$16)+IF($AH367,0,Constants!$B$17))</f>
        <v/>
      </c>
      <c r="BH367" s="139" t="str">
        <f aca="false">IF($BZ367&lt;&gt;Constants!$B$8,"",Constants!$B$20+SUM($BC367:$BG367))</f>
        <v/>
      </c>
      <c r="BI367" s="138" t="str">
        <f aca="false">IF($BZ367&lt;&gt;Constants!$B$8,"",$BC367)</f>
        <v/>
      </c>
      <c r="BJ367" s="138" t="str">
        <f aca="false">IF($BZ367&lt;&gt;Constants!$B$8,"",$BD367)</f>
        <v/>
      </c>
      <c r="BK367" s="138" t="str">
        <f aca="false">IF($BZ367&lt;&gt;Constants!$B$8,"",IF($AL367,$AN367,""))</f>
        <v/>
      </c>
      <c r="BL367" s="140" t="str">
        <f aca="false">IF($BZ367&lt;&gt;Constants!$B$8,"",$AI367)</f>
        <v/>
      </c>
      <c r="BM367" s="135" t="str">
        <f aca="false">IF($BZ367&lt;&gt;Constants!$B$8,"",IF(OR($BT367&lt;$BH367,AND($BT367=$BH367,OR($BU367&lt;$BI367,AND($BU367=$BI367,OR($BV367&lt;$BJ367,AND($BV367=$BJ367,OR(AND(ISNUMBER($BW367),OR(NOT(ISNUMBER($BK367)),$BW367&lt;$BK367)),AND(OR(AND($BW367="",$BK367=""),AND(ISNUMBER($BW367),ISNUMBER($BK367),$BW367=$BK367)),$BX367&lt;$BL367)))))))),"-&gt;","&lt;-"))</f>
        <v/>
      </c>
      <c r="BN367" s="134" t="str">
        <f aca="false">IF(ISBLANK($C367),"",AND($AT367,OR($AU367="",$AV367="",AND($AW367,$AX367=""))))</f>
        <v/>
      </c>
      <c r="BO367" s="137" t="str">
        <f aca="false">IF($BZ367&lt;&gt;Constants!$B$8,"",IF($AT367,Constants!$B$21*$AV367+Constants!$B$22*IF($AW367,$AX367,Constants!$B$23),Constants!$B$24))</f>
        <v/>
      </c>
      <c r="BP367" s="138" t="str">
        <f aca="false">IF($BZ367&lt;&gt;Constants!$B$8,"",Constants!$B$25*ABS($AD$9-IF($AT367,$AU367,0)))</f>
        <v/>
      </c>
      <c r="BQ367" s="138" t="str">
        <f aca="false">IF($BZ367&lt;&gt;Constants!$B$8,"",IF(AND($AT367,$AY367,$AW367),Constants!$B$27,0))</f>
        <v/>
      </c>
      <c r="BR367" s="138" t="str">
        <f aca="false">IF($BZ367&lt;&gt;Constants!$B$8,"",IF($AT367,($AI367-Constants!$B$29)*Constants!$B$28,0))</f>
        <v/>
      </c>
      <c r="BS367" s="138" t="str">
        <f aca="false">IF($BZ367&lt;&gt;Constants!$B$8,"",IF($AS367,0,Constants!$B$15)+IF($AR367,0,Constants!$B$16)+IF($AH367,0,Constants!$B$17))</f>
        <v/>
      </c>
      <c r="BT367" s="139" t="str">
        <f aca="false">IF($BZ367&lt;&gt;Constants!$B$8,"",Constants!$B$20+SUM($BO367:$BS367))</f>
        <v/>
      </c>
      <c r="BU367" s="138" t="str">
        <f aca="false">IF($BZ367&lt;&gt;Constants!$B$8,"",$BO367)</f>
        <v/>
      </c>
      <c r="BV367" s="138" t="str">
        <f aca="false">IF($BZ367&lt;&gt;Constants!$B$8,"",$BP367)</f>
        <v/>
      </c>
      <c r="BW367" s="138" t="str">
        <f aca="false">IF($BZ367&lt;&gt;Constants!$B$8,"",IF($AT367,$AV367,""))</f>
        <v/>
      </c>
      <c r="BX367" s="140" t="str">
        <f aca="false">IF($BZ367&lt;&gt;Constants!$B$8,"",$AI367)</f>
        <v/>
      </c>
      <c r="BY367" s="135" t="str">
        <f aca="false">IF(ISBLANK($C367),"",IF(ISBLANK($D$7),$BY$5,IF(NOT(ISNUMBER($D$7)),$BY$6,"")))</f>
        <v/>
      </c>
      <c r="BZ367" s="135" t="str">
        <f aca="false">IF(ISBLANK($C367),"",IF($BA367,Constants!$B$11,IF(COUNTA($E367:$AA367)=0,Constants!$B$10,IF(NOT($AG367),Constants!$B$9,IF(OR($BY367&lt;&gt;"",$BB367,$BN367),Constants!$B$12,Constants!$B$8)))))</f>
        <v/>
      </c>
      <c r="CA367" s="135" t="str">
        <f aca="false">IF(ISBLANK($C367),"",IF($BZ367&lt;&gt;Constants!$B$8,$BZ367,Constants!$B$13))</f>
        <v/>
      </c>
      <c r="CB367" s="138" t="str">
        <f aca="false">IF($BZ367&lt;&gt;Constants!$B$8,"",IF($BM367="-&gt;",$BT367,$BH367))</f>
        <v/>
      </c>
      <c r="CC367" s="138" t="str">
        <f aca="false">IF($BZ367&lt;&gt;Constants!$B$8,"",IF($AF367,0,Constants!$B$18))</f>
        <v/>
      </c>
      <c r="CD367" s="138" t="str">
        <f aca="false">IF($BZ367&lt;&gt;Constants!$B$8,"",((Constants!$B$31-$AZ367)-Constants!$B$31)/Constants!$B$32)</f>
        <v/>
      </c>
      <c r="CE367" s="138" t="str">
        <f aca="false">IF(ISBLANK($C367),"",IF($BZ367&lt;&gt;Constants!$B$8,$BZ367,SUM($CB367:$CD367)))</f>
        <v/>
      </c>
      <c r="CF367" s="135" t="str">
        <f aca="false">IF(ISBLANK($C367),"",IF($BZ367&lt;&gt;Constants!$B$8,$BZ367,RANK($CE367,$CE$9:$CE$508,1)))</f>
        <v/>
      </c>
      <c r="CG367" s="138" t="str">
        <f aca="false">IF($BZ367&lt;&gt;Constants!$B$8,"",IF($BM367="-&gt;",$BU367,$BI367))</f>
        <v/>
      </c>
      <c r="CH367" s="135" t="str">
        <f aca="false">IF(ISBLANK($C367),"",IF($BZ367&lt;&gt;Constants!$B$8,$BZ367,IF(ISNUMBER($CG367),RANK($CG367,$CG$9:$CG$508,1),COUNT($CG$9:$CG$508)+1)))</f>
        <v/>
      </c>
      <c r="CI367" s="138" t="str">
        <f aca="false">IF($BZ367&lt;&gt;Constants!$B$8,"",IF($BM367="-&gt;",$BV367,$BJ367))</f>
        <v/>
      </c>
      <c r="CJ367" s="135" t="str">
        <f aca="false">IF(ISBLANK($C367),"",IF($BZ367&lt;&gt;Constants!$B$8,$BZ367,IF(ISNUMBER($CI367),RANK($CI367,$CI$9:$CI$508,1),COUNT($CI$9:$CI$508)+1)))</f>
        <v/>
      </c>
      <c r="CK367" s="138" t="str">
        <f aca="false">IF($BZ367&lt;&gt;Constants!$B$8,"",IF($BM367="-&gt;",$BW367,$BK367))</f>
        <v/>
      </c>
      <c r="CL367" s="135" t="str">
        <f aca="false">IF(ISBLANK($C367),"",IF($BZ367&lt;&gt;Constants!$B$8,$BZ367,IF(ISNUMBER($CK367),RANK($CK367,$CK$9:$CK$508,1),COUNT($CK$9:$CK$508)+1)))</f>
        <v/>
      </c>
      <c r="CM367" s="138" t="str">
        <f aca="false">IF($BZ367&lt;&gt;Constants!$B$8,"",IF(AND(NOT($AL367),NOT($AT367),$AJ367,$AK367,$AR367,$AS367),"",IF($BM367="-&gt;",$BX367,$BL367)))</f>
        <v/>
      </c>
      <c r="CN367" s="135" t="str">
        <f aca="false">IF(ISBLANK($C367),"",IF($BZ367&lt;&gt;Constants!$B$8,$BZ367,IF(ISNUMBER($CM367),RANK($CM367,$CM$9:$CM$508,1),COUNT($CM$9:$CM$508)+1)))</f>
        <v/>
      </c>
      <c r="CO367" s="135" t="str">
        <f aca="false">IF(ISBLANK($C367),"",IF($BZ367&lt;&gt;Constants!$B$8,$BZ367,COUNTIFS($CF$9:$CF$508,"&lt;"&amp;$CF367)+COUNTIFS($CF$9:$CF$508,$CF367,$CH$9:$CH$508,"&lt;"&amp;$CH367)+COUNTIFS($CF$9:$CF$508,$CF367,$CH$9:$CH$508,$CH367,$CJ$9:$CJ$508,"&lt;"&amp;$CJ367)+COUNTIFS($CF$9:$CF$508,$CF367,$CH$9:$CH$508,$CH367,$CJ$9:$CJ$508,$CJ367,$CL$9:$CL$508,"&lt;"&amp;$CL367)+COUNTIFS($CF$9:$CF$508,$CF367,$CH$9:$CH$508,$CH367,$CJ$9:$CJ$508,$CJ367,$CL$9:$CL$508,$CL367,$CN$9:$CN$508,"&lt;"&amp;$CN367)+1))</f>
        <v/>
      </c>
      <c r="CP367" s="135" t="str">
        <f aca="false">IF(ISBLANK($C367),"",IF($BZ367&lt;&gt;Constants!$B$8,$BZ367,$CF367-$CO367))</f>
        <v/>
      </c>
      <c r="CQ367" s="141"/>
      <c r="CR367" s="142"/>
      <c r="CS367" s="143" t="str">
        <f aca="false">IF(ISBLANK($C367),"",IF($BZ367=Constants!$B$12,$BY367,""))</f>
        <v/>
      </c>
      <c r="CT367" s="142" t="str">
        <f aca="false">IF(ISBLANK($C367),"",IF($BZ367&lt;&gt;Constants!$B$8,"",IF($BM367="-&gt;",2,1)))</f>
        <v/>
      </c>
      <c r="CU367" s="144" t="str">
        <f aca="false">IF(ISBLANK($C367),"",IF($BZ367&lt;&gt;Constants!$B$8,"",IF($BM367="-&gt;",$BO367,$BC367)))</f>
        <v/>
      </c>
      <c r="CV367" s="144" t="str">
        <f aca="false">IF(ISBLANK($C367),"",IF($BZ367&lt;&gt;Constants!$B$8,"",IF($BM367="-&gt;",$BP367,$BD367)))</f>
        <v/>
      </c>
      <c r="CW367" s="144" t="str">
        <f aca="false">IF(ISBLANK($C367),"",IF($BZ367&lt;&gt;Constants!$B$8,"",IF($BM367="-&gt;",$BQ367+$BR367,$BE367+$BF367)+$CD367))</f>
        <v/>
      </c>
      <c r="CX367" s="144" t="str">
        <f aca="false">IF(ISBLANK($C367),"",IF($BZ367&lt;&gt;Constants!$B$8,"",IF($BM367="-&gt;",$BS367,$BG367)+$CC367))</f>
        <v/>
      </c>
      <c r="CY367" s="145" t="str">
        <f aca="false">IF(ISBLANK($C367),"",IF($BZ367&lt;&gt;Constants!$B$8,$BZ367,$CE367))</f>
        <v/>
      </c>
      <c r="CZ367" s="146" t="str">
        <f aca="false">IF(ISBLANK($C367),"",$CA367)</f>
        <v/>
      </c>
      <c r="DA367" s="147" t="str">
        <f aca="false">IF(ISBLANK($C367),"",$CP367)</f>
        <v/>
      </c>
      <c r="DB367" s="147" t="str">
        <f aca="false">IF(ISBLANK($C367),"",$CO367)</f>
        <v/>
      </c>
      <c r="DC367" s="148" t="str">
        <f aca="false">IF(ISBLANK($C367),"",IFERROR(_xlfn.SWITCH($DB367,Constants!$B$11,COUNTA($C$9:$C$508)+2,Constants!$B$10,COUNTA($C$9:$C$508)+1,Constants!$B$9,COUNTA($C$9:$C$508)),$DB367))</f>
        <v/>
      </c>
      <c r="DD367" s="9"/>
      <c r="DE367" s="149" t="n">
        <f aca="false">IF(OR(ISNUMBER($DB367),$DB367=Constants!$B$11,$DB367=Constants!$B$9,$DB367=Constants!$B$10),1,0)</f>
        <v>0</v>
      </c>
      <c r="DF367" s="149" t="n">
        <v>359</v>
      </c>
      <c r="DG367" s="149" t="str">
        <f aca="false">IF(ISBLANK($C367),"",IF(ISNUMBER($DC367),$DC367+ROW($B367)/1000,""))</f>
        <v/>
      </c>
      <c r="DH367" s="149" t="str">
        <f aca="false">IF(ISNUMBER($DG367),RANK($DG367,$DG$9:$DG$508,1),"")</f>
        <v/>
      </c>
      <c r="DI367" s="149" t="str">
        <f aca="false">IF(ISBLANK($C367),"",$B367)</f>
        <v/>
      </c>
      <c r="DJ367" s="149" t="str">
        <f aca="false">IF(ISBLANK($C367),"",$C367)</f>
        <v/>
      </c>
      <c r="DK367" s="149" t="str">
        <f aca="false">IF(ISBLANK($C367),"",$D367)</f>
        <v/>
      </c>
      <c r="DL367" s="150" t="str">
        <f aca="false">$CZ367</f>
        <v/>
      </c>
      <c r="DM367" s="151" t="str">
        <f aca="false">$CY367</f>
        <v/>
      </c>
      <c r="DN367" s="149" t="str">
        <f aca="false">IF(ISBLANK($C367),"",$DB367)</f>
        <v/>
      </c>
      <c r="DO367" s="152" t="str">
        <f aca="false">IF($DF367&gt;$DE$8,"",VLOOKUP($DF367,$DH$9:$DN$508,7,FALSE()))</f>
        <v/>
      </c>
      <c r="DP367" s="153" t="str">
        <f aca="false">IF($DF367&gt;$DE$8,"",VLOOKUP($DF367,$DH$9:$DN$508,2,FALSE()))</f>
        <v/>
      </c>
      <c r="DQ367" s="153" t="str">
        <f aca="false">IF($DF367&gt;$DE$8,"",VLOOKUP($DF367,$DH$9:$DN$508,3,FALSE()))</f>
        <v/>
      </c>
      <c r="DR367" s="153" t="str">
        <f aca="false">IF($DF367&gt;$DE$8,"",VLOOKUP($DF367,$DH$9:$DN$508,4,FALSE()))</f>
        <v/>
      </c>
      <c r="DS367" s="153" t="str">
        <f aca="false">IF($DF367&gt;$DE$8,"",VLOOKUP($DF367,$DH$9:$DN$508,5,FALSE()))</f>
        <v/>
      </c>
      <c r="DT367" s="154" t="str">
        <f aca="false">IF($DF367&gt;$DE$8,"",VLOOKUP($DF367,$DH$9:$DN$508,6,FALSE()))</f>
        <v/>
      </c>
      <c r="DU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IF(ISBLANK($C368),"",IF(E368=Constants!$B$3,TRUE(),IF(E368=Constants!$B$4,FALSE(),TRUE())))</f>
        <v/>
      </c>
      <c r="AG368" s="135" t="str">
        <f aca="false">IF(ISBLANK($C368),"",IF(F368=Constants!$B$3,TRUE(),IF(F368=Constants!$B$4,FALSE(),TRUE())))</f>
        <v/>
      </c>
      <c r="AH368" s="135" t="str">
        <f aca="false">IF(ISBLANK($C368),"",IF(G368=Constants!$B$3,TRUE(),IF(G368=Constants!$B$4,FALSE(),TRUE())))</f>
        <v/>
      </c>
      <c r="AI368" s="135" t="str">
        <f aca="false">IF(ISBLANK($C368),"",IF(AND(ISNUMBER(H368),H368&gt;=0),H368,Constants!$B$29))</f>
        <v/>
      </c>
      <c r="AJ368" s="135" t="str">
        <f aca="false">IF(ISBLANK($C368),"",IF(I368=Constants!$B$3,TRUE(),IF(I368=Constants!$B$4,FALSE(),TRUE())))</f>
        <v/>
      </c>
      <c r="AK368" s="135" t="str">
        <f aca="false">IF(ISBLANK($C368),"",IF(J368=Constants!$B$3,TRUE(),IF(J368=Constants!$B$4,FALSE(),TRUE())))</f>
        <v/>
      </c>
      <c r="AL368" s="135" t="str">
        <f aca="false">IF(ISBLANK($C368),"",IF(K368=Constants!$B$5,TRUE(),IF(K368=Constants!$B$6,FALSE(),COUNTA(L368:P368)&gt;0)))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IF(ISBLANK($C368),"",IF(N368=Constants!$B$3,TRUE(),IF(N368=Constants!$B$4,FALSE(),TRUE())))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IF(ISBLANK($C368),"",IF(P368=Constants!$B$3,TRUE(),IF(P368=Constants!$B$4,FALSE(),FALSE())))</f>
        <v/>
      </c>
      <c r="AR368" s="135" t="str">
        <f aca="false">IF(ISBLANK($C368),"",IF(Q368=Constants!$B$3,TRUE(),IF(Q368=Constants!$B$4,FALSE(),TRUE())))</f>
        <v/>
      </c>
      <c r="AS368" s="135" t="str">
        <f aca="false">IF(ISBLANK($C368),"",IF(R368=Constants!$B$3,TRUE(),IF(R368=Constants!$B$4,FALSE(),TRUE())))</f>
        <v/>
      </c>
      <c r="AT368" s="135" t="str">
        <f aca="false">IF(ISBLANK($C368),"",IF(S368=Constants!$B$5,TRUE(),IF(S368=Constants!$B$6,FALSE(),COUNTA(T368:X368)&gt;0)))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IF(ISBLANK($C368),"",IF(V368=Constants!$B$3,TRUE(),IF(V368=Constants!$B$4,FALSE(),TRUE())))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IF(ISBLANK($C368),"",IF(X368=Constants!$B$3,TRUE(),IF(X368=Constants!$B$4,FALSE(),FALSE())))</f>
        <v/>
      </c>
      <c r="AZ368" s="135" t="str">
        <f aca="false">IF(ISBLANK($C368),"",MIN(Constants!$B$31,MAX(0,IF(ISNUMBER(Y368),Y368*60,0)+IF(ISNUMBER(Z368),Z368,0))))</f>
        <v/>
      </c>
      <c r="BA368" s="135" t="str">
        <f aca="false">IF(ISBLANK($C368),"",IF(AA368=Constants!$B$3,TRUE(),IF(AA368=Constants!$B$4,FALSE(),FALSE())))</f>
        <v/>
      </c>
      <c r="BB368" s="134" t="str">
        <f aca="false">IF(ISBLANK($C368),"",AND($AL368,OR($AM368="",$AN368="",AND($AO368,$AP368=""))))</f>
        <v/>
      </c>
      <c r="BC368" s="137" t="str">
        <f aca="false">IF($BZ368&lt;&gt;Constants!$B$8,"",IF($AL368,Constants!$B$21*$AN368+Constants!$B$22*IF($AO368,$AP368,Constants!$B$23),Constants!$B$24))</f>
        <v/>
      </c>
      <c r="BD368" s="138" t="str">
        <f aca="false">IF($BZ368&lt;&gt;Constants!$B$8,"",Constants!$B$25*ABS($AD$9-IF($AL368,$AM368,0)))</f>
        <v/>
      </c>
      <c r="BE368" s="138" t="str">
        <f aca="false">IF($BZ368&lt;&gt;Constants!$B$8,"",IF(AND($AL368,$AQ368,$AO368),Constants!$B$27,0))</f>
        <v/>
      </c>
      <c r="BF368" s="138" t="str">
        <f aca="false">IF($BZ368&lt;&gt;Constants!$B$8,"",IF($AL368,($AI368-Constants!$B$29)*Constants!$B$28,0))</f>
        <v/>
      </c>
      <c r="BG368" s="138" t="str">
        <f aca="false">IF($BZ368&lt;&gt;Constants!$B$8,"",IF($AK368,0,Constants!$B$15)+IF($AJ368,0,Constants!$B$16)+IF($AH368,0,Constants!$B$17))</f>
        <v/>
      </c>
      <c r="BH368" s="139" t="str">
        <f aca="false">IF($BZ368&lt;&gt;Constants!$B$8,"",Constants!$B$20+SUM($BC368:$BG368))</f>
        <v/>
      </c>
      <c r="BI368" s="138" t="str">
        <f aca="false">IF($BZ368&lt;&gt;Constants!$B$8,"",$BC368)</f>
        <v/>
      </c>
      <c r="BJ368" s="138" t="str">
        <f aca="false">IF($BZ368&lt;&gt;Constants!$B$8,"",$BD368)</f>
        <v/>
      </c>
      <c r="BK368" s="138" t="str">
        <f aca="false">IF($BZ368&lt;&gt;Constants!$B$8,"",IF($AL368,$AN368,""))</f>
        <v/>
      </c>
      <c r="BL368" s="140" t="str">
        <f aca="false">IF($BZ368&lt;&gt;Constants!$B$8,"",$AI368)</f>
        <v/>
      </c>
      <c r="BM368" s="135" t="str">
        <f aca="false">IF($BZ368&lt;&gt;Constants!$B$8,"",IF(OR($BT368&lt;$BH368,AND($BT368=$BH368,OR($BU368&lt;$BI368,AND($BU368=$BI368,OR($BV368&lt;$BJ368,AND($BV368=$BJ368,OR(AND(ISNUMBER($BW368),OR(NOT(ISNUMBER($BK368)),$BW368&lt;$BK368)),AND(OR(AND($BW368="",$BK368=""),AND(ISNUMBER($BW368),ISNUMBER($BK368),$BW368=$BK368)),$BX368&lt;$BL368)))))))),"-&gt;","&lt;-"))</f>
        <v/>
      </c>
      <c r="BN368" s="134" t="str">
        <f aca="false">IF(ISBLANK($C368),"",AND($AT368,OR($AU368="",$AV368="",AND($AW368,$AX368=""))))</f>
        <v/>
      </c>
      <c r="BO368" s="137" t="str">
        <f aca="false">IF($BZ368&lt;&gt;Constants!$B$8,"",IF($AT368,Constants!$B$21*$AV368+Constants!$B$22*IF($AW368,$AX368,Constants!$B$23),Constants!$B$24))</f>
        <v/>
      </c>
      <c r="BP368" s="138" t="str">
        <f aca="false">IF($BZ368&lt;&gt;Constants!$B$8,"",Constants!$B$25*ABS($AD$9-IF($AT368,$AU368,0)))</f>
        <v/>
      </c>
      <c r="BQ368" s="138" t="str">
        <f aca="false">IF($BZ368&lt;&gt;Constants!$B$8,"",IF(AND($AT368,$AY368,$AW368),Constants!$B$27,0))</f>
        <v/>
      </c>
      <c r="BR368" s="138" t="str">
        <f aca="false">IF($BZ368&lt;&gt;Constants!$B$8,"",IF($AT368,($AI368-Constants!$B$29)*Constants!$B$28,0))</f>
        <v/>
      </c>
      <c r="BS368" s="138" t="str">
        <f aca="false">IF($BZ368&lt;&gt;Constants!$B$8,"",IF($AS368,0,Constants!$B$15)+IF($AR368,0,Constants!$B$16)+IF($AH368,0,Constants!$B$17))</f>
        <v/>
      </c>
      <c r="BT368" s="139" t="str">
        <f aca="false">IF($BZ368&lt;&gt;Constants!$B$8,"",Constants!$B$20+SUM($BO368:$BS368))</f>
        <v/>
      </c>
      <c r="BU368" s="138" t="str">
        <f aca="false">IF($BZ368&lt;&gt;Constants!$B$8,"",$BO368)</f>
        <v/>
      </c>
      <c r="BV368" s="138" t="str">
        <f aca="false">IF($BZ368&lt;&gt;Constants!$B$8,"",$BP368)</f>
        <v/>
      </c>
      <c r="BW368" s="138" t="str">
        <f aca="false">IF($BZ368&lt;&gt;Constants!$B$8,"",IF($AT368,$AV368,""))</f>
        <v/>
      </c>
      <c r="BX368" s="140" t="str">
        <f aca="false">IF($BZ368&lt;&gt;Constants!$B$8,"",$AI368)</f>
        <v/>
      </c>
      <c r="BY368" s="135" t="str">
        <f aca="false">IF(ISBLANK($C368),"",IF(ISBLANK($D$7),$BY$5,IF(NOT(ISNUMBER($D$7)),$BY$6,"")))</f>
        <v/>
      </c>
      <c r="BZ368" s="135" t="str">
        <f aca="false">IF(ISBLANK($C368),"",IF($BA368,Constants!$B$11,IF(COUNTA($E368:$AA368)=0,Constants!$B$10,IF(NOT($AG368),Constants!$B$9,IF(OR($BY368&lt;&gt;"",$BB368,$BN368),Constants!$B$12,Constants!$B$8)))))</f>
        <v/>
      </c>
      <c r="CA368" s="135" t="str">
        <f aca="false">IF(ISBLANK($C368),"",IF($BZ368&lt;&gt;Constants!$B$8,$BZ368,Constants!$B$13))</f>
        <v/>
      </c>
      <c r="CB368" s="138" t="str">
        <f aca="false">IF($BZ368&lt;&gt;Constants!$B$8,"",IF($BM368="-&gt;",$BT368,$BH368))</f>
        <v/>
      </c>
      <c r="CC368" s="138" t="str">
        <f aca="false">IF($BZ368&lt;&gt;Constants!$B$8,"",IF($AF368,0,Constants!$B$18))</f>
        <v/>
      </c>
      <c r="CD368" s="138" t="str">
        <f aca="false">IF($BZ368&lt;&gt;Constants!$B$8,"",((Constants!$B$31-$AZ368)-Constants!$B$31)/Constants!$B$32)</f>
        <v/>
      </c>
      <c r="CE368" s="138" t="str">
        <f aca="false">IF(ISBLANK($C368),"",IF($BZ368&lt;&gt;Constants!$B$8,$BZ368,SUM($CB368:$CD368)))</f>
        <v/>
      </c>
      <c r="CF368" s="135" t="str">
        <f aca="false">IF(ISBLANK($C368),"",IF($BZ368&lt;&gt;Constants!$B$8,$BZ368,RANK($CE368,$CE$9:$CE$508,1)))</f>
        <v/>
      </c>
      <c r="CG368" s="138" t="str">
        <f aca="false">IF($BZ368&lt;&gt;Constants!$B$8,"",IF($BM368="-&gt;",$BU368,$BI368))</f>
        <v/>
      </c>
      <c r="CH368" s="135" t="str">
        <f aca="false">IF(ISBLANK($C368),"",IF($BZ368&lt;&gt;Constants!$B$8,$BZ368,IF(ISNUMBER($CG368),RANK($CG368,$CG$9:$CG$508,1),COUNT($CG$9:$CG$508)+1)))</f>
        <v/>
      </c>
      <c r="CI368" s="138" t="str">
        <f aca="false">IF($BZ368&lt;&gt;Constants!$B$8,"",IF($BM368="-&gt;",$BV368,$BJ368))</f>
        <v/>
      </c>
      <c r="CJ368" s="135" t="str">
        <f aca="false">IF(ISBLANK($C368),"",IF($BZ368&lt;&gt;Constants!$B$8,$BZ368,IF(ISNUMBER($CI368),RANK($CI368,$CI$9:$CI$508,1),COUNT($CI$9:$CI$508)+1)))</f>
        <v/>
      </c>
      <c r="CK368" s="138" t="str">
        <f aca="false">IF($BZ368&lt;&gt;Constants!$B$8,"",IF($BM368="-&gt;",$BW368,$BK368))</f>
        <v/>
      </c>
      <c r="CL368" s="135" t="str">
        <f aca="false">IF(ISBLANK($C368),"",IF($BZ368&lt;&gt;Constants!$B$8,$BZ368,IF(ISNUMBER($CK368),RANK($CK368,$CK$9:$CK$508,1),COUNT($CK$9:$CK$508)+1)))</f>
        <v/>
      </c>
      <c r="CM368" s="138" t="str">
        <f aca="false">IF($BZ368&lt;&gt;Constants!$B$8,"",IF(AND(NOT($AL368),NOT($AT368),$AJ368,$AK368,$AR368,$AS368),"",IF($BM368="-&gt;",$BX368,$BL368)))</f>
        <v/>
      </c>
      <c r="CN368" s="135" t="str">
        <f aca="false">IF(ISBLANK($C368),"",IF($BZ368&lt;&gt;Constants!$B$8,$BZ368,IF(ISNUMBER($CM368),RANK($CM368,$CM$9:$CM$508,1),COUNT($CM$9:$CM$508)+1)))</f>
        <v/>
      </c>
      <c r="CO368" s="135" t="str">
        <f aca="false">IF(ISBLANK($C368),"",IF($BZ368&lt;&gt;Constants!$B$8,$BZ368,COUNTIFS($CF$9:$CF$508,"&lt;"&amp;$CF368)+COUNTIFS($CF$9:$CF$508,$CF368,$CH$9:$CH$508,"&lt;"&amp;$CH368)+COUNTIFS($CF$9:$CF$508,$CF368,$CH$9:$CH$508,$CH368,$CJ$9:$CJ$508,"&lt;"&amp;$CJ368)+COUNTIFS($CF$9:$CF$508,$CF368,$CH$9:$CH$508,$CH368,$CJ$9:$CJ$508,$CJ368,$CL$9:$CL$508,"&lt;"&amp;$CL368)+COUNTIFS($CF$9:$CF$508,$CF368,$CH$9:$CH$508,$CH368,$CJ$9:$CJ$508,$CJ368,$CL$9:$CL$508,$CL368,$CN$9:$CN$508,"&lt;"&amp;$CN368)+1))</f>
        <v/>
      </c>
      <c r="CP368" s="135" t="str">
        <f aca="false">IF(ISBLANK($C368),"",IF($BZ368&lt;&gt;Constants!$B$8,$BZ368,$CF368-$CO368))</f>
        <v/>
      </c>
      <c r="CQ368" s="141"/>
      <c r="CR368" s="142"/>
      <c r="CS368" s="143" t="str">
        <f aca="false">IF(ISBLANK($C368),"",IF($BZ368=Constants!$B$12,$BY368,""))</f>
        <v/>
      </c>
      <c r="CT368" s="142" t="str">
        <f aca="false">IF(ISBLANK($C368),"",IF($BZ368&lt;&gt;Constants!$B$8,"",IF($BM368="-&gt;",2,1)))</f>
        <v/>
      </c>
      <c r="CU368" s="144" t="str">
        <f aca="false">IF(ISBLANK($C368),"",IF($BZ368&lt;&gt;Constants!$B$8,"",IF($BM368="-&gt;",$BO368,$BC368)))</f>
        <v/>
      </c>
      <c r="CV368" s="144" t="str">
        <f aca="false">IF(ISBLANK($C368),"",IF($BZ368&lt;&gt;Constants!$B$8,"",IF($BM368="-&gt;",$BP368,$BD368)))</f>
        <v/>
      </c>
      <c r="CW368" s="144" t="str">
        <f aca="false">IF(ISBLANK($C368),"",IF($BZ368&lt;&gt;Constants!$B$8,"",IF($BM368="-&gt;",$BQ368+$BR368,$BE368+$BF368)+$CD368))</f>
        <v/>
      </c>
      <c r="CX368" s="144" t="str">
        <f aca="false">IF(ISBLANK($C368),"",IF($BZ368&lt;&gt;Constants!$B$8,"",IF($BM368="-&gt;",$BS368,$BG368)+$CC368))</f>
        <v/>
      </c>
      <c r="CY368" s="145" t="str">
        <f aca="false">IF(ISBLANK($C368),"",IF($BZ368&lt;&gt;Constants!$B$8,$BZ368,$CE368))</f>
        <v/>
      </c>
      <c r="CZ368" s="146" t="str">
        <f aca="false">IF(ISBLANK($C368),"",$CA368)</f>
        <v/>
      </c>
      <c r="DA368" s="147" t="str">
        <f aca="false">IF(ISBLANK($C368),"",$CP368)</f>
        <v/>
      </c>
      <c r="DB368" s="147" t="str">
        <f aca="false">IF(ISBLANK($C368),"",$CO368)</f>
        <v/>
      </c>
      <c r="DC368" s="148" t="str">
        <f aca="false">IF(ISBLANK($C368),"",IFERROR(_xlfn.SWITCH($DB368,Constants!$B$11,COUNTA($C$9:$C$508)+2,Constants!$B$10,COUNTA($C$9:$C$508)+1,Constants!$B$9,COUNTA($C$9:$C$508)),$DB368))</f>
        <v/>
      </c>
      <c r="DD368" s="9"/>
      <c r="DE368" s="149" t="n">
        <f aca="false">IF(OR(ISNUMBER($DB368),$DB368=Constants!$B$11,$DB368=Constants!$B$9,$DB368=Constants!$B$10),1,0)</f>
        <v>0</v>
      </c>
      <c r="DF368" s="149" t="n">
        <v>360</v>
      </c>
      <c r="DG368" s="149" t="str">
        <f aca="false">IF(ISBLANK($C368),"",IF(ISNUMBER($DC368),$DC368+ROW($B368)/1000,""))</f>
        <v/>
      </c>
      <c r="DH368" s="149" t="str">
        <f aca="false">IF(ISNUMBER($DG368),RANK($DG368,$DG$9:$DG$508,1),"")</f>
        <v/>
      </c>
      <c r="DI368" s="149" t="str">
        <f aca="false">IF(ISBLANK($C368),"",$B368)</f>
        <v/>
      </c>
      <c r="DJ368" s="149" t="str">
        <f aca="false">IF(ISBLANK($C368),"",$C368)</f>
        <v/>
      </c>
      <c r="DK368" s="149" t="str">
        <f aca="false">IF(ISBLANK($C368),"",$D368)</f>
        <v/>
      </c>
      <c r="DL368" s="150" t="str">
        <f aca="false">$CZ368</f>
        <v/>
      </c>
      <c r="DM368" s="151" t="str">
        <f aca="false">$CY368</f>
        <v/>
      </c>
      <c r="DN368" s="149" t="str">
        <f aca="false">IF(ISBLANK($C368),"",$DB368)</f>
        <v/>
      </c>
      <c r="DO368" s="152" t="str">
        <f aca="false">IF($DF368&gt;$DE$8,"",VLOOKUP($DF368,$DH$9:$DN$508,7,FALSE()))</f>
        <v/>
      </c>
      <c r="DP368" s="153" t="str">
        <f aca="false">IF($DF368&gt;$DE$8,"",VLOOKUP($DF368,$DH$9:$DN$508,2,FALSE()))</f>
        <v/>
      </c>
      <c r="DQ368" s="153" t="str">
        <f aca="false">IF($DF368&gt;$DE$8,"",VLOOKUP($DF368,$DH$9:$DN$508,3,FALSE()))</f>
        <v/>
      </c>
      <c r="DR368" s="153" t="str">
        <f aca="false">IF($DF368&gt;$DE$8,"",VLOOKUP($DF368,$DH$9:$DN$508,4,FALSE()))</f>
        <v/>
      </c>
      <c r="DS368" s="153" t="str">
        <f aca="false">IF($DF368&gt;$DE$8,"",VLOOKUP($DF368,$DH$9:$DN$508,5,FALSE()))</f>
        <v/>
      </c>
      <c r="DT368" s="154" t="str">
        <f aca="false">IF($DF368&gt;$DE$8,"",VLOOKUP($DF368,$DH$9:$DN$508,6,FALSE()))</f>
        <v/>
      </c>
      <c r="DU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IF(ISBLANK($C369),"",IF(E369=Constants!$B$3,TRUE(),IF(E369=Constants!$B$4,FALSE(),TRUE())))</f>
        <v/>
      </c>
      <c r="AG369" s="93" t="str">
        <f aca="false">IF(ISBLANK($C369),"",IF(F369=Constants!$B$3,TRUE(),IF(F369=Constants!$B$4,FALSE(),TRUE())))</f>
        <v/>
      </c>
      <c r="AH369" s="93" t="str">
        <f aca="false">IF(ISBLANK($C369),"",IF(G369=Constants!$B$3,TRUE(),IF(G369=Constants!$B$4,FALSE(),TRUE())))</f>
        <v/>
      </c>
      <c r="AI369" s="93" t="str">
        <f aca="false">IF(ISBLANK($C369),"",IF(AND(ISNUMBER(H369),H369&gt;=0),H369,Constants!$B$29))</f>
        <v/>
      </c>
      <c r="AJ369" s="93" t="str">
        <f aca="false">IF(ISBLANK($C369),"",IF(I369=Constants!$B$3,TRUE(),IF(I369=Constants!$B$4,FALSE(),TRUE())))</f>
        <v/>
      </c>
      <c r="AK369" s="93" t="str">
        <f aca="false">IF(ISBLANK($C369),"",IF(J369=Constants!$B$3,TRUE(),IF(J369=Constants!$B$4,FALSE(),TRUE())))</f>
        <v/>
      </c>
      <c r="AL369" s="93" t="str">
        <f aca="false">IF(ISBLANK($C369),"",IF(K369=Constants!$B$5,TRUE(),IF(K369=Constants!$B$6,FALSE(),COUNTA(L369:P369)&gt;0)))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IF(ISBLANK($C369),"",IF(N369=Constants!$B$3,TRUE(),IF(N369=Constants!$B$4,FALSE(),TRUE())))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IF(ISBLANK($C369),"",IF(P369=Constants!$B$3,TRUE(),IF(P369=Constants!$B$4,FALSE(),FALSE())))</f>
        <v/>
      </c>
      <c r="AR369" s="93" t="str">
        <f aca="false">IF(ISBLANK($C369),"",IF(Q369=Constants!$B$3,TRUE(),IF(Q369=Constants!$B$4,FALSE(),TRUE())))</f>
        <v/>
      </c>
      <c r="AS369" s="93" t="str">
        <f aca="false">IF(ISBLANK($C369),"",IF(R369=Constants!$B$3,TRUE(),IF(R369=Constants!$B$4,FALSE(),TRUE())))</f>
        <v/>
      </c>
      <c r="AT369" s="93" t="str">
        <f aca="false">IF(ISBLANK($C369),"",IF(S369=Constants!$B$5,TRUE(),IF(S369=Constants!$B$6,FALSE(),COUNTA(T369:X369)&gt;0)))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IF(ISBLANK($C369),"",IF(V369=Constants!$B$3,TRUE(),IF(V369=Constants!$B$4,FALSE(),TRUE())))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IF(ISBLANK($C369),"",IF(X369=Constants!$B$3,TRUE(),IF(X369=Constants!$B$4,FALSE(),FALSE())))</f>
        <v/>
      </c>
      <c r="AZ369" s="93" t="str">
        <f aca="false">IF(ISBLANK($C369),"",MIN(Constants!$B$31,MAX(0,IF(ISNUMBER(Y369),Y369*60,0)+IF(ISNUMBER(Z369),Z369,0))))</f>
        <v/>
      </c>
      <c r="BA369" s="93" t="str">
        <f aca="false">IF(ISBLANK($C369),"",IF(AA369=Constants!$B$3,TRUE(),IF(AA369=Constants!$B$4,FALSE(),FALSE())))</f>
        <v/>
      </c>
      <c r="BB369" s="92" t="str">
        <f aca="false">IF(ISBLANK($C369),"",AND($AL369,OR($AM369="",$AN369="",AND($AO369,$AP369=""))))</f>
        <v/>
      </c>
      <c r="BC369" s="94" t="str">
        <f aca="false">IF($BZ369&lt;&gt;Constants!$B$8,"",IF($AL369,Constants!$B$21*$AN369+Constants!$B$22*IF($AO369,$AP369,Constants!$B$23),Constants!$B$24))</f>
        <v/>
      </c>
      <c r="BD369" s="97" t="str">
        <f aca="false">IF($BZ369&lt;&gt;Constants!$B$8,"",Constants!$B$25*ABS($AD$9-IF($AL369,$AM369,0)))</f>
        <v/>
      </c>
      <c r="BE369" s="97" t="str">
        <f aca="false">IF($BZ369&lt;&gt;Constants!$B$8,"",IF(AND($AL369,$AQ369,$AO369),Constants!$B$27,0))</f>
        <v/>
      </c>
      <c r="BF369" s="97" t="str">
        <f aca="false">IF($BZ369&lt;&gt;Constants!$B$8,"",IF($AL369,($AI369-Constants!$B$29)*Constants!$B$28,0))</f>
        <v/>
      </c>
      <c r="BG369" s="97" t="str">
        <f aca="false">IF($BZ369&lt;&gt;Constants!$B$8,"",IF($AK369,0,Constants!$B$15)+IF($AJ369,0,Constants!$B$16)+IF($AH369,0,Constants!$B$17))</f>
        <v/>
      </c>
      <c r="BH369" s="98" t="str">
        <f aca="false">IF($BZ369&lt;&gt;Constants!$B$8,"",Constants!$B$20+SUM($BC369:$BG369))</f>
        <v/>
      </c>
      <c r="BI369" s="97" t="str">
        <f aca="false">IF($BZ369&lt;&gt;Constants!$B$8,"",$BC369)</f>
        <v/>
      </c>
      <c r="BJ369" s="97" t="str">
        <f aca="false">IF($BZ369&lt;&gt;Constants!$B$8,"",$BD369)</f>
        <v/>
      </c>
      <c r="BK369" s="97" t="str">
        <f aca="false">IF($BZ369&lt;&gt;Constants!$B$8,"",IF($AL369,$AN369,""))</f>
        <v/>
      </c>
      <c r="BL369" s="99" t="str">
        <f aca="false">IF($BZ369&lt;&gt;Constants!$B$8,"",$AI369)</f>
        <v/>
      </c>
      <c r="BM369" s="93" t="str">
        <f aca="false">IF($BZ369&lt;&gt;Constants!$B$8,"",IF(OR($BT369&lt;$BH369,AND($BT369=$BH369,OR($BU369&lt;$BI369,AND($BU369=$BI369,OR($BV369&lt;$BJ369,AND($BV369=$BJ369,OR(AND(ISNUMBER($BW369),OR(NOT(ISNUMBER($BK369)),$BW369&lt;$BK369)),AND(OR(AND($BW369="",$BK369=""),AND(ISNUMBER($BW369),ISNUMBER($BK369),$BW369=$BK369)),$BX369&lt;$BL369)))))))),"-&gt;","&lt;-"))</f>
        <v/>
      </c>
      <c r="BN369" s="92" t="str">
        <f aca="false">IF(ISBLANK($C369),"",AND($AT369,OR($AU369="",$AV369="",AND($AW369,$AX369=""))))</f>
        <v/>
      </c>
      <c r="BO369" s="94" t="str">
        <f aca="false">IF($BZ369&lt;&gt;Constants!$B$8,"",IF($AT369,Constants!$B$21*$AV369+Constants!$B$22*IF($AW369,$AX369,Constants!$B$23),Constants!$B$24))</f>
        <v/>
      </c>
      <c r="BP369" s="97" t="str">
        <f aca="false">IF($BZ369&lt;&gt;Constants!$B$8,"",Constants!$B$25*ABS($AD$9-IF($AT369,$AU369,0)))</f>
        <v/>
      </c>
      <c r="BQ369" s="97" t="str">
        <f aca="false">IF($BZ369&lt;&gt;Constants!$B$8,"",IF(AND($AT369,$AY369,$AW369),Constants!$B$27,0))</f>
        <v/>
      </c>
      <c r="BR369" s="97" t="str">
        <f aca="false">IF($BZ369&lt;&gt;Constants!$B$8,"",IF($AT369,($AI369-Constants!$B$29)*Constants!$B$28,0))</f>
        <v/>
      </c>
      <c r="BS369" s="97" t="str">
        <f aca="false">IF($BZ369&lt;&gt;Constants!$B$8,"",IF($AS369,0,Constants!$B$15)+IF($AR369,0,Constants!$B$16)+IF($AH369,0,Constants!$B$17))</f>
        <v/>
      </c>
      <c r="BT369" s="98" t="str">
        <f aca="false">IF($BZ369&lt;&gt;Constants!$B$8,"",Constants!$B$20+SUM($BO369:$BS369))</f>
        <v/>
      </c>
      <c r="BU369" s="97" t="str">
        <f aca="false">IF($BZ369&lt;&gt;Constants!$B$8,"",$BO369)</f>
        <v/>
      </c>
      <c r="BV369" s="97" t="str">
        <f aca="false">IF($BZ369&lt;&gt;Constants!$B$8,"",$BP369)</f>
        <v/>
      </c>
      <c r="BW369" s="97" t="str">
        <f aca="false">IF($BZ369&lt;&gt;Constants!$B$8,"",IF($AT369,$AV369,""))</f>
        <v/>
      </c>
      <c r="BX369" s="99" t="str">
        <f aca="false">IF($BZ369&lt;&gt;Constants!$B$8,"",$AI369)</f>
        <v/>
      </c>
      <c r="BY369" s="93" t="str">
        <f aca="false">IF(ISBLANK($C369),"",IF(ISBLANK($D$7),$BY$5,IF(NOT(ISNUMBER($D$7)),$BY$6,"")))</f>
        <v/>
      </c>
      <c r="BZ369" s="93" t="str">
        <f aca="false">IF(ISBLANK($C369),"",IF($BA369,Constants!$B$11,IF(COUNTA($E369:$AA369)=0,Constants!$B$10,IF(NOT($AG369),Constants!$B$9,IF(OR($BY369&lt;&gt;"",$BB369,$BN369),Constants!$B$12,Constants!$B$8)))))</f>
        <v/>
      </c>
      <c r="CA369" s="93" t="str">
        <f aca="false">IF(ISBLANK($C369),"",IF($BZ369&lt;&gt;Constants!$B$8,$BZ369,Constants!$B$13))</f>
        <v/>
      </c>
      <c r="CB369" s="97" t="str">
        <f aca="false">IF($BZ369&lt;&gt;Constants!$B$8,"",IF($BM369="-&gt;",$BT369,$BH369))</f>
        <v/>
      </c>
      <c r="CC369" s="97" t="str">
        <f aca="false">IF($BZ369&lt;&gt;Constants!$B$8,"",IF($AF369,0,Constants!$B$18))</f>
        <v/>
      </c>
      <c r="CD369" s="97" t="str">
        <f aca="false">IF($BZ369&lt;&gt;Constants!$B$8,"",((Constants!$B$31-$AZ369)-Constants!$B$31)/Constants!$B$32)</f>
        <v/>
      </c>
      <c r="CE369" s="97" t="str">
        <f aca="false">IF(ISBLANK($C369),"",IF($BZ369&lt;&gt;Constants!$B$8,$BZ369,SUM($CB369:$CD369)))</f>
        <v/>
      </c>
      <c r="CF369" s="93" t="str">
        <f aca="false">IF(ISBLANK($C369),"",IF($BZ369&lt;&gt;Constants!$B$8,$BZ369,RANK($CE369,$CE$9:$CE$508,1)))</f>
        <v/>
      </c>
      <c r="CG369" s="97" t="str">
        <f aca="false">IF($BZ369&lt;&gt;Constants!$B$8,"",IF($BM369="-&gt;",$BU369,$BI369))</f>
        <v/>
      </c>
      <c r="CH369" s="93" t="str">
        <f aca="false">IF(ISBLANK($C369),"",IF($BZ369&lt;&gt;Constants!$B$8,$BZ369,IF(ISNUMBER($CG369),RANK($CG369,$CG$9:$CG$508,1),COUNT($CG$9:$CG$508)+1)))</f>
        <v/>
      </c>
      <c r="CI369" s="97" t="str">
        <f aca="false">IF($BZ369&lt;&gt;Constants!$B$8,"",IF($BM369="-&gt;",$BV369,$BJ369))</f>
        <v/>
      </c>
      <c r="CJ369" s="93" t="str">
        <f aca="false">IF(ISBLANK($C369),"",IF($BZ369&lt;&gt;Constants!$B$8,$BZ369,IF(ISNUMBER($CI369),RANK($CI369,$CI$9:$CI$508,1),COUNT($CI$9:$CI$508)+1)))</f>
        <v/>
      </c>
      <c r="CK369" s="97" t="str">
        <f aca="false">IF($BZ369&lt;&gt;Constants!$B$8,"",IF($BM369="-&gt;",$BW369,$BK369))</f>
        <v/>
      </c>
      <c r="CL369" s="93" t="str">
        <f aca="false">IF(ISBLANK($C369),"",IF($BZ369&lt;&gt;Constants!$B$8,$BZ369,IF(ISNUMBER($CK369),RANK($CK369,$CK$9:$CK$508,1),COUNT($CK$9:$CK$508)+1)))</f>
        <v/>
      </c>
      <c r="CM369" s="97" t="str">
        <f aca="false">IF($BZ369&lt;&gt;Constants!$B$8,"",IF(AND(NOT($AL369),NOT($AT369),$AJ369,$AK369,$AR369,$AS369),"",IF($BM369="-&gt;",$BX369,$BL369)))</f>
        <v/>
      </c>
      <c r="CN369" s="93" t="str">
        <f aca="false">IF(ISBLANK($C369),"",IF($BZ369&lt;&gt;Constants!$B$8,$BZ369,IF(ISNUMBER($CM369),RANK($CM369,$CM$9:$CM$508,1),COUNT($CM$9:$CM$508)+1)))</f>
        <v/>
      </c>
      <c r="CO369" s="93" t="str">
        <f aca="false">IF(ISBLANK($C369),"",IF($BZ369&lt;&gt;Constants!$B$8,$BZ369,COUNTIFS($CF$9:$CF$508,"&lt;"&amp;$CF369)+COUNTIFS($CF$9:$CF$508,$CF369,$CH$9:$CH$508,"&lt;"&amp;$CH369)+COUNTIFS($CF$9:$CF$508,$CF369,$CH$9:$CH$508,$CH369,$CJ$9:$CJ$508,"&lt;"&amp;$CJ369)+COUNTIFS($CF$9:$CF$508,$CF369,$CH$9:$CH$508,$CH369,$CJ$9:$CJ$508,$CJ369,$CL$9:$CL$508,"&lt;"&amp;$CL369)+COUNTIFS($CF$9:$CF$508,$CF369,$CH$9:$CH$508,$CH369,$CJ$9:$CJ$508,$CJ369,$CL$9:$CL$508,$CL369,$CN$9:$CN$508,"&lt;"&amp;$CN369)+1))</f>
        <v/>
      </c>
      <c r="CP369" s="93" t="str">
        <f aca="false">IF(ISBLANK($C369),"",IF($BZ369&lt;&gt;Constants!$B$8,$BZ369,$CF369-$CO369))</f>
        <v/>
      </c>
      <c r="CQ369" s="100"/>
      <c r="CR369" s="101"/>
      <c r="CS369" s="102" t="str">
        <f aca="false">IF(ISBLANK($C369),"",IF($BZ369=Constants!$B$12,$BY369,""))</f>
        <v/>
      </c>
      <c r="CT369" s="101" t="str">
        <f aca="false">IF(ISBLANK($C369),"",IF($BZ369&lt;&gt;Constants!$B$8,"",IF($BM369="-&gt;",2,1)))</f>
        <v/>
      </c>
      <c r="CU369" s="103" t="str">
        <f aca="false">IF(ISBLANK($C369),"",IF($BZ369&lt;&gt;Constants!$B$8,"",IF($BM369="-&gt;",$BO369,$BC369)))</f>
        <v/>
      </c>
      <c r="CV369" s="103" t="str">
        <f aca="false">IF(ISBLANK($C369),"",IF($BZ369&lt;&gt;Constants!$B$8,"",IF($BM369="-&gt;",$BP369,$BD369)))</f>
        <v/>
      </c>
      <c r="CW369" s="103" t="str">
        <f aca="false">IF(ISBLANK($C369),"",IF($BZ369&lt;&gt;Constants!$B$8,"",IF($BM369="-&gt;",$BQ369+$BR369,$BE369+$BF369)+$CD369))</f>
        <v/>
      </c>
      <c r="CX369" s="103" t="str">
        <f aca="false">IF(ISBLANK($C369),"",IF($BZ369&lt;&gt;Constants!$B$8,"",IF($BM369="-&gt;",$BS369,$BG369)+$CC369))</f>
        <v/>
      </c>
      <c r="CY369" s="104" t="str">
        <f aca="false">IF(ISBLANK($C369),"",IF($BZ369&lt;&gt;Constants!$B$8,$BZ369,$CE369))</f>
        <v/>
      </c>
      <c r="CZ369" s="105" t="str">
        <f aca="false">IF(ISBLANK($C369),"",$CA369)</f>
        <v/>
      </c>
      <c r="DA369" s="106" t="str">
        <f aca="false">IF(ISBLANK($C369),"",$CP369)</f>
        <v/>
      </c>
      <c r="DB369" s="106" t="str">
        <f aca="false">IF(ISBLANK($C369),"",$CO369)</f>
        <v/>
      </c>
      <c r="DC369" s="107" t="str">
        <f aca="false">IF(ISBLANK($C369),"",IFERROR(_xlfn.SWITCH($DB369,Constants!$B$11,COUNTA($C$9:$C$508)+2,Constants!$B$10,COUNTA($C$9:$C$508)+1,Constants!$B$9,COUNTA($C$9:$C$508)),$DB369))</f>
        <v/>
      </c>
      <c r="DD369" s="9"/>
      <c r="DE369" s="108" t="n">
        <f aca="false">IF(OR(ISNUMBER($DB369),$DB369=Constants!$B$11,$DB369=Constants!$B$9,$DB369=Constants!$B$10),1,0)</f>
        <v>0</v>
      </c>
      <c r="DF369" s="108" t="n">
        <v>361</v>
      </c>
      <c r="DG369" s="108" t="str">
        <f aca="false">IF(ISBLANK($C369),"",IF(ISNUMBER($DC369),$DC369+ROW($B369)/1000,""))</f>
        <v/>
      </c>
      <c r="DH369" s="108" t="str">
        <f aca="false">IF(ISNUMBER($DG369),RANK($DG369,$DG$9:$DG$508,1),"")</f>
        <v/>
      </c>
      <c r="DI369" s="108" t="str">
        <f aca="false">IF(ISBLANK($C369),"",$B369)</f>
        <v/>
      </c>
      <c r="DJ369" s="108" t="str">
        <f aca="false">IF(ISBLANK($C369),"",$C369)</f>
        <v/>
      </c>
      <c r="DK369" s="108" t="str">
        <f aca="false">IF(ISBLANK($C369),"",$D369)</f>
        <v/>
      </c>
      <c r="DL369" s="109" t="str">
        <f aca="false">$CZ369</f>
        <v/>
      </c>
      <c r="DM369" s="110" t="str">
        <f aca="false">$CY369</f>
        <v/>
      </c>
      <c r="DN369" s="108" t="str">
        <f aca="false">IF(ISBLANK($C369),"",$DB369)</f>
        <v/>
      </c>
      <c r="DO369" s="111" t="str">
        <f aca="false">IF($DF369&gt;$DE$8,"",VLOOKUP($DF369,$DH$9:$DN$508,7,FALSE()))</f>
        <v/>
      </c>
      <c r="DP369" s="112" t="str">
        <f aca="false">IF($DF369&gt;$DE$8,"",VLOOKUP($DF369,$DH$9:$DN$508,2,FALSE()))</f>
        <v/>
      </c>
      <c r="DQ369" s="112" t="str">
        <f aca="false">IF($DF369&gt;$DE$8,"",VLOOKUP($DF369,$DH$9:$DN$508,3,FALSE()))</f>
        <v/>
      </c>
      <c r="DR369" s="112" t="str">
        <f aca="false">IF($DF369&gt;$DE$8,"",VLOOKUP($DF369,$DH$9:$DN$508,4,FALSE()))</f>
        <v/>
      </c>
      <c r="DS369" s="112" t="str">
        <f aca="false">IF($DF369&gt;$DE$8,"",VLOOKUP($DF369,$DH$9:$DN$508,5,FALSE()))</f>
        <v/>
      </c>
      <c r="DT369" s="113" t="str">
        <f aca="false">IF($DF369&gt;$DE$8,"",VLOOKUP($DF369,$DH$9:$DN$508,6,FALSE()))</f>
        <v/>
      </c>
      <c r="DU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IF(ISBLANK($C370),"",IF(E370=Constants!$B$3,TRUE(),IF(E370=Constants!$B$4,FALSE(),TRUE())))</f>
        <v/>
      </c>
      <c r="AG370" s="93" t="str">
        <f aca="false">IF(ISBLANK($C370),"",IF(F370=Constants!$B$3,TRUE(),IF(F370=Constants!$B$4,FALSE(),TRUE())))</f>
        <v/>
      </c>
      <c r="AH370" s="93" t="str">
        <f aca="false">IF(ISBLANK($C370),"",IF(G370=Constants!$B$3,TRUE(),IF(G370=Constants!$B$4,FALSE(),TRUE())))</f>
        <v/>
      </c>
      <c r="AI370" s="93" t="str">
        <f aca="false">IF(ISBLANK($C370),"",IF(AND(ISNUMBER(H370),H370&gt;=0),H370,Constants!$B$29))</f>
        <v/>
      </c>
      <c r="AJ370" s="93" t="str">
        <f aca="false">IF(ISBLANK($C370),"",IF(I370=Constants!$B$3,TRUE(),IF(I370=Constants!$B$4,FALSE(),TRUE())))</f>
        <v/>
      </c>
      <c r="AK370" s="93" t="str">
        <f aca="false">IF(ISBLANK($C370),"",IF(J370=Constants!$B$3,TRUE(),IF(J370=Constants!$B$4,FALSE(),TRUE())))</f>
        <v/>
      </c>
      <c r="AL370" s="93" t="str">
        <f aca="false">IF(ISBLANK($C370),"",IF(K370=Constants!$B$5,TRUE(),IF(K370=Constants!$B$6,FALSE(),COUNTA(L370:P370)&gt;0)))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IF(ISBLANK($C370),"",IF(N370=Constants!$B$3,TRUE(),IF(N370=Constants!$B$4,FALSE(),TRUE())))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IF(ISBLANK($C370),"",IF(P370=Constants!$B$3,TRUE(),IF(P370=Constants!$B$4,FALSE(),FALSE())))</f>
        <v/>
      </c>
      <c r="AR370" s="93" t="str">
        <f aca="false">IF(ISBLANK($C370),"",IF(Q370=Constants!$B$3,TRUE(),IF(Q370=Constants!$B$4,FALSE(),TRUE())))</f>
        <v/>
      </c>
      <c r="AS370" s="93" t="str">
        <f aca="false">IF(ISBLANK($C370),"",IF(R370=Constants!$B$3,TRUE(),IF(R370=Constants!$B$4,FALSE(),TRUE())))</f>
        <v/>
      </c>
      <c r="AT370" s="93" t="str">
        <f aca="false">IF(ISBLANK($C370),"",IF(S370=Constants!$B$5,TRUE(),IF(S370=Constants!$B$6,FALSE(),COUNTA(T370:X370)&gt;0)))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IF(ISBLANK($C370),"",IF(V370=Constants!$B$3,TRUE(),IF(V370=Constants!$B$4,FALSE(),TRUE())))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IF(ISBLANK($C370),"",IF(X370=Constants!$B$3,TRUE(),IF(X370=Constants!$B$4,FALSE(),FALSE())))</f>
        <v/>
      </c>
      <c r="AZ370" s="93" t="str">
        <f aca="false">IF(ISBLANK($C370),"",MIN(Constants!$B$31,MAX(0,IF(ISNUMBER(Y370),Y370*60,0)+IF(ISNUMBER(Z370),Z370,0))))</f>
        <v/>
      </c>
      <c r="BA370" s="93" t="str">
        <f aca="false">IF(ISBLANK($C370),"",IF(AA370=Constants!$B$3,TRUE(),IF(AA370=Constants!$B$4,FALSE(),FALSE())))</f>
        <v/>
      </c>
      <c r="BB370" s="92" t="str">
        <f aca="false">IF(ISBLANK($C370),"",AND($AL370,OR($AM370="",$AN370="",AND($AO370,$AP370=""))))</f>
        <v/>
      </c>
      <c r="BC370" s="94" t="str">
        <f aca="false">IF($BZ370&lt;&gt;Constants!$B$8,"",IF($AL370,Constants!$B$21*$AN370+Constants!$B$22*IF($AO370,$AP370,Constants!$B$23),Constants!$B$24))</f>
        <v/>
      </c>
      <c r="BD370" s="97" t="str">
        <f aca="false">IF($BZ370&lt;&gt;Constants!$B$8,"",Constants!$B$25*ABS($AD$9-IF($AL370,$AM370,0)))</f>
        <v/>
      </c>
      <c r="BE370" s="97" t="str">
        <f aca="false">IF($BZ370&lt;&gt;Constants!$B$8,"",IF(AND($AL370,$AQ370,$AO370),Constants!$B$27,0))</f>
        <v/>
      </c>
      <c r="BF370" s="97" t="str">
        <f aca="false">IF($BZ370&lt;&gt;Constants!$B$8,"",IF($AL370,($AI370-Constants!$B$29)*Constants!$B$28,0))</f>
        <v/>
      </c>
      <c r="BG370" s="97" t="str">
        <f aca="false">IF($BZ370&lt;&gt;Constants!$B$8,"",IF($AK370,0,Constants!$B$15)+IF($AJ370,0,Constants!$B$16)+IF($AH370,0,Constants!$B$17))</f>
        <v/>
      </c>
      <c r="BH370" s="98" t="str">
        <f aca="false">IF($BZ370&lt;&gt;Constants!$B$8,"",Constants!$B$20+SUM($BC370:$BG370))</f>
        <v/>
      </c>
      <c r="BI370" s="97" t="str">
        <f aca="false">IF($BZ370&lt;&gt;Constants!$B$8,"",$BC370)</f>
        <v/>
      </c>
      <c r="BJ370" s="97" t="str">
        <f aca="false">IF($BZ370&lt;&gt;Constants!$B$8,"",$BD370)</f>
        <v/>
      </c>
      <c r="BK370" s="97" t="str">
        <f aca="false">IF($BZ370&lt;&gt;Constants!$B$8,"",IF($AL370,$AN370,""))</f>
        <v/>
      </c>
      <c r="BL370" s="99" t="str">
        <f aca="false">IF($BZ370&lt;&gt;Constants!$B$8,"",$AI370)</f>
        <v/>
      </c>
      <c r="BM370" s="93" t="str">
        <f aca="false">IF($BZ370&lt;&gt;Constants!$B$8,"",IF(OR($BT370&lt;$BH370,AND($BT370=$BH370,OR($BU370&lt;$BI370,AND($BU370=$BI370,OR($BV370&lt;$BJ370,AND($BV370=$BJ370,OR(AND(ISNUMBER($BW370),OR(NOT(ISNUMBER($BK370)),$BW370&lt;$BK370)),AND(OR(AND($BW370="",$BK370=""),AND(ISNUMBER($BW370),ISNUMBER($BK370),$BW370=$BK370)),$BX370&lt;$BL370)))))))),"-&gt;","&lt;-"))</f>
        <v/>
      </c>
      <c r="BN370" s="92" t="str">
        <f aca="false">IF(ISBLANK($C370),"",AND($AT370,OR($AU370="",$AV370="",AND($AW370,$AX370=""))))</f>
        <v/>
      </c>
      <c r="BO370" s="94" t="str">
        <f aca="false">IF($BZ370&lt;&gt;Constants!$B$8,"",IF($AT370,Constants!$B$21*$AV370+Constants!$B$22*IF($AW370,$AX370,Constants!$B$23),Constants!$B$24))</f>
        <v/>
      </c>
      <c r="BP370" s="97" t="str">
        <f aca="false">IF($BZ370&lt;&gt;Constants!$B$8,"",Constants!$B$25*ABS($AD$9-IF($AT370,$AU370,0)))</f>
        <v/>
      </c>
      <c r="BQ370" s="97" t="str">
        <f aca="false">IF($BZ370&lt;&gt;Constants!$B$8,"",IF(AND($AT370,$AY370,$AW370),Constants!$B$27,0))</f>
        <v/>
      </c>
      <c r="BR370" s="97" t="str">
        <f aca="false">IF($BZ370&lt;&gt;Constants!$B$8,"",IF($AT370,($AI370-Constants!$B$29)*Constants!$B$28,0))</f>
        <v/>
      </c>
      <c r="BS370" s="97" t="str">
        <f aca="false">IF($BZ370&lt;&gt;Constants!$B$8,"",IF($AS370,0,Constants!$B$15)+IF($AR370,0,Constants!$B$16)+IF($AH370,0,Constants!$B$17))</f>
        <v/>
      </c>
      <c r="BT370" s="98" t="str">
        <f aca="false">IF($BZ370&lt;&gt;Constants!$B$8,"",Constants!$B$20+SUM($BO370:$BS370))</f>
        <v/>
      </c>
      <c r="BU370" s="97" t="str">
        <f aca="false">IF($BZ370&lt;&gt;Constants!$B$8,"",$BO370)</f>
        <v/>
      </c>
      <c r="BV370" s="97" t="str">
        <f aca="false">IF($BZ370&lt;&gt;Constants!$B$8,"",$BP370)</f>
        <v/>
      </c>
      <c r="BW370" s="97" t="str">
        <f aca="false">IF($BZ370&lt;&gt;Constants!$B$8,"",IF($AT370,$AV370,""))</f>
        <v/>
      </c>
      <c r="BX370" s="99" t="str">
        <f aca="false">IF($BZ370&lt;&gt;Constants!$B$8,"",$AI370)</f>
        <v/>
      </c>
      <c r="BY370" s="93" t="str">
        <f aca="false">IF(ISBLANK($C370),"",IF(ISBLANK($D$7),$BY$5,IF(NOT(ISNUMBER($D$7)),$BY$6,"")))</f>
        <v/>
      </c>
      <c r="BZ370" s="93" t="str">
        <f aca="false">IF(ISBLANK($C370),"",IF($BA370,Constants!$B$11,IF(COUNTA($E370:$AA370)=0,Constants!$B$10,IF(NOT($AG370),Constants!$B$9,IF(OR($BY370&lt;&gt;"",$BB370,$BN370),Constants!$B$12,Constants!$B$8)))))</f>
        <v/>
      </c>
      <c r="CA370" s="93" t="str">
        <f aca="false">IF(ISBLANK($C370),"",IF($BZ370&lt;&gt;Constants!$B$8,$BZ370,Constants!$B$13))</f>
        <v/>
      </c>
      <c r="CB370" s="97" t="str">
        <f aca="false">IF($BZ370&lt;&gt;Constants!$B$8,"",IF($BM370="-&gt;",$BT370,$BH370))</f>
        <v/>
      </c>
      <c r="CC370" s="97" t="str">
        <f aca="false">IF($BZ370&lt;&gt;Constants!$B$8,"",IF($AF370,0,Constants!$B$18))</f>
        <v/>
      </c>
      <c r="CD370" s="97" t="str">
        <f aca="false">IF($BZ370&lt;&gt;Constants!$B$8,"",((Constants!$B$31-$AZ370)-Constants!$B$31)/Constants!$B$32)</f>
        <v/>
      </c>
      <c r="CE370" s="97" t="str">
        <f aca="false">IF(ISBLANK($C370),"",IF($BZ370&lt;&gt;Constants!$B$8,$BZ370,SUM($CB370:$CD370)))</f>
        <v/>
      </c>
      <c r="CF370" s="93" t="str">
        <f aca="false">IF(ISBLANK($C370),"",IF($BZ370&lt;&gt;Constants!$B$8,$BZ370,RANK($CE370,$CE$9:$CE$508,1)))</f>
        <v/>
      </c>
      <c r="CG370" s="97" t="str">
        <f aca="false">IF($BZ370&lt;&gt;Constants!$B$8,"",IF($BM370="-&gt;",$BU370,$BI370))</f>
        <v/>
      </c>
      <c r="CH370" s="93" t="str">
        <f aca="false">IF(ISBLANK($C370),"",IF($BZ370&lt;&gt;Constants!$B$8,$BZ370,IF(ISNUMBER($CG370),RANK($CG370,$CG$9:$CG$508,1),COUNT($CG$9:$CG$508)+1)))</f>
        <v/>
      </c>
      <c r="CI370" s="97" t="str">
        <f aca="false">IF($BZ370&lt;&gt;Constants!$B$8,"",IF($BM370="-&gt;",$BV370,$BJ370))</f>
        <v/>
      </c>
      <c r="CJ370" s="93" t="str">
        <f aca="false">IF(ISBLANK($C370),"",IF($BZ370&lt;&gt;Constants!$B$8,$BZ370,IF(ISNUMBER($CI370),RANK($CI370,$CI$9:$CI$508,1),COUNT($CI$9:$CI$508)+1)))</f>
        <v/>
      </c>
      <c r="CK370" s="97" t="str">
        <f aca="false">IF($BZ370&lt;&gt;Constants!$B$8,"",IF($BM370="-&gt;",$BW370,$BK370))</f>
        <v/>
      </c>
      <c r="CL370" s="93" t="str">
        <f aca="false">IF(ISBLANK($C370),"",IF($BZ370&lt;&gt;Constants!$B$8,$BZ370,IF(ISNUMBER($CK370),RANK($CK370,$CK$9:$CK$508,1),COUNT($CK$9:$CK$508)+1)))</f>
        <v/>
      </c>
      <c r="CM370" s="97" t="str">
        <f aca="false">IF($BZ370&lt;&gt;Constants!$B$8,"",IF(AND(NOT($AL370),NOT($AT370),$AJ370,$AK370,$AR370,$AS370),"",IF($BM370="-&gt;",$BX370,$BL370)))</f>
        <v/>
      </c>
      <c r="CN370" s="93" t="str">
        <f aca="false">IF(ISBLANK($C370),"",IF($BZ370&lt;&gt;Constants!$B$8,$BZ370,IF(ISNUMBER($CM370),RANK($CM370,$CM$9:$CM$508,1),COUNT($CM$9:$CM$508)+1)))</f>
        <v/>
      </c>
      <c r="CO370" s="93" t="str">
        <f aca="false">IF(ISBLANK($C370),"",IF($BZ370&lt;&gt;Constants!$B$8,$BZ370,COUNTIFS($CF$9:$CF$508,"&lt;"&amp;$CF370)+COUNTIFS($CF$9:$CF$508,$CF370,$CH$9:$CH$508,"&lt;"&amp;$CH370)+COUNTIFS($CF$9:$CF$508,$CF370,$CH$9:$CH$508,$CH370,$CJ$9:$CJ$508,"&lt;"&amp;$CJ370)+COUNTIFS($CF$9:$CF$508,$CF370,$CH$9:$CH$508,$CH370,$CJ$9:$CJ$508,$CJ370,$CL$9:$CL$508,"&lt;"&amp;$CL370)+COUNTIFS($CF$9:$CF$508,$CF370,$CH$9:$CH$508,$CH370,$CJ$9:$CJ$508,$CJ370,$CL$9:$CL$508,$CL370,$CN$9:$CN$508,"&lt;"&amp;$CN370)+1))</f>
        <v/>
      </c>
      <c r="CP370" s="93" t="str">
        <f aca="false">IF(ISBLANK($C370),"",IF($BZ370&lt;&gt;Constants!$B$8,$BZ370,$CF370-$CO370))</f>
        <v/>
      </c>
      <c r="CQ370" s="100"/>
      <c r="CR370" s="101"/>
      <c r="CS370" s="102" t="str">
        <f aca="false">IF(ISBLANK($C370),"",IF($BZ370=Constants!$B$12,$BY370,""))</f>
        <v/>
      </c>
      <c r="CT370" s="101" t="str">
        <f aca="false">IF(ISBLANK($C370),"",IF($BZ370&lt;&gt;Constants!$B$8,"",IF($BM370="-&gt;",2,1)))</f>
        <v/>
      </c>
      <c r="CU370" s="103" t="str">
        <f aca="false">IF(ISBLANK($C370),"",IF($BZ370&lt;&gt;Constants!$B$8,"",IF($BM370="-&gt;",$BO370,$BC370)))</f>
        <v/>
      </c>
      <c r="CV370" s="103" t="str">
        <f aca="false">IF(ISBLANK($C370),"",IF($BZ370&lt;&gt;Constants!$B$8,"",IF($BM370="-&gt;",$BP370,$BD370)))</f>
        <v/>
      </c>
      <c r="CW370" s="103" t="str">
        <f aca="false">IF(ISBLANK($C370),"",IF($BZ370&lt;&gt;Constants!$B$8,"",IF($BM370="-&gt;",$BQ370+$BR370,$BE370+$BF370)+$CD370))</f>
        <v/>
      </c>
      <c r="CX370" s="103" t="str">
        <f aca="false">IF(ISBLANK($C370),"",IF($BZ370&lt;&gt;Constants!$B$8,"",IF($BM370="-&gt;",$BS370,$BG370)+$CC370))</f>
        <v/>
      </c>
      <c r="CY370" s="104" t="str">
        <f aca="false">IF(ISBLANK($C370),"",IF($BZ370&lt;&gt;Constants!$B$8,$BZ370,$CE370))</f>
        <v/>
      </c>
      <c r="CZ370" s="105" t="str">
        <f aca="false">IF(ISBLANK($C370),"",$CA370)</f>
        <v/>
      </c>
      <c r="DA370" s="106" t="str">
        <f aca="false">IF(ISBLANK($C370),"",$CP370)</f>
        <v/>
      </c>
      <c r="DB370" s="106" t="str">
        <f aca="false">IF(ISBLANK($C370),"",$CO370)</f>
        <v/>
      </c>
      <c r="DC370" s="107" t="str">
        <f aca="false">IF(ISBLANK($C370),"",IFERROR(_xlfn.SWITCH($DB370,Constants!$B$11,COUNTA($C$9:$C$508)+2,Constants!$B$10,COUNTA($C$9:$C$508)+1,Constants!$B$9,COUNTA($C$9:$C$508)),$DB370))</f>
        <v/>
      </c>
      <c r="DD370" s="9"/>
      <c r="DE370" s="108" t="n">
        <f aca="false">IF(OR(ISNUMBER($DB370),$DB370=Constants!$B$11,$DB370=Constants!$B$9,$DB370=Constants!$B$10),1,0)</f>
        <v>0</v>
      </c>
      <c r="DF370" s="108" t="n">
        <v>362</v>
      </c>
      <c r="DG370" s="108" t="str">
        <f aca="false">IF(ISBLANK($C370),"",IF(ISNUMBER($DC370),$DC370+ROW($B370)/1000,""))</f>
        <v/>
      </c>
      <c r="DH370" s="108" t="str">
        <f aca="false">IF(ISNUMBER($DG370),RANK($DG370,$DG$9:$DG$508,1),"")</f>
        <v/>
      </c>
      <c r="DI370" s="108" t="str">
        <f aca="false">IF(ISBLANK($C370),"",$B370)</f>
        <v/>
      </c>
      <c r="DJ370" s="108" t="str">
        <f aca="false">IF(ISBLANK($C370),"",$C370)</f>
        <v/>
      </c>
      <c r="DK370" s="108" t="str">
        <f aca="false">IF(ISBLANK($C370),"",$D370)</f>
        <v/>
      </c>
      <c r="DL370" s="109" t="str">
        <f aca="false">$CZ370</f>
        <v/>
      </c>
      <c r="DM370" s="110" t="str">
        <f aca="false">$CY370</f>
        <v/>
      </c>
      <c r="DN370" s="108" t="str">
        <f aca="false">IF(ISBLANK($C370),"",$DB370)</f>
        <v/>
      </c>
      <c r="DO370" s="111" t="str">
        <f aca="false">IF($DF370&gt;$DE$8,"",VLOOKUP($DF370,$DH$9:$DN$508,7,FALSE()))</f>
        <v/>
      </c>
      <c r="DP370" s="112" t="str">
        <f aca="false">IF($DF370&gt;$DE$8,"",VLOOKUP($DF370,$DH$9:$DN$508,2,FALSE()))</f>
        <v/>
      </c>
      <c r="DQ370" s="112" t="str">
        <f aca="false">IF($DF370&gt;$DE$8,"",VLOOKUP($DF370,$DH$9:$DN$508,3,FALSE()))</f>
        <v/>
      </c>
      <c r="DR370" s="112" t="str">
        <f aca="false">IF($DF370&gt;$DE$8,"",VLOOKUP($DF370,$DH$9:$DN$508,4,FALSE()))</f>
        <v/>
      </c>
      <c r="DS370" s="112" t="str">
        <f aca="false">IF($DF370&gt;$DE$8,"",VLOOKUP($DF370,$DH$9:$DN$508,5,FALSE()))</f>
        <v/>
      </c>
      <c r="DT370" s="113" t="str">
        <f aca="false">IF($DF370&gt;$DE$8,"",VLOOKUP($DF370,$DH$9:$DN$508,6,FALSE()))</f>
        <v/>
      </c>
      <c r="DU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IF(ISBLANK($C371),"",IF(E371=Constants!$B$3,TRUE(),IF(E371=Constants!$B$4,FALSE(),TRUE())))</f>
        <v/>
      </c>
      <c r="AG371" s="93" t="str">
        <f aca="false">IF(ISBLANK($C371),"",IF(F371=Constants!$B$3,TRUE(),IF(F371=Constants!$B$4,FALSE(),TRUE())))</f>
        <v/>
      </c>
      <c r="AH371" s="93" t="str">
        <f aca="false">IF(ISBLANK($C371),"",IF(G371=Constants!$B$3,TRUE(),IF(G371=Constants!$B$4,FALSE(),TRUE())))</f>
        <v/>
      </c>
      <c r="AI371" s="93" t="str">
        <f aca="false">IF(ISBLANK($C371),"",IF(AND(ISNUMBER(H371),H371&gt;=0),H371,Constants!$B$29))</f>
        <v/>
      </c>
      <c r="AJ371" s="93" t="str">
        <f aca="false">IF(ISBLANK($C371),"",IF(I371=Constants!$B$3,TRUE(),IF(I371=Constants!$B$4,FALSE(),TRUE())))</f>
        <v/>
      </c>
      <c r="AK371" s="93" t="str">
        <f aca="false">IF(ISBLANK($C371),"",IF(J371=Constants!$B$3,TRUE(),IF(J371=Constants!$B$4,FALSE(),TRUE())))</f>
        <v/>
      </c>
      <c r="AL371" s="93" t="str">
        <f aca="false">IF(ISBLANK($C371),"",IF(K371=Constants!$B$5,TRUE(),IF(K371=Constants!$B$6,FALSE(),COUNTA(L371:P371)&gt;0)))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IF(ISBLANK($C371),"",IF(N371=Constants!$B$3,TRUE(),IF(N371=Constants!$B$4,FALSE(),TRUE())))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IF(ISBLANK($C371),"",IF(P371=Constants!$B$3,TRUE(),IF(P371=Constants!$B$4,FALSE(),FALSE())))</f>
        <v/>
      </c>
      <c r="AR371" s="93" t="str">
        <f aca="false">IF(ISBLANK($C371),"",IF(Q371=Constants!$B$3,TRUE(),IF(Q371=Constants!$B$4,FALSE(),TRUE())))</f>
        <v/>
      </c>
      <c r="AS371" s="93" t="str">
        <f aca="false">IF(ISBLANK($C371),"",IF(R371=Constants!$B$3,TRUE(),IF(R371=Constants!$B$4,FALSE(),TRUE())))</f>
        <v/>
      </c>
      <c r="AT371" s="93" t="str">
        <f aca="false">IF(ISBLANK($C371),"",IF(S371=Constants!$B$5,TRUE(),IF(S371=Constants!$B$6,FALSE(),COUNTA(T371:X371)&gt;0)))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IF(ISBLANK($C371),"",IF(V371=Constants!$B$3,TRUE(),IF(V371=Constants!$B$4,FALSE(),TRUE())))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IF(ISBLANK($C371),"",IF(X371=Constants!$B$3,TRUE(),IF(X371=Constants!$B$4,FALSE(),FALSE())))</f>
        <v/>
      </c>
      <c r="AZ371" s="93" t="str">
        <f aca="false">IF(ISBLANK($C371),"",MIN(Constants!$B$31,MAX(0,IF(ISNUMBER(Y371),Y371*60,0)+IF(ISNUMBER(Z371),Z371,0))))</f>
        <v/>
      </c>
      <c r="BA371" s="93" t="str">
        <f aca="false">IF(ISBLANK($C371),"",IF(AA371=Constants!$B$3,TRUE(),IF(AA371=Constants!$B$4,FALSE(),FALSE())))</f>
        <v/>
      </c>
      <c r="BB371" s="92" t="str">
        <f aca="false">IF(ISBLANK($C371),"",AND($AL371,OR($AM371="",$AN371="",AND($AO371,$AP371=""))))</f>
        <v/>
      </c>
      <c r="BC371" s="94" t="str">
        <f aca="false">IF($BZ371&lt;&gt;Constants!$B$8,"",IF($AL371,Constants!$B$21*$AN371+Constants!$B$22*IF($AO371,$AP371,Constants!$B$23),Constants!$B$24))</f>
        <v/>
      </c>
      <c r="BD371" s="97" t="str">
        <f aca="false">IF($BZ371&lt;&gt;Constants!$B$8,"",Constants!$B$25*ABS($AD$9-IF($AL371,$AM371,0)))</f>
        <v/>
      </c>
      <c r="BE371" s="97" t="str">
        <f aca="false">IF($BZ371&lt;&gt;Constants!$B$8,"",IF(AND($AL371,$AQ371,$AO371),Constants!$B$27,0))</f>
        <v/>
      </c>
      <c r="BF371" s="97" t="str">
        <f aca="false">IF($BZ371&lt;&gt;Constants!$B$8,"",IF($AL371,($AI371-Constants!$B$29)*Constants!$B$28,0))</f>
        <v/>
      </c>
      <c r="BG371" s="97" t="str">
        <f aca="false">IF($BZ371&lt;&gt;Constants!$B$8,"",IF($AK371,0,Constants!$B$15)+IF($AJ371,0,Constants!$B$16)+IF($AH371,0,Constants!$B$17))</f>
        <v/>
      </c>
      <c r="BH371" s="98" t="str">
        <f aca="false">IF($BZ371&lt;&gt;Constants!$B$8,"",Constants!$B$20+SUM($BC371:$BG371))</f>
        <v/>
      </c>
      <c r="BI371" s="97" t="str">
        <f aca="false">IF($BZ371&lt;&gt;Constants!$B$8,"",$BC371)</f>
        <v/>
      </c>
      <c r="BJ371" s="97" t="str">
        <f aca="false">IF($BZ371&lt;&gt;Constants!$B$8,"",$BD371)</f>
        <v/>
      </c>
      <c r="BK371" s="97" t="str">
        <f aca="false">IF($BZ371&lt;&gt;Constants!$B$8,"",IF($AL371,$AN371,""))</f>
        <v/>
      </c>
      <c r="BL371" s="99" t="str">
        <f aca="false">IF($BZ371&lt;&gt;Constants!$B$8,"",$AI371)</f>
        <v/>
      </c>
      <c r="BM371" s="93" t="str">
        <f aca="false">IF($BZ371&lt;&gt;Constants!$B$8,"",IF(OR($BT371&lt;$BH371,AND($BT371=$BH371,OR($BU371&lt;$BI371,AND($BU371=$BI371,OR($BV371&lt;$BJ371,AND($BV371=$BJ371,OR(AND(ISNUMBER($BW371),OR(NOT(ISNUMBER($BK371)),$BW371&lt;$BK371)),AND(OR(AND($BW371="",$BK371=""),AND(ISNUMBER($BW371),ISNUMBER($BK371),$BW371=$BK371)),$BX371&lt;$BL371)))))))),"-&gt;","&lt;-"))</f>
        <v/>
      </c>
      <c r="BN371" s="92" t="str">
        <f aca="false">IF(ISBLANK($C371),"",AND($AT371,OR($AU371="",$AV371="",AND($AW371,$AX371=""))))</f>
        <v/>
      </c>
      <c r="BO371" s="94" t="str">
        <f aca="false">IF($BZ371&lt;&gt;Constants!$B$8,"",IF($AT371,Constants!$B$21*$AV371+Constants!$B$22*IF($AW371,$AX371,Constants!$B$23),Constants!$B$24))</f>
        <v/>
      </c>
      <c r="BP371" s="97" t="str">
        <f aca="false">IF($BZ371&lt;&gt;Constants!$B$8,"",Constants!$B$25*ABS($AD$9-IF($AT371,$AU371,0)))</f>
        <v/>
      </c>
      <c r="BQ371" s="97" t="str">
        <f aca="false">IF($BZ371&lt;&gt;Constants!$B$8,"",IF(AND($AT371,$AY371,$AW371),Constants!$B$27,0))</f>
        <v/>
      </c>
      <c r="BR371" s="97" t="str">
        <f aca="false">IF($BZ371&lt;&gt;Constants!$B$8,"",IF($AT371,($AI371-Constants!$B$29)*Constants!$B$28,0))</f>
        <v/>
      </c>
      <c r="BS371" s="97" t="str">
        <f aca="false">IF($BZ371&lt;&gt;Constants!$B$8,"",IF($AS371,0,Constants!$B$15)+IF($AR371,0,Constants!$B$16)+IF($AH371,0,Constants!$B$17))</f>
        <v/>
      </c>
      <c r="BT371" s="98" t="str">
        <f aca="false">IF($BZ371&lt;&gt;Constants!$B$8,"",Constants!$B$20+SUM($BO371:$BS371))</f>
        <v/>
      </c>
      <c r="BU371" s="97" t="str">
        <f aca="false">IF($BZ371&lt;&gt;Constants!$B$8,"",$BO371)</f>
        <v/>
      </c>
      <c r="BV371" s="97" t="str">
        <f aca="false">IF($BZ371&lt;&gt;Constants!$B$8,"",$BP371)</f>
        <v/>
      </c>
      <c r="BW371" s="97" t="str">
        <f aca="false">IF($BZ371&lt;&gt;Constants!$B$8,"",IF($AT371,$AV371,""))</f>
        <v/>
      </c>
      <c r="BX371" s="99" t="str">
        <f aca="false">IF($BZ371&lt;&gt;Constants!$B$8,"",$AI371)</f>
        <v/>
      </c>
      <c r="BY371" s="93" t="str">
        <f aca="false">IF(ISBLANK($C371),"",IF(ISBLANK($D$7),$BY$5,IF(NOT(ISNUMBER($D$7)),$BY$6,"")))</f>
        <v/>
      </c>
      <c r="BZ371" s="93" t="str">
        <f aca="false">IF(ISBLANK($C371),"",IF($BA371,Constants!$B$11,IF(COUNTA($E371:$AA371)=0,Constants!$B$10,IF(NOT($AG371),Constants!$B$9,IF(OR($BY371&lt;&gt;"",$BB371,$BN371),Constants!$B$12,Constants!$B$8)))))</f>
        <v/>
      </c>
      <c r="CA371" s="93" t="str">
        <f aca="false">IF(ISBLANK($C371),"",IF($BZ371&lt;&gt;Constants!$B$8,$BZ371,Constants!$B$13))</f>
        <v/>
      </c>
      <c r="CB371" s="97" t="str">
        <f aca="false">IF($BZ371&lt;&gt;Constants!$B$8,"",IF($BM371="-&gt;",$BT371,$BH371))</f>
        <v/>
      </c>
      <c r="CC371" s="97" t="str">
        <f aca="false">IF($BZ371&lt;&gt;Constants!$B$8,"",IF($AF371,0,Constants!$B$18))</f>
        <v/>
      </c>
      <c r="CD371" s="97" t="str">
        <f aca="false">IF($BZ371&lt;&gt;Constants!$B$8,"",((Constants!$B$31-$AZ371)-Constants!$B$31)/Constants!$B$32)</f>
        <v/>
      </c>
      <c r="CE371" s="97" t="str">
        <f aca="false">IF(ISBLANK($C371),"",IF($BZ371&lt;&gt;Constants!$B$8,$BZ371,SUM($CB371:$CD371)))</f>
        <v/>
      </c>
      <c r="CF371" s="93" t="str">
        <f aca="false">IF(ISBLANK($C371),"",IF($BZ371&lt;&gt;Constants!$B$8,$BZ371,RANK($CE371,$CE$9:$CE$508,1)))</f>
        <v/>
      </c>
      <c r="CG371" s="97" t="str">
        <f aca="false">IF($BZ371&lt;&gt;Constants!$B$8,"",IF($BM371="-&gt;",$BU371,$BI371))</f>
        <v/>
      </c>
      <c r="CH371" s="93" t="str">
        <f aca="false">IF(ISBLANK($C371),"",IF($BZ371&lt;&gt;Constants!$B$8,$BZ371,IF(ISNUMBER($CG371),RANK($CG371,$CG$9:$CG$508,1),COUNT($CG$9:$CG$508)+1)))</f>
        <v/>
      </c>
      <c r="CI371" s="97" t="str">
        <f aca="false">IF($BZ371&lt;&gt;Constants!$B$8,"",IF($BM371="-&gt;",$BV371,$BJ371))</f>
        <v/>
      </c>
      <c r="CJ371" s="93" t="str">
        <f aca="false">IF(ISBLANK($C371),"",IF($BZ371&lt;&gt;Constants!$B$8,$BZ371,IF(ISNUMBER($CI371),RANK($CI371,$CI$9:$CI$508,1),COUNT($CI$9:$CI$508)+1)))</f>
        <v/>
      </c>
      <c r="CK371" s="97" t="str">
        <f aca="false">IF($BZ371&lt;&gt;Constants!$B$8,"",IF($BM371="-&gt;",$BW371,$BK371))</f>
        <v/>
      </c>
      <c r="CL371" s="93" t="str">
        <f aca="false">IF(ISBLANK($C371),"",IF($BZ371&lt;&gt;Constants!$B$8,$BZ371,IF(ISNUMBER($CK371),RANK($CK371,$CK$9:$CK$508,1),COUNT($CK$9:$CK$508)+1)))</f>
        <v/>
      </c>
      <c r="CM371" s="97" t="str">
        <f aca="false">IF($BZ371&lt;&gt;Constants!$B$8,"",IF(AND(NOT($AL371),NOT($AT371),$AJ371,$AK371,$AR371,$AS371),"",IF($BM371="-&gt;",$BX371,$BL371)))</f>
        <v/>
      </c>
      <c r="CN371" s="93" t="str">
        <f aca="false">IF(ISBLANK($C371),"",IF($BZ371&lt;&gt;Constants!$B$8,$BZ371,IF(ISNUMBER($CM371),RANK($CM371,$CM$9:$CM$508,1),COUNT($CM$9:$CM$508)+1)))</f>
        <v/>
      </c>
      <c r="CO371" s="93" t="str">
        <f aca="false">IF(ISBLANK($C371),"",IF($BZ371&lt;&gt;Constants!$B$8,$BZ371,COUNTIFS($CF$9:$CF$508,"&lt;"&amp;$CF371)+COUNTIFS($CF$9:$CF$508,$CF371,$CH$9:$CH$508,"&lt;"&amp;$CH371)+COUNTIFS($CF$9:$CF$508,$CF371,$CH$9:$CH$508,$CH371,$CJ$9:$CJ$508,"&lt;"&amp;$CJ371)+COUNTIFS($CF$9:$CF$508,$CF371,$CH$9:$CH$508,$CH371,$CJ$9:$CJ$508,$CJ371,$CL$9:$CL$508,"&lt;"&amp;$CL371)+COUNTIFS($CF$9:$CF$508,$CF371,$CH$9:$CH$508,$CH371,$CJ$9:$CJ$508,$CJ371,$CL$9:$CL$508,$CL371,$CN$9:$CN$508,"&lt;"&amp;$CN371)+1))</f>
        <v/>
      </c>
      <c r="CP371" s="93" t="str">
        <f aca="false">IF(ISBLANK($C371),"",IF($BZ371&lt;&gt;Constants!$B$8,$BZ371,$CF371-$CO371))</f>
        <v/>
      </c>
      <c r="CQ371" s="100"/>
      <c r="CR371" s="101"/>
      <c r="CS371" s="102" t="str">
        <f aca="false">IF(ISBLANK($C371),"",IF($BZ371=Constants!$B$12,$BY371,""))</f>
        <v/>
      </c>
      <c r="CT371" s="101" t="str">
        <f aca="false">IF(ISBLANK($C371),"",IF($BZ371&lt;&gt;Constants!$B$8,"",IF($BM371="-&gt;",2,1)))</f>
        <v/>
      </c>
      <c r="CU371" s="103" t="str">
        <f aca="false">IF(ISBLANK($C371),"",IF($BZ371&lt;&gt;Constants!$B$8,"",IF($BM371="-&gt;",$BO371,$BC371)))</f>
        <v/>
      </c>
      <c r="CV371" s="103" t="str">
        <f aca="false">IF(ISBLANK($C371),"",IF($BZ371&lt;&gt;Constants!$B$8,"",IF($BM371="-&gt;",$BP371,$BD371)))</f>
        <v/>
      </c>
      <c r="CW371" s="103" t="str">
        <f aca="false">IF(ISBLANK($C371),"",IF($BZ371&lt;&gt;Constants!$B$8,"",IF($BM371="-&gt;",$BQ371+$BR371,$BE371+$BF371)+$CD371))</f>
        <v/>
      </c>
      <c r="CX371" s="103" t="str">
        <f aca="false">IF(ISBLANK($C371),"",IF($BZ371&lt;&gt;Constants!$B$8,"",IF($BM371="-&gt;",$BS371,$BG371)+$CC371))</f>
        <v/>
      </c>
      <c r="CY371" s="104" t="str">
        <f aca="false">IF(ISBLANK($C371),"",IF($BZ371&lt;&gt;Constants!$B$8,$BZ371,$CE371))</f>
        <v/>
      </c>
      <c r="CZ371" s="105" t="str">
        <f aca="false">IF(ISBLANK($C371),"",$CA371)</f>
        <v/>
      </c>
      <c r="DA371" s="106" t="str">
        <f aca="false">IF(ISBLANK($C371),"",$CP371)</f>
        <v/>
      </c>
      <c r="DB371" s="106" t="str">
        <f aca="false">IF(ISBLANK($C371),"",$CO371)</f>
        <v/>
      </c>
      <c r="DC371" s="107" t="str">
        <f aca="false">IF(ISBLANK($C371),"",IFERROR(_xlfn.SWITCH($DB371,Constants!$B$11,COUNTA($C$9:$C$508)+2,Constants!$B$10,COUNTA($C$9:$C$508)+1,Constants!$B$9,COUNTA($C$9:$C$508)),$DB371))</f>
        <v/>
      </c>
      <c r="DD371" s="9"/>
      <c r="DE371" s="108" t="n">
        <f aca="false">IF(OR(ISNUMBER($DB371),$DB371=Constants!$B$11,$DB371=Constants!$B$9,$DB371=Constants!$B$10),1,0)</f>
        <v>0</v>
      </c>
      <c r="DF371" s="108" t="n">
        <v>363</v>
      </c>
      <c r="DG371" s="108" t="str">
        <f aca="false">IF(ISBLANK($C371),"",IF(ISNUMBER($DC371),$DC371+ROW($B371)/1000,""))</f>
        <v/>
      </c>
      <c r="DH371" s="108" t="str">
        <f aca="false">IF(ISNUMBER($DG371),RANK($DG371,$DG$9:$DG$508,1),"")</f>
        <v/>
      </c>
      <c r="DI371" s="108" t="str">
        <f aca="false">IF(ISBLANK($C371),"",$B371)</f>
        <v/>
      </c>
      <c r="DJ371" s="108" t="str">
        <f aca="false">IF(ISBLANK($C371),"",$C371)</f>
        <v/>
      </c>
      <c r="DK371" s="108" t="str">
        <f aca="false">IF(ISBLANK($C371),"",$D371)</f>
        <v/>
      </c>
      <c r="DL371" s="109" t="str">
        <f aca="false">$CZ371</f>
        <v/>
      </c>
      <c r="DM371" s="110" t="str">
        <f aca="false">$CY371</f>
        <v/>
      </c>
      <c r="DN371" s="108" t="str">
        <f aca="false">IF(ISBLANK($C371),"",$DB371)</f>
        <v/>
      </c>
      <c r="DO371" s="111" t="str">
        <f aca="false">IF($DF371&gt;$DE$8,"",VLOOKUP($DF371,$DH$9:$DN$508,7,FALSE()))</f>
        <v/>
      </c>
      <c r="DP371" s="112" t="str">
        <f aca="false">IF($DF371&gt;$DE$8,"",VLOOKUP($DF371,$DH$9:$DN$508,2,FALSE()))</f>
        <v/>
      </c>
      <c r="DQ371" s="112" t="str">
        <f aca="false">IF($DF371&gt;$DE$8,"",VLOOKUP($DF371,$DH$9:$DN$508,3,FALSE()))</f>
        <v/>
      </c>
      <c r="DR371" s="112" t="str">
        <f aca="false">IF($DF371&gt;$DE$8,"",VLOOKUP($DF371,$DH$9:$DN$508,4,FALSE()))</f>
        <v/>
      </c>
      <c r="DS371" s="112" t="str">
        <f aca="false">IF($DF371&gt;$DE$8,"",VLOOKUP($DF371,$DH$9:$DN$508,5,FALSE()))</f>
        <v/>
      </c>
      <c r="DT371" s="113" t="str">
        <f aca="false">IF($DF371&gt;$DE$8,"",VLOOKUP($DF371,$DH$9:$DN$508,6,FALSE()))</f>
        <v/>
      </c>
      <c r="DU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IF(ISBLANK($C372),"",IF(E372=Constants!$B$3,TRUE(),IF(E372=Constants!$B$4,FALSE(),TRUE())))</f>
        <v/>
      </c>
      <c r="AG372" s="135" t="str">
        <f aca="false">IF(ISBLANK($C372),"",IF(F372=Constants!$B$3,TRUE(),IF(F372=Constants!$B$4,FALSE(),TRUE())))</f>
        <v/>
      </c>
      <c r="AH372" s="135" t="str">
        <f aca="false">IF(ISBLANK($C372),"",IF(G372=Constants!$B$3,TRUE(),IF(G372=Constants!$B$4,FALSE(),TRUE())))</f>
        <v/>
      </c>
      <c r="AI372" s="135" t="str">
        <f aca="false">IF(ISBLANK($C372),"",IF(AND(ISNUMBER(H372),H372&gt;=0),H372,Constants!$B$29))</f>
        <v/>
      </c>
      <c r="AJ372" s="135" t="str">
        <f aca="false">IF(ISBLANK($C372),"",IF(I372=Constants!$B$3,TRUE(),IF(I372=Constants!$B$4,FALSE(),TRUE())))</f>
        <v/>
      </c>
      <c r="AK372" s="135" t="str">
        <f aca="false">IF(ISBLANK($C372),"",IF(J372=Constants!$B$3,TRUE(),IF(J372=Constants!$B$4,FALSE(),TRUE())))</f>
        <v/>
      </c>
      <c r="AL372" s="135" t="str">
        <f aca="false">IF(ISBLANK($C372),"",IF(K372=Constants!$B$5,TRUE(),IF(K372=Constants!$B$6,FALSE(),COUNTA(L372:P372)&gt;0)))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IF(ISBLANK($C372),"",IF(N372=Constants!$B$3,TRUE(),IF(N372=Constants!$B$4,FALSE(),TRUE())))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IF(ISBLANK($C372),"",IF(P372=Constants!$B$3,TRUE(),IF(P372=Constants!$B$4,FALSE(),FALSE())))</f>
        <v/>
      </c>
      <c r="AR372" s="135" t="str">
        <f aca="false">IF(ISBLANK($C372),"",IF(Q372=Constants!$B$3,TRUE(),IF(Q372=Constants!$B$4,FALSE(),TRUE())))</f>
        <v/>
      </c>
      <c r="AS372" s="135" t="str">
        <f aca="false">IF(ISBLANK($C372),"",IF(R372=Constants!$B$3,TRUE(),IF(R372=Constants!$B$4,FALSE(),TRUE())))</f>
        <v/>
      </c>
      <c r="AT372" s="135" t="str">
        <f aca="false">IF(ISBLANK($C372),"",IF(S372=Constants!$B$5,TRUE(),IF(S372=Constants!$B$6,FALSE(),COUNTA(T372:X372)&gt;0)))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IF(ISBLANK($C372),"",IF(V372=Constants!$B$3,TRUE(),IF(V372=Constants!$B$4,FALSE(),TRUE())))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IF(ISBLANK($C372),"",IF(X372=Constants!$B$3,TRUE(),IF(X372=Constants!$B$4,FALSE(),FALSE())))</f>
        <v/>
      </c>
      <c r="AZ372" s="135" t="str">
        <f aca="false">IF(ISBLANK($C372),"",MIN(Constants!$B$31,MAX(0,IF(ISNUMBER(Y372),Y372*60,0)+IF(ISNUMBER(Z372),Z372,0))))</f>
        <v/>
      </c>
      <c r="BA372" s="135" t="str">
        <f aca="false">IF(ISBLANK($C372),"",IF(AA372=Constants!$B$3,TRUE(),IF(AA372=Constants!$B$4,FALSE(),FALSE())))</f>
        <v/>
      </c>
      <c r="BB372" s="134" t="str">
        <f aca="false">IF(ISBLANK($C372),"",AND($AL372,OR($AM372="",$AN372="",AND($AO372,$AP372=""))))</f>
        <v/>
      </c>
      <c r="BC372" s="137" t="str">
        <f aca="false">IF($BZ372&lt;&gt;Constants!$B$8,"",IF($AL372,Constants!$B$21*$AN372+Constants!$B$22*IF($AO372,$AP372,Constants!$B$23),Constants!$B$24))</f>
        <v/>
      </c>
      <c r="BD372" s="138" t="str">
        <f aca="false">IF($BZ372&lt;&gt;Constants!$B$8,"",Constants!$B$25*ABS($AD$9-IF($AL372,$AM372,0)))</f>
        <v/>
      </c>
      <c r="BE372" s="138" t="str">
        <f aca="false">IF($BZ372&lt;&gt;Constants!$B$8,"",IF(AND($AL372,$AQ372,$AO372),Constants!$B$27,0))</f>
        <v/>
      </c>
      <c r="BF372" s="138" t="str">
        <f aca="false">IF($BZ372&lt;&gt;Constants!$B$8,"",IF($AL372,($AI372-Constants!$B$29)*Constants!$B$28,0))</f>
        <v/>
      </c>
      <c r="BG372" s="138" t="str">
        <f aca="false">IF($BZ372&lt;&gt;Constants!$B$8,"",IF($AK372,0,Constants!$B$15)+IF($AJ372,0,Constants!$B$16)+IF($AH372,0,Constants!$B$17))</f>
        <v/>
      </c>
      <c r="BH372" s="139" t="str">
        <f aca="false">IF($BZ372&lt;&gt;Constants!$B$8,"",Constants!$B$20+SUM($BC372:$BG372))</f>
        <v/>
      </c>
      <c r="BI372" s="138" t="str">
        <f aca="false">IF($BZ372&lt;&gt;Constants!$B$8,"",$BC372)</f>
        <v/>
      </c>
      <c r="BJ372" s="138" t="str">
        <f aca="false">IF($BZ372&lt;&gt;Constants!$B$8,"",$BD372)</f>
        <v/>
      </c>
      <c r="BK372" s="138" t="str">
        <f aca="false">IF($BZ372&lt;&gt;Constants!$B$8,"",IF($AL372,$AN372,""))</f>
        <v/>
      </c>
      <c r="BL372" s="140" t="str">
        <f aca="false">IF($BZ372&lt;&gt;Constants!$B$8,"",$AI372)</f>
        <v/>
      </c>
      <c r="BM372" s="135" t="str">
        <f aca="false">IF($BZ372&lt;&gt;Constants!$B$8,"",IF(OR($BT372&lt;$BH372,AND($BT372=$BH372,OR($BU372&lt;$BI372,AND($BU372=$BI372,OR($BV372&lt;$BJ372,AND($BV372=$BJ372,OR(AND(ISNUMBER($BW372),OR(NOT(ISNUMBER($BK372)),$BW372&lt;$BK372)),AND(OR(AND($BW372="",$BK372=""),AND(ISNUMBER($BW372),ISNUMBER($BK372),$BW372=$BK372)),$BX372&lt;$BL372)))))))),"-&gt;","&lt;-"))</f>
        <v/>
      </c>
      <c r="BN372" s="134" t="str">
        <f aca="false">IF(ISBLANK($C372),"",AND($AT372,OR($AU372="",$AV372="",AND($AW372,$AX372=""))))</f>
        <v/>
      </c>
      <c r="BO372" s="137" t="str">
        <f aca="false">IF($BZ372&lt;&gt;Constants!$B$8,"",IF($AT372,Constants!$B$21*$AV372+Constants!$B$22*IF($AW372,$AX372,Constants!$B$23),Constants!$B$24))</f>
        <v/>
      </c>
      <c r="BP372" s="138" t="str">
        <f aca="false">IF($BZ372&lt;&gt;Constants!$B$8,"",Constants!$B$25*ABS($AD$9-IF($AT372,$AU372,0)))</f>
        <v/>
      </c>
      <c r="BQ372" s="138" t="str">
        <f aca="false">IF($BZ372&lt;&gt;Constants!$B$8,"",IF(AND($AT372,$AY372,$AW372),Constants!$B$27,0))</f>
        <v/>
      </c>
      <c r="BR372" s="138" t="str">
        <f aca="false">IF($BZ372&lt;&gt;Constants!$B$8,"",IF($AT372,($AI372-Constants!$B$29)*Constants!$B$28,0))</f>
        <v/>
      </c>
      <c r="BS372" s="138" t="str">
        <f aca="false">IF($BZ372&lt;&gt;Constants!$B$8,"",IF($AS372,0,Constants!$B$15)+IF($AR372,0,Constants!$B$16)+IF($AH372,0,Constants!$B$17))</f>
        <v/>
      </c>
      <c r="BT372" s="139" t="str">
        <f aca="false">IF($BZ372&lt;&gt;Constants!$B$8,"",Constants!$B$20+SUM($BO372:$BS372))</f>
        <v/>
      </c>
      <c r="BU372" s="138" t="str">
        <f aca="false">IF($BZ372&lt;&gt;Constants!$B$8,"",$BO372)</f>
        <v/>
      </c>
      <c r="BV372" s="138" t="str">
        <f aca="false">IF($BZ372&lt;&gt;Constants!$B$8,"",$BP372)</f>
        <v/>
      </c>
      <c r="BW372" s="138" t="str">
        <f aca="false">IF($BZ372&lt;&gt;Constants!$B$8,"",IF($AT372,$AV372,""))</f>
        <v/>
      </c>
      <c r="BX372" s="140" t="str">
        <f aca="false">IF($BZ372&lt;&gt;Constants!$B$8,"",$AI372)</f>
        <v/>
      </c>
      <c r="BY372" s="135" t="str">
        <f aca="false">IF(ISBLANK($C372),"",IF(ISBLANK($D$7),$BY$5,IF(NOT(ISNUMBER($D$7)),$BY$6,"")))</f>
        <v/>
      </c>
      <c r="BZ372" s="135" t="str">
        <f aca="false">IF(ISBLANK($C372),"",IF($BA372,Constants!$B$11,IF(COUNTA($E372:$AA372)=0,Constants!$B$10,IF(NOT($AG372),Constants!$B$9,IF(OR($BY372&lt;&gt;"",$BB372,$BN372),Constants!$B$12,Constants!$B$8)))))</f>
        <v/>
      </c>
      <c r="CA372" s="135" t="str">
        <f aca="false">IF(ISBLANK($C372),"",IF($BZ372&lt;&gt;Constants!$B$8,$BZ372,Constants!$B$13))</f>
        <v/>
      </c>
      <c r="CB372" s="138" t="str">
        <f aca="false">IF($BZ372&lt;&gt;Constants!$B$8,"",IF($BM372="-&gt;",$BT372,$BH372))</f>
        <v/>
      </c>
      <c r="CC372" s="138" t="str">
        <f aca="false">IF($BZ372&lt;&gt;Constants!$B$8,"",IF($AF372,0,Constants!$B$18))</f>
        <v/>
      </c>
      <c r="CD372" s="138" t="str">
        <f aca="false">IF($BZ372&lt;&gt;Constants!$B$8,"",((Constants!$B$31-$AZ372)-Constants!$B$31)/Constants!$B$32)</f>
        <v/>
      </c>
      <c r="CE372" s="138" t="str">
        <f aca="false">IF(ISBLANK($C372),"",IF($BZ372&lt;&gt;Constants!$B$8,$BZ372,SUM($CB372:$CD372)))</f>
        <v/>
      </c>
      <c r="CF372" s="135" t="str">
        <f aca="false">IF(ISBLANK($C372),"",IF($BZ372&lt;&gt;Constants!$B$8,$BZ372,RANK($CE372,$CE$9:$CE$508,1)))</f>
        <v/>
      </c>
      <c r="CG372" s="138" t="str">
        <f aca="false">IF($BZ372&lt;&gt;Constants!$B$8,"",IF($BM372="-&gt;",$BU372,$BI372))</f>
        <v/>
      </c>
      <c r="CH372" s="135" t="str">
        <f aca="false">IF(ISBLANK($C372),"",IF($BZ372&lt;&gt;Constants!$B$8,$BZ372,IF(ISNUMBER($CG372),RANK($CG372,$CG$9:$CG$508,1),COUNT($CG$9:$CG$508)+1)))</f>
        <v/>
      </c>
      <c r="CI372" s="138" t="str">
        <f aca="false">IF($BZ372&lt;&gt;Constants!$B$8,"",IF($BM372="-&gt;",$BV372,$BJ372))</f>
        <v/>
      </c>
      <c r="CJ372" s="135" t="str">
        <f aca="false">IF(ISBLANK($C372),"",IF($BZ372&lt;&gt;Constants!$B$8,$BZ372,IF(ISNUMBER($CI372),RANK($CI372,$CI$9:$CI$508,1),COUNT($CI$9:$CI$508)+1)))</f>
        <v/>
      </c>
      <c r="CK372" s="138" t="str">
        <f aca="false">IF($BZ372&lt;&gt;Constants!$B$8,"",IF($BM372="-&gt;",$BW372,$BK372))</f>
        <v/>
      </c>
      <c r="CL372" s="135" t="str">
        <f aca="false">IF(ISBLANK($C372),"",IF($BZ372&lt;&gt;Constants!$B$8,$BZ372,IF(ISNUMBER($CK372),RANK($CK372,$CK$9:$CK$508,1),COUNT($CK$9:$CK$508)+1)))</f>
        <v/>
      </c>
      <c r="CM372" s="138" t="str">
        <f aca="false">IF($BZ372&lt;&gt;Constants!$B$8,"",IF(AND(NOT($AL372),NOT($AT372),$AJ372,$AK372,$AR372,$AS372),"",IF($BM372="-&gt;",$BX372,$BL372)))</f>
        <v/>
      </c>
      <c r="CN372" s="135" t="str">
        <f aca="false">IF(ISBLANK($C372),"",IF($BZ372&lt;&gt;Constants!$B$8,$BZ372,IF(ISNUMBER($CM372),RANK($CM372,$CM$9:$CM$508,1),COUNT($CM$9:$CM$508)+1)))</f>
        <v/>
      </c>
      <c r="CO372" s="135" t="str">
        <f aca="false">IF(ISBLANK($C372),"",IF($BZ372&lt;&gt;Constants!$B$8,$BZ372,COUNTIFS($CF$9:$CF$508,"&lt;"&amp;$CF372)+COUNTIFS($CF$9:$CF$508,$CF372,$CH$9:$CH$508,"&lt;"&amp;$CH372)+COUNTIFS($CF$9:$CF$508,$CF372,$CH$9:$CH$508,$CH372,$CJ$9:$CJ$508,"&lt;"&amp;$CJ372)+COUNTIFS($CF$9:$CF$508,$CF372,$CH$9:$CH$508,$CH372,$CJ$9:$CJ$508,$CJ372,$CL$9:$CL$508,"&lt;"&amp;$CL372)+COUNTIFS($CF$9:$CF$508,$CF372,$CH$9:$CH$508,$CH372,$CJ$9:$CJ$508,$CJ372,$CL$9:$CL$508,$CL372,$CN$9:$CN$508,"&lt;"&amp;$CN372)+1))</f>
        <v/>
      </c>
      <c r="CP372" s="135" t="str">
        <f aca="false">IF(ISBLANK($C372),"",IF($BZ372&lt;&gt;Constants!$B$8,$BZ372,$CF372-$CO372))</f>
        <v/>
      </c>
      <c r="CQ372" s="141"/>
      <c r="CR372" s="142"/>
      <c r="CS372" s="143" t="str">
        <f aca="false">IF(ISBLANK($C372),"",IF($BZ372=Constants!$B$12,$BY372,""))</f>
        <v/>
      </c>
      <c r="CT372" s="142" t="str">
        <f aca="false">IF(ISBLANK($C372),"",IF($BZ372&lt;&gt;Constants!$B$8,"",IF($BM372="-&gt;",2,1)))</f>
        <v/>
      </c>
      <c r="CU372" s="144" t="str">
        <f aca="false">IF(ISBLANK($C372),"",IF($BZ372&lt;&gt;Constants!$B$8,"",IF($BM372="-&gt;",$BO372,$BC372)))</f>
        <v/>
      </c>
      <c r="CV372" s="144" t="str">
        <f aca="false">IF(ISBLANK($C372),"",IF($BZ372&lt;&gt;Constants!$B$8,"",IF($BM372="-&gt;",$BP372,$BD372)))</f>
        <v/>
      </c>
      <c r="CW372" s="144" t="str">
        <f aca="false">IF(ISBLANK($C372),"",IF($BZ372&lt;&gt;Constants!$B$8,"",IF($BM372="-&gt;",$BQ372+$BR372,$BE372+$BF372)+$CD372))</f>
        <v/>
      </c>
      <c r="CX372" s="144" t="str">
        <f aca="false">IF(ISBLANK($C372),"",IF($BZ372&lt;&gt;Constants!$B$8,"",IF($BM372="-&gt;",$BS372,$BG372)+$CC372))</f>
        <v/>
      </c>
      <c r="CY372" s="145" t="str">
        <f aca="false">IF(ISBLANK($C372),"",IF($BZ372&lt;&gt;Constants!$B$8,$BZ372,$CE372))</f>
        <v/>
      </c>
      <c r="CZ372" s="146" t="str">
        <f aca="false">IF(ISBLANK($C372),"",$CA372)</f>
        <v/>
      </c>
      <c r="DA372" s="147" t="str">
        <f aca="false">IF(ISBLANK($C372),"",$CP372)</f>
        <v/>
      </c>
      <c r="DB372" s="147" t="str">
        <f aca="false">IF(ISBLANK($C372),"",$CO372)</f>
        <v/>
      </c>
      <c r="DC372" s="148" t="str">
        <f aca="false">IF(ISBLANK($C372),"",IFERROR(_xlfn.SWITCH($DB372,Constants!$B$11,COUNTA($C$9:$C$508)+2,Constants!$B$10,COUNTA($C$9:$C$508)+1,Constants!$B$9,COUNTA($C$9:$C$508)),$DB372))</f>
        <v/>
      </c>
      <c r="DD372" s="9"/>
      <c r="DE372" s="149" t="n">
        <f aca="false">IF(OR(ISNUMBER($DB372),$DB372=Constants!$B$11,$DB372=Constants!$B$9,$DB372=Constants!$B$10),1,0)</f>
        <v>0</v>
      </c>
      <c r="DF372" s="149" t="n">
        <v>364</v>
      </c>
      <c r="DG372" s="149" t="str">
        <f aca="false">IF(ISBLANK($C372),"",IF(ISNUMBER($DC372),$DC372+ROW($B372)/1000,""))</f>
        <v/>
      </c>
      <c r="DH372" s="149" t="str">
        <f aca="false">IF(ISNUMBER($DG372),RANK($DG372,$DG$9:$DG$508,1),"")</f>
        <v/>
      </c>
      <c r="DI372" s="149" t="str">
        <f aca="false">IF(ISBLANK($C372),"",$B372)</f>
        <v/>
      </c>
      <c r="DJ372" s="149" t="str">
        <f aca="false">IF(ISBLANK($C372),"",$C372)</f>
        <v/>
      </c>
      <c r="DK372" s="149" t="str">
        <f aca="false">IF(ISBLANK($C372),"",$D372)</f>
        <v/>
      </c>
      <c r="DL372" s="150" t="str">
        <f aca="false">$CZ372</f>
        <v/>
      </c>
      <c r="DM372" s="151" t="str">
        <f aca="false">$CY372</f>
        <v/>
      </c>
      <c r="DN372" s="149" t="str">
        <f aca="false">IF(ISBLANK($C372),"",$DB372)</f>
        <v/>
      </c>
      <c r="DO372" s="152" t="str">
        <f aca="false">IF($DF372&gt;$DE$8,"",VLOOKUP($DF372,$DH$9:$DN$508,7,FALSE()))</f>
        <v/>
      </c>
      <c r="DP372" s="153" t="str">
        <f aca="false">IF($DF372&gt;$DE$8,"",VLOOKUP($DF372,$DH$9:$DN$508,2,FALSE()))</f>
        <v/>
      </c>
      <c r="DQ372" s="153" t="str">
        <f aca="false">IF($DF372&gt;$DE$8,"",VLOOKUP($DF372,$DH$9:$DN$508,3,FALSE()))</f>
        <v/>
      </c>
      <c r="DR372" s="153" t="str">
        <f aca="false">IF($DF372&gt;$DE$8,"",VLOOKUP($DF372,$DH$9:$DN$508,4,FALSE()))</f>
        <v/>
      </c>
      <c r="DS372" s="153" t="str">
        <f aca="false">IF($DF372&gt;$DE$8,"",VLOOKUP($DF372,$DH$9:$DN$508,5,FALSE()))</f>
        <v/>
      </c>
      <c r="DT372" s="154" t="str">
        <f aca="false">IF($DF372&gt;$DE$8,"",VLOOKUP($DF372,$DH$9:$DN$508,6,FALSE()))</f>
        <v/>
      </c>
      <c r="DU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IF(ISBLANK($C373),"",IF(E373=Constants!$B$3,TRUE(),IF(E373=Constants!$B$4,FALSE(),TRUE())))</f>
        <v/>
      </c>
      <c r="AG373" s="135" t="str">
        <f aca="false">IF(ISBLANK($C373),"",IF(F373=Constants!$B$3,TRUE(),IF(F373=Constants!$B$4,FALSE(),TRUE())))</f>
        <v/>
      </c>
      <c r="AH373" s="135" t="str">
        <f aca="false">IF(ISBLANK($C373),"",IF(G373=Constants!$B$3,TRUE(),IF(G373=Constants!$B$4,FALSE(),TRUE())))</f>
        <v/>
      </c>
      <c r="AI373" s="135" t="str">
        <f aca="false">IF(ISBLANK($C373),"",IF(AND(ISNUMBER(H373),H373&gt;=0),H373,Constants!$B$29))</f>
        <v/>
      </c>
      <c r="AJ373" s="135" t="str">
        <f aca="false">IF(ISBLANK($C373),"",IF(I373=Constants!$B$3,TRUE(),IF(I373=Constants!$B$4,FALSE(),TRUE())))</f>
        <v/>
      </c>
      <c r="AK373" s="135" t="str">
        <f aca="false">IF(ISBLANK($C373),"",IF(J373=Constants!$B$3,TRUE(),IF(J373=Constants!$B$4,FALSE(),TRUE())))</f>
        <v/>
      </c>
      <c r="AL373" s="135" t="str">
        <f aca="false">IF(ISBLANK($C373),"",IF(K373=Constants!$B$5,TRUE(),IF(K373=Constants!$B$6,FALSE(),COUNTA(L373:P373)&gt;0)))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IF(ISBLANK($C373),"",IF(N373=Constants!$B$3,TRUE(),IF(N373=Constants!$B$4,FALSE(),TRUE())))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IF(ISBLANK($C373),"",IF(P373=Constants!$B$3,TRUE(),IF(P373=Constants!$B$4,FALSE(),FALSE())))</f>
        <v/>
      </c>
      <c r="AR373" s="135" t="str">
        <f aca="false">IF(ISBLANK($C373),"",IF(Q373=Constants!$B$3,TRUE(),IF(Q373=Constants!$B$4,FALSE(),TRUE())))</f>
        <v/>
      </c>
      <c r="AS373" s="135" t="str">
        <f aca="false">IF(ISBLANK($C373),"",IF(R373=Constants!$B$3,TRUE(),IF(R373=Constants!$B$4,FALSE(),TRUE())))</f>
        <v/>
      </c>
      <c r="AT373" s="135" t="str">
        <f aca="false">IF(ISBLANK($C373),"",IF(S373=Constants!$B$5,TRUE(),IF(S373=Constants!$B$6,FALSE(),COUNTA(T373:X373)&gt;0)))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IF(ISBLANK($C373),"",IF(V373=Constants!$B$3,TRUE(),IF(V373=Constants!$B$4,FALSE(),TRUE())))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IF(ISBLANK($C373),"",IF(X373=Constants!$B$3,TRUE(),IF(X373=Constants!$B$4,FALSE(),FALSE())))</f>
        <v/>
      </c>
      <c r="AZ373" s="135" t="str">
        <f aca="false">IF(ISBLANK($C373),"",MIN(Constants!$B$31,MAX(0,IF(ISNUMBER(Y373),Y373*60,0)+IF(ISNUMBER(Z373),Z373,0))))</f>
        <v/>
      </c>
      <c r="BA373" s="135" t="str">
        <f aca="false">IF(ISBLANK($C373),"",IF(AA373=Constants!$B$3,TRUE(),IF(AA373=Constants!$B$4,FALSE(),FALSE())))</f>
        <v/>
      </c>
      <c r="BB373" s="134" t="str">
        <f aca="false">IF(ISBLANK($C373),"",AND($AL373,OR($AM373="",$AN373="",AND($AO373,$AP373=""))))</f>
        <v/>
      </c>
      <c r="BC373" s="137" t="str">
        <f aca="false">IF($BZ373&lt;&gt;Constants!$B$8,"",IF($AL373,Constants!$B$21*$AN373+Constants!$B$22*IF($AO373,$AP373,Constants!$B$23),Constants!$B$24))</f>
        <v/>
      </c>
      <c r="BD373" s="138" t="str">
        <f aca="false">IF($BZ373&lt;&gt;Constants!$B$8,"",Constants!$B$25*ABS($AD$9-IF($AL373,$AM373,0)))</f>
        <v/>
      </c>
      <c r="BE373" s="138" t="str">
        <f aca="false">IF($BZ373&lt;&gt;Constants!$B$8,"",IF(AND($AL373,$AQ373,$AO373),Constants!$B$27,0))</f>
        <v/>
      </c>
      <c r="BF373" s="138" t="str">
        <f aca="false">IF($BZ373&lt;&gt;Constants!$B$8,"",IF($AL373,($AI373-Constants!$B$29)*Constants!$B$28,0))</f>
        <v/>
      </c>
      <c r="BG373" s="138" t="str">
        <f aca="false">IF($BZ373&lt;&gt;Constants!$B$8,"",IF($AK373,0,Constants!$B$15)+IF($AJ373,0,Constants!$B$16)+IF($AH373,0,Constants!$B$17))</f>
        <v/>
      </c>
      <c r="BH373" s="139" t="str">
        <f aca="false">IF($BZ373&lt;&gt;Constants!$B$8,"",Constants!$B$20+SUM($BC373:$BG373))</f>
        <v/>
      </c>
      <c r="BI373" s="138" t="str">
        <f aca="false">IF($BZ373&lt;&gt;Constants!$B$8,"",$BC373)</f>
        <v/>
      </c>
      <c r="BJ373" s="138" t="str">
        <f aca="false">IF($BZ373&lt;&gt;Constants!$B$8,"",$BD373)</f>
        <v/>
      </c>
      <c r="BK373" s="138" t="str">
        <f aca="false">IF($BZ373&lt;&gt;Constants!$B$8,"",IF($AL373,$AN373,""))</f>
        <v/>
      </c>
      <c r="BL373" s="140" t="str">
        <f aca="false">IF($BZ373&lt;&gt;Constants!$B$8,"",$AI373)</f>
        <v/>
      </c>
      <c r="BM373" s="135" t="str">
        <f aca="false">IF($BZ373&lt;&gt;Constants!$B$8,"",IF(OR($BT373&lt;$BH373,AND($BT373=$BH373,OR($BU373&lt;$BI373,AND($BU373=$BI373,OR($BV373&lt;$BJ373,AND($BV373=$BJ373,OR(AND(ISNUMBER($BW373),OR(NOT(ISNUMBER($BK373)),$BW373&lt;$BK373)),AND(OR(AND($BW373="",$BK373=""),AND(ISNUMBER($BW373),ISNUMBER($BK373),$BW373=$BK373)),$BX373&lt;$BL373)))))))),"-&gt;","&lt;-"))</f>
        <v/>
      </c>
      <c r="BN373" s="134" t="str">
        <f aca="false">IF(ISBLANK($C373),"",AND($AT373,OR($AU373="",$AV373="",AND($AW373,$AX373=""))))</f>
        <v/>
      </c>
      <c r="BO373" s="137" t="str">
        <f aca="false">IF($BZ373&lt;&gt;Constants!$B$8,"",IF($AT373,Constants!$B$21*$AV373+Constants!$B$22*IF($AW373,$AX373,Constants!$B$23),Constants!$B$24))</f>
        <v/>
      </c>
      <c r="BP373" s="138" t="str">
        <f aca="false">IF($BZ373&lt;&gt;Constants!$B$8,"",Constants!$B$25*ABS($AD$9-IF($AT373,$AU373,0)))</f>
        <v/>
      </c>
      <c r="BQ373" s="138" t="str">
        <f aca="false">IF($BZ373&lt;&gt;Constants!$B$8,"",IF(AND($AT373,$AY373,$AW373),Constants!$B$27,0))</f>
        <v/>
      </c>
      <c r="BR373" s="138" t="str">
        <f aca="false">IF($BZ373&lt;&gt;Constants!$B$8,"",IF($AT373,($AI373-Constants!$B$29)*Constants!$B$28,0))</f>
        <v/>
      </c>
      <c r="BS373" s="138" t="str">
        <f aca="false">IF($BZ373&lt;&gt;Constants!$B$8,"",IF($AS373,0,Constants!$B$15)+IF($AR373,0,Constants!$B$16)+IF($AH373,0,Constants!$B$17))</f>
        <v/>
      </c>
      <c r="BT373" s="139" t="str">
        <f aca="false">IF($BZ373&lt;&gt;Constants!$B$8,"",Constants!$B$20+SUM($BO373:$BS373))</f>
        <v/>
      </c>
      <c r="BU373" s="138" t="str">
        <f aca="false">IF($BZ373&lt;&gt;Constants!$B$8,"",$BO373)</f>
        <v/>
      </c>
      <c r="BV373" s="138" t="str">
        <f aca="false">IF($BZ373&lt;&gt;Constants!$B$8,"",$BP373)</f>
        <v/>
      </c>
      <c r="BW373" s="138" t="str">
        <f aca="false">IF($BZ373&lt;&gt;Constants!$B$8,"",IF($AT373,$AV373,""))</f>
        <v/>
      </c>
      <c r="BX373" s="140" t="str">
        <f aca="false">IF($BZ373&lt;&gt;Constants!$B$8,"",$AI373)</f>
        <v/>
      </c>
      <c r="BY373" s="135" t="str">
        <f aca="false">IF(ISBLANK($C373),"",IF(ISBLANK($D$7),$BY$5,IF(NOT(ISNUMBER($D$7)),$BY$6,"")))</f>
        <v/>
      </c>
      <c r="BZ373" s="135" t="str">
        <f aca="false">IF(ISBLANK($C373),"",IF($BA373,Constants!$B$11,IF(COUNTA($E373:$AA373)=0,Constants!$B$10,IF(NOT($AG373),Constants!$B$9,IF(OR($BY373&lt;&gt;"",$BB373,$BN373),Constants!$B$12,Constants!$B$8)))))</f>
        <v/>
      </c>
      <c r="CA373" s="135" t="str">
        <f aca="false">IF(ISBLANK($C373),"",IF($BZ373&lt;&gt;Constants!$B$8,$BZ373,Constants!$B$13))</f>
        <v/>
      </c>
      <c r="CB373" s="138" t="str">
        <f aca="false">IF($BZ373&lt;&gt;Constants!$B$8,"",IF($BM373="-&gt;",$BT373,$BH373))</f>
        <v/>
      </c>
      <c r="CC373" s="138" t="str">
        <f aca="false">IF($BZ373&lt;&gt;Constants!$B$8,"",IF($AF373,0,Constants!$B$18))</f>
        <v/>
      </c>
      <c r="CD373" s="138" t="str">
        <f aca="false">IF($BZ373&lt;&gt;Constants!$B$8,"",((Constants!$B$31-$AZ373)-Constants!$B$31)/Constants!$B$32)</f>
        <v/>
      </c>
      <c r="CE373" s="138" t="str">
        <f aca="false">IF(ISBLANK($C373),"",IF($BZ373&lt;&gt;Constants!$B$8,$BZ373,SUM($CB373:$CD373)))</f>
        <v/>
      </c>
      <c r="CF373" s="135" t="str">
        <f aca="false">IF(ISBLANK($C373),"",IF($BZ373&lt;&gt;Constants!$B$8,$BZ373,RANK($CE373,$CE$9:$CE$508,1)))</f>
        <v/>
      </c>
      <c r="CG373" s="138" t="str">
        <f aca="false">IF($BZ373&lt;&gt;Constants!$B$8,"",IF($BM373="-&gt;",$BU373,$BI373))</f>
        <v/>
      </c>
      <c r="CH373" s="135" t="str">
        <f aca="false">IF(ISBLANK($C373),"",IF($BZ373&lt;&gt;Constants!$B$8,$BZ373,IF(ISNUMBER($CG373),RANK($CG373,$CG$9:$CG$508,1),COUNT($CG$9:$CG$508)+1)))</f>
        <v/>
      </c>
      <c r="CI373" s="138" t="str">
        <f aca="false">IF($BZ373&lt;&gt;Constants!$B$8,"",IF($BM373="-&gt;",$BV373,$BJ373))</f>
        <v/>
      </c>
      <c r="CJ373" s="135" t="str">
        <f aca="false">IF(ISBLANK($C373),"",IF($BZ373&lt;&gt;Constants!$B$8,$BZ373,IF(ISNUMBER($CI373),RANK($CI373,$CI$9:$CI$508,1),COUNT($CI$9:$CI$508)+1)))</f>
        <v/>
      </c>
      <c r="CK373" s="138" t="str">
        <f aca="false">IF($BZ373&lt;&gt;Constants!$B$8,"",IF($BM373="-&gt;",$BW373,$BK373))</f>
        <v/>
      </c>
      <c r="CL373" s="135" t="str">
        <f aca="false">IF(ISBLANK($C373),"",IF($BZ373&lt;&gt;Constants!$B$8,$BZ373,IF(ISNUMBER($CK373),RANK($CK373,$CK$9:$CK$508,1),COUNT($CK$9:$CK$508)+1)))</f>
        <v/>
      </c>
      <c r="CM373" s="138" t="str">
        <f aca="false">IF($BZ373&lt;&gt;Constants!$B$8,"",IF(AND(NOT($AL373),NOT($AT373),$AJ373,$AK373,$AR373,$AS373),"",IF($BM373="-&gt;",$BX373,$BL373)))</f>
        <v/>
      </c>
      <c r="CN373" s="135" t="str">
        <f aca="false">IF(ISBLANK($C373),"",IF($BZ373&lt;&gt;Constants!$B$8,$BZ373,IF(ISNUMBER($CM373),RANK($CM373,$CM$9:$CM$508,1),COUNT($CM$9:$CM$508)+1)))</f>
        <v/>
      </c>
      <c r="CO373" s="135" t="str">
        <f aca="false">IF(ISBLANK($C373),"",IF($BZ373&lt;&gt;Constants!$B$8,$BZ373,COUNTIFS($CF$9:$CF$508,"&lt;"&amp;$CF373)+COUNTIFS($CF$9:$CF$508,$CF373,$CH$9:$CH$508,"&lt;"&amp;$CH373)+COUNTIFS($CF$9:$CF$508,$CF373,$CH$9:$CH$508,$CH373,$CJ$9:$CJ$508,"&lt;"&amp;$CJ373)+COUNTIFS($CF$9:$CF$508,$CF373,$CH$9:$CH$508,$CH373,$CJ$9:$CJ$508,$CJ373,$CL$9:$CL$508,"&lt;"&amp;$CL373)+COUNTIFS($CF$9:$CF$508,$CF373,$CH$9:$CH$508,$CH373,$CJ$9:$CJ$508,$CJ373,$CL$9:$CL$508,$CL373,$CN$9:$CN$508,"&lt;"&amp;$CN373)+1))</f>
        <v/>
      </c>
      <c r="CP373" s="135" t="str">
        <f aca="false">IF(ISBLANK($C373),"",IF($BZ373&lt;&gt;Constants!$B$8,$BZ373,$CF373-$CO373))</f>
        <v/>
      </c>
      <c r="CQ373" s="141"/>
      <c r="CR373" s="142"/>
      <c r="CS373" s="143" t="str">
        <f aca="false">IF(ISBLANK($C373),"",IF($BZ373=Constants!$B$12,$BY373,""))</f>
        <v/>
      </c>
      <c r="CT373" s="142" t="str">
        <f aca="false">IF(ISBLANK($C373),"",IF($BZ373&lt;&gt;Constants!$B$8,"",IF($BM373="-&gt;",2,1)))</f>
        <v/>
      </c>
      <c r="CU373" s="144" t="str">
        <f aca="false">IF(ISBLANK($C373),"",IF($BZ373&lt;&gt;Constants!$B$8,"",IF($BM373="-&gt;",$BO373,$BC373)))</f>
        <v/>
      </c>
      <c r="CV373" s="144" t="str">
        <f aca="false">IF(ISBLANK($C373),"",IF($BZ373&lt;&gt;Constants!$B$8,"",IF($BM373="-&gt;",$BP373,$BD373)))</f>
        <v/>
      </c>
      <c r="CW373" s="144" t="str">
        <f aca="false">IF(ISBLANK($C373),"",IF($BZ373&lt;&gt;Constants!$B$8,"",IF($BM373="-&gt;",$BQ373+$BR373,$BE373+$BF373)+$CD373))</f>
        <v/>
      </c>
      <c r="CX373" s="144" t="str">
        <f aca="false">IF(ISBLANK($C373),"",IF($BZ373&lt;&gt;Constants!$B$8,"",IF($BM373="-&gt;",$BS373,$BG373)+$CC373))</f>
        <v/>
      </c>
      <c r="CY373" s="145" t="str">
        <f aca="false">IF(ISBLANK($C373),"",IF($BZ373&lt;&gt;Constants!$B$8,$BZ373,$CE373))</f>
        <v/>
      </c>
      <c r="CZ373" s="146" t="str">
        <f aca="false">IF(ISBLANK($C373),"",$CA373)</f>
        <v/>
      </c>
      <c r="DA373" s="147" t="str">
        <f aca="false">IF(ISBLANK($C373),"",$CP373)</f>
        <v/>
      </c>
      <c r="DB373" s="147" t="str">
        <f aca="false">IF(ISBLANK($C373),"",$CO373)</f>
        <v/>
      </c>
      <c r="DC373" s="148" t="str">
        <f aca="false">IF(ISBLANK($C373),"",IFERROR(_xlfn.SWITCH($DB373,Constants!$B$11,COUNTA($C$9:$C$508)+2,Constants!$B$10,COUNTA($C$9:$C$508)+1,Constants!$B$9,COUNTA($C$9:$C$508)),$DB373))</f>
        <v/>
      </c>
      <c r="DD373" s="9"/>
      <c r="DE373" s="149" t="n">
        <f aca="false">IF(OR(ISNUMBER($DB373),$DB373=Constants!$B$11,$DB373=Constants!$B$9,$DB373=Constants!$B$10),1,0)</f>
        <v>0</v>
      </c>
      <c r="DF373" s="149" t="n">
        <v>365</v>
      </c>
      <c r="DG373" s="149" t="str">
        <f aca="false">IF(ISBLANK($C373),"",IF(ISNUMBER($DC373),$DC373+ROW($B373)/1000,""))</f>
        <v/>
      </c>
      <c r="DH373" s="149" t="str">
        <f aca="false">IF(ISNUMBER($DG373),RANK($DG373,$DG$9:$DG$508,1),"")</f>
        <v/>
      </c>
      <c r="DI373" s="149" t="str">
        <f aca="false">IF(ISBLANK($C373),"",$B373)</f>
        <v/>
      </c>
      <c r="DJ373" s="149" t="str">
        <f aca="false">IF(ISBLANK($C373),"",$C373)</f>
        <v/>
      </c>
      <c r="DK373" s="149" t="str">
        <f aca="false">IF(ISBLANK($C373),"",$D373)</f>
        <v/>
      </c>
      <c r="DL373" s="150" t="str">
        <f aca="false">$CZ373</f>
        <v/>
      </c>
      <c r="DM373" s="151" t="str">
        <f aca="false">$CY373</f>
        <v/>
      </c>
      <c r="DN373" s="149" t="str">
        <f aca="false">IF(ISBLANK($C373),"",$DB373)</f>
        <v/>
      </c>
      <c r="DO373" s="152" t="str">
        <f aca="false">IF($DF373&gt;$DE$8,"",VLOOKUP($DF373,$DH$9:$DN$508,7,FALSE()))</f>
        <v/>
      </c>
      <c r="DP373" s="153" t="str">
        <f aca="false">IF($DF373&gt;$DE$8,"",VLOOKUP($DF373,$DH$9:$DN$508,2,FALSE()))</f>
        <v/>
      </c>
      <c r="DQ373" s="153" t="str">
        <f aca="false">IF($DF373&gt;$DE$8,"",VLOOKUP($DF373,$DH$9:$DN$508,3,FALSE()))</f>
        <v/>
      </c>
      <c r="DR373" s="153" t="str">
        <f aca="false">IF($DF373&gt;$DE$8,"",VLOOKUP($DF373,$DH$9:$DN$508,4,FALSE()))</f>
        <v/>
      </c>
      <c r="DS373" s="153" t="str">
        <f aca="false">IF($DF373&gt;$DE$8,"",VLOOKUP($DF373,$DH$9:$DN$508,5,FALSE()))</f>
        <v/>
      </c>
      <c r="DT373" s="154" t="str">
        <f aca="false">IF($DF373&gt;$DE$8,"",VLOOKUP($DF373,$DH$9:$DN$508,6,FALSE()))</f>
        <v/>
      </c>
      <c r="DU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IF(ISBLANK($C374),"",IF(E374=Constants!$B$3,TRUE(),IF(E374=Constants!$B$4,FALSE(),TRUE())))</f>
        <v/>
      </c>
      <c r="AG374" s="135" t="str">
        <f aca="false">IF(ISBLANK($C374),"",IF(F374=Constants!$B$3,TRUE(),IF(F374=Constants!$B$4,FALSE(),TRUE())))</f>
        <v/>
      </c>
      <c r="AH374" s="135" t="str">
        <f aca="false">IF(ISBLANK($C374),"",IF(G374=Constants!$B$3,TRUE(),IF(G374=Constants!$B$4,FALSE(),TRUE())))</f>
        <v/>
      </c>
      <c r="AI374" s="135" t="str">
        <f aca="false">IF(ISBLANK($C374),"",IF(AND(ISNUMBER(H374),H374&gt;=0),H374,Constants!$B$29))</f>
        <v/>
      </c>
      <c r="AJ374" s="135" t="str">
        <f aca="false">IF(ISBLANK($C374),"",IF(I374=Constants!$B$3,TRUE(),IF(I374=Constants!$B$4,FALSE(),TRUE())))</f>
        <v/>
      </c>
      <c r="AK374" s="135" t="str">
        <f aca="false">IF(ISBLANK($C374),"",IF(J374=Constants!$B$3,TRUE(),IF(J374=Constants!$B$4,FALSE(),TRUE())))</f>
        <v/>
      </c>
      <c r="AL374" s="135" t="str">
        <f aca="false">IF(ISBLANK($C374),"",IF(K374=Constants!$B$5,TRUE(),IF(K374=Constants!$B$6,FALSE(),COUNTA(L374:P374)&gt;0)))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IF(ISBLANK($C374),"",IF(N374=Constants!$B$3,TRUE(),IF(N374=Constants!$B$4,FALSE(),TRUE())))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IF(ISBLANK($C374),"",IF(P374=Constants!$B$3,TRUE(),IF(P374=Constants!$B$4,FALSE(),FALSE())))</f>
        <v/>
      </c>
      <c r="AR374" s="135" t="str">
        <f aca="false">IF(ISBLANK($C374),"",IF(Q374=Constants!$B$3,TRUE(),IF(Q374=Constants!$B$4,FALSE(),TRUE())))</f>
        <v/>
      </c>
      <c r="AS374" s="135" t="str">
        <f aca="false">IF(ISBLANK($C374),"",IF(R374=Constants!$B$3,TRUE(),IF(R374=Constants!$B$4,FALSE(),TRUE())))</f>
        <v/>
      </c>
      <c r="AT374" s="135" t="str">
        <f aca="false">IF(ISBLANK($C374),"",IF(S374=Constants!$B$5,TRUE(),IF(S374=Constants!$B$6,FALSE(),COUNTA(T374:X374)&gt;0)))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IF(ISBLANK($C374),"",IF(V374=Constants!$B$3,TRUE(),IF(V374=Constants!$B$4,FALSE(),TRUE())))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IF(ISBLANK($C374),"",IF(X374=Constants!$B$3,TRUE(),IF(X374=Constants!$B$4,FALSE(),FALSE())))</f>
        <v/>
      </c>
      <c r="AZ374" s="135" t="str">
        <f aca="false">IF(ISBLANK($C374),"",MIN(Constants!$B$31,MAX(0,IF(ISNUMBER(Y374),Y374*60,0)+IF(ISNUMBER(Z374),Z374,0))))</f>
        <v/>
      </c>
      <c r="BA374" s="135" t="str">
        <f aca="false">IF(ISBLANK($C374),"",IF(AA374=Constants!$B$3,TRUE(),IF(AA374=Constants!$B$4,FALSE(),FALSE())))</f>
        <v/>
      </c>
      <c r="BB374" s="134" t="str">
        <f aca="false">IF(ISBLANK($C374),"",AND($AL374,OR($AM374="",$AN374="",AND($AO374,$AP374=""))))</f>
        <v/>
      </c>
      <c r="BC374" s="137" t="str">
        <f aca="false">IF($BZ374&lt;&gt;Constants!$B$8,"",IF($AL374,Constants!$B$21*$AN374+Constants!$B$22*IF($AO374,$AP374,Constants!$B$23),Constants!$B$24))</f>
        <v/>
      </c>
      <c r="BD374" s="138" t="str">
        <f aca="false">IF($BZ374&lt;&gt;Constants!$B$8,"",Constants!$B$25*ABS($AD$9-IF($AL374,$AM374,0)))</f>
        <v/>
      </c>
      <c r="BE374" s="138" t="str">
        <f aca="false">IF($BZ374&lt;&gt;Constants!$B$8,"",IF(AND($AL374,$AQ374,$AO374),Constants!$B$27,0))</f>
        <v/>
      </c>
      <c r="BF374" s="138" t="str">
        <f aca="false">IF($BZ374&lt;&gt;Constants!$B$8,"",IF($AL374,($AI374-Constants!$B$29)*Constants!$B$28,0))</f>
        <v/>
      </c>
      <c r="BG374" s="138" t="str">
        <f aca="false">IF($BZ374&lt;&gt;Constants!$B$8,"",IF($AK374,0,Constants!$B$15)+IF($AJ374,0,Constants!$B$16)+IF($AH374,0,Constants!$B$17))</f>
        <v/>
      </c>
      <c r="BH374" s="139" t="str">
        <f aca="false">IF($BZ374&lt;&gt;Constants!$B$8,"",Constants!$B$20+SUM($BC374:$BG374))</f>
        <v/>
      </c>
      <c r="BI374" s="138" t="str">
        <f aca="false">IF($BZ374&lt;&gt;Constants!$B$8,"",$BC374)</f>
        <v/>
      </c>
      <c r="BJ374" s="138" t="str">
        <f aca="false">IF($BZ374&lt;&gt;Constants!$B$8,"",$BD374)</f>
        <v/>
      </c>
      <c r="BK374" s="138" t="str">
        <f aca="false">IF($BZ374&lt;&gt;Constants!$B$8,"",IF($AL374,$AN374,""))</f>
        <v/>
      </c>
      <c r="BL374" s="140" t="str">
        <f aca="false">IF($BZ374&lt;&gt;Constants!$B$8,"",$AI374)</f>
        <v/>
      </c>
      <c r="BM374" s="135" t="str">
        <f aca="false">IF($BZ374&lt;&gt;Constants!$B$8,"",IF(OR($BT374&lt;$BH374,AND($BT374=$BH374,OR($BU374&lt;$BI374,AND($BU374=$BI374,OR($BV374&lt;$BJ374,AND($BV374=$BJ374,OR(AND(ISNUMBER($BW374),OR(NOT(ISNUMBER($BK374)),$BW374&lt;$BK374)),AND(OR(AND($BW374="",$BK374=""),AND(ISNUMBER($BW374),ISNUMBER($BK374),$BW374=$BK374)),$BX374&lt;$BL374)))))))),"-&gt;","&lt;-"))</f>
        <v/>
      </c>
      <c r="BN374" s="134" t="str">
        <f aca="false">IF(ISBLANK($C374),"",AND($AT374,OR($AU374="",$AV374="",AND($AW374,$AX374=""))))</f>
        <v/>
      </c>
      <c r="BO374" s="137" t="str">
        <f aca="false">IF($BZ374&lt;&gt;Constants!$B$8,"",IF($AT374,Constants!$B$21*$AV374+Constants!$B$22*IF($AW374,$AX374,Constants!$B$23),Constants!$B$24))</f>
        <v/>
      </c>
      <c r="BP374" s="138" t="str">
        <f aca="false">IF($BZ374&lt;&gt;Constants!$B$8,"",Constants!$B$25*ABS($AD$9-IF($AT374,$AU374,0)))</f>
        <v/>
      </c>
      <c r="BQ374" s="138" t="str">
        <f aca="false">IF($BZ374&lt;&gt;Constants!$B$8,"",IF(AND($AT374,$AY374,$AW374),Constants!$B$27,0))</f>
        <v/>
      </c>
      <c r="BR374" s="138" t="str">
        <f aca="false">IF($BZ374&lt;&gt;Constants!$B$8,"",IF($AT374,($AI374-Constants!$B$29)*Constants!$B$28,0))</f>
        <v/>
      </c>
      <c r="BS374" s="138" t="str">
        <f aca="false">IF($BZ374&lt;&gt;Constants!$B$8,"",IF($AS374,0,Constants!$B$15)+IF($AR374,0,Constants!$B$16)+IF($AH374,0,Constants!$B$17))</f>
        <v/>
      </c>
      <c r="BT374" s="139" t="str">
        <f aca="false">IF($BZ374&lt;&gt;Constants!$B$8,"",Constants!$B$20+SUM($BO374:$BS374))</f>
        <v/>
      </c>
      <c r="BU374" s="138" t="str">
        <f aca="false">IF($BZ374&lt;&gt;Constants!$B$8,"",$BO374)</f>
        <v/>
      </c>
      <c r="BV374" s="138" t="str">
        <f aca="false">IF($BZ374&lt;&gt;Constants!$B$8,"",$BP374)</f>
        <v/>
      </c>
      <c r="BW374" s="138" t="str">
        <f aca="false">IF($BZ374&lt;&gt;Constants!$B$8,"",IF($AT374,$AV374,""))</f>
        <v/>
      </c>
      <c r="BX374" s="140" t="str">
        <f aca="false">IF($BZ374&lt;&gt;Constants!$B$8,"",$AI374)</f>
        <v/>
      </c>
      <c r="BY374" s="135" t="str">
        <f aca="false">IF(ISBLANK($C374),"",IF(ISBLANK($D$7),$BY$5,IF(NOT(ISNUMBER($D$7)),$BY$6,"")))</f>
        <v/>
      </c>
      <c r="BZ374" s="135" t="str">
        <f aca="false">IF(ISBLANK($C374),"",IF($BA374,Constants!$B$11,IF(COUNTA($E374:$AA374)=0,Constants!$B$10,IF(NOT($AG374),Constants!$B$9,IF(OR($BY374&lt;&gt;"",$BB374,$BN374),Constants!$B$12,Constants!$B$8)))))</f>
        <v/>
      </c>
      <c r="CA374" s="135" t="str">
        <f aca="false">IF(ISBLANK($C374),"",IF($BZ374&lt;&gt;Constants!$B$8,$BZ374,Constants!$B$13))</f>
        <v/>
      </c>
      <c r="CB374" s="138" t="str">
        <f aca="false">IF($BZ374&lt;&gt;Constants!$B$8,"",IF($BM374="-&gt;",$BT374,$BH374))</f>
        <v/>
      </c>
      <c r="CC374" s="138" t="str">
        <f aca="false">IF($BZ374&lt;&gt;Constants!$B$8,"",IF($AF374,0,Constants!$B$18))</f>
        <v/>
      </c>
      <c r="CD374" s="138" t="str">
        <f aca="false">IF($BZ374&lt;&gt;Constants!$B$8,"",((Constants!$B$31-$AZ374)-Constants!$B$31)/Constants!$B$32)</f>
        <v/>
      </c>
      <c r="CE374" s="138" t="str">
        <f aca="false">IF(ISBLANK($C374),"",IF($BZ374&lt;&gt;Constants!$B$8,$BZ374,SUM($CB374:$CD374)))</f>
        <v/>
      </c>
      <c r="CF374" s="135" t="str">
        <f aca="false">IF(ISBLANK($C374),"",IF($BZ374&lt;&gt;Constants!$B$8,$BZ374,RANK($CE374,$CE$9:$CE$508,1)))</f>
        <v/>
      </c>
      <c r="CG374" s="138" t="str">
        <f aca="false">IF($BZ374&lt;&gt;Constants!$B$8,"",IF($BM374="-&gt;",$BU374,$BI374))</f>
        <v/>
      </c>
      <c r="CH374" s="135" t="str">
        <f aca="false">IF(ISBLANK($C374),"",IF($BZ374&lt;&gt;Constants!$B$8,$BZ374,IF(ISNUMBER($CG374),RANK($CG374,$CG$9:$CG$508,1),COUNT($CG$9:$CG$508)+1)))</f>
        <v/>
      </c>
      <c r="CI374" s="138" t="str">
        <f aca="false">IF($BZ374&lt;&gt;Constants!$B$8,"",IF($BM374="-&gt;",$BV374,$BJ374))</f>
        <v/>
      </c>
      <c r="CJ374" s="135" t="str">
        <f aca="false">IF(ISBLANK($C374),"",IF($BZ374&lt;&gt;Constants!$B$8,$BZ374,IF(ISNUMBER($CI374),RANK($CI374,$CI$9:$CI$508,1),COUNT($CI$9:$CI$508)+1)))</f>
        <v/>
      </c>
      <c r="CK374" s="138" t="str">
        <f aca="false">IF($BZ374&lt;&gt;Constants!$B$8,"",IF($BM374="-&gt;",$BW374,$BK374))</f>
        <v/>
      </c>
      <c r="CL374" s="135" t="str">
        <f aca="false">IF(ISBLANK($C374),"",IF($BZ374&lt;&gt;Constants!$B$8,$BZ374,IF(ISNUMBER($CK374),RANK($CK374,$CK$9:$CK$508,1),COUNT($CK$9:$CK$508)+1)))</f>
        <v/>
      </c>
      <c r="CM374" s="138" t="str">
        <f aca="false">IF($BZ374&lt;&gt;Constants!$B$8,"",IF(AND(NOT($AL374),NOT($AT374),$AJ374,$AK374,$AR374,$AS374),"",IF($BM374="-&gt;",$BX374,$BL374)))</f>
        <v/>
      </c>
      <c r="CN374" s="135" t="str">
        <f aca="false">IF(ISBLANK($C374),"",IF($BZ374&lt;&gt;Constants!$B$8,$BZ374,IF(ISNUMBER($CM374),RANK($CM374,$CM$9:$CM$508,1),COUNT($CM$9:$CM$508)+1)))</f>
        <v/>
      </c>
      <c r="CO374" s="135" t="str">
        <f aca="false">IF(ISBLANK($C374),"",IF($BZ374&lt;&gt;Constants!$B$8,$BZ374,COUNTIFS($CF$9:$CF$508,"&lt;"&amp;$CF374)+COUNTIFS($CF$9:$CF$508,$CF374,$CH$9:$CH$508,"&lt;"&amp;$CH374)+COUNTIFS($CF$9:$CF$508,$CF374,$CH$9:$CH$508,$CH374,$CJ$9:$CJ$508,"&lt;"&amp;$CJ374)+COUNTIFS($CF$9:$CF$508,$CF374,$CH$9:$CH$508,$CH374,$CJ$9:$CJ$508,$CJ374,$CL$9:$CL$508,"&lt;"&amp;$CL374)+COUNTIFS($CF$9:$CF$508,$CF374,$CH$9:$CH$508,$CH374,$CJ$9:$CJ$508,$CJ374,$CL$9:$CL$508,$CL374,$CN$9:$CN$508,"&lt;"&amp;$CN374)+1))</f>
        <v/>
      </c>
      <c r="CP374" s="135" t="str">
        <f aca="false">IF(ISBLANK($C374),"",IF($BZ374&lt;&gt;Constants!$B$8,$BZ374,$CF374-$CO374))</f>
        <v/>
      </c>
      <c r="CQ374" s="141"/>
      <c r="CR374" s="142"/>
      <c r="CS374" s="143" t="str">
        <f aca="false">IF(ISBLANK($C374),"",IF($BZ374=Constants!$B$12,$BY374,""))</f>
        <v/>
      </c>
      <c r="CT374" s="142" t="str">
        <f aca="false">IF(ISBLANK($C374),"",IF($BZ374&lt;&gt;Constants!$B$8,"",IF($BM374="-&gt;",2,1)))</f>
        <v/>
      </c>
      <c r="CU374" s="144" t="str">
        <f aca="false">IF(ISBLANK($C374),"",IF($BZ374&lt;&gt;Constants!$B$8,"",IF($BM374="-&gt;",$BO374,$BC374)))</f>
        <v/>
      </c>
      <c r="CV374" s="144" t="str">
        <f aca="false">IF(ISBLANK($C374),"",IF($BZ374&lt;&gt;Constants!$B$8,"",IF($BM374="-&gt;",$BP374,$BD374)))</f>
        <v/>
      </c>
      <c r="CW374" s="144" t="str">
        <f aca="false">IF(ISBLANK($C374),"",IF($BZ374&lt;&gt;Constants!$B$8,"",IF($BM374="-&gt;",$BQ374+$BR374,$BE374+$BF374)+$CD374))</f>
        <v/>
      </c>
      <c r="CX374" s="144" t="str">
        <f aca="false">IF(ISBLANK($C374),"",IF($BZ374&lt;&gt;Constants!$B$8,"",IF($BM374="-&gt;",$BS374,$BG374)+$CC374))</f>
        <v/>
      </c>
      <c r="CY374" s="145" t="str">
        <f aca="false">IF(ISBLANK($C374),"",IF($BZ374&lt;&gt;Constants!$B$8,$BZ374,$CE374))</f>
        <v/>
      </c>
      <c r="CZ374" s="146" t="str">
        <f aca="false">IF(ISBLANK($C374),"",$CA374)</f>
        <v/>
      </c>
      <c r="DA374" s="147" t="str">
        <f aca="false">IF(ISBLANK($C374),"",$CP374)</f>
        <v/>
      </c>
      <c r="DB374" s="147" t="str">
        <f aca="false">IF(ISBLANK($C374),"",$CO374)</f>
        <v/>
      </c>
      <c r="DC374" s="148" t="str">
        <f aca="false">IF(ISBLANK($C374),"",IFERROR(_xlfn.SWITCH($DB374,Constants!$B$11,COUNTA($C$9:$C$508)+2,Constants!$B$10,COUNTA($C$9:$C$508)+1,Constants!$B$9,COUNTA($C$9:$C$508)),$DB374))</f>
        <v/>
      </c>
      <c r="DD374" s="9"/>
      <c r="DE374" s="149" t="n">
        <f aca="false">IF(OR(ISNUMBER($DB374),$DB374=Constants!$B$11,$DB374=Constants!$B$9,$DB374=Constants!$B$10),1,0)</f>
        <v>0</v>
      </c>
      <c r="DF374" s="149" t="n">
        <v>366</v>
      </c>
      <c r="DG374" s="149" t="str">
        <f aca="false">IF(ISBLANK($C374),"",IF(ISNUMBER($DC374),$DC374+ROW($B374)/1000,""))</f>
        <v/>
      </c>
      <c r="DH374" s="149" t="str">
        <f aca="false">IF(ISNUMBER($DG374),RANK($DG374,$DG$9:$DG$508,1),"")</f>
        <v/>
      </c>
      <c r="DI374" s="149" t="str">
        <f aca="false">IF(ISBLANK($C374),"",$B374)</f>
        <v/>
      </c>
      <c r="DJ374" s="149" t="str">
        <f aca="false">IF(ISBLANK($C374),"",$C374)</f>
        <v/>
      </c>
      <c r="DK374" s="149" t="str">
        <f aca="false">IF(ISBLANK($C374),"",$D374)</f>
        <v/>
      </c>
      <c r="DL374" s="150" t="str">
        <f aca="false">$CZ374</f>
        <v/>
      </c>
      <c r="DM374" s="151" t="str">
        <f aca="false">$CY374</f>
        <v/>
      </c>
      <c r="DN374" s="149" t="str">
        <f aca="false">IF(ISBLANK($C374),"",$DB374)</f>
        <v/>
      </c>
      <c r="DO374" s="152" t="str">
        <f aca="false">IF($DF374&gt;$DE$8,"",VLOOKUP($DF374,$DH$9:$DN$508,7,FALSE()))</f>
        <v/>
      </c>
      <c r="DP374" s="153" t="str">
        <f aca="false">IF($DF374&gt;$DE$8,"",VLOOKUP($DF374,$DH$9:$DN$508,2,FALSE()))</f>
        <v/>
      </c>
      <c r="DQ374" s="153" t="str">
        <f aca="false">IF($DF374&gt;$DE$8,"",VLOOKUP($DF374,$DH$9:$DN$508,3,FALSE()))</f>
        <v/>
      </c>
      <c r="DR374" s="153" t="str">
        <f aca="false">IF($DF374&gt;$DE$8,"",VLOOKUP($DF374,$DH$9:$DN$508,4,FALSE()))</f>
        <v/>
      </c>
      <c r="DS374" s="153" t="str">
        <f aca="false">IF($DF374&gt;$DE$8,"",VLOOKUP($DF374,$DH$9:$DN$508,5,FALSE()))</f>
        <v/>
      </c>
      <c r="DT374" s="154" t="str">
        <f aca="false">IF($DF374&gt;$DE$8,"",VLOOKUP($DF374,$DH$9:$DN$508,6,FALSE()))</f>
        <v/>
      </c>
      <c r="DU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IF(ISBLANK($C375),"",IF(E375=Constants!$B$3,TRUE(),IF(E375=Constants!$B$4,FALSE(),TRUE())))</f>
        <v/>
      </c>
      <c r="AG375" s="93" t="str">
        <f aca="false">IF(ISBLANK($C375),"",IF(F375=Constants!$B$3,TRUE(),IF(F375=Constants!$B$4,FALSE(),TRUE())))</f>
        <v/>
      </c>
      <c r="AH375" s="93" t="str">
        <f aca="false">IF(ISBLANK($C375),"",IF(G375=Constants!$B$3,TRUE(),IF(G375=Constants!$B$4,FALSE(),TRUE())))</f>
        <v/>
      </c>
      <c r="AI375" s="93" t="str">
        <f aca="false">IF(ISBLANK($C375),"",IF(AND(ISNUMBER(H375),H375&gt;=0),H375,Constants!$B$29))</f>
        <v/>
      </c>
      <c r="AJ375" s="93" t="str">
        <f aca="false">IF(ISBLANK($C375),"",IF(I375=Constants!$B$3,TRUE(),IF(I375=Constants!$B$4,FALSE(),TRUE())))</f>
        <v/>
      </c>
      <c r="AK375" s="93" t="str">
        <f aca="false">IF(ISBLANK($C375),"",IF(J375=Constants!$B$3,TRUE(),IF(J375=Constants!$B$4,FALSE(),TRUE())))</f>
        <v/>
      </c>
      <c r="AL375" s="93" t="str">
        <f aca="false">IF(ISBLANK($C375),"",IF(K375=Constants!$B$5,TRUE(),IF(K375=Constants!$B$6,FALSE(),COUNTA(L375:P375)&gt;0)))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IF(ISBLANK($C375),"",IF(N375=Constants!$B$3,TRUE(),IF(N375=Constants!$B$4,FALSE(),TRUE())))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IF(ISBLANK($C375),"",IF(P375=Constants!$B$3,TRUE(),IF(P375=Constants!$B$4,FALSE(),FALSE())))</f>
        <v/>
      </c>
      <c r="AR375" s="93" t="str">
        <f aca="false">IF(ISBLANK($C375),"",IF(Q375=Constants!$B$3,TRUE(),IF(Q375=Constants!$B$4,FALSE(),TRUE())))</f>
        <v/>
      </c>
      <c r="AS375" s="93" t="str">
        <f aca="false">IF(ISBLANK($C375),"",IF(R375=Constants!$B$3,TRUE(),IF(R375=Constants!$B$4,FALSE(),TRUE())))</f>
        <v/>
      </c>
      <c r="AT375" s="93" t="str">
        <f aca="false">IF(ISBLANK($C375),"",IF(S375=Constants!$B$5,TRUE(),IF(S375=Constants!$B$6,FALSE(),COUNTA(T375:X375)&gt;0)))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IF(ISBLANK($C375),"",IF(V375=Constants!$B$3,TRUE(),IF(V375=Constants!$B$4,FALSE(),TRUE())))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IF(ISBLANK($C375),"",IF(X375=Constants!$B$3,TRUE(),IF(X375=Constants!$B$4,FALSE(),FALSE())))</f>
        <v/>
      </c>
      <c r="AZ375" s="93" t="str">
        <f aca="false">IF(ISBLANK($C375),"",MIN(Constants!$B$31,MAX(0,IF(ISNUMBER(Y375),Y375*60,0)+IF(ISNUMBER(Z375),Z375,0))))</f>
        <v/>
      </c>
      <c r="BA375" s="93" t="str">
        <f aca="false">IF(ISBLANK($C375),"",IF(AA375=Constants!$B$3,TRUE(),IF(AA375=Constants!$B$4,FALSE(),FALSE())))</f>
        <v/>
      </c>
      <c r="BB375" s="92" t="str">
        <f aca="false">IF(ISBLANK($C375),"",AND($AL375,OR($AM375="",$AN375="",AND($AO375,$AP375=""))))</f>
        <v/>
      </c>
      <c r="BC375" s="94" t="str">
        <f aca="false">IF($BZ375&lt;&gt;Constants!$B$8,"",IF($AL375,Constants!$B$21*$AN375+Constants!$B$22*IF($AO375,$AP375,Constants!$B$23),Constants!$B$24))</f>
        <v/>
      </c>
      <c r="BD375" s="97" t="str">
        <f aca="false">IF($BZ375&lt;&gt;Constants!$B$8,"",Constants!$B$25*ABS($AD$9-IF($AL375,$AM375,0)))</f>
        <v/>
      </c>
      <c r="BE375" s="97" t="str">
        <f aca="false">IF($BZ375&lt;&gt;Constants!$B$8,"",IF(AND($AL375,$AQ375,$AO375),Constants!$B$27,0))</f>
        <v/>
      </c>
      <c r="BF375" s="97" t="str">
        <f aca="false">IF($BZ375&lt;&gt;Constants!$B$8,"",IF($AL375,($AI375-Constants!$B$29)*Constants!$B$28,0))</f>
        <v/>
      </c>
      <c r="BG375" s="97" t="str">
        <f aca="false">IF($BZ375&lt;&gt;Constants!$B$8,"",IF($AK375,0,Constants!$B$15)+IF($AJ375,0,Constants!$B$16)+IF($AH375,0,Constants!$B$17))</f>
        <v/>
      </c>
      <c r="BH375" s="98" t="str">
        <f aca="false">IF($BZ375&lt;&gt;Constants!$B$8,"",Constants!$B$20+SUM($BC375:$BG375))</f>
        <v/>
      </c>
      <c r="BI375" s="97" t="str">
        <f aca="false">IF($BZ375&lt;&gt;Constants!$B$8,"",$BC375)</f>
        <v/>
      </c>
      <c r="BJ375" s="97" t="str">
        <f aca="false">IF($BZ375&lt;&gt;Constants!$B$8,"",$BD375)</f>
        <v/>
      </c>
      <c r="BK375" s="97" t="str">
        <f aca="false">IF($BZ375&lt;&gt;Constants!$B$8,"",IF($AL375,$AN375,""))</f>
        <v/>
      </c>
      <c r="BL375" s="99" t="str">
        <f aca="false">IF($BZ375&lt;&gt;Constants!$B$8,"",$AI375)</f>
        <v/>
      </c>
      <c r="BM375" s="93" t="str">
        <f aca="false">IF($BZ375&lt;&gt;Constants!$B$8,"",IF(OR($BT375&lt;$BH375,AND($BT375=$BH375,OR($BU375&lt;$BI375,AND($BU375=$BI375,OR($BV375&lt;$BJ375,AND($BV375=$BJ375,OR(AND(ISNUMBER($BW375),OR(NOT(ISNUMBER($BK375)),$BW375&lt;$BK375)),AND(OR(AND($BW375="",$BK375=""),AND(ISNUMBER($BW375),ISNUMBER($BK375),$BW375=$BK375)),$BX375&lt;$BL375)))))))),"-&gt;","&lt;-"))</f>
        <v/>
      </c>
      <c r="BN375" s="92" t="str">
        <f aca="false">IF(ISBLANK($C375),"",AND($AT375,OR($AU375="",$AV375="",AND($AW375,$AX375=""))))</f>
        <v/>
      </c>
      <c r="BO375" s="94" t="str">
        <f aca="false">IF($BZ375&lt;&gt;Constants!$B$8,"",IF($AT375,Constants!$B$21*$AV375+Constants!$B$22*IF($AW375,$AX375,Constants!$B$23),Constants!$B$24))</f>
        <v/>
      </c>
      <c r="BP375" s="97" t="str">
        <f aca="false">IF($BZ375&lt;&gt;Constants!$B$8,"",Constants!$B$25*ABS($AD$9-IF($AT375,$AU375,0)))</f>
        <v/>
      </c>
      <c r="BQ375" s="97" t="str">
        <f aca="false">IF($BZ375&lt;&gt;Constants!$B$8,"",IF(AND($AT375,$AY375,$AW375),Constants!$B$27,0))</f>
        <v/>
      </c>
      <c r="BR375" s="97" t="str">
        <f aca="false">IF($BZ375&lt;&gt;Constants!$B$8,"",IF($AT375,($AI375-Constants!$B$29)*Constants!$B$28,0))</f>
        <v/>
      </c>
      <c r="BS375" s="97" t="str">
        <f aca="false">IF($BZ375&lt;&gt;Constants!$B$8,"",IF($AS375,0,Constants!$B$15)+IF($AR375,0,Constants!$B$16)+IF($AH375,0,Constants!$B$17))</f>
        <v/>
      </c>
      <c r="BT375" s="98" t="str">
        <f aca="false">IF($BZ375&lt;&gt;Constants!$B$8,"",Constants!$B$20+SUM($BO375:$BS375))</f>
        <v/>
      </c>
      <c r="BU375" s="97" t="str">
        <f aca="false">IF($BZ375&lt;&gt;Constants!$B$8,"",$BO375)</f>
        <v/>
      </c>
      <c r="BV375" s="97" t="str">
        <f aca="false">IF($BZ375&lt;&gt;Constants!$B$8,"",$BP375)</f>
        <v/>
      </c>
      <c r="BW375" s="97" t="str">
        <f aca="false">IF($BZ375&lt;&gt;Constants!$B$8,"",IF($AT375,$AV375,""))</f>
        <v/>
      </c>
      <c r="BX375" s="99" t="str">
        <f aca="false">IF($BZ375&lt;&gt;Constants!$B$8,"",$AI375)</f>
        <v/>
      </c>
      <c r="BY375" s="93" t="str">
        <f aca="false">IF(ISBLANK($C375),"",IF(ISBLANK($D$7),$BY$5,IF(NOT(ISNUMBER($D$7)),$BY$6,"")))</f>
        <v/>
      </c>
      <c r="BZ375" s="93" t="str">
        <f aca="false">IF(ISBLANK($C375),"",IF($BA375,Constants!$B$11,IF(COUNTA($E375:$AA375)=0,Constants!$B$10,IF(NOT($AG375),Constants!$B$9,IF(OR($BY375&lt;&gt;"",$BB375,$BN375),Constants!$B$12,Constants!$B$8)))))</f>
        <v/>
      </c>
      <c r="CA375" s="93" t="str">
        <f aca="false">IF(ISBLANK($C375),"",IF($BZ375&lt;&gt;Constants!$B$8,$BZ375,Constants!$B$13))</f>
        <v/>
      </c>
      <c r="CB375" s="97" t="str">
        <f aca="false">IF($BZ375&lt;&gt;Constants!$B$8,"",IF($BM375="-&gt;",$BT375,$BH375))</f>
        <v/>
      </c>
      <c r="CC375" s="97" t="str">
        <f aca="false">IF($BZ375&lt;&gt;Constants!$B$8,"",IF($AF375,0,Constants!$B$18))</f>
        <v/>
      </c>
      <c r="CD375" s="97" t="str">
        <f aca="false">IF($BZ375&lt;&gt;Constants!$B$8,"",((Constants!$B$31-$AZ375)-Constants!$B$31)/Constants!$B$32)</f>
        <v/>
      </c>
      <c r="CE375" s="97" t="str">
        <f aca="false">IF(ISBLANK($C375),"",IF($BZ375&lt;&gt;Constants!$B$8,$BZ375,SUM($CB375:$CD375)))</f>
        <v/>
      </c>
      <c r="CF375" s="93" t="str">
        <f aca="false">IF(ISBLANK($C375),"",IF($BZ375&lt;&gt;Constants!$B$8,$BZ375,RANK($CE375,$CE$9:$CE$508,1)))</f>
        <v/>
      </c>
      <c r="CG375" s="97" t="str">
        <f aca="false">IF($BZ375&lt;&gt;Constants!$B$8,"",IF($BM375="-&gt;",$BU375,$BI375))</f>
        <v/>
      </c>
      <c r="CH375" s="93" t="str">
        <f aca="false">IF(ISBLANK($C375),"",IF($BZ375&lt;&gt;Constants!$B$8,$BZ375,IF(ISNUMBER($CG375),RANK($CG375,$CG$9:$CG$508,1),COUNT($CG$9:$CG$508)+1)))</f>
        <v/>
      </c>
      <c r="CI375" s="97" t="str">
        <f aca="false">IF($BZ375&lt;&gt;Constants!$B$8,"",IF($BM375="-&gt;",$BV375,$BJ375))</f>
        <v/>
      </c>
      <c r="CJ375" s="93" t="str">
        <f aca="false">IF(ISBLANK($C375),"",IF($BZ375&lt;&gt;Constants!$B$8,$BZ375,IF(ISNUMBER($CI375),RANK($CI375,$CI$9:$CI$508,1),COUNT($CI$9:$CI$508)+1)))</f>
        <v/>
      </c>
      <c r="CK375" s="97" t="str">
        <f aca="false">IF($BZ375&lt;&gt;Constants!$B$8,"",IF($BM375="-&gt;",$BW375,$BK375))</f>
        <v/>
      </c>
      <c r="CL375" s="93" t="str">
        <f aca="false">IF(ISBLANK($C375),"",IF($BZ375&lt;&gt;Constants!$B$8,$BZ375,IF(ISNUMBER($CK375),RANK($CK375,$CK$9:$CK$508,1),COUNT($CK$9:$CK$508)+1)))</f>
        <v/>
      </c>
      <c r="CM375" s="97" t="str">
        <f aca="false">IF($BZ375&lt;&gt;Constants!$B$8,"",IF(AND(NOT($AL375),NOT($AT375),$AJ375,$AK375,$AR375,$AS375),"",IF($BM375="-&gt;",$BX375,$BL375)))</f>
        <v/>
      </c>
      <c r="CN375" s="93" t="str">
        <f aca="false">IF(ISBLANK($C375),"",IF($BZ375&lt;&gt;Constants!$B$8,$BZ375,IF(ISNUMBER($CM375),RANK($CM375,$CM$9:$CM$508,1),COUNT($CM$9:$CM$508)+1)))</f>
        <v/>
      </c>
      <c r="CO375" s="93" t="str">
        <f aca="false">IF(ISBLANK($C375),"",IF($BZ375&lt;&gt;Constants!$B$8,$BZ375,COUNTIFS($CF$9:$CF$508,"&lt;"&amp;$CF375)+COUNTIFS($CF$9:$CF$508,$CF375,$CH$9:$CH$508,"&lt;"&amp;$CH375)+COUNTIFS($CF$9:$CF$508,$CF375,$CH$9:$CH$508,$CH375,$CJ$9:$CJ$508,"&lt;"&amp;$CJ375)+COUNTIFS($CF$9:$CF$508,$CF375,$CH$9:$CH$508,$CH375,$CJ$9:$CJ$508,$CJ375,$CL$9:$CL$508,"&lt;"&amp;$CL375)+COUNTIFS($CF$9:$CF$508,$CF375,$CH$9:$CH$508,$CH375,$CJ$9:$CJ$508,$CJ375,$CL$9:$CL$508,$CL375,$CN$9:$CN$508,"&lt;"&amp;$CN375)+1))</f>
        <v/>
      </c>
      <c r="CP375" s="93" t="str">
        <f aca="false">IF(ISBLANK($C375),"",IF($BZ375&lt;&gt;Constants!$B$8,$BZ375,$CF375-$CO375))</f>
        <v/>
      </c>
      <c r="CQ375" s="100"/>
      <c r="CR375" s="101"/>
      <c r="CS375" s="102" t="str">
        <f aca="false">IF(ISBLANK($C375),"",IF($BZ375=Constants!$B$12,$BY375,""))</f>
        <v/>
      </c>
      <c r="CT375" s="101" t="str">
        <f aca="false">IF(ISBLANK($C375),"",IF($BZ375&lt;&gt;Constants!$B$8,"",IF($BM375="-&gt;",2,1)))</f>
        <v/>
      </c>
      <c r="CU375" s="103" t="str">
        <f aca="false">IF(ISBLANK($C375),"",IF($BZ375&lt;&gt;Constants!$B$8,"",IF($BM375="-&gt;",$BO375,$BC375)))</f>
        <v/>
      </c>
      <c r="CV375" s="103" t="str">
        <f aca="false">IF(ISBLANK($C375),"",IF($BZ375&lt;&gt;Constants!$B$8,"",IF($BM375="-&gt;",$BP375,$BD375)))</f>
        <v/>
      </c>
      <c r="CW375" s="103" t="str">
        <f aca="false">IF(ISBLANK($C375),"",IF($BZ375&lt;&gt;Constants!$B$8,"",IF($BM375="-&gt;",$BQ375+$BR375,$BE375+$BF375)+$CD375))</f>
        <v/>
      </c>
      <c r="CX375" s="103" t="str">
        <f aca="false">IF(ISBLANK($C375),"",IF($BZ375&lt;&gt;Constants!$B$8,"",IF($BM375="-&gt;",$BS375,$BG375)+$CC375))</f>
        <v/>
      </c>
      <c r="CY375" s="104" t="str">
        <f aca="false">IF(ISBLANK($C375),"",IF($BZ375&lt;&gt;Constants!$B$8,$BZ375,$CE375))</f>
        <v/>
      </c>
      <c r="CZ375" s="105" t="str">
        <f aca="false">IF(ISBLANK($C375),"",$CA375)</f>
        <v/>
      </c>
      <c r="DA375" s="106" t="str">
        <f aca="false">IF(ISBLANK($C375),"",$CP375)</f>
        <v/>
      </c>
      <c r="DB375" s="106" t="str">
        <f aca="false">IF(ISBLANK($C375),"",$CO375)</f>
        <v/>
      </c>
      <c r="DC375" s="107" t="str">
        <f aca="false">IF(ISBLANK($C375),"",IFERROR(_xlfn.SWITCH($DB375,Constants!$B$11,COUNTA($C$9:$C$508)+2,Constants!$B$10,COUNTA($C$9:$C$508)+1,Constants!$B$9,COUNTA($C$9:$C$508)),$DB375))</f>
        <v/>
      </c>
      <c r="DD375" s="9"/>
      <c r="DE375" s="108" t="n">
        <f aca="false">IF(OR(ISNUMBER($DB375),$DB375=Constants!$B$11,$DB375=Constants!$B$9,$DB375=Constants!$B$10),1,0)</f>
        <v>0</v>
      </c>
      <c r="DF375" s="108" t="n">
        <v>367</v>
      </c>
      <c r="DG375" s="108" t="str">
        <f aca="false">IF(ISBLANK($C375),"",IF(ISNUMBER($DC375),$DC375+ROW($B375)/1000,""))</f>
        <v/>
      </c>
      <c r="DH375" s="108" t="str">
        <f aca="false">IF(ISNUMBER($DG375),RANK($DG375,$DG$9:$DG$508,1),"")</f>
        <v/>
      </c>
      <c r="DI375" s="108" t="str">
        <f aca="false">IF(ISBLANK($C375),"",$B375)</f>
        <v/>
      </c>
      <c r="DJ375" s="108" t="str">
        <f aca="false">IF(ISBLANK($C375),"",$C375)</f>
        <v/>
      </c>
      <c r="DK375" s="108" t="str">
        <f aca="false">IF(ISBLANK($C375),"",$D375)</f>
        <v/>
      </c>
      <c r="DL375" s="109" t="str">
        <f aca="false">$CZ375</f>
        <v/>
      </c>
      <c r="DM375" s="110" t="str">
        <f aca="false">$CY375</f>
        <v/>
      </c>
      <c r="DN375" s="108" t="str">
        <f aca="false">IF(ISBLANK($C375),"",$DB375)</f>
        <v/>
      </c>
      <c r="DO375" s="111" t="str">
        <f aca="false">IF($DF375&gt;$DE$8,"",VLOOKUP($DF375,$DH$9:$DN$508,7,FALSE()))</f>
        <v/>
      </c>
      <c r="DP375" s="112" t="str">
        <f aca="false">IF($DF375&gt;$DE$8,"",VLOOKUP($DF375,$DH$9:$DN$508,2,FALSE()))</f>
        <v/>
      </c>
      <c r="DQ375" s="112" t="str">
        <f aca="false">IF($DF375&gt;$DE$8,"",VLOOKUP($DF375,$DH$9:$DN$508,3,FALSE()))</f>
        <v/>
      </c>
      <c r="DR375" s="112" t="str">
        <f aca="false">IF($DF375&gt;$DE$8,"",VLOOKUP($DF375,$DH$9:$DN$508,4,FALSE()))</f>
        <v/>
      </c>
      <c r="DS375" s="112" t="str">
        <f aca="false">IF($DF375&gt;$DE$8,"",VLOOKUP($DF375,$DH$9:$DN$508,5,FALSE()))</f>
        <v/>
      </c>
      <c r="DT375" s="113" t="str">
        <f aca="false">IF($DF375&gt;$DE$8,"",VLOOKUP($DF375,$DH$9:$DN$508,6,FALSE()))</f>
        <v/>
      </c>
      <c r="DU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IF(ISBLANK($C376),"",IF(E376=Constants!$B$3,TRUE(),IF(E376=Constants!$B$4,FALSE(),TRUE())))</f>
        <v/>
      </c>
      <c r="AG376" s="93" t="str">
        <f aca="false">IF(ISBLANK($C376),"",IF(F376=Constants!$B$3,TRUE(),IF(F376=Constants!$B$4,FALSE(),TRUE())))</f>
        <v/>
      </c>
      <c r="AH376" s="93" t="str">
        <f aca="false">IF(ISBLANK($C376),"",IF(G376=Constants!$B$3,TRUE(),IF(G376=Constants!$B$4,FALSE(),TRUE())))</f>
        <v/>
      </c>
      <c r="AI376" s="93" t="str">
        <f aca="false">IF(ISBLANK($C376),"",IF(AND(ISNUMBER(H376),H376&gt;=0),H376,Constants!$B$29))</f>
        <v/>
      </c>
      <c r="AJ376" s="93" t="str">
        <f aca="false">IF(ISBLANK($C376),"",IF(I376=Constants!$B$3,TRUE(),IF(I376=Constants!$B$4,FALSE(),TRUE())))</f>
        <v/>
      </c>
      <c r="AK376" s="93" t="str">
        <f aca="false">IF(ISBLANK($C376),"",IF(J376=Constants!$B$3,TRUE(),IF(J376=Constants!$B$4,FALSE(),TRUE())))</f>
        <v/>
      </c>
      <c r="AL376" s="93" t="str">
        <f aca="false">IF(ISBLANK($C376),"",IF(K376=Constants!$B$5,TRUE(),IF(K376=Constants!$B$6,FALSE(),COUNTA(L376:P376)&gt;0)))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IF(ISBLANK($C376),"",IF(N376=Constants!$B$3,TRUE(),IF(N376=Constants!$B$4,FALSE(),TRUE())))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IF(ISBLANK($C376),"",IF(P376=Constants!$B$3,TRUE(),IF(P376=Constants!$B$4,FALSE(),FALSE())))</f>
        <v/>
      </c>
      <c r="AR376" s="93" t="str">
        <f aca="false">IF(ISBLANK($C376),"",IF(Q376=Constants!$B$3,TRUE(),IF(Q376=Constants!$B$4,FALSE(),TRUE())))</f>
        <v/>
      </c>
      <c r="AS376" s="93" t="str">
        <f aca="false">IF(ISBLANK($C376),"",IF(R376=Constants!$B$3,TRUE(),IF(R376=Constants!$B$4,FALSE(),TRUE())))</f>
        <v/>
      </c>
      <c r="AT376" s="93" t="str">
        <f aca="false">IF(ISBLANK($C376),"",IF(S376=Constants!$B$5,TRUE(),IF(S376=Constants!$B$6,FALSE(),COUNTA(T376:X376)&gt;0)))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IF(ISBLANK($C376),"",IF(V376=Constants!$B$3,TRUE(),IF(V376=Constants!$B$4,FALSE(),TRUE())))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IF(ISBLANK($C376),"",IF(X376=Constants!$B$3,TRUE(),IF(X376=Constants!$B$4,FALSE(),FALSE())))</f>
        <v/>
      </c>
      <c r="AZ376" s="93" t="str">
        <f aca="false">IF(ISBLANK($C376),"",MIN(Constants!$B$31,MAX(0,IF(ISNUMBER(Y376),Y376*60,0)+IF(ISNUMBER(Z376),Z376,0))))</f>
        <v/>
      </c>
      <c r="BA376" s="93" t="str">
        <f aca="false">IF(ISBLANK($C376),"",IF(AA376=Constants!$B$3,TRUE(),IF(AA376=Constants!$B$4,FALSE(),FALSE())))</f>
        <v/>
      </c>
      <c r="BB376" s="92" t="str">
        <f aca="false">IF(ISBLANK($C376),"",AND($AL376,OR($AM376="",$AN376="",AND($AO376,$AP376=""))))</f>
        <v/>
      </c>
      <c r="BC376" s="94" t="str">
        <f aca="false">IF($BZ376&lt;&gt;Constants!$B$8,"",IF($AL376,Constants!$B$21*$AN376+Constants!$B$22*IF($AO376,$AP376,Constants!$B$23),Constants!$B$24))</f>
        <v/>
      </c>
      <c r="BD376" s="97" t="str">
        <f aca="false">IF($BZ376&lt;&gt;Constants!$B$8,"",Constants!$B$25*ABS($AD$9-IF($AL376,$AM376,0)))</f>
        <v/>
      </c>
      <c r="BE376" s="97" t="str">
        <f aca="false">IF($BZ376&lt;&gt;Constants!$B$8,"",IF(AND($AL376,$AQ376,$AO376),Constants!$B$27,0))</f>
        <v/>
      </c>
      <c r="BF376" s="97" t="str">
        <f aca="false">IF($BZ376&lt;&gt;Constants!$B$8,"",IF($AL376,($AI376-Constants!$B$29)*Constants!$B$28,0))</f>
        <v/>
      </c>
      <c r="BG376" s="97" t="str">
        <f aca="false">IF($BZ376&lt;&gt;Constants!$B$8,"",IF($AK376,0,Constants!$B$15)+IF($AJ376,0,Constants!$B$16)+IF($AH376,0,Constants!$B$17))</f>
        <v/>
      </c>
      <c r="BH376" s="98" t="str">
        <f aca="false">IF($BZ376&lt;&gt;Constants!$B$8,"",Constants!$B$20+SUM($BC376:$BG376))</f>
        <v/>
      </c>
      <c r="BI376" s="97" t="str">
        <f aca="false">IF($BZ376&lt;&gt;Constants!$B$8,"",$BC376)</f>
        <v/>
      </c>
      <c r="BJ376" s="97" t="str">
        <f aca="false">IF($BZ376&lt;&gt;Constants!$B$8,"",$BD376)</f>
        <v/>
      </c>
      <c r="BK376" s="97" t="str">
        <f aca="false">IF($BZ376&lt;&gt;Constants!$B$8,"",IF($AL376,$AN376,""))</f>
        <v/>
      </c>
      <c r="BL376" s="99" t="str">
        <f aca="false">IF($BZ376&lt;&gt;Constants!$B$8,"",$AI376)</f>
        <v/>
      </c>
      <c r="BM376" s="93" t="str">
        <f aca="false">IF($BZ376&lt;&gt;Constants!$B$8,"",IF(OR($BT376&lt;$BH376,AND($BT376=$BH376,OR($BU376&lt;$BI376,AND($BU376=$BI376,OR($BV376&lt;$BJ376,AND($BV376=$BJ376,OR(AND(ISNUMBER($BW376),OR(NOT(ISNUMBER($BK376)),$BW376&lt;$BK376)),AND(OR(AND($BW376="",$BK376=""),AND(ISNUMBER($BW376),ISNUMBER($BK376),$BW376=$BK376)),$BX376&lt;$BL376)))))))),"-&gt;","&lt;-"))</f>
        <v/>
      </c>
      <c r="BN376" s="92" t="str">
        <f aca="false">IF(ISBLANK($C376),"",AND($AT376,OR($AU376="",$AV376="",AND($AW376,$AX376=""))))</f>
        <v/>
      </c>
      <c r="BO376" s="94" t="str">
        <f aca="false">IF($BZ376&lt;&gt;Constants!$B$8,"",IF($AT376,Constants!$B$21*$AV376+Constants!$B$22*IF($AW376,$AX376,Constants!$B$23),Constants!$B$24))</f>
        <v/>
      </c>
      <c r="BP376" s="97" t="str">
        <f aca="false">IF($BZ376&lt;&gt;Constants!$B$8,"",Constants!$B$25*ABS($AD$9-IF($AT376,$AU376,0)))</f>
        <v/>
      </c>
      <c r="BQ376" s="97" t="str">
        <f aca="false">IF($BZ376&lt;&gt;Constants!$B$8,"",IF(AND($AT376,$AY376,$AW376),Constants!$B$27,0))</f>
        <v/>
      </c>
      <c r="BR376" s="97" t="str">
        <f aca="false">IF($BZ376&lt;&gt;Constants!$B$8,"",IF($AT376,($AI376-Constants!$B$29)*Constants!$B$28,0))</f>
        <v/>
      </c>
      <c r="BS376" s="97" t="str">
        <f aca="false">IF($BZ376&lt;&gt;Constants!$B$8,"",IF($AS376,0,Constants!$B$15)+IF($AR376,0,Constants!$B$16)+IF($AH376,0,Constants!$B$17))</f>
        <v/>
      </c>
      <c r="BT376" s="98" t="str">
        <f aca="false">IF($BZ376&lt;&gt;Constants!$B$8,"",Constants!$B$20+SUM($BO376:$BS376))</f>
        <v/>
      </c>
      <c r="BU376" s="97" t="str">
        <f aca="false">IF($BZ376&lt;&gt;Constants!$B$8,"",$BO376)</f>
        <v/>
      </c>
      <c r="BV376" s="97" t="str">
        <f aca="false">IF($BZ376&lt;&gt;Constants!$B$8,"",$BP376)</f>
        <v/>
      </c>
      <c r="BW376" s="97" t="str">
        <f aca="false">IF($BZ376&lt;&gt;Constants!$B$8,"",IF($AT376,$AV376,""))</f>
        <v/>
      </c>
      <c r="BX376" s="99" t="str">
        <f aca="false">IF($BZ376&lt;&gt;Constants!$B$8,"",$AI376)</f>
        <v/>
      </c>
      <c r="BY376" s="93" t="str">
        <f aca="false">IF(ISBLANK($C376),"",IF(ISBLANK($D$7),$BY$5,IF(NOT(ISNUMBER($D$7)),$BY$6,"")))</f>
        <v/>
      </c>
      <c r="BZ376" s="93" t="str">
        <f aca="false">IF(ISBLANK($C376),"",IF($BA376,Constants!$B$11,IF(COUNTA($E376:$AA376)=0,Constants!$B$10,IF(NOT($AG376),Constants!$B$9,IF(OR($BY376&lt;&gt;"",$BB376,$BN376),Constants!$B$12,Constants!$B$8)))))</f>
        <v/>
      </c>
      <c r="CA376" s="93" t="str">
        <f aca="false">IF(ISBLANK($C376),"",IF($BZ376&lt;&gt;Constants!$B$8,$BZ376,Constants!$B$13))</f>
        <v/>
      </c>
      <c r="CB376" s="97" t="str">
        <f aca="false">IF($BZ376&lt;&gt;Constants!$B$8,"",IF($BM376="-&gt;",$BT376,$BH376))</f>
        <v/>
      </c>
      <c r="CC376" s="97" t="str">
        <f aca="false">IF($BZ376&lt;&gt;Constants!$B$8,"",IF($AF376,0,Constants!$B$18))</f>
        <v/>
      </c>
      <c r="CD376" s="97" t="str">
        <f aca="false">IF($BZ376&lt;&gt;Constants!$B$8,"",((Constants!$B$31-$AZ376)-Constants!$B$31)/Constants!$B$32)</f>
        <v/>
      </c>
      <c r="CE376" s="97" t="str">
        <f aca="false">IF(ISBLANK($C376),"",IF($BZ376&lt;&gt;Constants!$B$8,$BZ376,SUM($CB376:$CD376)))</f>
        <v/>
      </c>
      <c r="CF376" s="93" t="str">
        <f aca="false">IF(ISBLANK($C376),"",IF($BZ376&lt;&gt;Constants!$B$8,$BZ376,RANK($CE376,$CE$9:$CE$508,1)))</f>
        <v/>
      </c>
      <c r="CG376" s="97" t="str">
        <f aca="false">IF($BZ376&lt;&gt;Constants!$B$8,"",IF($BM376="-&gt;",$BU376,$BI376))</f>
        <v/>
      </c>
      <c r="CH376" s="93" t="str">
        <f aca="false">IF(ISBLANK($C376),"",IF($BZ376&lt;&gt;Constants!$B$8,$BZ376,IF(ISNUMBER($CG376),RANK($CG376,$CG$9:$CG$508,1),COUNT($CG$9:$CG$508)+1)))</f>
        <v/>
      </c>
      <c r="CI376" s="97" t="str">
        <f aca="false">IF($BZ376&lt;&gt;Constants!$B$8,"",IF($BM376="-&gt;",$BV376,$BJ376))</f>
        <v/>
      </c>
      <c r="CJ376" s="93" t="str">
        <f aca="false">IF(ISBLANK($C376),"",IF($BZ376&lt;&gt;Constants!$B$8,$BZ376,IF(ISNUMBER($CI376),RANK($CI376,$CI$9:$CI$508,1),COUNT($CI$9:$CI$508)+1)))</f>
        <v/>
      </c>
      <c r="CK376" s="97" t="str">
        <f aca="false">IF($BZ376&lt;&gt;Constants!$B$8,"",IF($BM376="-&gt;",$BW376,$BK376))</f>
        <v/>
      </c>
      <c r="CL376" s="93" t="str">
        <f aca="false">IF(ISBLANK($C376),"",IF($BZ376&lt;&gt;Constants!$B$8,$BZ376,IF(ISNUMBER($CK376),RANK($CK376,$CK$9:$CK$508,1),COUNT($CK$9:$CK$508)+1)))</f>
        <v/>
      </c>
      <c r="CM376" s="97" t="str">
        <f aca="false">IF($BZ376&lt;&gt;Constants!$B$8,"",IF(AND(NOT($AL376),NOT($AT376),$AJ376,$AK376,$AR376,$AS376),"",IF($BM376="-&gt;",$BX376,$BL376)))</f>
        <v/>
      </c>
      <c r="CN376" s="93" t="str">
        <f aca="false">IF(ISBLANK($C376),"",IF($BZ376&lt;&gt;Constants!$B$8,$BZ376,IF(ISNUMBER($CM376),RANK($CM376,$CM$9:$CM$508,1),COUNT($CM$9:$CM$508)+1)))</f>
        <v/>
      </c>
      <c r="CO376" s="93" t="str">
        <f aca="false">IF(ISBLANK($C376),"",IF($BZ376&lt;&gt;Constants!$B$8,$BZ376,COUNTIFS($CF$9:$CF$508,"&lt;"&amp;$CF376)+COUNTIFS($CF$9:$CF$508,$CF376,$CH$9:$CH$508,"&lt;"&amp;$CH376)+COUNTIFS($CF$9:$CF$508,$CF376,$CH$9:$CH$508,$CH376,$CJ$9:$CJ$508,"&lt;"&amp;$CJ376)+COUNTIFS($CF$9:$CF$508,$CF376,$CH$9:$CH$508,$CH376,$CJ$9:$CJ$508,$CJ376,$CL$9:$CL$508,"&lt;"&amp;$CL376)+COUNTIFS($CF$9:$CF$508,$CF376,$CH$9:$CH$508,$CH376,$CJ$9:$CJ$508,$CJ376,$CL$9:$CL$508,$CL376,$CN$9:$CN$508,"&lt;"&amp;$CN376)+1))</f>
        <v/>
      </c>
      <c r="CP376" s="93" t="str">
        <f aca="false">IF(ISBLANK($C376),"",IF($BZ376&lt;&gt;Constants!$B$8,$BZ376,$CF376-$CO376))</f>
        <v/>
      </c>
      <c r="CQ376" s="100"/>
      <c r="CR376" s="101"/>
      <c r="CS376" s="102" t="str">
        <f aca="false">IF(ISBLANK($C376),"",IF($BZ376=Constants!$B$12,$BY376,""))</f>
        <v/>
      </c>
      <c r="CT376" s="101" t="str">
        <f aca="false">IF(ISBLANK($C376),"",IF($BZ376&lt;&gt;Constants!$B$8,"",IF($BM376="-&gt;",2,1)))</f>
        <v/>
      </c>
      <c r="CU376" s="103" t="str">
        <f aca="false">IF(ISBLANK($C376),"",IF($BZ376&lt;&gt;Constants!$B$8,"",IF($BM376="-&gt;",$BO376,$BC376)))</f>
        <v/>
      </c>
      <c r="CV376" s="103" t="str">
        <f aca="false">IF(ISBLANK($C376),"",IF($BZ376&lt;&gt;Constants!$B$8,"",IF($BM376="-&gt;",$BP376,$BD376)))</f>
        <v/>
      </c>
      <c r="CW376" s="103" t="str">
        <f aca="false">IF(ISBLANK($C376),"",IF($BZ376&lt;&gt;Constants!$B$8,"",IF($BM376="-&gt;",$BQ376+$BR376,$BE376+$BF376)+$CD376))</f>
        <v/>
      </c>
      <c r="CX376" s="103" t="str">
        <f aca="false">IF(ISBLANK($C376),"",IF($BZ376&lt;&gt;Constants!$B$8,"",IF($BM376="-&gt;",$BS376,$BG376)+$CC376))</f>
        <v/>
      </c>
      <c r="CY376" s="104" t="str">
        <f aca="false">IF(ISBLANK($C376),"",IF($BZ376&lt;&gt;Constants!$B$8,$BZ376,$CE376))</f>
        <v/>
      </c>
      <c r="CZ376" s="105" t="str">
        <f aca="false">IF(ISBLANK($C376),"",$CA376)</f>
        <v/>
      </c>
      <c r="DA376" s="106" t="str">
        <f aca="false">IF(ISBLANK($C376),"",$CP376)</f>
        <v/>
      </c>
      <c r="DB376" s="106" t="str">
        <f aca="false">IF(ISBLANK($C376),"",$CO376)</f>
        <v/>
      </c>
      <c r="DC376" s="107" t="str">
        <f aca="false">IF(ISBLANK($C376),"",IFERROR(_xlfn.SWITCH($DB376,Constants!$B$11,COUNTA($C$9:$C$508)+2,Constants!$B$10,COUNTA($C$9:$C$508)+1,Constants!$B$9,COUNTA($C$9:$C$508)),$DB376))</f>
        <v/>
      </c>
      <c r="DD376" s="9"/>
      <c r="DE376" s="108" t="n">
        <f aca="false">IF(OR(ISNUMBER($DB376),$DB376=Constants!$B$11,$DB376=Constants!$B$9,$DB376=Constants!$B$10),1,0)</f>
        <v>0</v>
      </c>
      <c r="DF376" s="108" t="n">
        <v>368</v>
      </c>
      <c r="DG376" s="108" t="str">
        <f aca="false">IF(ISBLANK($C376),"",IF(ISNUMBER($DC376),$DC376+ROW($B376)/1000,""))</f>
        <v/>
      </c>
      <c r="DH376" s="108" t="str">
        <f aca="false">IF(ISNUMBER($DG376),RANK($DG376,$DG$9:$DG$508,1),"")</f>
        <v/>
      </c>
      <c r="DI376" s="108" t="str">
        <f aca="false">IF(ISBLANK($C376),"",$B376)</f>
        <v/>
      </c>
      <c r="DJ376" s="108" t="str">
        <f aca="false">IF(ISBLANK($C376),"",$C376)</f>
        <v/>
      </c>
      <c r="DK376" s="108" t="str">
        <f aca="false">IF(ISBLANK($C376),"",$D376)</f>
        <v/>
      </c>
      <c r="DL376" s="109" t="str">
        <f aca="false">$CZ376</f>
        <v/>
      </c>
      <c r="DM376" s="110" t="str">
        <f aca="false">$CY376</f>
        <v/>
      </c>
      <c r="DN376" s="108" t="str">
        <f aca="false">IF(ISBLANK($C376),"",$DB376)</f>
        <v/>
      </c>
      <c r="DO376" s="111" t="str">
        <f aca="false">IF($DF376&gt;$DE$8,"",VLOOKUP($DF376,$DH$9:$DN$508,7,FALSE()))</f>
        <v/>
      </c>
      <c r="DP376" s="112" t="str">
        <f aca="false">IF($DF376&gt;$DE$8,"",VLOOKUP($DF376,$DH$9:$DN$508,2,FALSE()))</f>
        <v/>
      </c>
      <c r="DQ376" s="112" t="str">
        <f aca="false">IF($DF376&gt;$DE$8,"",VLOOKUP($DF376,$DH$9:$DN$508,3,FALSE()))</f>
        <v/>
      </c>
      <c r="DR376" s="112" t="str">
        <f aca="false">IF($DF376&gt;$DE$8,"",VLOOKUP($DF376,$DH$9:$DN$508,4,FALSE()))</f>
        <v/>
      </c>
      <c r="DS376" s="112" t="str">
        <f aca="false">IF($DF376&gt;$DE$8,"",VLOOKUP($DF376,$DH$9:$DN$508,5,FALSE()))</f>
        <v/>
      </c>
      <c r="DT376" s="113" t="str">
        <f aca="false">IF($DF376&gt;$DE$8,"",VLOOKUP($DF376,$DH$9:$DN$508,6,FALSE()))</f>
        <v/>
      </c>
      <c r="DU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IF(ISBLANK($C377),"",IF(E377=Constants!$B$3,TRUE(),IF(E377=Constants!$B$4,FALSE(),TRUE())))</f>
        <v/>
      </c>
      <c r="AG377" s="93" t="str">
        <f aca="false">IF(ISBLANK($C377),"",IF(F377=Constants!$B$3,TRUE(),IF(F377=Constants!$B$4,FALSE(),TRUE())))</f>
        <v/>
      </c>
      <c r="AH377" s="93" t="str">
        <f aca="false">IF(ISBLANK($C377),"",IF(G377=Constants!$B$3,TRUE(),IF(G377=Constants!$B$4,FALSE(),TRUE())))</f>
        <v/>
      </c>
      <c r="AI377" s="93" t="str">
        <f aca="false">IF(ISBLANK($C377),"",IF(AND(ISNUMBER(H377),H377&gt;=0),H377,Constants!$B$29))</f>
        <v/>
      </c>
      <c r="AJ377" s="93" t="str">
        <f aca="false">IF(ISBLANK($C377),"",IF(I377=Constants!$B$3,TRUE(),IF(I377=Constants!$B$4,FALSE(),TRUE())))</f>
        <v/>
      </c>
      <c r="AK377" s="93" t="str">
        <f aca="false">IF(ISBLANK($C377),"",IF(J377=Constants!$B$3,TRUE(),IF(J377=Constants!$B$4,FALSE(),TRUE())))</f>
        <v/>
      </c>
      <c r="AL377" s="93" t="str">
        <f aca="false">IF(ISBLANK($C377),"",IF(K377=Constants!$B$5,TRUE(),IF(K377=Constants!$B$6,FALSE(),COUNTA(L377:P377)&gt;0)))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IF(ISBLANK($C377),"",IF(N377=Constants!$B$3,TRUE(),IF(N377=Constants!$B$4,FALSE(),TRUE())))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IF(ISBLANK($C377),"",IF(P377=Constants!$B$3,TRUE(),IF(P377=Constants!$B$4,FALSE(),FALSE())))</f>
        <v/>
      </c>
      <c r="AR377" s="93" t="str">
        <f aca="false">IF(ISBLANK($C377),"",IF(Q377=Constants!$B$3,TRUE(),IF(Q377=Constants!$B$4,FALSE(),TRUE())))</f>
        <v/>
      </c>
      <c r="AS377" s="93" t="str">
        <f aca="false">IF(ISBLANK($C377),"",IF(R377=Constants!$B$3,TRUE(),IF(R377=Constants!$B$4,FALSE(),TRUE())))</f>
        <v/>
      </c>
      <c r="AT377" s="93" t="str">
        <f aca="false">IF(ISBLANK($C377),"",IF(S377=Constants!$B$5,TRUE(),IF(S377=Constants!$B$6,FALSE(),COUNTA(T377:X377)&gt;0)))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IF(ISBLANK($C377),"",IF(V377=Constants!$B$3,TRUE(),IF(V377=Constants!$B$4,FALSE(),TRUE())))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IF(ISBLANK($C377),"",IF(X377=Constants!$B$3,TRUE(),IF(X377=Constants!$B$4,FALSE(),FALSE())))</f>
        <v/>
      </c>
      <c r="AZ377" s="93" t="str">
        <f aca="false">IF(ISBLANK($C377),"",MIN(Constants!$B$31,MAX(0,IF(ISNUMBER(Y377),Y377*60,0)+IF(ISNUMBER(Z377),Z377,0))))</f>
        <v/>
      </c>
      <c r="BA377" s="93" t="str">
        <f aca="false">IF(ISBLANK($C377),"",IF(AA377=Constants!$B$3,TRUE(),IF(AA377=Constants!$B$4,FALSE(),FALSE())))</f>
        <v/>
      </c>
      <c r="BB377" s="92" t="str">
        <f aca="false">IF(ISBLANK($C377),"",AND($AL377,OR($AM377="",$AN377="",AND($AO377,$AP377=""))))</f>
        <v/>
      </c>
      <c r="BC377" s="94" t="str">
        <f aca="false">IF($BZ377&lt;&gt;Constants!$B$8,"",IF($AL377,Constants!$B$21*$AN377+Constants!$B$22*IF($AO377,$AP377,Constants!$B$23),Constants!$B$24))</f>
        <v/>
      </c>
      <c r="BD377" s="97" t="str">
        <f aca="false">IF($BZ377&lt;&gt;Constants!$B$8,"",Constants!$B$25*ABS($AD$9-IF($AL377,$AM377,0)))</f>
        <v/>
      </c>
      <c r="BE377" s="97" t="str">
        <f aca="false">IF($BZ377&lt;&gt;Constants!$B$8,"",IF(AND($AL377,$AQ377,$AO377),Constants!$B$27,0))</f>
        <v/>
      </c>
      <c r="BF377" s="97" t="str">
        <f aca="false">IF($BZ377&lt;&gt;Constants!$B$8,"",IF($AL377,($AI377-Constants!$B$29)*Constants!$B$28,0))</f>
        <v/>
      </c>
      <c r="BG377" s="97" t="str">
        <f aca="false">IF($BZ377&lt;&gt;Constants!$B$8,"",IF($AK377,0,Constants!$B$15)+IF($AJ377,0,Constants!$B$16)+IF($AH377,0,Constants!$B$17))</f>
        <v/>
      </c>
      <c r="BH377" s="98" t="str">
        <f aca="false">IF($BZ377&lt;&gt;Constants!$B$8,"",Constants!$B$20+SUM($BC377:$BG377))</f>
        <v/>
      </c>
      <c r="BI377" s="97" t="str">
        <f aca="false">IF($BZ377&lt;&gt;Constants!$B$8,"",$BC377)</f>
        <v/>
      </c>
      <c r="BJ377" s="97" t="str">
        <f aca="false">IF($BZ377&lt;&gt;Constants!$B$8,"",$BD377)</f>
        <v/>
      </c>
      <c r="BK377" s="97" t="str">
        <f aca="false">IF($BZ377&lt;&gt;Constants!$B$8,"",IF($AL377,$AN377,""))</f>
        <v/>
      </c>
      <c r="BL377" s="99" t="str">
        <f aca="false">IF($BZ377&lt;&gt;Constants!$B$8,"",$AI377)</f>
        <v/>
      </c>
      <c r="BM377" s="93" t="str">
        <f aca="false">IF($BZ377&lt;&gt;Constants!$B$8,"",IF(OR($BT377&lt;$BH377,AND($BT377=$BH377,OR($BU377&lt;$BI377,AND($BU377=$BI377,OR($BV377&lt;$BJ377,AND($BV377=$BJ377,OR(AND(ISNUMBER($BW377),OR(NOT(ISNUMBER($BK377)),$BW377&lt;$BK377)),AND(OR(AND($BW377="",$BK377=""),AND(ISNUMBER($BW377),ISNUMBER($BK377),$BW377=$BK377)),$BX377&lt;$BL377)))))))),"-&gt;","&lt;-"))</f>
        <v/>
      </c>
      <c r="BN377" s="92" t="str">
        <f aca="false">IF(ISBLANK($C377),"",AND($AT377,OR($AU377="",$AV377="",AND($AW377,$AX377=""))))</f>
        <v/>
      </c>
      <c r="BO377" s="94" t="str">
        <f aca="false">IF($BZ377&lt;&gt;Constants!$B$8,"",IF($AT377,Constants!$B$21*$AV377+Constants!$B$22*IF($AW377,$AX377,Constants!$B$23),Constants!$B$24))</f>
        <v/>
      </c>
      <c r="BP377" s="97" t="str">
        <f aca="false">IF($BZ377&lt;&gt;Constants!$B$8,"",Constants!$B$25*ABS($AD$9-IF($AT377,$AU377,0)))</f>
        <v/>
      </c>
      <c r="BQ377" s="97" t="str">
        <f aca="false">IF($BZ377&lt;&gt;Constants!$B$8,"",IF(AND($AT377,$AY377,$AW377),Constants!$B$27,0))</f>
        <v/>
      </c>
      <c r="BR377" s="97" t="str">
        <f aca="false">IF($BZ377&lt;&gt;Constants!$B$8,"",IF($AT377,($AI377-Constants!$B$29)*Constants!$B$28,0))</f>
        <v/>
      </c>
      <c r="BS377" s="97" t="str">
        <f aca="false">IF($BZ377&lt;&gt;Constants!$B$8,"",IF($AS377,0,Constants!$B$15)+IF($AR377,0,Constants!$B$16)+IF($AH377,0,Constants!$B$17))</f>
        <v/>
      </c>
      <c r="BT377" s="98" t="str">
        <f aca="false">IF($BZ377&lt;&gt;Constants!$B$8,"",Constants!$B$20+SUM($BO377:$BS377))</f>
        <v/>
      </c>
      <c r="BU377" s="97" t="str">
        <f aca="false">IF($BZ377&lt;&gt;Constants!$B$8,"",$BO377)</f>
        <v/>
      </c>
      <c r="BV377" s="97" t="str">
        <f aca="false">IF($BZ377&lt;&gt;Constants!$B$8,"",$BP377)</f>
        <v/>
      </c>
      <c r="BW377" s="97" t="str">
        <f aca="false">IF($BZ377&lt;&gt;Constants!$B$8,"",IF($AT377,$AV377,""))</f>
        <v/>
      </c>
      <c r="BX377" s="99" t="str">
        <f aca="false">IF($BZ377&lt;&gt;Constants!$B$8,"",$AI377)</f>
        <v/>
      </c>
      <c r="BY377" s="93" t="str">
        <f aca="false">IF(ISBLANK($C377),"",IF(ISBLANK($D$7),$BY$5,IF(NOT(ISNUMBER($D$7)),$BY$6,"")))</f>
        <v/>
      </c>
      <c r="BZ377" s="93" t="str">
        <f aca="false">IF(ISBLANK($C377),"",IF($BA377,Constants!$B$11,IF(COUNTA($E377:$AA377)=0,Constants!$B$10,IF(NOT($AG377),Constants!$B$9,IF(OR($BY377&lt;&gt;"",$BB377,$BN377),Constants!$B$12,Constants!$B$8)))))</f>
        <v/>
      </c>
      <c r="CA377" s="93" t="str">
        <f aca="false">IF(ISBLANK($C377),"",IF($BZ377&lt;&gt;Constants!$B$8,$BZ377,Constants!$B$13))</f>
        <v/>
      </c>
      <c r="CB377" s="97" t="str">
        <f aca="false">IF($BZ377&lt;&gt;Constants!$B$8,"",IF($BM377="-&gt;",$BT377,$BH377))</f>
        <v/>
      </c>
      <c r="CC377" s="97" t="str">
        <f aca="false">IF($BZ377&lt;&gt;Constants!$B$8,"",IF($AF377,0,Constants!$B$18))</f>
        <v/>
      </c>
      <c r="CD377" s="97" t="str">
        <f aca="false">IF($BZ377&lt;&gt;Constants!$B$8,"",((Constants!$B$31-$AZ377)-Constants!$B$31)/Constants!$B$32)</f>
        <v/>
      </c>
      <c r="CE377" s="97" t="str">
        <f aca="false">IF(ISBLANK($C377),"",IF($BZ377&lt;&gt;Constants!$B$8,$BZ377,SUM($CB377:$CD377)))</f>
        <v/>
      </c>
      <c r="CF377" s="93" t="str">
        <f aca="false">IF(ISBLANK($C377),"",IF($BZ377&lt;&gt;Constants!$B$8,$BZ377,RANK($CE377,$CE$9:$CE$508,1)))</f>
        <v/>
      </c>
      <c r="CG377" s="97" t="str">
        <f aca="false">IF($BZ377&lt;&gt;Constants!$B$8,"",IF($BM377="-&gt;",$BU377,$BI377))</f>
        <v/>
      </c>
      <c r="CH377" s="93" t="str">
        <f aca="false">IF(ISBLANK($C377),"",IF($BZ377&lt;&gt;Constants!$B$8,$BZ377,IF(ISNUMBER($CG377),RANK($CG377,$CG$9:$CG$508,1),COUNT($CG$9:$CG$508)+1)))</f>
        <v/>
      </c>
      <c r="CI377" s="97" t="str">
        <f aca="false">IF($BZ377&lt;&gt;Constants!$B$8,"",IF($BM377="-&gt;",$BV377,$BJ377))</f>
        <v/>
      </c>
      <c r="CJ377" s="93" t="str">
        <f aca="false">IF(ISBLANK($C377),"",IF($BZ377&lt;&gt;Constants!$B$8,$BZ377,IF(ISNUMBER($CI377),RANK($CI377,$CI$9:$CI$508,1),COUNT($CI$9:$CI$508)+1)))</f>
        <v/>
      </c>
      <c r="CK377" s="97" t="str">
        <f aca="false">IF($BZ377&lt;&gt;Constants!$B$8,"",IF($BM377="-&gt;",$BW377,$BK377))</f>
        <v/>
      </c>
      <c r="CL377" s="93" t="str">
        <f aca="false">IF(ISBLANK($C377),"",IF($BZ377&lt;&gt;Constants!$B$8,$BZ377,IF(ISNUMBER($CK377),RANK($CK377,$CK$9:$CK$508,1),COUNT($CK$9:$CK$508)+1)))</f>
        <v/>
      </c>
      <c r="CM377" s="97" t="str">
        <f aca="false">IF($BZ377&lt;&gt;Constants!$B$8,"",IF(AND(NOT($AL377),NOT($AT377),$AJ377,$AK377,$AR377,$AS377),"",IF($BM377="-&gt;",$BX377,$BL377)))</f>
        <v/>
      </c>
      <c r="CN377" s="93" t="str">
        <f aca="false">IF(ISBLANK($C377),"",IF($BZ377&lt;&gt;Constants!$B$8,$BZ377,IF(ISNUMBER($CM377),RANK($CM377,$CM$9:$CM$508,1),COUNT($CM$9:$CM$508)+1)))</f>
        <v/>
      </c>
      <c r="CO377" s="93" t="str">
        <f aca="false">IF(ISBLANK($C377),"",IF($BZ377&lt;&gt;Constants!$B$8,$BZ377,COUNTIFS($CF$9:$CF$508,"&lt;"&amp;$CF377)+COUNTIFS($CF$9:$CF$508,$CF377,$CH$9:$CH$508,"&lt;"&amp;$CH377)+COUNTIFS($CF$9:$CF$508,$CF377,$CH$9:$CH$508,$CH377,$CJ$9:$CJ$508,"&lt;"&amp;$CJ377)+COUNTIFS($CF$9:$CF$508,$CF377,$CH$9:$CH$508,$CH377,$CJ$9:$CJ$508,$CJ377,$CL$9:$CL$508,"&lt;"&amp;$CL377)+COUNTIFS($CF$9:$CF$508,$CF377,$CH$9:$CH$508,$CH377,$CJ$9:$CJ$508,$CJ377,$CL$9:$CL$508,$CL377,$CN$9:$CN$508,"&lt;"&amp;$CN377)+1))</f>
        <v/>
      </c>
      <c r="CP377" s="93" t="str">
        <f aca="false">IF(ISBLANK($C377),"",IF($BZ377&lt;&gt;Constants!$B$8,$BZ377,$CF377-$CO377))</f>
        <v/>
      </c>
      <c r="CQ377" s="100"/>
      <c r="CR377" s="101"/>
      <c r="CS377" s="102" t="str">
        <f aca="false">IF(ISBLANK($C377),"",IF($BZ377=Constants!$B$12,$BY377,""))</f>
        <v/>
      </c>
      <c r="CT377" s="101" t="str">
        <f aca="false">IF(ISBLANK($C377),"",IF($BZ377&lt;&gt;Constants!$B$8,"",IF($BM377="-&gt;",2,1)))</f>
        <v/>
      </c>
      <c r="CU377" s="103" t="str">
        <f aca="false">IF(ISBLANK($C377),"",IF($BZ377&lt;&gt;Constants!$B$8,"",IF($BM377="-&gt;",$BO377,$BC377)))</f>
        <v/>
      </c>
      <c r="CV377" s="103" t="str">
        <f aca="false">IF(ISBLANK($C377),"",IF($BZ377&lt;&gt;Constants!$B$8,"",IF($BM377="-&gt;",$BP377,$BD377)))</f>
        <v/>
      </c>
      <c r="CW377" s="103" t="str">
        <f aca="false">IF(ISBLANK($C377),"",IF($BZ377&lt;&gt;Constants!$B$8,"",IF($BM377="-&gt;",$BQ377+$BR377,$BE377+$BF377)+$CD377))</f>
        <v/>
      </c>
      <c r="CX377" s="103" t="str">
        <f aca="false">IF(ISBLANK($C377),"",IF($BZ377&lt;&gt;Constants!$B$8,"",IF($BM377="-&gt;",$BS377,$BG377)+$CC377))</f>
        <v/>
      </c>
      <c r="CY377" s="104" t="str">
        <f aca="false">IF(ISBLANK($C377),"",IF($BZ377&lt;&gt;Constants!$B$8,$BZ377,$CE377))</f>
        <v/>
      </c>
      <c r="CZ377" s="105" t="str">
        <f aca="false">IF(ISBLANK($C377),"",$CA377)</f>
        <v/>
      </c>
      <c r="DA377" s="106" t="str">
        <f aca="false">IF(ISBLANK($C377),"",$CP377)</f>
        <v/>
      </c>
      <c r="DB377" s="106" t="str">
        <f aca="false">IF(ISBLANK($C377),"",$CO377)</f>
        <v/>
      </c>
      <c r="DC377" s="107" t="str">
        <f aca="false">IF(ISBLANK($C377),"",IFERROR(_xlfn.SWITCH($DB377,Constants!$B$11,COUNTA($C$9:$C$508)+2,Constants!$B$10,COUNTA($C$9:$C$508)+1,Constants!$B$9,COUNTA($C$9:$C$508)),$DB377))</f>
        <v/>
      </c>
      <c r="DD377" s="9"/>
      <c r="DE377" s="108" t="n">
        <f aca="false">IF(OR(ISNUMBER($DB377),$DB377=Constants!$B$11,$DB377=Constants!$B$9,$DB377=Constants!$B$10),1,0)</f>
        <v>0</v>
      </c>
      <c r="DF377" s="108" t="n">
        <v>369</v>
      </c>
      <c r="DG377" s="108" t="str">
        <f aca="false">IF(ISBLANK($C377),"",IF(ISNUMBER($DC377),$DC377+ROW($B377)/1000,""))</f>
        <v/>
      </c>
      <c r="DH377" s="108" t="str">
        <f aca="false">IF(ISNUMBER($DG377),RANK($DG377,$DG$9:$DG$508,1),"")</f>
        <v/>
      </c>
      <c r="DI377" s="108" t="str">
        <f aca="false">IF(ISBLANK($C377),"",$B377)</f>
        <v/>
      </c>
      <c r="DJ377" s="108" t="str">
        <f aca="false">IF(ISBLANK($C377),"",$C377)</f>
        <v/>
      </c>
      <c r="DK377" s="108" t="str">
        <f aca="false">IF(ISBLANK($C377),"",$D377)</f>
        <v/>
      </c>
      <c r="DL377" s="109" t="str">
        <f aca="false">$CZ377</f>
        <v/>
      </c>
      <c r="DM377" s="110" t="str">
        <f aca="false">$CY377</f>
        <v/>
      </c>
      <c r="DN377" s="108" t="str">
        <f aca="false">IF(ISBLANK($C377),"",$DB377)</f>
        <v/>
      </c>
      <c r="DO377" s="111" t="str">
        <f aca="false">IF($DF377&gt;$DE$8,"",VLOOKUP($DF377,$DH$9:$DN$508,7,FALSE()))</f>
        <v/>
      </c>
      <c r="DP377" s="112" t="str">
        <f aca="false">IF($DF377&gt;$DE$8,"",VLOOKUP($DF377,$DH$9:$DN$508,2,FALSE()))</f>
        <v/>
      </c>
      <c r="DQ377" s="112" t="str">
        <f aca="false">IF($DF377&gt;$DE$8,"",VLOOKUP($DF377,$DH$9:$DN$508,3,FALSE()))</f>
        <v/>
      </c>
      <c r="DR377" s="112" t="str">
        <f aca="false">IF($DF377&gt;$DE$8,"",VLOOKUP($DF377,$DH$9:$DN$508,4,FALSE()))</f>
        <v/>
      </c>
      <c r="DS377" s="112" t="str">
        <f aca="false">IF($DF377&gt;$DE$8,"",VLOOKUP($DF377,$DH$9:$DN$508,5,FALSE()))</f>
        <v/>
      </c>
      <c r="DT377" s="113" t="str">
        <f aca="false">IF($DF377&gt;$DE$8,"",VLOOKUP($DF377,$DH$9:$DN$508,6,FALSE()))</f>
        <v/>
      </c>
      <c r="DU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IF(ISBLANK($C378),"",IF(E378=Constants!$B$3,TRUE(),IF(E378=Constants!$B$4,FALSE(),TRUE())))</f>
        <v/>
      </c>
      <c r="AG378" s="135" t="str">
        <f aca="false">IF(ISBLANK($C378),"",IF(F378=Constants!$B$3,TRUE(),IF(F378=Constants!$B$4,FALSE(),TRUE())))</f>
        <v/>
      </c>
      <c r="AH378" s="135" t="str">
        <f aca="false">IF(ISBLANK($C378),"",IF(G378=Constants!$B$3,TRUE(),IF(G378=Constants!$B$4,FALSE(),TRUE())))</f>
        <v/>
      </c>
      <c r="AI378" s="135" t="str">
        <f aca="false">IF(ISBLANK($C378),"",IF(AND(ISNUMBER(H378),H378&gt;=0),H378,Constants!$B$29))</f>
        <v/>
      </c>
      <c r="AJ378" s="135" t="str">
        <f aca="false">IF(ISBLANK($C378),"",IF(I378=Constants!$B$3,TRUE(),IF(I378=Constants!$B$4,FALSE(),TRUE())))</f>
        <v/>
      </c>
      <c r="AK378" s="135" t="str">
        <f aca="false">IF(ISBLANK($C378),"",IF(J378=Constants!$B$3,TRUE(),IF(J378=Constants!$B$4,FALSE(),TRUE())))</f>
        <v/>
      </c>
      <c r="AL378" s="135" t="str">
        <f aca="false">IF(ISBLANK($C378),"",IF(K378=Constants!$B$5,TRUE(),IF(K378=Constants!$B$6,FALSE(),COUNTA(L378:P378)&gt;0)))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IF(ISBLANK($C378),"",IF(N378=Constants!$B$3,TRUE(),IF(N378=Constants!$B$4,FALSE(),TRUE())))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IF(ISBLANK($C378),"",IF(P378=Constants!$B$3,TRUE(),IF(P378=Constants!$B$4,FALSE(),FALSE())))</f>
        <v/>
      </c>
      <c r="AR378" s="135" t="str">
        <f aca="false">IF(ISBLANK($C378),"",IF(Q378=Constants!$B$3,TRUE(),IF(Q378=Constants!$B$4,FALSE(),TRUE())))</f>
        <v/>
      </c>
      <c r="AS378" s="135" t="str">
        <f aca="false">IF(ISBLANK($C378),"",IF(R378=Constants!$B$3,TRUE(),IF(R378=Constants!$B$4,FALSE(),TRUE())))</f>
        <v/>
      </c>
      <c r="AT378" s="135" t="str">
        <f aca="false">IF(ISBLANK($C378),"",IF(S378=Constants!$B$5,TRUE(),IF(S378=Constants!$B$6,FALSE(),COUNTA(T378:X378)&gt;0)))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IF(ISBLANK($C378),"",IF(V378=Constants!$B$3,TRUE(),IF(V378=Constants!$B$4,FALSE(),TRUE())))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IF(ISBLANK($C378),"",IF(X378=Constants!$B$3,TRUE(),IF(X378=Constants!$B$4,FALSE(),FALSE())))</f>
        <v/>
      </c>
      <c r="AZ378" s="135" t="str">
        <f aca="false">IF(ISBLANK($C378),"",MIN(Constants!$B$31,MAX(0,IF(ISNUMBER(Y378),Y378*60,0)+IF(ISNUMBER(Z378),Z378,0))))</f>
        <v/>
      </c>
      <c r="BA378" s="135" t="str">
        <f aca="false">IF(ISBLANK($C378),"",IF(AA378=Constants!$B$3,TRUE(),IF(AA378=Constants!$B$4,FALSE(),FALSE())))</f>
        <v/>
      </c>
      <c r="BB378" s="134" t="str">
        <f aca="false">IF(ISBLANK($C378),"",AND($AL378,OR($AM378="",$AN378="",AND($AO378,$AP378=""))))</f>
        <v/>
      </c>
      <c r="BC378" s="137" t="str">
        <f aca="false">IF($BZ378&lt;&gt;Constants!$B$8,"",IF($AL378,Constants!$B$21*$AN378+Constants!$B$22*IF($AO378,$AP378,Constants!$B$23),Constants!$B$24))</f>
        <v/>
      </c>
      <c r="BD378" s="138" t="str">
        <f aca="false">IF($BZ378&lt;&gt;Constants!$B$8,"",Constants!$B$25*ABS($AD$9-IF($AL378,$AM378,0)))</f>
        <v/>
      </c>
      <c r="BE378" s="138" t="str">
        <f aca="false">IF($BZ378&lt;&gt;Constants!$B$8,"",IF(AND($AL378,$AQ378,$AO378),Constants!$B$27,0))</f>
        <v/>
      </c>
      <c r="BF378" s="138" t="str">
        <f aca="false">IF($BZ378&lt;&gt;Constants!$B$8,"",IF($AL378,($AI378-Constants!$B$29)*Constants!$B$28,0))</f>
        <v/>
      </c>
      <c r="BG378" s="138" t="str">
        <f aca="false">IF($BZ378&lt;&gt;Constants!$B$8,"",IF($AK378,0,Constants!$B$15)+IF($AJ378,0,Constants!$B$16)+IF($AH378,0,Constants!$B$17))</f>
        <v/>
      </c>
      <c r="BH378" s="139" t="str">
        <f aca="false">IF($BZ378&lt;&gt;Constants!$B$8,"",Constants!$B$20+SUM($BC378:$BG378))</f>
        <v/>
      </c>
      <c r="BI378" s="138" t="str">
        <f aca="false">IF($BZ378&lt;&gt;Constants!$B$8,"",$BC378)</f>
        <v/>
      </c>
      <c r="BJ378" s="138" t="str">
        <f aca="false">IF($BZ378&lt;&gt;Constants!$B$8,"",$BD378)</f>
        <v/>
      </c>
      <c r="BK378" s="138" t="str">
        <f aca="false">IF($BZ378&lt;&gt;Constants!$B$8,"",IF($AL378,$AN378,""))</f>
        <v/>
      </c>
      <c r="BL378" s="140" t="str">
        <f aca="false">IF($BZ378&lt;&gt;Constants!$B$8,"",$AI378)</f>
        <v/>
      </c>
      <c r="BM378" s="135" t="str">
        <f aca="false">IF($BZ378&lt;&gt;Constants!$B$8,"",IF(OR($BT378&lt;$BH378,AND($BT378=$BH378,OR($BU378&lt;$BI378,AND($BU378=$BI378,OR($BV378&lt;$BJ378,AND($BV378=$BJ378,OR(AND(ISNUMBER($BW378),OR(NOT(ISNUMBER($BK378)),$BW378&lt;$BK378)),AND(OR(AND($BW378="",$BK378=""),AND(ISNUMBER($BW378),ISNUMBER($BK378),$BW378=$BK378)),$BX378&lt;$BL378)))))))),"-&gt;","&lt;-"))</f>
        <v/>
      </c>
      <c r="BN378" s="134" t="str">
        <f aca="false">IF(ISBLANK($C378),"",AND($AT378,OR($AU378="",$AV378="",AND($AW378,$AX378=""))))</f>
        <v/>
      </c>
      <c r="BO378" s="137" t="str">
        <f aca="false">IF($BZ378&lt;&gt;Constants!$B$8,"",IF($AT378,Constants!$B$21*$AV378+Constants!$B$22*IF($AW378,$AX378,Constants!$B$23),Constants!$B$24))</f>
        <v/>
      </c>
      <c r="BP378" s="138" t="str">
        <f aca="false">IF($BZ378&lt;&gt;Constants!$B$8,"",Constants!$B$25*ABS($AD$9-IF($AT378,$AU378,0)))</f>
        <v/>
      </c>
      <c r="BQ378" s="138" t="str">
        <f aca="false">IF($BZ378&lt;&gt;Constants!$B$8,"",IF(AND($AT378,$AY378,$AW378),Constants!$B$27,0))</f>
        <v/>
      </c>
      <c r="BR378" s="138" t="str">
        <f aca="false">IF($BZ378&lt;&gt;Constants!$B$8,"",IF($AT378,($AI378-Constants!$B$29)*Constants!$B$28,0))</f>
        <v/>
      </c>
      <c r="BS378" s="138" t="str">
        <f aca="false">IF($BZ378&lt;&gt;Constants!$B$8,"",IF($AS378,0,Constants!$B$15)+IF($AR378,0,Constants!$B$16)+IF($AH378,0,Constants!$B$17))</f>
        <v/>
      </c>
      <c r="BT378" s="139" t="str">
        <f aca="false">IF($BZ378&lt;&gt;Constants!$B$8,"",Constants!$B$20+SUM($BO378:$BS378))</f>
        <v/>
      </c>
      <c r="BU378" s="138" t="str">
        <f aca="false">IF($BZ378&lt;&gt;Constants!$B$8,"",$BO378)</f>
        <v/>
      </c>
      <c r="BV378" s="138" t="str">
        <f aca="false">IF($BZ378&lt;&gt;Constants!$B$8,"",$BP378)</f>
        <v/>
      </c>
      <c r="BW378" s="138" t="str">
        <f aca="false">IF($BZ378&lt;&gt;Constants!$B$8,"",IF($AT378,$AV378,""))</f>
        <v/>
      </c>
      <c r="BX378" s="140" t="str">
        <f aca="false">IF($BZ378&lt;&gt;Constants!$B$8,"",$AI378)</f>
        <v/>
      </c>
      <c r="BY378" s="135" t="str">
        <f aca="false">IF(ISBLANK($C378),"",IF(ISBLANK($D$7),$BY$5,IF(NOT(ISNUMBER($D$7)),$BY$6,"")))</f>
        <v/>
      </c>
      <c r="BZ378" s="135" t="str">
        <f aca="false">IF(ISBLANK($C378),"",IF($BA378,Constants!$B$11,IF(COUNTA($E378:$AA378)=0,Constants!$B$10,IF(NOT($AG378),Constants!$B$9,IF(OR($BY378&lt;&gt;"",$BB378,$BN378),Constants!$B$12,Constants!$B$8)))))</f>
        <v/>
      </c>
      <c r="CA378" s="135" t="str">
        <f aca="false">IF(ISBLANK($C378),"",IF($BZ378&lt;&gt;Constants!$B$8,$BZ378,Constants!$B$13))</f>
        <v/>
      </c>
      <c r="CB378" s="138" t="str">
        <f aca="false">IF($BZ378&lt;&gt;Constants!$B$8,"",IF($BM378="-&gt;",$BT378,$BH378))</f>
        <v/>
      </c>
      <c r="CC378" s="138" t="str">
        <f aca="false">IF($BZ378&lt;&gt;Constants!$B$8,"",IF($AF378,0,Constants!$B$18))</f>
        <v/>
      </c>
      <c r="CD378" s="138" t="str">
        <f aca="false">IF($BZ378&lt;&gt;Constants!$B$8,"",((Constants!$B$31-$AZ378)-Constants!$B$31)/Constants!$B$32)</f>
        <v/>
      </c>
      <c r="CE378" s="138" t="str">
        <f aca="false">IF(ISBLANK($C378),"",IF($BZ378&lt;&gt;Constants!$B$8,$BZ378,SUM($CB378:$CD378)))</f>
        <v/>
      </c>
      <c r="CF378" s="135" t="str">
        <f aca="false">IF(ISBLANK($C378),"",IF($BZ378&lt;&gt;Constants!$B$8,$BZ378,RANK($CE378,$CE$9:$CE$508,1)))</f>
        <v/>
      </c>
      <c r="CG378" s="138" t="str">
        <f aca="false">IF($BZ378&lt;&gt;Constants!$B$8,"",IF($BM378="-&gt;",$BU378,$BI378))</f>
        <v/>
      </c>
      <c r="CH378" s="135" t="str">
        <f aca="false">IF(ISBLANK($C378),"",IF($BZ378&lt;&gt;Constants!$B$8,$BZ378,IF(ISNUMBER($CG378),RANK($CG378,$CG$9:$CG$508,1),COUNT($CG$9:$CG$508)+1)))</f>
        <v/>
      </c>
      <c r="CI378" s="138" t="str">
        <f aca="false">IF($BZ378&lt;&gt;Constants!$B$8,"",IF($BM378="-&gt;",$BV378,$BJ378))</f>
        <v/>
      </c>
      <c r="CJ378" s="135" t="str">
        <f aca="false">IF(ISBLANK($C378),"",IF($BZ378&lt;&gt;Constants!$B$8,$BZ378,IF(ISNUMBER($CI378),RANK($CI378,$CI$9:$CI$508,1),COUNT($CI$9:$CI$508)+1)))</f>
        <v/>
      </c>
      <c r="CK378" s="138" t="str">
        <f aca="false">IF($BZ378&lt;&gt;Constants!$B$8,"",IF($BM378="-&gt;",$BW378,$BK378))</f>
        <v/>
      </c>
      <c r="CL378" s="135" t="str">
        <f aca="false">IF(ISBLANK($C378),"",IF($BZ378&lt;&gt;Constants!$B$8,$BZ378,IF(ISNUMBER($CK378),RANK($CK378,$CK$9:$CK$508,1),COUNT($CK$9:$CK$508)+1)))</f>
        <v/>
      </c>
      <c r="CM378" s="138" t="str">
        <f aca="false">IF($BZ378&lt;&gt;Constants!$B$8,"",IF(AND(NOT($AL378),NOT($AT378),$AJ378,$AK378,$AR378,$AS378),"",IF($BM378="-&gt;",$BX378,$BL378)))</f>
        <v/>
      </c>
      <c r="CN378" s="135" t="str">
        <f aca="false">IF(ISBLANK($C378),"",IF($BZ378&lt;&gt;Constants!$B$8,$BZ378,IF(ISNUMBER($CM378),RANK($CM378,$CM$9:$CM$508,1),COUNT($CM$9:$CM$508)+1)))</f>
        <v/>
      </c>
      <c r="CO378" s="135" t="str">
        <f aca="false">IF(ISBLANK($C378),"",IF($BZ378&lt;&gt;Constants!$B$8,$BZ378,COUNTIFS($CF$9:$CF$508,"&lt;"&amp;$CF378)+COUNTIFS($CF$9:$CF$508,$CF378,$CH$9:$CH$508,"&lt;"&amp;$CH378)+COUNTIFS($CF$9:$CF$508,$CF378,$CH$9:$CH$508,$CH378,$CJ$9:$CJ$508,"&lt;"&amp;$CJ378)+COUNTIFS($CF$9:$CF$508,$CF378,$CH$9:$CH$508,$CH378,$CJ$9:$CJ$508,$CJ378,$CL$9:$CL$508,"&lt;"&amp;$CL378)+COUNTIFS($CF$9:$CF$508,$CF378,$CH$9:$CH$508,$CH378,$CJ$9:$CJ$508,$CJ378,$CL$9:$CL$508,$CL378,$CN$9:$CN$508,"&lt;"&amp;$CN378)+1))</f>
        <v/>
      </c>
      <c r="CP378" s="135" t="str">
        <f aca="false">IF(ISBLANK($C378),"",IF($BZ378&lt;&gt;Constants!$B$8,$BZ378,$CF378-$CO378))</f>
        <v/>
      </c>
      <c r="CQ378" s="141"/>
      <c r="CR378" s="142"/>
      <c r="CS378" s="143" t="str">
        <f aca="false">IF(ISBLANK($C378),"",IF($BZ378=Constants!$B$12,$BY378,""))</f>
        <v/>
      </c>
      <c r="CT378" s="142" t="str">
        <f aca="false">IF(ISBLANK($C378),"",IF($BZ378&lt;&gt;Constants!$B$8,"",IF($BM378="-&gt;",2,1)))</f>
        <v/>
      </c>
      <c r="CU378" s="144" t="str">
        <f aca="false">IF(ISBLANK($C378),"",IF($BZ378&lt;&gt;Constants!$B$8,"",IF($BM378="-&gt;",$BO378,$BC378)))</f>
        <v/>
      </c>
      <c r="CV378" s="144" t="str">
        <f aca="false">IF(ISBLANK($C378),"",IF($BZ378&lt;&gt;Constants!$B$8,"",IF($BM378="-&gt;",$BP378,$BD378)))</f>
        <v/>
      </c>
      <c r="CW378" s="144" t="str">
        <f aca="false">IF(ISBLANK($C378),"",IF($BZ378&lt;&gt;Constants!$B$8,"",IF($BM378="-&gt;",$BQ378+$BR378,$BE378+$BF378)+$CD378))</f>
        <v/>
      </c>
      <c r="CX378" s="144" t="str">
        <f aca="false">IF(ISBLANK($C378),"",IF($BZ378&lt;&gt;Constants!$B$8,"",IF($BM378="-&gt;",$BS378,$BG378)+$CC378))</f>
        <v/>
      </c>
      <c r="CY378" s="145" t="str">
        <f aca="false">IF(ISBLANK($C378),"",IF($BZ378&lt;&gt;Constants!$B$8,$BZ378,$CE378))</f>
        <v/>
      </c>
      <c r="CZ378" s="146" t="str">
        <f aca="false">IF(ISBLANK($C378),"",$CA378)</f>
        <v/>
      </c>
      <c r="DA378" s="147" t="str">
        <f aca="false">IF(ISBLANK($C378),"",$CP378)</f>
        <v/>
      </c>
      <c r="DB378" s="147" t="str">
        <f aca="false">IF(ISBLANK($C378),"",$CO378)</f>
        <v/>
      </c>
      <c r="DC378" s="148" t="str">
        <f aca="false">IF(ISBLANK($C378),"",IFERROR(_xlfn.SWITCH($DB378,Constants!$B$11,COUNTA($C$9:$C$508)+2,Constants!$B$10,COUNTA($C$9:$C$508)+1,Constants!$B$9,COUNTA($C$9:$C$508)),$DB378))</f>
        <v/>
      </c>
      <c r="DD378" s="9"/>
      <c r="DE378" s="149" t="n">
        <f aca="false">IF(OR(ISNUMBER($DB378),$DB378=Constants!$B$11,$DB378=Constants!$B$9,$DB378=Constants!$B$10),1,0)</f>
        <v>0</v>
      </c>
      <c r="DF378" s="149" t="n">
        <v>370</v>
      </c>
      <c r="DG378" s="149" t="str">
        <f aca="false">IF(ISBLANK($C378),"",IF(ISNUMBER($DC378),$DC378+ROW($B378)/1000,""))</f>
        <v/>
      </c>
      <c r="DH378" s="149" t="str">
        <f aca="false">IF(ISNUMBER($DG378),RANK($DG378,$DG$9:$DG$508,1),"")</f>
        <v/>
      </c>
      <c r="DI378" s="149" t="str">
        <f aca="false">IF(ISBLANK($C378),"",$B378)</f>
        <v/>
      </c>
      <c r="DJ378" s="149" t="str">
        <f aca="false">IF(ISBLANK($C378),"",$C378)</f>
        <v/>
      </c>
      <c r="DK378" s="149" t="str">
        <f aca="false">IF(ISBLANK($C378),"",$D378)</f>
        <v/>
      </c>
      <c r="DL378" s="150" t="str">
        <f aca="false">$CZ378</f>
        <v/>
      </c>
      <c r="DM378" s="151" t="str">
        <f aca="false">$CY378</f>
        <v/>
      </c>
      <c r="DN378" s="149" t="str">
        <f aca="false">IF(ISBLANK($C378),"",$DB378)</f>
        <v/>
      </c>
      <c r="DO378" s="152" t="str">
        <f aca="false">IF($DF378&gt;$DE$8,"",VLOOKUP($DF378,$DH$9:$DN$508,7,FALSE()))</f>
        <v/>
      </c>
      <c r="DP378" s="153" t="str">
        <f aca="false">IF($DF378&gt;$DE$8,"",VLOOKUP($DF378,$DH$9:$DN$508,2,FALSE()))</f>
        <v/>
      </c>
      <c r="DQ378" s="153" t="str">
        <f aca="false">IF($DF378&gt;$DE$8,"",VLOOKUP($DF378,$DH$9:$DN$508,3,FALSE()))</f>
        <v/>
      </c>
      <c r="DR378" s="153" t="str">
        <f aca="false">IF($DF378&gt;$DE$8,"",VLOOKUP($DF378,$DH$9:$DN$508,4,FALSE()))</f>
        <v/>
      </c>
      <c r="DS378" s="153" t="str">
        <f aca="false">IF($DF378&gt;$DE$8,"",VLOOKUP($DF378,$DH$9:$DN$508,5,FALSE()))</f>
        <v/>
      </c>
      <c r="DT378" s="154" t="str">
        <f aca="false">IF($DF378&gt;$DE$8,"",VLOOKUP($DF378,$DH$9:$DN$508,6,FALSE()))</f>
        <v/>
      </c>
      <c r="DU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IF(ISBLANK($C379),"",IF(E379=Constants!$B$3,TRUE(),IF(E379=Constants!$B$4,FALSE(),TRUE())))</f>
        <v/>
      </c>
      <c r="AG379" s="135" t="str">
        <f aca="false">IF(ISBLANK($C379),"",IF(F379=Constants!$B$3,TRUE(),IF(F379=Constants!$B$4,FALSE(),TRUE())))</f>
        <v/>
      </c>
      <c r="AH379" s="135" t="str">
        <f aca="false">IF(ISBLANK($C379),"",IF(G379=Constants!$B$3,TRUE(),IF(G379=Constants!$B$4,FALSE(),TRUE())))</f>
        <v/>
      </c>
      <c r="AI379" s="135" t="str">
        <f aca="false">IF(ISBLANK($C379),"",IF(AND(ISNUMBER(H379),H379&gt;=0),H379,Constants!$B$29))</f>
        <v/>
      </c>
      <c r="AJ379" s="135" t="str">
        <f aca="false">IF(ISBLANK($C379),"",IF(I379=Constants!$B$3,TRUE(),IF(I379=Constants!$B$4,FALSE(),TRUE())))</f>
        <v/>
      </c>
      <c r="AK379" s="135" t="str">
        <f aca="false">IF(ISBLANK($C379),"",IF(J379=Constants!$B$3,TRUE(),IF(J379=Constants!$B$4,FALSE(),TRUE())))</f>
        <v/>
      </c>
      <c r="AL379" s="135" t="str">
        <f aca="false">IF(ISBLANK($C379),"",IF(K379=Constants!$B$5,TRUE(),IF(K379=Constants!$B$6,FALSE(),COUNTA(L379:P379)&gt;0)))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IF(ISBLANK($C379),"",IF(N379=Constants!$B$3,TRUE(),IF(N379=Constants!$B$4,FALSE(),TRUE())))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IF(ISBLANK($C379),"",IF(P379=Constants!$B$3,TRUE(),IF(P379=Constants!$B$4,FALSE(),FALSE())))</f>
        <v/>
      </c>
      <c r="AR379" s="135" t="str">
        <f aca="false">IF(ISBLANK($C379),"",IF(Q379=Constants!$B$3,TRUE(),IF(Q379=Constants!$B$4,FALSE(),TRUE())))</f>
        <v/>
      </c>
      <c r="AS379" s="135" t="str">
        <f aca="false">IF(ISBLANK($C379),"",IF(R379=Constants!$B$3,TRUE(),IF(R379=Constants!$B$4,FALSE(),TRUE())))</f>
        <v/>
      </c>
      <c r="AT379" s="135" t="str">
        <f aca="false">IF(ISBLANK($C379),"",IF(S379=Constants!$B$5,TRUE(),IF(S379=Constants!$B$6,FALSE(),COUNTA(T379:X379)&gt;0)))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IF(ISBLANK($C379),"",IF(V379=Constants!$B$3,TRUE(),IF(V379=Constants!$B$4,FALSE(),TRUE())))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IF(ISBLANK($C379),"",IF(X379=Constants!$B$3,TRUE(),IF(X379=Constants!$B$4,FALSE(),FALSE())))</f>
        <v/>
      </c>
      <c r="AZ379" s="135" t="str">
        <f aca="false">IF(ISBLANK($C379),"",MIN(Constants!$B$31,MAX(0,IF(ISNUMBER(Y379),Y379*60,0)+IF(ISNUMBER(Z379),Z379,0))))</f>
        <v/>
      </c>
      <c r="BA379" s="135" t="str">
        <f aca="false">IF(ISBLANK($C379),"",IF(AA379=Constants!$B$3,TRUE(),IF(AA379=Constants!$B$4,FALSE(),FALSE())))</f>
        <v/>
      </c>
      <c r="BB379" s="134" t="str">
        <f aca="false">IF(ISBLANK($C379),"",AND($AL379,OR($AM379="",$AN379="",AND($AO379,$AP379=""))))</f>
        <v/>
      </c>
      <c r="BC379" s="137" t="str">
        <f aca="false">IF($BZ379&lt;&gt;Constants!$B$8,"",IF($AL379,Constants!$B$21*$AN379+Constants!$B$22*IF($AO379,$AP379,Constants!$B$23),Constants!$B$24))</f>
        <v/>
      </c>
      <c r="BD379" s="138" t="str">
        <f aca="false">IF($BZ379&lt;&gt;Constants!$B$8,"",Constants!$B$25*ABS($AD$9-IF($AL379,$AM379,0)))</f>
        <v/>
      </c>
      <c r="BE379" s="138" t="str">
        <f aca="false">IF($BZ379&lt;&gt;Constants!$B$8,"",IF(AND($AL379,$AQ379,$AO379),Constants!$B$27,0))</f>
        <v/>
      </c>
      <c r="BF379" s="138" t="str">
        <f aca="false">IF($BZ379&lt;&gt;Constants!$B$8,"",IF($AL379,($AI379-Constants!$B$29)*Constants!$B$28,0))</f>
        <v/>
      </c>
      <c r="BG379" s="138" t="str">
        <f aca="false">IF($BZ379&lt;&gt;Constants!$B$8,"",IF($AK379,0,Constants!$B$15)+IF($AJ379,0,Constants!$B$16)+IF($AH379,0,Constants!$B$17))</f>
        <v/>
      </c>
      <c r="BH379" s="139" t="str">
        <f aca="false">IF($BZ379&lt;&gt;Constants!$B$8,"",Constants!$B$20+SUM($BC379:$BG379))</f>
        <v/>
      </c>
      <c r="BI379" s="138" t="str">
        <f aca="false">IF($BZ379&lt;&gt;Constants!$B$8,"",$BC379)</f>
        <v/>
      </c>
      <c r="BJ379" s="138" t="str">
        <f aca="false">IF($BZ379&lt;&gt;Constants!$B$8,"",$BD379)</f>
        <v/>
      </c>
      <c r="BK379" s="138" t="str">
        <f aca="false">IF($BZ379&lt;&gt;Constants!$B$8,"",IF($AL379,$AN379,""))</f>
        <v/>
      </c>
      <c r="BL379" s="140" t="str">
        <f aca="false">IF($BZ379&lt;&gt;Constants!$B$8,"",$AI379)</f>
        <v/>
      </c>
      <c r="BM379" s="135" t="str">
        <f aca="false">IF($BZ379&lt;&gt;Constants!$B$8,"",IF(OR($BT379&lt;$BH379,AND($BT379=$BH379,OR($BU379&lt;$BI379,AND($BU379=$BI379,OR($BV379&lt;$BJ379,AND($BV379=$BJ379,OR(AND(ISNUMBER($BW379),OR(NOT(ISNUMBER($BK379)),$BW379&lt;$BK379)),AND(OR(AND($BW379="",$BK379=""),AND(ISNUMBER($BW379),ISNUMBER($BK379),$BW379=$BK379)),$BX379&lt;$BL379)))))))),"-&gt;","&lt;-"))</f>
        <v/>
      </c>
      <c r="BN379" s="134" t="str">
        <f aca="false">IF(ISBLANK($C379),"",AND($AT379,OR($AU379="",$AV379="",AND($AW379,$AX379=""))))</f>
        <v/>
      </c>
      <c r="BO379" s="137" t="str">
        <f aca="false">IF($BZ379&lt;&gt;Constants!$B$8,"",IF($AT379,Constants!$B$21*$AV379+Constants!$B$22*IF($AW379,$AX379,Constants!$B$23),Constants!$B$24))</f>
        <v/>
      </c>
      <c r="BP379" s="138" t="str">
        <f aca="false">IF($BZ379&lt;&gt;Constants!$B$8,"",Constants!$B$25*ABS($AD$9-IF($AT379,$AU379,0)))</f>
        <v/>
      </c>
      <c r="BQ379" s="138" t="str">
        <f aca="false">IF($BZ379&lt;&gt;Constants!$B$8,"",IF(AND($AT379,$AY379,$AW379),Constants!$B$27,0))</f>
        <v/>
      </c>
      <c r="BR379" s="138" t="str">
        <f aca="false">IF($BZ379&lt;&gt;Constants!$B$8,"",IF($AT379,($AI379-Constants!$B$29)*Constants!$B$28,0))</f>
        <v/>
      </c>
      <c r="BS379" s="138" t="str">
        <f aca="false">IF($BZ379&lt;&gt;Constants!$B$8,"",IF($AS379,0,Constants!$B$15)+IF($AR379,0,Constants!$B$16)+IF($AH379,0,Constants!$B$17))</f>
        <v/>
      </c>
      <c r="BT379" s="139" t="str">
        <f aca="false">IF($BZ379&lt;&gt;Constants!$B$8,"",Constants!$B$20+SUM($BO379:$BS379))</f>
        <v/>
      </c>
      <c r="BU379" s="138" t="str">
        <f aca="false">IF($BZ379&lt;&gt;Constants!$B$8,"",$BO379)</f>
        <v/>
      </c>
      <c r="BV379" s="138" t="str">
        <f aca="false">IF($BZ379&lt;&gt;Constants!$B$8,"",$BP379)</f>
        <v/>
      </c>
      <c r="BW379" s="138" t="str">
        <f aca="false">IF($BZ379&lt;&gt;Constants!$B$8,"",IF($AT379,$AV379,""))</f>
        <v/>
      </c>
      <c r="BX379" s="140" t="str">
        <f aca="false">IF($BZ379&lt;&gt;Constants!$B$8,"",$AI379)</f>
        <v/>
      </c>
      <c r="BY379" s="135" t="str">
        <f aca="false">IF(ISBLANK($C379),"",IF(ISBLANK($D$7),$BY$5,IF(NOT(ISNUMBER($D$7)),$BY$6,"")))</f>
        <v/>
      </c>
      <c r="BZ379" s="135" t="str">
        <f aca="false">IF(ISBLANK($C379),"",IF($BA379,Constants!$B$11,IF(COUNTA($E379:$AA379)=0,Constants!$B$10,IF(NOT($AG379),Constants!$B$9,IF(OR($BY379&lt;&gt;"",$BB379,$BN379),Constants!$B$12,Constants!$B$8)))))</f>
        <v/>
      </c>
      <c r="CA379" s="135" t="str">
        <f aca="false">IF(ISBLANK($C379),"",IF($BZ379&lt;&gt;Constants!$B$8,$BZ379,Constants!$B$13))</f>
        <v/>
      </c>
      <c r="CB379" s="138" t="str">
        <f aca="false">IF($BZ379&lt;&gt;Constants!$B$8,"",IF($BM379="-&gt;",$BT379,$BH379))</f>
        <v/>
      </c>
      <c r="CC379" s="138" t="str">
        <f aca="false">IF($BZ379&lt;&gt;Constants!$B$8,"",IF($AF379,0,Constants!$B$18))</f>
        <v/>
      </c>
      <c r="CD379" s="138" t="str">
        <f aca="false">IF($BZ379&lt;&gt;Constants!$B$8,"",((Constants!$B$31-$AZ379)-Constants!$B$31)/Constants!$B$32)</f>
        <v/>
      </c>
      <c r="CE379" s="138" t="str">
        <f aca="false">IF(ISBLANK($C379),"",IF($BZ379&lt;&gt;Constants!$B$8,$BZ379,SUM($CB379:$CD379)))</f>
        <v/>
      </c>
      <c r="CF379" s="135" t="str">
        <f aca="false">IF(ISBLANK($C379),"",IF($BZ379&lt;&gt;Constants!$B$8,$BZ379,RANK($CE379,$CE$9:$CE$508,1)))</f>
        <v/>
      </c>
      <c r="CG379" s="138" t="str">
        <f aca="false">IF($BZ379&lt;&gt;Constants!$B$8,"",IF($BM379="-&gt;",$BU379,$BI379))</f>
        <v/>
      </c>
      <c r="CH379" s="135" t="str">
        <f aca="false">IF(ISBLANK($C379),"",IF($BZ379&lt;&gt;Constants!$B$8,$BZ379,IF(ISNUMBER($CG379),RANK($CG379,$CG$9:$CG$508,1),COUNT($CG$9:$CG$508)+1)))</f>
        <v/>
      </c>
      <c r="CI379" s="138" t="str">
        <f aca="false">IF($BZ379&lt;&gt;Constants!$B$8,"",IF($BM379="-&gt;",$BV379,$BJ379))</f>
        <v/>
      </c>
      <c r="CJ379" s="135" t="str">
        <f aca="false">IF(ISBLANK($C379),"",IF($BZ379&lt;&gt;Constants!$B$8,$BZ379,IF(ISNUMBER($CI379),RANK($CI379,$CI$9:$CI$508,1),COUNT($CI$9:$CI$508)+1)))</f>
        <v/>
      </c>
      <c r="CK379" s="138" t="str">
        <f aca="false">IF($BZ379&lt;&gt;Constants!$B$8,"",IF($BM379="-&gt;",$BW379,$BK379))</f>
        <v/>
      </c>
      <c r="CL379" s="135" t="str">
        <f aca="false">IF(ISBLANK($C379),"",IF($BZ379&lt;&gt;Constants!$B$8,$BZ379,IF(ISNUMBER($CK379),RANK($CK379,$CK$9:$CK$508,1),COUNT($CK$9:$CK$508)+1)))</f>
        <v/>
      </c>
      <c r="CM379" s="138" t="str">
        <f aca="false">IF($BZ379&lt;&gt;Constants!$B$8,"",IF(AND(NOT($AL379),NOT($AT379),$AJ379,$AK379,$AR379,$AS379),"",IF($BM379="-&gt;",$BX379,$BL379)))</f>
        <v/>
      </c>
      <c r="CN379" s="135" t="str">
        <f aca="false">IF(ISBLANK($C379),"",IF($BZ379&lt;&gt;Constants!$B$8,$BZ379,IF(ISNUMBER($CM379),RANK($CM379,$CM$9:$CM$508,1),COUNT($CM$9:$CM$508)+1)))</f>
        <v/>
      </c>
      <c r="CO379" s="135" t="str">
        <f aca="false">IF(ISBLANK($C379),"",IF($BZ379&lt;&gt;Constants!$B$8,$BZ379,COUNTIFS($CF$9:$CF$508,"&lt;"&amp;$CF379)+COUNTIFS($CF$9:$CF$508,$CF379,$CH$9:$CH$508,"&lt;"&amp;$CH379)+COUNTIFS($CF$9:$CF$508,$CF379,$CH$9:$CH$508,$CH379,$CJ$9:$CJ$508,"&lt;"&amp;$CJ379)+COUNTIFS($CF$9:$CF$508,$CF379,$CH$9:$CH$508,$CH379,$CJ$9:$CJ$508,$CJ379,$CL$9:$CL$508,"&lt;"&amp;$CL379)+COUNTIFS($CF$9:$CF$508,$CF379,$CH$9:$CH$508,$CH379,$CJ$9:$CJ$508,$CJ379,$CL$9:$CL$508,$CL379,$CN$9:$CN$508,"&lt;"&amp;$CN379)+1))</f>
        <v/>
      </c>
      <c r="CP379" s="135" t="str">
        <f aca="false">IF(ISBLANK($C379),"",IF($BZ379&lt;&gt;Constants!$B$8,$BZ379,$CF379-$CO379))</f>
        <v/>
      </c>
      <c r="CQ379" s="141"/>
      <c r="CR379" s="142"/>
      <c r="CS379" s="143" t="str">
        <f aca="false">IF(ISBLANK($C379),"",IF($BZ379=Constants!$B$12,$BY379,""))</f>
        <v/>
      </c>
      <c r="CT379" s="142" t="str">
        <f aca="false">IF(ISBLANK($C379),"",IF($BZ379&lt;&gt;Constants!$B$8,"",IF($BM379="-&gt;",2,1)))</f>
        <v/>
      </c>
      <c r="CU379" s="144" t="str">
        <f aca="false">IF(ISBLANK($C379),"",IF($BZ379&lt;&gt;Constants!$B$8,"",IF($BM379="-&gt;",$BO379,$BC379)))</f>
        <v/>
      </c>
      <c r="CV379" s="144" t="str">
        <f aca="false">IF(ISBLANK($C379),"",IF($BZ379&lt;&gt;Constants!$B$8,"",IF($BM379="-&gt;",$BP379,$BD379)))</f>
        <v/>
      </c>
      <c r="CW379" s="144" t="str">
        <f aca="false">IF(ISBLANK($C379),"",IF($BZ379&lt;&gt;Constants!$B$8,"",IF($BM379="-&gt;",$BQ379+$BR379,$BE379+$BF379)+$CD379))</f>
        <v/>
      </c>
      <c r="CX379" s="144" t="str">
        <f aca="false">IF(ISBLANK($C379),"",IF($BZ379&lt;&gt;Constants!$B$8,"",IF($BM379="-&gt;",$BS379,$BG379)+$CC379))</f>
        <v/>
      </c>
      <c r="CY379" s="145" t="str">
        <f aca="false">IF(ISBLANK($C379),"",IF($BZ379&lt;&gt;Constants!$B$8,$BZ379,$CE379))</f>
        <v/>
      </c>
      <c r="CZ379" s="146" t="str">
        <f aca="false">IF(ISBLANK($C379),"",$CA379)</f>
        <v/>
      </c>
      <c r="DA379" s="147" t="str">
        <f aca="false">IF(ISBLANK($C379),"",$CP379)</f>
        <v/>
      </c>
      <c r="DB379" s="147" t="str">
        <f aca="false">IF(ISBLANK($C379),"",$CO379)</f>
        <v/>
      </c>
      <c r="DC379" s="148" t="str">
        <f aca="false">IF(ISBLANK($C379),"",IFERROR(_xlfn.SWITCH($DB379,Constants!$B$11,COUNTA($C$9:$C$508)+2,Constants!$B$10,COUNTA($C$9:$C$508)+1,Constants!$B$9,COUNTA($C$9:$C$508)),$DB379))</f>
        <v/>
      </c>
      <c r="DD379" s="9"/>
      <c r="DE379" s="149" t="n">
        <f aca="false">IF(OR(ISNUMBER($DB379),$DB379=Constants!$B$11,$DB379=Constants!$B$9,$DB379=Constants!$B$10),1,0)</f>
        <v>0</v>
      </c>
      <c r="DF379" s="149" t="n">
        <v>371</v>
      </c>
      <c r="DG379" s="149" t="str">
        <f aca="false">IF(ISBLANK($C379),"",IF(ISNUMBER($DC379),$DC379+ROW($B379)/1000,""))</f>
        <v/>
      </c>
      <c r="DH379" s="149" t="str">
        <f aca="false">IF(ISNUMBER($DG379),RANK($DG379,$DG$9:$DG$508,1),"")</f>
        <v/>
      </c>
      <c r="DI379" s="149" t="str">
        <f aca="false">IF(ISBLANK($C379),"",$B379)</f>
        <v/>
      </c>
      <c r="DJ379" s="149" t="str">
        <f aca="false">IF(ISBLANK($C379),"",$C379)</f>
        <v/>
      </c>
      <c r="DK379" s="149" t="str">
        <f aca="false">IF(ISBLANK($C379),"",$D379)</f>
        <v/>
      </c>
      <c r="DL379" s="150" t="str">
        <f aca="false">$CZ379</f>
        <v/>
      </c>
      <c r="DM379" s="151" t="str">
        <f aca="false">$CY379</f>
        <v/>
      </c>
      <c r="DN379" s="149" t="str">
        <f aca="false">IF(ISBLANK($C379),"",$DB379)</f>
        <v/>
      </c>
      <c r="DO379" s="152" t="str">
        <f aca="false">IF($DF379&gt;$DE$8,"",VLOOKUP($DF379,$DH$9:$DN$508,7,FALSE()))</f>
        <v/>
      </c>
      <c r="DP379" s="153" t="str">
        <f aca="false">IF($DF379&gt;$DE$8,"",VLOOKUP($DF379,$DH$9:$DN$508,2,FALSE()))</f>
        <v/>
      </c>
      <c r="DQ379" s="153" t="str">
        <f aca="false">IF($DF379&gt;$DE$8,"",VLOOKUP($DF379,$DH$9:$DN$508,3,FALSE()))</f>
        <v/>
      </c>
      <c r="DR379" s="153" t="str">
        <f aca="false">IF($DF379&gt;$DE$8,"",VLOOKUP($DF379,$DH$9:$DN$508,4,FALSE()))</f>
        <v/>
      </c>
      <c r="DS379" s="153" t="str">
        <f aca="false">IF($DF379&gt;$DE$8,"",VLOOKUP($DF379,$DH$9:$DN$508,5,FALSE()))</f>
        <v/>
      </c>
      <c r="DT379" s="154" t="str">
        <f aca="false">IF($DF379&gt;$DE$8,"",VLOOKUP($DF379,$DH$9:$DN$508,6,FALSE()))</f>
        <v/>
      </c>
      <c r="DU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IF(ISBLANK($C380),"",IF(E380=Constants!$B$3,TRUE(),IF(E380=Constants!$B$4,FALSE(),TRUE())))</f>
        <v/>
      </c>
      <c r="AG380" s="135" t="str">
        <f aca="false">IF(ISBLANK($C380),"",IF(F380=Constants!$B$3,TRUE(),IF(F380=Constants!$B$4,FALSE(),TRUE())))</f>
        <v/>
      </c>
      <c r="AH380" s="135" t="str">
        <f aca="false">IF(ISBLANK($C380),"",IF(G380=Constants!$B$3,TRUE(),IF(G380=Constants!$B$4,FALSE(),TRUE())))</f>
        <v/>
      </c>
      <c r="AI380" s="135" t="str">
        <f aca="false">IF(ISBLANK($C380),"",IF(AND(ISNUMBER(H380),H380&gt;=0),H380,Constants!$B$29))</f>
        <v/>
      </c>
      <c r="AJ380" s="135" t="str">
        <f aca="false">IF(ISBLANK($C380),"",IF(I380=Constants!$B$3,TRUE(),IF(I380=Constants!$B$4,FALSE(),TRUE())))</f>
        <v/>
      </c>
      <c r="AK380" s="135" t="str">
        <f aca="false">IF(ISBLANK($C380),"",IF(J380=Constants!$B$3,TRUE(),IF(J380=Constants!$B$4,FALSE(),TRUE())))</f>
        <v/>
      </c>
      <c r="AL380" s="135" t="str">
        <f aca="false">IF(ISBLANK($C380),"",IF(K380=Constants!$B$5,TRUE(),IF(K380=Constants!$B$6,FALSE(),COUNTA(L380:P380)&gt;0)))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IF(ISBLANK($C380),"",IF(N380=Constants!$B$3,TRUE(),IF(N380=Constants!$B$4,FALSE(),TRUE())))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IF(ISBLANK($C380),"",IF(P380=Constants!$B$3,TRUE(),IF(P380=Constants!$B$4,FALSE(),FALSE())))</f>
        <v/>
      </c>
      <c r="AR380" s="135" t="str">
        <f aca="false">IF(ISBLANK($C380),"",IF(Q380=Constants!$B$3,TRUE(),IF(Q380=Constants!$B$4,FALSE(),TRUE())))</f>
        <v/>
      </c>
      <c r="AS380" s="135" t="str">
        <f aca="false">IF(ISBLANK($C380),"",IF(R380=Constants!$B$3,TRUE(),IF(R380=Constants!$B$4,FALSE(),TRUE())))</f>
        <v/>
      </c>
      <c r="AT380" s="135" t="str">
        <f aca="false">IF(ISBLANK($C380),"",IF(S380=Constants!$B$5,TRUE(),IF(S380=Constants!$B$6,FALSE(),COUNTA(T380:X380)&gt;0)))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IF(ISBLANK($C380),"",IF(V380=Constants!$B$3,TRUE(),IF(V380=Constants!$B$4,FALSE(),TRUE())))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IF(ISBLANK($C380),"",IF(X380=Constants!$B$3,TRUE(),IF(X380=Constants!$B$4,FALSE(),FALSE())))</f>
        <v/>
      </c>
      <c r="AZ380" s="135" t="str">
        <f aca="false">IF(ISBLANK($C380),"",MIN(Constants!$B$31,MAX(0,IF(ISNUMBER(Y380),Y380*60,0)+IF(ISNUMBER(Z380),Z380,0))))</f>
        <v/>
      </c>
      <c r="BA380" s="135" t="str">
        <f aca="false">IF(ISBLANK($C380),"",IF(AA380=Constants!$B$3,TRUE(),IF(AA380=Constants!$B$4,FALSE(),FALSE())))</f>
        <v/>
      </c>
      <c r="BB380" s="134" t="str">
        <f aca="false">IF(ISBLANK($C380),"",AND($AL380,OR($AM380="",$AN380="",AND($AO380,$AP380=""))))</f>
        <v/>
      </c>
      <c r="BC380" s="137" t="str">
        <f aca="false">IF($BZ380&lt;&gt;Constants!$B$8,"",IF($AL380,Constants!$B$21*$AN380+Constants!$B$22*IF($AO380,$AP380,Constants!$B$23),Constants!$B$24))</f>
        <v/>
      </c>
      <c r="BD380" s="138" t="str">
        <f aca="false">IF($BZ380&lt;&gt;Constants!$B$8,"",Constants!$B$25*ABS($AD$9-IF($AL380,$AM380,0)))</f>
        <v/>
      </c>
      <c r="BE380" s="138" t="str">
        <f aca="false">IF($BZ380&lt;&gt;Constants!$B$8,"",IF(AND($AL380,$AQ380,$AO380),Constants!$B$27,0))</f>
        <v/>
      </c>
      <c r="BF380" s="138" t="str">
        <f aca="false">IF($BZ380&lt;&gt;Constants!$B$8,"",IF($AL380,($AI380-Constants!$B$29)*Constants!$B$28,0))</f>
        <v/>
      </c>
      <c r="BG380" s="138" t="str">
        <f aca="false">IF($BZ380&lt;&gt;Constants!$B$8,"",IF($AK380,0,Constants!$B$15)+IF($AJ380,0,Constants!$B$16)+IF($AH380,0,Constants!$B$17))</f>
        <v/>
      </c>
      <c r="BH380" s="139" t="str">
        <f aca="false">IF($BZ380&lt;&gt;Constants!$B$8,"",Constants!$B$20+SUM($BC380:$BG380))</f>
        <v/>
      </c>
      <c r="BI380" s="138" t="str">
        <f aca="false">IF($BZ380&lt;&gt;Constants!$B$8,"",$BC380)</f>
        <v/>
      </c>
      <c r="BJ380" s="138" t="str">
        <f aca="false">IF($BZ380&lt;&gt;Constants!$B$8,"",$BD380)</f>
        <v/>
      </c>
      <c r="BK380" s="138" t="str">
        <f aca="false">IF($BZ380&lt;&gt;Constants!$B$8,"",IF($AL380,$AN380,""))</f>
        <v/>
      </c>
      <c r="BL380" s="140" t="str">
        <f aca="false">IF($BZ380&lt;&gt;Constants!$B$8,"",$AI380)</f>
        <v/>
      </c>
      <c r="BM380" s="135" t="str">
        <f aca="false">IF($BZ380&lt;&gt;Constants!$B$8,"",IF(OR($BT380&lt;$BH380,AND($BT380=$BH380,OR($BU380&lt;$BI380,AND($BU380=$BI380,OR($BV380&lt;$BJ380,AND($BV380=$BJ380,OR(AND(ISNUMBER($BW380),OR(NOT(ISNUMBER($BK380)),$BW380&lt;$BK380)),AND(OR(AND($BW380="",$BK380=""),AND(ISNUMBER($BW380),ISNUMBER($BK380),$BW380=$BK380)),$BX380&lt;$BL380)))))))),"-&gt;","&lt;-"))</f>
        <v/>
      </c>
      <c r="BN380" s="134" t="str">
        <f aca="false">IF(ISBLANK($C380),"",AND($AT380,OR($AU380="",$AV380="",AND($AW380,$AX380=""))))</f>
        <v/>
      </c>
      <c r="BO380" s="137" t="str">
        <f aca="false">IF($BZ380&lt;&gt;Constants!$B$8,"",IF($AT380,Constants!$B$21*$AV380+Constants!$B$22*IF($AW380,$AX380,Constants!$B$23),Constants!$B$24))</f>
        <v/>
      </c>
      <c r="BP380" s="138" t="str">
        <f aca="false">IF($BZ380&lt;&gt;Constants!$B$8,"",Constants!$B$25*ABS($AD$9-IF($AT380,$AU380,0)))</f>
        <v/>
      </c>
      <c r="BQ380" s="138" t="str">
        <f aca="false">IF($BZ380&lt;&gt;Constants!$B$8,"",IF(AND($AT380,$AY380,$AW380),Constants!$B$27,0))</f>
        <v/>
      </c>
      <c r="BR380" s="138" t="str">
        <f aca="false">IF($BZ380&lt;&gt;Constants!$B$8,"",IF($AT380,($AI380-Constants!$B$29)*Constants!$B$28,0))</f>
        <v/>
      </c>
      <c r="BS380" s="138" t="str">
        <f aca="false">IF($BZ380&lt;&gt;Constants!$B$8,"",IF($AS380,0,Constants!$B$15)+IF($AR380,0,Constants!$B$16)+IF($AH380,0,Constants!$B$17))</f>
        <v/>
      </c>
      <c r="BT380" s="139" t="str">
        <f aca="false">IF($BZ380&lt;&gt;Constants!$B$8,"",Constants!$B$20+SUM($BO380:$BS380))</f>
        <v/>
      </c>
      <c r="BU380" s="138" t="str">
        <f aca="false">IF($BZ380&lt;&gt;Constants!$B$8,"",$BO380)</f>
        <v/>
      </c>
      <c r="BV380" s="138" t="str">
        <f aca="false">IF($BZ380&lt;&gt;Constants!$B$8,"",$BP380)</f>
        <v/>
      </c>
      <c r="BW380" s="138" t="str">
        <f aca="false">IF($BZ380&lt;&gt;Constants!$B$8,"",IF($AT380,$AV380,""))</f>
        <v/>
      </c>
      <c r="BX380" s="140" t="str">
        <f aca="false">IF($BZ380&lt;&gt;Constants!$B$8,"",$AI380)</f>
        <v/>
      </c>
      <c r="BY380" s="135" t="str">
        <f aca="false">IF(ISBLANK($C380),"",IF(ISBLANK($D$7),$BY$5,IF(NOT(ISNUMBER($D$7)),$BY$6,"")))</f>
        <v/>
      </c>
      <c r="BZ380" s="135" t="str">
        <f aca="false">IF(ISBLANK($C380),"",IF($BA380,Constants!$B$11,IF(COUNTA($E380:$AA380)=0,Constants!$B$10,IF(NOT($AG380),Constants!$B$9,IF(OR($BY380&lt;&gt;"",$BB380,$BN380),Constants!$B$12,Constants!$B$8)))))</f>
        <v/>
      </c>
      <c r="CA380" s="135" t="str">
        <f aca="false">IF(ISBLANK($C380),"",IF($BZ380&lt;&gt;Constants!$B$8,$BZ380,Constants!$B$13))</f>
        <v/>
      </c>
      <c r="CB380" s="138" t="str">
        <f aca="false">IF($BZ380&lt;&gt;Constants!$B$8,"",IF($BM380="-&gt;",$BT380,$BH380))</f>
        <v/>
      </c>
      <c r="CC380" s="138" t="str">
        <f aca="false">IF($BZ380&lt;&gt;Constants!$B$8,"",IF($AF380,0,Constants!$B$18))</f>
        <v/>
      </c>
      <c r="CD380" s="138" t="str">
        <f aca="false">IF($BZ380&lt;&gt;Constants!$B$8,"",((Constants!$B$31-$AZ380)-Constants!$B$31)/Constants!$B$32)</f>
        <v/>
      </c>
      <c r="CE380" s="138" t="str">
        <f aca="false">IF(ISBLANK($C380),"",IF($BZ380&lt;&gt;Constants!$B$8,$BZ380,SUM($CB380:$CD380)))</f>
        <v/>
      </c>
      <c r="CF380" s="135" t="str">
        <f aca="false">IF(ISBLANK($C380),"",IF($BZ380&lt;&gt;Constants!$B$8,$BZ380,RANK($CE380,$CE$9:$CE$508,1)))</f>
        <v/>
      </c>
      <c r="CG380" s="138" t="str">
        <f aca="false">IF($BZ380&lt;&gt;Constants!$B$8,"",IF($BM380="-&gt;",$BU380,$BI380))</f>
        <v/>
      </c>
      <c r="CH380" s="135" t="str">
        <f aca="false">IF(ISBLANK($C380),"",IF($BZ380&lt;&gt;Constants!$B$8,$BZ380,IF(ISNUMBER($CG380),RANK($CG380,$CG$9:$CG$508,1),COUNT($CG$9:$CG$508)+1)))</f>
        <v/>
      </c>
      <c r="CI380" s="138" t="str">
        <f aca="false">IF($BZ380&lt;&gt;Constants!$B$8,"",IF($BM380="-&gt;",$BV380,$BJ380))</f>
        <v/>
      </c>
      <c r="CJ380" s="135" t="str">
        <f aca="false">IF(ISBLANK($C380),"",IF($BZ380&lt;&gt;Constants!$B$8,$BZ380,IF(ISNUMBER($CI380),RANK($CI380,$CI$9:$CI$508,1),COUNT($CI$9:$CI$508)+1)))</f>
        <v/>
      </c>
      <c r="CK380" s="138" t="str">
        <f aca="false">IF($BZ380&lt;&gt;Constants!$B$8,"",IF($BM380="-&gt;",$BW380,$BK380))</f>
        <v/>
      </c>
      <c r="CL380" s="135" t="str">
        <f aca="false">IF(ISBLANK($C380),"",IF($BZ380&lt;&gt;Constants!$B$8,$BZ380,IF(ISNUMBER($CK380),RANK($CK380,$CK$9:$CK$508,1),COUNT($CK$9:$CK$508)+1)))</f>
        <v/>
      </c>
      <c r="CM380" s="138" t="str">
        <f aca="false">IF($BZ380&lt;&gt;Constants!$B$8,"",IF(AND(NOT($AL380),NOT($AT380),$AJ380,$AK380,$AR380,$AS380),"",IF($BM380="-&gt;",$BX380,$BL380)))</f>
        <v/>
      </c>
      <c r="CN380" s="135" t="str">
        <f aca="false">IF(ISBLANK($C380),"",IF($BZ380&lt;&gt;Constants!$B$8,$BZ380,IF(ISNUMBER($CM380),RANK($CM380,$CM$9:$CM$508,1),COUNT($CM$9:$CM$508)+1)))</f>
        <v/>
      </c>
      <c r="CO380" s="135" t="str">
        <f aca="false">IF(ISBLANK($C380),"",IF($BZ380&lt;&gt;Constants!$B$8,$BZ380,COUNTIFS($CF$9:$CF$508,"&lt;"&amp;$CF380)+COUNTIFS($CF$9:$CF$508,$CF380,$CH$9:$CH$508,"&lt;"&amp;$CH380)+COUNTIFS($CF$9:$CF$508,$CF380,$CH$9:$CH$508,$CH380,$CJ$9:$CJ$508,"&lt;"&amp;$CJ380)+COUNTIFS($CF$9:$CF$508,$CF380,$CH$9:$CH$508,$CH380,$CJ$9:$CJ$508,$CJ380,$CL$9:$CL$508,"&lt;"&amp;$CL380)+COUNTIFS($CF$9:$CF$508,$CF380,$CH$9:$CH$508,$CH380,$CJ$9:$CJ$508,$CJ380,$CL$9:$CL$508,$CL380,$CN$9:$CN$508,"&lt;"&amp;$CN380)+1))</f>
        <v/>
      </c>
      <c r="CP380" s="135" t="str">
        <f aca="false">IF(ISBLANK($C380),"",IF($BZ380&lt;&gt;Constants!$B$8,$BZ380,$CF380-$CO380))</f>
        <v/>
      </c>
      <c r="CQ380" s="141"/>
      <c r="CR380" s="142"/>
      <c r="CS380" s="143" t="str">
        <f aca="false">IF(ISBLANK($C380),"",IF($BZ380=Constants!$B$12,$BY380,""))</f>
        <v/>
      </c>
      <c r="CT380" s="142" t="str">
        <f aca="false">IF(ISBLANK($C380),"",IF($BZ380&lt;&gt;Constants!$B$8,"",IF($BM380="-&gt;",2,1)))</f>
        <v/>
      </c>
      <c r="CU380" s="144" t="str">
        <f aca="false">IF(ISBLANK($C380),"",IF($BZ380&lt;&gt;Constants!$B$8,"",IF($BM380="-&gt;",$BO380,$BC380)))</f>
        <v/>
      </c>
      <c r="CV380" s="144" t="str">
        <f aca="false">IF(ISBLANK($C380),"",IF($BZ380&lt;&gt;Constants!$B$8,"",IF($BM380="-&gt;",$BP380,$BD380)))</f>
        <v/>
      </c>
      <c r="CW380" s="144" t="str">
        <f aca="false">IF(ISBLANK($C380),"",IF($BZ380&lt;&gt;Constants!$B$8,"",IF($BM380="-&gt;",$BQ380+$BR380,$BE380+$BF380)+$CD380))</f>
        <v/>
      </c>
      <c r="CX380" s="144" t="str">
        <f aca="false">IF(ISBLANK($C380),"",IF($BZ380&lt;&gt;Constants!$B$8,"",IF($BM380="-&gt;",$BS380,$BG380)+$CC380))</f>
        <v/>
      </c>
      <c r="CY380" s="145" t="str">
        <f aca="false">IF(ISBLANK($C380),"",IF($BZ380&lt;&gt;Constants!$B$8,$BZ380,$CE380))</f>
        <v/>
      </c>
      <c r="CZ380" s="146" t="str">
        <f aca="false">IF(ISBLANK($C380),"",$CA380)</f>
        <v/>
      </c>
      <c r="DA380" s="147" t="str">
        <f aca="false">IF(ISBLANK($C380),"",$CP380)</f>
        <v/>
      </c>
      <c r="DB380" s="147" t="str">
        <f aca="false">IF(ISBLANK($C380),"",$CO380)</f>
        <v/>
      </c>
      <c r="DC380" s="148" t="str">
        <f aca="false">IF(ISBLANK($C380),"",IFERROR(_xlfn.SWITCH($DB380,Constants!$B$11,COUNTA($C$9:$C$508)+2,Constants!$B$10,COUNTA($C$9:$C$508)+1,Constants!$B$9,COUNTA($C$9:$C$508)),$DB380))</f>
        <v/>
      </c>
      <c r="DD380" s="9"/>
      <c r="DE380" s="149" t="n">
        <f aca="false">IF(OR(ISNUMBER($DB380),$DB380=Constants!$B$11,$DB380=Constants!$B$9,$DB380=Constants!$B$10),1,0)</f>
        <v>0</v>
      </c>
      <c r="DF380" s="149" t="n">
        <v>372</v>
      </c>
      <c r="DG380" s="149" t="str">
        <f aca="false">IF(ISBLANK($C380),"",IF(ISNUMBER($DC380),$DC380+ROW($B380)/1000,""))</f>
        <v/>
      </c>
      <c r="DH380" s="149" t="str">
        <f aca="false">IF(ISNUMBER($DG380),RANK($DG380,$DG$9:$DG$508,1),"")</f>
        <v/>
      </c>
      <c r="DI380" s="149" t="str">
        <f aca="false">IF(ISBLANK($C380),"",$B380)</f>
        <v/>
      </c>
      <c r="DJ380" s="149" t="str">
        <f aca="false">IF(ISBLANK($C380),"",$C380)</f>
        <v/>
      </c>
      <c r="DK380" s="149" t="str">
        <f aca="false">IF(ISBLANK($C380),"",$D380)</f>
        <v/>
      </c>
      <c r="DL380" s="150" t="str">
        <f aca="false">$CZ380</f>
        <v/>
      </c>
      <c r="DM380" s="151" t="str">
        <f aca="false">$CY380</f>
        <v/>
      </c>
      <c r="DN380" s="149" t="str">
        <f aca="false">IF(ISBLANK($C380),"",$DB380)</f>
        <v/>
      </c>
      <c r="DO380" s="152" t="str">
        <f aca="false">IF($DF380&gt;$DE$8,"",VLOOKUP($DF380,$DH$9:$DN$508,7,FALSE()))</f>
        <v/>
      </c>
      <c r="DP380" s="153" t="str">
        <f aca="false">IF($DF380&gt;$DE$8,"",VLOOKUP($DF380,$DH$9:$DN$508,2,FALSE()))</f>
        <v/>
      </c>
      <c r="DQ380" s="153" t="str">
        <f aca="false">IF($DF380&gt;$DE$8,"",VLOOKUP($DF380,$DH$9:$DN$508,3,FALSE()))</f>
        <v/>
      </c>
      <c r="DR380" s="153" t="str">
        <f aca="false">IF($DF380&gt;$DE$8,"",VLOOKUP($DF380,$DH$9:$DN$508,4,FALSE()))</f>
        <v/>
      </c>
      <c r="DS380" s="153" t="str">
        <f aca="false">IF($DF380&gt;$DE$8,"",VLOOKUP($DF380,$DH$9:$DN$508,5,FALSE()))</f>
        <v/>
      </c>
      <c r="DT380" s="154" t="str">
        <f aca="false">IF($DF380&gt;$DE$8,"",VLOOKUP($DF380,$DH$9:$DN$508,6,FALSE()))</f>
        <v/>
      </c>
      <c r="DU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IF(ISBLANK($C381),"",IF(E381=Constants!$B$3,TRUE(),IF(E381=Constants!$B$4,FALSE(),TRUE())))</f>
        <v/>
      </c>
      <c r="AG381" s="93" t="str">
        <f aca="false">IF(ISBLANK($C381),"",IF(F381=Constants!$B$3,TRUE(),IF(F381=Constants!$B$4,FALSE(),TRUE())))</f>
        <v/>
      </c>
      <c r="AH381" s="93" t="str">
        <f aca="false">IF(ISBLANK($C381),"",IF(G381=Constants!$B$3,TRUE(),IF(G381=Constants!$B$4,FALSE(),TRUE())))</f>
        <v/>
      </c>
      <c r="AI381" s="93" t="str">
        <f aca="false">IF(ISBLANK($C381),"",IF(AND(ISNUMBER(H381),H381&gt;=0),H381,Constants!$B$29))</f>
        <v/>
      </c>
      <c r="AJ381" s="93" t="str">
        <f aca="false">IF(ISBLANK($C381),"",IF(I381=Constants!$B$3,TRUE(),IF(I381=Constants!$B$4,FALSE(),TRUE())))</f>
        <v/>
      </c>
      <c r="AK381" s="93" t="str">
        <f aca="false">IF(ISBLANK($C381),"",IF(J381=Constants!$B$3,TRUE(),IF(J381=Constants!$B$4,FALSE(),TRUE())))</f>
        <v/>
      </c>
      <c r="AL381" s="93" t="str">
        <f aca="false">IF(ISBLANK($C381),"",IF(K381=Constants!$B$5,TRUE(),IF(K381=Constants!$B$6,FALSE(),COUNTA(L381:P381)&gt;0)))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IF(ISBLANK($C381),"",IF(N381=Constants!$B$3,TRUE(),IF(N381=Constants!$B$4,FALSE(),TRUE())))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IF(ISBLANK($C381),"",IF(P381=Constants!$B$3,TRUE(),IF(P381=Constants!$B$4,FALSE(),FALSE())))</f>
        <v/>
      </c>
      <c r="AR381" s="93" t="str">
        <f aca="false">IF(ISBLANK($C381),"",IF(Q381=Constants!$B$3,TRUE(),IF(Q381=Constants!$B$4,FALSE(),TRUE())))</f>
        <v/>
      </c>
      <c r="AS381" s="93" t="str">
        <f aca="false">IF(ISBLANK($C381),"",IF(R381=Constants!$B$3,TRUE(),IF(R381=Constants!$B$4,FALSE(),TRUE())))</f>
        <v/>
      </c>
      <c r="AT381" s="93" t="str">
        <f aca="false">IF(ISBLANK($C381),"",IF(S381=Constants!$B$5,TRUE(),IF(S381=Constants!$B$6,FALSE(),COUNTA(T381:X381)&gt;0)))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IF(ISBLANK($C381),"",IF(V381=Constants!$B$3,TRUE(),IF(V381=Constants!$B$4,FALSE(),TRUE())))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IF(ISBLANK($C381),"",IF(X381=Constants!$B$3,TRUE(),IF(X381=Constants!$B$4,FALSE(),FALSE())))</f>
        <v/>
      </c>
      <c r="AZ381" s="93" t="str">
        <f aca="false">IF(ISBLANK($C381),"",MIN(Constants!$B$31,MAX(0,IF(ISNUMBER(Y381),Y381*60,0)+IF(ISNUMBER(Z381),Z381,0))))</f>
        <v/>
      </c>
      <c r="BA381" s="93" t="str">
        <f aca="false">IF(ISBLANK($C381),"",IF(AA381=Constants!$B$3,TRUE(),IF(AA381=Constants!$B$4,FALSE(),FALSE())))</f>
        <v/>
      </c>
      <c r="BB381" s="92" t="str">
        <f aca="false">IF(ISBLANK($C381),"",AND($AL381,OR($AM381="",$AN381="",AND($AO381,$AP381=""))))</f>
        <v/>
      </c>
      <c r="BC381" s="94" t="str">
        <f aca="false">IF($BZ381&lt;&gt;Constants!$B$8,"",IF($AL381,Constants!$B$21*$AN381+Constants!$B$22*IF($AO381,$AP381,Constants!$B$23),Constants!$B$24))</f>
        <v/>
      </c>
      <c r="BD381" s="97" t="str">
        <f aca="false">IF($BZ381&lt;&gt;Constants!$B$8,"",Constants!$B$25*ABS($AD$9-IF($AL381,$AM381,0)))</f>
        <v/>
      </c>
      <c r="BE381" s="97" t="str">
        <f aca="false">IF($BZ381&lt;&gt;Constants!$B$8,"",IF(AND($AL381,$AQ381,$AO381),Constants!$B$27,0))</f>
        <v/>
      </c>
      <c r="BF381" s="97" t="str">
        <f aca="false">IF($BZ381&lt;&gt;Constants!$B$8,"",IF($AL381,($AI381-Constants!$B$29)*Constants!$B$28,0))</f>
        <v/>
      </c>
      <c r="BG381" s="97" t="str">
        <f aca="false">IF($BZ381&lt;&gt;Constants!$B$8,"",IF($AK381,0,Constants!$B$15)+IF($AJ381,0,Constants!$B$16)+IF($AH381,0,Constants!$B$17))</f>
        <v/>
      </c>
      <c r="BH381" s="98" t="str">
        <f aca="false">IF($BZ381&lt;&gt;Constants!$B$8,"",Constants!$B$20+SUM($BC381:$BG381))</f>
        <v/>
      </c>
      <c r="BI381" s="97" t="str">
        <f aca="false">IF($BZ381&lt;&gt;Constants!$B$8,"",$BC381)</f>
        <v/>
      </c>
      <c r="BJ381" s="97" t="str">
        <f aca="false">IF($BZ381&lt;&gt;Constants!$B$8,"",$BD381)</f>
        <v/>
      </c>
      <c r="BK381" s="97" t="str">
        <f aca="false">IF($BZ381&lt;&gt;Constants!$B$8,"",IF($AL381,$AN381,""))</f>
        <v/>
      </c>
      <c r="BL381" s="99" t="str">
        <f aca="false">IF($BZ381&lt;&gt;Constants!$B$8,"",$AI381)</f>
        <v/>
      </c>
      <c r="BM381" s="93" t="str">
        <f aca="false">IF($BZ381&lt;&gt;Constants!$B$8,"",IF(OR($BT381&lt;$BH381,AND($BT381=$BH381,OR($BU381&lt;$BI381,AND($BU381=$BI381,OR($BV381&lt;$BJ381,AND($BV381=$BJ381,OR(AND(ISNUMBER($BW381),OR(NOT(ISNUMBER($BK381)),$BW381&lt;$BK381)),AND(OR(AND($BW381="",$BK381=""),AND(ISNUMBER($BW381),ISNUMBER($BK381),$BW381=$BK381)),$BX381&lt;$BL381)))))))),"-&gt;","&lt;-"))</f>
        <v/>
      </c>
      <c r="BN381" s="92" t="str">
        <f aca="false">IF(ISBLANK($C381),"",AND($AT381,OR($AU381="",$AV381="",AND($AW381,$AX381=""))))</f>
        <v/>
      </c>
      <c r="BO381" s="94" t="str">
        <f aca="false">IF($BZ381&lt;&gt;Constants!$B$8,"",IF($AT381,Constants!$B$21*$AV381+Constants!$B$22*IF($AW381,$AX381,Constants!$B$23),Constants!$B$24))</f>
        <v/>
      </c>
      <c r="BP381" s="97" t="str">
        <f aca="false">IF($BZ381&lt;&gt;Constants!$B$8,"",Constants!$B$25*ABS($AD$9-IF($AT381,$AU381,0)))</f>
        <v/>
      </c>
      <c r="BQ381" s="97" t="str">
        <f aca="false">IF($BZ381&lt;&gt;Constants!$B$8,"",IF(AND($AT381,$AY381,$AW381),Constants!$B$27,0))</f>
        <v/>
      </c>
      <c r="BR381" s="97" t="str">
        <f aca="false">IF($BZ381&lt;&gt;Constants!$B$8,"",IF($AT381,($AI381-Constants!$B$29)*Constants!$B$28,0))</f>
        <v/>
      </c>
      <c r="BS381" s="97" t="str">
        <f aca="false">IF($BZ381&lt;&gt;Constants!$B$8,"",IF($AS381,0,Constants!$B$15)+IF($AR381,0,Constants!$B$16)+IF($AH381,0,Constants!$B$17))</f>
        <v/>
      </c>
      <c r="BT381" s="98" t="str">
        <f aca="false">IF($BZ381&lt;&gt;Constants!$B$8,"",Constants!$B$20+SUM($BO381:$BS381))</f>
        <v/>
      </c>
      <c r="BU381" s="97" t="str">
        <f aca="false">IF($BZ381&lt;&gt;Constants!$B$8,"",$BO381)</f>
        <v/>
      </c>
      <c r="BV381" s="97" t="str">
        <f aca="false">IF($BZ381&lt;&gt;Constants!$B$8,"",$BP381)</f>
        <v/>
      </c>
      <c r="BW381" s="97" t="str">
        <f aca="false">IF($BZ381&lt;&gt;Constants!$B$8,"",IF($AT381,$AV381,""))</f>
        <v/>
      </c>
      <c r="BX381" s="99" t="str">
        <f aca="false">IF($BZ381&lt;&gt;Constants!$B$8,"",$AI381)</f>
        <v/>
      </c>
      <c r="BY381" s="93" t="str">
        <f aca="false">IF(ISBLANK($C381),"",IF(ISBLANK($D$7),$BY$5,IF(NOT(ISNUMBER($D$7)),$BY$6,"")))</f>
        <v/>
      </c>
      <c r="BZ381" s="93" t="str">
        <f aca="false">IF(ISBLANK($C381),"",IF($BA381,Constants!$B$11,IF(COUNTA($E381:$AA381)=0,Constants!$B$10,IF(NOT($AG381),Constants!$B$9,IF(OR($BY381&lt;&gt;"",$BB381,$BN381),Constants!$B$12,Constants!$B$8)))))</f>
        <v/>
      </c>
      <c r="CA381" s="93" t="str">
        <f aca="false">IF(ISBLANK($C381),"",IF($BZ381&lt;&gt;Constants!$B$8,$BZ381,Constants!$B$13))</f>
        <v/>
      </c>
      <c r="CB381" s="97" t="str">
        <f aca="false">IF($BZ381&lt;&gt;Constants!$B$8,"",IF($BM381="-&gt;",$BT381,$BH381))</f>
        <v/>
      </c>
      <c r="CC381" s="97" t="str">
        <f aca="false">IF($BZ381&lt;&gt;Constants!$B$8,"",IF($AF381,0,Constants!$B$18))</f>
        <v/>
      </c>
      <c r="CD381" s="97" t="str">
        <f aca="false">IF($BZ381&lt;&gt;Constants!$B$8,"",((Constants!$B$31-$AZ381)-Constants!$B$31)/Constants!$B$32)</f>
        <v/>
      </c>
      <c r="CE381" s="97" t="str">
        <f aca="false">IF(ISBLANK($C381),"",IF($BZ381&lt;&gt;Constants!$B$8,$BZ381,SUM($CB381:$CD381)))</f>
        <v/>
      </c>
      <c r="CF381" s="93" t="str">
        <f aca="false">IF(ISBLANK($C381),"",IF($BZ381&lt;&gt;Constants!$B$8,$BZ381,RANK($CE381,$CE$9:$CE$508,1)))</f>
        <v/>
      </c>
      <c r="CG381" s="97" t="str">
        <f aca="false">IF($BZ381&lt;&gt;Constants!$B$8,"",IF($BM381="-&gt;",$BU381,$BI381))</f>
        <v/>
      </c>
      <c r="CH381" s="93" t="str">
        <f aca="false">IF(ISBLANK($C381),"",IF($BZ381&lt;&gt;Constants!$B$8,$BZ381,IF(ISNUMBER($CG381),RANK($CG381,$CG$9:$CG$508,1),COUNT($CG$9:$CG$508)+1)))</f>
        <v/>
      </c>
      <c r="CI381" s="97" t="str">
        <f aca="false">IF($BZ381&lt;&gt;Constants!$B$8,"",IF($BM381="-&gt;",$BV381,$BJ381))</f>
        <v/>
      </c>
      <c r="CJ381" s="93" t="str">
        <f aca="false">IF(ISBLANK($C381),"",IF($BZ381&lt;&gt;Constants!$B$8,$BZ381,IF(ISNUMBER($CI381),RANK($CI381,$CI$9:$CI$508,1),COUNT($CI$9:$CI$508)+1)))</f>
        <v/>
      </c>
      <c r="CK381" s="97" t="str">
        <f aca="false">IF($BZ381&lt;&gt;Constants!$B$8,"",IF($BM381="-&gt;",$BW381,$BK381))</f>
        <v/>
      </c>
      <c r="CL381" s="93" t="str">
        <f aca="false">IF(ISBLANK($C381),"",IF($BZ381&lt;&gt;Constants!$B$8,$BZ381,IF(ISNUMBER($CK381),RANK($CK381,$CK$9:$CK$508,1),COUNT($CK$9:$CK$508)+1)))</f>
        <v/>
      </c>
      <c r="CM381" s="97" t="str">
        <f aca="false">IF($BZ381&lt;&gt;Constants!$B$8,"",IF(AND(NOT($AL381),NOT($AT381),$AJ381,$AK381,$AR381,$AS381),"",IF($BM381="-&gt;",$BX381,$BL381)))</f>
        <v/>
      </c>
      <c r="CN381" s="93" t="str">
        <f aca="false">IF(ISBLANK($C381),"",IF($BZ381&lt;&gt;Constants!$B$8,$BZ381,IF(ISNUMBER($CM381),RANK($CM381,$CM$9:$CM$508,1),COUNT($CM$9:$CM$508)+1)))</f>
        <v/>
      </c>
      <c r="CO381" s="93" t="str">
        <f aca="false">IF(ISBLANK($C381),"",IF($BZ381&lt;&gt;Constants!$B$8,$BZ381,COUNTIFS($CF$9:$CF$508,"&lt;"&amp;$CF381)+COUNTIFS($CF$9:$CF$508,$CF381,$CH$9:$CH$508,"&lt;"&amp;$CH381)+COUNTIFS($CF$9:$CF$508,$CF381,$CH$9:$CH$508,$CH381,$CJ$9:$CJ$508,"&lt;"&amp;$CJ381)+COUNTIFS($CF$9:$CF$508,$CF381,$CH$9:$CH$508,$CH381,$CJ$9:$CJ$508,$CJ381,$CL$9:$CL$508,"&lt;"&amp;$CL381)+COUNTIFS($CF$9:$CF$508,$CF381,$CH$9:$CH$508,$CH381,$CJ$9:$CJ$508,$CJ381,$CL$9:$CL$508,$CL381,$CN$9:$CN$508,"&lt;"&amp;$CN381)+1))</f>
        <v/>
      </c>
      <c r="CP381" s="93" t="str">
        <f aca="false">IF(ISBLANK($C381),"",IF($BZ381&lt;&gt;Constants!$B$8,$BZ381,$CF381-$CO381))</f>
        <v/>
      </c>
      <c r="CQ381" s="100"/>
      <c r="CR381" s="101"/>
      <c r="CS381" s="102" t="str">
        <f aca="false">IF(ISBLANK($C381),"",IF($BZ381=Constants!$B$12,$BY381,""))</f>
        <v/>
      </c>
      <c r="CT381" s="101" t="str">
        <f aca="false">IF(ISBLANK($C381),"",IF($BZ381&lt;&gt;Constants!$B$8,"",IF($BM381="-&gt;",2,1)))</f>
        <v/>
      </c>
      <c r="CU381" s="103" t="str">
        <f aca="false">IF(ISBLANK($C381),"",IF($BZ381&lt;&gt;Constants!$B$8,"",IF($BM381="-&gt;",$BO381,$BC381)))</f>
        <v/>
      </c>
      <c r="CV381" s="103" t="str">
        <f aca="false">IF(ISBLANK($C381),"",IF($BZ381&lt;&gt;Constants!$B$8,"",IF($BM381="-&gt;",$BP381,$BD381)))</f>
        <v/>
      </c>
      <c r="CW381" s="103" t="str">
        <f aca="false">IF(ISBLANK($C381),"",IF($BZ381&lt;&gt;Constants!$B$8,"",IF($BM381="-&gt;",$BQ381+$BR381,$BE381+$BF381)+$CD381))</f>
        <v/>
      </c>
      <c r="CX381" s="103" t="str">
        <f aca="false">IF(ISBLANK($C381),"",IF($BZ381&lt;&gt;Constants!$B$8,"",IF($BM381="-&gt;",$BS381,$BG381)+$CC381))</f>
        <v/>
      </c>
      <c r="CY381" s="104" t="str">
        <f aca="false">IF(ISBLANK($C381),"",IF($BZ381&lt;&gt;Constants!$B$8,$BZ381,$CE381))</f>
        <v/>
      </c>
      <c r="CZ381" s="105" t="str">
        <f aca="false">IF(ISBLANK($C381),"",$CA381)</f>
        <v/>
      </c>
      <c r="DA381" s="106" t="str">
        <f aca="false">IF(ISBLANK($C381),"",$CP381)</f>
        <v/>
      </c>
      <c r="DB381" s="106" t="str">
        <f aca="false">IF(ISBLANK($C381),"",$CO381)</f>
        <v/>
      </c>
      <c r="DC381" s="107" t="str">
        <f aca="false">IF(ISBLANK($C381),"",IFERROR(_xlfn.SWITCH($DB381,Constants!$B$11,COUNTA($C$9:$C$508)+2,Constants!$B$10,COUNTA($C$9:$C$508)+1,Constants!$B$9,COUNTA($C$9:$C$508)),$DB381))</f>
        <v/>
      </c>
      <c r="DD381" s="9"/>
      <c r="DE381" s="108" t="n">
        <f aca="false">IF(OR(ISNUMBER($DB381),$DB381=Constants!$B$11,$DB381=Constants!$B$9,$DB381=Constants!$B$10),1,0)</f>
        <v>0</v>
      </c>
      <c r="DF381" s="108" t="n">
        <v>373</v>
      </c>
      <c r="DG381" s="108" t="str">
        <f aca="false">IF(ISBLANK($C381),"",IF(ISNUMBER($DC381),$DC381+ROW($B381)/1000,""))</f>
        <v/>
      </c>
      <c r="DH381" s="108" t="str">
        <f aca="false">IF(ISNUMBER($DG381),RANK($DG381,$DG$9:$DG$508,1),"")</f>
        <v/>
      </c>
      <c r="DI381" s="108" t="str">
        <f aca="false">IF(ISBLANK($C381),"",$B381)</f>
        <v/>
      </c>
      <c r="DJ381" s="108" t="str">
        <f aca="false">IF(ISBLANK($C381),"",$C381)</f>
        <v/>
      </c>
      <c r="DK381" s="108" t="str">
        <f aca="false">IF(ISBLANK($C381),"",$D381)</f>
        <v/>
      </c>
      <c r="DL381" s="109" t="str">
        <f aca="false">$CZ381</f>
        <v/>
      </c>
      <c r="DM381" s="110" t="str">
        <f aca="false">$CY381</f>
        <v/>
      </c>
      <c r="DN381" s="108" t="str">
        <f aca="false">IF(ISBLANK($C381),"",$DB381)</f>
        <v/>
      </c>
      <c r="DO381" s="111" t="str">
        <f aca="false">IF($DF381&gt;$DE$8,"",VLOOKUP($DF381,$DH$9:$DN$508,7,FALSE()))</f>
        <v/>
      </c>
      <c r="DP381" s="112" t="str">
        <f aca="false">IF($DF381&gt;$DE$8,"",VLOOKUP($DF381,$DH$9:$DN$508,2,FALSE()))</f>
        <v/>
      </c>
      <c r="DQ381" s="112" t="str">
        <f aca="false">IF($DF381&gt;$DE$8,"",VLOOKUP($DF381,$DH$9:$DN$508,3,FALSE()))</f>
        <v/>
      </c>
      <c r="DR381" s="112" t="str">
        <f aca="false">IF($DF381&gt;$DE$8,"",VLOOKUP($DF381,$DH$9:$DN$508,4,FALSE()))</f>
        <v/>
      </c>
      <c r="DS381" s="112" t="str">
        <f aca="false">IF($DF381&gt;$DE$8,"",VLOOKUP($DF381,$DH$9:$DN$508,5,FALSE()))</f>
        <v/>
      </c>
      <c r="DT381" s="113" t="str">
        <f aca="false">IF($DF381&gt;$DE$8,"",VLOOKUP($DF381,$DH$9:$DN$508,6,FALSE()))</f>
        <v/>
      </c>
      <c r="DU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IF(ISBLANK($C382),"",IF(E382=Constants!$B$3,TRUE(),IF(E382=Constants!$B$4,FALSE(),TRUE())))</f>
        <v/>
      </c>
      <c r="AG382" s="93" t="str">
        <f aca="false">IF(ISBLANK($C382),"",IF(F382=Constants!$B$3,TRUE(),IF(F382=Constants!$B$4,FALSE(),TRUE())))</f>
        <v/>
      </c>
      <c r="AH382" s="93" t="str">
        <f aca="false">IF(ISBLANK($C382),"",IF(G382=Constants!$B$3,TRUE(),IF(G382=Constants!$B$4,FALSE(),TRUE())))</f>
        <v/>
      </c>
      <c r="AI382" s="93" t="str">
        <f aca="false">IF(ISBLANK($C382),"",IF(AND(ISNUMBER(H382),H382&gt;=0),H382,Constants!$B$29))</f>
        <v/>
      </c>
      <c r="AJ382" s="93" t="str">
        <f aca="false">IF(ISBLANK($C382),"",IF(I382=Constants!$B$3,TRUE(),IF(I382=Constants!$B$4,FALSE(),TRUE())))</f>
        <v/>
      </c>
      <c r="AK382" s="93" t="str">
        <f aca="false">IF(ISBLANK($C382),"",IF(J382=Constants!$B$3,TRUE(),IF(J382=Constants!$B$4,FALSE(),TRUE())))</f>
        <v/>
      </c>
      <c r="AL382" s="93" t="str">
        <f aca="false">IF(ISBLANK($C382),"",IF(K382=Constants!$B$5,TRUE(),IF(K382=Constants!$B$6,FALSE(),COUNTA(L382:P382)&gt;0)))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IF(ISBLANK($C382),"",IF(N382=Constants!$B$3,TRUE(),IF(N382=Constants!$B$4,FALSE(),TRUE())))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IF(ISBLANK($C382),"",IF(P382=Constants!$B$3,TRUE(),IF(P382=Constants!$B$4,FALSE(),FALSE())))</f>
        <v/>
      </c>
      <c r="AR382" s="93" t="str">
        <f aca="false">IF(ISBLANK($C382),"",IF(Q382=Constants!$B$3,TRUE(),IF(Q382=Constants!$B$4,FALSE(),TRUE())))</f>
        <v/>
      </c>
      <c r="AS382" s="93" t="str">
        <f aca="false">IF(ISBLANK($C382),"",IF(R382=Constants!$B$3,TRUE(),IF(R382=Constants!$B$4,FALSE(),TRUE())))</f>
        <v/>
      </c>
      <c r="AT382" s="93" t="str">
        <f aca="false">IF(ISBLANK($C382),"",IF(S382=Constants!$B$5,TRUE(),IF(S382=Constants!$B$6,FALSE(),COUNTA(T382:X382)&gt;0)))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IF(ISBLANK($C382),"",IF(V382=Constants!$B$3,TRUE(),IF(V382=Constants!$B$4,FALSE(),TRUE())))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IF(ISBLANK($C382),"",IF(X382=Constants!$B$3,TRUE(),IF(X382=Constants!$B$4,FALSE(),FALSE())))</f>
        <v/>
      </c>
      <c r="AZ382" s="93" t="str">
        <f aca="false">IF(ISBLANK($C382),"",MIN(Constants!$B$31,MAX(0,IF(ISNUMBER(Y382),Y382*60,0)+IF(ISNUMBER(Z382),Z382,0))))</f>
        <v/>
      </c>
      <c r="BA382" s="93" t="str">
        <f aca="false">IF(ISBLANK($C382),"",IF(AA382=Constants!$B$3,TRUE(),IF(AA382=Constants!$B$4,FALSE(),FALSE())))</f>
        <v/>
      </c>
      <c r="BB382" s="92" t="str">
        <f aca="false">IF(ISBLANK($C382),"",AND($AL382,OR($AM382="",$AN382="",AND($AO382,$AP382=""))))</f>
        <v/>
      </c>
      <c r="BC382" s="94" t="str">
        <f aca="false">IF($BZ382&lt;&gt;Constants!$B$8,"",IF($AL382,Constants!$B$21*$AN382+Constants!$B$22*IF($AO382,$AP382,Constants!$B$23),Constants!$B$24))</f>
        <v/>
      </c>
      <c r="BD382" s="97" t="str">
        <f aca="false">IF($BZ382&lt;&gt;Constants!$B$8,"",Constants!$B$25*ABS($AD$9-IF($AL382,$AM382,0)))</f>
        <v/>
      </c>
      <c r="BE382" s="97" t="str">
        <f aca="false">IF($BZ382&lt;&gt;Constants!$B$8,"",IF(AND($AL382,$AQ382,$AO382),Constants!$B$27,0))</f>
        <v/>
      </c>
      <c r="BF382" s="97" t="str">
        <f aca="false">IF($BZ382&lt;&gt;Constants!$B$8,"",IF($AL382,($AI382-Constants!$B$29)*Constants!$B$28,0))</f>
        <v/>
      </c>
      <c r="BG382" s="97" t="str">
        <f aca="false">IF($BZ382&lt;&gt;Constants!$B$8,"",IF($AK382,0,Constants!$B$15)+IF($AJ382,0,Constants!$B$16)+IF($AH382,0,Constants!$B$17))</f>
        <v/>
      </c>
      <c r="BH382" s="98" t="str">
        <f aca="false">IF($BZ382&lt;&gt;Constants!$B$8,"",Constants!$B$20+SUM($BC382:$BG382))</f>
        <v/>
      </c>
      <c r="BI382" s="97" t="str">
        <f aca="false">IF($BZ382&lt;&gt;Constants!$B$8,"",$BC382)</f>
        <v/>
      </c>
      <c r="BJ382" s="97" t="str">
        <f aca="false">IF($BZ382&lt;&gt;Constants!$B$8,"",$BD382)</f>
        <v/>
      </c>
      <c r="BK382" s="97" t="str">
        <f aca="false">IF($BZ382&lt;&gt;Constants!$B$8,"",IF($AL382,$AN382,""))</f>
        <v/>
      </c>
      <c r="BL382" s="99" t="str">
        <f aca="false">IF($BZ382&lt;&gt;Constants!$B$8,"",$AI382)</f>
        <v/>
      </c>
      <c r="BM382" s="93" t="str">
        <f aca="false">IF($BZ382&lt;&gt;Constants!$B$8,"",IF(OR($BT382&lt;$BH382,AND($BT382=$BH382,OR($BU382&lt;$BI382,AND($BU382=$BI382,OR($BV382&lt;$BJ382,AND($BV382=$BJ382,OR(AND(ISNUMBER($BW382),OR(NOT(ISNUMBER($BK382)),$BW382&lt;$BK382)),AND(OR(AND($BW382="",$BK382=""),AND(ISNUMBER($BW382),ISNUMBER($BK382),$BW382=$BK382)),$BX382&lt;$BL382)))))))),"-&gt;","&lt;-"))</f>
        <v/>
      </c>
      <c r="BN382" s="92" t="str">
        <f aca="false">IF(ISBLANK($C382),"",AND($AT382,OR($AU382="",$AV382="",AND($AW382,$AX382=""))))</f>
        <v/>
      </c>
      <c r="BO382" s="94" t="str">
        <f aca="false">IF($BZ382&lt;&gt;Constants!$B$8,"",IF($AT382,Constants!$B$21*$AV382+Constants!$B$22*IF($AW382,$AX382,Constants!$B$23),Constants!$B$24))</f>
        <v/>
      </c>
      <c r="BP382" s="97" t="str">
        <f aca="false">IF($BZ382&lt;&gt;Constants!$B$8,"",Constants!$B$25*ABS($AD$9-IF($AT382,$AU382,0)))</f>
        <v/>
      </c>
      <c r="BQ382" s="97" t="str">
        <f aca="false">IF($BZ382&lt;&gt;Constants!$B$8,"",IF(AND($AT382,$AY382,$AW382),Constants!$B$27,0))</f>
        <v/>
      </c>
      <c r="BR382" s="97" t="str">
        <f aca="false">IF($BZ382&lt;&gt;Constants!$B$8,"",IF($AT382,($AI382-Constants!$B$29)*Constants!$B$28,0))</f>
        <v/>
      </c>
      <c r="BS382" s="97" t="str">
        <f aca="false">IF($BZ382&lt;&gt;Constants!$B$8,"",IF($AS382,0,Constants!$B$15)+IF($AR382,0,Constants!$B$16)+IF($AH382,0,Constants!$B$17))</f>
        <v/>
      </c>
      <c r="BT382" s="98" t="str">
        <f aca="false">IF($BZ382&lt;&gt;Constants!$B$8,"",Constants!$B$20+SUM($BO382:$BS382))</f>
        <v/>
      </c>
      <c r="BU382" s="97" t="str">
        <f aca="false">IF($BZ382&lt;&gt;Constants!$B$8,"",$BO382)</f>
        <v/>
      </c>
      <c r="BV382" s="97" t="str">
        <f aca="false">IF($BZ382&lt;&gt;Constants!$B$8,"",$BP382)</f>
        <v/>
      </c>
      <c r="BW382" s="97" t="str">
        <f aca="false">IF($BZ382&lt;&gt;Constants!$B$8,"",IF($AT382,$AV382,""))</f>
        <v/>
      </c>
      <c r="BX382" s="99" t="str">
        <f aca="false">IF($BZ382&lt;&gt;Constants!$B$8,"",$AI382)</f>
        <v/>
      </c>
      <c r="BY382" s="93" t="str">
        <f aca="false">IF(ISBLANK($C382),"",IF(ISBLANK($D$7),$BY$5,IF(NOT(ISNUMBER($D$7)),$BY$6,"")))</f>
        <v/>
      </c>
      <c r="BZ382" s="93" t="str">
        <f aca="false">IF(ISBLANK($C382),"",IF($BA382,Constants!$B$11,IF(COUNTA($E382:$AA382)=0,Constants!$B$10,IF(NOT($AG382),Constants!$B$9,IF(OR($BY382&lt;&gt;"",$BB382,$BN382),Constants!$B$12,Constants!$B$8)))))</f>
        <v/>
      </c>
      <c r="CA382" s="93" t="str">
        <f aca="false">IF(ISBLANK($C382),"",IF($BZ382&lt;&gt;Constants!$B$8,$BZ382,Constants!$B$13))</f>
        <v/>
      </c>
      <c r="CB382" s="97" t="str">
        <f aca="false">IF($BZ382&lt;&gt;Constants!$B$8,"",IF($BM382="-&gt;",$BT382,$BH382))</f>
        <v/>
      </c>
      <c r="CC382" s="97" t="str">
        <f aca="false">IF($BZ382&lt;&gt;Constants!$B$8,"",IF($AF382,0,Constants!$B$18))</f>
        <v/>
      </c>
      <c r="CD382" s="97" t="str">
        <f aca="false">IF($BZ382&lt;&gt;Constants!$B$8,"",((Constants!$B$31-$AZ382)-Constants!$B$31)/Constants!$B$32)</f>
        <v/>
      </c>
      <c r="CE382" s="97" t="str">
        <f aca="false">IF(ISBLANK($C382),"",IF($BZ382&lt;&gt;Constants!$B$8,$BZ382,SUM($CB382:$CD382)))</f>
        <v/>
      </c>
      <c r="CF382" s="93" t="str">
        <f aca="false">IF(ISBLANK($C382),"",IF($BZ382&lt;&gt;Constants!$B$8,$BZ382,RANK($CE382,$CE$9:$CE$508,1)))</f>
        <v/>
      </c>
      <c r="CG382" s="97" t="str">
        <f aca="false">IF($BZ382&lt;&gt;Constants!$B$8,"",IF($BM382="-&gt;",$BU382,$BI382))</f>
        <v/>
      </c>
      <c r="CH382" s="93" t="str">
        <f aca="false">IF(ISBLANK($C382),"",IF($BZ382&lt;&gt;Constants!$B$8,$BZ382,IF(ISNUMBER($CG382),RANK($CG382,$CG$9:$CG$508,1),COUNT($CG$9:$CG$508)+1)))</f>
        <v/>
      </c>
      <c r="CI382" s="97" t="str">
        <f aca="false">IF($BZ382&lt;&gt;Constants!$B$8,"",IF($BM382="-&gt;",$BV382,$BJ382))</f>
        <v/>
      </c>
      <c r="CJ382" s="93" t="str">
        <f aca="false">IF(ISBLANK($C382),"",IF($BZ382&lt;&gt;Constants!$B$8,$BZ382,IF(ISNUMBER($CI382),RANK($CI382,$CI$9:$CI$508,1),COUNT($CI$9:$CI$508)+1)))</f>
        <v/>
      </c>
      <c r="CK382" s="97" t="str">
        <f aca="false">IF($BZ382&lt;&gt;Constants!$B$8,"",IF($BM382="-&gt;",$BW382,$BK382))</f>
        <v/>
      </c>
      <c r="CL382" s="93" t="str">
        <f aca="false">IF(ISBLANK($C382),"",IF($BZ382&lt;&gt;Constants!$B$8,$BZ382,IF(ISNUMBER($CK382),RANK($CK382,$CK$9:$CK$508,1),COUNT($CK$9:$CK$508)+1)))</f>
        <v/>
      </c>
      <c r="CM382" s="97" t="str">
        <f aca="false">IF($BZ382&lt;&gt;Constants!$B$8,"",IF(AND(NOT($AL382),NOT($AT382),$AJ382,$AK382,$AR382,$AS382),"",IF($BM382="-&gt;",$BX382,$BL382)))</f>
        <v/>
      </c>
      <c r="CN382" s="93" t="str">
        <f aca="false">IF(ISBLANK($C382),"",IF($BZ382&lt;&gt;Constants!$B$8,$BZ382,IF(ISNUMBER($CM382),RANK($CM382,$CM$9:$CM$508,1),COUNT($CM$9:$CM$508)+1)))</f>
        <v/>
      </c>
      <c r="CO382" s="93" t="str">
        <f aca="false">IF(ISBLANK($C382),"",IF($BZ382&lt;&gt;Constants!$B$8,$BZ382,COUNTIFS($CF$9:$CF$508,"&lt;"&amp;$CF382)+COUNTIFS($CF$9:$CF$508,$CF382,$CH$9:$CH$508,"&lt;"&amp;$CH382)+COUNTIFS($CF$9:$CF$508,$CF382,$CH$9:$CH$508,$CH382,$CJ$9:$CJ$508,"&lt;"&amp;$CJ382)+COUNTIFS($CF$9:$CF$508,$CF382,$CH$9:$CH$508,$CH382,$CJ$9:$CJ$508,$CJ382,$CL$9:$CL$508,"&lt;"&amp;$CL382)+COUNTIFS($CF$9:$CF$508,$CF382,$CH$9:$CH$508,$CH382,$CJ$9:$CJ$508,$CJ382,$CL$9:$CL$508,$CL382,$CN$9:$CN$508,"&lt;"&amp;$CN382)+1))</f>
        <v/>
      </c>
      <c r="CP382" s="93" t="str">
        <f aca="false">IF(ISBLANK($C382),"",IF($BZ382&lt;&gt;Constants!$B$8,$BZ382,$CF382-$CO382))</f>
        <v/>
      </c>
      <c r="CQ382" s="100"/>
      <c r="CR382" s="101"/>
      <c r="CS382" s="102" t="str">
        <f aca="false">IF(ISBLANK($C382),"",IF($BZ382=Constants!$B$12,$BY382,""))</f>
        <v/>
      </c>
      <c r="CT382" s="101" t="str">
        <f aca="false">IF(ISBLANK($C382),"",IF($BZ382&lt;&gt;Constants!$B$8,"",IF($BM382="-&gt;",2,1)))</f>
        <v/>
      </c>
      <c r="CU382" s="103" t="str">
        <f aca="false">IF(ISBLANK($C382),"",IF($BZ382&lt;&gt;Constants!$B$8,"",IF($BM382="-&gt;",$BO382,$BC382)))</f>
        <v/>
      </c>
      <c r="CV382" s="103" t="str">
        <f aca="false">IF(ISBLANK($C382),"",IF($BZ382&lt;&gt;Constants!$B$8,"",IF($BM382="-&gt;",$BP382,$BD382)))</f>
        <v/>
      </c>
      <c r="CW382" s="103" t="str">
        <f aca="false">IF(ISBLANK($C382),"",IF($BZ382&lt;&gt;Constants!$B$8,"",IF($BM382="-&gt;",$BQ382+$BR382,$BE382+$BF382)+$CD382))</f>
        <v/>
      </c>
      <c r="CX382" s="103" t="str">
        <f aca="false">IF(ISBLANK($C382),"",IF($BZ382&lt;&gt;Constants!$B$8,"",IF($BM382="-&gt;",$BS382,$BG382)+$CC382))</f>
        <v/>
      </c>
      <c r="CY382" s="104" t="str">
        <f aca="false">IF(ISBLANK($C382),"",IF($BZ382&lt;&gt;Constants!$B$8,$BZ382,$CE382))</f>
        <v/>
      </c>
      <c r="CZ382" s="105" t="str">
        <f aca="false">IF(ISBLANK($C382),"",$CA382)</f>
        <v/>
      </c>
      <c r="DA382" s="106" t="str">
        <f aca="false">IF(ISBLANK($C382),"",$CP382)</f>
        <v/>
      </c>
      <c r="DB382" s="106" t="str">
        <f aca="false">IF(ISBLANK($C382),"",$CO382)</f>
        <v/>
      </c>
      <c r="DC382" s="107" t="str">
        <f aca="false">IF(ISBLANK($C382),"",IFERROR(_xlfn.SWITCH($DB382,Constants!$B$11,COUNTA($C$9:$C$508)+2,Constants!$B$10,COUNTA($C$9:$C$508)+1,Constants!$B$9,COUNTA($C$9:$C$508)),$DB382))</f>
        <v/>
      </c>
      <c r="DD382" s="9"/>
      <c r="DE382" s="108" t="n">
        <f aca="false">IF(OR(ISNUMBER($DB382),$DB382=Constants!$B$11,$DB382=Constants!$B$9,$DB382=Constants!$B$10),1,0)</f>
        <v>0</v>
      </c>
      <c r="DF382" s="108" t="n">
        <v>374</v>
      </c>
      <c r="DG382" s="108" t="str">
        <f aca="false">IF(ISBLANK($C382),"",IF(ISNUMBER($DC382),$DC382+ROW($B382)/1000,""))</f>
        <v/>
      </c>
      <c r="DH382" s="108" t="str">
        <f aca="false">IF(ISNUMBER($DG382),RANK($DG382,$DG$9:$DG$508,1),"")</f>
        <v/>
      </c>
      <c r="DI382" s="108" t="str">
        <f aca="false">IF(ISBLANK($C382),"",$B382)</f>
        <v/>
      </c>
      <c r="DJ382" s="108" t="str">
        <f aca="false">IF(ISBLANK($C382),"",$C382)</f>
        <v/>
      </c>
      <c r="DK382" s="108" t="str">
        <f aca="false">IF(ISBLANK($C382),"",$D382)</f>
        <v/>
      </c>
      <c r="DL382" s="109" t="str">
        <f aca="false">$CZ382</f>
        <v/>
      </c>
      <c r="DM382" s="110" t="str">
        <f aca="false">$CY382</f>
        <v/>
      </c>
      <c r="DN382" s="108" t="str">
        <f aca="false">IF(ISBLANK($C382),"",$DB382)</f>
        <v/>
      </c>
      <c r="DO382" s="111" t="str">
        <f aca="false">IF($DF382&gt;$DE$8,"",VLOOKUP($DF382,$DH$9:$DN$508,7,FALSE()))</f>
        <v/>
      </c>
      <c r="DP382" s="112" t="str">
        <f aca="false">IF($DF382&gt;$DE$8,"",VLOOKUP($DF382,$DH$9:$DN$508,2,FALSE()))</f>
        <v/>
      </c>
      <c r="DQ382" s="112" t="str">
        <f aca="false">IF($DF382&gt;$DE$8,"",VLOOKUP($DF382,$DH$9:$DN$508,3,FALSE()))</f>
        <v/>
      </c>
      <c r="DR382" s="112" t="str">
        <f aca="false">IF($DF382&gt;$DE$8,"",VLOOKUP($DF382,$DH$9:$DN$508,4,FALSE()))</f>
        <v/>
      </c>
      <c r="DS382" s="112" t="str">
        <f aca="false">IF($DF382&gt;$DE$8,"",VLOOKUP($DF382,$DH$9:$DN$508,5,FALSE()))</f>
        <v/>
      </c>
      <c r="DT382" s="113" t="str">
        <f aca="false">IF($DF382&gt;$DE$8,"",VLOOKUP($DF382,$DH$9:$DN$508,6,FALSE()))</f>
        <v/>
      </c>
      <c r="DU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IF(ISBLANK($C383),"",IF(E383=Constants!$B$3,TRUE(),IF(E383=Constants!$B$4,FALSE(),TRUE())))</f>
        <v/>
      </c>
      <c r="AG383" s="93" t="str">
        <f aca="false">IF(ISBLANK($C383),"",IF(F383=Constants!$B$3,TRUE(),IF(F383=Constants!$B$4,FALSE(),TRUE())))</f>
        <v/>
      </c>
      <c r="AH383" s="93" t="str">
        <f aca="false">IF(ISBLANK($C383),"",IF(G383=Constants!$B$3,TRUE(),IF(G383=Constants!$B$4,FALSE(),TRUE())))</f>
        <v/>
      </c>
      <c r="AI383" s="93" t="str">
        <f aca="false">IF(ISBLANK($C383),"",IF(AND(ISNUMBER(H383),H383&gt;=0),H383,Constants!$B$29))</f>
        <v/>
      </c>
      <c r="AJ383" s="93" t="str">
        <f aca="false">IF(ISBLANK($C383),"",IF(I383=Constants!$B$3,TRUE(),IF(I383=Constants!$B$4,FALSE(),TRUE())))</f>
        <v/>
      </c>
      <c r="AK383" s="93" t="str">
        <f aca="false">IF(ISBLANK($C383),"",IF(J383=Constants!$B$3,TRUE(),IF(J383=Constants!$B$4,FALSE(),TRUE())))</f>
        <v/>
      </c>
      <c r="AL383" s="93" t="str">
        <f aca="false">IF(ISBLANK($C383),"",IF(K383=Constants!$B$5,TRUE(),IF(K383=Constants!$B$6,FALSE(),COUNTA(L383:P383)&gt;0)))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IF(ISBLANK($C383),"",IF(N383=Constants!$B$3,TRUE(),IF(N383=Constants!$B$4,FALSE(),TRUE())))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IF(ISBLANK($C383),"",IF(P383=Constants!$B$3,TRUE(),IF(P383=Constants!$B$4,FALSE(),FALSE())))</f>
        <v/>
      </c>
      <c r="AR383" s="93" t="str">
        <f aca="false">IF(ISBLANK($C383),"",IF(Q383=Constants!$B$3,TRUE(),IF(Q383=Constants!$B$4,FALSE(),TRUE())))</f>
        <v/>
      </c>
      <c r="AS383" s="93" t="str">
        <f aca="false">IF(ISBLANK($C383),"",IF(R383=Constants!$B$3,TRUE(),IF(R383=Constants!$B$4,FALSE(),TRUE())))</f>
        <v/>
      </c>
      <c r="AT383" s="93" t="str">
        <f aca="false">IF(ISBLANK($C383),"",IF(S383=Constants!$B$5,TRUE(),IF(S383=Constants!$B$6,FALSE(),COUNTA(T383:X383)&gt;0)))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IF(ISBLANK($C383),"",IF(V383=Constants!$B$3,TRUE(),IF(V383=Constants!$B$4,FALSE(),TRUE())))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IF(ISBLANK($C383),"",IF(X383=Constants!$B$3,TRUE(),IF(X383=Constants!$B$4,FALSE(),FALSE())))</f>
        <v/>
      </c>
      <c r="AZ383" s="93" t="str">
        <f aca="false">IF(ISBLANK($C383),"",MIN(Constants!$B$31,MAX(0,IF(ISNUMBER(Y383),Y383*60,0)+IF(ISNUMBER(Z383),Z383,0))))</f>
        <v/>
      </c>
      <c r="BA383" s="93" t="str">
        <f aca="false">IF(ISBLANK($C383),"",IF(AA383=Constants!$B$3,TRUE(),IF(AA383=Constants!$B$4,FALSE(),FALSE())))</f>
        <v/>
      </c>
      <c r="BB383" s="92" t="str">
        <f aca="false">IF(ISBLANK($C383),"",AND($AL383,OR($AM383="",$AN383="",AND($AO383,$AP383=""))))</f>
        <v/>
      </c>
      <c r="BC383" s="94" t="str">
        <f aca="false">IF($BZ383&lt;&gt;Constants!$B$8,"",IF($AL383,Constants!$B$21*$AN383+Constants!$B$22*IF($AO383,$AP383,Constants!$B$23),Constants!$B$24))</f>
        <v/>
      </c>
      <c r="BD383" s="97" t="str">
        <f aca="false">IF($BZ383&lt;&gt;Constants!$B$8,"",Constants!$B$25*ABS($AD$9-IF($AL383,$AM383,0)))</f>
        <v/>
      </c>
      <c r="BE383" s="97" t="str">
        <f aca="false">IF($BZ383&lt;&gt;Constants!$B$8,"",IF(AND($AL383,$AQ383,$AO383),Constants!$B$27,0))</f>
        <v/>
      </c>
      <c r="BF383" s="97" t="str">
        <f aca="false">IF($BZ383&lt;&gt;Constants!$B$8,"",IF($AL383,($AI383-Constants!$B$29)*Constants!$B$28,0))</f>
        <v/>
      </c>
      <c r="BG383" s="97" t="str">
        <f aca="false">IF($BZ383&lt;&gt;Constants!$B$8,"",IF($AK383,0,Constants!$B$15)+IF($AJ383,0,Constants!$B$16)+IF($AH383,0,Constants!$B$17))</f>
        <v/>
      </c>
      <c r="BH383" s="98" t="str">
        <f aca="false">IF($BZ383&lt;&gt;Constants!$B$8,"",Constants!$B$20+SUM($BC383:$BG383))</f>
        <v/>
      </c>
      <c r="BI383" s="97" t="str">
        <f aca="false">IF($BZ383&lt;&gt;Constants!$B$8,"",$BC383)</f>
        <v/>
      </c>
      <c r="BJ383" s="97" t="str">
        <f aca="false">IF($BZ383&lt;&gt;Constants!$B$8,"",$BD383)</f>
        <v/>
      </c>
      <c r="BK383" s="97" t="str">
        <f aca="false">IF($BZ383&lt;&gt;Constants!$B$8,"",IF($AL383,$AN383,""))</f>
        <v/>
      </c>
      <c r="BL383" s="99" t="str">
        <f aca="false">IF($BZ383&lt;&gt;Constants!$B$8,"",$AI383)</f>
        <v/>
      </c>
      <c r="BM383" s="93" t="str">
        <f aca="false">IF($BZ383&lt;&gt;Constants!$B$8,"",IF(OR($BT383&lt;$BH383,AND($BT383=$BH383,OR($BU383&lt;$BI383,AND($BU383=$BI383,OR($BV383&lt;$BJ383,AND($BV383=$BJ383,OR(AND(ISNUMBER($BW383),OR(NOT(ISNUMBER($BK383)),$BW383&lt;$BK383)),AND(OR(AND($BW383="",$BK383=""),AND(ISNUMBER($BW383),ISNUMBER($BK383),$BW383=$BK383)),$BX383&lt;$BL383)))))))),"-&gt;","&lt;-"))</f>
        <v/>
      </c>
      <c r="BN383" s="92" t="str">
        <f aca="false">IF(ISBLANK($C383),"",AND($AT383,OR($AU383="",$AV383="",AND($AW383,$AX383=""))))</f>
        <v/>
      </c>
      <c r="BO383" s="94" t="str">
        <f aca="false">IF($BZ383&lt;&gt;Constants!$B$8,"",IF($AT383,Constants!$B$21*$AV383+Constants!$B$22*IF($AW383,$AX383,Constants!$B$23),Constants!$B$24))</f>
        <v/>
      </c>
      <c r="BP383" s="97" t="str">
        <f aca="false">IF($BZ383&lt;&gt;Constants!$B$8,"",Constants!$B$25*ABS($AD$9-IF($AT383,$AU383,0)))</f>
        <v/>
      </c>
      <c r="BQ383" s="97" t="str">
        <f aca="false">IF($BZ383&lt;&gt;Constants!$B$8,"",IF(AND($AT383,$AY383,$AW383),Constants!$B$27,0))</f>
        <v/>
      </c>
      <c r="BR383" s="97" t="str">
        <f aca="false">IF($BZ383&lt;&gt;Constants!$B$8,"",IF($AT383,($AI383-Constants!$B$29)*Constants!$B$28,0))</f>
        <v/>
      </c>
      <c r="BS383" s="97" t="str">
        <f aca="false">IF($BZ383&lt;&gt;Constants!$B$8,"",IF($AS383,0,Constants!$B$15)+IF($AR383,0,Constants!$B$16)+IF($AH383,0,Constants!$B$17))</f>
        <v/>
      </c>
      <c r="BT383" s="98" t="str">
        <f aca="false">IF($BZ383&lt;&gt;Constants!$B$8,"",Constants!$B$20+SUM($BO383:$BS383))</f>
        <v/>
      </c>
      <c r="BU383" s="97" t="str">
        <f aca="false">IF($BZ383&lt;&gt;Constants!$B$8,"",$BO383)</f>
        <v/>
      </c>
      <c r="BV383" s="97" t="str">
        <f aca="false">IF($BZ383&lt;&gt;Constants!$B$8,"",$BP383)</f>
        <v/>
      </c>
      <c r="BW383" s="97" t="str">
        <f aca="false">IF($BZ383&lt;&gt;Constants!$B$8,"",IF($AT383,$AV383,""))</f>
        <v/>
      </c>
      <c r="BX383" s="99" t="str">
        <f aca="false">IF($BZ383&lt;&gt;Constants!$B$8,"",$AI383)</f>
        <v/>
      </c>
      <c r="BY383" s="93" t="str">
        <f aca="false">IF(ISBLANK($C383),"",IF(ISBLANK($D$7),$BY$5,IF(NOT(ISNUMBER($D$7)),$BY$6,"")))</f>
        <v/>
      </c>
      <c r="BZ383" s="93" t="str">
        <f aca="false">IF(ISBLANK($C383),"",IF($BA383,Constants!$B$11,IF(COUNTA($E383:$AA383)=0,Constants!$B$10,IF(NOT($AG383),Constants!$B$9,IF(OR($BY383&lt;&gt;"",$BB383,$BN383),Constants!$B$12,Constants!$B$8)))))</f>
        <v/>
      </c>
      <c r="CA383" s="93" t="str">
        <f aca="false">IF(ISBLANK($C383),"",IF($BZ383&lt;&gt;Constants!$B$8,$BZ383,Constants!$B$13))</f>
        <v/>
      </c>
      <c r="CB383" s="97" t="str">
        <f aca="false">IF($BZ383&lt;&gt;Constants!$B$8,"",IF($BM383="-&gt;",$BT383,$BH383))</f>
        <v/>
      </c>
      <c r="CC383" s="97" t="str">
        <f aca="false">IF($BZ383&lt;&gt;Constants!$B$8,"",IF($AF383,0,Constants!$B$18))</f>
        <v/>
      </c>
      <c r="CD383" s="97" t="str">
        <f aca="false">IF($BZ383&lt;&gt;Constants!$B$8,"",((Constants!$B$31-$AZ383)-Constants!$B$31)/Constants!$B$32)</f>
        <v/>
      </c>
      <c r="CE383" s="97" t="str">
        <f aca="false">IF(ISBLANK($C383),"",IF($BZ383&lt;&gt;Constants!$B$8,$BZ383,SUM($CB383:$CD383)))</f>
        <v/>
      </c>
      <c r="CF383" s="93" t="str">
        <f aca="false">IF(ISBLANK($C383),"",IF($BZ383&lt;&gt;Constants!$B$8,$BZ383,RANK($CE383,$CE$9:$CE$508,1)))</f>
        <v/>
      </c>
      <c r="CG383" s="97" t="str">
        <f aca="false">IF($BZ383&lt;&gt;Constants!$B$8,"",IF($BM383="-&gt;",$BU383,$BI383))</f>
        <v/>
      </c>
      <c r="CH383" s="93" t="str">
        <f aca="false">IF(ISBLANK($C383),"",IF($BZ383&lt;&gt;Constants!$B$8,$BZ383,IF(ISNUMBER($CG383),RANK($CG383,$CG$9:$CG$508,1),COUNT($CG$9:$CG$508)+1)))</f>
        <v/>
      </c>
      <c r="CI383" s="97" t="str">
        <f aca="false">IF($BZ383&lt;&gt;Constants!$B$8,"",IF($BM383="-&gt;",$BV383,$BJ383))</f>
        <v/>
      </c>
      <c r="CJ383" s="93" t="str">
        <f aca="false">IF(ISBLANK($C383),"",IF($BZ383&lt;&gt;Constants!$B$8,$BZ383,IF(ISNUMBER($CI383),RANK($CI383,$CI$9:$CI$508,1),COUNT($CI$9:$CI$508)+1)))</f>
        <v/>
      </c>
      <c r="CK383" s="97" t="str">
        <f aca="false">IF($BZ383&lt;&gt;Constants!$B$8,"",IF($BM383="-&gt;",$BW383,$BK383))</f>
        <v/>
      </c>
      <c r="CL383" s="93" t="str">
        <f aca="false">IF(ISBLANK($C383),"",IF($BZ383&lt;&gt;Constants!$B$8,$BZ383,IF(ISNUMBER($CK383),RANK($CK383,$CK$9:$CK$508,1),COUNT($CK$9:$CK$508)+1)))</f>
        <v/>
      </c>
      <c r="CM383" s="97" t="str">
        <f aca="false">IF($BZ383&lt;&gt;Constants!$B$8,"",IF(AND(NOT($AL383),NOT($AT383),$AJ383,$AK383,$AR383,$AS383),"",IF($BM383="-&gt;",$BX383,$BL383)))</f>
        <v/>
      </c>
      <c r="CN383" s="93" t="str">
        <f aca="false">IF(ISBLANK($C383),"",IF($BZ383&lt;&gt;Constants!$B$8,$BZ383,IF(ISNUMBER($CM383),RANK($CM383,$CM$9:$CM$508,1),COUNT($CM$9:$CM$508)+1)))</f>
        <v/>
      </c>
      <c r="CO383" s="93" t="str">
        <f aca="false">IF(ISBLANK($C383),"",IF($BZ383&lt;&gt;Constants!$B$8,$BZ383,COUNTIFS($CF$9:$CF$508,"&lt;"&amp;$CF383)+COUNTIFS($CF$9:$CF$508,$CF383,$CH$9:$CH$508,"&lt;"&amp;$CH383)+COUNTIFS($CF$9:$CF$508,$CF383,$CH$9:$CH$508,$CH383,$CJ$9:$CJ$508,"&lt;"&amp;$CJ383)+COUNTIFS($CF$9:$CF$508,$CF383,$CH$9:$CH$508,$CH383,$CJ$9:$CJ$508,$CJ383,$CL$9:$CL$508,"&lt;"&amp;$CL383)+COUNTIFS($CF$9:$CF$508,$CF383,$CH$9:$CH$508,$CH383,$CJ$9:$CJ$508,$CJ383,$CL$9:$CL$508,$CL383,$CN$9:$CN$508,"&lt;"&amp;$CN383)+1))</f>
        <v/>
      </c>
      <c r="CP383" s="93" t="str">
        <f aca="false">IF(ISBLANK($C383),"",IF($BZ383&lt;&gt;Constants!$B$8,$BZ383,$CF383-$CO383))</f>
        <v/>
      </c>
      <c r="CQ383" s="100"/>
      <c r="CR383" s="101"/>
      <c r="CS383" s="102" t="str">
        <f aca="false">IF(ISBLANK($C383),"",IF($BZ383=Constants!$B$12,$BY383,""))</f>
        <v/>
      </c>
      <c r="CT383" s="101" t="str">
        <f aca="false">IF(ISBLANK($C383),"",IF($BZ383&lt;&gt;Constants!$B$8,"",IF($BM383="-&gt;",2,1)))</f>
        <v/>
      </c>
      <c r="CU383" s="103" t="str">
        <f aca="false">IF(ISBLANK($C383),"",IF($BZ383&lt;&gt;Constants!$B$8,"",IF($BM383="-&gt;",$BO383,$BC383)))</f>
        <v/>
      </c>
      <c r="CV383" s="103" t="str">
        <f aca="false">IF(ISBLANK($C383),"",IF($BZ383&lt;&gt;Constants!$B$8,"",IF($BM383="-&gt;",$BP383,$BD383)))</f>
        <v/>
      </c>
      <c r="CW383" s="103" t="str">
        <f aca="false">IF(ISBLANK($C383),"",IF($BZ383&lt;&gt;Constants!$B$8,"",IF($BM383="-&gt;",$BQ383+$BR383,$BE383+$BF383)+$CD383))</f>
        <v/>
      </c>
      <c r="CX383" s="103" t="str">
        <f aca="false">IF(ISBLANK($C383),"",IF($BZ383&lt;&gt;Constants!$B$8,"",IF($BM383="-&gt;",$BS383,$BG383)+$CC383))</f>
        <v/>
      </c>
      <c r="CY383" s="104" t="str">
        <f aca="false">IF(ISBLANK($C383),"",IF($BZ383&lt;&gt;Constants!$B$8,$BZ383,$CE383))</f>
        <v/>
      </c>
      <c r="CZ383" s="105" t="str">
        <f aca="false">IF(ISBLANK($C383),"",$CA383)</f>
        <v/>
      </c>
      <c r="DA383" s="106" t="str">
        <f aca="false">IF(ISBLANK($C383),"",$CP383)</f>
        <v/>
      </c>
      <c r="DB383" s="106" t="str">
        <f aca="false">IF(ISBLANK($C383),"",$CO383)</f>
        <v/>
      </c>
      <c r="DC383" s="107" t="str">
        <f aca="false">IF(ISBLANK($C383),"",IFERROR(_xlfn.SWITCH($DB383,Constants!$B$11,COUNTA($C$9:$C$508)+2,Constants!$B$10,COUNTA($C$9:$C$508)+1,Constants!$B$9,COUNTA($C$9:$C$508)),$DB383))</f>
        <v/>
      </c>
      <c r="DD383" s="9"/>
      <c r="DE383" s="108" t="n">
        <f aca="false">IF(OR(ISNUMBER($DB383),$DB383=Constants!$B$11,$DB383=Constants!$B$9,$DB383=Constants!$B$10),1,0)</f>
        <v>0</v>
      </c>
      <c r="DF383" s="108" t="n">
        <v>375</v>
      </c>
      <c r="DG383" s="108" t="str">
        <f aca="false">IF(ISBLANK($C383),"",IF(ISNUMBER($DC383),$DC383+ROW($B383)/1000,""))</f>
        <v/>
      </c>
      <c r="DH383" s="108" t="str">
        <f aca="false">IF(ISNUMBER($DG383),RANK($DG383,$DG$9:$DG$508,1),"")</f>
        <v/>
      </c>
      <c r="DI383" s="108" t="str">
        <f aca="false">IF(ISBLANK($C383),"",$B383)</f>
        <v/>
      </c>
      <c r="DJ383" s="108" t="str">
        <f aca="false">IF(ISBLANK($C383),"",$C383)</f>
        <v/>
      </c>
      <c r="DK383" s="108" t="str">
        <f aca="false">IF(ISBLANK($C383),"",$D383)</f>
        <v/>
      </c>
      <c r="DL383" s="109" t="str">
        <f aca="false">$CZ383</f>
        <v/>
      </c>
      <c r="DM383" s="110" t="str">
        <f aca="false">$CY383</f>
        <v/>
      </c>
      <c r="DN383" s="108" t="str">
        <f aca="false">IF(ISBLANK($C383),"",$DB383)</f>
        <v/>
      </c>
      <c r="DO383" s="111" t="str">
        <f aca="false">IF($DF383&gt;$DE$8,"",VLOOKUP($DF383,$DH$9:$DN$508,7,FALSE()))</f>
        <v/>
      </c>
      <c r="DP383" s="112" t="str">
        <f aca="false">IF($DF383&gt;$DE$8,"",VLOOKUP($DF383,$DH$9:$DN$508,2,FALSE()))</f>
        <v/>
      </c>
      <c r="DQ383" s="112" t="str">
        <f aca="false">IF($DF383&gt;$DE$8,"",VLOOKUP($DF383,$DH$9:$DN$508,3,FALSE()))</f>
        <v/>
      </c>
      <c r="DR383" s="112" t="str">
        <f aca="false">IF($DF383&gt;$DE$8,"",VLOOKUP($DF383,$DH$9:$DN$508,4,FALSE()))</f>
        <v/>
      </c>
      <c r="DS383" s="112" t="str">
        <f aca="false">IF($DF383&gt;$DE$8,"",VLOOKUP($DF383,$DH$9:$DN$508,5,FALSE()))</f>
        <v/>
      </c>
      <c r="DT383" s="113" t="str">
        <f aca="false">IF($DF383&gt;$DE$8,"",VLOOKUP($DF383,$DH$9:$DN$508,6,FALSE()))</f>
        <v/>
      </c>
      <c r="DU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IF(ISBLANK($C384),"",IF(E384=Constants!$B$3,TRUE(),IF(E384=Constants!$B$4,FALSE(),TRUE())))</f>
        <v/>
      </c>
      <c r="AG384" s="135" t="str">
        <f aca="false">IF(ISBLANK($C384),"",IF(F384=Constants!$B$3,TRUE(),IF(F384=Constants!$B$4,FALSE(),TRUE())))</f>
        <v/>
      </c>
      <c r="AH384" s="135" t="str">
        <f aca="false">IF(ISBLANK($C384),"",IF(G384=Constants!$B$3,TRUE(),IF(G384=Constants!$B$4,FALSE(),TRUE())))</f>
        <v/>
      </c>
      <c r="AI384" s="135" t="str">
        <f aca="false">IF(ISBLANK($C384),"",IF(AND(ISNUMBER(H384),H384&gt;=0),H384,Constants!$B$29))</f>
        <v/>
      </c>
      <c r="AJ384" s="135" t="str">
        <f aca="false">IF(ISBLANK($C384),"",IF(I384=Constants!$B$3,TRUE(),IF(I384=Constants!$B$4,FALSE(),TRUE())))</f>
        <v/>
      </c>
      <c r="AK384" s="135" t="str">
        <f aca="false">IF(ISBLANK($C384),"",IF(J384=Constants!$B$3,TRUE(),IF(J384=Constants!$B$4,FALSE(),TRUE())))</f>
        <v/>
      </c>
      <c r="AL384" s="135" t="str">
        <f aca="false">IF(ISBLANK($C384),"",IF(K384=Constants!$B$5,TRUE(),IF(K384=Constants!$B$6,FALSE(),COUNTA(L384:P384)&gt;0)))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IF(ISBLANK($C384),"",IF(N384=Constants!$B$3,TRUE(),IF(N384=Constants!$B$4,FALSE(),TRUE())))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IF(ISBLANK($C384),"",IF(P384=Constants!$B$3,TRUE(),IF(P384=Constants!$B$4,FALSE(),FALSE())))</f>
        <v/>
      </c>
      <c r="AR384" s="135" t="str">
        <f aca="false">IF(ISBLANK($C384),"",IF(Q384=Constants!$B$3,TRUE(),IF(Q384=Constants!$B$4,FALSE(),TRUE())))</f>
        <v/>
      </c>
      <c r="AS384" s="135" t="str">
        <f aca="false">IF(ISBLANK($C384),"",IF(R384=Constants!$B$3,TRUE(),IF(R384=Constants!$B$4,FALSE(),TRUE())))</f>
        <v/>
      </c>
      <c r="AT384" s="135" t="str">
        <f aca="false">IF(ISBLANK($C384),"",IF(S384=Constants!$B$5,TRUE(),IF(S384=Constants!$B$6,FALSE(),COUNTA(T384:X384)&gt;0)))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IF(ISBLANK($C384),"",IF(V384=Constants!$B$3,TRUE(),IF(V384=Constants!$B$4,FALSE(),TRUE())))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IF(ISBLANK($C384),"",IF(X384=Constants!$B$3,TRUE(),IF(X384=Constants!$B$4,FALSE(),FALSE())))</f>
        <v/>
      </c>
      <c r="AZ384" s="135" t="str">
        <f aca="false">IF(ISBLANK($C384),"",MIN(Constants!$B$31,MAX(0,IF(ISNUMBER(Y384),Y384*60,0)+IF(ISNUMBER(Z384),Z384,0))))</f>
        <v/>
      </c>
      <c r="BA384" s="135" t="str">
        <f aca="false">IF(ISBLANK($C384),"",IF(AA384=Constants!$B$3,TRUE(),IF(AA384=Constants!$B$4,FALSE(),FALSE())))</f>
        <v/>
      </c>
      <c r="BB384" s="134" t="str">
        <f aca="false">IF(ISBLANK($C384),"",AND($AL384,OR($AM384="",$AN384="",AND($AO384,$AP384=""))))</f>
        <v/>
      </c>
      <c r="BC384" s="137" t="str">
        <f aca="false">IF($BZ384&lt;&gt;Constants!$B$8,"",IF($AL384,Constants!$B$21*$AN384+Constants!$B$22*IF($AO384,$AP384,Constants!$B$23),Constants!$B$24))</f>
        <v/>
      </c>
      <c r="BD384" s="138" t="str">
        <f aca="false">IF($BZ384&lt;&gt;Constants!$B$8,"",Constants!$B$25*ABS($AD$9-IF($AL384,$AM384,0)))</f>
        <v/>
      </c>
      <c r="BE384" s="138" t="str">
        <f aca="false">IF($BZ384&lt;&gt;Constants!$B$8,"",IF(AND($AL384,$AQ384,$AO384),Constants!$B$27,0))</f>
        <v/>
      </c>
      <c r="BF384" s="138" t="str">
        <f aca="false">IF($BZ384&lt;&gt;Constants!$B$8,"",IF($AL384,($AI384-Constants!$B$29)*Constants!$B$28,0))</f>
        <v/>
      </c>
      <c r="BG384" s="138" t="str">
        <f aca="false">IF($BZ384&lt;&gt;Constants!$B$8,"",IF($AK384,0,Constants!$B$15)+IF($AJ384,0,Constants!$B$16)+IF($AH384,0,Constants!$B$17))</f>
        <v/>
      </c>
      <c r="BH384" s="139" t="str">
        <f aca="false">IF($BZ384&lt;&gt;Constants!$B$8,"",Constants!$B$20+SUM($BC384:$BG384))</f>
        <v/>
      </c>
      <c r="BI384" s="138" t="str">
        <f aca="false">IF($BZ384&lt;&gt;Constants!$B$8,"",$BC384)</f>
        <v/>
      </c>
      <c r="BJ384" s="138" t="str">
        <f aca="false">IF($BZ384&lt;&gt;Constants!$B$8,"",$BD384)</f>
        <v/>
      </c>
      <c r="BK384" s="138" t="str">
        <f aca="false">IF($BZ384&lt;&gt;Constants!$B$8,"",IF($AL384,$AN384,""))</f>
        <v/>
      </c>
      <c r="BL384" s="140" t="str">
        <f aca="false">IF($BZ384&lt;&gt;Constants!$B$8,"",$AI384)</f>
        <v/>
      </c>
      <c r="BM384" s="135" t="str">
        <f aca="false">IF($BZ384&lt;&gt;Constants!$B$8,"",IF(OR($BT384&lt;$BH384,AND($BT384=$BH384,OR($BU384&lt;$BI384,AND($BU384=$BI384,OR($BV384&lt;$BJ384,AND($BV384=$BJ384,OR(AND(ISNUMBER($BW384),OR(NOT(ISNUMBER($BK384)),$BW384&lt;$BK384)),AND(OR(AND($BW384="",$BK384=""),AND(ISNUMBER($BW384),ISNUMBER($BK384),$BW384=$BK384)),$BX384&lt;$BL384)))))))),"-&gt;","&lt;-"))</f>
        <v/>
      </c>
      <c r="BN384" s="134" t="str">
        <f aca="false">IF(ISBLANK($C384),"",AND($AT384,OR($AU384="",$AV384="",AND($AW384,$AX384=""))))</f>
        <v/>
      </c>
      <c r="BO384" s="137" t="str">
        <f aca="false">IF($BZ384&lt;&gt;Constants!$B$8,"",IF($AT384,Constants!$B$21*$AV384+Constants!$B$22*IF($AW384,$AX384,Constants!$B$23),Constants!$B$24))</f>
        <v/>
      </c>
      <c r="BP384" s="138" t="str">
        <f aca="false">IF($BZ384&lt;&gt;Constants!$B$8,"",Constants!$B$25*ABS($AD$9-IF($AT384,$AU384,0)))</f>
        <v/>
      </c>
      <c r="BQ384" s="138" t="str">
        <f aca="false">IF($BZ384&lt;&gt;Constants!$B$8,"",IF(AND($AT384,$AY384,$AW384),Constants!$B$27,0))</f>
        <v/>
      </c>
      <c r="BR384" s="138" t="str">
        <f aca="false">IF($BZ384&lt;&gt;Constants!$B$8,"",IF($AT384,($AI384-Constants!$B$29)*Constants!$B$28,0))</f>
        <v/>
      </c>
      <c r="BS384" s="138" t="str">
        <f aca="false">IF($BZ384&lt;&gt;Constants!$B$8,"",IF($AS384,0,Constants!$B$15)+IF($AR384,0,Constants!$B$16)+IF($AH384,0,Constants!$B$17))</f>
        <v/>
      </c>
      <c r="BT384" s="139" t="str">
        <f aca="false">IF($BZ384&lt;&gt;Constants!$B$8,"",Constants!$B$20+SUM($BO384:$BS384))</f>
        <v/>
      </c>
      <c r="BU384" s="138" t="str">
        <f aca="false">IF($BZ384&lt;&gt;Constants!$B$8,"",$BO384)</f>
        <v/>
      </c>
      <c r="BV384" s="138" t="str">
        <f aca="false">IF($BZ384&lt;&gt;Constants!$B$8,"",$BP384)</f>
        <v/>
      </c>
      <c r="BW384" s="138" t="str">
        <f aca="false">IF($BZ384&lt;&gt;Constants!$B$8,"",IF($AT384,$AV384,""))</f>
        <v/>
      </c>
      <c r="BX384" s="140" t="str">
        <f aca="false">IF($BZ384&lt;&gt;Constants!$B$8,"",$AI384)</f>
        <v/>
      </c>
      <c r="BY384" s="135" t="str">
        <f aca="false">IF(ISBLANK($C384),"",IF(ISBLANK($D$7),$BY$5,IF(NOT(ISNUMBER($D$7)),$BY$6,"")))</f>
        <v/>
      </c>
      <c r="BZ384" s="135" t="str">
        <f aca="false">IF(ISBLANK($C384),"",IF($BA384,Constants!$B$11,IF(COUNTA($E384:$AA384)=0,Constants!$B$10,IF(NOT($AG384),Constants!$B$9,IF(OR($BY384&lt;&gt;"",$BB384,$BN384),Constants!$B$12,Constants!$B$8)))))</f>
        <v/>
      </c>
      <c r="CA384" s="135" t="str">
        <f aca="false">IF(ISBLANK($C384),"",IF($BZ384&lt;&gt;Constants!$B$8,$BZ384,Constants!$B$13))</f>
        <v/>
      </c>
      <c r="CB384" s="138" t="str">
        <f aca="false">IF($BZ384&lt;&gt;Constants!$B$8,"",IF($BM384="-&gt;",$BT384,$BH384))</f>
        <v/>
      </c>
      <c r="CC384" s="138" t="str">
        <f aca="false">IF($BZ384&lt;&gt;Constants!$B$8,"",IF($AF384,0,Constants!$B$18))</f>
        <v/>
      </c>
      <c r="CD384" s="138" t="str">
        <f aca="false">IF($BZ384&lt;&gt;Constants!$B$8,"",((Constants!$B$31-$AZ384)-Constants!$B$31)/Constants!$B$32)</f>
        <v/>
      </c>
      <c r="CE384" s="138" t="str">
        <f aca="false">IF(ISBLANK($C384),"",IF($BZ384&lt;&gt;Constants!$B$8,$BZ384,SUM($CB384:$CD384)))</f>
        <v/>
      </c>
      <c r="CF384" s="135" t="str">
        <f aca="false">IF(ISBLANK($C384),"",IF($BZ384&lt;&gt;Constants!$B$8,$BZ384,RANK($CE384,$CE$9:$CE$508,1)))</f>
        <v/>
      </c>
      <c r="CG384" s="138" t="str">
        <f aca="false">IF($BZ384&lt;&gt;Constants!$B$8,"",IF($BM384="-&gt;",$BU384,$BI384))</f>
        <v/>
      </c>
      <c r="CH384" s="135" t="str">
        <f aca="false">IF(ISBLANK($C384),"",IF($BZ384&lt;&gt;Constants!$B$8,$BZ384,IF(ISNUMBER($CG384),RANK($CG384,$CG$9:$CG$508,1),COUNT($CG$9:$CG$508)+1)))</f>
        <v/>
      </c>
      <c r="CI384" s="138" t="str">
        <f aca="false">IF($BZ384&lt;&gt;Constants!$B$8,"",IF($BM384="-&gt;",$BV384,$BJ384))</f>
        <v/>
      </c>
      <c r="CJ384" s="135" t="str">
        <f aca="false">IF(ISBLANK($C384),"",IF($BZ384&lt;&gt;Constants!$B$8,$BZ384,IF(ISNUMBER($CI384),RANK($CI384,$CI$9:$CI$508,1),COUNT($CI$9:$CI$508)+1)))</f>
        <v/>
      </c>
      <c r="CK384" s="138" t="str">
        <f aca="false">IF($BZ384&lt;&gt;Constants!$B$8,"",IF($BM384="-&gt;",$BW384,$BK384))</f>
        <v/>
      </c>
      <c r="CL384" s="135" t="str">
        <f aca="false">IF(ISBLANK($C384),"",IF($BZ384&lt;&gt;Constants!$B$8,$BZ384,IF(ISNUMBER($CK384),RANK($CK384,$CK$9:$CK$508,1),COUNT($CK$9:$CK$508)+1)))</f>
        <v/>
      </c>
      <c r="CM384" s="138" t="str">
        <f aca="false">IF($BZ384&lt;&gt;Constants!$B$8,"",IF(AND(NOT($AL384),NOT($AT384),$AJ384,$AK384,$AR384,$AS384),"",IF($BM384="-&gt;",$BX384,$BL384)))</f>
        <v/>
      </c>
      <c r="CN384" s="135" t="str">
        <f aca="false">IF(ISBLANK($C384),"",IF($BZ384&lt;&gt;Constants!$B$8,$BZ384,IF(ISNUMBER($CM384),RANK($CM384,$CM$9:$CM$508,1),COUNT($CM$9:$CM$508)+1)))</f>
        <v/>
      </c>
      <c r="CO384" s="135" t="str">
        <f aca="false">IF(ISBLANK($C384),"",IF($BZ384&lt;&gt;Constants!$B$8,$BZ384,COUNTIFS($CF$9:$CF$508,"&lt;"&amp;$CF384)+COUNTIFS($CF$9:$CF$508,$CF384,$CH$9:$CH$508,"&lt;"&amp;$CH384)+COUNTIFS($CF$9:$CF$508,$CF384,$CH$9:$CH$508,$CH384,$CJ$9:$CJ$508,"&lt;"&amp;$CJ384)+COUNTIFS($CF$9:$CF$508,$CF384,$CH$9:$CH$508,$CH384,$CJ$9:$CJ$508,$CJ384,$CL$9:$CL$508,"&lt;"&amp;$CL384)+COUNTIFS($CF$9:$CF$508,$CF384,$CH$9:$CH$508,$CH384,$CJ$9:$CJ$508,$CJ384,$CL$9:$CL$508,$CL384,$CN$9:$CN$508,"&lt;"&amp;$CN384)+1))</f>
        <v/>
      </c>
      <c r="CP384" s="135" t="str">
        <f aca="false">IF(ISBLANK($C384),"",IF($BZ384&lt;&gt;Constants!$B$8,$BZ384,$CF384-$CO384))</f>
        <v/>
      </c>
      <c r="CQ384" s="141"/>
      <c r="CR384" s="142"/>
      <c r="CS384" s="143" t="str">
        <f aca="false">IF(ISBLANK($C384),"",IF($BZ384=Constants!$B$12,$BY384,""))</f>
        <v/>
      </c>
      <c r="CT384" s="142" t="str">
        <f aca="false">IF(ISBLANK($C384),"",IF($BZ384&lt;&gt;Constants!$B$8,"",IF($BM384="-&gt;",2,1)))</f>
        <v/>
      </c>
      <c r="CU384" s="144" t="str">
        <f aca="false">IF(ISBLANK($C384),"",IF($BZ384&lt;&gt;Constants!$B$8,"",IF($BM384="-&gt;",$BO384,$BC384)))</f>
        <v/>
      </c>
      <c r="CV384" s="144" t="str">
        <f aca="false">IF(ISBLANK($C384),"",IF($BZ384&lt;&gt;Constants!$B$8,"",IF($BM384="-&gt;",$BP384,$BD384)))</f>
        <v/>
      </c>
      <c r="CW384" s="144" t="str">
        <f aca="false">IF(ISBLANK($C384),"",IF($BZ384&lt;&gt;Constants!$B$8,"",IF($BM384="-&gt;",$BQ384+$BR384,$BE384+$BF384)+$CD384))</f>
        <v/>
      </c>
      <c r="CX384" s="144" t="str">
        <f aca="false">IF(ISBLANK($C384),"",IF($BZ384&lt;&gt;Constants!$B$8,"",IF($BM384="-&gt;",$BS384,$BG384)+$CC384))</f>
        <v/>
      </c>
      <c r="CY384" s="145" t="str">
        <f aca="false">IF(ISBLANK($C384),"",IF($BZ384&lt;&gt;Constants!$B$8,$BZ384,$CE384))</f>
        <v/>
      </c>
      <c r="CZ384" s="146" t="str">
        <f aca="false">IF(ISBLANK($C384),"",$CA384)</f>
        <v/>
      </c>
      <c r="DA384" s="147" t="str">
        <f aca="false">IF(ISBLANK($C384),"",$CP384)</f>
        <v/>
      </c>
      <c r="DB384" s="147" t="str">
        <f aca="false">IF(ISBLANK($C384),"",$CO384)</f>
        <v/>
      </c>
      <c r="DC384" s="148" t="str">
        <f aca="false">IF(ISBLANK($C384),"",IFERROR(_xlfn.SWITCH($DB384,Constants!$B$11,COUNTA($C$9:$C$508)+2,Constants!$B$10,COUNTA($C$9:$C$508)+1,Constants!$B$9,COUNTA($C$9:$C$508)),$DB384))</f>
        <v/>
      </c>
      <c r="DD384" s="9"/>
      <c r="DE384" s="149" t="n">
        <f aca="false">IF(OR(ISNUMBER($DB384),$DB384=Constants!$B$11,$DB384=Constants!$B$9,$DB384=Constants!$B$10),1,0)</f>
        <v>0</v>
      </c>
      <c r="DF384" s="149" t="n">
        <v>376</v>
      </c>
      <c r="DG384" s="149" t="str">
        <f aca="false">IF(ISBLANK($C384),"",IF(ISNUMBER($DC384),$DC384+ROW($B384)/1000,""))</f>
        <v/>
      </c>
      <c r="DH384" s="149" t="str">
        <f aca="false">IF(ISNUMBER($DG384),RANK($DG384,$DG$9:$DG$508,1),"")</f>
        <v/>
      </c>
      <c r="DI384" s="149" t="str">
        <f aca="false">IF(ISBLANK($C384),"",$B384)</f>
        <v/>
      </c>
      <c r="DJ384" s="149" t="str">
        <f aca="false">IF(ISBLANK($C384),"",$C384)</f>
        <v/>
      </c>
      <c r="DK384" s="149" t="str">
        <f aca="false">IF(ISBLANK($C384),"",$D384)</f>
        <v/>
      </c>
      <c r="DL384" s="150" t="str">
        <f aca="false">$CZ384</f>
        <v/>
      </c>
      <c r="DM384" s="151" t="str">
        <f aca="false">$CY384</f>
        <v/>
      </c>
      <c r="DN384" s="149" t="str">
        <f aca="false">IF(ISBLANK($C384),"",$DB384)</f>
        <v/>
      </c>
      <c r="DO384" s="152" t="str">
        <f aca="false">IF($DF384&gt;$DE$8,"",VLOOKUP($DF384,$DH$9:$DN$508,7,FALSE()))</f>
        <v/>
      </c>
      <c r="DP384" s="153" t="str">
        <f aca="false">IF($DF384&gt;$DE$8,"",VLOOKUP($DF384,$DH$9:$DN$508,2,FALSE()))</f>
        <v/>
      </c>
      <c r="DQ384" s="153" t="str">
        <f aca="false">IF($DF384&gt;$DE$8,"",VLOOKUP($DF384,$DH$9:$DN$508,3,FALSE()))</f>
        <v/>
      </c>
      <c r="DR384" s="153" t="str">
        <f aca="false">IF($DF384&gt;$DE$8,"",VLOOKUP($DF384,$DH$9:$DN$508,4,FALSE()))</f>
        <v/>
      </c>
      <c r="DS384" s="153" t="str">
        <f aca="false">IF($DF384&gt;$DE$8,"",VLOOKUP($DF384,$DH$9:$DN$508,5,FALSE()))</f>
        <v/>
      </c>
      <c r="DT384" s="154" t="str">
        <f aca="false">IF($DF384&gt;$DE$8,"",VLOOKUP($DF384,$DH$9:$DN$508,6,FALSE()))</f>
        <v/>
      </c>
      <c r="DU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IF(ISBLANK($C385),"",IF(E385=Constants!$B$3,TRUE(),IF(E385=Constants!$B$4,FALSE(),TRUE())))</f>
        <v/>
      </c>
      <c r="AG385" s="135" t="str">
        <f aca="false">IF(ISBLANK($C385),"",IF(F385=Constants!$B$3,TRUE(),IF(F385=Constants!$B$4,FALSE(),TRUE())))</f>
        <v/>
      </c>
      <c r="AH385" s="135" t="str">
        <f aca="false">IF(ISBLANK($C385),"",IF(G385=Constants!$B$3,TRUE(),IF(G385=Constants!$B$4,FALSE(),TRUE())))</f>
        <v/>
      </c>
      <c r="AI385" s="135" t="str">
        <f aca="false">IF(ISBLANK($C385),"",IF(AND(ISNUMBER(H385),H385&gt;=0),H385,Constants!$B$29))</f>
        <v/>
      </c>
      <c r="AJ385" s="135" t="str">
        <f aca="false">IF(ISBLANK($C385),"",IF(I385=Constants!$B$3,TRUE(),IF(I385=Constants!$B$4,FALSE(),TRUE())))</f>
        <v/>
      </c>
      <c r="AK385" s="135" t="str">
        <f aca="false">IF(ISBLANK($C385),"",IF(J385=Constants!$B$3,TRUE(),IF(J385=Constants!$B$4,FALSE(),TRUE())))</f>
        <v/>
      </c>
      <c r="AL385" s="135" t="str">
        <f aca="false">IF(ISBLANK($C385),"",IF(K385=Constants!$B$5,TRUE(),IF(K385=Constants!$B$6,FALSE(),COUNTA(L385:P385)&gt;0)))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IF(ISBLANK($C385),"",IF(N385=Constants!$B$3,TRUE(),IF(N385=Constants!$B$4,FALSE(),TRUE())))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IF(ISBLANK($C385),"",IF(P385=Constants!$B$3,TRUE(),IF(P385=Constants!$B$4,FALSE(),FALSE())))</f>
        <v/>
      </c>
      <c r="AR385" s="135" t="str">
        <f aca="false">IF(ISBLANK($C385),"",IF(Q385=Constants!$B$3,TRUE(),IF(Q385=Constants!$B$4,FALSE(),TRUE())))</f>
        <v/>
      </c>
      <c r="AS385" s="135" t="str">
        <f aca="false">IF(ISBLANK($C385),"",IF(R385=Constants!$B$3,TRUE(),IF(R385=Constants!$B$4,FALSE(),TRUE())))</f>
        <v/>
      </c>
      <c r="AT385" s="135" t="str">
        <f aca="false">IF(ISBLANK($C385),"",IF(S385=Constants!$B$5,TRUE(),IF(S385=Constants!$B$6,FALSE(),COUNTA(T385:X385)&gt;0)))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IF(ISBLANK($C385),"",IF(V385=Constants!$B$3,TRUE(),IF(V385=Constants!$B$4,FALSE(),TRUE())))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IF(ISBLANK($C385),"",IF(X385=Constants!$B$3,TRUE(),IF(X385=Constants!$B$4,FALSE(),FALSE())))</f>
        <v/>
      </c>
      <c r="AZ385" s="135" t="str">
        <f aca="false">IF(ISBLANK($C385),"",MIN(Constants!$B$31,MAX(0,IF(ISNUMBER(Y385),Y385*60,0)+IF(ISNUMBER(Z385),Z385,0))))</f>
        <v/>
      </c>
      <c r="BA385" s="135" t="str">
        <f aca="false">IF(ISBLANK($C385),"",IF(AA385=Constants!$B$3,TRUE(),IF(AA385=Constants!$B$4,FALSE(),FALSE())))</f>
        <v/>
      </c>
      <c r="BB385" s="134" t="str">
        <f aca="false">IF(ISBLANK($C385),"",AND($AL385,OR($AM385="",$AN385="",AND($AO385,$AP385=""))))</f>
        <v/>
      </c>
      <c r="BC385" s="137" t="str">
        <f aca="false">IF($BZ385&lt;&gt;Constants!$B$8,"",IF($AL385,Constants!$B$21*$AN385+Constants!$B$22*IF($AO385,$AP385,Constants!$B$23),Constants!$B$24))</f>
        <v/>
      </c>
      <c r="BD385" s="138" t="str">
        <f aca="false">IF($BZ385&lt;&gt;Constants!$B$8,"",Constants!$B$25*ABS($AD$9-IF($AL385,$AM385,0)))</f>
        <v/>
      </c>
      <c r="BE385" s="138" t="str">
        <f aca="false">IF($BZ385&lt;&gt;Constants!$B$8,"",IF(AND($AL385,$AQ385,$AO385),Constants!$B$27,0))</f>
        <v/>
      </c>
      <c r="BF385" s="138" t="str">
        <f aca="false">IF($BZ385&lt;&gt;Constants!$B$8,"",IF($AL385,($AI385-Constants!$B$29)*Constants!$B$28,0))</f>
        <v/>
      </c>
      <c r="BG385" s="138" t="str">
        <f aca="false">IF($BZ385&lt;&gt;Constants!$B$8,"",IF($AK385,0,Constants!$B$15)+IF($AJ385,0,Constants!$B$16)+IF($AH385,0,Constants!$B$17))</f>
        <v/>
      </c>
      <c r="BH385" s="139" t="str">
        <f aca="false">IF($BZ385&lt;&gt;Constants!$B$8,"",Constants!$B$20+SUM($BC385:$BG385))</f>
        <v/>
      </c>
      <c r="BI385" s="138" t="str">
        <f aca="false">IF($BZ385&lt;&gt;Constants!$B$8,"",$BC385)</f>
        <v/>
      </c>
      <c r="BJ385" s="138" t="str">
        <f aca="false">IF($BZ385&lt;&gt;Constants!$B$8,"",$BD385)</f>
        <v/>
      </c>
      <c r="BK385" s="138" t="str">
        <f aca="false">IF($BZ385&lt;&gt;Constants!$B$8,"",IF($AL385,$AN385,""))</f>
        <v/>
      </c>
      <c r="BL385" s="140" t="str">
        <f aca="false">IF($BZ385&lt;&gt;Constants!$B$8,"",$AI385)</f>
        <v/>
      </c>
      <c r="BM385" s="135" t="str">
        <f aca="false">IF($BZ385&lt;&gt;Constants!$B$8,"",IF(OR($BT385&lt;$BH385,AND($BT385=$BH385,OR($BU385&lt;$BI385,AND($BU385=$BI385,OR($BV385&lt;$BJ385,AND($BV385=$BJ385,OR(AND(ISNUMBER($BW385),OR(NOT(ISNUMBER($BK385)),$BW385&lt;$BK385)),AND(OR(AND($BW385="",$BK385=""),AND(ISNUMBER($BW385),ISNUMBER($BK385),$BW385=$BK385)),$BX385&lt;$BL385)))))))),"-&gt;","&lt;-"))</f>
        <v/>
      </c>
      <c r="BN385" s="134" t="str">
        <f aca="false">IF(ISBLANK($C385),"",AND($AT385,OR($AU385="",$AV385="",AND($AW385,$AX385=""))))</f>
        <v/>
      </c>
      <c r="BO385" s="137" t="str">
        <f aca="false">IF($BZ385&lt;&gt;Constants!$B$8,"",IF($AT385,Constants!$B$21*$AV385+Constants!$B$22*IF($AW385,$AX385,Constants!$B$23),Constants!$B$24))</f>
        <v/>
      </c>
      <c r="BP385" s="138" t="str">
        <f aca="false">IF($BZ385&lt;&gt;Constants!$B$8,"",Constants!$B$25*ABS($AD$9-IF($AT385,$AU385,0)))</f>
        <v/>
      </c>
      <c r="BQ385" s="138" t="str">
        <f aca="false">IF($BZ385&lt;&gt;Constants!$B$8,"",IF(AND($AT385,$AY385,$AW385),Constants!$B$27,0))</f>
        <v/>
      </c>
      <c r="BR385" s="138" t="str">
        <f aca="false">IF($BZ385&lt;&gt;Constants!$B$8,"",IF($AT385,($AI385-Constants!$B$29)*Constants!$B$28,0))</f>
        <v/>
      </c>
      <c r="BS385" s="138" t="str">
        <f aca="false">IF($BZ385&lt;&gt;Constants!$B$8,"",IF($AS385,0,Constants!$B$15)+IF($AR385,0,Constants!$B$16)+IF($AH385,0,Constants!$B$17))</f>
        <v/>
      </c>
      <c r="BT385" s="139" t="str">
        <f aca="false">IF($BZ385&lt;&gt;Constants!$B$8,"",Constants!$B$20+SUM($BO385:$BS385))</f>
        <v/>
      </c>
      <c r="BU385" s="138" t="str">
        <f aca="false">IF($BZ385&lt;&gt;Constants!$B$8,"",$BO385)</f>
        <v/>
      </c>
      <c r="BV385" s="138" t="str">
        <f aca="false">IF($BZ385&lt;&gt;Constants!$B$8,"",$BP385)</f>
        <v/>
      </c>
      <c r="BW385" s="138" t="str">
        <f aca="false">IF($BZ385&lt;&gt;Constants!$B$8,"",IF($AT385,$AV385,""))</f>
        <v/>
      </c>
      <c r="BX385" s="140" t="str">
        <f aca="false">IF($BZ385&lt;&gt;Constants!$B$8,"",$AI385)</f>
        <v/>
      </c>
      <c r="BY385" s="135" t="str">
        <f aca="false">IF(ISBLANK($C385),"",IF(ISBLANK($D$7),$BY$5,IF(NOT(ISNUMBER($D$7)),$BY$6,"")))</f>
        <v/>
      </c>
      <c r="BZ385" s="135" t="str">
        <f aca="false">IF(ISBLANK($C385),"",IF($BA385,Constants!$B$11,IF(COUNTA($E385:$AA385)=0,Constants!$B$10,IF(NOT($AG385),Constants!$B$9,IF(OR($BY385&lt;&gt;"",$BB385,$BN385),Constants!$B$12,Constants!$B$8)))))</f>
        <v/>
      </c>
      <c r="CA385" s="135" t="str">
        <f aca="false">IF(ISBLANK($C385),"",IF($BZ385&lt;&gt;Constants!$B$8,$BZ385,Constants!$B$13))</f>
        <v/>
      </c>
      <c r="CB385" s="138" t="str">
        <f aca="false">IF($BZ385&lt;&gt;Constants!$B$8,"",IF($BM385="-&gt;",$BT385,$BH385))</f>
        <v/>
      </c>
      <c r="CC385" s="138" t="str">
        <f aca="false">IF($BZ385&lt;&gt;Constants!$B$8,"",IF($AF385,0,Constants!$B$18))</f>
        <v/>
      </c>
      <c r="CD385" s="138" t="str">
        <f aca="false">IF($BZ385&lt;&gt;Constants!$B$8,"",((Constants!$B$31-$AZ385)-Constants!$B$31)/Constants!$B$32)</f>
        <v/>
      </c>
      <c r="CE385" s="138" t="str">
        <f aca="false">IF(ISBLANK($C385),"",IF($BZ385&lt;&gt;Constants!$B$8,$BZ385,SUM($CB385:$CD385)))</f>
        <v/>
      </c>
      <c r="CF385" s="135" t="str">
        <f aca="false">IF(ISBLANK($C385),"",IF($BZ385&lt;&gt;Constants!$B$8,$BZ385,RANK($CE385,$CE$9:$CE$508,1)))</f>
        <v/>
      </c>
      <c r="CG385" s="138" t="str">
        <f aca="false">IF($BZ385&lt;&gt;Constants!$B$8,"",IF($BM385="-&gt;",$BU385,$BI385))</f>
        <v/>
      </c>
      <c r="CH385" s="135" t="str">
        <f aca="false">IF(ISBLANK($C385),"",IF($BZ385&lt;&gt;Constants!$B$8,$BZ385,IF(ISNUMBER($CG385),RANK($CG385,$CG$9:$CG$508,1),COUNT($CG$9:$CG$508)+1)))</f>
        <v/>
      </c>
      <c r="CI385" s="138" t="str">
        <f aca="false">IF($BZ385&lt;&gt;Constants!$B$8,"",IF($BM385="-&gt;",$BV385,$BJ385))</f>
        <v/>
      </c>
      <c r="CJ385" s="135" t="str">
        <f aca="false">IF(ISBLANK($C385),"",IF($BZ385&lt;&gt;Constants!$B$8,$BZ385,IF(ISNUMBER($CI385),RANK($CI385,$CI$9:$CI$508,1),COUNT($CI$9:$CI$508)+1)))</f>
        <v/>
      </c>
      <c r="CK385" s="138" t="str">
        <f aca="false">IF($BZ385&lt;&gt;Constants!$B$8,"",IF($BM385="-&gt;",$BW385,$BK385))</f>
        <v/>
      </c>
      <c r="CL385" s="135" t="str">
        <f aca="false">IF(ISBLANK($C385),"",IF($BZ385&lt;&gt;Constants!$B$8,$BZ385,IF(ISNUMBER($CK385),RANK($CK385,$CK$9:$CK$508,1),COUNT($CK$9:$CK$508)+1)))</f>
        <v/>
      </c>
      <c r="CM385" s="138" t="str">
        <f aca="false">IF($BZ385&lt;&gt;Constants!$B$8,"",IF(AND(NOT($AL385),NOT($AT385),$AJ385,$AK385,$AR385,$AS385),"",IF($BM385="-&gt;",$BX385,$BL385)))</f>
        <v/>
      </c>
      <c r="CN385" s="135" t="str">
        <f aca="false">IF(ISBLANK($C385),"",IF($BZ385&lt;&gt;Constants!$B$8,$BZ385,IF(ISNUMBER($CM385),RANK($CM385,$CM$9:$CM$508,1),COUNT($CM$9:$CM$508)+1)))</f>
        <v/>
      </c>
      <c r="CO385" s="135" t="str">
        <f aca="false">IF(ISBLANK($C385),"",IF($BZ385&lt;&gt;Constants!$B$8,$BZ385,COUNTIFS($CF$9:$CF$508,"&lt;"&amp;$CF385)+COUNTIFS($CF$9:$CF$508,$CF385,$CH$9:$CH$508,"&lt;"&amp;$CH385)+COUNTIFS($CF$9:$CF$508,$CF385,$CH$9:$CH$508,$CH385,$CJ$9:$CJ$508,"&lt;"&amp;$CJ385)+COUNTIFS($CF$9:$CF$508,$CF385,$CH$9:$CH$508,$CH385,$CJ$9:$CJ$508,$CJ385,$CL$9:$CL$508,"&lt;"&amp;$CL385)+COUNTIFS($CF$9:$CF$508,$CF385,$CH$9:$CH$508,$CH385,$CJ$9:$CJ$508,$CJ385,$CL$9:$CL$508,$CL385,$CN$9:$CN$508,"&lt;"&amp;$CN385)+1))</f>
        <v/>
      </c>
      <c r="CP385" s="135" t="str">
        <f aca="false">IF(ISBLANK($C385),"",IF($BZ385&lt;&gt;Constants!$B$8,$BZ385,$CF385-$CO385))</f>
        <v/>
      </c>
      <c r="CQ385" s="141"/>
      <c r="CR385" s="142"/>
      <c r="CS385" s="143" t="str">
        <f aca="false">IF(ISBLANK($C385),"",IF($BZ385=Constants!$B$12,$BY385,""))</f>
        <v/>
      </c>
      <c r="CT385" s="142" t="str">
        <f aca="false">IF(ISBLANK($C385),"",IF($BZ385&lt;&gt;Constants!$B$8,"",IF($BM385="-&gt;",2,1)))</f>
        <v/>
      </c>
      <c r="CU385" s="144" t="str">
        <f aca="false">IF(ISBLANK($C385),"",IF($BZ385&lt;&gt;Constants!$B$8,"",IF($BM385="-&gt;",$BO385,$BC385)))</f>
        <v/>
      </c>
      <c r="CV385" s="144" t="str">
        <f aca="false">IF(ISBLANK($C385),"",IF($BZ385&lt;&gt;Constants!$B$8,"",IF($BM385="-&gt;",$BP385,$BD385)))</f>
        <v/>
      </c>
      <c r="CW385" s="144" t="str">
        <f aca="false">IF(ISBLANK($C385),"",IF($BZ385&lt;&gt;Constants!$B$8,"",IF($BM385="-&gt;",$BQ385+$BR385,$BE385+$BF385)+$CD385))</f>
        <v/>
      </c>
      <c r="CX385" s="144" t="str">
        <f aca="false">IF(ISBLANK($C385),"",IF($BZ385&lt;&gt;Constants!$B$8,"",IF($BM385="-&gt;",$BS385,$BG385)+$CC385))</f>
        <v/>
      </c>
      <c r="CY385" s="145" t="str">
        <f aca="false">IF(ISBLANK($C385),"",IF($BZ385&lt;&gt;Constants!$B$8,$BZ385,$CE385))</f>
        <v/>
      </c>
      <c r="CZ385" s="146" t="str">
        <f aca="false">IF(ISBLANK($C385),"",$CA385)</f>
        <v/>
      </c>
      <c r="DA385" s="147" t="str">
        <f aca="false">IF(ISBLANK($C385),"",$CP385)</f>
        <v/>
      </c>
      <c r="DB385" s="147" t="str">
        <f aca="false">IF(ISBLANK($C385),"",$CO385)</f>
        <v/>
      </c>
      <c r="DC385" s="148" t="str">
        <f aca="false">IF(ISBLANK($C385),"",IFERROR(_xlfn.SWITCH($DB385,Constants!$B$11,COUNTA($C$9:$C$508)+2,Constants!$B$10,COUNTA($C$9:$C$508)+1,Constants!$B$9,COUNTA($C$9:$C$508)),$DB385))</f>
        <v/>
      </c>
      <c r="DD385" s="9"/>
      <c r="DE385" s="149" t="n">
        <f aca="false">IF(OR(ISNUMBER($DB385),$DB385=Constants!$B$11,$DB385=Constants!$B$9,$DB385=Constants!$B$10),1,0)</f>
        <v>0</v>
      </c>
      <c r="DF385" s="149" t="n">
        <v>377</v>
      </c>
      <c r="DG385" s="149" t="str">
        <f aca="false">IF(ISBLANK($C385),"",IF(ISNUMBER($DC385),$DC385+ROW($B385)/1000,""))</f>
        <v/>
      </c>
      <c r="DH385" s="149" t="str">
        <f aca="false">IF(ISNUMBER($DG385),RANK($DG385,$DG$9:$DG$508,1),"")</f>
        <v/>
      </c>
      <c r="DI385" s="149" t="str">
        <f aca="false">IF(ISBLANK($C385),"",$B385)</f>
        <v/>
      </c>
      <c r="DJ385" s="149" t="str">
        <f aca="false">IF(ISBLANK($C385),"",$C385)</f>
        <v/>
      </c>
      <c r="DK385" s="149" t="str">
        <f aca="false">IF(ISBLANK($C385),"",$D385)</f>
        <v/>
      </c>
      <c r="DL385" s="150" t="str">
        <f aca="false">$CZ385</f>
        <v/>
      </c>
      <c r="DM385" s="151" t="str">
        <f aca="false">$CY385</f>
        <v/>
      </c>
      <c r="DN385" s="149" t="str">
        <f aca="false">IF(ISBLANK($C385),"",$DB385)</f>
        <v/>
      </c>
      <c r="DO385" s="152" t="str">
        <f aca="false">IF($DF385&gt;$DE$8,"",VLOOKUP($DF385,$DH$9:$DN$508,7,FALSE()))</f>
        <v/>
      </c>
      <c r="DP385" s="153" t="str">
        <f aca="false">IF($DF385&gt;$DE$8,"",VLOOKUP($DF385,$DH$9:$DN$508,2,FALSE()))</f>
        <v/>
      </c>
      <c r="DQ385" s="153" t="str">
        <f aca="false">IF($DF385&gt;$DE$8,"",VLOOKUP($DF385,$DH$9:$DN$508,3,FALSE()))</f>
        <v/>
      </c>
      <c r="DR385" s="153" t="str">
        <f aca="false">IF($DF385&gt;$DE$8,"",VLOOKUP($DF385,$DH$9:$DN$508,4,FALSE()))</f>
        <v/>
      </c>
      <c r="DS385" s="153" t="str">
        <f aca="false">IF($DF385&gt;$DE$8,"",VLOOKUP($DF385,$DH$9:$DN$508,5,FALSE()))</f>
        <v/>
      </c>
      <c r="DT385" s="154" t="str">
        <f aca="false">IF($DF385&gt;$DE$8,"",VLOOKUP($DF385,$DH$9:$DN$508,6,FALSE()))</f>
        <v/>
      </c>
      <c r="DU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IF(ISBLANK($C386),"",IF(E386=Constants!$B$3,TRUE(),IF(E386=Constants!$B$4,FALSE(),TRUE())))</f>
        <v/>
      </c>
      <c r="AG386" s="135" t="str">
        <f aca="false">IF(ISBLANK($C386),"",IF(F386=Constants!$B$3,TRUE(),IF(F386=Constants!$B$4,FALSE(),TRUE())))</f>
        <v/>
      </c>
      <c r="AH386" s="135" t="str">
        <f aca="false">IF(ISBLANK($C386),"",IF(G386=Constants!$B$3,TRUE(),IF(G386=Constants!$B$4,FALSE(),TRUE())))</f>
        <v/>
      </c>
      <c r="AI386" s="135" t="str">
        <f aca="false">IF(ISBLANK($C386),"",IF(AND(ISNUMBER(H386),H386&gt;=0),H386,Constants!$B$29))</f>
        <v/>
      </c>
      <c r="AJ386" s="135" t="str">
        <f aca="false">IF(ISBLANK($C386),"",IF(I386=Constants!$B$3,TRUE(),IF(I386=Constants!$B$4,FALSE(),TRUE())))</f>
        <v/>
      </c>
      <c r="AK386" s="135" t="str">
        <f aca="false">IF(ISBLANK($C386),"",IF(J386=Constants!$B$3,TRUE(),IF(J386=Constants!$B$4,FALSE(),TRUE())))</f>
        <v/>
      </c>
      <c r="AL386" s="135" t="str">
        <f aca="false">IF(ISBLANK($C386),"",IF(K386=Constants!$B$5,TRUE(),IF(K386=Constants!$B$6,FALSE(),COUNTA(L386:P386)&gt;0)))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IF(ISBLANK($C386),"",IF(N386=Constants!$B$3,TRUE(),IF(N386=Constants!$B$4,FALSE(),TRUE())))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IF(ISBLANK($C386),"",IF(P386=Constants!$B$3,TRUE(),IF(P386=Constants!$B$4,FALSE(),FALSE())))</f>
        <v/>
      </c>
      <c r="AR386" s="135" t="str">
        <f aca="false">IF(ISBLANK($C386),"",IF(Q386=Constants!$B$3,TRUE(),IF(Q386=Constants!$B$4,FALSE(),TRUE())))</f>
        <v/>
      </c>
      <c r="AS386" s="135" t="str">
        <f aca="false">IF(ISBLANK($C386),"",IF(R386=Constants!$B$3,TRUE(),IF(R386=Constants!$B$4,FALSE(),TRUE())))</f>
        <v/>
      </c>
      <c r="AT386" s="135" t="str">
        <f aca="false">IF(ISBLANK($C386),"",IF(S386=Constants!$B$5,TRUE(),IF(S386=Constants!$B$6,FALSE(),COUNTA(T386:X386)&gt;0)))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IF(ISBLANK($C386),"",IF(V386=Constants!$B$3,TRUE(),IF(V386=Constants!$B$4,FALSE(),TRUE())))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IF(ISBLANK($C386),"",IF(X386=Constants!$B$3,TRUE(),IF(X386=Constants!$B$4,FALSE(),FALSE())))</f>
        <v/>
      </c>
      <c r="AZ386" s="135" t="str">
        <f aca="false">IF(ISBLANK($C386),"",MIN(Constants!$B$31,MAX(0,IF(ISNUMBER(Y386),Y386*60,0)+IF(ISNUMBER(Z386),Z386,0))))</f>
        <v/>
      </c>
      <c r="BA386" s="135" t="str">
        <f aca="false">IF(ISBLANK($C386),"",IF(AA386=Constants!$B$3,TRUE(),IF(AA386=Constants!$B$4,FALSE(),FALSE())))</f>
        <v/>
      </c>
      <c r="BB386" s="134" t="str">
        <f aca="false">IF(ISBLANK($C386),"",AND($AL386,OR($AM386="",$AN386="",AND($AO386,$AP386=""))))</f>
        <v/>
      </c>
      <c r="BC386" s="137" t="str">
        <f aca="false">IF($BZ386&lt;&gt;Constants!$B$8,"",IF($AL386,Constants!$B$21*$AN386+Constants!$B$22*IF($AO386,$AP386,Constants!$B$23),Constants!$B$24))</f>
        <v/>
      </c>
      <c r="BD386" s="138" t="str">
        <f aca="false">IF($BZ386&lt;&gt;Constants!$B$8,"",Constants!$B$25*ABS($AD$9-IF($AL386,$AM386,0)))</f>
        <v/>
      </c>
      <c r="BE386" s="138" t="str">
        <f aca="false">IF($BZ386&lt;&gt;Constants!$B$8,"",IF(AND($AL386,$AQ386,$AO386),Constants!$B$27,0))</f>
        <v/>
      </c>
      <c r="BF386" s="138" t="str">
        <f aca="false">IF($BZ386&lt;&gt;Constants!$B$8,"",IF($AL386,($AI386-Constants!$B$29)*Constants!$B$28,0))</f>
        <v/>
      </c>
      <c r="BG386" s="138" t="str">
        <f aca="false">IF($BZ386&lt;&gt;Constants!$B$8,"",IF($AK386,0,Constants!$B$15)+IF($AJ386,0,Constants!$B$16)+IF($AH386,0,Constants!$B$17))</f>
        <v/>
      </c>
      <c r="BH386" s="139" t="str">
        <f aca="false">IF($BZ386&lt;&gt;Constants!$B$8,"",Constants!$B$20+SUM($BC386:$BG386))</f>
        <v/>
      </c>
      <c r="BI386" s="138" t="str">
        <f aca="false">IF($BZ386&lt;&gt;Constants!$B$8,"",$BC386)</f>
        <v/>
      </c>
      <c r="BJ386" s="138" t="str">
        <f aca="false">IF($BZ386&lt;&gt;Constants!$B$8,"",$BD386)</f>
        <v/>
      </c>
      <c r="BK386" s="138" t="str">
        <f aca="false">IF($BZ386&lt;&gt;Constants!$B$8,"",IF($AL386,$AN386,""))</f>
        <v/>
      </c>
      <c r="BL386" s="140" t="str">
        <f aca="false">IF($BZ386&lt;&gt;Constants!$B$8,"",$AI386)</f>
        <v/>
      </c>
      <c r="BM386" s="135" t="str">
        <f aca="false">IF($BZ386&lt;&gt;Constants!$B$8,"",IF(OR($BT386&lt;$BH386,AND($BT386=$BH386,OR($BU386&lt;$BI386,AND($BU386=$BI386,OR($BV386&lt;$BJ386,AND($BV386=$BJ386,OR(AND(ISNUMBER($BW386),OR(NOT(ISNUMBER($BK386)),$BW386&lt;$BK386)),AND(OR(AND($BW386="",$BK386=""),AND(ISNUMBER($BW386),ISNUMBER($BK386),$BW386=$BK386)),$BX386&lt;$BL386)))))))),"-&gt;","&lt;-"))</f>
        <v/>
      </c>
      <c r="BN386" s="134" t="str">
        <f aca="false">IF(ISBLANK($C386),"",AND($AT386,OR($AU386="",$AV386="",AND($AW386,$AX386=""))))</f>
        <v/>
      </c>
      <c r="BO386" s="137" t="str">
        <f aca="false">IF($BZ386&lt;&gt;Constants!$B$8,"",IF($AT386,Constants!$B$21*$AV386+Constants!$B$22*IF($AW386,$AX386,Constants!$B$23),Constants!$B$24))</f>
        <v/>
      </c>
      <c r="BP386" s="138" t="str">
        <f aca="false">IF($BZ386&lt;&gt;Constants!$B$8,"",Constants!$B$25*ABS($AD$9-IF($AT386,$AU386,0)))</f>
        <v/>
      </c>
      <c r="BQ386" s="138" t="str">
        <f aca="false">IF($BZ386&lt;&gt;Constants!$B$8,"",IF(AND($AT386,$AY386,$AW386),Constants!$B$27,0))</f>
        <v/>
      </c>
      <c r="BR386" s="138" t="str">
        <f aca="false">IF($BZ386&lt;&gt;Constants!$B$8,"",IF($AT386,($AI386-Constants!$B$29)*Constants!$B$28,0))</f>
        <v/>
      </c>
      <c r="BS386" s="138" t="str">
        <f aca="false">IF($BZ386&lt;&gt;Constants!$B$8,"",IF($AS386,0,Constants!$B$15)+IF($AR386,0,Constants!$B$16)+IF($AH386,0,Constants!$B$17))</f>
        <v/>
      </c>
      <c r="BT386" s="139" t="str">
        <f aca="false">IF($BZ386&lt;&gt;Constants!$B$8,"",Constants!$B$20+SUM($BO386:$BS386))</f>
        <v/>
      </c>
      <c r="BU386" s="138" t="str">
        <f aca="false">IF($BZ386&lt;&gt;Constants!$B$8,"",$BO386)</f>
        <v/>
      </c>
      <c r="BV386" s="138" t="str">
        <f aca="false">IF($BZ386&lt;&gt;Constants!$B$8,"",$BP386)</f>
        <v/>
      </c>
      <c r="BW386" s="138" t="str">
        <f aca="false">IF($BZ386&lt;&gt;Constants!$B$8,"",IF($AT386,$AV386,""))</f>
        <v/>
      </c>
      <c r="BX386" s="140" t="str">
        <f aca="false">IF($BZ386&lt;&gt;Constants!$B$8,"",$AI386)</f>
        <v/>
      </c>
      <c r="BY386" s="135" t="str">
        <f aca="false">IF(ISBLANK($C386),"",IF(ISBLANK($D$7),$BY$5,IF(NOT(ISNUMBER($D$7)),$BY$6,"")))</f>
        <v/>
      </c>
      <c r="BZ386" s="135" t="str">
        <f aca="false">IF(ISBLANK($C386),"",IF($BA386,Constants!$B$11,IF(COUNTA($E386:$AA386)=0,Constants!$B$10,IF(NOT($AG386),Constants!$B$9,IF(OR($BY386&lt;&gt;"",$BB386,$BN386),Constants!$B$12,Constants!$B$8)))))</f>
        <v/>
      </c>
      <c r="CA386" s="135" t="str">
        <f aca="false">IF(ISBLANK($C386),"",IF($BZ386&lt;&gt;Constants!$B$8,$BZ386,Constants!$B$13))</f>
        <v/>
      </c>
      <c r="CB386" s="138" t="str">
        <f aca="false">IF($BZ386&lt;&gt;Constants!$B$8,"",IF($BM386="-&gt;",$BT386,$BH386))</f>
        <v/>
      </c>
      <c r="CC386" s="138" t="str">
        <f aca="false">IF($BZ386&lt;&gt;Constants!$B$8,"",IF($AF386,0,Constants!$B$18))</f>
        <v/>
      </c>
      <c r="CD386" s="138" t="str">
        <f aca="false">IF($BZ386&lt;&gt;Constants!$B$8,"",((Constants!$B$31-$AZ386)-Constants!$B$31)/Constants!$B$32)</f>
        <v/>
      </c>
      <c r="CE386" s="138" t="str">
        <f aca="false">IF(ISBLANK($C386),"",IF($BZ386&lt;&gt;Constants!$B$8,$BZ386,SUM($CB386:$CD386)))</f>
        <v/>
      </c>
      <c r="CF386" s="135" t="str">
        <f aca="false">IF(ISBLANK($C386),"",IF($BZ386&lt;&gt;Constants!$B$8,$BZ386,RANK($CE386,$CE$9:$CE$508,1)))</f>
        <v/>
      </c>
      <c r="CG386" s="138" t="str">
        <f aca="false">IF($BZ386&lt;&gt;Constants!$B$8,"",IF($BM386="-&gt;",$BU386,$BI386))</f>
        <v/>
      </c>
      <c r="CH386" s="135" t="str">
        <f aca="false">IF(ISBLANK($C386),"",IF($BZ386&lt;&gt;Constants!$B$8,$BZ386,IF(ISNUMBER($CG386),RANK($CG386,$CG$9:$CG$508,1),COUNT($CG$9:$CG$508)+1)))</f>
        <v/>
      </c>
      <c r="CI386" s="138" t="str">
        <f aca="false">IF($BZ386&lt;&gt;Constants!$B$8,"",IF($BM386="-&gt;",$BV386,$BJ386))</f>
        <v/>
      </c>
      <c r="CJ386" s="135" t="str">
        <f aca="false">IF(ISBLANK($C386),"",IF($BZ386&lt;&gt;Constants!$B$8,$BZ386,IF(ISNUMBER($CI386),RANK($CI386,$CI$9:$CI$508,1),COUNT($CI$9:$CI$508)+1)))</f>
        <v/>
      </c>
      <c r="CK386" s="138" t="str">
        <f aca="false">IF($BZ386&lt;&gt;Constants!$B$8,"",IF($BM386="-&gt;",$BW386,$BK386))</f>
        <v/>
      </c>
      <c r="CL386" s="135" t="str">
        <f aca="false">IF(ISBLANK($C386),"",IF($BZ386&lt;&gt;Constants!$B$8,$BZ386,IF(ISNUMBER($CK386),RANK($CK386,$CK$9:$CK$508,1),COUNT($CK$9:$CK$508)+1)))</f>
        <v/>
      </c>
      <c r="CM386" s="138" t="str">
        <f aca="false">IF($BZ386&lt;&gt;Constants!$B$8,"",IF(AND(NOT($AL386),NOT($AT386),$AJ386,$AK386,$AR386,$AS386),"",IF($BM386="-&gt;",$BX386,$BL386)))</f>
        <v/>
      </c>
      <c r="CN386" s="135" t="str">
        <f aca="false">IF(ISBLANK($C386),"",IF($BZ386&lt;&gt;Constants!$B$8,$BZ386,IF(ISNUMBER($CM386),RANK($CM386,$CM$9:$CM$508,1),COUNT($CM$9:$CM$508)+1)))</f>
        <v/>
      </c>
      <c r="CO386" s="135" t="str">
        <f aca="false">IF(ISBLANK($C386),"",IF($BZ386&lt;&gt;Constants!$B$8,$BZ386,COUNTIFS($CF$9:$CF$508,"&lt;"&amp;$CF386)+COUNTIFS($CF$9:$CF$508,$CF386,$CH$9:$CH$508,"&lt;"&amp;$CH386)+COUNTIFS($CF$9:$CF$508,$CF386,$CH$9:$CH$508,$CH386,$CJ$9:$CJ$508,"&lt;"&amp;$CJ386)+COUNTIFS($CF$9:$CF$508,$CF386,$CH$9:$CH$508,$CH386,$CJ$9:$CJ$508,$CJ386,$CL$9:$CL$508,"&lt;"&amp;$CL386)+COUNTIFS($CF$9:$CF$508,$CF386,$CH$9:$CH$508,$CH386,$CJ$9:$CJ$508,$CJ386,$CL$9:$CL$508,$CL386,$CN$9:$CN$508,"&lt;"&amp;$CN386)+1))</f>
        <v/>
      </c>
      <c r="CP386" s="135" t="str">
        <f aca="false">IF(ISBLANK($C386),"",IF($BZ386&lt;&gt;Constants!$B$8,$BZ386,$CF386-$CO386))</f>
        <v/>
      </c>
      <c r="CQ386" s="141"/>
      <c r="CR386" s="142"/>
      <c r="CS386" s="143" t="str">
        <f aca="false">IF(ISBLANK($C386),"",IF($BZ386=Constants!$B$12,$BY386,""))</f>
        <v/>
      </c>
      <c r="CT386" s="142" t="str">
        <f aca="false">IF(ISBLANK($C386),"",IF($BZ386&lt;&gt;Constants!$B$8,"",IF($BM386="-&gt;",2,1)))</f>
        <v/>
      </c>
      <c r="CU386" s="144" t="str">
        <f aca="false">IF(ISBLANK($C386),"",IF($BZ386&lt;&gt;Constants!$B$8,"",IF($BM386="-&gt;",$BO386,$BC386)))</f>
        <v/>
      </c>
      <c r="CV386" s="144" t="str">
        <f aca="false">IF(ISBLANK($C386),"",IF($BZ386&lt;&gt;Constants!$B$8,"",IF($BM386="-&gt;",$BP386,$BD386)))</f>
        <v/>
      </c>
      <c r="CW386" s="144" t="str">
        <f aca="false">IF(ISBLANK($C386),"",IF($BZ386&lt;&gt;Constants!$B$8,"",IF($BM386="-&gt;",$BQ386+$BR386,$BE386+$BF386)+$CD386))</f>
        <v/>
      </c>
      <c r="CX386" s="144" t="str">
        <f aca="false">IF(ISBLANK($C386),"",IF($BZ386&lt;&gt;Constants!$B$8,"",IF($BM386="-&gt;",$BS386,$BG386)+$CC386))</f>
        <v/>
      </c>
      <c r="CY386" s="145" t="str">
        <f aca="false">IF(ISBLANK($C386),"",IF($BZ386&lt;&gt;Constants!$B$8,$BZ386,$CE386))</f>
        <v/>
      </c>
      <c r="CZ386" s="146" t="str">
        <f aca="false">IF(ISBLANK($C386),"",$CA386)</f>
        <v/>
      </c>
      <c r="DA386" s="147" t="str">
        <f aca="false">IF(ISBLANK($C386),"",$CP386)</f>
        <v/>
      </c>
      <c r="DB386" s="147" t="str">
        <f aca="false">IF(ISBLANK($C386),"",$CO386)</f>
        <v/>
      </c>
      <c r="DC386" s="148" t="str">
        <f aca="false">IF(ISBLANK($C386),"",IFERROR(_xlfn.SWITCH($DB386,Constants!$B$11,COUNTA($C$9:$C$508)+2,Constants!$B$10,COUNTA($C$9:$C$508)+1,Constants!$B$9,COUNTA($C$9:$C$508)),$DB386))</f>
        <v/>
      </c>
      <c r="DD386" s="9"/>
      <c r="DE386" s="149" t="n">
        <f aca="false">IF(OR(ISNUMBER($DB386),$DB386=Constants!$B$11,$DB386=Constants!$B$9,$DB386=Constants!$B$10),1,0)</f>
        <v>0</v>
      </c>
      <c r="DF386" s="149" t="n">
        <v>378</v>
      </c>
      <c r="DG386" s="149" t="str">
        <f aca="false">IF(ISBLANK($C386),"",IF(ISNUMBER($DC386),$DC386+ROW($B386)/1000,""))</f>
        <v/>
      </c>
      <c r="DH386" s="149" t="str">
        <f aca="false">IF(ISNUMBER($DG386),RANK($DG386,$DG$9:$DG$508,1),"")</f>
        <v/>
      </c>
      <c r="DI386" s="149" t="str">
        <f aca="false">IF(ISBLANK($C386),"",$B386)</f>
        <v/>
      </c>
      <c r="DJ386" s="149" t="str">
        <f aca="false">IF(ISBLANK($C386),"",$C386)</f>
        <v/>
      </c>
      <c r="DK386" s="149" t="str">
        <f aca="false">IF(ISBLANK($C386),"",$D386)</f>
        <v/>
      </c>
      <c r="DL386" s="150" t="str">
        <f aca="false">$CZ386</f>
        <v/>
      </c>
      <c r="DM386" s="151" t="str">
        <f aca="false">$CY386</f>
        <v/>
      </c>
      <c r="DN386" s="149" t="str">
        <f aca="false">IF(ISBLANK($C386),"",$DB386)</f>
        <v/>
      </c>
      <c r="DO386" s="152" t="str">
        <f aca="false">IF($DF386&gt;$DE$8,"",VLOOKUP($DF386,$DH$9:$DN$508,7,FALSE()))</f>
        <v/>
      </c>
      <c r="DP386" s="153" t="str">
        <f aca="false">IF($DF386&gt;$DE$8,"",VLOOKUP($DF386,$DH$9:$DN$508,2,FALSE()))</f>
        <v/>
      </c>
      <c r="DQ386" s="153" t="str">
        <f aca="false">IF($DF386&gt;$DE$8,"",VLOOKUP($DF386,$DH$9:$DN$508,3,FALSE()))</f>
        <v/>
      </c>
      <c r="DR386" s="153" t="str">
        <f aca="false">IF($DF386&gt;$DE$8,"",VLOOKUP($DF386,$DH$9:$DN$508,4,FALSE()))</f>
        <v/>
      </c>
      <c r="DS386" s="153" t="str">
        <f aca="false">IF($DF386&gt;$DE$8,"",VLOOKUP($DF386,$DH$9:$DN$508,5,FALSE()))</f>
        <v/>
      </c>
      <c r="DT386" s="154" t="str">
        <f aca="false">IF($DF386&gt;$DE$8,"",VLOOKUP($DF386,$DH$9:$DN$508,6,FALSE()))</f>
        <v/>
      </c>
      <c r="DU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IF(ISBLANK($C387),"",IF(E387=Constants!$B$3,TRUE(),IF(E387=Constants!$B$4,FALSE(),TRUE())))</f>
        <v/>
      </c>
      <c r="AG387" s="93" t="str">
        <f aca="false">IF(ISBLANK($C387),"",IF(F387=Constants!$B$3,TRUE(),IF(F387=Constants!$B$4,FALSE(),TRUE())))</f>
        <v/>
      </c>
      <c r="AH387" s="93" t="str">
        <f aca="false">IF(ISBLANK($C387),"",IF(G387=Constants!$B$3,TRUE(),IF(G387=Constants!$B$4,FALSE(),TRUE())))</f>
        <v/>
      </c>
      <c r="AI387" s="93" t="str">
        <f aca="false">IF(ISBLANK($C387),"",IF(AND(ISNUMBER(H387),H387&gt;=0),H387,Constants!$B$29))</f>
        <v/>
      </c>
      <c r="AJ387" s="93" t="str">
        <f aca="false">IF(ISBLANK($C387),"",IF(I387=Constants!$B$3,TRUE(),IF(I387=Constants!$B$4,FALSE(),TRUE())))</f>
        <v/>
      </c>
      <c r="AK387" s="93" t="str">
        <f aca="false">IF(ISBLANK($C387),"",IF(J387=Constants!$B$3,TRUE(),IF(J387=Constants!$B$4,FALSE(),TRUE())))</f>
        <v/>
      </c>
      <c r="AL387" s="93" t="str">
        <f aca="false">IF(ISBLANK($C387),"",IF(K387=Constants!$B$5,TRUE(),IF(K387=Constants!$B$6,FALSE(),COUNTA(L387:P387)&gt;0)))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IF(ISBLANK($C387),"",IF(N387=Constants!$B$3,TRUE(),IF(N387=Constants!$B$4,FALSE(),TRUE())))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IF(ISBLANK($C387),"",IF(P387=Constants!$B$3,TRUE(),IF(P387=Constants!$B$4,FALSE(),FALSE())))</f>
        <v/>
      </c>
      <c r="AR387" s="93" t="str">
        <f aca="false">IF(ISBLANK($C387),"",IF(Q387=Constants!$B$3,TRUE(),IF(Q387=Constants!$B$4,FALSE(),TRUE())))</f>
        <v/>
      </c>
      <c r="AS387" s="93" t="str">
        <f aca="false">IF(ISBLANK($C387),"",IF(R387=Constants!$B$3,TRUE(),IF(R387=Constants!$B$4,FALSE(),TRUE())))</f>
        <v/>
      </c>
      <c r="AT387" s="93" t="str">
        <f aca="false">IF(ISBLANK($C387),"",IF(S387=Constants!$B$5,TRUE(),IF(S387=Constants!$B$6,FALSE(),COUNTA(T387:X387)&gt;0)))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IF(ISBLANK($C387),"",IF(V387=Constants!$B$3,TRUE(),IF(V387=Constants!$B$4,FALSE(),TRUE())))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IF(ISBLANK($C387),"",IF(X387=Constants!$B$3,TRUE(),IF(X387=Constants!$B$4,FALSE(),FALSE())))</f>
        <v/>
      </c>
      <c r="AZ387" s="93" t="str">
        <f aca="false">IF(ISBLANK($C387),"",MIN(Constants!$B$31,MAX(0,IF(ISNUMBER(Y387),Y387*60,0)+IF(ISNUMBER(Z387),Z387,0))))</f>
        <v/>
      </c>
      <c r="BA387" s="93" t="str">
        <f aca="false">IF(ISBLANK($C387),"",IF(AA387=Constants!$B$3,TRUE(),IF(AA387=Constants!$B$4,FALSE(),FALSE())))</f>
        <v/>
      </c>
      <c r="BB387" s="92" t="str">
        <f aca="false">IF(ISBLANK($C387),"",AND($AL387,OR($AM387="",$AN387="",AND($AO387,$AP387=""))))</f>
        <v/>
      </c>
      <c r="BC387" s="94" t="str">
        <f aca="false">IF($BZ387&lt;&gt;Constants!$B$8,"",IF($AL387,Constants!$B$21*$AN387+Constants!$B$22*IF($AO387,$AP387,Constants!$B$23),Constants!$B$24))</f>
        <v/>
      </c>
      <c r="BD387" s="97" t="str">
        <f aca="false">IF($BZ387&lt;&gt;Constants!$B$8,"",Constants!$B$25*ABS($AD$9-IF($AL387,$AM387,0)))</f>
        <v/>
      </c>
      <c r="BE387" s="97" t="str">
        <f aca="false">IF($BZ387&lt;&gt;Constants!$B$8,"",IF(AND($AL387,$AQ387,$AO387),Constants!$B$27,0))</f>
        <v/>
      </c>
      <c r="BF387" s="97" t="str">
        <f aca="false">IF($BZ387&lt;&gt;Constants!$B$8,"",IF($AL387,($AI387-Constants!$B$29)*Constants!$B$28,0))</f>
        <v/>
      </c>
      <c r="BG387" s="97" t="str">
        <f aca="false">IF($BZ387&lt;&gt;Constants!$B$8,"",IF($AK387,0,Constants!$B$15)+IF($AJ387,0,Constants!$B$16)+IF($AH387,0,Constants!$B$17))</f>
        <v/>
      </c>
      <c r="BH387" s="98" t="str">
        <f aca="false">IF($BZ387&lt;&gt;Constants!$B$8,"",Constants!$B$20+SUM($BC387:$BG387))</f>
        <v/>
      </c>
      <c r="BI387" s="97" t="str">
        <f aca="false">IF($BZ387&lt;&gt;Constants!$B$8,"",$BC387)</f>
        <v/>
      </c>
      <c r="BJ387" s="97" t="str">
        <f aca="false">IF($BZ387&lt;&gt;Constants!$B$8,"",$BD387)</f>
        <v/>
      </c>
      <c r="BK387" s="97" t="str">
        <f aca="false">IF($BZ387&lt;&gt;Constants!$B$8,"",IF($AL387,$AN387,""))</f>
        <v/>
      </c>
      <c r="BL387" s="99" t="str">
        <f aca="false">IF($BZ387&lt;&gt;Constants!$B$8,"",$AI387)</f>
        <v/>
      </c>
      <c r="BM387" s="93" t="str">
        <f aca="false">IF($BZ387&lt;&gt;Constants!$B$8,"",IF(OR($BT387&lt;$BH387,AND($BT387=$BH387,OR($BU387&lt;$BI387,AND($BU387=$BI387,OR($BV387&lt;$BJ387,AND($BV387=$BJ387,OR(AND(ISNUMBER($BW387),OR(NOT(ISNUMBER($BK387)),$BW387&lt;$BK387)),AND(OR(AND($BW387="",$BK387=""),AND(ISNUMBER($BW387),ISNUMBER($BK387),$BW387=$BK387)),$BX387&lt;$BL387)))))))),"-&gt;","&lt;-"))</f>
        <v/>
      </c>
      <c r="BN387" s="92" t="str">
        <f aca="false">IF(ISBLANK($C387),"",AND($AT387,OR($AU387="",$AV387="",AND($AW387,$AX387=""))))</f>
        <v/>
      </c>
      <c r="BO387" s="94" t="str">
        <f aca="false">IF($BZ387&lt;&gt;Constants!$B$8,"",IF($AT387,Constants!$B$21*$AV387+Constants!$B$22*IF($AW387,$AX387,Constants!$B$23),Constants!$B$24))</f>
        <v/>
      </c>
      <c r="BP387" s="97" t="str">
        <f aca="false">IF($BZ387&lt;&gt;Constants!$B$8,"",Constants!$B$25*ABS($AD$9-IF($AT387,$AU387,0)))</f>
        <v/>
      </c>
      <c r="BQ387" s="97" t="str">
        <f aca="false">IF($BZ387&lt;&gt;Constants!$B$8,"",IF(AND($AT387,$AY387,$AW387),Constants!$B$27,0))</f>
        <v/>
      </c>
      <c r="BR387" s="97" t="str">
        <f aca="false">IF($BZ387&lt;&gt;Constants!$B$8,"",IF($AT387,($AI387-Constants!$B$29)*Constants!$B$28,0))</f>
        <v/>
      </c>
      <c r="BS387" s="97" t="str">
        <f aca="false">IF($BZ387&lt;&gt;Constants!$B$8,"",IF($AS387,0,Constants!$B$15)+IF($AR387,0,Constants!$B$16)+IF($AH387,0,Constants!$B$17))</f>
        <v/>
      </c>
      <c r="BT387" s="98" t="str">
        <f aca="false">IF($BZ387&lt;&gt;Constants!$B$8,"",Constants!$B$20+SUM($BO387:$BS387))</f>
        <v/>
      </c>
      <c r="BU387" s="97" t="str">
        <f aca="false">IF($BZ387&lt;&gt;Constants!$B$8,"",$BO387)</f>
        <v/>
      </c>
      <c r="BV387" s="97" t="str">
        <f aca="false">IF($BZ387&lt;&gt;Constants!$B$8,"",$BP387)</f>
        <v/>
      </c>
      <c r="BW387" s="97" t="str">
        <f aca="false">IF($BZ387&lt;&gt;Constants!$B$8,"",IF($AT387,$AV387,""))</f>
        <v/>
      </c>
      <c r="BX387" s="99" t="str">
        <f aca="false">IF($BZ387&lt;&gt;Constants!$B$8,"",$AI387)</f>
        <v/>
      </c>
      <c r="BY387" s="93" t="str">
        <f aca="false">IF(ISBLANK($C387),"",IF(ISBLANK($D$7),$BY$5,IF(NOT(ISNUMBER($D$7)),$BY$6,"")))</f>
        <v/>
      </c>
      <c r="BZ387" s="93" t="str">
        <f aca="false">IF(ISBLANK($C387),"",IF($BA387,Constants!$B$11,IF(COUNTA($E387:$AA387)=0,Constants!$B$10,IF(NOT($AG387),Constants!$B$9,IF(OR($BY387&lt;&gt;"",$BB387,$BN387),Constants!$B$12,Constants!$B$8)))))</f>
        <v/>
      </c>
      <c r="CA387" s="93" t="str">
        <f aca="false">IF(ISBLANK($C387),"",IF($BZ387&lt;&gt;Constants!$B$8,$BZ387,Constants!$B$13))</f>
        <v/>
      </c>
      <c r="CB387" s="97" t="str">
        <f aca="false">IF($BZ387&lt;&gt;Constants!$B$8,"",IF($BM387="-&gt;",$BT387,$BH387))</f>
        <v/>
      </c>
      <c r="CC387" s="97" t="str">
        <f aca="false">IF($BZ387&lt;&gt;Constants!$B$8,"",IF($AF387,0,Constants!$B$18))</f>
        <v/>
      </c>
      <c r="CD387" s="97" t="str">
        <f aca="false">IF($BZ387&lt;&gt;Constants!$B$8,"",((Constants!$B$31-$AZ387)-Constants!$B$31)/Constants!$B$32)</f>
        <v/>
      </c>
      <c r="CE387" s="97" t="str">
        <f aca="false">IF(ISBLANK($C387),"",IF($BZ387&lt;&gt;Constants!$B$8,$BZ387,SUM($CB387:$CD387)))</f>
        <v/>
      </c>
      <c r="CF387" s="93" t="str">
        <f aca="false">IF(ISBLANK($C387),"",IF($BZ387&lt;&gt;Constants!$B$8,$BZ387,RANK($CE387,$CE$9:$CE$508,1)))</f>
        <v/>
      </c>
      <c r="CG387" s="97" t="str">
        <f aca="false">IF($BZ387&lt;&gt;Constants!$B$8,"",IF($BM387="-&gt;",$BU387,$BI387))</f>
        <v/>
      </c>
      <c r="CH387" s="93" t="str">
        <f aca="false">IF(ISBLANK($C387),"",IF($BZ387&lt;&gt;Constants!$B$8,$BZ387,IF(ISNUMBER($CG387),RANK($CG387,$CG$9:$CG$508,1),COUNT($CG$9:$CG$508)+1)))</f>
        <v/>
      </c>
      <c r="CI387" s="97" t="str">
        <f aca="false">IF($BZ387&lt;&gt;Constants!$B$8,"",IF($BM387="-&gt;",$BV387,$BJ387))</f>
        <v/>
      </c>
      <c r="CJ387" s="93" t="str">
        <f aca="false">IF(ISBLANK($C387),"",IF($BZ387&lt;&gt;Constants!$B$8,$BZ387,IF(ISNUMBER($CI387),RANK($CI387,$CI$9:$CI$508,1),COUNT($CI$9:$CI$508)+1)))</f>
        <v/>
      </c>
      <c r="CK387" s="97" t="str">
        <f aca="false">IF($BZ387&lt;&gt;Constants!$B$8,"",IF($BM387="-&gt;",$BW387,$BK387))</f>
        <v/>
      </c>
      <c r="CL387" s="93" t="str">
        <f aca="false">IF(ISBLANK($C387),"",IF($BZ387&lt;&gt;Constants!$B$8,$BZ387,IF(ISNUMBER($CK387),RANK($CK387,$CK$9:$CK$508,1),COUNT($CK$9:$CK$508)+1)))</f>
        <v/>
      </c>
      <c r="CM387" s="97" t="str">
        <f aca="false">IF($BZ387&lt;&gt;Constants!$B$8,"",IF(AND(NOT($AL387),NOT($AT387),$AJ387,$AK387,$AR387,$AS387),"",IF($BM387="-&gt;",$BX387,$BL387)))</f>
        <v/>
      </c>
      <c r="CN387" s="93" t="str">
        <f aca="false">IF(ISBLANK($C387),"",IF($BZ387&lt;&gt;Constants!$B$8,$BZ387,IF(ISNUMBER($CM387),RANK($CM387,$CM$9:$CM$508,1),COUNT($CM$9:$CM$508)+1)))</f>
        <v/>
      </c>
      <c r="CO387" s="93" t="str">
        <f aca="false">IF(ISBLANK($C387),"",IF($BZ387&lt;&gt;Constants!$B$8,$BZ387,COUNTIFS($CF$9:$CF$508,"&lt;"&amp;$CF387)+COUNTIFS($CF$9:$CF$508,$CF387,$CH$9:$CH$508,"&lt;"&amp;$CH387)+COUNTIFS($CF$9:$CF$508,$CF387,$CH$9:$CH$508,$CH387,$CJ$9:$CJ$508,"&lt;"&amp;$CJ387)+COUNTIFS($CF$9:$CF$508,$CF387,$CH$9:$CH$508,$CH387,$CJ$9:$CJ$508,$CJ387,$CL$9:$CL$508,"&lt;"&amp;$CL387)+COUNTIFS($CF$9:$CF$508,$CF387,$CH$9:$CH$508,$CH387,$CJ$9:$CJ$508,$CJ387,$CL$9:$CL$508,$CL387,$CN$9:$CN$508,"&lt;"&amp;$CN387)+1))</f>
        <v/>
      </c>
      <c r="CP387" s="93" t="str">
        <f aca="false">IF(ISBLANK($C387),"",IF($BZ387&lt;&gt;Constants!$B$8,$BZ387,$CF387-$CO387))</f>
        <v/>
      </c>
      <c r="CQ387" s="100"/>
      <c r="CR387" s="101"/>
      <c r="CS387" s="102" t="str">
        <f aca="false">IF(ISBLANK($C387),"",IF($BZ387=Constants!$B$12,$BY387,""))</f>
        <v/>
      </c>
      <c r="CT387" s="101" t="str">
        <f aca="false">IF(ISBLANK($C387),"",IF($BZ387&lt;&gt;Constants!$B$8,"",IF($BM387="-&gt;",2,1)))</f>
        <v/>
      </c>
      <c r="CU387" s="103" t="str">
        <f aca="false">IF(ISBLANK($C387),"",IF($BZ387&lt;&gt;Constants!$B$8,"",IF($BM387="-&gt;",$BO387,$BC387)))</f>
        <v/>
      </c>
      <c r="CV387" s="103" t="str">
        <f aca="false">IF(ISBLANK($C387),"",IF($BZ387&lt;&gt;Constants!$B$8,"",IF($BM387="-&gt;",$BP387,$BD387)))</f>
        <v/>
      </c>
      <c r="CW387" s="103" t="str">
        <f aca="false">IF(ISBLANK($C387),"",IF($BZ387&lt;&gt;Constants!$B$8,"",IF($BM387="-&gt;",$BQ387+$BR387,$BE387+$BF387)+$CD387))</f>
        <v/>
      </c>
      <c r="CX387" s="103" t="str">
        <f aca="false">IF(ISBLANK($C387),"",IF($BZ387&lt;&gt;Constants!$B$8,"",IF($BM387="-&gt;",$BS387,$BG387)+$CC387))</f>
        <v/>
      </c>
      <c r="CY387" s="104" t="str">
        <f aca="false">IF(ISBLANK($C387),"",IF($BZ387&lt;&gt;Constants!$B$8,$BZ387,$CE387))</f>
        <v/>
      </c>
      <c r="CZ387" s="105" t="str">
        <f aca="false">IF(ISBLANK($C387),"",$CA387)</f>
        <v/>
      </c>
      <c r="DA387" s="106" t="str">
        <f aca="false">IF(ISBLANK($C387),"",$CP387)</f>
        <v/>
      </c>
      <c r="DB387" s="106" t="str">
        <f aca="false">IF(ISBLANK($C387),"",$CO387)</f>
        <v/>
      </c>
      <c r="DC387" s="107" t="str">
        <f aca="false">IF(ISBLANK($C387),"",IFERROR(_xlfn.SWITCH($DB387,Constants!$B$11,COUNTA($C$9:$C$508)+2,Constants!$B$10,COUNTA($C$9:$C$508)+1,Constants!$B$9,COUNTA($C$9:$C$508)),$DB387))</f>
        <v/>
      </c>
      <c r="DD387" s="9"/>
      <c r="DE387" s="108" t="n">
        <f aca="false">IF(OR(ISNUMBER($DB387),$DB387=Constants!$B$11,$DB387=Constants!$B$9,$DB387=Constants!$B$10),1,0)</f>
        <v>0</v>
      </c>
      <c r="DF387" s="108" t="n">
        <v>379</v>
      </c>
      <c r="DG387" s="108" t="str">
        <f aca="false">IF(ISBLANK($C387),"",IF(ISNUMBER($DC387),$DC387+ROW($B387)/1000,""))</f>
        <v/>
      </c>
      <c r="DH387" s="108" t="str">
        <f aca="false">IF(ISNUMBER($DG387),RANK($DG387,$DG$9:$DG$508,1),"")</f>
        <v/>
      </c>
      <c r="DI387" s="108" t="str">
        <f aca="false">IF(ISBLANK($C387),"",$B387)</f>
        <v/>
      </c>
      <c r="DJ387" s="108" t="str">
        <f aca="false">IF(ISBLANK($C387),"",$C387)</f>
        <v/>
      </c>
      <c r="DK387" s="108" t="str">
        <f aca="false">IF(ISBLANK($C387),"",$D387)</f>
        <v/>
      </c>
      <c r="DL387" s="109" t="str">
        <f aca="false">$CZ387</f>
        <v/>
      </c>
      <c r="DM387" s="110" t="str">
        <f aca="false">$CY387</f>
        <v/>
      </c>
      <c r="DN387" s="108" t="str">
        <f aca="false">IF(ISBLANK($C387),"",$DB387)</f>
        <v/>
      </c>
      <c r="DO387" s="111" t="str">
        <f aca="false">IF($DF387&gt;$DE$8,"",VLOOKUP($DF387,$DH$9:$DN$508,7,FALSE()))</f>
        <v/>
      </c>
      <c r="DP387" s="112" t="str">
        <f aca="false">IF($DF387&gt;$DE$8,"",VLOOKUP($DF387,$DH$9:$DN$508,2,FALSE()))</f>
        <v/>
      </c>
      <c r="DQ387" s="112" t="str">
        <f aca="false">IF($DF387&gt;$DE$8,"",VLOOKUP($DF387,$DH$9:$DN$508,3,FALSE()))</f>
        <v/>
      </c>
      <c r="DR387" s="112" t="str">
        <f aca="false">IF($DF387&gt;$DE$8,"",VLOOKUP($DF387,$DH$9:$DN$508,4,FALSE()))</f>
        <v/>
      </c>
      <c r="DS387" s="112" t="str">
        <f aca="false">IF($DF387&gt;$DE$8,"",VLOOKUP($DF387,$DH$9:$DN$508,5,FALSE()))</f>
        <v/>
      </c>
      <c r="DT387" s="113" t="str">
        <f aca="false">IF($DF387&gt;$DE$8,"",VLOOKUP($DF387,$DH$9:$DN$508,6,FALSE()))</f>
        <v/>
      </c>
      <c r="DU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IF(ISBLANK($C388),"",IF(E388=Constants!$B$3,TRUE(),IF(E388=Constants!$B$4,FALSE(),TRUE())))</f>
        <v/>
      </c>
      <c r="AG388" s="93" t="str">
        <f aca="false">IF(ISBLANK($C388),"",IF(F388=Constants!$B$3,TRUE(),IF(F388=Constants!$B$4,FALSE(),TRUE())))</f>
        <v/>
      </c>
      <c r="AH388" s="93" t="str">
        <f aca="false">IF(ISBLANK($C388),"",IF(G388=Constants!$B$3,TRUE(),IF(G388=Constants!$B$4,FALSE(),TRUE())))</f>
        <v/>
      </c>
      <c r="AI388" s="93" t="str">
        <f aca="false">IF(ISBLANK($C388),"",IF(AND(ISNUMBER(H388),H388&gt;=0),H388,Constants!$B$29))</f>
        <v/>
      </c>
      <c r="AJ388" s="93" t="str">
        <f aca="false">IF(ISBLANK($C388),"",IF(I388=Constants!$B$3,TRUE(),IF(I388=Constants!$B$4,FALSE(),TRUE())))</f>
        <v/>
      </c>
      <c r="AK388" s="93" t="str">
        <f aca="false">IF(ISBLANK($C388),"",IF(J388=Constants!$B$3,TRUE(),IF(J388=Constants!$B$4,FALSE(),TRUE())))</f>
        <v/>
      </c>
      <c r="AL388" s="93" t="str">
        <f aca="false">IF(ISBLANK($C388),"",IF(K388=Constants!$B$5,TRUE(),IF(K388=Constants!$B$6,FALSE(),COUNTA(L388:P388)&gt;0)))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IF(ISBLANK($C388),"",IF(N388=Constants!$B$3,TRUE(),IF(N388=Constants!$B$4,FALSE(),TRUE())))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IF(ISBLANK($C388),"",IF(P388=Constants!$B$3,TRUE(),IF(P388=Constants!$B$4,FALSE(),FALSE())))</f>
        <v/>
      </c>
      <c r="AR388" s="93" t="str">
        <f aca="false">IF(ISBLANK($C388),"",IF(Q388=Constants!$B$3,TRUE(),IF(Q388=Constants!$B$4,FALSE(),TRUE())))</f>
        <v/>
      </c>
      <c r="AS388" s="93" t="str">
        <f aca="false">IF(ISBLANK($C388),"",IF(R388=Constants!$B$3,TRUE(),IF(R388=Constants!$B$4,FALSE(),TRUE())))</f>
        <v/>
      </c>
      <c r="AT388" s="93" t="str">
        <f aca="false">IF(ISBLANK($C388),"",IF(S388=Constants!$B$5,TRUE(),IF(S388=Constants!$B$6,FALSE(),COUNTA(T388:X388)&gt;0)))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IF(ISBLANK($C388),"",IF(V388=Constants!$B$3,TRUE(),IF(V388=Constants!$B$4,FALSE(),TRUE())))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IF(ISBLANK($C388),"",IF(X388=Constants!$B$3,TRUE(),IF(X388=Constants!$B$4,FALSE(),FALSE())))</f>
        <v/>
      </c>
      <c r="AZ388" s="93" t="str">
        <f aca="false">IF(ISBLANK($C388),"",MIN(Constants!$B$31,MAX(0,IF(ISNUMBER(Y388),Y388*60,0)+IF(ISNUMBER(Z388),Z388,0))))</f>
        <v/>
      </c>
      <c r="BA388" s="93" t="str">
        <f aca="false">IF(ISBLANK($C388),"",IF(AA388=Constants!$B$3,TRUE(),IF(AA388=Constants!$B$4,FALSE(),FALSE())))</f>
        <v/>
      </c>
      <c r="BB388" s="92" t="str">
        <f aca="false">IF(ISBLANK($C388),"",AND($AL388,OR($AM388="",$AN388="",AND($AO388,$AP388=""))))</f>
        <v/>
      </c>
      <c r="BC388" s="94" t="str">
        <f aca="false">IF($BZ388&lt;&gt;Constants!$B$8,"",IF($AL388,Constants!$B$21*$AN388+Constants!$B$22*IF($AO388,$AP388,Constants!$B$23),Constants!$B$24))</f>
        <v/>
      </c>
      <c r="BD388" s="97" t="str">
        <f aca="false">IF($BZ388&lt;&gt;Constants!$B$8,"",Constants!$B$25*ABS($AD$9-IF($AL388,$AM388,0)))</f>
        <v/>
      </c>
      <c r="BE388" s="97" t="str">
        <f aca="false">IF($BZ388&lt;&gt;Constants!$B$8,"",IF(AND($AL388,$AQ388,$AO388),Constants!$B$27,0))</f>
        <v/>
      </c>
      <c r="BF388" s="97" t="str">
        <f aca="false">IF($BZ388&lt;&gt;Constants!$B$8,"",IF($AL388,($AI388-Constants!$B$29)*Constants!$B$28,0))</f>
        <v/>
      </c>
      <c r="BG388" s="97" t="str">
        <f aca="false">IF($BZ388&lt;&gt;Constants!$B$8,"",IF($AK388,0,Constants!$B$15)+IF($AJ388,0,Constants!$B$16)+IF($AH388,0,Constants!$B$17))</f>
        <v/>
      </c>
      <c r="BH388" s="98" t="str">
        <f aca="false">IF($BZ388&lt;&gt;Constants!$B$8,"",Constants!$B$20+SUM($BC388:$BG388))</f>
        <v/>
      </c>
      <c r="BI388" s="97" t="str">
        <f aca="false">IF($BZ388&lt;&gt;Constants!$B$8,"",$BC388)</f>
        <v/>
      </c>
      <c r="BJ388" s="97" t="str">
        <f aca="false">IF($BZ388&lt;&gt;Constants!$B$8,"",$BD388)</f>
        <v/>
      </c>
      <c r="BK388" s="97" t="str">
        <f aca="false">IF($BZ388&lt;&gt;Constants!$B$8,"",IF($AL388,$AN388,""))</f>
        <v/>
      </c>
      <c r="BL388" s="99" t="str">
        <f aca="false">IF($BZ388&lt;&gt;Constants!$B$8,"",$AI388)</f>
        <v/>
      </c>
      <c r="BM388" s="93" t="str">
        <f aca="false">IF($BZ388&lt;&gt;Constants!$B$8,"",IF(OR($BT388&lt;$BH388,AND($BT388=$BH388,OR($BU388&lt;$BI388,AND($BU388=$BI388,OR($BV388&lt;$BJ388,AND($BV388=$BJ388,OR(AND(ISNUMBER($BW388),OR(NOT(ISNUMBER($BK388)),$BW388&lt;$BK388)),AND(OR(AND($BW388="",$BK388=""),AND(ISNUMBER($BW388),ISNUMBER($BK388),$BW388=$BK388)),$BX388&lt;$BL388)))))))),"-&gt;","&lt;-"))</f>
        <v/>
      </c>
      <c r="BN388" s="92" t="str">
        <f aca="false">IF(ISBLANK($C388),"",AND($AT388,OR($AU388="",$AV388="",AND($AW388,$AX388=""))))</f>
        <v/>
      </c>
      <c r="BO388" s="94" t="str">
        <f aca="false">IF($BZ388&lt;&gt;Constants!$B$8,"",IF($AT388,Constants!$B$21*$AV388+Constants!$B$22*IF($AW388,$AX388,Constants!$B$23),Constants!$B$24))</f>
        <v/>
      </c>
      <c r="BP388" s="97" t="str">
        <f aca="false">IF($BZ388&lt;&gt;Constants!$B$8,"",Constants!$B$25*ABS($AD$9-IF($AT388,$AU388,0)))</f>
        <v/>
      </c>
      <c r="BQ388" s="97" t="str">
        <f aca="false">IF($BZ388&lt;&gt;Constants!$B$8,"",IF(AND($AT388,$AY388,$AW388),Constants!$B$27,0))</f>
        <v/>
      </c>
      <c r="BR388" s="97" t="str">
        <f aca="false">IF($BZ388&lt;&gt;Constants!$B$8,"",IF($AT388,($AI388-Constants!$B$29)*Constants!$B$28,0))</f>
        <v/>
      </c>
      <c r="BS388" s="97" t="str">
        <f aca="false">IF($BZ388&lt;&gt;Constants!$B$8,"",IF($AS388,0,Constants!$B$15)+IF($AR388,0,Constants!$B$16)+IF($AH388,0,Constants!$B$17))</f>
        <v/>
      </c>
      <c r="BT388" s="98" t="str">
        <f aca="false">IF($BZ388&lt;&gt;Constants!$B$8,"",Constants!$B$20+SUM($BO388:$BS388))</f>
        <v/>
      </c>
      <c r="BU388" s="97" t="str">
        <f aca="false">IF($BZ388&lt;&gt;Constants!$B$8,"",$BO388)</f>
        <v/>
      </c>
      <c r="BV388" s="97" t="str">
        <f aca="false">IF($BZ388&lt;&gt;Constants!$B$8,"",$BP388)</f>
        <v/>
      </c>
      <c r="BW388" s="97" t="str">
        <f aca="false">IF($BZ388&lt;&gt;Constants!$B$8,"",IF($AT388,$AV388,""))</f>
        <v/>
      </c>
      <c r="BX388" s="99" t="str">
        <f aca="false">IF($BZ388&lt;&gt;Constants!$B$8,"",$AI388)</f>
        <v/>
      </c>
      <c r="BY388" s="93" t="str">
        <f aca="false">IF(ISBLANK($C388),"",IF(ISBLANK($D$7),$BY$5,IF(NOT(ISNUMBER($D$7)),$BY$6,"")))</f>
        <v/>
      </c>
      <c r="BZ388" s="93" t="str">
        <f aca="false">IF(ISBLANK($C388),"",IF($BA388,Constants!$B$11,IF(COUNTA($E388:$AA388)=0,Constants!$B$10,IF(NOT($AG388),Constants!$B$9,IF(OR($BY388&lt;&gt;"",$BB388,$BN388),Constants!$B$12,Constants!$B$8)))))</f>
        <v/>
      </c>
      <c r="CA388" s="93" t="str">
        <f aca="false">IF(ISBLANK($C388),"",IF($BZ388&lt;&gt;Constants!$B$8,$BZ388,Constants!$B$13))</f>
        <v/>
      </c>
      <c r="CB388" s="97" t="str">
        <f aca="false">IF($BZ388&lt;&gt;Constants!$B$8,"",IF($BM388="-&gt;",$BT388,$BH388))</f>
        <v/>
      </c>
      <c r="CC388" s="97" t="str">
        <f aca="false">IF($BZ388&lt;&gt;Constants!$B$8,"",IF($AF388,0,Constants!$B$18))</f>
        <v/>
      </c>
      <c r="CD388" s="97" t="str">
        <f aca="false">IF($BZ388&lt;&gt;Constants!$B$8,"",((Constants!$B$31-$AZ388)-Constants!$B$31)/Constants!$B$32)</f>
        <v/>
      </c>
      <c r="CE388" s="97" t="str">
        <f aca="false">IF(ISBLANK($C388),"",IF($BZ388&lt;&gt;Constants!$B$8,$BZ388,SUM($CB388:$CD388)))</f>
        <v/>
      </c>
      <c r="CF388" s="93" t="str">
        <f aca="false">IF(ISBLANK($C388),"",IF($BZ388&lt;&gt;Constants!$B$8,$BZ388,RANK($CE388,$CE$9:$CE$508,1)))</f>
        <v/>
      </c>
      <c r="CG388" s="97" t="str">
        <f aca="false">IF($BZ388&lt;&gt;Constants!$B$8,"",IF($BM388="-&gt;",$BU388,$BI388))</f>
        <v/>
      </c>
      <c r="CH388" s="93" t="str">
        <f aca="false">IF(ISBLANK($C388),"",IF($BZ388&lt;&gt;Constants!$B$8,$BZ388,IF(ISNUMBER($CG388),RANK($CG388,$CG$9:$CG$508,1),COUNT($CG$9:$CG$508)+1)))</f>
        <v/>
      </c>
      <c r="CI388" s="97" t="str">
        <f aca="false">IF($BZ388&lt;&gt;Constants!$B$8,"",IF($BM388="-&gt;",$BV388,$BJ388))</f>
        <v/>
      </c>
      <c r="CJ388" s="93" t="str">
        <f aca="false">IF(ISBLANK($C388),"",IF($BZ388&lt;&gt;Constants!$B$8,$BZ388,IF(ISNUMBER($CI388),RANK($CI388,$CI$9:$CI$508,1),COUNT($CI$9:$CI$508)+1)))</f>
        <v/>
      </c>
      <c r="CK388" s="97" t="str">
        <f aca="false">IF($BZ388&lt;&gt;Constants!$B$8,"",IF($BM388="-&gt;",$BW388,$BK388))</f>
        <v/>
      </c>
      <c r="CL388" s="93" t="str">
        <f aca="false">IF(ISBLANK($C388),"",IF($BZ388&lt;&gt;Constants!$B$8,$BZ388,IF(ISNUMBER($CK388),RANK($CK388,$CK$9:$CK$508,1),COUNT($CK$9:$CK$508)+1)))</f>
        <v/>
      </c>
      <c r="CM388" s="97" t="str">
        <f aca="false">IF($BZ388&lt;&gt;Constants!$B$8,"",IF(AND(NOT($AL388),NOT($AT388),$AJ388,$AK388,$AR388,$AS388),"",IF($BM388="-&gt;",$BX388,$BL388)))</f>
        <v/>
      </c>
      <c r="CN388" s="93" t="str">
        <f aca="false">IF(ISBLANK($C388),"",IF($BZ388&lt;&gt;Constants!$B$8,$BZ388,IF(ISNUMBER($CM388),RANK($CM388,$CM$9:$CM$508,1),COUNT($CM$9:$CM$508)+1)))</f>
        <v/>
      </c>
      <c r="CO388" s="93" t="str">
        <f aca="false">IF(ISBLANK($C388),"",IF($BZ388&lt;&gt;Constants!$B$8,$BZ388,COUNTIFS($CF$9:$CF$508,"&lt;"&amp;$CF388)+COUNTIFS($CF$9:$CF$508,$CF388,$CH$9:$CH$508,"&lt;"&amp;$CH388)+COUNTIFS($CF$9:$CF$508,$CF388,$CH$9:$CH$508,$CH388,$CJ$9:$CJ$508,"&lt;"&amp;$CJ388)+COUNTIFS($CF$9:$CF$508,$CF388,$CH$9:$CH$508,$CH388,$CJ$9:$CJ$508,$CJ388,$CL$9:$CL$508,"&lt;"&amp;$CL388)+COUNTIFS($CF$9:$CF$508,$CF388,$CH$9:$CH$508,$CH388,$CJ$9:$CJ$508,$CJ388,$CL$9:$CL$508,$CL388,$CN$9:$CN$508,"&lt;"&amp;$CN388)+1))</f>
        <v/>
      </c>
      <c r="CP388" s="93" t="str">
        <f aca="false">IF(ISBLANK($C388),"",IF($BZ388&lt;&gt;Constants!$B$8,$BZ388,$CF388-$CO388))</f>
        <v/>
      </c>
      <c r="CQ388" s="100"/>
      <c r="CR388" s="101"/>
      <c r="CS388" s="102" t="str">
        <f aca="false">IF(ISBLANK($C388),"",IF($BZ388=Constants!$B$12,$BY388,""))</f>
        <v/>
      </c>
      <c r="CT388" s="101" t="str">
        <f aca="false">IF(ISBLANK($C388),"",IF($BZ388&lt;&gt;Constants!$B$8,"",IF($BM388="-&gt;",2,1)))</f>
        <v/>
      </c>
      <c r="CU388" s="103" t="str">
        <f aca="false">IF(ISBLANK($C388),"",IF($BZ388&lt;&gt;Constants!$B$8,"",IF($BM388="-&gt;",$BO388,$BC388)))</f>
        <v/>
      </c>
      <c r="CV388" s="103" t="str">
        <f aca="false">IF(ISBLANK($C388),"",IF($BZ388&lt;&gt;Constants!$B$8,"",IF($BM388="-&gt;",$BP388,$BD388)))</f>
        <v/>
      </c>
      <c r="CW388" s="103" t="str">
        <f aca="false">IF(ISBLANK($C388),"",IF($BZ388&lt;&gt;Constants!$B$8,"",IF($BM388="-&gt;",$BQ388+$BR388,$BE388+$BF388)+$CD388))</f>
        <v/>
      </c>
      <c r="CX388" s="103" t="str">
        <f aca="false">IF(ISBLANK($C388),"",IF($BZ388&lt;&gt;Constants!$B$8,"",IF($BM388="-&gt;",$BS388,$BG388)+$CC388))</f>
        <v/>
      </c>
      <c r="CY388" s="104" t="str">
        <f aca="false">IF(ISBLANK($C388),"",IF($BZ388&lt;&gt;Constants!$B$8,$BZ388,$CE388))</f>
        <v/>
      </c>
      <c r="CZ388" s="105" t="str">
        <f aca="false">IF(ISBLANK($C388),"",$CA388)</f>
        <v/>
      </c>
      <c r="DA388" s="106" t="str">
        <f aca="false">IF(ISBLANK($C388),"",$CP388)</f>
        <v/>
      </c>
      <c r="DB388" s="106" t="str">
        <f aca="false">IF(ISBLANK($C388),"",$CO388)</f>
        <v/>
      </c>
      <c r="DC388" s="107" t="str">
        <f aca="false">IF(ISBLANK($C388),"",IFERROR(_xlfn.SWITCH($DB388,Constants!$B$11,COUNTA($C$9:$C$508)+2,Constants!$B$10,COUNTA($C$9:$C$508)+1,Constants!$B$9,COUNTA($C$9:$C$508)),$DB388))</f>
        <v/>
      </c>
      <c r="DD388" s="9"/>
      <c r="DE388" s="108" t="n">
        <f aca="false">IF(OR(ISNUMBER($DB388),$DB388=Constants!$B$11,$DB388=Constants!$B$9,$DB388=Constants!$B$10),1,0)</f>
        <v>0</v>
      </c>
      <c r="DF388" s="108" t="n">
        <v>380</v>
      </c>
      <c r="DG388" s="108" t="str">
        <f aca="false">IF(ISBLANK($C388),"",IF(ISNUMBER($DC388),$DC388+ROW($B388)/1000,""))</f>
        <v/>
      </c>
      <c r="DH388" s="108" t="str">
        <f aca="false">IF(ISNUMBER($DG388),RANK($DG388,$DG$9:$DG$508,1),"")</f>
        <v/>
      </c>
      <c r="DI388" s="108" t="str">
        <f aca="false">IF(ISBLANK($C388),"",$B388)</f>
        <v/>
      </c>
      <c r="DJ388" s="108" t="str">
        <f aca="false">IF(ISBLANK($C388),"",$C388)</f>
        <v/>
      </c>
      <c r="DK388" s="108" t="str">
        <f aca="false">IF(ISBLANK($C388),"",$D388)</f>
        <v/>
      </c>
      <c r="DL388" s="109" t="str">
        <f aca="false">$CZ388</f>
        <v/>
      </c>
      <c r="DM388" s="110" t="str">
        <f aca="false">$CY388</f>
        <v/>
      </c>
      <c r="DN388" s="108" t="str">
        <f aca="false">IF(ISBLANK($C388),"",$DB388)</f>
        <v/>
      </c>
      <c r="DO388" s="111" t="str">
        <f aca="false">IF($DF388&gt;$DE$8,"",VLOOKUP($DF388,$DH$9:$DN$508,7,FALSE()))</f>
        <v/>
      </c>
      <c r="DP388" s="112" t="str">
        <f aca="false">IF($DF388&gt;$DE$8,"",VLOOKUP($DF388,$DH$9:$DN$508,2,FALSE()))</f>
        <v/>
      </c>
      <c r="DQ388" s="112" t="str">
        <f aca="false">IF($DF388&gt;$DE$8,"",VLOOKUP($DF388,$DH$9:$DN$508,3,FALSE()))</f>
        <v/>
      </c>
      <c r="DR388" s="112" t="str">
        <f aca="false">IF($DF388&gt;$DE$8,"",VLOOKUP($DF388,$DH$9:$DN$508,4,FALSE()))</f>
        <v/>
      </c>
      <c r="DS388" s="112" t="str">
        <f aca="false">IF($DF388&gt;$DE$8,"",VLOOKUP($DF388,$DH$9:$DN$508,5,FALSE()))</f>
        <v/>
      </c>
      <c r="DT388" s="113" t="str">
        <f aca="false">IF($DF388&gt;$DE$8,"",VLOOKUP($DF388,$DH$9:$DN$508,6,FALSE()))</f>
        <v/>
      </c>
      <c r="DU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IF(ISBLANK($C389),"",IF(E389=Constants!$B$3,TRUE(),IF(E389=Constants!$B$4,FALSE(),TRUE())))</f>
        <v/>
      </c>
      <c r="AG389" s="93" t="str">
        <f aca="false">IF(ISBLANK($C389),"",IF(F389=Constants!$B$3,TRUE(),IF(F389=Constants!$B$4,FALSE(),TRUE())))</f>
        <v/>
      </c>
      <c r="AH389" s="93" t="str">
        <f aca="false">IF(ISBLANK($C389),"",IF(G389=Constants!$B$3,TRUE(),IF(G389=Constants!$B$4,FALSE(),TRUE())))</f>
        <v/>
      </c>
      <c r="AI389" s="93" t="str">
        <f aca="false">IF(ISBLANK($C389),"",IF(AND(ISNUMBER(H389),H389&gt;=0),H389,Constants!$B$29))</f>
        <v/>
      </c>
      <c r="AJ389" s="93" t="str">
        <f aca="false">IF(ISBLANK($C389),"",IF(I389=Constants!$B$3,TRUE(),IF(I389=Constants!$B$4,FALSE(),TRUE())))</f>
        <v/>
      </c>
      <c r="AK389" s="93" t="str">
        <f aca="false">IF(ISBLANK($C389),"",IF(J389=Constants!$B$3,TRUE(),IF(J389=Constants!$B$4,FALSE(),TRUE())))</f>
        <v/>
      </c>
      <c r="AL389" s="93" t="str">
        <f aca="false">IF(ISBLANK($C389),"",IF(K389=Constants!$B$5,TRUE(),IF(K389=Constants!$B$6,FALSE(),COUNTA(L389:P389)&gt;0)))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IF(ISBLANK($C389),"",IF(N389=Constants!$B$3,TRUE(),IF(N389=Constants!$B$4,FALSE(),TRUE())))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IF(ISBLANK($C389),"",IF(P389=Constants!$B$3,TRUE(),IF(P389=Constants!$B$4,FALSE(),FALSE())))</f>
        <v/>
      </c>
      <c r="AR389" s="93" t="str">
        <f aca="false">IF(ISBLANK($C389),"",IF(Q389=Constants!$B$3,TRUE(),IF(Q389=Constants!$B$4,FALSE(),TRUE())))</f>
        <v/>
      </c>
      <c r="AS389" s="93" t="str">
        <f aca="false">IF(ISBLANK($C389),"",IF(R389=Constants!$B$3,TRUE(),IF(R389=Constants!$B$4,FALSE(),TRUE())))</f>
        <v/>
      </c>
      <c r="AT389" s="93" t="str">
        <f aca="false">IF(ISBLANK($C389),"",IF(S389=Constants!$B$5,TRUE(),IF(S389=Constants!$B$6,FALSE(),COUNTA(T389:X389)&gt;0)))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IF(ISBLANK($C389),"",IF(V389=Constants!$B$3,TRUE(),IF(V389=Constants!$B$4,FALSE(),TRUE())))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IF(ISBLANK($C389),"",IF(X389=Constants!$B$3,TRUE(),IF(X389=Constants!$B$4,FALSE(),FALSE())))</f>
        <v/>
      </c>
      <c r="AZ389" s="93" t="str">
        <f aca="false">IF(ISBLANK($C389),"",MIN(Constants!$B$31,MAX(0,IF(ISNUMBER(Y389),Y389*60,0)+IF(ISNUMBER(Z389),Z389,0))))</f>
        <v/>
      </c>
      <c r="BA389" s="93" t="str">
        <f aca="false">IF(ISBLANK($C389),"",IF(AA389=Constants!$B$3,TRUE(),IF(AA389=Constants!$B$4,FALSE(),FALSE())))</f>
        <v/>
      </c>
      <c r="BB389" s="92" t="str">
        <f aca="false">IF(ISBLANK($C389),"",AND($AL389,OR($AM389="",$AN389="",AND($AO389,$AP389=""))))</f>
        <v/>
      </c>
      <c r="BC389" s="94" t="str">
        <f aca="false">IF($BZ389&lt;&gt;Constants!$B$8,"",IF($AL389,Constants!$B$21*$AN389+Constants!$B$22*IF($AO389,$AP389,Constants!$B$23),Constants!$B$24))</f>
        <v/>
      </c>
      <c r="BD389" s="97" t="str">
        <f aca="false">IF($BZ389&lt;&gt;Constants!$B$8,"",Constants!$B$25*ABS($AD$9-IF($AL389,$AM389,0)))</f>
        <v/>
      </c>
      <c r="BE389" s="97" t="str">
        <f aca="false">IF($BZ389&lt;&gt;Constants!$B$8,"",IF(AND($AL389,$AQ389,$AO389),Constants!$B$27,0))</f>
        <v/>
      </c>
      <c r="BF389" s="97" t="str">
        <f aca="false">IF($BZ389&lt;&gt;Constants!$B$8,"",IF($AL389,($AI389-Constants!$B$29)*Constants!$B$28,0))</f>
        <v/>
      </c>
      <c r="BG389" s="97" t="str">
        <f aca="false">IF($BZ389&lt;&gt;Constants!$B$8,"",IF($AK389,0,Constants!$B$15)+IF($AJ389,0,Constants!$B$16)+IF($AH389,0,Constants!$B$17))</f>
        <v/>
      </c>
      <c r="BH389" s="98" t="str">
        <f aca="false">IF($BZ389&lt;&gt;Constants!$B$8,"",Constants!$B$20+SUM($BC389:$BG389))</f>
        <v/>
      </c>
      <c r="BI389" s="97" t="str">
        <f aca="false">IF($BZ389&lt;&gt;Constants!$B$8,"",$BC389)</f>
        <v/>
      </c>
      <c r="BJ389" s="97" t="str">
        <f aca="false">IF($BZ389&lt;&gt;Constants!$B$8,"",$BD389)</f>
        <v/>
      </c>
      <c r="BK389" s="97" t="str">
        <f aca="false">IF($BZ389&lt;&gt;Constants!$B$8,"",IF($AL389,$AN389,""))</f>
        <v/>
      </c>
      <c r="BL389" s="99" t="str">
        <f aca="false">IF($BZ389&lt;&gt;Constants!$B$8,"",$AI389)</f>
        <v/>
      </c>
      <c r="BM389" s="93" t="str">
        <f aca="false">IF($BZ389&lt;&gt;Constants!$B$8,"",IF(OR($BT389&lt;$BH389,AND($BT389=$BH389,OR($BU389&lt;$BI389,AND($BU389=$BI389,OR($BV389&lt;$BJ389,AND($BV389=$BJ389,OR(AND(ISNUMBER($BW389),OR(NOT(ISNUMBER($BK389)),$BW389&lt;$BK389)),AND(OR(AND($BW389="",$BK389=""),AND(ISNUMBER($BW389),ISNUMBER($BK389),$BW389=$BK389)),$BX389&lt;$BL389)))))))),"-&gt;","&lt;-"))</f>
        <v/>
      </c>
      <c r="BN389" s="92" t="str">
        <f aca="false">IF(ISBLANK($C389),"",AND($AT389,OR($AU389="",$AV389="",AND($AW389,$AX389=""))))</f>
        <v/>
      </c>
      <c r="BO389" s="94" t="str">
        <f aca="false">IF($BZ389&lt;&gt;Constants!$B$8,"",IF($AT389,Constants!$B$21*$AV389+Constants!$B$22*IF($AW389,$AX389,Constants!$B$23),Constants!$B$24))</f>
        <v/>
      </c>
      <c r="BP389" s="97" t="str">
        <f aca="false">IF($BZ389&lt;&gt;Constants!$B$8,"",Constants!$B$25*ABS($AD$9-IF($AT389,$AU389,0)))</f>
        <v/>
      </c>
      <c r="BQ389" s="97" t="str">
        <f aca="false">IF($BZ389&lt;&gt;Constants!$B$8,"",IF(AND($AT389,$AY389,$AW389),Constants!$B$27,0))</f>
        <v/>
      </c>
      <c r="BR389" s="97" t="str">
        <f aca="false">IF($BZ389&lt;&gt;Constants!$B$8,"",IF($AT389,($AI389-Constants!$B$29)*Constants!$B$28,0))</f>
        <v/>
      </c>
      <c r="BS389" s="97" t="str">
        <f aca="false">IF($BZ389&lt;&gt;Constants!$B$8,"",IF($AS389,0,Constants!$B$15)+IF($AR389,0,Constants!$B$16)+IF($AH389,0,Constants!$B$17))</f>
        <v/>
      </c>
      <c r="BT389" s="98" t="str">
        <f aca="false">IF($BZ389&lt;&gt;Constants!$B$8,"",Constants!$B$20+SUM($BO389:$BS389))</f>
        <v/>
      </c>
      <c r="BU389" s="97" t="str">
        <f aca="false">IF($BZ389&lt;&gt;Constants!$B$8,"",$BO389)</f>
        <v/>
      </c>
      <c r="BV389" s="97" t="str">
        <f aca="false">IF($BZ389&lt;&gt;Constants!$B$8,"",$BP389)</f>
        <v/>
      </c>
      <c r="BW389" s="97" t="str">
        <f aca="false">IF($BZ389&lt;&gt;Constants!$B$8,"",IF($AT389,$AV389,""))</f>
        <v/>
      </c>
      <c r="BX389" s="99" t="str">
        <f aca="false">IF($BZ389&lt;&gt;Constants!$B$8,"",$AI389)</f>
        <v/>
      </c>
      <c r="BY389" s="93" t="str">
        <f aca="false">IF(ISBLANK($C389),"",IF(ISBLANK($D$7),$BY$5,IF(NOT(ISNUMBER($D$7)),$BY$6,"")))</f>
        <v/>
      </c>
      <c r="BZ389" s="93" t="str">
        <f aca="false">IF(ISBLANK($C389),"",IF($BA389,Constants!$B$11,IF(COUNTA($E389:$AA389)=0,Constants!$B$10,IF(NOT($AG389),Constants!$B$9,IF(OR($BY389&lt;&gt;"",$BB389,$BN389),Constants!$B$12,Constants!$B$8)))))</f>
        <v/>
      </c>
      <c r="CA389" s="93" t="str">
        <f aca="false">IF(ISBLANK($C389),"",IF($BZ389&lt;&gt;Constants!$B$8,$BZ389,Constants!$B$13))</f>
        <v/>
      </c>
      <c r="CB389" s="97" t="str">
        <f aca="false">IF($BZ389&lt;&gt;Constants!$B$8,"",IF($BM389="-&gt;",$BT389,$BH389))</f>
        <v/>
      </c>
      <c r="CC389" s="97" t="str">
        <f aca="false">IF($BZ389&lt;&gt;Constants!$B$8,"",IF($AF389,0,Constants!$B$18))</f>
        <v/>
      </c>
      <c r="CD389" s="97" t="str">
        <f aca="false">IF($BZ389&lt;&gt;Constants!$B$8,"",((Constants!$B$31-$AZ389)-Constants!$B$31)/Constants!$B$32)</f>
        <v/>
      </c>
      <c r="CE389" s="97" t="str">
        <f aca="false">IF(ISBLANK($C389),"",IF($BZ389&lt;&gt;Constants!$B$8,$BZ389,SUM($CB389:$CD389)))</f>
        <v/>
      </c>
      <c r="CF389" s="93" t="str">
        <f aca="false">IF(ISBLANK($C389),"",IF($BZ389&lt;&gt;Constants!$B$8,$BZ389,RANK($CE389,$CE$9:$CE$508,1)))</f>
        <v/>
      </c>
      <c r="CG389" s="97" t="str">
        <f aca="false">IF($BZ389&lt;&gt;Constants!$B$8,"",IF($BM389="-&gt;",$BU389,$BI389))</f>
        <v/>
      </c>
      <c r="CH389" s="93" t="str">
        <f aca="false">IF(ISBLANK($C389),"",IF($BZ389&lt;&gt;Constants!$B$8,$BZ389,IF(ISNUMBER($CG389),RANK($CG389,$CG$9:$CG$508,1),COUNT($CG$9:$CG$508)+1)))</f>
        <v/>
      </c>
      <c r="CI389" s="97" t="str">
        <f aca="false">IF($BZ389&lt;&gt;Constants!$B$8,"",IF($BM389="-&gt;",$BV389,$BJ389))</f>
        <v/>
      </c>
      <c r="CJ389" s="93" t="str">
        <f aca="false">IF(ISBLANK($C389),"",IF($BZ389&lt;&gt;Constants!$B$8,$BZ389,IF(ISNUMBER($CI389),RANK($CI389,$CI$9:$CI$508,1),COUNT($CI$9:$CI$508)+1)))</f>
        <v/>
      </c>
      <c r="CK389" s="97" t="str">
        <f aca="false">IF($BZ389&lt;&gt;Constants!$B$8,"",IF($BM389="-&gt;",$BW389,$BK389))</f>
        <v/>
      </c>
      <c r="CL389" s="93" t="str">
        <f aca="false">IF(ISBLANK($C389),"",IF($BZ389&lt;&gt;Constants!$B$8,$BZ389,IF(ISNUMBER($CK389),RANK($CK389,$CK$9:$CK$508,1),COUNT($CK$9:$CK$508)+1)))</f>
        <v/>
      </c>
      <c r="CM389" s="97" t="str">
        <f aca="false">IF($BZ389&lt;&gt;Constants!$B$8,"",IF(AND(NOT($AL389),NOT($AT389),$AJ389,$AK389,$AR389,$AS389),"",IF($BM389="-&gt;",$BX389,$BL389)))</f>
        <v/>
      </c>
      <c r="CN389" s="93" t="str">
        <f aca="false">IF(ISBLANK($C389),"",IF($BZ389&lt;&gt;Constants!$B$8,$BZ389,IF(ISNUMBER($CM389),RANK($CM389,$CM$9:$CM$508,1),COUNT($CM$9:$CM$508)+1)))</f>
        <v/>
      </c>
      <c r="CO389" s="93" t="str">
        <f aca="false">IF(ISBLANK($C389),"",IF($BZ389&lt;&gt;Constants!$B$8,$BZ389,COUNTIFS($CF$9:$CF$508,"&lt;"&amp;$CF389)+COUNTIFS($CF$9:$CF$508,$CF389,$CH$9:$CH$508,"&lt;"&amp;$CH389)+COUNTIFS($CF$9:$CF$508,$CF389,$CH$9:$CH$508,$CH389,$CJ$9:$CJ$508,"&lt;"&amp;$CJ389)+COUNTIFS($CF$9:$CF$508,$CF389,$CH$9:$CH$508,$CH389,$CJ$9:$CJ$508,$CJ389,$CL$9:$CL$508,"&lt;"&amp;$CL389)+COUNTIFS($CF$9:$CF$508,$CF389,$CH$9:$CH$508,$CH389,$CJ$9:$CJ$508,$CJ389,$CL$9:$CL$508,$CL389,$CN$9:$CN$508,"&lt;"&amp;$CN389)+1))</f>
        <v/>
      </c>
      <c r="CP389" s="93" t="str">
        <f aca="false">IF(ISBLANK($C389),"",IF($BZ389&lt;&gt;Constants!$B$8,$BZ389,$CF389-$CO389))</f>
        <v/>
      </c>
      <c r="CQ389" s="100"/>
      <c r="CR389" s="101"/>
      <c r="CS389" s="102" t="str">
        <f aca="false">IF(ISBLANK($C389),"",IF($BZ389=Constants!$B$12,$BY389,""))</f>
        <v/>
      </c>
      <c r="CT389" s="101" t="str">
        <f aca="false">IF(ISBLANK($C389),"",IF($BZ389&lt;&gt;Constants!$B$8,"",IF($BM389="-&gt;",2,1)))</f>
        <v/>
      </c>
      <c r="CU389" s="103" t="str">
        <f aca="false">IF(ISBLANK($C389),"",IF($BZ389&lt;&gt;Constants!$B$8,"",IF($BM389="-&gt;",$BO389,$BC389)))</f>
        <v/>
      </c>
      <c r="CV389" s="103" t="str">
        <f aca="false">IF(ISBLANK($C389),"",IF($BZ389&lt;&gt;Constants!$B$8,"",IF($BM389="-&gt;",$BP389,$BD389)))</f>
        <v/>
      </c>
      <c r="CW389" s="103" t="str">
        <f aca="false">IF(ISBLANK($C389),"",IF($BZ389&lt;&gt;Constants!$B$8,"",IF($BM389="-&gt;",$BQ389+$BR389,$BE389+$BF389)+$CD389))</f>
        <v/>
      </c>
      <c r="CX389" s="103" t="str">
        <f aca="false">IF(ISBLANK($C389),"",IF($BZ389&lt;&gt;Constants!$B$8,"",IF($BM389="-&gt;",$BS389,$BG389)+$CC389))</f>
        <v/>
      </c>
      <c r="CY389" s="104" t="str">
        <f aca="false">IF(ISBLANK($C389),"",IF($BZ389&lt;&gt;Constants!$B$8,$BZ389,$CE389))</f>
        <v/>
      </c>
      <c r="CZ389" s="105" t="str">
        <f aca="false">IF(ISBLANK($C389),"",$CA389)</f>
        <v/>
      </c>
      <c r="DA389" s="106" t="str">
        <f aca="false">IF(ISBLANK($C389),"",$CP389)</f>
        <v/>
      </c>
      <c r="DB389" s="106" t="str">
        <f aca="false">IF(ISBLANK($C389),"",$CO389)</f>
        <v/>
      </c>
      <c r="DC389" s="107" t="str">
        <f aca="false">IF(ISBLANK($C389),"",IFERROR(_xlfn.SWITCH($DB389,Constants!$B$11,COUNTA($C$9:$C$508)+2,Constants!$B$10,COUNTA($C$9:$C$508)+1,Constants!$B$9,COUNTA($C$9:$C$508)),$DB389))</f>
        <v/>
      </c>
      <c r="DD389" s="9"/>
      <c r="DE389" s="108" t="n">
        <f aca="false">IF(OR(ISNUMBER($DB389),$DB389=Constants!$B$11,$DB389=Constants!$B$9,$DB389=Constants!$B$10),1,0)</f>
        <v>0</v>
      </c>
      <c r="DF389" s="108" t="n">
        <v>381</v>
      </c>
      <c r="DG389" s="108" t="str">
        <f aca="false">IF(ISBLANK($C389),"",IF(ISNUMBER($DC389),$DC389+ROW($B389)/1000,""))</f>
        <v/>
      </c>
      <c r="DH389" s="108" t="str">
        <f aca="false">IF(ISNUMBER($DG389),RANK($DG389,$DG$9:$DG$508,1),"")</f>
        <v/>
      </c>
      <c r="DI389" s="108" t="str">
        <f aca="false">IF(ISBLANK($C389),"",$B389)</f>
        <v/>
      </c>
      <c r="DJ389" s="108" t="str">
        <f aca="false">IF(ISBLANK($C389),"",$C389)</f>
        <v/>
      </c>
      <c r="DK389" s="108" t="str">
        <f aca="false">IF(ISBLANK($C389),"",$D389)</f>
        <v/>
      </c>
      <c r="DL389" s="109" t="str">
        <f aca="false">$CZ389</f>
        <v/>
      </c>
      <c r="DM389" s="110" t="str">
        <f aca="false">$CY389</f>
        <v/>
      </c>
      <c r="DN389" s="108" t="str">
        <f aca="false">IF(ISBLANK($C389),"",$DB389)</f>
        <v/>
      </c>
      <c r="DO389" s="111" t="str">
        <f aca="false">IF($DF389&gt;$DE$8,"",VLOOKUP($DF389,$DH$9:$DN$508,7,FALSE()))</f>
        <v/>
      </c>
      <c r="DP389" s="112" t="str">
        <f aca="false">IF($DF389&gt;$DE$8,"",VLOOKUP($DF389,$DH$9:$DN$508,2,FALSE()))</f>
        <v/>
      </c>
      <c r="DQ389" s="112" t="str">
        <f aca="false">IF($DF389&gt;$DE$8,"",VLOOKUP($DF389,$DH$9:$DN$508,3,FALSE()))</f>
        <v/>
      </c>
      <c r="DR389" s="112" t="str">
        <f aca="false">IF($DF389&gt;$DE$8,"",VLOOKUP($DF389,$DH$9:$DN$508,4,FALSE()))</f>
        <v/>
      </c>
      <c r="DS389" s="112" t="str">
        <f aca="false">IF($DF389&gt;$DE$8,"",VLOOKUP($DF389,$DH$9:$DN$508,5,FALSE()))</f>
        <v/>
      </c>
      <c r="DT389" s="113" t="str">
        <f aca="false">IF($DF389&gt;$DE$8,"",VLOOKUP($DF389,$DH$9:$DN$508,6,FALSE()))</f>
        <v/>
      </c>
      <c r="DU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IF(ISBLANK($C390),"",IF(E390=Constants!$B$3,TRUE(),IF(E390=Constants!$B$4,FALSE(),TRUE())))</f>
        <v/>
      </c>
      <c r="AG390" s="135" t="str">
        <f aca="false">IF(ISBLANK($C390),"",IF(F390=Constants!$B$3,TRUE(),IF(F390=Constants!$B$4,FALSE(),TRUE())))</f>
        <v/>
      </c>
      <c r="AH390" s="135" t="str">
        <f aca="false">IF(ISBLANK($C390),"",IF(G390=Constants!$B$3,TRUE(),IF(G390=Constants!$B$4,FALSE(),TRUE())))</f>
        <v/>
      </c>
      <c r="AI390" s="135" t="str">
        <f aca="false">IF(ISBLANK($C390),"",IF(AND(ISNUMBER(H390),H390&gt;=0),H390,Constants!$B$29))</f>
        <v/>
      </c>
      <c r="AJ390" s="135" t="str">
        <f aca="false">IF(ISBLANK($C390),"",IF(I390=Constants!$B$3,TRUE(),IF(I390=Constants!$B$4,FALSE(),TRUE())))</f>
        <v/>
      </c>
      <c r="AK390" s="135" t="str">
        <f aca="false">IF(ISBLANK($C390),"",IF(J390=Constants!$B$3,TRUE(),IF(J390=Constants!$B$4,FALSE(),TRUE())))</f>
        <v/>
      </c>
      <c r="AL390" s="135" t="str">
        <f aca="false">IF(ISBLANK($C390),"",IF(K390=Constants!$B$5,TRUE(),IF(K390=Constants!$B$6,FALSE(),COUNTA(L390:P390)&gt;0)))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IF(ISBLANK($C390),"",IF(N390=Constants!$B$3,TRUE(),IF(N390=Constants!$B$4,FALSE(),TRUE())))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IF(ISBLANK($C390),"",IF(P390=Constants!$B$3,TRUE(),IF(P390=Constants!$B$4,FALSE(),FALSE())))</f>
        <v/>
      </c>
      <c r="AR390" s="135" t="str">
        <f aca="false">IF(ISBLANK($C390),"",IF(Q390=Constants!$B$3,TRUE(),IF(Q390=Constants!$B$4,FALSE(),TRUE())))</f>
        <v/>
      </c>
      <c r="AS390" s="135" t="str">
        <f aca="false">IF(ISBLANK($C390),"",IF(R390=Constants!$B$3,TRUE(),IF(R390=Constants!$B$4,FALSE(),TRUE())))</f>
        <v/>
      </c>
      <c r="AT390" s="135" t="str">
        <f aca="false">IF(ISBLANK($C390),"",IF(S390=Constants!$B$5,TRUE(),IF(S390=Constants!$B$6,FALSE(),COUNTA(T390:X390)&gt;0)))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IF(ISBLANK($C390),"",IF(V390=Constants!$B$3,TRUE(),IF(V390=Constants!$B$4,FALSE(),TRUE())))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IF(ISBLANK($C390),"",IF(X390=Constants!$B$3,TRUE(),IF(X390=Constants!$B$4,FALSE(),FALSE())))</f>
        <v/>
      </c>
      <c r="AZ390" s="135" t="str">
        <f aca="false">IF(ISBLANK($C390),"",MIN(Constants!$B$31,MAX(0,IF(ISNUMBER(Y390),Y390*60,0)+IF(ISNUMBER(Z390),Z390,0))))</f>
        <v/>
      </c>
      <c r="BA390" s="135" t="str">
        <f aca="false">IF(ISBLANK($C390),"",IF(AA390=Constants!$B$3,TRUE(),IF(AA390=Constants!$B$4,FALSE(),FALSE())))</f>
        <v/>
      </c>
      <c r="BB390" s="134" t="str">
        <f aca="false">IF(ISBLANK($C390),"",AND($AL390,OR($AM390="",$AN390="",AND($AO390,$AP390=""))))</f>
        <v/>
      </c>
      <c r="BC390" s="137" t="str">
        <f aca="false">IF($BZ390&lt;&gt;Constants!$B$8,"",IF($AL390,Constants!$B$21*$AN390+Constants!$B$22*IF($AO390,$AP390,Constants!$B$23),Constants!$B$24))</f>
        <v/>
      </c>
      <c r="BD390" s="138" t="str">
        <f aca="false">IF($BZ390&lt;&gt;Constants!$B$8,"",Constants!$B$25*ABS($AD$9-IF($AL390,$AM390,0)))</f>
        <v/>
      </c>
      <c r="BE390" s="138" t="str">
        <f aca="false">IF($BZ390&lt;&gt;Constants!$B$8,"",IF(AND($AL390,$AQ390,$AO390),Constants!$B$27,0))</f>
        <v/>
      </c>
      <c r="BF390" s="138" t="str">
        <f aca="false">IF($BZ390&lt;&gt;Constants!$B$8,"",IF($AL390,($AI390-Constants!$B$29)*Constants!$B$28,0))</f>
        <v/>
      </c>
      <c r="BG390" s="138" t="str">
        <f aca="false">IF($BZ390&lt;&gt;Constants!$B$8,"",IF($AK390,0,Constants!$B$15)+IF($AJ390,0,Constants!$B$16)+IF($AH390,0,Constants!$B$17))</f>
        <v/>
      </c>
      <c r="BH390" s="139" t="str">
        <f aca="false">IF($BZ390&lt;&gt;Constants!$B$8,"",Constants!$B$20+SUM($BC390:$BG390))</f>
        <v/>
      </c>
      <c r="BI390" s="138" t="str">
        <f aca="false">IF($BZ390&lt;&gt;Constants!$B$8,"",$BC390)</f>
        <v/>
      </c>
      <c r="BJ390" s="138" t="str">
        <f aca="false">IF($BZ390&lt;&gt;Constants!$B$8,"",$BD390)</f>
        <v/>
      </c>
      <c r="BK390" s="138" t="str">
        <f aca="false">IF($BZ390&lt;&gt;Constants!$B$8,"",IF($AL390,$AN390,""))</f>
        <v/>
      </c>
      <c r="BL390" s="140" t="str">
        <f aca="false">IF($BZ390&lt;&gt;Constants!$B$8,"",$AI390)</f>
        <v/>
      </c>
      <c r="BM390" s="135" t="str">
        <f aca="false">IF($BZ390&lt;&gt;Constants!$B$8,"",IF(OR($BT390&lt;$BH390,AND($BT390=$BH390,OR($BU390&lt;$BI390,AND($BU390=$BI390,OR($BV390&lt;$BJ390,AND($BV390=$BJ390,OR(AND(ISNUMBER($BW390),OR(NOT(ISNUMBER($BK390)),$BW390&lt;$BK390)),AND(OR(AND($BW390="",$BK390=""),AND(ISNUMBER($BW390),ISNUMBER($BK390),$BW390=$BK390)),$BX390&lt;$BL390)))))))),"-&gt;","&lt;-"))</f>
        <v/>
      </c>
      <c r="BN390" s="134" t="str">
        <f aca="false">IF(ISBLANK($C390),"",AND($AT390,OR($AU390="",$AV390="",AND($AW390,$AX390=""))))</f>
        <v/>
      </c>
      <c r="BO390" s="137" t="str">
        <f aca="false">IF($BZ390&lt;&gt;Constants!$B$8,"",IF($AT390,Constants!$B$21*$AV390+Constants!$B$22*IF($AW390,$AX390,Constants!$B$23),Constants!$B$24))</f>
        <v/>
      </c>
      <c r="BP390" s="138" t="str">
        <f aca="false">IF($BZ390&lt;&gt;Constants!$B$8,"",Constants!$B$25*ABS($AD$9-IF($AT390,$AU390,0)))</f>
        <v/>
      </c>
      <c r="BQ390" s="138" t="str">
        <f aca="false">IF($BZ390&lt;&gt;Constants!$B$8,"",IF(AND($AT390,$AY390,$AW390),Constants!$B$27,0))</f>
        <v/>
      </c>
      <c r="BR390" s="138" t="str">
        <f aca="false">IF($BZ390&lt;&gt;Constants!$B$8,"",IF($AT390,($AI390-Constants!$B$29)*Constants!$B$28,0))</f>
        <v/>
      </c>
      <c r="BS390" s="138" t="str">
        <f aca="false">IF($BZ390&lt;&gt;Constants!$B$8,"",IF($AS390,0,Constants!$B$15)+IF($AR390,0,Constants!$B$16)+IF($AH390,0,Constants!$B$17))</f>
        <v/>
      </c>
      <c r="BT390" s="139" t="str">
        <f aca="false">IF($BZ390&lt;&gt;Constants!$B$8,"",Constants!$B$20+SUM($BO390:$BS390))</f>
        <v/>
      </c>
      <c r="BU390" s="138" t="str">
        <f aca="false">IF($BZ390&lt;&gt;Constants!$B$8,"",$BO390)</f>
        <v/>
      </c>
      <c r="BV390" s="138" t="str">
        <f aca="false">IF($BZ390&lt;&gt;Constants!$B$8,"",$BP390)</f>
        <v/>
      </c>
      <c r="BW390" s="138" t="str">
        <f aca="false">IF($BZ390&lt;&gt;Constants!$B$8,"",IF($AT390,$AV390,""))</f>
        <v/>
      </c>
      <c r="BX390" s="140" t="str">
        <f aca="false">IF($BZ390&lt;&gt;Constants!$B$8,"",$AI390)</f>
        <v/>
      </c>
      <c r="BY390" s="135" t="str">
        <f aca="false">IF(ISBLANK($C390),"",IF(ISBLANK($D$7),$BY$5,IF(NOT(ISNUMBER($D$7)),$BY$6,"")))</f>
        <v/>
      </c>
      <c r="BZ390" s="135" t="str">
        <f aca="false">IF(ISBLANK($C390),"",IF($BA390,Constants!$B$11,IF(COUNTA($E390:$AA390)=0,Constants!$B$10,IF(NOT($AG390),Constants!$B$9,IF(OR($BY390&lt;&gt;"",$BB390,$BN390),Constants!$B$12,Constants!$B$8)))))</f>
        <v/>
      </c>
      <c r="CA390" s="135" t="str">
        <f aca="false">IF(ISBLANK($C390),"",IF($BZ390&lt;&gt;Constants!$B$8,$BZ390,Constants!$B$13))</f>
        <v/>
      </c>
      <c r="CB390" s="138" t="str">
        <f aca="false">IF($BZ390&lt;&gt;Constants!$B$8,"",IF($BM390="-&gt;",$BT390,$BH390))</f>
        <v/>
      </c>
      <c r="CC390" s="138" t="str">
        <f aca="false">IF($BZ390&lt;&gt;Constants!$B$8,"",IF($AF390,0,Constants!$B$18))</f>
        <v/>
      </c>
      <c r="CD390" s="138" t="str">
        <f aca="false">IF($BZ390&lt;&gt;Constants!$B$8,"",((Constants!$B$31-$AZ390)-Constants!$B$31)/Constants!$B$32)</f>
        <v/>
      </c>
      <c r="CE390" s="138" t="str">
        <f aca="false">IF(ISBLANK($C390),"",IF($BZ390&lt;&gt;Constants!$B$8,$BZ390,SUM($CB390:$CD390)))</f>
        <v/>
      </c>
      <c r="CF390" s="135" t="str">
        <f aca="false">IF(ISBLANK($C390),"",IF($BZ390&lt;&gt;Constants!$B$8,$BZ390,RANK($CE390,$CE$9:$CE$508,1)))</f>
        <v/>
      </c>
      <c r="CG390" s="138" t="str">
        <f aca="false">IF($BZ390&lt;&gt;Constants!$B$8,"",IF($BM390="-&gt;",$BU390,$BI390))</f>
        <v/>
      </c>
      <c r="CH390" s="135" t="str">
        <f aca="false">IF(ISBLANK($C390),"",IF($BZ390&lt;&gt;Constants!$B$8,$BZ390,IF(ISNUMBER($CG390),RANK($CG390,$CG$9:$CG$508,1),COUNT($CG$9:$CG$508)+1)))</f>
        <v/>
      </c>
      <c r="CI390" s="138" t="str">
        <f aca="false">IF($BZ390&lt;&gt;Constants!$B$8,"",IF($BM390="-&gt;",$BV390,$BJ390))</f>
        <v/>
      </c>
      <c r="CJ390" s="135" t="str">
        <f aca="false">IF(ISBLANK($C390),"",IF($BZ390&lt;&gt;Constants!$B$8,$BZ390,IF(ISNUMBER($CI390),RANK($CI390,$CI$9:$CI$508,1),COUNT($CI$9:$CI$508)+1)))</f>
        <v/>
      </c>
      <c r="CK390" s="138" t="str">
        <f aca="false">IF($BZ390&lt;&gt;Constants!$B$8,"",IF($BM390="-&gt;",$BW390,$BK390))</f>
        <v/>
      </c>
      <c r="CL390" s="135" t="str">
        <f aca="false">IF(ISBLANK($C390),"",IF($BZ390&lt;&gt;Constants!$B$8,$BZ390,IF(ISNUMBER($CK390),RANK($CK390,$CK$9:$CK$508,1),COUNT($CK$9:$CK$508)+1)))</f>
        <v/>
      </c>
      <c r="CM390" s="138" t="str">
        <f aca="false">IF($BZ390&lt;&gt;Constants!$B$8,"",IF(AND(NOT($AL390),NOT($AT390),$AJ390,$AK390,$AR390,$AS390),"",IF($BM390="-&gt;",$BX390,$BL390)))</f>
        <v/>
      </c>
      <c r="CN390" s="135" t="str">
        <f aca="false">IF(ISBLANK($C390),"",IF($BZ390&lt;&gt;Constants!$B$8,$BZ390,IF(ISNUMBER($CM390),RANK($CM390,$CM$9:$CM$508,1),COUNT($CM$9:$CM$508)+1)))</f>
        <v/>
      </c>
      <c r="CO390" s="135" t="str">
        <f aca="false">IF(ISBLANK($C390),"",IF($BZ390&lt;&gt;Constants!$B$8,$BZ390,COUNTIFS($CF$9:$CF$508,"&lt;"&amp;$CF390)+COUNTIFS($CF$9:$CF$508,$CF390,$CH$9:$CH$508,"&lt;"&amp;$CH390)+COUNTIFS($CF$9:$CF$508,$CF390,$CH$9:$CH$508,$CH390,$CJ$9:$CJ$508,"&lt;"&amp;$CJ390)+COUNTIFS($CF$9:$CF$508,$CF390,$CH$9:$CH$508,$CH390,$CJ$9:$CJ$508,$CJ390,$CL$9:$CL$508,"&lt;"&amp;$CL390)+COUNTIFS($CF$9:$CF$508,$CF390,$CH$9:$CH$508,$CH390,$CJ$9:$CJ$508,$CJ390,$CL$9:$CL$508,$CL390,$CN$9:$CN$508,"&lt;"&amp;$CN390)+1))</f>
        <v/>
      </c>
      <c r="CP390" s="135" t="str">
        <f aca="false">IF(ISBLANK($C390),"",IF($BZ390&lt;&gt;Constants!$B$8,$BZ390,$CF390-$CO390))</f>
        <v/>
      </c>
      <c r="CQ390" s="141"/>
      <c r="CR390" s="142"/>
      <c r="CS390" s="143" t="str">
        <f aca="false">IF(ISBLANK($C390),"",IF($BZ390=Constants!$B$12,$BY390,""))</f>
        <v/>
      </c>
      <c r="CT390" s="142" t="str">
        <f aca="false">IF(ISBLANK($C390),"",IF($BZ390&lt;&gt;Constants!$B$8,"",IF($BM390="-&gt;",2,1)))</f>
        <v/>
      </c>
      <c r="CU390" s="144" t="str">
        <f aca="false">IF(ISBLANK($C390),"",IF($BZ390&lt;&gt;Constants!$B$8,"",IF($BM390="-&gt;",$BO390,$BC390)))</f>
        <v/>
      </c>
      <c r="CV390" s="144" t="str">
        <f aca="false">IF(ISBLANK($C390),"",IF($BZ390&lt;&gt;Constants!$B$8,"",IF($BM390="-&gt;",$BP390,$BD390)))</f>
        <v/>
      </c>
      <c r="CW390" s="144" t="str">
        <f aca="false">IF(ISBLANK($C390),"",IF($BZ390&lt;&gt;Constants!$B$8,"",IF($BM390="-&gt;",$BQ390+$BR390,$BE390+$BF390)+$CD390))</f>
        <v/>
      </c>
      <c r="CX390" s="144" t="str">
        <f aca="false">IF(ISBLANK($C390),"",IF($BZ390&lt;&gt;Constants!$B$8,"",IF($BM390="-&gt;",$BS390,$BG390)+$CC390))</f>
        <v/>
      </c>
      <c r="CY390" s="145" t="str">
        <f aca="false">IF(ISBLANK($C390),"",IF($BZ390&lt;&gt;Constants!$B$8,$BZ390,$CE390))</f>
        <v/>
      </c>
      <c r="CZ390" s="146" t="str">
        <f aca="false">IF(ISBLANK($C390),"",$CA390)</f>
        <v/>
      </c>
      <c r="DA390" s="147" t="str">
        <f aca="false">IF(ISBLANK($C390),"",$CP390)</f>
        <v/>
      </c>
      <c r="DB390" s="147" t="str">
        <f aca="false">IF(ISBLANK($C390),"",$CO390)</f>
        <v/>
      </c>
      <c r="DC390" s="148" t="str">
        <f aca="false">IF(ISBLANK($C390),"",IFERROR(_xlfn.SWITCH($DB390,Constants!$B$11,COUNTA($C$9:$C$508)+2,Constants!$B$10,COUNTA($C$9:$C$508)+1,Constants!$B$9,COUNTA($C$9:$C$508)),$DB390))</f>
        <v/>
      </c>
      <c r="DD390" s="9"/>
      <c r="DE390" s="149" t="n">
        <f aca="false">IF(OR(ISNUMBER($DB390),$DB390=Constants!$B$11,$DB390=Constants!$B$9,$DB390=Constants!$B$10),1,0)</f>
        <v>0</v>
      </c>
      <c r="DF390" s="149" t="n">
        <v>382</v>
      </c>
      <c r="DG390" s="149" t="str">
        <f aca="false">IF(ISBLANK($C390),"",IF(ISNUMBER($DC390),$DC390+ROW($B390)/1000,""))</f>
        <v/>
      </c>
      <c r="DH390" s="149" t="str">
        <f aca="false">IF(ISNUMBER($DG390),RANK($DG390,$DG$9:$DG$508,1),"")</f>
        <v/>
      </c>
      <c r="DI390" s="149" t="str">
        <f aca="false">IF(ISBLANK($C390),"",$B390)</f>
        <v/>
      </c>
      <c r="DJ390" s="149" t="str">
        <f aca="false">IF(ISBLANK($C390),"",$C390)</f>
        <v/>
      </c>
      <c r="DK390" s="149" t="str">
        <f aca="false">IF(ISBLANK($C390),"",$D390)</f>
        <v/>
      </c>
      <c r="DL390" s="150" t="str">
        <f aca="false">$CZ390</f>
        <v/>
      </c>
      <c r="DM390" s="151" t="str">
        <f aca="false">$CY390</f>
        <v/>
      </c>
      <c r="DN390" s="149" t="str">
        <f aca="false">IF(ISBLANK($C390),"",$DB390)</f>
        <v/>
      </c>
      <c r="DO390" s="152" t="str">
        <f aca="false">IF($DF390&gt;$DE$8,"",VLOOKUP($DF390,$DH$9:$DN$508,7,FALSE()))</f>
        <v/>
      </c>
      <c r="DP390" s="153" t="str">
        <f aca="false">IF($DF390&gt;$DE$8,"",VLOOKUP($DF390,$DH$9:$DN$508,2,FALSE()))</f>
        <v/>
      </c>
      <c r="DQ390" s="153" t="str">
        <f aca="false">IF($DF390&gt;$DE$8,"",VLOOKUP($DF390,$DH$9:$DN$508,3,FALSE()))</f>
        <v/>
      </c>
      <c r="DR390" s="153" t="str">
        <f aca="false">IF($DF390&gt;$DE$8,"",VLOOKUP($DF390,$DH$9:$DN$508,4,FALSE()))</f>
        <v/>
      </c>
      <c r="DS390" s="153" t="str">
        <f aca="false">IF($DF390&gt;$DE$8,"",VLOOKUP($DF390,$DH$9:$DN$508,5,FALSE()))</f>
        <v/>
      </c>
      <c r="DT390" s="154" t="str">
        <f aca="false">IF($DF390&gt;$DE$8,"",VLOOKUP($DF390,$DH$9:$DN$508,6,FALSE()))</f>
        <v/>
      </c>
      <c r="DU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IF(ISBLANK($C391),"",IF(E391=Constants!$B$3,TRUE(),IF(E391=Constants!$B$4,FALSE(),TRUE())))</f>
        <v/>
      </c>
      <c r="AG391" s="135" t="str">
        <f aca="false">IF(ISBLANK($C391),"",IF(F391=Constants!$B$3,TRUE(),IF(F391=Constants!$B$4,FALSE(),TRUE())))</f>
        <v/>
      </c>
      <c r="AH391" s="135" t="str">
        <f aca="false">IF(ISBLANK($C391),"",IF(G391=Constants!$B$3,TRUE(),IF(G391=Constants!$B$4,FALSE(),TRUE())))</f>
        <v/>
      </c>
      <c r="AI391" s="135" t="str">
        <f aca="false">IF(ISBLANK($C391),"",IF(AND(ISNUMBER(H391),H391&gt;=0),H391,Constants!$B$29))</f>
        <v/>
      </c>
      <c r="AJ391" s="135" t="str">
        <f aca="false">IF(ISBLANK($C391),"",IF(I391=Constants!$B$3,TRUE(),IF(I391=Constants!$B$4,FALSE(),TRUE())))</f>
        <v/>
      </c>
      <c r="AK391" s="135" t="str">
        <f aca="false">IF(ISBLANK($C391),"",IF(J391=Constants!$B$3,TRUE(),IF(J391=Constants!$B$4,FALSE(),TRUE())))</f>
        <v/>
      </c>
      <c r="AL391" s="135" t="str">
        <f aca="false">IF(ISBLANK($C391),"",IF(K391=Constants!$B$5,TRUE(),IF(K391=Constants!$B$6,FALSE(),COUNTA(L391:P391)&gt;0)))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IF(ISBLANK($C391),"",IF(N391=Constants!$B$3,TRUE(),IF(N391=Constants!$B$4,FALSE(),TRUE())))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IF(ISBLANK($C391),"",IF(P391=Constants!$B$3,TRUE(),IF(P391=Constants!$B$4,FALSE(),FALSE())))</f>
        <v/>
      </c>
      <c r="AR391" s="135" t="str">
        <f aca="false">IF(ISBLANK($C391),"",IF(Q391=Constants!$B$3,TRUE(),IF(Q391=Constants!$B$4,FALSE(),TRUE())))</f>
        <v/>
      </c>
      <c r="AS391" s="135" t="str">
        <f aca="false">IF(ISBLANK($C391),"",IF(R391=Constants!$B$3,TRUE(),IF(R391=Constants!$B$4,FALSE(),TRUE())))</f>
        <v/>
      </c>
      <c r="AT391" s="135" t="str">
        <f aca="false">IF(ISBLANK($C391),"",IF(S391=Constants!$B$5,TRUE(),IF(S391=Constants!$B$6,FALSE(),COUNTA(T391:X391)&gt;0)))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IF(ISBLANK($C391),"",IF(V391=Constants!$B$3,TRUE(),IF(V391=Constants!$B$4,FALSE(),TRUE())))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IF(ISBLANK($C391),"",IF(X391=Constants!$B$3,TRUE(),IF(X391=Constants!$B$4,FALSE(),FALSE())))</f>
        <v/>
      </c>
      <c r="AZ391" s="135" t="str">
        <f aca="false">IF(ISBLANK($C391),"",MIN(Constants!$B$31,MAX(0,IF(ISNUMBER(Y391),Y391*60,0)+IF(ISNUMBER(Z391),Z391,0))))</f>
        <v/>
      </c>
      <c r="BA391" s="135" t="str">
        <f aca="false">IF(ISBLANK($C391),"",IF(AA391=Constants!$B$3,TRUE(),IF(AA391=Constants!$B$4,FALSE(),FALSE())))</f>
        <v/>
      </c>
      <c r="BB391" s="134" t="str">
        <f aca="false">IF(ISBLANK($C391),"",AND($AL391,OR($AM391="",$AN391="",AND($AO391,$AP391=""))))</f>
        <v/>
      </c>
      <c r="BC391" s="137" t="str">
        <f aca="false">IF($BZ391&lt;&gt;Constants!$B$8,"",IF($AL391,Constants!$B$21*$AN391+Constants!$B$22*IF($AO391,$AP391,Constants!$B$23),Constants!$B$24))</f>
        <v/>
      </c>
      <c r="BD391" s="138" t="str">
        <f aca="false">IF($BZ391&lt;&gt;Constants!$B$8,"",Constants!$B$25*ABS($AD$9-IF($AL391,$AM391,0)))</f>
        <v/>
      </c>
      <c r="BE391" s="138" t="str">
        <f aca="false">IF($BZ391&lt;&gt;Constants!$B$8,"",IF(AND($AL391,$AQ391,$AO391),Constants!$B$27,0))</f>
        <v/>
      </c>
      <c r="BF391" s="138" t="str">
        <f aca="false">IF($BZ391&lt;&gt;Constants!$B$8,"",IF($AL391,($AI391-Constants!$B$29)*Constants!$B$28,0))</f>
        <v/>
      </c>
      <c r="BG391" s="138" t="str">
        <f aca="false">IF($BZ391&lt;&gt;Constants!$B$8,"",IF($AK391,0,Constants!$B$15)+IF($AJ391,0,Constants!$B$16)+IF($AH391,0,Constants!$B$17))</f>
        <v/>
      </c>
      <c r="BH391" s="139" t="str">
        <f aca="false">IF($BZ391&lt;&gt;Constants!$B$8,"",Constants!$B$20+SUM($BC391:$BG391))</f>
        <v/>
      </c>
      <c r="BI391" s="138" t="str">
        <f aca="false">IF($BZ391&lt;&gt;Constants!$B$8,"",$BC391)</f>
        <v/>
      </c>
      <c r="BJ391" s="138" t="str">
        <f aca="false">IF($BZ391&lt;&gt;Constants!$B$8,"",$BD391)</f>
        <v/>
      </c>
      <c r="BK391" s="138" t="str">
        <f aca="false">IF($BZ391&lt;&gt;Constants!$B$8,"",IF($AL391,$AN391,""))</f>
        <v/>
      </c>
      <c r="BL391" s="140" t="str">
        <f aca="false">IF($BZ391&lt;&gt;Constants!$B$8,"",$AI391)</f>
        <v/>
      </c>
      <c r="BM391" s="135" t="str">
        <f aca="false">IF($BZ391&lt;&gt;Constants!$B$8,"",IF(OR($BT391&lt;$BH391,AND($BT391=$BH391,OR($BU391&lt;$BI391,AND($BU391=$BI391,OR($BV391&lt;$BJ391,AND($BV391=$BJ391,OR(AND(ISNUMBER($BW391),OR(NOT(ISNUMBER($BK391)),$BW391&lt;$BK391)),AND(OR(AND($BW391="",$BK391=""),AND(ISNUMBER($BW391),ISNUMBER($BK391),$BW391=$BK391)),$BX391&lt;$BL391)))))))),"-&gt;","&lt;-"))</f>
        <v/>
      </c>
      <c r="BN391" s="134" t="str">
        <f aca="false">IF(ISBLANK($C391),"",AND($AT391,OR($AU391="",$AV391="",AND($AW391,$AX391=""))))</f>
        <v/>
      </c>
      <c r="BO391" s="137" t="str">
        <f aca="false">IF($BZ391&lt;&gt;Constants!$B$8,"",IF($AT391,Constants!$B$21*$AV391+Constants!$B$22*IF($AW391,$AX391,Constants!$B$23),Constants!$B$24))</f>
        <v/>
      </c>
      <c r="BP391" s="138" t="str">
        <f aca="false">IF($BZ391&lt;&gt;Constants!$B$8,"",Constants!$B$25*ABS($AD$9-IF($AT391,$AU391,0)))</f>
        <v/>
      </c>
      <c r="BQ391" s="138" t="str">
        <f aca="false">IF($BZ391&lt;&gt;Constants!$B$8,"",IF(AND($AT391,$AY391,$AW391),Constants!$B$27,0))</f>
        <v/>
      </c>
      <c r="BR391" s="138" t="str">
        <f aca="false">IF($BZ391&lt;&gt;Constants!$B$8,"",IF($AT391,($AI391-Constants!$B$29)*Constants!$B$28,0))</f>
        <v/>
      </c>
      <c r="BS391" s="138" t="str">
        <f aca="false">IF($BZ391&lt;&gt;Constants!$B$8,"",IF($AS391,0,Constants!$B$15)+IF($AR391,0,Constants!$B$16)+IF($AH391,0,Constants!$B$17))</f>
        <v/>
      </c>
      <c r="BT391" s="139" t="str">
        <f aca="false">IF($BZ391&lt;&gt;Constants!$B$8,"",Constants!$B$20+SUM($BO391:$BS391))</f>
        <v/>
      </c>
      <c r="BU391" s="138" t="str">
        <f aca="false">IF($BZ391&lt;&gt;Constants!$B$8,"",$BO391)</f>
        <v/>
      </c>
      <c r="BV391" s="138" t="str">
        <f aca="false">IF($BZ391&lt;&gt;Constants!$B$8,"",$BP391)</f>
        <v/>
      </c>
      <c r="BW391" s="138" t="str">
        <f aca="false">IF($BZ391&lt;&gt;Constants!$B$8,"",IF($AT391,$AV391,""))</f>
        <v/>
      </c>
      <c r="BX391" s="140" t="str">
        <f aca="false">IF($BZ391&lt;&gt;Constants!$B$8,"",$AI391)</f>
        <v/>
      </c>
      <c r="BY391" s="135" t="str">
        <f aca="false">IF(ISBLANK($C391),"",IF(ISBLANK($D$7),$BY$5,IF(NOT(ISNUMBER($D$7)),$BY$6,"")))</f>
        <v/>
      </c>
      <c r="BZ391" s="135" t="str">
        <f aca="false">IF(ISBLANK($C391),"",IF($BA391,Constants!$B$11,IF(COUNTA($E391:$AA391)=0,Constants!$B$10,IF(NOT($AG391),Constants!$B$9,IF(OR($BY391&lt;&gt;"",$BB391,$BN391),Constants!$B$12,Constants!$B$8)))))</f>
        <v/>
      </c>
      <c r="CA391" s="135" t="str">
        <f aca="false">IF(ISBLANK($C391),"",IF($BZ391&lt;&gt;Constants!$B$8,$BZ391,Constants!$B$13))</f>
        <v/>
      </c>
      <c r="CB391" s="138" t="str">
        <f aca="false">IF($BZ391&lt;&gt;Constants!$B$8,"",IF($BM391="-&gt;",$BT391,$BH391))</f>
        <v/>
      </c>
      <c r="CC391" s="138" t="str">
        <f aca="false">IF($BZ391&lt;&gt;Constants!$B$8,"",IF($AF391,0,Constants!$B$18))</f>
        <v/>
      </c>
      <c r="CD391" s="138" t="str">
        <f aca="false">IF($BZ391&lt;&gt;Constants!$B$8,"",((Constants!$B$31-$AZ391)-Constants!$B$31)/Constants!$B$32)</f>
        <v/>
      </c>
      <c r="CE391" s="138" t="str">
        <f aca="false">IF(ISBLANK($C391),"",IF($BZ391&lt;&gt;Constants!$B$8,$BZ391,SUM($CB391:$CD391)))</f>
        <v/>
      </c>
      <c r="CF391" s="135" t="str">
        <f aca="false">IF(ISBLANK($C391),"",IF($BZ391&lt;&gt;Constants!$B$8,$BZ391,RANK($CE391,$CE$9:$CE$508,1)))</f>
        <v/>
      </c>
      <c r="CG391" s="138" t="str">
        <f aca="false">IF($BZ391&lt;&gt;Constants!$B$8,"",IF($BM391="-&gt;",$BU391,$BI391))</f>
        <v/>
      </c>
      <c r="CH391" s="135" t="str">
        <f aca="false">IF(ISBLANK($C391),"",IF($BZ391&lt;&gt;Constants!$B$8,$BZ391,IF(ISNUMBER($CG391),RANK($CG391,$CG$9:$CG$508,1),COUNT($CG$9:$CG$508)+1)))</f>
        <v/>
      </c>
      <c r="CI391" s="138" t="str">
        <f aca="false">IF($BZ391&lt;&gt;Constants!$B$8,"",IF($BM391="-&gt;",$BV391,$BJ391))</f>
        <v/>
      </c>
      <c r="CJ391" s="135" t="str">
        <f aca="false">IF(ISBLANK($C391),"",IF($BZ391&lt;&gt;Constants!$B$8,$BZ391,IF(ISNUMBER($CI391),RANK($CI391,$CI$9:$CI$508,1),COUNT($CI$9:$CI$508)+1)))</f>
        <v/>
      </c>
      <c r="CK391" s="138" t="str">
        <f aca="false">IF($BZ391&lt;&gt;Constants!$B$8,"",IF($BM391="-&gt;",$BW391,$BK391))</f>
        <v/>
      </c>
      <c r="CL391" s="135" t="str">
        <f aca="false">IF(ISBLANK($C391),"",IF($BZ391&lt;&gt;Constants!$B$8,$BZ391,IF(ISNUMBER($CK391),RANK($CK391,$CK$9:$CK$508,1),COUNT($CK$9:$CK$508)+1)))</f>
        <v/>
      </c>
      <c r="CM391" s="138" t="str">
        <f aca="false">IF($BZ391&lt;&gt;Constants!$B$8,"",IF(AND(NOT($AL391),NOT($AT391),$AJ391,$AK391,$AR391,$AS391),"",IF($BM391="-&gt;",$BX391,$BL391)))</f>
        <v/>
      </c>
      <c r="CN391" s="135" t="str">
        <f aca="false">IF(ISBLANK($C391),"",IF($BZ391&lt;&gt;Constants!$B$8,$BZ391,IF(ISNUMBER($CM391),RANK($CM391,$CM$9:$CM$508,1),COUNT($CM$9:$CM$508)+1)))</f>
        <v/>
      </c>
      <c r="CO391" s="135" t="str">
        <f aca="false">IF(ISBLANK($C391),"",IF($BZ391&lt;&gt;Constants!$B$8,$BZ391,COUNTIFS($CF$9:$CF$508,"&lt;"&amp;$CF391)+COUNTIFS($CF$9:$CF$508,$CF391,$CH$9:$CH$508,"&lt;"&amp;$CH391)+COUNTIFS($CF$9:$CF$508,$CF391,$CH$9:$CH$508,$CH391,$CJ$9:$CJ$508,"&lt;"&amp;$CJ391)+COUNTIFS($CF$9:$CF$508,$CF391,$CH$9:$CH$508,$CH391,$CJ$9:$CJ$508,$CJ391,$CL$9:$CL$508,"&lt;"&amp;$CL391)+COUNTIFS($CF$9:$CF$508,$CF391,$CH$9:$CH$508,$CH391,$CJ$9:$CJ$508,$CJ391,$CL$9:$CL$508,$CL391,$CN$9:$CN$508,"&lt;"&amp;$CN391)+1))</f>
        <v/>
      </c>
      <c r="CP391" s="135" t="str">
        <f aca="false">IF(ISBLANK($C391),"",IF($BZ391&lt;&gt;Constants!$B$8,$BZ391,$CF391-$CO391))</f>
        <v/>
      </c>
      <c r="CQ391" s="141"/>
      <c r="CR391" s="142"/>
      <c r="CS391" s="143" t="str">
        <f aca="false">IF(ISBLANK($C391),"",IF($BZ391=Constants!$B$12,$BY391,""))</f>
        <v/>
      </c>
      <c r="CT391" s="142" t="str">
        <f aca="false">IF(ISBLANK($C391),"",IF($BZ391&lt;&gt;Constants!$B$8,"",IF($BM391="-&gt;",2,1)))</f>
        <v/>
      </c>
      <c r="CU391" s="144" t="str">
        <f aca="false">IF(ISBLANK($C391),"",IF($BZ391&lt;&gt;Constants!$B$8,"",IF($BM391="-&gt;",$BO391,$BC391)))</f>
        <v/>
      </c>
      <c r="CV391" s="144" t="str">
        <f aca="false">IF(ISBLANK($C391),"",IF($BZ391&lt;&gt;Constants!$B$8,"",IF($BM391="-&gt;",$BP391,$BD391)))</f>
        <v/>
      </c>
      <c r="CW391" s="144" t="str">
        <f aca="false">IF(ISBLANK($C391),"",IF($BZ391&lt;&gt;Constants!$B$8,"",IF($BM391="-&gt;",$BQ391+$BR391,$BE391+$BF391)+$CD391))</f>
        <v/>
      </c>
      <c r="CX391" s="144" t="str">
        <f aca="false">IF(ISBLANK($C391),"",IF($BZ391&lt;&gt;Constants!$B$8,"",IF($BM391="-&gt;",$BS391,$BG391)+$CC391))</f>
        <v/>
      </c>
      <c r="CY391" s="145" t="str">
        <f aca="false">IF(ISBLANK($C391),"",IF($BZ391&lt;&gt;Constants!$B$8,$BZ391,$CE391))</f>
        <v/>
      </c>
      <c r="CZ391" s="146" t="str">
        <f aca="false">IF(ISBLANK($C391),"",$CA391)</f>
        <v/>
      </c>
      <c r="DA391" s="147" t="str">
        <f aca="false">IF(ISBLANK($C391),"",$CP391)</f>
        <v/>
      </c>
      <c r="DB391" s="147" t="str">
        <f aca="false">IF(ISBLANK($C391),"",$CO391)</f>
        <v/>
      </c>
      <c r="DC391" s="148" t="str">
        <f aca="false">IF(ISBLANK($C391),"",IFERROR(_xlfn.SWITCH($DB391,Constants!$B$11,COUNTA($C$9:$C$508)+2,Constants!$B$10,COUNTA($C$9:$C$508)+1,Constants!$B$9,COUNTA($C$9:$C$508)),$DB391))</f>
        <v/>
      </c>
      <c r="DD391" s="9"/>
      <c r="DE391" s="149" t="n">
        <f aca="false">IF(OR(ISNUMBER($DB391),$DB391=Constants!$B$11,$DB391=Constants!$B$9,$DB391=Constants!$B$10),1,0)</f>
        <v>0</v>
      </c>
      <c r="DF391" s="149" t="n">
        <v>383</v>
      </c>
      <c r="DG391" s="149" t="str">
        <f aca="false">IF(ISBLANK($C391),"",IF(ISNUMBER($DC391),$DC391+ROW($B391)/1000,""))</f>
        <v/>
      </c>
      <c r="DH391" s="149" t="str">
        <f aca="false">IF(ISNUMBER($DG391),RANK($DG391,$DG$9:$DG$508,1),"")</f>
        <v/>
      </c>
      <c r="DI391" s="149" t="str">
        <f aca="false">IF(ISBLANK($C391),"",$B391)</f>
        <v/>
      </c>
      <c r="DJ391" s="149" t="str">
        <f aca="false">IF(ISBLANK($C391),"",$C391)</f>
        <v/>
      </c>
      <c r="DK391" s="149" t="str">
        <f aca="false">IF(ISBLANK($C391),"",$D391)</f>
        <v/>
      </c>
      <c r="DL391" s="150" t="str">
        <f aca="false">$CZ391</f>
        <v/>
      </c>
      <c r="DM391" s="151" t="str">
        <f aca="false">$CY391</f>
        <v/>
      </c>
      <c r="DN391" s="149" t="str">
        <f aca="false">IF(ISBLANK($C391),"",$DB391)</f>
        <v/>
      </c>
      <c r="DO391" s="152" t="str">
        <f aca="false">IF($DF391&gt;$DE$8,"",VLOOKUP($DF391,$DH$9:$DN$508,7,FALSE()))</f>
        <v/>
      </c>
      <c r="DP391" s="153" t="str">
        <f aca="false">IF($DF391&gt;$DE$8,"",VLOOKUP($DF391,$DH$9:$DN$508,2,FALSE()))</f>
        <v/>
      </c>
      <c r="DQ391" s="153" t="str">
        <f aca="false">IF($DF391&gt;$DE$8,"",VLOOKUP($DF391,$DH$9:$DN$508,3,FALSE()))</f>
        <v/>
      </c>
      <c r="DR391" s="153" t="str">
        <f aca="false">IF($DF391&gt;$DE$8,"",VLOOKUP($DF391,$DH$9:$DN$508,4,FALSE()))</f>
        <v/>
      </c>
      <c r="DS391" s="153" t="str">
        <f aca="false">IF($DF391&gt;$DE$8,"",VLOOKUP($DF391,$DH$9:$DN$508,5,FALSE()))</f>
        <v/>
      </c>
      <c r="DT391" s="154" t="str">
        <f aca="false">IF($DF391&gt;$DE$8,"",VLOOKUP($DF391,$DH$9:$DN$508,6,FALSE()))</f>
        <v/>
      </c>
      <c r="DU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IF(ISBLANK($C392),"",IF(E392=Constants!$B$3,TRUE(),IF(E392=Constants!$B$4,FALSE(),TRUE())))</f>
        <v/>
      </c>
      <c r="AG392" s="135" t="str">
        <f aca="false">IF(ISBLANK($C392),"",IF(F392=Constants!$B$3,TRUE(),IF(F392=Constants!$B$4,FALSE(),TRUE())))</f>
        <v/>
      </c>
      <c r="AH392" s="135" t="str">
        <f aca="false">IF(ISBLANK($C392),"",IF(G392=Constants!$B$3,TRUE(),IF(G392=Constants!$B$4,FALSE(),TRUE())))</f>
        <v/>
      </c>
      <c r="AI392" s="135" t="str">
        <f aca="false">IF(ISBLANK($C392),"",IF(AND(ISNUMBER(H392),H392&gt;=0),H392,Constants!$B$29))</f>
        <v/>
      </c>
      <c r="AJ392" s="135" t="str">
        <f aca="false">IF(ISBLANK($C392),"",IF(I392=Constants!$B$3,TRUE(),IF(I392=Constants!$B$4,FALSE(),TRUE())))</f>
        <v/>
      </c>
      <c r="AK392" s="135" t="str">
        <f aca="false">IF(ISBLANK($C392),"",IF(J392=Constants!$B$3,TRUE(),IF(J392=Constants!$B$4,FALSE(),TRUE())))</f>
        <v/>
      </c>
      <c r="AL392" s="135" t="str">
        <f aca="false">IF(ISBLANK($C392),"",IF(K392=Constants!$B$5,TRUE(),IF(K392=Constants!$B$6,FALSE(),COUNTA(L392:P392)&gt;0)))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IF(ISBLANK($C392),"",IF(N392=Constants!$B$3,TRUE(),IF(N392=Constants!$B$4,FALSE(),TRUE())))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IF(ISBLANK($C392),"",IF(P392=Constants!$B$3,TRUE(),IF(P392=Constants!$B$4,FALSE(),FALSE())))</f>
        <v/>
      </c>
      <c r="AR392" s="135" t="str">
        <f aca="false">IF(ISBLANK($C392),"",IF(Q392=Constants!$B$3,TRUE(),IF(Q392=Constants!$B$4,FALSE(),TRUE())))</f>
        <v/>
      </c>
      <c r="AS392" s="135" t="str">
        <f aca="false">IF(ISBLANK($C392),"",IF(R392=Constants!$B$3,TRUE(),IF(R392=Constants!$B$4,FALSE(),TRUE())))</f>
        <v/>
      </c>
      <c r="AT392" s="135" t="str">
        <f aca="false">IF(ISBLANK($C392),"",IF(S392=Constants!$B$5,TRUE(),IF(S392=Constants!$B$6,FALSE(),COUNTA(T392:X392)&gt;0)))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IF(ISBLANK($C392),"",IF(V392=Constants!$B$3,TRUE(),IF(V392=Constants!$B$4,FALSE(),TRUE())))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IF(ISBLANK($C392),"",IF(X392=Constants!$B$3,TRUE(),IF(X392=Constants!$B$4,FALSE(),FALSE())))</f>
        <v/>
      </c>
      <c r="AZ392" s="135" t="str">
        <f aca="false">IF(ISBLANK($C392),"",MIN(Constants!$B$31,MAX(0,IF(ISNUMBER(Y392),Y392*60,0)+IF(ISNUMBER(Z392),Z392,0))))</f>
        <v/>
      </c>
      <c r="BA392" s="135" t="str">
        <f aca="false">IF(ISBLANK($C392),"",IF(AA392=Constants!$B$3,TRUE(),IF(AA392=Constants!$B$4,FALSE(),FALSE())))</f>
        <v/>
      </c>
      <c r="BB392" s="134" t="str">
        <f aca="false">IF(ISBLANK($C392),"",AND($AL392,OR($AM392="",$AN392="",AND($AO392,$AP392=""))))</f>
        <v/>
      </c>
      <c r="BC392" s="137" t="str">
        <f aca="false">IF($BZ392&lt;&gt;Constants!$B$8,"",IF($AL392,Constants!$B$21*$AN392+Constants!$B$22*IF($AO392,$AP392,Constants!$B$23),Constants!$B$24))</f>
        <v/>
      </c>
      <c r="BD392" s="138" t="str">
        <f aca="false">IF($BZ392&lt;&gt;Constants!$B$8,"",Constants!$B$25*ABS($AD$9-IF($AL392,$AM392,0)))</f>
        <v/>
      </c>
      <c r="BE392" s="138" t="str">
        <f aca="false">IF($BZ392&lt;&gt;Constants!$B$8,"",IF(AND($AL392,$AQ392,$AO392),Constants!$B$27,0))</f>
        <v/>
      </c>
      <c r="BF392" s="138" t="str">
        <f aca="false">IF($BZ392&lt;&gt;Constants!$B$8,"",IF($AL392,($AI392-Constants!$B$29)*Constants!$B$28,0))</f>
        <v/>
      </c>
      <c r="BG392" s="138" t="str">
        <f aca="false">IF($BZ392&lt;&gt;Constants!$B$8,"",IF($AK392,0,Constants!$B$15)+IF($AJ392,0,Constants!$B$16)+IF($AH392,0,Constants!$B$17))</f>
        <v/>
      </c>
      <c r="BH392" s="139" t="str">
        <f aca="false">IF($BZ392&lt;&gt;Constants!$B$8,"",Constants!$B$20+SUM($BC392:$BG392))</f>
        <v/>
      </c>
      <c r="BI392" s="138" t="str">
        <f aca="false">IF($BZ392&lt;&gt;Constants!$B$8,"",$BC392)</f>
        <v/>
      </c>
      <c r="BJ392" s="138" t="str">
        <f aca="false">IF($BZ392&lt;&gt;Constants!$B$8,"",$BD392)</f>
        <v/>
      </c>
      <c r="BK392" s="138" t="str">
        <f aca="false">IF($BZ392&lt;&gt;Constants!$B$8,"",IF($AL392,$AN392,""))</f>
        <v/>
      </c>
      <c r="BL392" s="140" t="str">
        <f aca="false">IF($BZ392&lt;&gt;Constants!$B$8,"",$AI392)</f>
        <v/>
      </c>
      <c r="BM392" s="135" t="str">
        <f aca="false">IF($BZ392&lt;&gt;Constants!$B$8,"",IF(OR($BT392&lt;$BH392,AND($BT392=$BH392,OR($BU392&lt;$BI392,AND($BU392=$BI392,OR($BV392&lt;$BJ392,AND($BV392=$BJ392,OR(AND(ISNUMBER($BW392),OR(NOT(ISNUMBER($BK392)),$BW392&lt;$BK392)),AND(OR(AND($BW392="",$BK392=""),AND(ISNUMBER($BW392),ISNUMBER($BK392),$BW392=$BK392)),$BX392&lt;$BL392)))))))),"-&gt;","&lt;-"))</f>
        <v/>
      </c>
      <c r="BN392" s="134" t="str">
        <f aca="false">IF(ISBLANK($C392),"",AND($AT392,OR($AU392="",$AV392="",AND($AW392,$AX392=""))))</f>
        <v/>
      </c>
      <c r="BO392" s="137" t="str">
        <f aca="false">IF($BZ392&lt;&gt;Constants!$B$8,"",IF($AT392,Constants!$B$21*$AV392+Constants!$B$22*IF($AW392,$AX392,Constants!$B$23),Constants!$B$24))</f>
        <v/>
      </c>
      <c r="BP392" s="138" t="str">
        <f aca="false">IF($BZ392&lt;&gt;Constants!$B$8,"",Constants!$B$25*ABS($AD$9-IF($AT392,$AU392,0)))</f>
        <v/>
      </c>
      <c r="BQ392" s="138" t="str">
        <f aca="false">IF($BZ392&lt;&gt;Constants!$B$8,"",IF(AND($AT392,$AY392,$AW392),Constants!$B$27,0))</f>
        <v/>
      </c>
      <c r="BR392" s="138" t="str">
        <f aca="false">IF($BZ392&lt;&gt;Constants!$B$8,"",IF($AT392,($AI392-Constants!$B$29)*Constants!$B$28,0))</f>
        <v/>
      </c>
      <c r="BS392" s="138" t="str">
        <f aca="false">IF($BZ392&lt;&gt;Constants!$B$8,"",IF($AS392,0,Constants!$B$15)+IF($AR392,0,Constants!$B$16)+IF($AH392,0,Constants!$B$17))</f>
        <v/>
      </c>
      <c r="BT392" s="139" t="str">
        <f aca="false">IF($BZ392&lt;&gt;Constants!$B$8,"",Constants!$B$20+SUM($BO392:$BS392))</f>
        <v/>
      </c>
      <c r="BU392" s="138" t="str">
        <f aca="false">IF($BZ392&lt;&gt;Constants!$B$8,"",$BO392)</f>
        <v/>
      </c>
      <c r="BV392" s="138" t="str">
        <f aca="false">IF($BZ392&lt;&gt;Constants!$B$8,"",$BP392)</f>
        <v/>
      </c>
      <c r="BW392" s="138" t="str">
        <f aca="false">IF($BZ392&lt;&gt;Constants!$B$8,"",IF($AT392,$AV392,""))</f>
        <v/>
      </c>
      <c r="BX392" s="140" t="str">
        <f aca="false">IF($BZ392&lt;&gt;Constants!$B$8,"",$AI392)</f>
        <v/>
      </c>
      <c r="BY392" s="135" t="str">
        <f aca="false">IF(ISBLANK($C392),"",IF(ISBLANK($D$7),$BY$5,IF(NOT(ISNUMBER($D$7)),$BY$6,"")))</f>
        <v/>
      </c>
      <c r="BZ392" s="135" t="str">
        <f aca="false">IF(ISBLANK($C392),"",IF($BA392,Constants!$B$11,IF(COUNTA($E392:$AA392)=0,Constants!$B$10,IF(NOT($AG392),Constants!$B$9,IF(OR($BY392&lt;&gt;"",$BB392,$BN392),Constants!$B$12,Constants!$B$8)))))</f>
        <v/>
      </c>
      <c r="CA392" s="135" t="str">
        <f aca="false">IF(ISBLANK($C392),"",IF($BZ392&lt;&gt;Constants!$B$8,$BZ392,Constants!$B$13))</f>
        <v/>
      </c>
      <c r="CB392" s="138" t="str">
        <f aca="false">IF($BZ392&lt;&gt;Constants!$B$8,"",IF($BM392="-&gt;",$BT392,$BH392))</f>
        <v/>
      </c>
      <c r="CC392" s="138" t="str">
        <f aca="false">IF($BZ392&lt;&gt;Constants!$B$8,"",IF($AF392,0,Constants!$B$18))</f>
        <v/>
      </c>
      <c r="CD392" s="138" t="str">
        <f aca="false">IF($BZ392&lt;&gt;Constants!$B$8,"",((Constants!$B$31-$AZ392)-Constants!$B$31)/Constants!$B$32)</f>
        <v/>
      </c>
      <c r="CE392" s="138" t="str">
        <f aca="false">IF(ISBLANK($C392),"",IF($BZ392&lt;&gt;Constants!$B$8,$BZ392,SUM($CB392:$CD392)))</f>
        <v/>
      </c>
      <c r="CF392" s="135" t="str">
        <f aca="false">IF(ISBLANK($C392),"",IF($BZ392&lt;&gt;Constants!$B$8,$BZ392,RANK($CE392,$CE$9:$CE$508,1)))</f>
        <v/>
      </c>
      <c r="CG392" s="138" t="str">
        <f aca="false">IF($BZ392&lt;&gt;Constants!$B$8,"",IF($BM392="-&gt;",$BU392,$BI392))</f>
        <v/>
      </c>
      <c r="CH392" s="135" t="str">
        <f aca="false">IF(ISBLANK($C392),"",IF($BZ392&lt;&gt;Constants!$B$8,$BZ392,IF(ISNUMBER($CG392),RANK($CG392,$CG$9:$CG$508,1),COUNT($CG$9:$CG$508)+1)))</f>
        <v/>
      </c>
      <c r="CI392" s="138" t="str">
        <f aca="false">IF($BZ392&lt;&gt;Constants!$B$8,"",IF($BM392="-&gt;",$BV392,$BJ392))</f>
        <v/>
      </c>
      <c r="CJ392" s="135" t="str">
        <f aca="false">IF(ISBLANK($C392),"",IF($BZ392&lt;&gt;Constants!$B$8,$BZ392,IF(ISNUMBER($CI392),RANK($CI392,$CI$9:$CI$508,1),COUNT($CI$9:$CI$508)+1)))</f>
        <v/>
      </c>
      <c r="CK392" s="138" t="str">
        <f aca="false">IF($BZ392&lt;&gt;Constants!$B$8,"",IF($BM392="-&gt;",$BW392,$BK392))</f>
        <v/>
      </c>
      <c r="CL392" s="135" t="str">
        <f aca="false">IF(ISBLANK($C392),"",IF($BZ392&lt;&gt;Constants!$B$8,$BZ392,IF(ISNUMBER($CK392),RANK($CK392,$CK$9:$CK$508,1),COUNT($CK$9:$CK$508)+1)))</f>
        <v/>
      </c>
      <c r="CM392" s="138" t="str">
        <f aca="false">IF($BZ392&lt;&gt;Constants!$B$8,"",IF(AND(NOT($AL392),NOT($AT392),$AJ392,$AK392,$AR392,$AS392),"",IF($BM392="-&gt;",$BX392,$BL392)))</f>
        <v/>
      </c>
      <c r="CN392" s="135" t="str">
        <f aca="false">IF(ISBLANK($C392),"",IF($BZ392&lt;&gt;Constants!$B$8,$BZ392,IF(ISNUMBER($CM392),RANK($CM392,$CM$9:$CM$508,1),COUNT($CM$9:$CM$508)+1)))</f>
        <v/>
      </c>
      <c r="CO392" s="135" t="str">
        <f aca="false">IF(ISBLANK($C392),"",IF($BZ392&lt;&gt;Constants!$B$8,$BZ392,COUNTIFS($CF$9:$CF$508,"&lt;"&amp;$CF392)+COUNTIFS($CF$9:$CF$508,$CF392,$CH$9:$CH$508,"&lt;"&amp;$CH392)+COUNTIFS($CF$9:$CF$508,$CF392,$CH$9:$CH$508,$CH392,$CJ$9:$CJ$508,"&lt;"&amp;$CJ392)+COUNTIFS($CF$9:$CF$508,$CF392,$CH$9:$CH$508,$CH392,$CJ$9:$CJ$508,$CJ392,$CL$9:$CL$508,"&lt;"&amp;$CL392)+COUNTIFS($CF$9:$CF$508,$CF392,$CH$9:$CH$508,$CH392,$CJ$9:$CJ$508,$CJ392,$CL$9:$CL$508,$CL392,$CN$9:$CN$508,"&lt;"&amp;$CN392)+1))</f>
        <v/>
      </c>
      <c r="CP392" s="135" t="str">
        <f aca="false">IF(ISBLANK($C392),"",IF($BZ392&lt;&gt;Constants!$B$8,$BZ392,$CF392-$CO392))</f>
        <v/>
      </c>
      <c r="CQ392" s="141"/>
      <c r="CR392" s="142"/>
      <c r="CS392" s="143" t="str">
        <f aca="false">IF(ISBLANK($C392),"",IF($BZ392=Constants!$B$12,$BY392,""))</f>
        <v/>
      </c>
      <c r="CT392" s="142" t="str">
        <f aca="false">IF(ISBLANK($C392),"",IF($BZ392&lt;&gt;Constants!$B$8,"",IF($BM392="-&gt;",2,1)))</f>
        <v/>
      </c>
      <c r="CU392" s="144" t="str">
        <f aca="false">IF(ISBLANK($C392),"",IF($BZ392&lt;&gt;Constants!$B$8,"",IF($BM392="-&gt;",$BO392,$BC392)))</f>
        <v/>
      </c>
      <c r="CV392" s="144" t="str">
        <f aca="false">IF(ISBLANK($C392),"",IF($BZ392&lt;&gt;Constants!$B$8,"",IF($BM392="-&gt;",$BP392,$BD392)))</f>
        <v/>
      </c>
      <c r="CW392" s="144" t="str">
        <f aca="false">IF(ISBLANK($C392),"",IF($BZ392&lt;&gt;Constants!$B$8,"",IF($BM392="-&gt;",$BQ392+$BR392,$BE392+$BF392)+$CD392))</f>
        <v/>
      </c>
      <c r="CX392" s="144" t="str">
        <f aca="false">IF(ISBLANK($C392),"",IF($BZ392&lt;&gt;Constants!$B$8,"",IF($BM392="-&gt;",$BS392,$BG392)+$CC392))</f>
        <v/>
      </c>
      <c r="CY392" s="145" t="str">
        <f aca="false">IF(ISBLANK($C392),"",IF($BZ392&lt;&gt;Constants!$B$8,$BZ392,$CE392))</f>
        <v/>
      </c>
      <c r="CZ392" s="146" t="str">
        <f aca="false">IF(ISBLANK($C392),"",$CA392)</f>
        <v/>
      </c>
      <c r="DA392" s="147" t="str">
        <f aca="false">IF(ISBLANK($C392),"",$CP392)</f>
        <v/>
      </c>
      <c r="DB392" s="147" t="str">
        <f aca="false">IF(ISBLANK($C392),"",$CO392)</f>
        <v/>
      </c>
      <c r="DC392" s="148" t="str">
        <f aca="false">IF(ISBLANK($C392),"",IFERROR(_xlfn.SWITCH($DB392,Constants!$B$11,COUNTA($C$9:$C$508)+2,Constants!$B$10,COUNTA($C$9:$C$508)+1,Constants!$B$9,COUNTA($C$9:$C$508)),$DB392))</f>
        <v/>
      </c>
      <c r="DD392" s="9"/>
      <c r="DE392" s="149" t="n">
        <f aca="false">IF(OR(ISNUMBER($DB392),$DB392=Constants!$B$11,$DB392=Constants!$B$9,$DB392=Constants!$B$10),1,0)</f>
        <v>0</v>
      </c>
      <c r="DF392" s="149" t="n">
        <v>384</v>
      </c>
      <c r="DG392" s="149" t="str">
        <f aca="false">IF(ISBLANK($C392),"",IF(ISNUMBER($DC392),$DC392+ROW($B392)/1000,""))</f>
        <v/>
      </c>
      <c r="DH392" s="149" t="str">
        <f aca="false">IF(ISNUMBER($DG392),RANK($DG392,$DG$9:$DG$508,1),"")</f>
        <v/>
      </c>
      <c r="DI392" s="149" t="str">
        <f aca="false">IF(ISBLANK($C392),"",$B392)</f>
        <v/>
      </c>
      <c r="DJ392" s="149" t="str">
        <f aca="false">IF(ISBLANK($C392),"",$C392)</f>
        <v/>
      </c>
      <c r="DK392" s="149" t="str">
        <f aca="false">IF(ISBLANK($C392),"",$D392)</f>
        <v/>
      </c>
      <c r="DL392" s="150" t="str">
        <f aca="false">$CZ392</f>
        <v/>
      </c>
      <c r="DM392" s="151" t="str">
        <f aca="false">$CY392</f>
        <v/>
      </c>
      <c r="DN392" s="149" t="str">
        <f aca="false">IF(ISBLANK($C392),"",$DB392)</f>
        <v/>
      </c>
      <c r="DO392" s="152" t="str">
        <f aca="false">IF($DF392&gt;$DE$8,"",VLOOKUP($DF392,$DH$9:$DN$508,7,FALSE()))</f>
        <v/>
      </c>
      <c r="DP392" s="153" t="str">
        <f aca="false">IF($DF392&gt;$DE$8,"",VLOOKUP($DF392,$DH$9:$DN$508,2,FALSE()))</f>
        <v/>
      </c>
      <c r="DQ392" s="153" t="str">
        <f aca="false">IF($DF392&gt;$DE$8,"",VLOOKUP($DF392,$DH$9:$DN$508,3,FALSE()))</f>
        <v/>
      </c>
      <c r="DR392" s="153" t="str">
        <f aca="false">IF($DF392&gt;$DE$8,"",VLOOKUP($DF392,$DH$9:$DN$508,4,FALSE()))</f>
        <v/>
      </c>
      <c r="DS392" s="153" t="str">
        <f aca="false">IF($DF392&gt;$DE$8,"",VLOOKUP($DF392,$DH$9:$DN$508,5,FALSE()))</f>
        <v/>
      </c>
      <c r="DT392" s="154" t="str">
        <f aca="false">IF($DF392&gt;$DE$8,"",VLOOKUP($DF392,$DH$9:$DN$508,6,FALSE()))</f>
        <v/>
      </c>
      <c r="DU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IF(ISBLANK($C393),"",IF(E393=Constants!$B$3,TRUE(),IF(E393=Constants!$B$4,FALSE(),TRUE())))</f>
        <v/>
      </c>
      <c r="AG393" s="93" t="str">
        <f aca="false">IF(ISBLANK($C393),"",IF(F393=Constants!$B$3,TRUE(),IF(F393=Constants!$B$4,FALSE(),TRUE())))</f>
        <v/>
      </c>
      <c r="AH393" s="93" t="str">
        <f aca="false">IF(ISBLANK($C393),"",IF(G393=Constants!$B$3,TRUE(),IF(G393=Constants!$B$4,FALSE(),TRUE())))</f>
        <v/>
      </c>
      <c r="AI393" s="93" t="str">
        <f aca="false">IF(ISBLANK($C393),"",IF(AND(ISNUMBER(H393),H393&gt;=0),H393,Constants!$B$29))</f>
        <v/>
      </c>
      <c r="AJ393" s="93" t="str">
        <f aca="false">IF(ISBLANK($C393),"",IF(I393=Constants!$B$3,TRUE(),IF(I393=Constants!$B$4,FALSE(),TRUE())))</f>
        <v/>
      </c>
      <c r="AK393" s="93" t="str">
        <f aca="false">IF(ISBLANK($C393),"",IF(J393=Constants!$B$3,TRUE(),IF(J393=Constants!$B$4,FALSE(),TRUE())))</f>
        <v/>
      </c>
      <c r="AL393" s="93" t="str">
        <f aca="false">IF(ISBLANK($C393),"",IF(K393=Constants!$B$5,TRUE(),IF(K393=Constants!$B$6,FALSE(),COUNTA(L393:P393)&gt;0)))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IF(ISBLANK($C393),"",IF(N393=Constants!$B$3,TRUE(),IF(N393=Constants!$B$4,FALSE(),TRUE())))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IF(ISBLANK($C393),"",IF(P393=Constants!$B$3,TRUE(),IF(P393=Constants!$B$4,FALSE(),FALSE())))</f>
        <v/>
      </c>
      <c r="AR393" s="93" t="str">
        <f aca="false">IF(ISBLANK($C393),"",IF(Q393=Constants!$B$3,TRUE(),IF(Q393=Constants!$B$4,FALSE(),TRUE())))</f>
        <v/>
      </c>
      <c r="AS393" s="93" t="str">
        <f aca="false">IF(ISBLANK($C393),"",IF(R393=Constants!$B$3,TRUE(),IF(R393=Constants!$B$4,FALSE(),TRUE())))</f>
        <v/>
      </c>
      <c r="AT393" s="93" t="str">
        <f aca="false">IF(ISBLANK($C393),"",IF(S393=Constants!$B$5,TRUE(),IF(S393=Constants!$B$6,FALSE(),COUNTA(T393:X393)&gt;0)))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IF(ISBLANK($C393),"",IF(V393=Constants!$B$3,TRUE(),IF(V393=Constants!$B$4,FALSE(),TRUE())))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IF(ISBLANK($C393),"",IF(X393=Constants!$B$3,TRUE(),IF(X393=Constants!$B$4,FALSE(),FALSE())))</f>
        <v/>
      </c>
      <c r="AZ393" s="93" t="str">
        <f aca="false">IF(ISBLANK($C393),"",MIN(Constants!$B$31,MAX(0,IF(ISNUMBER(Y393),Y393*60,0)+IF(ISNUMBER(Z393),Z393,0))))</f>
        <v/>
      </c>
      <c r="BA393" s="93" t="str">
        <f aca="false">IF(ISBLANK($C393),"",IF(AA393=Constants!$B$3,TRUE(),IF(AA393=Constants!$B$4,FALSE(),FALSE())))</f>
        <v/>
      </c>
      <c r="BB393" s="92" t="str">
        <f aca="false">IF(ISBLANK($C393),"",AND($AL393,OR($AM393="",$AN393="",AND($AO393,$AP393=""))))</f>
        <v/>
      </c>
      <c r="BC393" s="94" t="str">
        <f aca="false">IF($BZ393&lt;&gt;Constants!$B$8,"",IF($AL393,Constants!$B$21*$AN393+Constants!$B$22*IF($AO393,$AP393,Constants!$B$23),Constants!$B$24))</f>
        <v/>
      </c>
      <c r="BD393" s="97" t="str">
        <f aca="false">IF($BZ393&lt;&gt;Constants!$B$8,"",Constants!$B$25*ABS($AD$9-IF($AL393,$AM393,0)))</f>
        <v/>
      </c>
      <c r="BE393" s="97" t="str">
        <f aca="false">IF($BZ393&lt;&gt;Constants!$B$8,"",IF(AND($AL393,$AQ393,$AO393),Constants!$B$27,0))</f>
        <v/>
      </c>
      <c r="BF393" s="97" t="str">
        <f aca="false">IF($BZ393&lt;&gt;Constants!$B$8,"",IF($AL393,($AI393-Constants!$B$29)*Constants!$B$28,0))</f>
        <v/>
      </c>
      <c r="BG393" s="97" t="str">
        <f aca="false">IF($BZ393&lt;&gt;Constants!$B$8,"",IF($AK393,0,Constants!$B$15)+IF($AJ393,0,Constants!$B$16)+IF($AH393,0,Constants!$B$17))</f>
        <v/>
      </c>
      <c r="BH393" s="98" t="str">
        <f aca="false">IF($BZ393&lt;&gt;Constants!$B$8,"",Constants!$B$20+SUM($BC393:$BG393))</f>
        <v/>
      </c>
      <c r="BI393" s="97" t="str">
        <f aca="false">IF($BZ393&lt;&gt;Constants!$B$8,"",$BC393)</f>
        <v/>
      </c>
      <c r="BJ393" s="97" t="str">
        <f aca="false">IF($BZ393&lt;&gt;Constants!$B$8,"",$BD393)</f>
        <v/>
      </c>
      <c r="BK393" s="97" t="str">
        <f aca="false">IF($BZ393&lt;&gt;Constants!$B$8,"",IF($AL393,$AN393,""))</f>
        <v/>
      </c>
      <c r="BL393" s="99" t="str">
        <f aca="false">IF($BZ393&lt;&gt;Constants!$B$8,"",$AI393)</f>
        <v/>
      </c>
      <c r="BM393" s="93" t="str">
        <f aca="false">IF($BZ393&lt;&gt;Constants!$B$8,"",IF(OR($BT393&lt;$BH393,AND($BT393=$BH393,OR($BU393&lt;$BI393,AND($BU393=$BI393,OR($BV393&lt;$BJ393,AND($BV393=$BJ393,OR(AND(ISNUMBER($BW393),OR(NOT(ISNUMBER($BK393)),$BW393&lt;$BK393)),AND(OR(AND($BW393="",$BK393=""),AND(ISNUMBER($BW393),ISNUMBER($BK393),$BW393=$BK393)),$BX393&lt;$BL393)))))))),"-&gt;","&lt;-"))</f>
        <v/>
      </c>
      <c r="BN393" s="92" t="str">
        <f aca="false">IF(ISBLANK($C393),"",AND($AT393,OR($AU393="",$AV393="",AND($AW393,$AX393=""))))</f>
        <v/>
      </c>
      <c r="BO393" s="94" t="str">
        <f aca="false">IF($BZ393&lt;&gt;Constants!$B$8,"",IF($AT393,Constants!$B$21*$AV393+Constants!$B$22*IF($AW393,$AX393,Constants!$B$23),Constants!$B$24))</f>
        <v/>
      </c>
      <c r="BP393" s="97" t="str">
        <f aca="false">IF($BZ393&lt;&gt;Constants!$B$8,"",Constants!$B$25*ABS($AD$9-IF($AT393,$AU393,0)))</f>
        <v/>
      </c>
      <c r="BQ393" s="97" t="str">
        <f aca="false">IF($BZ393&lt;&gt;Constants!$B$8,"",IF(AND($AT393,$AY393,$AW393),Constants!$B$27,0))</f>
        <v/>
      </c>
      <c r="BR393" s="97" t="str">
        <f aca="false">IF($BZ393&lt;&gt;Constants!$B$8,"",IF($AT393,($AI393-Constants!$B$29)*Constants!$B$28,0))</f>
        <v/>
      </c>
      <c r="BS393" s="97" t="str">
        <f aca="false">IF($BZ393&lt;&gt;Constants!$B$8,"",IF($AS393,0,Constants!$B$15)+IF($AR393,0,Constants!$B$16)+IF($AH393,0,Constants!$B$17))</f>
        <v/>
      </c>
      <c r="BT393" s="98" t="str">
        <f aca="false">IF($BZ393&lt;&gt;Constants!$B$8,"",Constants!$B$20+SUM($BO393:$BS393))</f>
        <v/>
      </c>
      <c r="BU393" s="97" t="str">
        <f aca="false">IF($BZ393&lt;&gt;Constants!$B$8,"",$BO393)</f>
        <v/>
      </c>
      <c r="BV393" s="97" t="str">
        <f aca="false">IF($BZ393&lt;&gt;Constants!$B$8,"",$BP393)</f>
        <v/>
      </c>
      <c r="BW393" s="97" t="str">
        <f aca="false">IF($BZ393&lt;&gt;Constants!$B$8,"",IF($AT393,$AV393,""))</f>
        <v/>
      </c>
      <c r="BX393" s="99" t="str">
        <f aca="false">IF($BZ393&lt;&gt;Constants!$B$8,"",$AI393)</f>
        <v/>
      </c>
      <c r="BY393" s="93" t="str">
        <f aca="false">IF(ISBLANK($C393),"",IF(ISBLANK($D$7),$BY$5,IF(NOT(ISNUMBER($D$7)),$BY$6,"")))</f>
        <v/>
      </c>
      <c r="BZ393" s="93" t="str">
        <f aca="false">IF(ISBLANK($C393),"",IF($BA393,Constants!$B$11,IF(COUNTA($E393:$AA393)=0,Constants!$B$10,IF(NOT($AG393),Constants!$B$9,IF(OR($BY393&lt;&gt;"",$BB393,$BN393),Constants!$B$12,Constants!$B$8)))))</f>
        <v/>
      </c>
      <c r="CA393" s="93" t="str">
        <f aca="false">IF(ISBLANK($C393),"",IF($BZ393&lt;&gt;Constants!$B$8,$BZ393,Constants!$B$13))</f>
        <v/>
      </c>
      <c r="CB393" s="97" t="str">
        <f aca="false">IF($BZ393&lt;&gt;Constants!$B$8,"",IF($BM393="-&gt;",$BT393,$BH393))</f>
        <v/>
      </c>
      <c r="CC393" s="97" t="str">
        <f aca="false">IF($BZ393&lt;&gt;Constants!$B$8,"",IF($AF393,0,Constants!$B$18))</f>
        <v/>
      </c>
      <c r="CD393" s="97" t="str">
        <f aca="false">IF($BZ393&lt;&gt;Constants!$B$8,"",((Constants!$B$31-$AZ393)-Constants!$B$31)/Constants!$B$32)</f>
        <v/>
      </c>
      <c r="CE393" s="97" t="str">
        <f aca="false">IF(ISBLANK($C393),"",IF($BZ393&lt;&gt;Constants!$B$8,$BZ393,SUM($CB393:$CD393)))</f>
        <v/>
      </c>
      <c r="CF393" s="93" t="str">
        <f aca="false">IF(ISBLANK($C393),"",IF($BZ393&lt;&gt;Constants!$B$8,$BZ393,RANK($CE393,$CE$9:$CE$508,1)))</f>
        <v/>
      </c>
      <c r="CG393" s="97" t="str">
        <f aca="false">IF($BZ393&lt;&gt;Constants!$B$8,"",IF($BM393="-&gt;",$BU393,$BI393))</f>
        <v/>
      </c>
      <c r="CH393" s="93" t="str">
        <f aca="false">IF(ISBLANK($C393),"",IF($BZ393&lt;&gt;Constants!$B$8,$BZ393,IF(ISNUMBER($CG393),RANK($CG393,$CG$9:$CG$508,1),COUNT($CG$9:$CG$508)+1)))</f>
        <v/>
      </c>
      <c r="CI393" s="97" t="str">
        <f aca="false">IF($BZ393&lt;&gt;Constants!$B$8,"",IF($BM393="-&gt;",$BV393,$BJ393))</f>
        <v/>
      </c>
      <c r="CJ393" s="93" t="str">
        <f aca="false">IF(ISBLANK($C393),"",IF($BZ393&lt;&gt;Constants!$B$8,$BZ393,IF(ISNUMBER($CI393),RANK($CI393,$CI$9:$CI$508,1),COUNT($CI$9:$CI$508)+1)))</f>
        <v/>
      </c>
      <c r="CK393" s="97" t="str">
        <f aca="false">IF($BZ393&lt;&gt;Constants!$B$8,"",IF($BM393="-&gt;",$BW393,$BK393))</f>
        <v/>
      </c>
      <c r="CL393" s="93" t="str">
        <f aca="false">IF(ISBLANK($C393),"",IF($BZ393&lt;&gt;Constants!$B$8,$BZ393,IF(ISNUMBER($CK393),RANK($CK393,$CK$9:$CK$508,1),COUNT($CK$9:$CK$508)+1)))</f>
        <v/>
      </c>
      <c r="CM393" s="97" t="str">
        <f aca="false">IF($BZ393&lt;&gt;Constants!$B$8,"",IF(AND(NOT($AL393),NOT($AT393),$AJ393,$AK393,$AR393,$AS393),"",IF($BM393="-&gt;",$BX393,$BL393)))</f>
        <v/>
      </c>
      <c r="CN393" s="93" t="str">
        <f aca="false">IF(ISBLANK($C393),"",IF($BZ393&lt;&gt;Constants!$B$8,$BZ393,IF(ISNUMBER($CM393),RANK($CM393,$CM$9:$CM$508,1),COUNT($CM$9:$CM$508)+1)))</f>
        <v/>
      </c>
      <c r="CO393" s="93" t="str">
        <f aca="false">IF(ISBLANK($C393),"",IF($BZ393&lt;&gt;Constants!$B$8,$BZ393,COUNTIFS($CF$9:$CF$508,"&lt;"&amp;$CF393)+COUNTIFS($CF$9:$CF$508,$CF393,$CH$9:$CH$508,"&lt;"&amp;$CH393)+COUNTIFS($CF$9:$CF$508,$CF393,$CH$9:$CH$508,$CH393,$CJ$9:$CJ$508,"&lt;"&amp;$CJ393)+COUNTIFS($CF$9:$CF$508,$CF393,$CH$9:$CH$508,$CH393,$CJ$9:$CJ$508,$CJ393,$CL$9:$CL$508,"&lt;"&amp;$CL393)+COUNTIFS($CF$9:$CF$508,$CF393,$CH$9:$CH$508,$CH393,$CJ$9:$CJ$508,$CJ393,$CL$9:$CL$508,$CL393,$CN$9:$CN$508,"&lt;"&amp;$CN393)+1))</f>
        <v/>
      </c>
      <c r="CP393" s="93" t="str">
        <f aca="false">IF(ISBLANK($C393),"",IF($BZ393&lt;&gt;Constants!$B$8,$BZ393,$CF393-$CO393))</f>
        <v/>
      </c>
      <c r="CQ393" s="100"/>
      <c r="CR393" s="101"/>
      <c r="CS393" s="102" t="str">
        <f aca="false">IF(ISBLANK($C393),"",IF($BZ393=Constants!$B$12,$BY393,""))</f>
        <v/>
      </c>
      <c r="CT393" s="101" t="str">
        <f aca="false">IF(ISBLANK($C393),"",IF($BZ393&lt;&gt;Constants!$B$8,"",IF($BM393="-&gt;",2,1)))</f>
        <v/>
      </c>
      <c r="CU393" s="103" t="str">
        <f aca="false">IF(ISBLANK($C393),"",IF($BZ393&lt;&gt;Constants!$B$8,"",IF($BM393="-&gt;",$BO393,$BC393)))</f>
        <v/>
      </c>
      <c r="CV393" s="103" t="str">
        <f aca="false">IF(ISBLANK($C393),"",IF($BZ393&lt;&gt;Constants!$B$8,"",IF($BM393="-&gt;",$BP393,$BD393)))</f>
        <v/>
      </c>
      <c r="CW393" s="103" t="str">
        <f aca="false">IF(ISBLANK($C393),"",IF($BZ393&lt;&gt;Constants!$B$8,"",IF($BM393="-&gt;",$BQ393+$BR393,$BE393+$BF393)+$CD393))</f>
        <v/>
      </c>
      <c r="CX393" s="103" t="str">
        <f aca="false">IF(ISBLANK($C393),"",IF($BZ393&lt;&gt;Constants!$B$8,"",IF($BM393="-&gt;",$BS393,$BG393)+$CC393))</f>
        <v/>
      </c>
      <c r="CY393" s="104" t="str">
        <f aca="false">IF(ISBLANK($C393),"",IF($BZ393&lt;&gt;Constants!$B$8,$BZ393,$CE393))</f>
        <v/>
      </c>
      <c r="CZ393" s="105" t="str">
        <f aca="false">IF(ISBLANK($C393),"",$CA393)</f>
        <v/>
      </c>
      <c r="DA393" s="106" t="str">
        <f aca="false">IF(ISBLANK($C393),"",$CP393)</f>
        <v/>
      </c>
      <c r="DB393" s="106" t="str">
        <f aca="false">IF(ISBLANK($C393),"",$CO393)</f>
        <v/>
      </c>
      <c r="DC393" s="107" t="str">
        <f aca="false">IF(ISBLANK($C393),"",IFERROR(_xlfn.SWITCH($DB393,Constants!$B$11,COUNTA($C$9:$C$508)+2,Constants!$B$10,COUNTA($C$9:$C$508)+1,Constants!$B$9,COUNTA($C$9:$C$508)),$DB393))</f>
        <v/>
      </c>
      <c r="DD393" s="9"/>
      <c r="DE393" s="108" t="n">
        <f aca="false">IF(OR(ISNUMBER($DB393),$DB393=Constants!$B$11,$DB393=Constants!$B$9,$DB393=Constants!$B$10),1,0)</f>
        <v>0</v>
      </c>
      <c r="DF393" s="108" t="n">
        <v>385</v>
      </c>
      <c r="DG393" s="108" t="str">
        <f aca="false">IF(ISBLANK($C393),"",IF(ISNUMBER($DC393),$DC393+ROW($B393)/1000,""))</f>
        <v/>
      </c>
      <c r="DH393" s="108" t="str">
        <f aca="false">IF(ISNUMBER($DG393),RANK($DG393,$DG$9:$DG$508,1),"")</f>
        <v/>
      </c>
      <c r="DI393" s="108" t="str">
        <f aca="false">IF(ISBLANK($C393),"",$B393)</f>
        <v/>
      </c>
      <c r="DJ393" s="108" t="str">
        <f aca="false">IF(ISBLANK($C393),"",$C393)</f>
        <v/>
      </c>
      <c r="DK393" s="108" t="str">
        <f aca="false">IF(ISBLANK($C393),"",$D393)</f>
        <v/>
      </c>
      <c r="DL393" s="109" t="str">
        <f aca="false">$CZ393</f>
        <v/>
      </c>
      <c r="DM393" s="110" t="str">
        <f aca="false">$CY393</f>
        <v/>
      </c>
      <c r="DN393" s="108" t="str">
        <f aca="false">IF(ISBLANK($C393),"",$DB393)</f>
        <v/>
      </c>
      <c r="DO393" s="111" t="str">
        <f aca="false">IF($DF393&gt;$DE$8,"",VLOOKUP($DF393,$DH$9:$DN$508,7,FALSE()))</f>
        <v/>
      </c>
      <c r="DP393" s="112" t="str">
        <f aca="false">IF($DF393&gt;$DE$8,"",VLOOKUP($DF393,$DH$9:$DN$508,2,FALSE()))</f>
        <v/>
      </c>
      <c r="DQ393" s="112" t="str">
        <f aca="false">IF($DF393&gt;$DE$8,"",VLOOKUP($DF393,$DH$9:$DN$508,3,FALSE()))</f>
        <v/>
      </c>
      <c r="DR393" s="112" t="str">
        <f aca="false">IF($DF393&gt;$DE$8,"",VLOOKUP($DF393,$DH$9:$DN$508,4,FALSE()))</f>
        <v/>
      </c>
      <c r="DS393" s="112" t="str">
        <f aca="false">IF($DF393&gt;$DE$8,"",VLOOKUP($DF393,$DH$9:$DN$508,5,FALSE()))</f>
        <v/>
      </c>
      <c r="DT393" s="113" t="str">
        <f aca="false">IF($DF393&gt;$DE$8,"",VLOOKUP($DF393,$DH$9:$DN$508,6,FALSE()))</f>
        <v/>
      </c>
      <c r="DU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IF(ISBLANK($C394),"",IF(E394=Constants!$B$3,TRUE(),IF(E394=Constants!$B$4,FALSE(),TRUE())))</f>
        <v/>
      </c>
      <c r="AG394" s="93" t="str">
        <f aca="false">IF(ISBLANK($C394),"",IF(F394=Constants!$B$3,TRUE(),IF(F394=Constants!$B$4,FALSE(),TRUE())))</f>
        <v/>
      </c>
      <c r="AH394" s="93" t="str">
        <f aca="false">IF(ISBLANK($C394),"",IF(G394=Constants!$B$3,TRUE(),IF(G394=Constants!$B$4,FALSE(),TRUE())))</f>
        <v/>
      </c>
      <c r="AI394" s="93" t="str">
        <f aca="false">IF(ISBLANK($C394),"",IF(AND(ISNUMBER(H394),H394&gt;=0),H394,Constants!$B$29))</f>
        <v/>
      </c>
      <c r="AJ394" s="93" t="str">
        <f aca="false">IF(ISBLANK($C394),"",IF(I394=Constants!$B$3,TRUE(),IF(I394=Constants!$B$4,FALSE(),TRUE())))</f>
        <v/>
      </c>
      <c r="AK394" s="93" t="str">
        <f aca="false">IF(ISBLANK($C394),"",IF(J394=Constants!$B$3,TRUE(),IF(J394=Constants!$B$4,FALSE(),TRUE())))</f>
        <v/>
      </c>
      <c r="AL394" s="93" t="str">
        <f aca="false">IF(ISBLANK($C394),"",IF(K394=Constants!$B$5,TRUE(),IF(K394=Constants!$B$6,FALSE(),COUNTA(L394:P394)&gt;0)))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IF(ISBLANK($C394),"",IF(N394=Constants!$B$3,TRUE(),IF(N394=Constants!$B$4,FALSE(),TRUE())))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IF(ISBLANK($C394),"",IF(P394=Constants!$B$3,TRUE(),IF(P394=Constants!$B$4,FALSE(),FALSE())))</f>
        <v/>
      </c>
      <c r="AR394" s="93" t="str">
        <f aca="false">IF(ISBLANK($C394),"",IF(Q394=Constants!$B$3,TRUE(),IF(Q394=Constants!$B$4,FALSE(),TRUE())))</f>
        <v/>
      </c>
      <c r="AS394" s="93" t="str">
        <f aca="false">IF(ISBLANK($C394),"",IF(R394=Constants!$B$3,TRUE(),IF(R394=Constants!$B$4,FALSE(),TRUE())))</f>
        <v/>
      </c>
      <c r="AT394" s="93" t="str">
        <f aca="false">IF(ISBLANK($C394),"",IF(S394=Constants!$B$5,TRUE(),IF(S394=Constants!$B$6,FALSE(),COUNTA(T394:X394)&gt;0)))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IF(ISBLANK($C394),"",IF(V394=Constants!$B$3,TRUE(),IF(V394=Constants!$B$4,FALSE(),TRUE())))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IF(ISBLANK($C394),"",IF(X394=Constants!$B$3,TRUE(),IF(X394=Constants!$B$4,FALSE(),FALSE())))</f>
        <v/>
      </c>
      <c r="AZ394" s="93" t="str">
        <f aca="false">IF(ISBLANK($C394),"",MIN(Constants!$B$31,MAX(0,IF(ISNUMBER(Y394),Y394*60,0)+IF(ISNUMBER(Z394),Z394,0))))</f>
        <v/>
      </c>
      <c r="BA394" s="93" t="str">
        <f aca="false">IF(ISBLANK($C394),"",IF(AA394=Constants!$B$3,TRUE(),IF(AA394=Constants!$B$4,FALSE(),FALSE())))</f>
        <v/>
      </c>
      <c r="BB394" s="92" t="str">
        <f aca="false">IF(ISBLANK($C394),"",AND($AL394,OR($AM394="",$AN394="",AND($AO394,$AP394=""))))</f>
        <v/>
      </c>
      <c r="BC394" s="94" t="str">
        <f aca="false">IF($BZ394&lt;&gt;Constants!$B$8,"",IF($AL394,Constants!$B$21*$AN394+Constants!$B$22*IF($AO394,$AP394,Constants!$B$23),Constants!$B$24))</f>
        <v/>
      </c>
      <c r="BD394" s="97" t="str">
        <f aca="false">IF($BZ394&lt;&gt;Constants!$B$8,"",Constants!$B$25*ABS($AD$9-IF($AL394,$AM394,0)))</f>
        <v/>
      </c>
      <c r="BE394" s="97" t="str">
        <f aca="false">IF($BZ394&lt;&gt;Constants!$B$8,"",IF(AND($AL394,$AQ394,$AO394),Constants!$B$27,0))</f>
        <v/>
      </c>
      <c r="BF394" s="97" t="str">
        <f aca="false">IF($BZ394&lt;&gt;Constants!$B$8,"",IF($AL394,($AI394-Constants!$B$29)*Constants!$B$28,0))</f>
        <v/>
      </c>
      <c r="BG394" s="97" t="str">
        <f aca="false">IF($BZ394&lt;&gt;Constants!$B$8,"",IF($AK394,0,Constants!$B$15)+IF($AJ394,0,Constants!$B$16)+IF($AH394,0,Constants!$B$17))</f>
        <v/>
      </c>
      <c r="BH394" s="98" t="str">
        <f aca="false">IF($BZ394&lt;&gt;Constants!$B$8,"",Constants!$B$20+SUM($BC394:$BG394))</f>
        <v/>
      </c>
      <c r="BI394" s="97" t="str">
        <f aca="false">IF($BZ394&lt;&gt;Constants!$B$8,"",$BC394)</f>
        <v/>
      </c>
      <c r="BJ394" s="97" t="str">
        <f aca="false">IF($BZ394&lt;&gt;Constants!$B$8,"",$BD394)</f>
        <v/>
      </c>
      <c r="BK394" s="97" t="str">
        <f aca="false">IF($BZ394&lt;&gt;Constants!$B$8,"",IF($AL394,$AN394,""))</f>
        <v/>
      </c>
      <c r="BL394" s="99" t="str">
        <f aca="false">IF($BZ394&lt;&gt;Constants!$B$8,"",$AI394)</f>
        <v/>
      </c>
      <c r="BM394" s="93" t="str">
        <f aca="false">IF($BZ394&lt;&gt;Constants!$B$8,"",IF(OR($BT394&lt;$BH394,AND($BT394=$BH394,OR($BU394&lt;$BI394,AND($BU394=$BI394,OR($BV394&lt;$BJ394,AND($BV394=$BJ394,OR(AND(ISNUMBER($BW394),OR(NOT(ISNUMBER($BK394)),$BW394&lt;$BK394)),AND(OR(AND($BW394="",$BK394=""),AND(ISNUMBER($BW394),ISNUMBER($BK394),$BW394=$BK394)),$BX394&lt;$BL394)))))))),"-&gt;","&lt;-"))</f>
        <v/>
      </c>
      <c r="BN394" s="92" t="str">
        <f aca="false">IF(ISBLANK($C394),"",AND($AT394,OR($AU394="",$AV394="",AND($AW394,$AX394=""))))</f>
        <v/>
      </c>
      <c r="BO394" s="94" t="str">
        <f aca="false">IF($BZ394&lt;&gt;Constants!$B$8,"",IF($AT394,Constants!$B$21*$AV394+Constants!$B$22*IF($AW394,$AX394,Constants!$B$23),Constants!$B$24))</f>
        <v/>
      </c>
      <c r="BP394" s="97" t="str">
        <f aca="false">IF($BZ394&lt;&gt;Constants!$B$8,"",Constants!$B$25*ABS($AD$9-IF($AT394,$AU394,0)))</f>
        <v/>
      </c>
      <c r="BQ394" s="97" t="str">
        <f aca="false">IF($BZ394&lt;&gt;Constants!$B$8,"",IF(AND($AT394,$AY394,$AW394),Constants!$B$27,0))</f>
        <v/>
      </c>
      <c r="BR394" s="97" t="str">
        <f aca="false">IF($BZ394&lt;&gt;Constants!$B$8,"",IF($AT394,($AI394-Constants!$B$29)*Constants!$B$28,0))</f>
        <v/>
      </c>
      <c r="BS394" s="97" t="str">
        <f aca="false">IF($BZ394&lt;&gt;Constants!$B$8,"",IF($AS394,0,Constants!$B$15)+IF($AR394,0,Constants!$B$16)+IF($AH394,0,Constants!$B$17))</f>
        <v/>
      </c>
      <c r="BT394" s="98" t="str">
        <f aca="false">IF($BZ394&lt;&gt;Constants!$B$8,"",Constants!$B$20+SUM($BO394:$BS394))</f>
        <v/>
      </c>
      <c r="BU394" s="97" t="str">
        <f aca="false">IF($BZ394&lt;&gt;Constants!$B$8,"",$BO394)</f>
        <v/>
      </c>
      <c r="BV394" s="97" t="str">
        <f aca="false">IF($BZ394&lt;&gt;Constants!$B$8,"",$BP394)</f>
        <v/>
      </c>
      <c r="BW394" s="97" t="str">
        <f aca="false">IF($BZ394&lt;&gt;Constants!$B$8,"",IF($AT394,$AV394,""))</f>
        <v/>
      </c>
      <c r="BX394" s="99" t="str">
        <f aca="false">IF($BZ394&lt;&gt;Constants!$B$8,"",$AI394)</f>
        <v/>
      </c>
      <c r="BY394" s="93" t="str">
        <f aca="false">IF(ISBLANK($C394),"",IF(ISBLANK($D$7),$BY$5,IF(NOT(ISNUMBER($D$7)),$BY$6,"")))</f>
        <v/>
      </c>
      <c r="BZ394" s="93" t="str">
        <f aca="false">IF(ISBLANK($C394),"",IF($BA394,Constants!$B$11,IF(COUNTA($E394:$AA394)=0,Constants!$B$10,IF(NOT($AG394),Constants!$B$9,IF(OR($BY394&lt;&gt;"",$BB394,$BN394),Constants!$B$12,Constants!$B$8)))))</f>
        <v/>
      </c>
      <c r="CA394" s="93" t="str">
        <f aca="false">IF(ISBLANK($C394),"",IF($BZ394&lt;&gt;Constants!$B$8,$BZ394,Constants!$B$13))</f>
        <v/>
      </c>
      <c r="CB394" s="97" t="str">
        <f aca="false">IF($BZ394&lt;&gt;Constants!$B$8,"",IF($BM394="-&gt;",$BT394,$BH394))</f>
        <v/>
      </c>
      <c r="CC394" s="97" t="str">
        <f aca="false">IF($BZ394&lt;&gt;Constants!$B$8,"",IF($AF394,0,Constants!$B$18))</f>
        <v/>
      </c>
      <c r="CD394" s="97" t="str">
        <f aca="false">IF($BZ394&lt;&gt;Constants!$B$8,"",((Constants!$B$31-$AZ394)-Constants!$B$31)/Constants!$B$32)</f>
        <v/>
      </c>
      <c r="CE394" s="97" t="str">
        <f aca="false">IF(ISBLANK($C394),"",IF($BZ394&lt;&gt;Constants!$B$8,$BZ394,SUM($CB394:$CD394)))</f>
        <v/>
      </c>
      <c r="CF394" s="93" t="str">
        <f aca="false">IF(ISBLANK($C394),"",IF($BZ394&lt;&gt;Constants!$B$8,$BZ394,RANK($CE394,$CE$9:$CE$508,1)))</f>
        <v/>
      </c>
      <c r="CG394" s="97" t="str">
        <f aca="false">IF($BZ394&lt;&gt;Constants!$B$8,"",IF($BM394="-&gt;",$BU394,$BI394))</f>
        <v/>
      </c>
      <c r="CH394" s="93" t="str">
        <f aca="false">IF(ISBLANK($C394),"",IF($BZ394&lt;&gt;Constants!$B$8,$BZ394,IF(ISNUMBER($CG394),RANK($CG394,$CG$9:$CG$508,1),COUNT($CG$9:$CG$508)+1)))</f>
        <v/>
      </c>
      <c r="CI394" s="97" t="str">
        <f aca="false">IF($BZ394&lt;&gt;Constants!$B$8,"",IF($BM394="-&gt;",$BV394,$BJ394))</f>
        <v/>
      </c>
      <c r="CJ394" s="93" t="str">
        <f aca="false">IF(ISBLANK($C394),"",IF($BZ394&lt;&gt;Constants!$B$8,$BZ394,IF(ISNUMBER($CI394),RANK($CI394,$CI$9:$CI$508,1),COUNT($CI$9:$CI$508)+1)))</f>
        <v/>
      </c>
      <c r="CK394" s="97" t="str">
        <f aca="false">IF($BZ394&lt;&gt;Constants!$B$8,"",IF($BM394="-&gt;",$BW394,$BK394))</f>
        <v/>
      </c>
      <c r="CL394" s="93" t="str">
        <f aca="false">IF(ISBLANK($C394),"",IF($BZ394&lt;&gt;Constants!$B$8,$BZ394,IF(ISNUMBER($CK394),RANK($CK394,$CK$9:$CK$508,1),COUNT($CK$9:$CK$508)+1)))</f>
        <v/>
      </c>
      <c r="CM394" s="97" t="str">
        <f aca="false">IF($BZ394&lt;&gt;Constants!$B$8,"",IF(AND(NOT($AL394),NOT($AT394),$AJ394,$AK394,$AR394,$AS394),"",IF($BM394="-&gt;",$BX394,$BL394)))</f>
        <v/>
      </c>
      <c r="CN394" s="93" t="str">
        <f aca="false">IF(ISBLANK($C394),"",IF($BZ394&lt;&gt;Constants!$B$8,$BZ394,IF(ISNUMBER($CM394),RANK($CM394,$CM$9:$CM$508,1),COUNT($CM$9:$CM$508)+1)))</f>
        <v/>
      </c>
      <c r="CO394" s="93" t="str">
        <f aca="false">IF(ISBLANK($C394),"",IF($BZ394&lt;&gt;Constants!$B$8,$BZ394,COUNTIFS($CF$9:$CF$508,"&lt;"&amp;$CF394)+COUNTIFS($CF$9:$CF$508,$CF394,$CH$9:$CH$508,"&lt;"&amp;$CH394)+COUNTIFS($CF$9:$CF$508,$CF394,$CH$9:$CH$508,$CH394,$CJ$9:$CJ$508,"&lt;"&amp;$CJ394)+COUNTIFS($CF$9:$CF$508,$CF394,$CH$9:$CH$508,$CH394,$CJ$9:$CJ$508,$CJ394,$CL$9:$CL$508,"&lt;"&amp;$CL394)+COUNTIFS($CF$9:$CF$508,$CF394,$CH$9:$CH$508,$CH394,$CJ$9:$CJ$508,$CJ394,$CL$9:$CL$508,$CL394,$CN$9:$CN$508,"&lt;"&amp;$CN394)+1))</f>
        <v/>
      </c>
      <c r="CP394" s="93" t="str">
        <f aca="false">IF(ISBLANK($C394),"",IF($BZ394&lt;&gt;Constants!$B$8,$BZ394,$CF394-$CO394))</f>
        <v/>
      </c>
      <c r="CQ394" s="100"/>
      <c r="CR394" s="101"/>
      <c r="CS394" s="102" t="str">
        <f aca="false">IF(ISBLANK($C394),"",IF($BZ394=Constants!$B$12,$BY394,""))</f>
        <v/>
      </c>
      <c r="CT394" s="101" t="str">
        <f aca="false">IF(ISBLANK($C394),"",IF($BZ394&lt;&gt;Constants!$B$8,"",IF($BM394="-&gt;",2,1)))</f>
        <v/>
      </c>
      <c r="CU394" s="103" t="str">
        <f aca="false">IF(ISBLANK($C394),"",IF($BZ394&lt;&gt;Constants!$B$8,"",IF($BM394="-&gt;",$BO394,$BC394)))</f>
        <v/>
      </c>
      <c r="CV394" s="103" t="str">
        <f aca="false">IF(ISBLANK($C394),"",IF($BZ394&lt;&gt;Constants!$B$8,"",IF($BM394="-&gt;",$BP394,$BD394)))</f>
        <v/>
      </c>
      <c r="CW394" s="103" t="str">
        <f aca="false">IF(ISBLANK($C394),"",IF($BZ394&lt;&gt;Constants!$B$8,"",IF($BM394="-&gt;",$BQ394+$BR394,$BE394+$BF394)+$CD394))</f>
        <v/>
      </c>
      <c r="CX394" s="103" t="str">
        <f aca="false">IF(ISBLANK($C394),"",IF($BZ394&lt;&gt;Constants!$B$8,"",IF($BM394="-&gt;",$BS394,$BG394)+$CC394))</f>
        <v/>
      </c>
      <c r="CY394" s="104" t="str">
        <f aca="false">IF(ISBLANK($C394),"",IF($BZ394&lt;&gt;Constants!$B$8,$BZ394,$CE394))</f>
        <v/>
      </c>
      <c r="CZ394" s="105" t="str">
        <f aca="false">IF(ISBLANK($C394),"",$CA394)</f>
        <v/>
      </c>
      <c r="DA394" s="106" t="str">
        <f aca="false">IF(ISBLANK($C394),"",$CP394)</f>
        <v/>
      </c>
      <c r="DB394" s="106" t="str">
        <f aca="false">IF(ISBLANK($C394),"",$CO394)</f>
        <v/>
      </c>
      <c r="DC394" s="107" t="str">
        <f aca="false">IF(ISBLANK($C394),"",IFERROR(_xlfn.SWITCH($DB394,Constants!$B$11,COUNTA($C$9:$C$508)+2,Constants!$B$10,COUNTA($C$9:$C$508)+1,Constants!$B$9,COUNTA($C$9:$C$508)),$DB394))</f>
        <v/>
      </c>
      <c r="DD394" s="9"/>
      <c r="DE394" s="108" t="n">
        <f aca="false">IF(OR(ISNUMBER($DB394),$DB394=Constants!$B$11,$DB394=Constants!$B$9,$DB394=Constants!$B$10),1,0)</f>
        <v>0</v>
      </c>
      <c r="DF394" s="108" t="n">
        <v>386</v>
      </c>
      <c r="DG394" s="108" t="str">
        <f aca="false">IF(ISBLANK($C394),"",IF(ISNUMBER($DC394),$DC394+ROW($B394)/1000,""))</f>
        <v/>
      </c>
      <c r="DH394" s="108" t="str">
        <f aca="false">IF(ISNUMBER($DG394),RANK($DG394,$DG$9:$DG$508,1),"")</f>
        <v/>
      </c>
      <c r="DI394" s="108" t="str">
        <f aca="false">IF(ISBLANK($C394),"",$B394)</f>
        <v/>
      </c>
      <c r="DJ394" s="108" t="str">
        <f aca="false">IF(ISBLANK($C394),"",$C394)</f>
        <v/>
      </c>
      <c r="DK394" s="108" t="str">
        <f aca="false">IF(ISBLANK($C394),"",$D394)</f>
        <v/>
      </c>
      <c r="DL394" s="109" t="str">
        <f aca="false">$CZ394</f>
        <v/>
      </c>
      <c r="DM394" s="110" t="str">
        <f aca="false">$CY394</f>
        <v/>
      </c>
      <c r="DN394" s="108" t="str">
        <f aca="false">IF(ISBLANK($C394),"",$DB394)</f>
        <v/>
      </c>
      <c r="DO394" s="111" t="str">
        <f aca="false">IF($DF394&gt;$DE$8,"",VLOOKUP($DF394,$DH$9:$DN$508,7,FALSE()))</f>
        <v/>
      </c>
      <c r="DP394" s="112" t="str">
        <f aca="false">IF($DF394&gt;$DE$8,"",VLOOKUP($DF394,$DH$9:$DN$508,2,FALSE()))</f>
        <v/>
      </c>
      <c r="DQ394" s="112" t="str">
        <f aca="false">IF($DF394&gt;$DE$8,"",VLOOKUP($DF394,$DH$9:$DN$508,3,FALSE()))</f>
        <v/>
      </c>
      <c r="DR394" s="112" t="str">
        <f aca="false">IF($DF394&gt;$DE$8,"",VLOOKUP($DF394,$DH$9:$DN$508,4,FALSE()))</f>
        <v/>
      </c>
      <c r="DS394" s="112" t="str">
        <f aca="false">IF($DF394&gt;$DE$8,"",VLOOKUP($DF394,$DH$9:$DN$508,5,FALSE()))</f>
        <v/>
      </c>
      <c r="DT394" s="113" t="str">
        <f aca="false">IF($DF394&gt;$DE$8,"",VLOOKUP($DF394,$DH$9:$DN$508,6,FALSE()))</f>
        <v/>
      </c>
      <c r="DU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IF(ISBLANK($C395),"",IF(E395=Constants!$B$3,TRUE(),IF(E395=Constants!$B$4,FALSE(),TRUE())))</f>
        <v/>
      </c>
      <c r="AG395" s="93" t="str">
        <f aca="false">IF(ISBLANK($C395),"",IF(F395=Constants!$B$3,TRUE(),IF(F395=Constants!$B$4,FALSE(),TRUE())))</f>
        <v/>
      </c>
      <c r="AH395" s="93" t="str">
        <f aca="false">IF(ISBLANK($C395),"",IF(G395=Constants!$B$3,TRUE(),IF(G395=Constants!$B$4,FALSE(),TRUE())))</f>
        <v/>
      </c>
      <c r="AI395" s="93" t="str">
        <f aca="false">IF(ISBLANK($C395),"",IF(AND(ISNUMBER(H395),H395&gt;=0),H395,Constants!$B$29))</f>
        <v/>
      </c>
      <c r="AJ395" s="93" t="str">
        <f aca="false">IF(ISBLANK($C395),"",IF(I395=Constants!$B$3,TRUE(),IF(I395=Constants!$B$4,FALSE(),TRUE())))</f>
        <v/>
      </c>
      <c r="AK395" s="93" t="str">
        <f aca="false">IF(ISBLANK($C395),"",IF(J395=Constants!$B$3,TRUE(),IF(J395=Constants!$B$4,FALSE(),TRUE())))</f>
        <v/>
      </c>
      <c r="AL395" s="93" t="str">
        <f aca="false">IF(ISBLANK($C395),"",IF(K395=Constants!$B$5,TRUE(),IF(K395=Constants!$B$6,FALSE(),COUNTA(L395:P395)&gt;0)))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IF(ISBLANK($C395),"",IF(N395=Constants!$B$3,TRUE(),IF(N395=Constants!$B$4,FALSE(),TRUE())))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IF(ISBLANK($C395),"",IF(P395=Constants!$B$3,TRUE(),IF(P395=Constants!$B$4,FALSE(),FALSE())))</f>
        <v/>
      </c>
      <c r="AR395" s="93" t="str">
        <f aca="false">IF(ISBLANK($C395),"",IF(Q395=Constants!$B$3,TRUE(),IF(Q395=Constants!$B$4,FALSE(),TRUE())))</f>
        <v/>
      </c>
      <c r="AS395" s="93" t="str">
        <f aca="false">IF(ISBLANK($C395),"",IF(R395=Constants!$B$3,TRUE(),IF(R395=Constants!$B$4,FALSE(),TRUE())))</f>
        <v/>
      </c>
      <c r="AT395" s="93" t="str">
        <f aca="false">IF(ISBLANK($C395),"",IF(S395=Constants!$B$5,TRUE(),IF(S395=Constants!$B$6,FALSE(),COUNTA(T395:X395)&gt;0)))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IF(ISBLANK($C395),"",IF(V395=Constants!$B$3,TRUE(),IF(V395=Constants!$B$4,FALSE(),TRUE())))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IF(ISBLANK($C395),"",IF(X395=Constants!$B$3,TRUE(),IF(X395=Constants!$B$4,FALSE(),FALSE())))</f>
        <v/>
      </c>
      <c r="AZ395" s="93" t="str">
        <f aca="false">IF(ISBLANK($C395),"",MIN(Constants!$B$31,MAX(0,IF(ISNUMBER(Y395),Y395*60,0)+IF(ISNUMBER(Z395),Z395,0))))</f>
        <v/>
      </c>
      <c r="BA395" s="93" t="str">
        <f aca="false">IF(ISBLANK($C395),"",IF(AA395=Constants!$B$3,TRUE(),IF(AA395=Constants!$B$4,FALSE(),FALSE())))</f>
        <v/>
      </c>
      <c r="BB395" s="92" t="str">
        <f aca="false">IF(ISBLANK($C395),"",AND($AL395,OR($AM395="",$AN395="",AND($AO395,$AP395=""))))</f>
        <v/>
      </c>
      <c r="BC395" s="94" t="str">
        <f aca="false">IF($BZ395&lt;&gt;Constants!$B$8,"",IF($AL395,Constants!$B$21*$AN395+Constants!$B$22*IF($AO395,$AP395,Constants!$B$23),Constants!$B$24))</f>
        <v/>
      </c>
      <c r="BD395" s="97" t="str">
        <f aca="false">IF($BZ395&lt;&gt;Constants!$B$8,"",Constants!$B$25*ABS($AD$9-IF($AL395,$AM395,0)))</f>
        <v/>
      </c>
      <c r="BE395" s="97" t="str">
        <f aca="false">IF($BZ395&lt;&gt;Constants!$B$8,"",IF(AND($AL395,$AQ395,$AO395),Constants!$B$27,0))</f>
        <v/>
      </c>
      <c r="BF395" s="97" t="str">
        <f aca="false">IF($BZ395&lt;&gt;Constants!$B$8,"",IF($AL395,($AI395-Constants!$B$29)*Constants!$B$28,0))</f>
        <v/>
      </c>
      <c r="BG395" s="97" t="str">
        <f aca="false">IF($BZ395&lt;&gt;Constants!$B$8,"",IF($AK395,0,Constants!$B$15)+IF($AJ395,0,Constants!$B$16)+IF($AH395,0,Constants!$B$17))</f>
        <v/>
      </c>
      <c r="BH395" s="98" t="str">
        <f aca="false">IF($BZ395&lt;&gt;Constants!$B$8,"",Constants!$B$20+SUM($BC395:$BG395))</f>
        <v/>
      </c>
      <c r="BI395" s="97" t="str">
        <f aca="false">IF($BZ395&lt;&gt;Constants!$B$8,"",$BC395)</f>
        <v/>
      </c>
      <c r="BJ395" s="97" t="str">
        <f aca="false">IF($BZ395&lt;&gt;Constants!$B$8,"",$BD395)</f>
        <v/>
      </c>
      <c r="BK395" s="97" t="str">
        <f aca="false">IF($BZ395&lt;&gt;Constants!$B$8,"",IF($AL395,$AN395,""))</f>
        <v/>
      </c>
      <c r="BL395" s="99" t="str">
        <f aca="false">IF($BZ395&lt;&gt;Constants!$B$8,"",$AI395)</f>
        <v/>
      </c>
      <c r="BM395" s="93" t="str">
        <f aca="false">IF($BZ395&lt;&gt;Constants!$B$8,"",IF(OR($BT395&lt;$BH395,AND($BT395=$BH395,OR($BU395&lt;$BI395,AND($BU395=$BI395,OR($BV395&lt;$BJ395,AND($BV395=$BJ395,OR(AND(ISNUMBER($BW395),OR(NOT(ISNUMBER($BK395)),$BW395&lt;$BK395)),AND(OR(AND($BW395="",$BK395=""),AND(ISNUMBER($BW395),ISNUMBER($BK395),$BW395=$BK395)),$BX395&lt;$BL395)))))))),"-&gt;","&lt;-"))</f>
        <v/>
      </c>
      <c r="BN395" s="92" t="str">
        <f aca="false">IF(ISBLANK($C395),"",AND($AT395,OR($AU395="",$AV395="",AND($AW395,$AX395=""))))</f>
        <v/>
      </c>
      <c r="BO395" s="94" t="str">
        <f aca="false">IF($BZ395&lt;&gt;Constants!$B$8,"",IF($AT395,Constants!$B$21*$AV395+Constants!$B$22*IF($AW395,$AX395,Constants!$B$23),Constants!$B$24))</f>
        <v/>
      </c>
      <c r="BP395" s="97" t="str">
        <f aca="false">IF($BZ395&lt;&gt;Constants!$B$8,"",Constants!$B$25*ABS($AD$9-IF($AT395,$AU395,0)))</f>
        <v/>
      </c>
      <c r="BQ395" s="97" t="str">
        <f aca="false">IF($BZ395&lt;&gt;Constants!$B$8,"",IF(AND($AT395,$AY395,$AW395),Constants!$B$27,0))</f>
        <v/>
      </c>
      <c r="BR395" s="97" t="str">
        <f aca="false">IF($BZ395&lt;&gt;Constants!$B$8,"",IF($AT395,($AI395-Constants!$B$29)*Constants!$B$28,0))</f>
        <v/>
      </c>
      <c r="BS395" s="97" t="str">
        <f aca="false">IF($BZ395&lt;&gt;Constants!$B$8,"",IF($AS395,0,Constants!$B$15)+IF($AR395,0,Constants!$B$16)+IF($AH395,0,Constants!$B$17))</f>
        <v/>
      </c>
      <c r="BT395" s="98" t="str">
        <f aca="false">IF($BZ395&lt;&gt;Constants!$B$8,"",Constants!$B$20+SUM($BO395:$BS395))</f>
        <v/>
      </c>
      <c r="BU395" s="97" t="str">
        <f aca="false">IF($BZ395&lt;&gt;Constants!$B$8,"",$BO395)</f>
        <v/>
      </c>
      <c r="BV395" s="97" t="str">
        <f aca="false">IF($BZ395&lt;&gt;Constants!$B$8,"",$BP395)</f>
        <v/>
      </c>
      <c r="BW395" s="97" t="str">
        <f aca="false">IF($BZ395&lt;&gt;Constants!$B$8,"",IF($AT395,$AV395,""))</f>
        <v/>
      </c>
      <c r="BX395" s="99" t="str">
        <f aca="false">IF($BZ395&lt;&gt;Constants!$B$8,"",$AI395)</f>
        <v/>
      </c>
      <c r="BY395" s="93" t="str">
        <f aca="false">IF(ISBLANK($C395),"",IF(ISBLANK($D$7),$BY$5,IF(NOT(ISNUMBER($D$7)),$BY$6,"")))</f>
        <v/>
      </c>
      <c r="BZ395" s="93" t="str">
        <f aca="false">IF(ISBLANK($C395),"",IF($BA395,Constants!$B$11,IF(COUNTA($E395:$AA395)=0,Constants!$B$10,IF(NOT($AG395),Constants!$B$9,IF(OR($BY395&lt;&gt;"",$BB395,$BN395),Constants!$B$12,Constants!$B$8)))))</f>
        <v/>
      </c>
      <c r="CA395" s="93" t="str">
        <f aca="false">IF(ISBLANK($C395),"",IF($BZ395&lt;&gt;Constants!$B$8,$BZ395,Constants!$B$13))</f>
        <v/>
      </c>
      <c r="CB395" s="97" t="str">
        <f aca="false">IF($BZ395&lt;&gt;Constants!$B$8,"",IF($BM395="-&gt;",$BT395,$BH395))</f>
        <v/>
      </c>
      <c r="CC395" s="97" t="str">
        <f aca="false">IF($BZ395&lt;&gt;Constants!$B$8,"",IF($AF395,0,Constants!$B$18))</f>
        <v/>
      </c>
      <c r="CD395" s="97" t="str">
        <f aca="false">IF($BZ395&lt;&gt;Constants!$B$8,"",((Constants!$B$31-$AZ395)-Constants!$B$31)/Constants!$B$32)</f>
        <v/>
      </c>
      <c r="CE395" s="97" t="str">
        <f aca="false">IF(ISBLANK($C395),"",IF($BZ395&lt;&gt;Constants!$B$8,$BZ395,SUM($CB395:$CD395)))</f>
        <v/>
      </c>
      <c r="CF395" s="93" t="str">
        <f aca="false">IF(ISBLANK($C395),"",IF($BZ395&lt;&gt;Constants!$B$8,$BZ395,RANK($CE395,$CE$9:$CE$508,1)))</f>
        <v/>
      </c>
      <c r="CG395" s="97" t="str">
        <f aca="false">IF($BZ395&lt;&gt;Constants!$B$8,"",IF($BM395="-&gt;",$BU395,$BI395))</f>
        <v/>
      </c>
      <c r="CH395" s="93" t="str">
        <f aca="false">IF(ISBLANK($C395),"",IF($BZ395&lt;&gt;Constants!$B$8,$BZ395,IF(ISNUMBER($CG395),RANK($CG395,$CG$9:$CG$508,1),COUNT($CG$9:$CG$508)+1)))</f>
        <v/>
      </c>
      <c r="CI395" s="97" t="str">
        <f aca="false">IF($BZ395&lt;&gt;Constants!$B$8,"",IF($BM395="-&gt;",$BV395,$BJ395))</f>
        <v/>
      </c>
      <c r="CJ395" s="93" t="str">
        <f aca="false">IF(ISBLANK($C395),"",IF($BZ395&lt;&gt;Constants!$B$8,$BZ395,IF(ISNUMBER($CI395),RANK($CI395,$CI$9:$CI$508,1),COUNT($CI$9:$CI$508)+1)))</f>
        <v/>
      </c>
      <c r="CK395" s="97" t="str">
        <f aca="false">IF($BZ395&lt;&gt;Constants!$B$8,"",IF($BM395="-&gt;",$BW395,$BK395))</f>
        <v/>
      </c>
      <c r="CL395" s="93" t="str">
        <f aca="false">IF(ISBLANK($C395),"",IF($BZ395&lt;&gt;Constants!$B$8,$BZ395,IF(ISNUMBER($CK395),RANK($CK395,$CK$9:$CK$508,1),COUNT($CK$9:$CK$508)+1)))</f>
        <v/>
      </c>
      <c r="CM395" s="97" t="str">
        <f aca="false">IF($BZ395&lt;&gt;Constants!$B$8,"",IF(AND(NOT($AL395),NOT($AT395),$AJ395,$AK395,$AR395,$AS395),"",IF($BM395="-&gt;",$BX395,$BL395)))</f>
        <v/>
      </c>
      <c r="CN395" s="93" t="str">
        <f aca="false">IF(ISBLANK($C395),"",IF($BZ395&lt;&gt;Constants!$B$8,$BZ395,IF(ISNUMBER($CM395),RANK($CM395,$CM$9:$CM$508,1),COUNT($CM$9:$CM$508)+1)))</f>
        <v/>
      </c>
      <c r="CO395" s="93" t="str">
        <f aca="false">IF(ISBLANK($C395),"",IF($BZ395&lt;&gt;Constants!$B$8,$BZ395,COUNTIFS($CF$9:$CF$508,"&lt;"&amp;$CF395)+COUNTIFS($CF$9:$CF$508,$CF395,$CH$9:$CH$508,"&lt;"&amp;$CH395)+COUNTIFS($CF$9:$CF$508,$CF395,$CH$9:$CH$508,$CH395,$CJ$9:$CJ$508,"&lt;"&amp;$CJ395)+COUNTIFS($CF$9:$CF$508,$CF395,$CH$9:$CH$508,$CH395,$CJ$9:$CJ$508,$CJ395,$CL$9:$CL$508,"&lt;"&amp;$CL395)+COUNTIFS($CF$9:$CF$508,$CF395,$CH$9:$CH$508,$CH395,$CJ$9:$CJ$508,$CJ395,$CL$9:$CL$508,$CL395,$CN$9:$CN$508,"&lt;"&amp;$CN395)+1))</f>
        <v/>
      </c>
      <c r="CP395" s="93" t="str">
        <f aca="false">IF(ISBLANK($C395),"",IF($BZ395&lt;&gt;Constants!$B$8,$BZ395,$CF395-$CO395))</f>
        <v/>
      </c>
      <c r="CQ395" s="100"/>
      <c r="CR395" s="101"/>
      <c r="CS395" s="102" t="str">
        <f aca="false">IF(ISBLANK($C395),"",IF($BZ395=Constants!$B$12,$BY395,""))</f>
        <v/>
      </c>
      <c r="CT395" s="101" t="str">
        <f aca="false">IF(ISBLANK($C395),"",IF($BZ395&lt;&gt;Constants!$B$8,"",IF($BM395="-&gt;",2,1)))</f>
        <v/>
      </c>
      <c r="CU395" s="103" t="str">
        <f aca="false">IF(ISBLANK($C395),"",IF($BZ395&lt;&gt;Constants!$B$8,"",IF($BM395="-&gt;",$BO395,$BC395)))</f>
        <v/>
      </c>
      <c r="CV395" s="103" t="str">
        <f aca="false">IF(ISBLANK($C395),"",IF($BZ395&lt;&gt;Constants!$B$8,"",IF($BM395="-&gt;",$BP395,$BD395)))</f>
        <v/>
      </c>
      <c r="CW395" s="103" t="str">
        <f aca="false">IF(ISBLANK($C395),"",IF($BZ395&lt;&gt;Constants!$B$8,"",IF($BM395="-&gt;",$BQ395+$BR395,$BE395+$BF395)+$CD395))</f>
        <v/>
      </c>
      <c r="CX395" s="103" t="str">
        <f aca="false">IF(ISBLANK($C395),"",IF($BZ395&lt;&gt;Constants!$B$8,"",IF($BM395="-&gt;",$BS395,$BG395)+$CC395))</f>
        <v/>
      </c>
      <c r="CY395" s="104" t="str">
        <f aca="false">IF(ISBLANK($C395),"",IF($BZ395&lt;&gt;Constants!$B$8,$BZ395,$CE395))</f>
        <v/>
      </c>
      <c r="CZ395" s="105" t="str">
        <f aca="false">IF(ISBLANK($C395),"",$CA395)</f>
        <v/>
      </c>
      <c r="DA395" s="106" t="str">
        <f aca="false">IF(ISBLANK($C395),"",$CP395)</f>
        <v/>
      </c>
      <c r="DB395" s="106" t="str">
        <f aca="false">IF(ISBLANK($C395),"",$CO395)</f>
        <v/>
      </c>
      <c r="DC395" s="107" t="str">
        <f aca="false">IF(ISBLANK($C395),"",IFERROR(_xlfn.SWITCH($DB395,Constants!$B$11,COUNTA($C$9:$C$508)+2,Constants!$B$10,COUNTA($C$9:$C$508)+1,Constants!$B$9,COUNTA($C$9:$C$508)),$DB395))</f>
        <v/>
      </c>
      <c r="DD395" s="9"/>
      <c r="DE395" s="108" t="n">
        <f aca="false">IF(OR(ISNUMBER($DB395),$DB395=Constants!$B$11,$DB395=Constants!$B$9,$DB395=Constants!$B$10),1,0)</f>
        <v>0</v>
      </c>
      <c r="DF395" s="108" t="n">
        <v>387</v>
      </c>
      <c r="DG395" s="108" t="str">
        <f aca="false">IF(ISBLANK($C395),"",IF(ISNUMBER($DC395),$DC395+ROW($B395)/1000,""))</f>
        <v/>
      </c>
      <c r="DH395" s="108" t="str">
        <f aca="false">IF(ISNUMBER($DG395),RANK($DG395,$DG$9:$DG$508,1),"")</f>
        <v/>
      </c>
      <c r="DI395" s="108" t="str">
        <f aca="false">IF(ISBLANK($C395),"",$B395)</f>
        <v/>
      </c>
      <c r="DJ395" s="108" t="str">
        <f aca="false">IF(ISBLANK($C395),"",$C395)</f>
        <v/>
      </c>
      <c r="DK395" s="108" t="str">
        <f aca="false">IF(ISBLANK($C395),"",$D395)</f>
        <v/>
      </c>
      <c r="DL395" s="109" t="str">
        <f aca="false">$CZ395</f>
        <v/>
      </c>
      <c r="DM395" s="110" t="str">
        <f aca="false">$CY395</f>
        <v/>
      </c>
      <c r="DN395" s="108" t="str">
        <f aca="false">IF(ISBLANK($C395),"",$DB395)</f>
        <v/>
      </c>
      <c r="DO395" s="111" t="str">
        <f aca="false">IF($DF395&gt;$DE$8,"",VLOOKUP($DF395,$DH$9:$DN$508,7,FALSE()))</f>
        <v/>
      </c>
      <c r="DP395" s="112" t="str">
        <f aca="false">IF($DF395&gt;$DE$8,"",VLOOKUP($DF395,$DH$9:$DN$508,2,FALSE()))</f>
        <v/>
      </c>
      <c r="DQ395" s="112" t="str">
        <f aca="false">IF($DF395&gt;$DE$8,"",VLOOKUP($DF395,$DH$9:$DN$508,3,FALSE()))</f>
        <v/>
      </c>
      <c r="DR395" s="112" t="str">
        <f aca="false">IF($DF395&gt;$DE$8,"",VLOOKUP($DF395,$DH$9:$DN$508,4,FALSE()))</f>
        <v/>
      </c>
      <c r="DS395" s="112" t="str">
        <f aca="false">IF($DF395&gt;$DE$8,"",VLOOKUP($DF395,$DH$9:$DN$508,5,FALSE()))</f>
        <v/>
      </c>
      <c r="DT395" s="113" t="str">
        <f aca="false">IF($DF395&gt;$DE$8,"",VLOOKUP($DF395,$DH$9:$DN$508,6,FALSE()))</f>
        <v/>
      </c>
      <c r="DU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IF(ISBLANK($C396),"",IF(E396=Constants!$B$3,TRUE(),IF(E396=Constants!$B$4,FALSE(),TRUE())))</f>
        <v/>
      </c>
      <c r="AG396" s="135" t="str">
        <f aca="false">IF(ISBLANK($C396),"",IF(F396=Constants!$B$3,TRUE(),IF(F396=Constants!$B$4,FALSE(),TRUE())))</f>
        <v/>
      </c>
      <c r="AH396" s="135" t="str">
        <f aca="false">IF(ISBLANK($C396),"",IF(G396=Constants!$B$3,TRUE(),IF(G396=Constants!$B$4,FALSE(),TRUE())))</f>
        <v/>
      </c>
      <c r="AI396" s="135" t="str">
        <f aca="false">IF(ISBLANK($C396),"",IF(AND(ISNUMBER(H396),H396&gt;=0),H396,Constants!$B$29))</f>
        <v/>
      </c>
      <c r="AJ396" s="135" t="str">
        <f aca="false">IF(ISBLANK($C396),"",IF(I396=Constants!$B$3,TRUE(),IF(I396=Constants!$B$4,FALSE(),TRUE())))</f>
        <v/>
      </c>
      <c r="AK396" s="135" t="str">
        <f aca="false">IF(ISBLANK($C396),"",IF(J396=Constants!$B$3,TRUE(),IF(J396=Constants!$B$4,FALSE(),TRUE())))</f>
        <v/>
      </c>
      <c r="AL396" s="135" t="str">
        <f aca="false">IF(ISBLANK($C396),"",IF(K396=Constants!$B$5,TRUE(),IF(K396=Constants!$B$6,FALSE(),COUNTA(L396:P396)&gt;0)))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IF(ISBLANK($C396),"",IF(N396=Constants!$B$3,TRUE(),IF(N396=Constants!$B$4,FALSE(),TRUE())))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IF(ISBLANK($C396),"",IF(P396=Constants!$B$3,TRUE(),IF(P396=Constants!$B$4,FALSE(),FALSE())))</f>
        <v/>
      </c>
      <c r="AR396" s="135" t="str">
        <f aca="false">IF(ISBLANK($C396),"",IF(Q396=Constants!$B$3,TRUE(),IF(Q396=Constants!$B$4,FALSE(),TRUE())))</f>
        <v/>
      </c>
      <c r="AS396" s="135" t="str">
        <f aca="false">IF(ISBLANK($C396),"",IF(R396=Constants!$B$3,TRUE(),IF(R396=Constants!$B$4,FALSE(),TRUE())))</f>
        <v/>
      </c>
      <c r="AT396" s="135" t="str">
        <f aca="false">IF(ISBLANK($C396),"",IF(S396=Constants!$B$5,TRUE(),IF(S396=Constants!$B$6,FALSE(),COUNTA(T396:X396)&gt;0)))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IF(ISBLANK($C396),"",IF(V396=Constants!$B$3,TRUE(),IF(V396=Constants!$B$4,FALSE(),TRUE())))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IF(ISBLANK($C396),"",IF(X396=Constants!$B$3,TRUE(),IF(X396=Constants!$B$4,FALSE(),FALSE())))</f>
        <v/>
      </c>
      <c r="AZ396" s="135" t="str">
        <f aca="false">IF(ISBLANK($C396),"",MIN(Constants!$B$31,MAX(0,IF(ISNUMBER(Y396),Y396*60,0)+IF(ISNUMBER(Z396),Z396,0))))</f>
        <v/>
      </c>
      <c r="BA396" s="135" t="str">
        <f aca="false">IF(ISBLANK($C396),"",IF(AA396=Constants!$B$3,TRUE(),IF(AA396=Constants!$B$4,FALSE(),FALSE())))</f>
        <v/>
      </c>
      <c r="BB396" s="134" t="str">
        <f aca="false">IF(ISBLANK($C396),"",AND($AL396,OR($AM396="",$AN396="",AND($AO396,$AP396=""))))</f>
        <v/>
      </c>
      <c r="BC396" s="137" t="str">
        <f aca="false">IF($BZ396&lt;&gt;Constants!$B$8,"",IF($AL396,Constants!$B$21*$AN396+Constants!$B$22*IF($AO396,$AP396,Constants!$B$23),Constants!$B$24))</f>
        <v/>
      </c>
      <c r="BD396" s="138" t="str">
        <f aca="false">IF($BZ396&lt;&gt;Constants!$B$8,"",Constants!$B$25*ABS($AD$9-IF($AL396,$AM396,0)))</f>
        <v/>
      </c>
      <c r="BE396" s="138" t="str">
        <f aca="false">IF($BZ396&lt;&gt;Constants!$B$8,"",IF(AND($AL396,$AQ396,$AO396),Constants!$B$27,0))</f>
        <v/>
      </c>
      <c r="BF396" s="138" t="str">
        <f aca="false">IF($BZ396&lt;&gt;Constants!$B$8,"",IF($AL396,($AI396-Constants!$B$29)*Constants!$B$28,0))</f>
        <v/>
      </c>
      <c r="BG396" s="138" t="str">
        <f aca="false">IF($BZ396&lt;&gt;Constants!$B$8,"",IF($AK396,0,Constants!$B$15)+IF($AJ396,0,Constants!$B$16)+IF($AH396,0,Constants!$B$17))</f>
        <v/>
      </c>
      <c r="BH396" s="139" t="str">
        <f aca="false">IF($BZ396&lt;&gt;Constants!$B$8,"",Constants!$B$20+SUM($BC396:$BG396))</f>
        <v/>
      </c>
      <c r="BI396" s="138" t="str">
        <f aca="false">IF($BZ396&lt;&gt;Constants!$B$8,"",$BC396)</f>
        <v/>
      </c>
      <c r="BJ396" s="138" t="str">
        <f aca="false">IF($BZ396&lt;&gt;Constants!$B$8,"",$BD396)</f>
        <v/>
      </c>
      <c r="BK396" s="138" t="str">
        <f aca="false">IF($BZ396&lt;&gt;Constants!$B$8,"",IF($AL396,$AN396,""))</f>
        <v/>
      </c>
      <c r="BL396" s="140" t="str">
        <f aca="false">IF($BZ396&lt;&gt;Constants!$B$8,"",$AI396)</f>
        <v/>
      </c>
      <c r="BM396" s="135" t="str">
        <f aca="false">IF($BZ396&lt;&gt;Constants!$B$8,"",IF(OR($BT396&lt;$BH396,AND($BT396=$BH396,OR($BU396&lt;$BI396,AND($BU396=$BI396,OR($BV396&lt;$BJ396,AND($BV396=$BJ396,OR(AND(ISNUMBER($BW396),OR(NOT(ISNUMBER($BK396)),$BW396&lt;$BK396)),AND(OR(AND($BW396="",$BK396=""),AND(ISNUMBER($BW396),ISNUMBER($BK396),$BW396=$BK396)),$BX396&lt;$BL396)))))))),"-&gt;","&lt;-"))</f>
        <v/>
      </c>
      <c r="BN396" s="134" t="str">
        <f aca="false">IF(ISBLANK($C396),"",AND($AT396,OR($AU396="",$AV396="",AND($AW396,$AX396=""))))</f>
        <v/>
      </c>
      <c r="BO396" s="137" t="str">
        <f aca="false">IF($BZ396&lt;&gt;Constants!$B$8,"",IF($AT396,Constants!$B$21*$AV396+Constants!$B$22*IF($AW396,$AX396,Constants!$B$23),Constants!$B$24))</f>
        <v/>
      </c>
      <c r="BP396" s="138" t="str">
        <f aca="false">IF($BZ396&lt;&gt;Constants!$B$8,"",Constants!$B$25*ABS($AD$9-IF($AT396,$AU396,0)))</f>
        <v/>
      </c>
      <c r="BQ396" s="138" t="str">
        <f aca="false">IF($BZ396&lt;&gt;Constants!$B$8,"",IF(AND($AT396,$AY396,$AW396),Constants!$B$27,0))</f>
        <v/>
      </c>
      <c r="BR396" s="138" t="str">
        <f aca="false">IF($BZ396&lt;&gt;Constants!$B$8,"",IF($AT396,($AI396-Constants!$B$29)*Constants!$B$28,0))</f>
        <v/>
      </c>
      <c r="BS396" s="138" t="str">
        <f aca="false">IF($BZ396&lt;&gt;Constants!$B$8,"",IF($AS396,0,Constants!$B$15)+IF($AR396,0,Constants!$B$16)+IF($AH396,0,Constants!$B$17))</f>
        <v/>
      </c>
      <c r="BT396" s="139" t="str">
        <f aca="false">IF($BZ396&lt;&gt;Constants!$B$8,"",Constants!$B$20+SUM($BO396:$BS396))</f>
        <v/>
      </c>
      <c r="BU396" s="138" t="str">
        <f aca="false">IF($BZ396&lt;&gt;Constants!$B$8,"",$BO396)</f>
        <v/>
      </c>
      <c r="BV396" s="138" t="str">
        <f aca="false">IF($BZ396&lt;&gt;Constants!$B$8,"",$BP396)</f>
        <v/>
      </c>
      <c r="BW396" s="138" t="str">
        <f aca="false">IF($BZ396&lt;&gt;Constants!$B$8,"",IF($AT396,$AV396,""))</f>
        <v/>
      </c>
      <c r="BX396" s="140" t="str">
        <f aca="false">IF($BZ396&lt;&gt;Constants!$B$8,"",$AI396)</f>
        <v/>
      </c>
      <c r="BY396" s="135" t="str">
        <f aca="false">IF(ISBLANK($C396),"",IF(ISBLANK($D$7),$BY$5,IF(NOT(ISNUMBER($D$7)),$BY$6,"")))</f>
        <v/>
      </c>
      <c r="BZ396" s="135" t="str">
        <f aca="false">IF(ISBLANK($C396),"",IF($BA396,Constants!$B$11,IF(COUNTA($E396:$AA396)=0,Constants!$B$10,IF(NOT($AG396),Constants!$B$9,IF(OR($BY396&lt;&gt;"",$BB396,$BN396),Constants!$B$12,Constants!$B$8)))))</f>
        <v/>
      </c>
      <c r="CA396" s="135" t="str">
        <f aca="false">IF(ISBLANK($C396),"",IF($BZ396&lt;&gt;Constants!$B$8,$BZ396,Constants!$B$13))</f>
        <v/>
      </c>
      <c r="CB396" s="138" t="str">
        <f aca="false">IF($BZ396&lt;&gt;Constants!$B$8,"",IF($BM396="-&gt;",$BT396,$BH396))</f>
        <v/>
      </c>
      <c r="CC396" s="138" t="str">
        <f aca="false">IF($BZ396&lt;&gt;Constants!$B$8,"",IF($AF396,0,Constants!$B$18))</f>
        <v/>
      </c>
      <c r="CD396" s="138" t="str">
        <f aca="false">IF($BZ396&lt;&gt;Constants!$B$8,"",((Constants!$B$31-$AZ396)-Constants!$B$31)/Constants!$B$32)</f>
        <v/>
      </c>
      <c r="CE396" s="138" t="str">
        <f aca="false">IF(ISBLANK($C396),"",IF($BZ396&lt;&gt;Constants!$B$8,$BZ396,SUM($CB396:$CD396)))</f>
        <v/>
      </c>
      <c r="CF396" s="135" t="str">
        <f aca="false">IF(ISBLANK($C396),"",IF($BZ396&lt;&gt;Constants!$B$8,$BZ396,RANK($CE396,$CE$9:$CE$508,1)))</f>
        <v/>
      </c>
      <c r="CG396" s="138" t="str">
        <f aca="false">IF($BZ396&lt;&gt;Constants!$B$8,"",IF($BM396="-&gt;",$BU396,$BI396))</f>
        <v/>
      </c>
      <c r="CH396" s="135" t="str">
        <f aca="false">IF(ISBLANK($C396),"",IF($BZ396&lt;&gt;Constants!$B$8,$BZ396,IF(ISNUMBER($CG396),RANK($CG396,$CG$9:$CG$508,1),COUNT($CG$9:$CG$508)+1)))</f>
        <v/>
      </c>
      <c r="CI396" s="138" t="str">
        <f aca="false">IF($BZ396&lt;&gt;Constants!$B$8,"",IF($BM396="-&gt;",$BV396,$BJ396))</f>
        <v/>
      </c>
      <c r="CJ396" s="135" t="str">
        <f aca="false">IF(ISBLANK($C396),"",IF($BZ396&lt;&gt;Constants!$B$8,$BZ396,IF(ISNUMBER($CI396),RANK($CI396,$CI$9:$CI$508,1),COUNT($CI$9:$CI$508)+1)))</f>
        <v/>
      </c>
      <c r="CK396" s="138" t="str">
        <f aca="false">IF($BZ396&lt;&gt;Constants!$B$8,"",IF($BM396="-&gt;",$BW396,$BK396))</f>
        <v/>
      </c>
      <c r="CL396" s="135" t="str">
        <f aca="false">IF(ISBLANK($C396),"",IF($BZ396&lt;&gt;Constants!$B$8,$BZ396,IF(ISNUMBER($CK396),RANK($CK396,$CK$9:$CK$508,1),COUNT($CK$9:$CK$508)+1)))</f>
        <v/>
      </c>
      <c r="CM396" s="138" t="str">
        <f aca="false">IF($BZ396&lt;&gt;Constants!$B$8,"",IF(AND(NOT($AL396),NOT($AT396),$AJ396,$AK396,$AR396,$AS396),"",IF($BM396="-&gt;",$BX396,$BL396)))</f>
        <v/>
      </c>
      <c r="CN396" s="135" t="str">
        <f aca="false">IF(ISBLANK($C396),"",IF($BZ396&lt;&gt;Constants!$B$8,$BZ396,IF(ISNUMBER($CM396),RANK($CM396,$CM$9:$CM$508,1),COUNT($CM$9:$CM$508)+1)))</f>
        <v/>
      </c>
      <c r="CO396" s="135" t="str">
        <f aca="false">IF(ISBLANK($C396),"",IF($BZ396&lt;&gt;Constants!$B$8,$BZ396,COUNTIFS($CF$9:$CF$508,"&lt;"&amp;$CF396)+COUNTIFS($CF$9:$CF$508,$CF396,$CH$9:$CH$508,"&lt;"&amp;$CH396)+COUNTIFS($CF$9:$CF$508,$CF396,$CH$9:$CH$508,$CH396,$CJ$9:$CJ$508,"&lt;"&amp;$CJ396)+COUNTIFS($CF$9:$CF$508,$CF396,$CH$9:$CH$508,$CH396,$CJ$9:$CJ$508,$CJ396,$CL$9:$CL$508,"&lt;"&amp;$CL396)+COUNTIFS($CF$9:$CF$508,$CF396,$CH$9:$CH$508,$CH396,$CJ$9:$CJ$508,$CJ396,$CL$9:$CL$508,$CL396,$CN$9:$CN$508,"&lt;"&amp;$CN396)+1))</f>
        <v/>
      </c>
      <c r="CP396" s="135" t="str">
        <f aca="false">IF(ISBLANK($C396),"",IF($BZ396&lt;&gt;Constants!$B$8,$BZ396,$CF396-$CO396))</f>
        <v/>
      </c>
      <c r="CQ396" s="141"/>
      <c r="CR396" s="142"/>
      <c r="CS396" s="143" t="str">
        <f aca="false">IF(ISBLANK($C396),"",IF($BZ396=Constants!$B$12,$BY396,""))</f>
        <v/>
      </c>
      <c r="CT396" s="142" t="str">
        <f aca="false">IF(ISBLANK($C396),"",IF($BZ396&lt;&gt;Constants!$B$8,"",IF($BM396="-&gt;",2,1)))</f>
        <v/>
      </c>
      <c r="CU396" s="144" t="str">
        <f aca="false">IF(ISBLANK($C396),"",IF($BZ396&lt;&gt;Constants!$B$8,"",IF($BM396="-&gt;",$BO396,$BC396)))</f>
        <v/>
      </c>
      <c r="CV396" s="144" t="str">
        <f aca="false">IF(ISBLANK($C396),"",IF($BZ396&lt;&gt;Constants!$B$8,"",IF($BM396="-&gt;",$BP396,$BD396)))</f>
        <v/>
      </c>
      <c r="CW396" s="144" t="str">
        <f aca="false">IF(ISBLANK($C396),"",IF($BZ396&lt;&gt;Constants!$B$8,"",IF($BM396="-&gt;",$BQ396+$BR396,$BE396+$BF396)+$CD396))</f>
        <v/>
      </c>
      <c r="CX396" s="144" t="str">
        <f aca="false">IF(ISBLANK($C396),"",IF($BZ396&lt;&gt;Constants!$B$8,"",IF($BM396="-&gt;",$BS396,$BG396)+$CC396))</f>
        <v/>
      </c>
      <c r="CY396" s="145" t="str">
        <f aca="false">IF(ISBLANK($C396),"",IF($BZ396&lt;&gt;Constants!$B$8,$BZ396,$CE396))</f>
        <v/>
      </c>
      <c r="CZ396" s="146" t="str">
        <f aca="false">IF(ISBLANK($C396),"",$CA396)</f>
        <v/>
      </c>
      <c r="DA396" s="147" t="str">
        <f aca="false">IF(ISBLANK($C396),"",$CP396)</f>
        <v/>
      </c>
      <c r="DB396" s="147" t="str">
        <f aca="false">IF(ISBLANK($C396),"",$CO396)</f>
        <v/>
      </c>
      <c r="DC396" s="148" t="str">
        <f aca="false">IF(ISBLANK($C396),"",IFERROR(_xlfn.SWITCH($DB396,Constants!$B$11,COUNTA($C$9:$C$508)+2,Constants!$B$10,COUNTA($C$9:$C$508)+1,Constants!$B$9,COUNTA($C$9:$C$508)),$DB396))</f>
        <v/>
      </c>
      <c r="DD396" s="9"/>
      <c r="DE396" s="149" t="n">
        <f aca="false">IF(OR(ISNUMBER($DB396),$DB396=Constants!$B$11,$DB396=Constants!$B$9,$DB396=Constants!$B$10),1,0)</f>
        <v>0</v>
      </c>
      <c r="DF396" s="149" t="n">
        <v>388</v>
      </c>
      <c r="DG396" s="149" t="str">
        <f aca="false">IF(ISBLANK($C396),"",IF(ISNUMBER($DC396),$DC396+ROW($B396)/1000,""))</f>
        <v/>
      </c>
      <c r="DH396" s="149" t="str">
        <f aca="false">IF(ISNUMBER($DG396),RANK($DG396,$DG$9:$DG$508,1),"")</f>
        <v/>
      </c>
      <c r="DI396" s="149" t="str">
        <f aca="false">IF(ISBLANK($C396),"",$B396)</f>
        <v/>
      </c>
      <c r="DJ396" s="149" t="str">
        <f aca="false">IF(ISBLANK($C396),"",$C396)</f>
        <v/>
      </c>
      <c r="DK396" s="149" t="str">
        <f aca="false">IF(ISBLANK($C396),"",$D396)</f>
        <v/>
      </c>
      <c r="DL396" s="150" t="str">
        <f aca="false">$CZ396</f>
        <v/>
      </c>
      <c r="DM396" s="151" t="str">
        <f aca="false">$CY396</f>
        <v/>
      </c>
      <c r="DN396" s="149" t="str">
        <f aca="false">IF(ISBLANK($C396),"",$DB396)</f>
        <v/>
      </c>
      <c r="DO396" s="152" t="str">
        <f aca="false">IF($DF396&gt;$DE$8,"",VLOOKUP($DF396,$DH$9:$DN$508,7,FALSE()))</f>
        <v/>
      </c>
      <c r="DP396" s="153" t="str">
        <f aca="false">IF($DF396&gt;$DE$8,"",VLOOKUP($DF396,$DH$9:$DN$508,2,FALSE()))</f>
        <v/>
      </c>
      <c r="DQ396" s="153" t="str">
        <f aca="false">IF($DF396&gt;$DE$8,"",VLOOKUP($DF396,$DH$9:$DN$508,3,FALSE()))</f>
        <v/>
      </c>
      <c r="DR396" s="153" t="str">
        <f aca="false">IF($DF396&gt;$DE$8,"",VLOOKUP($DF396,$DH$9:$DN$508,4,FALSE()))</f>
        <v/>
      </c>
      <c r="DS396" s="153" t="str">
        <f aca="false">IF($DF396&gt;$DE$8,"",VLOOKUP($DF396,$DH$9:$DN$508,5,FALSE()))</f>
        <v/>
      </c>
      <c r="DT396" s="154" t="str">
        <f aca="false">IF($DF396&gt;$DE$8,"",VLOOKUP($DF396,$DH$9:$DN$508,6,FALSE()))</f>
        <v/>
      </c>
      <c r="DU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IF(ISBLANK($C397),"",IF(E397=Constants!$B$3,TRUE(),IF(E397=Constants!$B$4,FALSE(),TRUE())))</f>
        <v/>
      </c>
      <c r="AG397" s="135" t="str">
        <f aca="false">IF(ISBLANK($C397),"",IF(F397=Constants!$B$3,TRUE(),IF(F397=Constants!$B$4,FALSE(),TRUE())))</f>
        <v/>
      </c>
      <c r="AH397" s="135" t="str">
        <f aca="false">IF(ISBLANK($C397),"",IF(G397=Constants!$B$3,TRUE(),IF(G397=Constants!$B$4,FALSE(),TRUE())))</f>
        <v/>
      </c>
      <c r="AI397" s="135" t="str">
        <f aca="false">IF(ISBLANK($C397),"",IF(AND(ISNUMBER(H397),H397&gt;=0),H397,Constants!$B$29))</f>
        <v/>
      </c>
      <c r="AJ397" s="135" t="str">
        <f aca="false">IF(ISBLANK($C397),"",IF(I397=Constants!$B$3,TRUE(),IF(I397=Constants!$B$4,FALSE(),TRUE())))</f>
        <v/>
      </c>
      <c r="AK397" s="135" t="str">
        <f aca="false">IF(ISBLANK($C397),"",IF(J397=Constants!$B$3,TRUE(),IF(J397=Constants!$B$4,FALSE(),TRUE())))</f>
        <v/>
      </c>
      <c r="AL397" s="135" t="str">
        <f aca="false">IF(ISBLANK($C397),"",IF(K397=Constants!$B$5,TRUE(),IF(K397=Constants!$B$6,FALSE(),COUNTA(L397:P397)&gt;0)))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IF(ISBLANK($C397),"",IF(N397=Constants!$B$3,TRUE(),IF(N397=Constants!$B$4,FALSE(),TRUE())))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IF(ISBLANK($C397),"",IF(P397=Constants!$B$3,TRUE(),IF(P397=Constants!$B$4,FALSE(),FALSE())))</f>
        <v/>
      </c>
      <c r="AR397" s="135" t="str">
        <f aca="false">IF(ISBLANK($C397),"",IF(Q397=Constants!$B$3,TRUE(),IF(Q397=Constants!$B$4,FALSE(),TRUE())))</f>
        <v/>
      </c>
      <c r="AS397" s="135" t="str">
        <f aca="false">IF(ISBLANK($C397),"",IF(R397=Constants!$B$3,TRUE(),IF(R397=Constants!$B$4,FALSE(),TRUE())))</f>
        <v/>
      </c>
      <c r="AT397" s="135" t="str">
        <f aca="false">IF(ISBLANK($C397),"",IF(S397=Constants!$B$5,TRUE(),IF(S397=Constants!$B$6,FALSE(),COUNTA(T397:X397)&gt;0)))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IF(ISBLANK($C397),"",IF(V397=Constants!$B$3,TRUE(),IF(V397=Constants!$B$4,FALSE(),TRUE())))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IF(ISBLANK($C397),"",IF(X397=Constants!$B$3,TRUE(),IF(X397=Constants!$B$4,FALSE(),FALSE())))</f>
        <v/>
      </c>
      <c r="AZ397" s="135" t="str">
        <f aca="false">IF(ISBLANK($C397),"",MIN(Constants!$B$31,MAX(0,IF(ISNUMBER(Y397),Y397*60,0)+IF(ISNUMBER(Z397),Z397,0))))</f>
        <v/>
      </c>
      <c r="BA397" s="135" t="str">
        <f aca="false">IF(ISBLANK($C397),"",IF(AA397=Constants!$B$3,TRUE(),IF(AA397=Constants!$B$4,FALSE(),FALSE())))</f>
        <v/>
      </c>
      <c r="BB397" s="134" t="str">
        <f aca="false">IF(ISBLANK($C397),"",AND($AL397,OR($AM397="",$AN397="",AND($AO397,$AP397=""))))</f>
        <v/>
      </c>
      <c r="BC397" s="137" t="str">
        <f aca="false">IF($BZ397&lt;&gt;Constants!$B$8,"",IF($AL397,Constants!$B$21*$AN397+Constants!$B$22*IF($AO397,$AP397,Constants!$B$23),Constants!$B$24))</f>
        <v/>
      </c>
      <c r="BD397" s="138" t="str">
        <f aca="false">IF($BZ397&lt;&gt;Constants!$B$8,"",Constants!$B$25*ABS($AD$9-IF($AL397,$AM397,0)))</f>
        <v/>
      </c>
      <c r="BE397" s="138" t="str">
        <f aca="false">IF($BZ397&lt;&gt;Constants!$B$8,"",IF(AND($AL397,$AQ397,$AO397),Constants!$B$27,0))</f>
        <v/>
      </c>
      <c r="BF397" s="138" t="str">
        <f aca="false">IF($BZ397&lt;&gt;Constants!$B$8,"",IF($AL397,($AI397-Constants!$B$29)*Constants!$B$28,0))</f>
        <v/>
      </c>
      <c r="BG397" s="138" t="str">
        <f aca="false">IF($BZ397&lt;&gt;Constants!$B$8,"",IF($AK397,0,Constants!$B$15)+IF($AJ397,0,Constants!$B$16)+IF($AH397,0,Constants!$B$17))</f>
        <v/>
      </c>
      <c r="BH397" s="139" t="str">
        <f aca="false">IF($BZ397&lt;&gt;Constants!$B$8,"",Constants!$B$20+SUM($BC397:$BG397))</f>
        <v/>
      </c>
      <c r="BI397" s="138" t="str">
        <f aca="false">IF($BZ397&lt;&gt;Constants!$B$8,"",$BC397)</f>
        <v/>
      </c>
      <c r="BJ397" s="138" t="str">
        <f aca="false">IF($BZ397&lt;&gt;Constants!$B$8,"",$BD397)</f>
        <v/>
      </c>
      <c r="BK397" s="138" t="str">
        <f aca="false">IF($BZ397&lt;&gt;Constants!$B$8,"",IF($AL397,$AN397,""))</f>
        <v/>
      </c>
      <c r="BL397" s="140" t="str">
        <f aca="false">IF($BZ397&lt;&gt;Constants!$B$8,"",$AI397)</f>
        <v/>
      </c>
      <c r="BM397" s="135" t="str">
        <f aca="false">IF($BZ397&lt;&gt;Constants!$B$8,"",IF(OR($BT397&lt;$BH397,AND($BT397=$BH397,OR($BU397&lt;$BI397,AND($BU397=$BI397,OR($BV397&lt;$BJ397,AND($BV397=$BJ397,OR(AND(ISNUMBER($BW397),OR(NOT(ISNUMBER($BK397)),$BW397&lt;$BK397)),AND(OR(AND($BW397="",$BK397=""),AND(ISNUMBER($BW397),ISNUMBER($BK397),$BW397=$BK397)),$BX397&lt;$BL397)))))))),"-&gt;","&lt;-"))</f>
        <v/>
      </c>
      <c r="BN397" s="134" t="str">
        <f aca="false">IF(ISBLANK($C397),"",AND($AT397,OR($AU397="",$AV397="",AND($AW397,$AX397=""))))</f>
        <v/>
      </c>
      <c r="BO397" s="137" t="str">
        <f aca="false">IF($BZ397&lt;&gt;Constants!$B$8,"",IF($AT397,Constants!$B$21*$AV397+Constants!$B$22*IF($AW397,$AX397,Constants!$B$23),Constants!$B$24))</f>
        <v/>
      </c>
      <c r="BP397" s="138" t="str">
        <f aca="false">IF($BZ397&lt;&gt;Constants!$B$8,"",Constants!$B$25*ABS($AD$9-IF($AT397,$AU397,0)))</f>
        <v/>
      </c>
      <c r="BQ397" s="138" t="str">
        <f aca="false">IF($BZ397&lt;&gt;Constants!$B$8,"",IF(AND($AT397,$AY397,$AW397),Constants!$B$27,0))</f>
        <v/>
      </c>
      <c r="BR397" s="138" t="str">
        <f aca="false">IF($BZ397&lt;&gt;Constants!$B$8,"",IF($AT397,($AI397-Constants!$B$29)*Constants!$B$28,0))</f>
        <v/>
      </c>
      <c r="BS397" s="138" t="str">
        <f aca="false">IF($BZ397&lt;&gt;Constants!$B$8,"",IF($AS397,0,Constants!$B$15)+IF($AR397,0,Constants!$B$16)+IF($AH397,0,Constants!$B$17))</f>
        <v/>
      </c>
      <c r="BT397" s="139" t="str">
        <f aca="false">IF($BZ397&lt;&gt;Constants!$B$8,"",Constants!$B$20+SUM($BO397:$BS397))</f>
        <v/>
      </c>
      <c r="BU397" s="138" t="str">
        <f aca="false">IF($BZ397&lt;&gt;Constants!$B$8,"",$BO397)</f>
        <v/>
      </c>
      <c r="BV397" s="138" t="str">
        <f aca="false">IF($BZ397&lt;&gt;Constants!$B$8,"",$BP397)</f>
        <v/>
      </c>
      <c r="BW397" s="138" t="str">
        <f aca="false">IF($BZ397&lt;&gt;Constants!$B$8,"",IF($AT397,$AV397,""))</f>
        <v/>
      </c>
      <c r="BX397" s="140" t="str">
        <f aca="false">IF($BZ397&lt;&gt;Constants!$B$8,"",$AI397)</f>
        <v/>
      </c>
      <c r="BY397" s="135" t="str">
        <f aca="false">IF(ISBLANK($C397),"",IF(ISBLANK($D$7),$BY$5,IF(NOT(ISNUMBER($D$7)),$BY$6,"")))</f>
        <v/>
      </c>
      <c r="BZ397" s="135" t="str">
        <f aca="false">IF(ISBLANK($C397),"",IF($BA397,Constants!$B$11,IF(COUNTA($E397:$AA397)=0,Constants!$B$10,IF(NOT($AG397),Constants!$B$9,IF(OR($BY397&lt;&gt;"",$BB397,$BN397),Constants!$B$12,Constants!$B$8)))))</f>
        <v/>
      </c>
      <c r="CA397" s="135" t="str">
        <f aca="false">IF(ISBLANK($C397),"",IF($BZ397&lt;&gt;Constants!$B$8,$BZ397,Constants!$B$13))</f>
        <v/>
      </c>
      <c r="CB397" s="138" t="str">
        <f aca="false">IF($BZ397&lt;&gt;Constants!$B$8,"",IF($BM397="-&gt;",$BT397,$BH397))</f>
        <v/>
      </c>
      <c r="CC397" s="138" t="str">
        <f aca="false">IF($BZ397&lt;&gt;Constants!$B$8,"",IF($AF397,0,Constants!$B$18))</f>
        <v/>
      </c>
      <c r="CD397" s="138" t="str">
        <f aca="false">IF($BZ397&lt;&gt;Constants!$B$8,"",((Constants!$B$31-$AZ397)-Constants!$B$31)/Constants!$B$32)</f>
        <v/>
      </c>
      <c r="CE397" s="138" t="str">
        <f aca="false">IF(ISBLANK($C397),"",IF($BZ397&lt;&gt;Constants!$B$8,$BZ397,SUM($CB397:$CD397)))</f>
        <v/>
      </c>
      <c r="CF397" s="135" t="str">
        <f aca="false">IF(ISBLANK($C397),"",IF($BZ397&lt;&gt;Constants!$B$8,$BZ397,RANK($CE397,$CE$9:$CE$508,1)))</f>
        <v/>
      </c>
      <c r="CG397" s="138" t="str">
        <f aca="false">IF($BZ397&lt;&gt;Constants!$B$8,"",IF($BM397="-&gt;",$BU397,$BI397))</f>
        <v/>
      </c>
      <c r="CH397" s="135" t="str">
        <f aca="false">IF(ISBLANK($C397),"",IF($BZ397&lt;&gt;Constants!$B$8,$BZ397,IF(ISNUMBER($CG397),RANK($CG397,$CG$9:$CG$508,1),COUNT($CG$9:$CG$508)+1)))</f>
        <v/>
      </c>
      <c r="CI397" s="138" t="str">
        <f aca="false">IF($BZ397&lt;&gt;Constants!$B$8,"",IF($BM397="-&gt;",$BV397,$BJ397))</f>
        <v/>
      </c>
      <c r="CJ397" s="135" t="str">
        <f aca="false">IF(ISBLANK($C397),"",IF($BZ397&lt;&gt;Constants!$B$8,$BZ397,IF(ISNUMBER($CI397),RANK($CI397,$CI$9:$CI$508,1),COUNT($CI$9:$CI$508)+1)))</f>
        <v/>
      </c>
      <c r="CK397" s="138" t="str">
        <f aca="false">IF($BZ397&lt;&gt;Constants!$B$8,"",IF($BM397="-&gt;",$BW397,$BK397))</f>
        <v/>
      </c>
      <c r="CL397" s="135" t="str">
        <f aca="false">IF(ISBLANK($C397),"",IF($BZ397&lt;&gt;Constants!$B$8,$BZ397,IF(ISNUMBER($CK397),RANK($CK397,$CK$9:$CK$508,1),COUNT($CK$9:$CK$508)+1)))</f>
        <v/>
      </c>
      <c r="CM397" s="138" t="str">
        <f aca="false">IF($BZ397&lt;&gt;Constants!$B$8,"",IF(AND(NOT($AL397),NOT($AT397),$AJ397,$AK397,$AR397,$AS397),"",IF($BM397="-&gt;",$BX397,$BL397)))</f>
        <v/>
      </c>
      <c r="CN397" s="135" t="str">
        <f aca="false">IF(ISBLANK($C397),"",IF($BZ397&lt;&gt;Constants!$B$8,$BZ397,IF(ISNUMBER($CM397),RANK($CM397,$CM$9:$CM$508,1),COUNT($CM$9:$CM$508)+1)))</f>
        <v/>
      </c>
      <c r="CO397" s="135" t="str">
        <f aca="false">IF(ISBLANK($C397),"",IF($BZ397&lt;&gt;Constants!$B$8,$BZ397,COUNTIFS($CF$9:$CF$508,"&lt;"&amp;$CF397)+COUNTIFS($CF$9:$CF$508,$CF397,$CH$9:$CH$508,"&lt;"&amp;$CH397)+COUNTIFS($CF$9:$CF$508,$CF397,$CH$9:$CH$508,$CH397,$CJ$9:$CJ$508,"&lt;"&amp;$CJ397)+COUNTIFS($CF$9:$CF$508,$CF397,$CH$9:$CH$508,$CH397,$CJ$9:$CJ$508,$CJ397,$CL$9:$CL$508,"&lt;"&amp;$CL397)+COUNTIFS($CF$9:$CF$508,$CF397,$CH$9:$CH$508,$CH397,$CJ$9:$CJ$508,$CJ397,$CL$9:$CL$508,$CL397,$CN$9:$CN$508,"&lt;"&amp;$CN397)+1))</f>
        <v/>
      </c>
      <c r="CP397" s="135" t="str">
        <f aca="false">IF(ISBLANK($C397),"",IF($BZ397&lt;&gt;Constants!$B$8,$BZ397,$CF397-$CO397))</f>
        <v/>
      </c>
      <c r="CQ397" s="141"/>
      <c r="CR397" s="142"/>
      <c r="CS397" s="143" t="str">
        <f aca="false">IF(ISBLANK($C397),"",IF($BZ397=Constants!$B$12,$BY397,""))</f>
        <v/>
      </c>
      <c r="CT397" s="142" t="str">
        <f aca="false">IF(ISBLANK($C397),"",IF($BZ397&lt;&gt;Constants!$B$8,"",IF($BM397="-&gt;",2,1)))</f>
        <v/>
      </c>
      <c r="CU397" s="144" t="str">
        <f aca="false">IF(ISBLANK($C397),"",IF($BZ397&lt;&gt;Constants!$B$8,"",IF($BM397="-&gt;",$BO397,$BC397)))</f>
        <v/>
      </c>
      <c r="CV397" s="144" t="str">
        <f aca="false">IF(ISBLANK($C397),"",IF($BZ397&lt;&gt;Constants!$B$8,"",IF($BM397="-&gt;",$BP397,$BD397)))</f>
        <v/>
      </c>
      <c r="CW397" s="144" t="str">
        <f aca="false">IF(ISBLANK($C397),"",IF($BZ397&lt;&gt;Constants!$B$8,"",IF($BM397="-&gt;",$BQ397+$BR397,$BE397+$BF397)+$CD397))</f>
        <v/>
      </c>
      <c r="CX397" s="144" t="str">
        <f aca="false">IF(ISBLANK($C397),"",IF($BZ397&lt;&gt;Constants!$B$8,"",IF($BM397="-&gt;",$BS397,$BG397)+$CC397))</f>
        <v/>
      </c>
      <c r="CY397" s="145" t="str">
        <f aca="false">IF(ISBLANK($C397),"",IF($BZ397&lt;&gt;Constants!$B$8,$BZ397,$CE397))</f>
        <v/>
      </c>
      <c r="CZ397" s="146" t="str">
        <f aca="false">IF(ISBLANK($C397),"",$CA397)</f>
        <v/>
      </c>
      <c r="DA397" s="147" t="str">
        <f aca="false">IF(ISBLANK($C397),"",$CP397)</f>
        <v/>
      </c>
      <c r="DB397" s="147" t="str">
        <f aca="false">IF(ISBLANK($C397),"",$CO397)</f>
        <v/>
      </c>
      <c r="DC397" s="148" t="str">
        <f aca="false">IF(ISBLANK($C397),"",IFERROR(_xlfn.SWITCH($DB397,Constants!$B$11,COUNTA($C$9:$C$508)+2,Constants!$B$10,COUNTA($C$9:$C$508)+1,Constants!$B$9,COUNTA($C$9:$C$508)),$DB397))</f>
        <v/>
      </c>
      <c r="DD397" s="9"/>
      <c r="DE397" s="149" t="n">
        <f aca="false">IF(OR(ISNUMBER($DB397),$DB397=Constants!$B$11,$DB397=Constants!$B$9,$DB397=Constants!$B$10),1,0)</f>
        <v>0</v>
      </c>
      <c r="DF397" s="149" t="n">
        <v>389</v>
      </c>
      <c r="DG397" s="149" t="str">
        <f aca="false">IF(ISBLANK($C397),"",IF(ISNUMBER($DC397),$DC397+ROW($B397)/1000,""))</f>
        <v/>
      </c>
      <c r="DH397" s="149" t="str">
        <f aca="false">IF(ISNUMBER($DG397),RANK($DG397,$DG$9:$DG$508,1),"")</f>
        <v/>
      </c>
      <c r="DI397" s="149" t="str">
        <f aca="false">IF(ISBLANK($C397),"",$B397)</f>
        <v/>
      </c>
      <c r="DJ397" s="149" t="str">
        <f aca="false">IF(ISBLANK($C397),"",$C397)</f>
        <v/>
      </c>
      <c r="DK397" s="149" t="str">
        <f aca="false">IF(ISBLANK($C397),"",$D397)</f>
        <v/>
      </c>
      <c r="DL397" s="150" t="str">
        <f aca="false">$CZ397</f>
        <v/>
      </c>
      <c r="DM397" s="151" t="str">
        <f aca="false">$CY397</f>
        <v/>
      </c>
      <c r="DN397" s="149" t="str">
        <f aca="false">IF(ISBLANK($C397),"",$DB397)</f>
        <v/>
      </c>
      <c r="DO397" s="152" t="str">
        <f aca="false">IF($DF397&gt;$DE$8,"",VLOOKUP($DF397,$DH$9:$DN$508,7,FALSE()))</f>
        <v/>
      </c>
      <c r="DP397" s="153" t="str">
        <f aca="false">IF($DF397&gt;$DE$8,"",VLOOKUP($DF397,$DH$9:$DN$508,2,FALSE()))</f>
        <v/>
      </c>
      <c r="DQ397" s="153" t="str">
        <f aca="false">IF($DF397&gt;$DE$8,"",VLOOKUP($DF397,$DH$9:$DN$508,3,FALSE()))</f>
        <v/>
      </c>
      <c r="DR397" s="153" t="str">
        <f aca="false">IF($DF397&gt;$DE$8,"",VLOOKUP($DF397,$DH$9:$DN$508,4,FALSE()))</f>
        <v/>
      </c>
      <c r="DS397" s="153" t="str">
        <f aca="false">IF($DF397&gt;$DE$8,"",VLOOKUP($DF397,$DH$9:$DN$508,5,FALSE()))</f>
        <v/>
      </c>
      <c r="DT397" s="154" t="str">
        <f aca="false">IF($DF397&gt;$DE$8,"",VLOOKUP($DF397,$DH$9:$DN$508,6,FALSE()))</f>
        <v/>
      </c>
      <c r="DU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IF(ISBLANK($C398),"",IF(E398=Constants!$B$3,TRUE(),IF(E398=Constants!$B$4,FALSE(),TRUE())))</f>
        <v/>
      </c>
      <c r="AG398" s="135" t="str">
        <f aca="false">IF(ISBLANK($C398),"",IF(F398=Constants!$B$3,TRUE(),IF(F398=Constants!$B$4,FALSE(),TRUE())))</f>
        <v/>
      </c>
      <c r="AH398" s="135" t="str">
        <f aca="false">IF(ISBLANK($C398),"",IF(G398=Constants!$B$3,TRUE(),IF(G398=Constants!$B$4,FALSE(),TRUE())))</f>
        <v/>
      </c>
      <c r="AI398" s="135" t="str">
        <f aca="false">IF(ISBLANK($C398),"",IF(AND(ISNUMBER(H398),H398&gt;=0),H398,Constants!$B$29))</f>
        <v/>
      </c>
      <c r="AJ398" s="135" t="str">
        <f aca="false">IF(ISBLANK($C398),"",IF(I398=Constants!$B$3,TRUE(),IF(I398=Constants!$B$4,FALSE(),TRUE())))</f>
        <v/>
      </c>
      <c r="AK398" s="135" t="str">
        <f aca="false">IF(ISBLANK($C398),"",IF(J398=Constants!$B$3,TRUE(),IF(J398=Constants!$B$4,FALSE(),TRUE())))</f>
        <v/>
      </c>
      <c r="AL398" s="135" t="str">
        <f aca="false">IF(ISBLANK($C398),"",IF(K398=Constants!$B$5,TRUE(),IF(K398=Constants!$B$6,FALSE(),COUNTA(L398:P398)&gt;0)))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IF(ISBLANK($C398),"",IF(N398=Constants!$B$3,TRUE(),IF(N398=Constants!$B$4,FALSE(),TRUE())))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IF(ISBLANK($C398),"",IF(P398=Constants!$B$3,TRUE(),IF(P398=Constants!$B$4,FALSE(),FALSE())))</f>
        <v/>
      </c>
      <c r="AR398" s="135" t="str">
        <f aca="false">IF(ISBLANK($C398),"",IF(Q398=Constants!$B$3,TRUE(),IF(Q398=Constants!$B$4,FALSE(),TRUE())))</f>
        <v/>
      </c>
      <c r="AS398" s="135" t="str">
        <f aca="false">IF(ISBLANK($C398),"",IF(R398=Constants!$B$3,TRUE(),IF(R398=Constants!$B$4,FALSE(),TRUE())))</f>
        <v/>
      </c>
      <c r="AT398" s="135" t="str">
        <f aca="false">IF(ISBLANK($C398),"",IF(S398=Constants!$B$5,TRUE(),IF(S398=Constants!$B$6,FALSE(),COUNTA(T398:X398)&gt;0)))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IF(ISBLANK($C398),"",IF(V398=Constants!$B$3,TRUE(),IF(V398=Constants!$B$4,FALSE(),TRUE())))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IF(ISBLANK($C398),"",IF(X398=Constants!$B$3,TRUE(),IF(X398=Constants!$B$4,FALSE(),FALSE())))</f>
        <v/>
      </c>
      <c r="AZ398" s="135" t="str">
        <f aca="false">IF(ISBLANK($C398),"",MIN(Constants!$B$31,MAX(0,IF(ISNUMBER(Y398),Y398*60,0)+IF(ISNUMBER(Z398),Z398,0))))</f>
        <v/>
      </c>
      <c r="BA398" s="135" t="str">
        <f aca="false">IF(ISBLANK($C398),"",IF(AA398=Constants!$B$3,TRUE(),IF(AA398=Constants!$B$4,FALSE(),FALSE())))</f>
        <v/>
      </c>
      <c r="BB398" s="134" t="str">
        <f aca="false">IF(ISBLANK($C398),"",AND($AL398,OR($AM398="",$AN398="",AND($AO398,$AP398=""))))</f>
        <v/>
      </c>
      <c r="BC398" s="137" t="str">
        <f aca="false">IF($BZ398&lt;&gt;Constants!$B$8,"",IF($AL398,Constants!$B$21*$AN398+Constants!$B$22*IF($AO398,$AP398,Constants!$B$23),Constants!$B$24))</f>
        <v/>
      </c>
      <c r="BD398" s="138" t="str">
        <f aca="false">IF($BZ398&lt;&gt;Constants!$B$8,"",Constants!$B$25*ABS($AD$9-IF($AL398,$AM398,0)))</f>
        <v/>
      </c>
      <c r="BE398" s="138" t="str">
        <f aca="false">IF($BZ398&lt;&gt;Constants!$B$8,"",IF(AND($AL398,$AQ398,$AO398),Constants!$B$27,0))</f>
        <v/>
      </c>
      <c r="BF398" s="138" t="str">
        <f aca="false">IF($BZ398&lt;&gt;Constants!$B$8,"",IF($AL398,($AI398-Constants!$B$29)*Constants!$B$28,0))</f>
        <v/>
      </c>
      <c r="BG398" s="138" t="str">
        <f aca="false">IF($BZ398&lt;&gt;Constants!$B$8,"",IF($AK398,0,Constants!$B$15)+IF($AJ398,0,Constants!$B$16)+IF($AH398,0,Constants!$B$17))</f>
        <v/>
      </c>
      <c r="BH398" s="139" t="str">
        <f aca="false">IF($BZ398&lt;&gt;Constants!$B$8,"",Constants!$B$20+SUM($BC398:$BG398))</f>
        <v/>
      </c>
      <c r="BI398" s="138" t="str">
        <f aca="false">IF($BZ398&lt;&gt;Constants!$B$8,"",$BC398)</f>
        <v/>
      </c>
      <c r="BJ398" s="138" t="str">
        <f aca="false">IF($BZ398&lt;&gt;Constants!$B$8,"",$BD398)</f>
        <v/>
      </c>
      <c r="BK398" s="138" t="str">
        <f aca="false">IF($BZ398&lt;&gt;Constants!$B$8,"",IF($AL398,$AN398,""))</f>
        <v/>
      </c>
      <c r="BL398" s="140" t="str">
        <f aca="false">IF($BZ398&lt;&gt;Constants!$B$8,"",$AI398)</f>
        <v/>
      </c>
      <c r="BM398" s="135" t="str">
        <f aca="false">IF($BZ398&lt;&gt;Constants!$B$8,"",IF(OR($BT398&lt;$BH398,AND($BT398=$BH398,OR($BU398&lt;$BI398,AND($BU398=$BI398,OR($BV398&lt;$BJ398,AND($BV398=$BJ398,OR(AND(ISNUMBER($BW398),OR(NOT(ISNUMBER($BK398)),$BW398&lt;$BK398)),AND(OR(AND($BW398="",$BK398=""),AND(ISNUMBER($BW398),ISNUMBER($BK398),$BW398=$BK398)),$BX398&lt;$BL398)))))))),"-&gt;","&lt;-"))</f>
        <v/>
      </c>
      <c r="BN398" s="134" t="str">
        <f aca="false">IF(ISBLANK($C398),"",AND($AT398,OR($AU398="",$AV398="",AND($AW398,$AX398=""))))</f>
        <v/>
      </c>
      <c r="BO398" s="137" t="str">
        <f aca="false">IF($BZ398&lt;&gt;Constants!$B$8,"",IF($AT398,Constants!$B$21*$AV398+Constants!$B$22*IF($AW398,$AX398,Constants!$B$23),Constants!$B$24))</f>
        <v/>
      </c>
      <c r="BP398" s="138" t="str">
        <f aca="false">IF($BZ398&lt;&gt;Constants!$B$8,"",Constants!$B$25*ABS($AD$9-IF($AT398,$AU398,0)))</f>
        <v/>
      </c>
      <c r="BQ398" s="138" t="str">
        <f aca="false">IF($BZ398&lt;&gt;Constants!$B$8,"",IF(AND($AT398,$AY398,$AW398),Constants!$B$27,0))</f>
        <v/>
      </c>
      <c r="BR398" s="138" t="str">
        <f aca="false">IF($BZ398&lt;&gt;Constants!$B$8,"",IF($AT398,($AI398-Constants!$B$29)*Constants!$B$28,0))</f>
        <v/>
      </c>
      <c r="BS398" s="138" t="str">
        <f aca="false">IF($BZ398&lt;&gt;Constants!$B$8,"",IF($AS398,0,Constants!$B$15)+IF($AR398,0,Constants!$B$16)+IF($AH398,0,Constants!$B$17))</f>
        <v/>
      </c>
      <c r="BT398" s="139" t="str">
        <f aca="false">IF($BZ398&lt;&gt;Constants!$B$8,"",Constants!$B$20+SUM($BO398:$BS398))</f>
        <v/>
      </c>
      <c r="BU398" s="138" t="str">
        <f aca="false">IF($BZ398&lt;&gt;Constants!$B$8,"",$BO398)</f>
        <v/>
      </c>
      <c r="BV398" s="138" t="str">
        <f aca="false">IF($BZ398&lt;&gt;Constants!$B$8,"",$BP398)</f>
        <v/>
      </c>
      <c r="BW398" s="138" t="str">
        <f aca="false">IF($BZ398&lt;&gt;Constants!$B$8,"",IF($AT398,$AV398,""))</f>
        <v/>
      </c>
      <c r="BX398" s="140" t="str">
        <f aca="false">IF($BZ398&lt;&gt;Constants!$B$8,"",$AI398)</f>
        <v/>
      </c>
      <c r="BY398" s="135" t="str">
        <f aca="false">IF(ISBLANK($C398),"",IF(ISBLANK($D$7),$BY$5,IF(NOT(ISNUMBER($D$7)),$BY$6,"")))</f>
        <v/>
      </c>
      <c r="BZ398" s="135" t="str">
        <f aca="false">IF(ISBLANK($C398),"",IF($BA398,Constants!$B$11,IF(COUNTA($E398:$AA398)=0,Constants!$B$10,IF(NOT($AG398),Constants!$B$9,IF(OR($BY398&lt;&gt;"",$BB398,$BN398),Constants!$B$12,Constants!$B$8)))))</f>
        <v/>
      </c>
      <c r="CA398" s="135" t="str">
        <f aca="false">IF(ISBLANK($C398),"",IF($BZ398&lt;&gt;Constants!$B$8,$BZ398,Constants!$B$13))</f>
        <v/>
      </c>
      <c r="CB398" s="138" t="str">
        <f aca="false">IF($BZ398&lt;&gt;Constants!$B$8,"",IF($BM398="-&gt;",$BT398,$BH398))</f>
        <v/>
      </c>
      <c r="CC398" s="138" t="str">
        <f aca="false">IF($BZ398&lt;&gt;Constants!$B$8,"",IF($AF398,0,Constants!$B$18))</f>
        <v/>
      </c>
      <c r="CD398" s="138" t="str">
        <f aca="false">IF($BZ398&lt;&gt;Constants!$B$8,"",((Constants!$B$31-$AZ398)-Constants!$B$31)/Constants!$B$32)</f>
        <v/>
      </c>
      <c r="CE398" s="138" t="str">
        <f aca="false">IF(ISBLANK($C398),"",IF($BZ398&lt;&gt;Constants!$B$8,$BZ398,SUM($CB398:$CD398)))</f>
        <v/>
      </c>
      <c r="CF398" s="135" t="str">
        <f aca="false">IF(ISBLANK($C398),"",IF($BZ398&lt;&gt;Constants!$B$8,$BZ398,RANK($CE398,$CE$9:$CE$508,1)))</f>
        <v/>
      </c>
      <c r="CG398" s="138" t="str">
        <f aca="false">IF($BZ398&lt;&gt;Constants!$B$8,"",IF($BM398="-&gt;",$BU398,$BI398))</f>
        <v/>
      </c>
      <c r="CH398" s="135" t="str">
        <f aca="false">IF(ISBLANK($C398),"",IF($BZ398&lt;&gt;Constants!$B$8,$BZ398,IF(ISNUMBER($CG398),RANK($CG398,$CG$9:$CG$508,1),COUNT($CG$9:$CG$508)+1)))</f>
        <v/>
      </c>
      <c r="CI398" s="138" t="str">
        <f aca="false">IF($BZ398&lt;&gt;Constants!$B$8,"",IF($BM398="-&gt;",$BV398,$BJ398))</f>
        <v/>
      </c>
      <c r="CJ398" s="135" t="str">
        <f aca="false">IF(ISBLANK($C398),"",IF($BZ398&lt;&gt;Constants!$B$8,$BZ398,IF(ISNUMBER($CI398),RANK($CI398,$CI$9:$CI$508,1),COUNT($CI$9:$CI$508)+1)))</f>
        <v/>
      </c>
      <c r="CK398" s="138" t="str">
        <f aca="false">IF($BZ398&lt;&gt;Constants!$B$8,"",IF($BM398="-&gt;",$BW398,$BK398))</f>
        <v/>
      </c>
      <c r="CL398" s="135" t="str">
        <f aca="false">IF(ISBLANK($C398),"",IF($BZ398&lt;&gt;Constants!$B$8,$BZ398,IF(ISNUMBER($CK398),RANK($CK398,$CK$9:$CK$508,1),COUNT($CK$9:$CK$508)+1)))</f>
        <v/>
      </c>
      <c r="CM398" s="138" t="str">
        <f aca="false">IF($BZ398&lt;&gt;Constants!$B$8,"",IF(AND(NOT($AL398),NOT($AT398),$AJ398,$AK398,$AR398,$AS398),"",IF($BM398="-&gt;",$BX398,$BL398)))</f>
        <v/>
      </c>
      <c r="CN398" s="135" t="str">
        <f aca="false">IF(ISBLANK($C398),"",IF($BZ398&lt;&gt;Constants!$B$8,$BZ398,IF(ISNUMBER($CM398),RANK($CM398,$CM$9:$CM$508,1),COUNT($CM$9:$CM$508)+1)))</f>
        <v/>
      </c>
      <c r="CO398" s="135" t="str">
        <f aca="false">IF(ISBLANK($C398),"",IF($BZ398&lt;&gt;Constants!$B$8,$BZ398,COUNTIFS($CF$9:$CF$508,"&lt;"&amp;$CF398)+COUNTIFS($CF$9:$CF$508,$CF398,$CH$9:$CH$508,"&lt;"&amp;$CH398)+COUNTIFS($CF$9:$CF$508,$CF398,$CH$9:$CH$508,$CH398,$CJ$9:$CJ$508,"&lt;"&amp;$CJ398)+COUNTIFS($CF$9:$CF$508,$CF398,$CH$9:$CH$508,$CH398,$CJ$9:$CJ$508,$CJ398,$CL$9:$CL$508,"&lt;"&amp;$CL398)+COUNTIFS($CF$9:$CF$508,$CF398,$CH$9:$CH$508,$CH398,$CJ$9:$CJ$508,$CJ398,$CL$9:$CL$508,$CL398,$CN$9:$CN$508,"&lt;"&amp;$CN398)+1))</f>
        <v/>
      </c>
      <c r="CP398" s="135" t="str">
        <f aca="false">IF(ISBLANK($C398),"",IF($BZ398&lt;&gt;Constants!$B$8,$BZ398,$CF398-$CO398))</f>
        <v/>
      </c>
      <c r="CQ398" s="141"/>
      <c r="CR398" s="142"/>
      <c r="CS398" s="143" t="str">
        <f aca="false">IF(ISBLANK($C398),"",IF($BZ398=Constants!$B$12,$BY398,""))</f>
        <v/>
      </c>
      <c r="CT398" s="142" t="str">
        <f aca="false">IF(ISBLANK($C398),"",IF($BZ398&lt;&gt;Constants!$B$8,"",IF($BM398="-&gt;",2,1)))</f>
        <v/>
      </c>
      <c r="CU398" s="144" t="str">
        <f aca="false">IF(ISBLANK($C398),"",IF($BZ398&lt;&gt;Constants!$B$8,"",IF($BM398="-&gt;",$BO398,$BC398)))</f>
        <v/>
      </c>
      <c r="CV398" s="144" t="str">
        <f aca="false">IF(ISBLANK($C398),"",IF($BZ398&lt;&gt;Constants!$B$8,"",IF($BM398="-&gt;",$BP398,$BD398)))</f>
        <v/>
      </c>
      <c r="CW398" s="144" t="str">
        <f aca="false">IF(ISBLANK($C398),"",IF($BZ398&lt;&gt;Constants!$B$8,"",IF($BM398="-&gt;",$BQ398+$BR398,$BE398+$BF398)+$CD398))</f>
        <v/>
      </c>
      <c r="CX398" s="144" t="str">
        <f aca="false">IF(ISBLANK($C398),"",IF($BZ398&lt;&gt;Constants!$B$8,"",IF($BM398="-&gt;",$BS398,$BG398)+$CC398))</f>
        <v/>
      </c>
      <c r="CY398" s="145" t="str">
        <f aca="false">IF(ISBLANK($C398),"",IF($BZ398&lt;&gt;Constants!$B$8,$BZ398,$CE398))</f>
        <v/>
      </c>
      <c r="CZ398" s="146" t="str">
        <f aca="false">IF(ISBLANK($C398),"",$CA398)</f>
        <v/>
      </c>
      <c r="DA398" s="147" t="str">
        <f aca="false">IF(ISBLANK($C398),"",$CP398)</f>
        <v/>
      </c>
      <c r="DB398" s="147" t="str">
        <f aca="false">IF(ISBLANK($C398),"",$CO398)</f>
        <v/>
      </c>
      <c r="DC398" s="148" t="str">
        <f aca="false">IF(ISBLANK($C398),"",IFERROR(_xlfn.SWITCH($DB398,Constants!$B$11,COUNTA($C$9:$C$508)+2,Constants!$B$10,COUNTA($C$9:$C$508)+1,Constants!$B$9,COUNTA($C$9:$C$508)),$DB398))</f>
        <v/>
      </c>
      <c r="DD398" s="9"/>
      <c r="DE398" s="149" t="n">
        <f aca="false">IF(OR(ISNUMBER($DB398),$DB398=Constants!$B$11,$DB398=Constants!$B$9,$DB398=Constants!$B$10),1,0)</f>
        <v>0</v>
      </c>
      <c r="DF398" s="149" t="n">
        <v>390</v>
      </c>
      <c r="DG398" s="149" t="str">
        <f aca="false">IF(ISBLANK($C398),"",IF(ISNUMBER($DC398),$DC398+ROW($B398)/1000,""))</f>
        <v/>
      </c>
      <c r="DH398" s="149" t="str">
        <f aca="false">IF(ISNUMBER($DG398),RANK($DG398,$DG$9:$DG$508,1),"")</f>
        <v/>
      </c>
      <c r="DI398" s="149" t="str">
        <f aca="false">IF(ISBLANK($C398),"",$B398)</f>
        <v/>
      </c>
      <c r="DJ398" s="149" t="str">
        <f aca="false">IF(ISBLANK($C398),"",$C398)</f>
        <v/>
      </c>
      <c r="DK398" s="149" t="str">
        <f aca="false">IF(ISBLANK($C398),"",$D398)</f>
        <v/>
      </c>
      <c r="DL398" s="150" t="str">
        <f aca="false">$CZ398</f>
        <v/>
      </c>
      <c r="DM398" s="151" t="str">
        <f aca="false">$CY398</f>
        <v/>
      </c>
      <c r="DN398" s="149" t="str">
        <f aca="false">IF(ISBLANK($C398),"",$DB398)</f>
        <v/>
      </c>
      <c r="DO398" s="152" t="str">
        <f aca="false">IF($DF398&gt;$DE$8,"",VLOOKUP($DF398,$DH$9:$DN$508,7,FALSE()))</f>
        <v/>
      </c>
      <c r="DP398" s="153" t="str">
        <f aca="false">IF($DF398&gt;$DE$8,"",VLOOKUP($DF398,$DH$9:$DN$508,2,FALSE()))</f>
        <v/>
      </c>
      <c r="DQ398" s="153" t="str">
        <f aca="false">IF($DF398&gt;$DE$8,"",VLOOKUP($DF398,$DH$9:$DN$508,3,FALSE()))</f>
        <v/>
      </c>
      <c r="DR398" s="153" t="str">
        <f aca="false">IF($DF398&gt;$DE$8,"",VLOOKUP($DF398,$DH$9:$DN$508,4,FALSE()))</f>
        <v/>
      </c>
      <c r="DS398" s="153" t="str">
        <f aca="false">IF($DF398&gt;$DE$8,"",VLOOKUP($DF398,$DH$9:$DN$508,5,FALSE()))</f>
        <v/>
      </c>
      <c r="DT398" s="154" t="str">
        <f aca="false">IF($DF398&gt;$DE$8,"",VLOOKUP($DF398,$DH$9:$DN$508,6,FALSE()))</f>
        <v/>
      </c>
      <c r="DU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IF(ISBLANK($C399),"",IF(E399=Constants!$B$3,TRUE(),IF(E399=Constants!$B$4,FALSE(),TRUE())))</f>
        <v/>
      </c>
      <c r="AG399" s="93" t="str">
        <f aca="false">IF(ISBLANK($C399),"",IF(F399=Constants!$B$3,TRUE(),IF(F399=Constants!$B$4,FALSE(),TRUE())))</f>
        <v/>
      </c>
      <c r="AH399" s="93" t="str">
        <f aca="false">IF(ISBLANK($C399),"",IF(G399=Constants!$B$3,TRUE(),IF(G399=Constants!$B$4,FALSE(),TRUE())))</f>
        <v/>
      </c>
      <c r="AI399" s="93" t="str">
        <f aca="false">IF(ISBLANK($C399),"",IF(AND(ISNUMBER(H399),H399&gt;=0),H399,Constants!$B$29))</f>
        <v/>
      </c>
      <c r="AJ399" s="93" t="str">
        <f aca="false">IF(ISBLANK($C399),"",IF(I399=Constants!$B$3,TRUE(),IF(I399=Constants!$B$4,FALSE(),TRUE())))</f>
        <v/>
      </c>
      <c r="AK399" s="93" t="str">
        <f aca="false">IF(ISBLANK($C399),"",IF(J399=Constants!$B$3,TRUE(),IF(J399=Constants!$B$4,FALSE(),TRUE())))</f>
        <v/>
      </c>
      <c r="AL399" s="93" t="str">
        <f aca="false">IF(ISBLANK($C399),"",IF(K399=Constants!$B$5,TRUE(),IF(K399=Constants!$B$6,FALSE(),COUNTA(L399:P399)&gt;0)))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IF(ISBLANK($C399),"",IF(N399=Constants!$B$3,TRUE(),IF(N399=Constants!$B$4,FALSE(),TRUE())))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IF(ISBLANK($C399),"",IF(P399=Constants!$B$3,TRUE(),IF(P399=Constants!$B$4,FALSE(),FALSE())))</f>
        <v/>
      </c>
      <c r="AR399" s="93" t="str">
        <f aca="false">IF(ISBLANK($C399),"",IF(Q399=Constants!$B$3,TRUE(),IF(Q399=Constants!$B$4,FALSE(),TRUE())))</f>
        <v/>
      </c>
      <c r="AS399" s="93" t="str">
        <f aca="false">IF(ISBLANK($C399),"",IF(R399=Constants!$B$3,TRUE(),IF(R399=Constants!$B$4,FALSE(),TRUE())))</f>
        <v/>
      </c>
      <c r="AT399" s="93" t="str">
        <f aca="false">IF(ISBLANK($C399),"",IF(S399=Constants!$B$5,TRUE(),IF(S399=Constants!$B$6,FALSE(),COUNTA(T399:X399)&gt;0)))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IF(ISBLANK($C399),"",IF(V399=Constants!$B$3,TRUE(),IF(V399=Constants!$B$4,FALSE(),TRUE())))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IF(ISBLANK($C399),"",IF(X399=Constants!$B$3,TRUE(),IF(X399=Constants!$B$4,FALSE(),FALSE())))</f>
        <v/>
      </c>
      <c r="AZ399" s="93" t="str">
        <f aca="false">IF(ISBLANK($C399),"",MIN(Constants!$B$31,MAX(0,IF(ISNUMBER(Y399),Y399*60,0)+IF(ISNUMBER(Z399),Z399,0))))</f>
        <v/>
      </c>
      <c r="BA399" s="93" t="str">
        <f aca="false">IF(ISBLANK($C399),"",IF(AA399=Constants!$B$3,TRUE(),IF(AA399=Constants!$B$4,FALSE(),FALSE())))</f>
        <v/>
      </c>
      <c r="BB399" s="92" t="str">
        <f aca="false">IF(ISBLANK($C399),"",AND($AL399,OR($AM399="",$AN399="",AND($AO399,$AP399=""))))</f>
        <v/>
      </c>
      <c r="BC399" s="94" t="str">
        <f aca="false">IF($BZ399&lt;&gt;Constants!$B$8,"",IF($AL399,Constants!$B$21*$AN399+Constants!$B$22*IF($AO399,$AP399,Constants!$B$23),Constants!$B$24))</f>
        <v/>
      </c>
      <c r="BD399" s="97" t="str">
        <f aca="false">IF($BZ399&lt;&gt;Constants!$B$8,"",Constants!$B$25*ABS($AD$9-IF($AL399,$AM399,0)))</f>
        <v/>
      </c>
      <c r="BE399" s="97" t="str">
        <f aca="false">IF($BZ399&lt;&gt;Constants!$B$8,"",IF(AND($AL399,$AQ399,$AO399),Constants!$B$27,0))</f>
        <v/>
      </c>
      <c r="BF399" s="97" t="str">
        <f aca="false">IF($BZ399&lt;&gt;Constants!$B$8,"",IF($AL399,($AI399-Constants!$B$29)*Constants!$B$28,0))</f>
        <v/>
      </c>
      <c r="BG399" s="97" t="str">
        <f aca="false">IF($BZ399&lt;&gt;Constants!$B$8,"",IF($AK399,0,Constants!$B$15)+IF($AJ399,0,Constants!$B$16)+IF($AH399,0,Constants!$B$17))</f>
        <v/>
      </c>
      <c r="BH399" s="98" t="str">
        <f aca="false">IF($BZ399&lt;&gt;Constants!$B$8,"",Constants!$B$20+SUM($BC399:$BG399))</f>
        <v/>
      </c>
      <c r="BI399" s="97" t="str">
        <f aca="false">IF($BZ399&lt;&gt;Constants!$B$8,"",$BC399)</f>
        <v/>
      </c>
      <c r="BJ399" s="97" t="str">
        <f aca="false">IF($BZ399&lt;&gt;Constants!$B$8,"",$BD399)</f>
        <v/>
      </c>
      <c r="BK399" s="97" t="str">
        <f aca="false">IF($BZ399&lt;&gt;Constants!$B$8,"",IF($AL399,$AN399,""))</f>
        <v/>
      </c>
      <c r="BL399" s="99" t="str">
        <f aca="false">IF($BZ399&lt;&gt;Constants!$B$8,"",$AI399)</f>
        <v/>
      </c>
      <c r="BM399" s="93" t="str">
        <f aca="false">IF($BZ399&lt;&gt;Constants!$B$8,"",IF(OR($BT399&lt;$BH399,AND($BT399=$BH399,OR($BU399&lt;$BI399,AND($BU399=$BI399,OR($BV399&lt;$BJ399,AND($BV399=$BJ399,OR(AND(ISNUMBER($BW399),OR(NOT(ISNUMBER($BK399)),$BW399&lt;$BK399)),AND(OR(AND($BW399="",$BK399=""),AND(ISNUMBER($BW399),ISNUMBER($BK399),$BW399=$BK399)),$BX399&lt;$BL399)))))))),"-&gt;","&lt;-"))</f>
        <v/>
      </c>
      <c r="BN399" s="92" t="str">
        <f aca="false">IF(ISBLANK($C399),"",AND($AT399,OR($AU399="",$AV399="",AND($AW399,$AX399=""))))</f>
        <v/>
      </c>
      <c r="BO399" s="94" t="str">
        <f aca="false">IF($BZ399&lt;&gt;Constants!$B$8,"",IF($AT399,Constants!$B$21*$AV399+Constants!$B$22*IF($AW399,$AX399,Constants!$B$23),Constants!$B$24))</f>
        <v/>
      </c>
      <c r="BP399" s="97" t="str">
        <f aca="false">IF($BZ399&lt;&gt;Constants!$B$8,"",Constants!$B$25*ABS($AD$9-IF($AT399,$AU399,0)))</f>
        <v/>
      </c>
      <c r="BQ399" s="97" t="str">
        <f aca="false">IF($BZ399&lt;&gt;Constants!$B$8,"",IF(AND($AT399,$AY399,$AW399),Constants!$B$27,0))</f>
        <v/>
      </c>
      <c r="BR399" s="97" t="str">
        <f aca="false">IF($BZ399&lt;&gt;Constants!$B$8,"",IF($AT399,($AI399-Constants!$B$29)*Constants!$B$28,0))</f>
        <v/>
      </c>
      <c r="BS399" s="97" t="str">
        <f aca="false">IF($BZ399&lt;&gt;Constants!$B$8,"",IF($AS399,0,Constants!$B$15)+IF($AR399,0,Constants!$B$16)+IF($AH399,0,Constants!$B$17))</f>
        <v/>
      </c>
      <c r="BT399" s="98" t="str">
        <f aca="false">IF($BZ399&lt;&gt;Constants!$B$8,"",Constants!$B$20+SUM($BO399:$BS399))</f>
        <v/>
      </c>
      <c r="BU399" s="97" t="str">
        <f aca="false">IF($BZ399&lt;&gt;Constants!$B$8,"",$BO399)</f>
        <v/>
      </c>
      <c r="BV399" s="97" t="str">
        <f aca="false">IF($BZ399&lt;&gt;Constants!$B$8,"",$BP399)</f>
        <v/>
      </c>
      <c r="BW399" s="97" t="str">
        <f aca="false">IF($BZ399&lt;&gt;Constants!$B$8,"",IF($AT399,$AV399,""))</f>
        <v/>
      </c>
      <c r="BX399" s="99" t="str">
        <f aca="false">IF($BZ399&lt;&gt;Constants!$B$8,"",$AI399)</f>
        <v/>
      </c>
      <c r="BY399" s="93" t="str">
        <f aca="false">IF(ISBLANK($C399),"",IF(ISBLANK($D$7),$BY$5,IF(NOT(ISNUMBER($D$7)),$BY$6,"")))</f>
        <v/>
      </c>
      <c r="BZ399" s="93" t="str">
        <f aca="false">IF(ISBLANK($C399),"",IF($BA399,Constants!$B$11,IF(COUNTA($E399:$AA399)=0,Constants!$B$10,IF(NOT($AG399),Constants!$B$9,IF(OR($BY399&lt;&gt;"",$BB399,$BN399),Constants!$B$12,Constants!$B$8)))))</f>
        <v/>
      </c>
      <c r="CA399" s="93" t="str">
        <f aca="false">IF(ISBLANK($C399),"",IF($BZ399&lt;&gt;Constants!$B$8,$BZ399,Constants!$B$13))</f>
        <v/>
      </c>
      <c r="CB399" s="97" t="str">
        <f aca="false">IF($BZ399&lt;&gt;Constants!$B$8,"",IF($BM399="-&gt;",$BT399,$BH399))</f>
        <v/>
      </c>
      <c r="CC399" s="97" t="str">
        <f aca="false">IF($BZ399&lt;&gt;Constants!$B$8,"",IF($AF399,0,Constants!$B$18))</f>
        <v/>
      </c>
      <c r="CD399" s="97" t="str">
        <f aca="false">IF($BZ399&lt;&gt;Constants!$B$8,"",((Constants!$B$31-$AZ399)-Constants!$B$31)/Constants!$B$32)</f>
        <v/>
      </c>
      <c r="CE399" s="97" t="str">
        <f aca="false">IF(ISBLANK($C399),"",IF($BZ399&lt;&gt;Constants!$B$8,$BZ399,SUM($CB399:$CD399)))</f>
        <v/>
      </c>
      <c r="CF399" s="93" t="str">
        <f aca="false">IF(ISBLANK($C399),"",IF($BZ399&lt;&gt;Constants!$B$8,$BZ399,RANK($CE399,$CE$9:$CE$508,1)))</f>
        <v/>
      </c>
      <c r="CG399" s="97" t="str">
        <f aca="false">IF($BZ399&lt;&gt;Constants!$B$8,"",IF($BM399="-&gt;",$BU399,$BI399))</f>
        <v/>
      </c>
      <c r="CH399" s="93" t="str">
        <f aca="false">IF(ISBLANK($C399),"",IF($BZ399&lt;&gt;Constants!$B$8,$BZ399,IF(ISNUMBER($CG399),RANK($CG399,$CG$9:$CG$508,1),COUNT($CG$9:$CG$508)+1)))</f>
        <v/>
      </c>
      <c r="CI399" s="97" t="str">
        <f aca="false">IF($BZ399&lt;&gt;Constants!$B$8,"",IF($BM399="-&gt;",$BV399,$BJ399))</f>
        <v/>
      </c>
      <c r="CJ399" s="93" t="str">
        <f aca="false">IF(ISBLANK($C399),"",IF($BZ399&lt;&gt;Constants!$B$8,$BZ399,IF(ISNUMBER($CI399),RANK($CI399,$CI$9:$CI$508,1),COUNT($CI$9:$CI$508)+1)))</f>
        <v/>
      </c>
      <c r="CK399" s="97" t="str">
        <f aca="false">IF($BZ399&lt;&gt;Constants!$B$8,"",IF($BM399="-&gt;",$BW399,$BK399))</f>
        <v/>
      </c>
      <c r="CL399" s="93" t="str">
        <f aca="false">IF(ISBLANK($C399),"",IF($BZ399&lt;&gt;Constants!$B$8,$BZ399,IF(ISNUMBER($CK399),RANK($CK399,$CK$9:$CK$508,1),COUNT($CK$9:$CK$508)+1)))</f>
        <v/>
      </c>
      <c r="CM399" s="97" t="str">
        <f aca="false">IF($BZ399&lt;&gt;Constants!$B$8,"",IF(AND(NOT($AL399),NOT($AT399),$AJ399,$AK399,$AR399,$AS399),"",IF($BM399="-&gt;",$BX399,$BL399)))</f>
        <v/>
      </c>
      <c r="CN399" s="93" t="str">
        <f aca="false">IF(ISBLANK($C399),"",IF($BZ399&lt;&gt;Constants!$B$8,$BZ399,IF(ISNUMBER($CM399),RANK($CM399,$CM$9:$CM$508,1),COUNT($CM$9:$CM$508)+1)))</f>
        <v/>
      </c>
      <c r="CO399" s="93" t="str">
        <f aca="false">IF(ISBLANK($C399),"",IF($BZ399&lt;&gt;Constants!$B$8,$BZ399,COUNTIFS($CF$9:$CF$508,"&lt;"&amp;$CF399)+COUNTIFS($CF$9:$CF$508,$CF399,$CH$9:$CH$508,"&lt;"&amp;$CH399)+COUNTIFS($CF$9:$CF$508,$CF399,$CH$9:$CH$508,$CH399,$CJ$9:$CJ$508,"&lt;"&amp;$CJ399)+COUNTIFS($CF$9:$CF$508,$CF399,$CH$9:$CH$508,$CH399,$CJ$9:$CJ$508,$CJ399,$CL$9:$CL$508,"&lt;"&amp;$CL399)+COUNTIFS($CF$9:$CF$508,$CF399,$CH$9:$CH$508,$CH399,$CJ$9:$CJ$508,$CJ399,$CL$9:$CL$508,$CL399,$CN$9:$CN$508,"&lt;"&amp;$CN399)+1))</f>
        <v/>
      </c>
      <c r="CP399" s="93" t="str">
        <f aca="false">IF(ISBLANK($C399),"",IF($BZ399&lt;&gt;Constants!$B$8,$BZ399,$CF399-$CO399))</f>
        <v/>
      </c>
      <c r="CQ399" s="100"/>
      <c r="CR399" s="101"/>
      <c r="CS399" s="102" t="str">
        <f aca="false">IF(ISBLANK($C399),"",IF($BZ399=Constants!$B$12,$BY399,""))</f>
        <v/>
      </c>
      <c r="CT399" s="101" t="str">
        <f aca="false">IF(ISBLANK($C399),"",IF($BZ399&lt;&gt;Constants!$B$8,"",IF($BM399="-&gt;",2,1)))</f>
        <v/>
      </c>
      <c r="CU399" s="103" t="str">
        <f aca="false">IF(ISBLANK($C399),"",IF($BZ399&lt;&gt;Constants!$B$8,"",IF($BM399="-&gt;",$BO399,$BC399)))</f>
        <v/>
      </c>
      <c r="CV399" s="103" t="str">
        <f aca="false">IF(ISBLANK($C399),"",IF($BZ399&lt;&gt;Constants!$B$8,"",IF($BM399="-&gt;",$BP399,$BD399)))</f>
        <v/>
      </c>
      <c r="CW399" s="103" t="str">
        <f aca="false">IF(ISBLANK($C399),"",IF($BZ399&lt;&gt;Constants!$B$8,"",IF($BM399="-&gt;",$BQ399+$BR399,$BE399+$BF399)+$CD399))</f>
        <v/>
      </c>
      <c r="CX399" s="103" t="str">
        <f aca="false">IF(ISBLANK($C399),"",IF($BZ399&lt;&gt;Constants!$B$8,"",IF($BM399="-&gt;",$BS399,$BG399)+$CC399))</f>
        <v/>
      </c>
      <c r="CY399" s="104" t="str">
        <f aca="false">IF(ISBLANK($C399),"",IF($BZ399&lt;&gt;Constants!$B$8,$BZ399,$CE399))</f>
        <v/>
      </c>
      <c r="CZ399" s="105" t="str">
        <f aca="false">IF(ISBLANK($C399),"",$CA399)</f>
        <v/>
      </c>
      <c r="DA399" s="106" t="str">
        <f aca="false">IF(ISBLANK($C399),"",$CP399)</f>
        <v/>
      </c>
      <c r="DB399" s="106" t="str">
        <f aca="false">IF(ISBLANK($C399),"",$CO399)</f>
        <v/>
      </c>
      <c r="DC399" s="107" t="str">
        <f aca="false">IF(ISBLANK($C399),"",IFERROR(_xlfn.SWITCH($DB399,Constants!$B$11,COUNTA($C$9:$C$508)+2,Constants!$B$10,COUNTA($C$9:$C$508)+1,Constants!$B$9,COUNTA($C$9:$C$508)),$DB399))</f>
        <v/>
      </c>
      <c r="DD399" s="9"/>
      <c r="DE399" s="108" t="n">
        <f aca="false">IF(OR(ISNUMBER($DB399),$DB399=Constants!$B$11,$DB399=Constants!$B$9,$DB399=Constants!$B$10),1,0)</f>
        <v>0</v>
      </c>
      <c r="DF399" s="108" t="n">
        <v>391</v>
      </c>
      <c r="DG399" s="108" t="str">
        <f aca="false">IF(ISBLANK($C399),"",IF(ISNUMBER($DC399),$DC399+ROW($B399)/1000,""))</f>
        <v/>
      </c>
      <c r="DH399" s="108" t="str">
        <f aca="false">IF(ISNUMBER($DG399),RANK($DG399,$DG$9:$DG$508,1),"")</f>
        <v/>
      </c>
      <c r="DI399" s="108" t="str">
        <f aca="false">IF(ISBLANK($C399),"",$B399)</f>
        <v/>
      </c>
      <c r="DJ399" s="108" t="str">
        <f aca="false">IF(ISBLANK($C399),"",$C399)</f>
        <v/>
      </c>
      <c r="DK399" s="108" t="str">
        <f aca="false">IF(ISBLANK($C399),"",$D399)</f>
        <v/>
      </c>
      <c r="DL399" s="109" t="str">
        <f aca="false">$CZ399</f>
        <v/>
      </c>
      <c r="DM399" s="110" t="str">
        <f aca="false">$CY399</f>
        <v/>
      </c>
      <c r="DN399" s="108" t="str">
        <f aca="false">IF(ISBLANK($C399),"",$DB399)</f>
        <v/>
      </c>
      <c r="DO399" s="111" t="str">
        <f aca="false">IF($DF399&gt;$DE$8,"",VLOOKUP($DF399,$DH$9:$DN$508,7,FALSE()))</f>
        <v/>
      </c>
      <c r="DP399" s="112" t="str">
        <f aca="false">IF($DF399&gt;$DE$8,"",VLOOKUP($DF399,$DH$9:$DN$508,2,FALSE()))</f>
        <v/>
      </c>
      <c r="DQ399" s="112" t="str">
        <f aca="false">IF($DF399&gt;$DE$8,"",VLOOKUP($DF399,$DH$9:$DN$508,3,FALSE()))</f>
        <v/>
      </c>
      <c r="DR399" s="112" t="str">
        <f aca="false">IF($DF399&gt;$DE$8,"",VLOOKUP($DF399,$DH$9:$DN$508,4,FALSE()))</f>
        <v/>
      </c>
      <c r="DS399" s="112" t="str">
        <f aca="false">IF($DF399&gt;$DE$8,"",VLOOKUP($DF399,$DH$9:$DN$508,5,FALSE()))</f>
        <v/>
      </c>
      <c r="DT399" s="113" t="str">
        <f aca="false">IF($DF399&gt;$DE$8,"",VLOOKUP($DF399,$DH$9:$DN$508,6,FALSE()))</f>
        <v/>
      </c>
      <c r="DU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IF(ISBLANK($C400),"",IF(E400=Constants!$B$3,TRUE(),IF(E400=Constants!$B$4,FALSE(),TRUE())))</f>
        <v/>
      </c>
      <c r="AG400" s="93" t="str">
        <f aca="false">IF(ISBLANK($C400),"",IF(F400=Constants!$B$3,TRUE(),IF(F400=Constants!$B$4,FALSE(),TRUE())))</f>
        <v/>
      </c>
      <c r="AH400" s="93" t="str">
        <f aca="false">IF(ISBLANK($C400),"",IF(G400=Constants!$B$3,TRUE(),IF(G400=Constants!$B$4,FALSE(),TRUE())))</f>
        <v/>
      </c>
      <c r="AI400" s="93" t="str">
        <f aca="false">IF(ISBLANK($C400),"",IF(AND(ISNUMBER(H400),H400&gt;=0),H400,Constants!$B$29))</f>
        <v/>
      </c>
      <c r="AJ400" s="93" t="str">
        <f aca="false">IF(ISBLANK($C400),"",IF(I400=Constants!$B$3,TRUE(),IF(I400=Constants!$B$4,FALSE(),TRUE())))</f>
        <v/>
      </c>
      <c r="AK400" s="93" t="str">
        <f aca="false">IF(ISBLANK($C400),"",IF(J400=Constants!$B$3,TRUE(),IF(J400=Constants!$B$4,FALSE(),TRUE())))</f>
        <v/>
      </c>
      <c r="AL400" s="93" t="str">
        <f aca="false">IF(ISBLANK($C400),"",IF(K400=Constants!$B$5,TRUE(),IF(K400=Constants!$B$6,FALSE(),COUNTA(L400:P400)&gt;0)))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IF(ISBLANK($C400),"",IF(N400=Constants!$B$3,TRUE(),IF(N400=Constants!$B$4,FALSE(),TRUE())))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IF(ISBLANK($C400),"",IF(P400=Constants!$B$3,TRUE(),IF(P400=Constants!$B$4,FALSE(),FALSE())))</f>
        <v/>
      </c>
      <c r="AR400" s="93" t="str">
        <f aca="false">IF(ISBLANK($C400),"",IF(Q400=Constants!$B$3,TRUE(),IF(Q400=Constants!$B$4,FALSE(),TRUE())))</f>
        <v/>
      </c>
      <c r="AS400" s="93" t="str">
        <f aca="false">IF(ISBLANK($C400),"",IF(R400=Constants!$B$3,TRUE(),IF(R400=Constants!$B$4,FALSE(),TRUE())))</f>
        <v/>
      </c>
      <c r="AT400" s="93" t="str">
        <f aca="false">IF(ISBLANK($C400),"",IF(S400=Constants!$B$5,TRUE(),IF(S400=Constants!$B$6,FALSE(),COUNTA(T400:X400)&gt;0)))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IF(ISBLANK($C400),"",IF(V400=Constants!$B$3,TRUE(),IF(V400=Constants!$B$4,FALSE(),TRUE())))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IF(ISBLANK($C400),"",IF(X400=Constants!$B$3,TRUE(),IF(X400=Constants!$B$4,FALSE(),FALSE())))</f>
        <v/>
      </c>
      <c r="AZ400" s="93" t="str">
        <f aca="false">IF(ISBLANK($C400),"",MIN(Constants!$B$31,MAX(0,IF(ISNUMBER(Y400),Y400*60,0)+IF(ISNUMBER(Z400),Z400,0))))</f>
        <v/>
      </c>
      <c r="BA400" s="93" t="str">
        <f aca="false">IF(ISBLANK($C400),"",IF(AA400=Constants!$B$3,TRUE(),IF(AA400=Constants!$B$4,FALSE(),FALSE())))</f>
        <v/>
      </c>
      <c r="BB400" s="92" t="str">
        <f aca="false">IF(ISBLANK($C400),"",AND($AL400,OR($AM400="",$AN400="",AND($AO400,$AP400=""))))</f>
        <v/>
      </c>
      <c r="BC400" s="94" t="str">
        <f aca="false">IF($BZ400&lt;&gt;Constants!$B$8,"",IF($AL400,Constants!$B$21*$AN400+Constants!$B$22*IF($AO400,$AP400,Constants!$B$23),Constants!$B$24))</f>
        <v/>
      </c>
      <c r="BD400" s="97" t="str">
        <f aca="false">IF($BZ400&lt;&gt;Constants!$B$8,"",Constants!$B$25*ABS($AD$9-IF($AL400,$AM400,0)))</f>
        <v/>
      </c>
      <c r="BE400" s="97" t="str">
        <f aca="false">IF($BZ400&lt;&gt;Constants!$B$8,"",IF(AND($AL400,$AQ400,$AO400),Constants!$B$27,0))</f>
        <v/>
      </c>
      <c r="BF400" s="97" t="str">
        <f aca="false">IF($BZ400&lt;&gt;Constants!$B$8,"",IF($AL400,($AI400-Constants!$B$29)*Constants!$B$28,0))</f>
        <v/>
      </c>
      <c r="BG400" s="97" t="str">
        <f aca="false">IF($BZ400&lt;&gt;Constants!$B$8,"",IF($AK400,0,Constants!$B$15)+IF($AJ400,0,Constants!$B$16)+IF($AH400,0,Constants!$B$17))</f>
        <v/>
      </c>
      <c r="BH400" s="98" t="str">
        <f aca="false">IF($BZ400&lt;&gt;Constants!$B$8,"",Constants!$B$20+SUM($BC400:$BG400))</f>
        <v/>
      </c>
      <c r="BI400" s="97" t="str">
        <f aca="false">IF($BZ400&lt;&gt;Constants!$B$8,"",$BC400)</f>
        <v/>
      </c>
      <c r="BJ400" s="97" t="str">
        <f aca="false">IF($BZ400&lt;&gt;Constants!$B$8,"",$BD400)</f>
        <v/>
      </c>
      <c r="BK400" s="97" t="str">
        <f aca="false">IF($BZ400&lt;&gt;Constants!$B$8,"",IF($AL400,$AN400,""))</f>
        <v/>
      </c>
      <c r="BL400" s="99" t="str">
        <f aca="false">IF($BZ400&lt;&gt;Constants!$B$8,"",$AI400)</f>
        <v/>
      </c>
      <c r="BM400" s="93" t="str">
        <f aca="false">IF($BZ400&lt;&gt;Constants!$B$8,"",IF(OR($BT400&lt;$BH400,AND($BT400=$BH400,OR($BU400&lt;$BI400,AND($BU400=$BI400,OR($BV400&lt;$BJ400,AND($BV400=$BJ400,OR(AND(ISNUMBER($BW400),OR(NOT(ISNUMBER($BK400)),$BW400&lt;$BK400)),AND(OR(AND($BW400="",$BK400=""),AND(ISNUMBER($BW400),ISNUMBER($BK400),$BW400=$BK400)),$BX400&lt;$BL400)))))))),"-&gt;","&lt;-"))</f>
        <v/>
      </c>
      <c r="BN400" s="92" t="str">
        <f aca="false">IF(ISBLANK($C400),"",AND($AT400,OR($AU400="",$AV400="",AND($AW400,$AX400=""))))</f>
        <v/>
      </c>
      <c r="BO400" s="94" t="str">
        <f aca="false">IF($BZ400&lt;&gt;Constants!$B$8,"",IF($AT400,Constants!$B$21*$AV400+Constants!$B$22*IF($AW400,$AX400,Constants!$B$23),Constants!$B$24))</f>
        <v/>
      </c>
      <c r="BP400" s="97" t="str">
        <f aca="false">IF($BZ400&lt;&gt;Constants!$B$8,"",Constants!$B$25*ABS($AD$9-IF($AT400,$AU400,0)))</f>
        <v/>
      </c>
      <c r="BQ400" s="97" t="str">
        <f aca="false">IF($BZ400&lt;&gt;Constants!$B$8,"",IF(AND($AT400,$AY400,$AW400),Constants!$B$27,0))</f>
        <v/>
      </c>
      <c r="BR400" s="97" t="str">
        <f aca="false">IF($BZ400&lt;&gt;Constants!$B$8,"",IF($AT400,($AI400-Constants!$B$29)*Constants!$B$28,0))</f>
        <v/>
      </c>
      <c r="BS400" s="97" t="str">
        <f aca="false">IF($BZ400&lt;&gt;Constants!$B$8,"",IF($AS400,0,Constants!$B$15)+IF($AR400,0,Constants!$B$16)+IF($AH400,0,Constants!$B$17))</f>
        <v/>
      </c>
      <c r="BT400" s="98" t="str">
        <f aca="false">IF($BZ400&lt;&gt;Constants!$B$8,"",Constants!$B$20+SUM($BO400:$BS400))</f>
        <v/>
      </c>
      <c r="BU400" s="97" t="str">
        <f aca="false">IF($BZ400&lt;&gt;Constants!$B$8,"",$BO400)</f>
        <v/>
      </c>
      <c r="BV400" s="97" t="str">
        <f aca="false">IF($BZ400&lt;&gt;Constants!$B$8,"",$BP400)</f>
        <v/>
      </c>
      <c r="BW400" s="97" t="str">
        <f aca="false">IF($BZ400&lt;&gt;Constants!$B$8,"",IF($AT400,$AV400,""))</f>
        <v/>
      </c>
      <c r="BX400" s="99" t="str">
        <f aca="false">IF($BZ400&lt;&gt;Constants!$B$8,"",$AI400)</f>
        <v/>
      </c>
      <c r="BY400" s="93" t="str">
        <f aca="false">IF(ISBLANK($C400),"",IF(ISBLANK($D$7),$BY$5,IF(NOT(ISNUMBER($D$7)),$BY$6,"")))</f>
        <v/>
      </c>
      <c r="BZ400" s="93" t="str">
        <f aca="false">IF(ISBLANK($C400),"",IF($BA400,Constants!$B$11,IF(COUNTA($E400:$AA400)=0,Constants!$B$10,IF(NOT($AG400),Constants!$B$9,IF(OR($BY400&lt;&gt;"",$BB400,$BN400),Constants!$B$12,Constants!$B$8)))))</f>
        <v/>
      </c>
      <c r="CA400" s="93" t="str">
        <f aca="false">IF(ISBLANK($C400),"",IF($BZ400&lt;&gt;Constants!$B$8,$BZ400,Constants!$B$13))</f>
        <v/>
      </c>
      <c r="CB400" s="97" t="str">
        <f aca="false">IF($BZ400&lt;&gt;Constants!$B$8,"",IF($BM400="-&gt;",$BT400,$BH400))</f>
        <v/>
      </c>
      <c r="CC400" s="97" t="str">
        <f aca="false">IF($BZ400&lt;&gt;Constants!$B$8,"",IF($AF400,0,Constants!$B$18))</f>
        <v/>
      </c>
      <c r="CD400" s="97" t="str">
        <f aca="false">IF($BZ400&lt;&gt;Constants!$B$8,"",((Constants!$B$31-$AZ400)-Constants!$B$31)/Constants!$B$32)</f>
        <v/>
      </c>
      <c r="CE400" s="97" t="str">
        <f aca="false">IF(ISBLANK($C400),"",IF($BZ400&lt;&gt;Constants!$B$8,$BZ400,SUM($CB400:$CD400)))</f>
        <v/>
      </c>
      <c r="CF400" s="93" t="str">
        <f aca="false">IF(ISBLANK($C400),"",IF($BZ400&lt;&gt;Constants!$B$8,$BZ400,RANK($CE400,$CE$9:$CE$508,1)))</f>
        <v/>
      </c>
      <c r="CG400" s="97" t="str">
        <f aca="false">IF($BZ400&lt;&gt;Constants!$B$8,"",IF($BM400="-&gt;",$BU400,$BI400))</f>
        <v/>
      </c>
      <c r="CH400" s="93" t="str">
        <f aca="false">IF(ISBLANK($C400),"",IF($BZ400&lt;&gt;Constants!$B$8,$BZ400,IF(ISNUMBER($CG400),RANK($CG400,$CG$9:$CG$508,1),COUNT($CG$9:$CG$508)+1)))</f>
        <v/>
      </c>
      <c r="CI400" s="97" t="str">
        <f aca="false">IF($BZ400&lt;&gt;Constants!$B$8,"",IF($BM400="-&gt;",$BV400,$BJ400))</f>
        <v/>
      </c>
      <c r="CJ400" s="93" t="str">
        <f aca="false">IF(ISBLANK($C400),"",IF($BZ400&lt;&gt;Constants!$B$8,$BZ400,IF(ISNUMBER($CI400),RANK($CI400,$CI$9:$CI$508,1),COUNT($CI$9:$CI$508)+1)))</f>
        <v/>
      </c>
      <c r="CK400" s="97" t="str">
        <f aca="false">IF($BZ400&lt;&gt;Constants!$B$8,"",IF($BM400="-&gt;",$BW400,$BK400))</f>
        <v/>
      </c>
      <c r="CL400" s="93" t="str">
        <f aca="false">IF(ISBLANK($C400),"",IF($BZ400&lt;&gt;Constants!$B$8,$BZ400,IF(ISNUMBER($CK400),RANK($CK400,$CK$9:$CK$508,1),COUNT($CK$9:$CK$508)+1)))</f>
        <v/>
      </c>
      <c r="CM400" s="97" t="str">
        <f aca="false">IF($BZ400&lt;&gt;Constants!$B$8,"",IF(AND(NOT($AL400),NOT($AT400),$AJ400,$AK400,$AR400,$AS400),"",IF($BM400="-&gt;",$BX400,$BL400)))</f>
        <v/>
      </c>
      <c r="CN400" s="93" t="str">
        <f aca="false">IF(ISBLANK($C400),"",IF($BZ400&lt;&gt;Constants!$B$8,$BZ400,IF(ISNUMBER($CM400),RANK($CM400,$CM$9:$CM$508,1),COUNT($CM$9:$CM$508)+1)))</f>
        <v/>
      </c>
      <c r="CO400" s="93" t="str">
        <f aca="false">IF(ISBLANK($C400),"",IF($BZ400&lt;&gt;Constants!$B$8,$BZ400,COUNTIFS($CF$9:$CF$508,"&lt;"&amp;$CF400)+COUNTIFS($CF$9:$CF$508,$CF400,$CH$9:$CH$508,"&lt;"&amp;$CH400)+COUNTIFS($CF$9:$CF$508,$CF400,$CH$9:$CH$508,$CH400,$CJ$9:$CJ$508,"&lt;"&amp;$CJ400)+COUNTIFS($CF$9:$CF$508,$CF400,$CH$9:$CH$508,$CH400,$CJ$9:$CJ$508,$CJ400,$CL$9:$CL$508,"&lt;"&amp;$CL400)+COUNTIFS($CF$9:$CF$508,$CF400,$CH$9:$CH$508,$CH400,$CJ$9:$CJ$508,$CJ400,$CL$9:$CL$508,$CL400,$CN$9:$CN$508,"&lt;"&amp;$CN400)+1))</f>
        <v/>
      </c>
      <c r="CP400" s="93" t="str">
        <f aca="false">IF(ISBLANK($C400),"",IF($BZ400&lt;&gt;Constants!$B$8,$BZ400,$CF400-$CO400))</f>
        <v/>
      </c>
      <c r="CQ400" s="100"/>
      <c r="CR400" s="101"/>
      <c r="CS400" s="102" t="str">
        <f aca="false">IF(ISBLANK($C400),"",IF($BZ400=Constants!$B$12,$BY400,""))</f>
        <v/>
      </c>
      <c r="CT400" s="101" t="str">
        <f aca="false">IF(ISBLANK($C400),"",IF($BZ400&lt;&gt;Constants!$B$8,"",IF($BM400="-&gt;",2,1)))</f>
        <v/>
      </c>
      <c r="CU400" s="103" t="str">
        <f aca="false">IF(ISBLANK($C400),"",IF($BZ400&lt;&gt;Constants!$B$8,"",IF($BM400="-&gt;",$BO400,$BC400)))</f>
        <v/>
      </c>
      <c r="CV400" s="103" t="str">
        <f aca="false">IF(ISBLANK($C400),"",IF($BZ400&lt;&gt;Constants!$B$8,"",IF($BM400="-&gt;",$BP400,$BD400)))</f>
        <v/>
      </c>
      <c r="CW400" s="103" t="str">
        <f aca="false">IF(ISBLANK($C400),"",IF($BZ400&lt;&gt;Constants!$B$8,"",IF($BM400="-&gt;",$BQ400+$BR400,$BE400+$BF400)+$CD400))</f>
        <v/>
      </c>
      <c r="CX400" s="103" t="str">
        <f aca="false">IF(ISBLANK($C400),"",IF($BZ400&lt;&gt;Constants!$B$8,"",IF($BM400="-&gt;",$BS400,$BG400)+$CC400))</f>
        <v/>
      </c>
      <c r="CY400" s="104" t="str">
        <f aca="false">IF(ISBLANK($C400),"",IF($BZ400&lt;&gt;Constants!$B$8,$BZ400,$CE400))</f>
        <v/>
      </c>
      <c r="CZ400" s="105" t="str">
        <f aca="false">IF(ISBLANK($C400),"",$CA400)</f>
        <v/>
      </c>
      <c r="DA400" s="106" t="str">
        <f aca="false">IF(ISBLANK($C400),"",$CP400)</f>
        <v/>
      </c>
      <c r="DB400" s="106" t="str">
        <f aca="false">IF(ISBLANK($C400),"",$CO400)</f>
        <v/>
      </c>
      <c r="DC400" s="107" t="str">
        <f aca="false">IF(ISBLANK($C400),"",IFERROR(_xlfn.SWITCH($DB400,Constants!$B$11,COUNTA($C$9:$C$508)+2,Constants!$B$10,COUNTA($C$9:$C$508)+1,Constants!$B$9,COUNTA($C$9:$C$508)),$DB400))</f>
        <v/>
      </c>
      <c r="DD400" s="9"/>
      <c r="DE400" s="108" t="n">
        <f aca="false">IF(OR(ISNUMBER($DB400),$DB400=Constants!$B$11,$DB400=Constants!$B$9,$DB400=Constants!$B$10),1,0)</f>
        <v>0</v>
      </c>
      <c r="DF400" s="108" t="n">
        <v>392</v>
      </c>
      <c r="DG400" s="108" t="str">
        <f aca="false">IF(ISBLANK($C400),"",IF(ISNUMBER($DC400),$DC400+ROW($B400)/1000,""))</f>
        <v/>
      </c>
      <c r="DH400" s="108" t="str">
        <f aca="false">IF(ISNUMBER($DG400),RANK($DG400,$DG$9:$DG$508,1),"")</f>
        <v/>
      </c>
      <c r="DI400" s="108" t="str">
        <f aca="false">IF(ISBLANK($C400),"",$B400)</f>
        <v/>
      </c>
      <c r="DJ400" s="108" t="str">
        <f aca="false">IF(ISBLANK($C400),"",$C400)</f>
        <v/>
      </c>
      <c r="DK400" s="108" t="str">
        <f aca="false">IF(ISBLANK($C400),"",$D400)</f>
        <v/>
      </c>
      <c r="DL400" s="109" t="str">
        <f aca="false">$CZ400</f>
        <v/>
      </c>
      <c r="DM400" s="110" t="str">
        <f aca="false">$CY400</f>
        <v/>
      </c>
      <c r="DN400" s="108" t="str">
        <f aca="false">IF(ISBLANK($C400),"",$DB400)</f>
        <v/>
      </c>
      <c r="DO400" s="111" t="str">
        <f aca="false">IF($DF400&gt;$DE$8,"",VLOOKUP($DF400,$DH$9:$DN$508,7,FALSE()))</f>
        <v/>
      </c>
      <c r="DP400" s="112" t="str">
        <f aca="false">IF($DF400&gt;$DE$8,"",VLOOKUP($DF400,$DH$9:$DN$508,2,FALSE()))</f>
        <v/>
      </c>
      <c r="DQ400" s="112" t="str">
        <f aca="false">IF($DF400&gt;$DE$8,"",VLOOKUP($DF400,$DH$9:$DN$508,3,FALSE()))</f>
        <v/>
      </c>
      <c r="DR400" s="112" t="str">
        <f aca="false">IF($DF400&gt;$DE$8,"",VLOOKUP($DF400,$DH$9:$DN$508,4,FALSE()))</f>
        <v/>
      </c>
      <c r="DS400" s="112" t="str">
        <f aca="false">IF($DF400&gt;$DE$8,"",VLOOKUP($DF400,$DH$9:$DN$508,5,FALSE()))</f>
        <v/>
      </c>
      <c r="DT400" s="113" t="str">
        <f aca="false">IF($DF400&gt;$DE$8,"",VLOOKUP($DF400,$DH$9:$DN$508,6,FALSE()))</f>
        <v/>
      </c>
      <c r="DU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IF(ISBLANK($C401),"",IF(E401=Constants!$B$3,TRUE(),IF(E401=Constants!$B$4,FALSE(),TRUE())))</f>
        <v/>
      </c>
      <c r="AG401" s="93" t="str">
        <f aca="false">IF(ISBLANK($C401),"",IF(F401=Constants!$B$3,TRUE(),IF(F401=Constants!$B$4,FALSE(),TRUE())))</f>
        <v/>
      </c>
      <c r="AH401" s="93" t="str">
        <f aca="false">IF(ISBLANK($C401),"",IF(G401=Constants!$B$3,TRUE(),IF(G401=Constants!$B$4,FALSE(),TRUE())))</f>
        <v/>
      </c>
      <c r="AI401" s="93" t="str">
        <f aca="false">IF(ISBLANK($C401),"",IF(AND(ISNUMBER(H401),H401&gt;=0),H401,Constants!$B$29))</f>
        <v/>
      </c>
      <c r="AJ401" s="93" t="str">
        <f aca="false">IF(ISBLANK($C401),"",IF(I401=Constants!$B$3,TRUE(),IF(I401=Constants!$B$4,FALSE(),TRUE())))</f>
        <v/>
      </c>
      <c r="AK401" s="93" t="str">
        <f aca="false">IF(ISBLANK($C401),"",IF(J401=Constants!$B$3,TRUE(),IF(J401=Constants!$B$4,FALSE(),TRUE())))</f>
        <v/>
      </c>
      <c r="AL401" s="93" t="str">
        <f aca="false">IF(ISBLANK($C401),"",IF(K401=Constants!$B$5,TRUE(),IF(K401=Constants!$B$6,FALSE(),COUNTA(L401:P401)&gt;0)))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IF(ISBLANK($C401),"",IF(N401=Constants!$B$3,TRUE(),IF(N401=Constants!$B$4,FALSE(),TRUE())))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IF(ISBLANK($C401),"",IF(P401=Constants!$B$3,TRUE(),IF(P401=Constants!$B$4,FALSE(),FALSE())))</f>
        <v/>
      </c>
      <c r="AR401" s="93" t="str">
        <f aca="false">IF(ISBLANK($C401),"",IF(Q401=Constants!$B$3,TRUE(),IF(Q401=Constants!$B$4,FALSE(),TRUE())))</f>
        <v/>
      </c>
      <c r="AS401" s="93" t="str">
        <f aca="false">IF(ISBLANK($C401),"",IF(R401=Constants!$B$3,TRUE(),IF(R401=Constants!$B$4,FALSE(),TRUE())))</f>
        <v/>
      </c>
      <c r="AT401" s="93" t="str">
        <f aca="false">IF(ISBLANK($C401),"",IF(S401=Constants!$B$5,TRUE(),IF(S401=Constants!$B$6,FALSE(),COUNTA(T401:X401)&gt;0)))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IF(ISBLANK($C401),"",IF(V401=Constants!$B$3,TRUE(),IF(V401=Constants!$B$4,FALSE(),TRUE())))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IF(ISBLANK($C401),"",IF(X401=Constants!$B$3,TRUE(),IF(X401=Constants!$B$4,FALSE(),FALSE())))</f>
        <v/>
      </c>
      <c r="AZ401" s="93" t="str">
        <f aca="false">IF(ISBLANK($C401),"",MIN(Constants!$B$31,MAX(0,IF(ISNUMBER(Y401),Y401*60,0)+IF(ISNUMBER(Z401),Z401,0))))</f>
        <v/>
      </c>
      <c r="BA401" s="93" t="str">
        <f aca="false">IF(ISBLANK($C401),"",IF(AA401=Constants!$B$3,TRUE(),IF(AA401=Constants!$B$4,FALSE(),FALSE())))</f>
        <v/>
      </c>
      <c r="BB401" s="92" t="str">
        <f aca="false">IF(ISBLANK($C401),"",AND($AL401,OR($AM401="",$AN401="",AND($AO401,$AP401=""))))</f>
        <v/>
      </c>
      <c r="BC401" s="94" t="str">
        <f aca="false">IF($BZ401&lt;&gt;Constants!$B$8,"",IF($AL401,Constants!$B$21*$AN401+Constants!$B$22*IF($AO401,$AP401,Constants!$B$23),Constants!$B$24))</f>
        <v/>
      </c>
      <c r="BD401" s="97" t="str">
        <f aca="false">IF($BZ401&lt;&gt;Constants!$B$8,"",Constants!$B$25*ABS($AD$9-IF($AL401,$AM401,0)))</f>
        <v/>
      </c>
      <c r="BE401" s="97" t="str">
        <f aca="false">IF($BZ401&lt;&gt;Constants!$B$8,"",IF(AND($AL401,$AQ401,$AO401),Constants!$B$27,0))</f>
        <v/>
      </c>
      <c r="BF401" s="97" t="str">
        <f aca="false">IF($BZ401&lt;&gt;Constants!$B$8,"",IF($AL401,($AI401-Constants!$B$29)*Constants!$B$28,0))</f>
        <v/>
      </c>
      <c r="BG401" s="97" t="str">
        <f aca="false">IF($BZ401&lt;&gt;Constants!$B$8,"",IF($AK401,0,Constants!$B$15)+IF($AJ401,0,Constants!$B$16)+IF($AH401,0,Constants!$B$17))</f>
        <v/>
      </c>
      <c r="BH401" s="98" t="str">
        <f aca="false">IF($BZ401&lt;&gt;Constants!$B$8,"",Constants!$B$20+SUM($BC401:$BG401))</f>
        <v/>
      </c>
      <c r="BI401" s="97" t="str">
        <f aca="false">IF($BZ401&lt;&gt;Constants!$B$8,"",$BC401)</f>
        <v/>
      </c>
      <c r="BJ401" s="97" t="str">
        <f aca="false">IF($BZ401&lt;&gt;Constants!$B$8,"",$BD401)</f>
        <v/>
      </c>
      <c r="BK401" s="97" t="str">
        <f aca="false">IF($BZ401&lt;&gt;Constants!$B$8,"",IF($AL401,$AN401,""))</f>
        <v/>
      </c>
      <c r="BL401" s="99" t="str">
        <f aca="false">IF($BZ401&lt;&gt;Constants!$B$8,"",$AI401)</f>
        <v/>
      </c>
      <c r="BM401" s="93" t="str">
        <f aca="false">IF($BZ401&lt;&gt;Constants!$B$8,"",IF(OR($BT401&lt;$BH401,AND($BT401=$BH401,OR($BU401&lt;$BI401,AND($BU401=$BI401,OR($BV401&lt;$BJ401,AND($BV401=$BJ401,OR(AND(ISNUMBER($BW401),OR(NOT(ISNUMBER($BK401)),$BW401&lt;$BK401)),AND(OR(AND($BW401="",$BK401=""),AND(ISNUMBER($BW401),ISNUMBER($BK401),$BW401=$BK401)),$BX401&lt;$BL401)))))))),"-&gt;","&lt;-"))</f>
        <v/>
      </c>
      <c r="BN401" s="92" t="str">
        <f aca="false">IF(ISBLANK($C401),"",AND($AT401,OR($AU401="",$AV401="",AND($AW401,$AX401=""))))</f>
        <v/>
      </c>
      <c r="BO401" s="94" t="str">
        <f aca="false">IF($BZ401&lt;&gt;Constants!$B$8,"",IF($AT401,Constants!$B$21*$AV401+Constants!$B$22*IF($AW401,$AX401,Constants!$B$23),Constants!$B$24))</f>
        <v/>
      </c>
      <c r="BP401" s="97" t="str">
        <f aca="false">IF($BZ401&lt;&gt;Constants!$B$8,"",Constants!$B$25*ABS($AD$9-IF($AT401,$AU401,0)))</f>
        <v/>
      </c>
      <c r="BQ401" s="97" t="str">
        <f aca="false">IF($BZ401&lt;&gt;Constants!$B$8,"",IF(AND($AT401,$AY401,$AW401),Constants!$B$27,0))</f>
        <v/>
      </c>
      <c r="BR401" s="97" t="str">
        <f aca="false">IF($BZ401&lt;&gt;Constants!$B$8,"",IF($AT401,($AI401-Constants!$B$29)*Constants!$B$28,0))</f>
        <v/>
      </c>
      <c r="BS401" s="97" t="str">
        <f aca="false">IF($BZ401&lt;&gt;Constants!$B$8,"",IF($AS401,0,Constants!$B$15)+IF($AR401,0,Constants!$B$16)+IF($AH401,0,Constants!$B$17))</f>
        <v/>
      </c>
      <c r="BT401" s="98" t="str">
        <f aca="false">IF($BZ401&lt;&gt;Constants!$B$8,"",Constants!$B$20+SUM($BO401:$BS401))</f>
        <v/>
      </c>
      <c r="BU401" s="97" t="str">
        <f aca="false">IF($BZ401&lt;&gt;Constants!$B$8,"",$BO401)</f>
        <v/>
      </c>
      <c r="BV401" s="97" t="str">
        <f aca="false">IF($BZ401&lt;&gt;Constants!$B$8,"",$BP401)</f>
        <v/>
      </c>
      <c r="BW401" s="97" t="str">
        <f aca="false">IF($BZ401&lt;&gt;Constants!$B$8,"",IF($AT401,$AV401,""))</f>
        <v/>
      </c>
      <c r="BX401" s="99" t="str">
        <f aca="false">IF($BZ401&lt;&gt;Constants!$B$8,"",$AI401)</f>
        <v/>
      </c>
      <c r="BY401" s="93" t="str">
        <f aca="false">IF(ISBLANK($C401),"",IF(ISBLANK($D$7),$BY$5,IF(NOT(ISNUMBER($D$7)),$BY$6,"")))</f>
        <v/>
      </c>
      <c r="BZ401" s="93" t="str">
        <f aca="false">IF(ISBLANK($C401),"",IF($BA401,Constants!$B$11,IF(COUNTA($E401:$AA401)=0,Constants!$B$10,IF(NOT($AG401),Constants!$B$9,IF(OR($BY401&lt;&gt;"",$BB401,$BN401),Constants!$B$12,Constants!$B$8)))))</f>
        <v/>
      </c>
      <c r="CA401" s="93" t="str">
        <f aca="false">IF(ISBLANK($C401),"",IF($BZ401&lt;&gt;Constants!$B$8,$BZ401,Constants!$B$13))</f>
        <v/>
      </c>
      <c r="CB401" s="97" t="str">
        <f aca="false">IF($BZ401&lt;&gt;Constants!$B$8,"",IF($BM401="-&gt;",$BT401,$BH401))</f>
        <v/>
      </c>
      <c r="CC401" s="97" t="str">
        <f aca="false">IF($BZ401&lt;&gt;Constants!$B$8,"",IF($AF401,0,Constants!$B$18))</f>
        <v/>
      </c>
      <c r="CD401" s="97" t="str">
        <f aca="false">IF($BZ401&lt;&gt;Constants!$B$8,"",((Constants!$B$31-$AZ401)-Constants!$B$31)/Constants!$B$32)</f>
        <v/>
      </c>
      <c r="CE401" s="97" t="str">
        <f aca="false">IF(ISBLANK($C401),"",IF($BZ401&lt;&gt;Constants!$B$8,$BZ401,SUM($CB401:$CD401)))</f>
        <v/>
      </c>
      <c r="CF401" s="93" t="str">
        <f aca="false">IF(ISBLANK($C401),"",IF($BZ401&lt;&gt;Constants!$B$8,$BZ401,RANK($CE401,$CE$9:$CE$508,1)))</f>
        <v/>
      </c>
      <c r="CG401" s="97" t="str">
        <f aca="false">IF($BZ401&lt;&gt;Constants!$B$8,"",IF($BM401="-&gt;",$BU401,$BI401))</f>
        <v/>
      </c>
      <c r="CH401" s="93" t="str">
        <f aca="false">IF(ISBLANK($C401),"",IF($BZ401&lt;&gt;Constants!$B$8,$BZ401,IF(ISNUMBER($CG401),RANK($CG401,$CG$9:$CG$508,1),COUNT($CG$9:$CG$508)+1)))</f>
        <v/>
      </c>
      <c r="CI401" s="97" t="str">
        <f aca="false">IF($BZ401&lt;&gt;Constants!$B$8,"",IF($BM401="-&gt;",$BV401,$BJ401))</f>
        <v/>
      </c>
      <c r="CJ401" s="93" t="str">
        <f aca="false">IF(ISBLANK($C401),"",IF($BZ401&lt;&gt;Constants!$B$8,$BZ401,IF(ISNUMBER($CI401),RANK($CI401,$CI$9:$CI$508,1),COUNT($CI$9:$CI$508)+1)))</f>
        <v/>
      </c>
      <c r="CK401" s="97" t="str">
        <f aca="false">IF($BZ401&lt;&gt;Constants!$B$8,"",IF($BM401="-&gt;",$BW401,$BK401))</f>
        <v/>
      </c>
      <c r="CL401" s="93" t="str">
        <f aca="false">IF(ISBLANK($C401),"",IF($BZ401&lt;&gt;Constants!$B$8,$BZ401,IF(ISNUMBER($CK401),RANK($CK401,$CK$9:$CK$508,1),COUNT($CK$9:$CK$508)+1)))</f>
        <v/>
      </c>
      <c r="CM401" s="97" t="str">
        <f aca="false">IF($BZ401&lt;&gt;Constants!$B$8,"",IF(AND(NOT($AL401),NOT($AT401),$AJ401,$AK401,$AR401,$AS401),"",IF($BM401="-&gt;",$BX401,$BL401)))</f>
        <v/>
      </c>
      <c r="CN401" s="93" t="str">
        <f aca="false">IF(ISBLANK($C401),"",IF($BZ401&lt;&gt;Constants!$B$8,$BZ401,IF(ISNUMBER($CM401),RANK($CM401,$CM$9:$CM$508,1),COUNT($CM$9:$CM$508)+1)))</f>
        <v/>
      </c>
      <c r="CO401" s="93" t="str">
        <f aca="false">IF(ISBLANK($C401),"",IF($BZ401&lt;&gt;Constants!$B$8,$BZ401,COUNTIFS($CF$9:$CF$508,"&lt;"&amp;$CF401)+COUNTIFS($CF$9:$CF$508,$CF401,$CH$9:$CH$508,"&lt;"&amp;$CH401)+COUNTIFS($CF$9:$CF$508,$CF401,$CH$9:$CH$508,$CH401,$CJ$9:$CJ$508,"&lt;"&amp;$CJ401)+COUNTIFS($CF$9:$CF$508,$CF401,$CH$9:$CH$508,$CH401,$CJ$9:$CJ$508,$CJ401,$CL$9:$CL$508,"&lt;"&amp;$CL401)+COUNTIFS($CF$9:$CF$508,$CF401,$CH$9:$CH$508,$CH401,$CJ$9:$CJ$508,$CJ401,$CL$9:$CL$508,$CL401,$CN$9:$CN$508,"&lt;"&amp;$CN401)+1))</f>
        <v/>
      </c>
      <c r="CP401" s="93" t="str">
        <f aca="false">IF(ISBLANK($C401),"",IF($BZ401&lt;&gt;Constants!$B$8,$BZ401,$CF401-$CO401))</f>
        <v/>
      </c>
      <c r="CQ401" s="100"/>
      <c r="CR401" s="101"/>
      <c r="CS401" s="102" t="str">
        <f aca="false">IF(ISBLANK($C401),"",IF($BZ401=Constants!$B$12,$BY401,""))</f>
        <v/>
      </c>
      <c r="CT401" s="101" t="str">
        <f aca="false">IF(ISBLANK($C401),"",IF($BZ401&lt;&gt;Constants!$B$8,"",IF($BM401="-&gt;",2,1)))</f>
        <v/>
      </c>
      <c r="CU401" s="103" t="str">
        <f aca="false">IF(ISBLANK($C401),"",IF($BZ401&lt;&gt;Constants!$B$8,"",IF($BM401="-&gt;",$BO401,$BC401)))</f>
        <v/>
      </c>
      <c r="CV401" s="103" t="str">
        <f aca="false">IF(ISBLANK($C401),"",IF($BZ401&lt;&gt;Constants!$B$8,"",IF($BM401="-&gt;",$BP401,$BD401)))</f>
        <v/>
      </c>
      <c r="CW401" s="103" t="str">
        <f aca="false">IF(ISBLANK($C401),"",IF($BZ401&lt;&gt;Constants!$B$8,"",IF($BM401="-&gt;",$BQ401+$BR401,$BE401+$BF401)+$CD401))</f>
        <v/>
      </c>
      <c r="CX401" s="103" t="str">
        <f aca="false">IF(ISBLANK($C401),"",IF($BZ401&lt;&gt;Constants!$B$8,"",IF($BM401="-&gt;",$BS401,$BG401)+$CC401))</f>
        <v/>
      </c>
      <c r="CY401" s="104" t="str">
        <f aca="false">IF(ISBLANK($C401),"",IF($BZ401&lt;&gt;Constants!$B$8,$BZ401,$CE401))</f>
        <v/>
      </c>
      <c r="CZ401" s="105" t="str">
        <f aca="false">IF(ISBLANK($C401),"",$CA401)</f>
        <v/>
      </c>
      <c r="DA401" s="106" t="str">
        <f aca="false">IF(ISBLANK($C401),"",$CP401)</f>
        <v/>
      </c>
      <c r="DB401" s="106" t="str">
        <f aca="false">IF(ISBLANK($C401),"",$CO401)</f>
        <v/>
      </c>
      <c r="DC401" s="107" t="str">
        <f aca="false">IF(ISBLANK($C401),"",IFERROR(_xlfn.SWITCH($DB401,Constants!$B$11,COUNTA($C$9:$C$508)+2,Constants!$B$10,COUNTA($C$9:$C$508)+1,Constants!$B$9,COUNTA($C$9:$C$508)),$DB401))</f>
        <v/>
      </c>
      <c r="DD401" s="9"/>
      <c r="DE401" s="108" t="n">
        <f aca="false">IF(OR(ISNUMBER($DB401),$DB401=Constants!$B$11,$DB401=Constants!$B$9,$DB401=Constants!$B$10),1,0)</f>
        <v>0</v>
      </c>
      <c r="DF401" s="108" t="n">
        <v>393</v>
      </c>
      <c r="DG401" s="108" t="str">
        <f aca="false">IF(ISBLANK($C401),"",IF(ISNUMBER($DC401),$DC401+ROW($B401)/1000,""))</f>
        <v/>
      </c>
      <c r="DH401" s="108" t="str">
        <f aca="false">IF(ISNUMBER($DG401),RANK($DG401,$DG$9:$DG$508,1),"")</f>
        <v/>
      </c>
      <c r="DI401" s="108" t="str">
        <f aca="false">IF(ISBLANK($C401),"",$B401)</f>
        <v/>
      </c>
      <c r="DJ401" s="108" t="str">
        <f aca="false">IF(ISBLANK($C401),"",$C401)</f>
        <v/>
      </c>
      <c r="DK401" s="108" t="str">
        <f aca="false">IF(ISBLANK($C401),"",$D401)</f>
        <v/>
      </c>
      <c r="DL401" s="109" t="str">
        <f aca="false">$CZ401</f>
        <v/>
      </c>
      <c r="DM401" s="110" t="str">
        <f aca="false">$CY401</f>
        <v/>
      </c>
      <c r="DN401" s="108" t="str">
        <f aca="false">IF(ISBLANK($C401),"",$DB401)</f>
        <v/>
      </c>
      <c r="DO401" s="111" t="str">
        <f aca="false">IF($DF401&gt;$DE$8,"",VLOOKUP($DF401,$DH$9:$DN$508,7,FALSE()))</f>
        <v/>
      </c>
      <c r="DP401" s="112" t="str">
        <f aca="false">IF($DF401&gt;$DE$8,"",VLOOKUP($DF401,$DH$9:$DN$508,2,FALSE()))</f>
        <v/>
      </c>
      <c r="DQ401" s="112" t="str">
        <f aca="false">IF($DF401&gt;$DE$8,"",VLOOKUP($DF401,$DH$9:$DN$508,3,FALSE()))</f>
        <v/>
      </c>
      <c r="DR401" s="112" t="str">
        <f aca="false">IF($DF401&gt;$DE$8,"",VLOOKUP($DF401,$DH$9:$DN$508,4,FALSE()))</f>
        <v/>
      </c>
      <c r="DS401" s="112" t="str">
        <f aca="false">IF($DF401&gt;$DE$8,"",VLOOKUP($DF401,$DH$9:$DN$508,5,FALSE()))</f>
        <v/>
      </c>
      <c r="DT401" s="113" t="str">
        <f aca="false">IF($DF401&gt;$DE$8,"",VLOOKUP($DF401,$DH$9:$DN$508,6,FALSE()))</f>
        <v/>
      </c>
      <c r="DU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IF(ISBLANK($C402),"",IF(E402=Constants!$B$3,TRUE(),IF(E402=Constants!$B$4,FALSE(),TRUE())))</f>
        <v/>
      </c>
      <c r="AG402" s="135" t="str">
        <f aca="false">IF(ISBLANK($C402),"",IF(F402=Constants!$B$3,TRUE(),IF(F402=Constants!$B$4,FALSE(),TRUE())))</f>
        <v/>
      </c>
      <c r="AH402" s="135" t="str">
        <f aca="false">IF(ISBLANK($C402),"",IF(G402=Constants!$B$3,TRUE(),IF(G402=Constants!$B$4,FALSE(),TRUE())))</f>
        <v/>
      </c>
      <c r="AI402" s="135" t="str">
        <f aca="false">IF(ISBLANK($C402),"",IF(AND(ISNUMBER(H402),H402&gt;=0),H402,Constants!$B$29))</f>
        <v/>
      </c>
      <c r="AJ402" s="135" t="str">
        <f aca="false">IF(ISBLANK($C402),"",IF(I402=Constants!$B$3,TRUE(),IF(I402=Constants!$B$4,FALSE(),TRUE())))</f>
        <v/>
      </c>
      <c r="AK402" s="135" t="str">
        <f aca="false">IF(ISBLANK($C402),"",IF(J402=Constants!$B$3,TRUE(),IF(J402=Constants!$B$4,FALSE(),TRUE())))</f>
        <v/>
      </c>
      <c r="AL402" s="135" t="str">
        <f aca="false">IF(ISBLANK($C402),"",IF(K402=Constants!$B$5,TRUE(),IF(K402=Constants!$B$6,FALSE(),COUNTA(L402:P402)&gt;0)))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IF(ISBLANK($C402),"",IF(N402=Constants!$B$3,TRUE(),IF(N402=Constants!$B$4,FALSE(),TRUE())))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IF(ISBLANK($C402),"",IF(P402=Constants!$B$3,TRUE(),IF(P402=Constants!$B$4,FALSE(),FALSE())))</f>
        <v/>
      </c>
      <c r="AR402" s="135" t="str">
        <f aca="false">IF(ISBLANK($C402),"",IF(Q402=Constants!$B$3,TRUE(),IF(Q402=Constants!$B$4,FALSE(),TRUE())))</f>
        <v/>
      </c>
      <c r="AS402" s="135" t="str">
        <f aca="false">IF(ISBLANK($C402),"",IF(R402=Constants!$B$3,TRUE(),IF(R402=Constants!$B$4,FALSE(),TRUE())))</f>
        <v/>
      </c>
      <c r="AT402" s="135" t="str">
        <f aca="false">IF(ISBLANK($C402),"",IF(S402=Constants!$B$5,TRUE(),IF(S402=Constants!$B$6,FALSE(),COUNTA(T402:X402)&gt;0)))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IF(ISBLANK($C402),"",IF(V402=Constants!$B$3,TRUE(),IF(V402=Constants!$B$4,FALSE(),TRUE())))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IF(ISBLANK($C402),"",IF(X402=Constants!$B$3,TRUE(),IF(X402=Constants!$B$4,FALSE(),FALSE())))</f>
        <v/>
      </c>
      <c r="AZ402" s="135" t="str">
        <f aca="false">IF(ISBLANK($C402),"",MIN(Constants!$B$31,MAX(0,IF(ISNUMBER(Y402),Y402*60,0)+IF(ISNUMBER(Z402),Z402,0))))</f>
        <v/>
      </c>
      <c r="BA402" s="135" t="str">
        <f aca="false">IF(ISBLANK($C402),"",IF(AA402=Constants!$B$3,TRUE(),IF(AA402=Constants!$B$4,FALSE(),FALSE())))</f>
        <v/>
      </c>
      <c r="BB402" s="134" t="str">
        <f aca="false">IF(ISBLANK($C402),"",AND($AL402,OR($AM402="",$AN402="",AND($AO402,$AP402=""))))</f>
        <v/>
      </c>
      <c r="BC402" s="137" t="str">
        <f aca="false">IF($BZ402&lt;&gt;Constants!$B$8,"",IF($AL402,Constants!$B$21*$AN402+Constants!$B$22*IF($AO402,$AP402,Constants!$B$23),Constants!$B$24))</f>
        <v/>
      </c>
      <c r="BD402" s="138" t="str">
        <f aca="false">IF($BZ402&lt;&gt;Constants!$B$8,"",Constants!$B$25*ABS($AD$9-IF($AL402,$AM402,0)))</f>
        <v/>
      </c>
      <c r="BE402" s="138" t="str">
        <f aca="false">IF($BZ402&lt;&gt;Constants!$B$8,"",IF(AND($AL402,$AQ402,$AO402),Constants!$B$27,0))</f>
        <v/>
      </c>
      <c r="BF402" s="138" t="str">
        <f aca="false">IF($BZ402&lt;&gt;Constants!$B$8,"",IF($AL402,($AI402-Constants!$B$29)*Constants!$B$28,0))</f>
        <v/>
      </c>
      <c r="BG402" s="138" t="str">
        <f aca="false">IF($BZ402&lt;&gt;Constants!$B$8,"",IF($AK402,0,Constants!$B$15)+IF($AJ402,0,Constants!$B$16)+IF($AH402,0,Constants!$B$17))</f>
        <v/>
      </c>
      <c r="BH402" s="139" t="str">
        <f aca="false">IF($BZ402&lt;&gt;Constants!$B$8,"",Constants!$B$20+SUM($BC402:$BG402))</f>
        <v/>
      </c>
      <c r="BI402" s="138" t="str">
        <f aca="false">IF($BZ402&lt;&gt;Constants!$B$8,"",$BC402)</f>
        <v/>
      </c>
      <c r="BJ402" s="138" t="str">
        <f aca="false">IF($BZ402&lt;&gt;Constants!$B$8,"",$BD402)</f>
        <v/>
      </c>
      <c r="BK402" s="138" t="str">
        <f aca="false">IF($BZ402&lt;&gt;Constants!$B$8,"",IF($AL402,$AN402,""))</f>
        <v/>
      </c>
      <c r="BL402" s="140" t="str">
        <f aca="false">IF($BZ402&lt;&gt;Constants!$B$8,"",$AI402)</f>
        <v/>
      </c>
      <c r="BM402" s="135" t="str">
        <f aca="false">IF($BZ402&lt;&gt;Constants!$B$8,"",IF(OR($BT402&lt;$BH402,AND($BT402=$BH402,OR($BU402&lt;$BI402,AND($BU402=$BI402,OR($BV402&lt;$BJ402,AND($BV402=$BJ402,OR(AND(ISNUMBER($BW402),OR(NOT(ISNUMBER($BK402)),$BW402&lt;$BK402)),AND(OR(AND($BW402="",$BK402=""),AND(ISNUMBER($BW402),ISNUMBER($BK402),$BW402=$BK402)),$BX402&lt;$BL402)))))))),"-&gt;","&lt;-"))</f>
        <v/>
      </c>
      <c r="BN402" s="134" t="str">
        <f aca="false">IF(ISBLANK($C402),"",AND($AT402,OR($AU402="",$AV402="",AND($AW402,$AX402=""))))</f>
        <v/>
      </c>
      <c r="BO402" s="137" t="str">
        <f aca="false">IF($BZ402&lt;&gt;Constants!$B$8,"",IF($AT402,Constants!$B$21*$AV402+Constants!$B$22*IF($AW402,$AX402,Constants!$B$23),Constants!$B$24))</f>
        <v/>
      </c>
      <c r="BP402" s="138" t="str">
        <f aca="false">IF($BZ402&lt;&gt;Constants!$B$8,"",Constants!$B$25*ABS($AD$9-IF($AT402,$AU402,0)))</f>
        <v/>
      </c>
      <c r="BQ402" s="138" t="str">
        <f aca="false">IF($BZ402&lt;&gt;Constants!$B$8,"",IF(AND($AT402,$AY402,$AW402),Constants!$B$27,0))</f>
        <v/>
      </c>
      <c r="BR402" s="138" t="str">
        <f aca="false">IF($BZ402&lt;&gt;Constants!$B$8,"",IF($AT402,($AI402-Constants!$B$29)*Constants!$B$28,0))</f>
        <v/>
      </c>
      <c r="BS402" s="138" t="str">
        <f aca="false">IF($BZ402&lt;&gt;Constants!$B$8,"",IF($AS402,0,Constants!$B$15)+IF($AR402,0,Constants!$B$16)+IF($AH402,0,Constants!$B$17))</f>
        <v/>
      </c>
      <c r="BT402" s="139" t="str">
        <f aca="false">IF($BZ402&lt;&gt;Constants!$B$8,"",Constants!$B$20+SUM($BO402:$BS402))</f>
        <v/>
      </c>
      <c r="BU402" s="138" t="str">
        <f aca="false">IF($BZ402&lt;&gt;Constants!$B$8,"",$BO402)</f>
        <v/>
      </c>
      <c r="BV402" s="138" t="str">
        <f aca="false">IF($BZ402&lt;&gt;Constants!$B$8,"",$BP402)</f>
        <v/>
      </c>
      <c r="BW402" s="138" t="str">
        <f aca="false">IF($BZ402&lt;&gt;Constants!$B$8,"",IF($AT402,$AV402,""))</f>
        <v/>
      </c>
      <c r="BX402" s="140" t="str">
        <f aca="false">IF($BZ402&lt;&gt;Constants!$B$8,"",$AI402)</f>
        <v/>
      </c>
      <c r="BY402" s="135" t="str">
        <f aca="false">IF(ISBLANK($C402),"",IF(ISBLANK($D$7),$BY$5,IF(NOT(ISNUMBER($D$7)),$BY$6,"")))</f>
        <v/>
      </c>
      <c r="BZ402" s="135" t="str">
        <f aca="false">IF(ISBLANK($C402),"",IF($BA402,Constants!$B$11,IF(COUNTA($E402:$AA402)=0,Constants!$B$10,IF(NOT($AG402),Constants!$B$9,IF(OR($BY402&lt;&gt;"",$BB402,$BN402),Constants!$B$12,Constants!$B$8)))))</f>
        <v/>
      </c>
      <c r="CA402" s="135" t="str">
        <f aca="false">IF(ISBLANK($C402),"",IF($BZ402&lt;&gt;Constants!$B$8,$BZ402,Constants!$B$13))</f>
        <v/>
      </c>
      <c r="CB402" s="138" t="str">
        <f aca="false">IF($BZ402&lt;&gt;Constants!$B$8,"",IF($BM402="-&gt;",$BT402,$BH402))</f>
        <v/>
      </c>
      <c r="CC402" s="138" t="str">
        <f aca="false">IF($BZ402&lt;&gt;Constants!$B$8,"",IF($AF402,0,Constants!$B$18))</f>
        <v/>
      </c>
      <c r="CD402" s="138" t="str">
        <f aca="false">IF($BZ402&lt;&gt;Constants!$B$8,"",((Constants!$B$31-$AZ402)-Constants!$B$31)/Constants!$B$32)</f>
        <v/>
      </c>
      <c r="CE402" s="138" t="str">
        <f aca="false">IF(ISBLANK($C402),"",IF($BZ402&lt;&gt;Constants!$B$8,$BZ402,SUM($CB402:$CD402)))</f>
        <v/>
      </c>
      <c r="CF402" s="135" t="str">
        <f aca="false">IF(ISBLANK($C402),"",IF($BZ402&lt;&gt;Constants!$B$8,$BZ402,RANK($CE402,$CE$9:$CE$508,1)))</f>
        <v/>
      </c>
      <c r="CG402" s="138" t="str">
        <f aca="false">IF($BZ402&lt;&gt;Constants!$B$8,"",IF($BM402="-&gt;",$BU402,$BI402))</f>
        <v/>
      </c>
      <c r="CH402" s="135" t="str">
        <f aca="false">IF(ISBLANK($C402),"",IF($BZ402&lt;&gt;Constants!$B$8,$BZ402,IF(ISNUMBER($CG402),RANK($CG402,$CG$9:$CG$508,1),COUNT($CG$9:$CG$508)+1)))</f>
        <v/>
      </c>
      <c r="CI402" s="138" t="str">
        <f aca="false">IF($BZ402&lt;&gt;Constants!$B$8,"",IF($BM402="-&gt;",$BV402,$BJ402))</f>
        <v/>
      </c>
      <c r="CJ402" s="135" t="str">
        <f aca="false">IF(ISBLANK($C402),"",IF($BZ402&lt;&gt;Constants!$B$8,$BZ402,IF(ISNUMBER($CI402),RANK($CI402,$CI$9:$CI$508,1),COUNT($CI$9:$CI$508)+1)))</f>
        <v/>
      </c>
      <c r="CK402" s="138" t="str">
        <f aca="false">IF($BZ402&lt;&gt;Constants!$B$8,"",IF($BM402="-&gt;",$BW402,$BK402))</f>
        <v/>
      </c>
      <c r="CL402" s="135" t="str">
        <f aca="false">IF(ISBLANK($C402),"",IF($BZ402&lt;&gt;Constants!$B$8,$BZ402,IF(ISNUMBER($CK402),RANK($CK402,$CK$9:$CK$508,1),COUNT($CK$9:$CK$508)+1)))</f>
        <v/>
      </c>
      <c r="CM402" s="138" t="str">
        <f aca="false">IF($BZ402&lt;&gt;Constants!$B$8,"",IF(AND(NOT($AL402),NOT($AT402),$AJ402,$AK402,$AR402,$AS402),"",IF($BM402="-&gt;",$BX402,$BL402)))</f>
        <v/>
      </c>
      <c r="CN402" s="135" t="str">
        <f aca="false">IF(ISBLANK($C402),"",IF($BZ402&lt;&gt;Constants!$B$8,$BZ402,IF(ISNUMBER($CM402),RANK($CM402,$CM$9:$CM$508,1),COUNT($CM$9:$CM$508)+1)))</f>
        <v/>
      </c>
      <c r="CO402" s="135" t="str">
        <f aca="false">IF(ISBLANK($C402),"",IF($BZ402&lt;&gt;Constants!$B$8,$BZ402,COUNTIFS($CF$9:$CF$508,"&lt;"&amp;$CF402)+COUNTIFS($CF$9:$CF$508,$CF402,$CH$9:$CH$508,"&lt;"&amp;$CH402)+COUNTIFS($CF$9:$CF$508,$CF402,$CH$9:$CH$508,$CH402,$CJ$9:$CJ$508,"&lt;"&amp;$CJ402)+COUNTIFS($CF$9:$CF$508,$CF402,$CH$9:$CH$508,$CH402,$CJ$9:$CJ$508,$CJ402,$CL$9:$CL$508,"&lt;"&amp;$CL402)+COUNTIFS($CF$9:$CF$508,$CF402,$CH$9:$CH$508,$CH402,$CJ$9:$CJ$508,$CJ402,$CL$9:$CL$508,$CL402,$CN$9:$CN$508,"&lt;"&amp;$CN402)+1))</f>
        <v/>
      </c>
      <c r="CP402" s="135" t="str">
        <f aca="false">IF(ISBLANK($C402),"",IF($BZ402&lt;&gt;Constants!$B$8,$BZ402,$CF402-$CO402))</f>
        <v/>
      </c>
      <c r="CQ402" s="141"/>
      <c r="CR402" s="142"/>
      <c r="CS402" s="143" t="str">
        <f aca="false">IF(ISBLANK($C402),"",IF($BZ402=Constants!$B$12,$BY402,""))</f>
        <v/>
      </c>
      <c r="CT402" s="142" t="str">
        <f aca="false">IF(ISBLANK($C402),"",IF($BZ402&lt;&gt;Constants!$B$8,"",IF($BM402="-&gt;",2,1)))</f>
        <v/>
      </c>
      <c r="CU402" s="144" t="str">
        <f aca="false">IF(ISBLANK($C402),"",IF($BZ402&lt;&gt;Constants!$B$8,"",IF($BM402="-&gt;",$BO402,$BC402)))</f>
        <v/>
      </c>
      <c r="CV402" s="144" t="str">
        <f aca="false">IF(ISBLANK($C402),"",IF($BZ402&lt;&gt;Constants!$B$8,"",IF($BM402="-&gt;",$BP402,$BD402)))</f>
        <v/>
      </c>
      <c r="CW402" s="144" t="str">
        <f aca="false">IF(ISBLANK($C402),"",IF($BZ402&lt;&gt;Constants!$B$8,"",IF($BM402="-&gt;",$BQ402+$BR402,$BE402+$BF402)+$CD402))</f>
        <v/>
      </c>
      <c r="CX402" s="144" t="str">
        <f aca="false">IF(ISBLANK($C402),"",IF($BZ402&lt;&gt;Constants!$B$8,"",IF($BM402="-&gt;",$BS402,$BG402)+$CC402))</f>
        <v/>
      </c>
      <c r="CY402" s="145" t="str">
        <f aca="false">IF(ISBLANK($C402),"",IF($BZ402&lt;&gt;Constants!$B$8,$BZ402,$CE402))</f>
        <v/>
      </c>
      <c r="CZ402" s="146" t="str">
        <f aca="false">IF(ISBLANK($C402),"",$CA402)</f>
        <v/>
      </c>
      <c r="DA402" s="147" t="str">
        <f aca="false">IF(ISBLANK($C402),"",$CP402)</f>
        <v/>
      </c>
      <c r="DB402" s="147" t="str">
        <f aca="false">IF(ISBLANK($C402),"",$CO402)</f>
        <v/>
      </c>
      <c r="DC402" s="148" t="str">
        <f aca="false">IF(ISBLANK($C402),"",IFERROR(_xlfn.SWITCH($DB402,Constants!$B$11,COUNTA($C$9:$C$508)+2,Constants!$B$10,COUNTA($C$9:$C$508)+1,Constants!$B$9,COUNTA($C$9:$C$508)),$DB402))</f>
        <v/>
      </c>
      <c r="DD402" s="9"/>
      <c r="DE402" s="149" t="n">
        <f aca="false">IF(OR(ISNUMBER($DB402),$DB402=Constants!$B$11,$DB402=Constants!$B$9,$DB402=Constants!$B$10),1,0)</f>
        <v>0</v>
      </c>
      <c r="DF402" s="149" t="n">
        <v>394</v>
      </c>
      <c r="DG402" s="149" t="str">
        <f aca="false">IF(ISBLANK($C402),"",IF(ISNUMBER($DC402),$DC402+ROW($B402)/1000,""))</f>
        <v/>
      </c>
      <c r="DH402" s="149" t="str">
        <f aca="false">IF(ISNUMBER($DG402),RANK($DG402,$DG$9:$DG$508,1),"")</f>
        <v/>
      </c>
      <c r="DI402" s="149" t="str">
        <f aca="false">IF(ISBLANK($C402),"",$B402)</f>
        <v/>
      </c>
      <c r="DJ402" s="149" t="str">
        <f aca="false">IF(ISBLANK($C402),"",$C402)</f>
        <v/>
      </c>
      <c r="DK402" s="149" t="str">
        <f aca="false">IF(ISBLANK($C402),"",$D402)</f>
        <v/>
      </c>
      <c r="DL402" s="150" t="str">
        <f aca="false">$CZ402</f>
        <v/>
      </c>
      <c r="DM402" s="151" t="str">
        <f aca="false">$CY402</f>
        <v/>
      </c>
      <c r="DN402" s="149" t="str">
        <f aca="false">IF(ISBLANK($C402),"",$DB402)</f>
        <v/>
      </c>
      <c r="DO402" s="152" t="str">
        <f aca="false">IF($DF402&gt;$DE$8,"",VLOOKUP($DF402,$DH$9:$DN$508,7,FALSE()))</f>
        <v/>
      </c>
      <c r="DP402" s="153" t="str">
        <f aca="false">IF($DF402&gt;$DE$8,"",VLOOKUP($DF402,$DH$9:$DN$508,2,FALSE()))</f>
        <v/>
      </c>
      <c r="DQ402" s="153" t="str">
        <f aca="false">IF($DF402&gt;$DE$8,"",VLOOKUP($DF402,$DH$9:$DN$508,3,FALSE()))</f>
        <v/>
      </c>
      <c r="DR402" s="153" t="str">
        <f aca="false">IF($DF402&gt;$DE$8,"",VLOOKUP($DF402,$DH$9:$DN$508,4,FALSE()))</f>
        <v/>
      </c>
      <c r="DS402" s="153" t="str">
        <f aca="false">IF($DF402&gt;$DE$8,"",VLOOKUP($DF402,$DH$9:$DN$508,5,FALSE()))</f>
        <v/>
      </c>
      <c r="DT402" s="154" t="str">
        <f aca="false">IF($DF402&gt;$DE$8,"",VLOOKUP($DF402,$DH$9:$DN$508,6,FALSE()))</f>
        <v/>
      </c>
      <c r="DU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IF(ISBLANK($C403),"",IF(E403=Constants!$B$3,TRUE(),IF(E403=Constants!$B$4,FALSE(),TRUE())))</f>
        <v/>
      </c>
      <c r="AG403" s="135" t="str">
        <f aca="false">IF(ISBLANK($C403),"",IF(F403=Constants!$B$3,TRUE(),IF(F403=Constants!$B$4,FALSE(),TRUE())))</f>
        <v/>
      </c>
      <c r="AH403" s="135" t="str">
        <f aca="false">IF(ISBLANK($C403),"",IF(G403=Constants!$B$3,TRUE(),IF(G403=Constants!$B$4,FALSE(),TRUE())))</f>
        <v/>
      </c>
      <c r="AI403" s="135" t="str">
        <f aca="false">IF(ISBLANK($C403),"",IF(AND(ISNUMBER(H403),H403&gt;=0),H403,Constants!$B$29))</f>
        <v/>
      </c>
      <c r="AJ403" s="135" t="str">
        <f aca="false">IF(ISBLANK($C403),"",IF(I403=Constants!$B$3,TRUE(),IF(I403=Constants!$B$4,FALSE(),TRUE())))</f>
        <v/>
      </c>
      <c r="AK403" s="135" t="str">
        <f aca="false">IF(ISBLANK($C403),"",IF(J403=Constants!$B$3,TRUE(),IF(J403=Constants!$B$4,FALSE(),TRUE())))</f>
        <v/>
      </c>
      <c r="AL403" s="135" t="str">
        <f aca="false">IF(ISBLANK($C403),"",IF(K403=Constants!$B$5,TRUE(),IF(K403=Constants!$B$6,FALSE(),COUNTA(L403:P403)&gt;0)))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IF(ISBLANK($C403),"",IF(N403=Constants!$B$3,TRUE(),IF(N403=Constants!$B$4,FALSE(),TRUE())))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IF(ISBLANK($C403),"",IF(P403=Constants!$B$3,TRUE(),IF(P403=Constants!$B$4,FALSE(),FALSE())))</f>
        <v/>
      </c>
      <c r="AR403" s="135" t="str">
        <f aca="false">IF(ISBLANK($C403),"",IF(Q403=Constants!$B$3,TRUE(),IF(Q403=Constants!$B$4,FALSE(),TRUE())))</f>
        <v/>
      </c>
      <c r="AS403" s="135" t="str">
        <f aca="false">IF(ISBLANK($C403),"",IF(R403=Constants!$B$3,TRUE(),IF(R403=Constants!$B$4,FALSE(),TRUE())))</f>
        <v/>
      </c>
      <c r="AT403" s="135" t="str">
        <f aca="false">IF(ISBLANK($C403),"",IF(S403=Constants!$B$5,TRUE(),IF(S403=Constants!$B$6,FALSE(),COUNTA(T403:X403)&gt;0)))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IF(ISBLANK($C403),"",IF(V403=Constants!$B$3,TRUE(),IF(V403=Constants!$B$4,FALSE(),TRUE())))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IF(ISBLANK($C403),"",IF(X403=Constants!$B$3,TRUE(),IF(X403=Constants!$B$4,FALSE(),FALSE())))</f>
        <v/>
      </c>
      <c r="AZ403" s="135" t="str">
        <f aca="false">IF(ISBLANK($C403),"",MIN(Constants!$B$31,MAX(0,IF(ISNUMBER(Y403),Y403*60,0)+IF(ISNUMBER(Z403),Z403,0))))</f>
        <v/>
      </c>
      <c r="BA403" s="135" t="str">
        <f aca="false">IF(ISBLANK($C403),"",IF(AA403=Constants!$B$3,TRUE(),IF(AA403=Constants!$B$4,FALSE(),FALSE())))</f>
        <v/>
      </c>
      <c r="BB403" s="134" t="str">
        <f aca="false">IF(ISBLANK($C403),"",AND($AL403,OR($AM403="",$AN403="",AND($AO403,$AP403=""))))</f>
        <v/>
      </c>
      <c r="BC403" s="137" t="str">
        <f aca="false">IF($BZ403&lt;&gt;Constants!$B$8,"",IF($AL403,Constants!$B$21*$AN403+Constants!$B$22*IF($AO403,$AP403,Constants!$B$23),Constants!$B$24))</f>
        <v/>
      </c>
      <c r="BD403" s="138" t="str">
        <f aca="false">IF($BZ403&lt;&gt;Constants!$B$8,"",Constants!$B$25*ABS($AD$9-IF($AL403,$AM403,0)))</f>
        <v/>
      </c>
      <c r="BE403" s="138" t="str">
        <f aca="false">IF($BZ403&lt;&gt;Constants!$B$8,"",IF(AND($AL403,$AQ403,$AO403),Constants!$B$27,0))</f>
        <v/>
      </c>
      <c r="BF403" s="138" t="str">
        <f aca="false">IF($BZ403&lt;&gt;Constants!$B$8,"",IF($AL403,($AI403-Constants!$B$29)*Constants!$B$28,0))</f>
        <v/>
      </c>
      <c r="BG403" s="138" t="str">
        <f aca="false">IF($BZ403&lt;&gt;Constants!$B$8,"",IF($AK403,0,Constants!$B$15)+IF($AJ403,0,Constants!$B$16)+IF($AH403,0,Constants!$B$17))</f>
        <v/>
      </c>
      <c r="BH403" s="139" t="str">
        <f aca="false">IF($BZ403&lt;&gt;Constants!$B$8,"",Constants!$B$20+SUM($BC403:$BG403))</f>
        <v/>
      </c>
      <c r="BI403" s="138" t="str">
        <f aca="false">IF($BZ403&lt;&gt;Constants!$B$8,"",$BC403)</f>
        <v/>
      </c>
      <c r="BJ403" s="138" t="str">
        <f aca="false">IF($BZ403&lt;&gt;Constants!$B$8,"",$BD403)</f>
        <v/>
      </c>
      <c r="BK403" s="138" t="str">
        <f aca="false">IF($BZ403&lt;&gt;Constants!$B$8,"",IF($AL403,$AN403,""))</f>
        <v/>
      </c>
      <c r="BL403" s="140" t="str">
        <f aca="false">IF($BZ403&lt;&gt;Constants!$B$8,"",$AI403)</f>
        <v/>
      </c>
      <c r="BM403" s="135" t="str">
        <f aca="false">IF($BZ403&lt;&gt;Constants!$B$8,"",IF(OR($BT403&lt;$BH403,AND($BT403=$BH403,OR($BU403&lt;$BI403,AND($BU403=$BI403,OR($BV403&lt;$BJ403,AND($BV403=$BJ403,OR(AND(ISNUMBER($BW403),OR(NOT(ISNUMBER($BK403)),$BW403&lt;$BK403)),AND(OR(AND($BW403="",$BK403=""),AND(ISNUMBER($BW403),ISNUMBER($BK403),$BW403=$BK403)),$BX403&lt;$BL403)))))))),"-&gt;","&lt;-"))</f>
        <v/>
      </c>
      <c r="BN403" s="134" t="str">
        <f aca="false">IF(ISBLANK($C403),"",AND($AT403,OR($AU403="",$AV403="",AND($AW403,$AX403=""))))</f>
        <v/>
      </c>
      <c r="BO403" s="137" t="str">
        <f aca="false">IF($BZ403&lt;&gt;Constants!$B$8,"",IF($AT403,Constants!$B$21*$AV403+Constants!$B$22*IF($AW403,$AX403,Constants!$B$23),Constants!$B$24))</f>
        <v/>
      </c>
      <c r="BP403" s="138" t="str">
        <f aca="false">IF($BZ403&lt;&gt;Constants!$B$8,"",Constants!$B$25*ABS($AD$9-IF($AT403,$AU403,0)))</f>
        <v/>
      </c>
      <c r="BQ403" s="138" t="str">
        <f aca="false">IF($BZ403&lt;&gt;Constants!$B$8,"",IF(AND($AT403,$AY403,$AW403),Constants!$B$27,0))</f>
        <v/>
      </c>
      <c r="BR403" s="138" t="str">
        <f aca="false">IF($BZ403&lt;&gt;Constants!$B$8,"",IF($AT403,($AI403-Constants!$B$29)*Constants!$B$28,0))</f>
        <v/>
      </c>
      <c r="BS403" s="138" t="str">
        <f aca="false">IF($BZ403&lt;&gt;Constants!$B$8,"",IF($AS403,0,Constants!$B$15)+IF($AR403,0,Constants!$B$16)+IF($AH403,0,Constants!$B$17))</f>
        <v/>
      </c>
      <c r="BT403" s="139" t="str">
        <f aca="false">IF($BZ403&lt;&gt;Constants!$B$8,"",Constants!$B$20+SUM($BO403:$BS403))</f>
        <v/>
      </c>
      <c r="BU403" s="138" t="str">
        <f aca="false">IF($BZ403&lt;&gt;Constants!$B$8,"",$BO403)</f>
        <v/>
      </c>
      <c r="BV403" s="138" t="str">
        <f aca="false">IF($BZ403&lt;&gt;Constants!$B$8,"",$BP403)</f>
        <v/>
      </c>
      <c r="BW403" s="138" t="str">
        <f aca="false">IF($BZ403&lt;&gt;Constants!$B$8,"",IF($AT403,$AV403,""))</f>
        <v/>
      </c>
      <c r="BX403" s="140" t="str">
        <f aca="false">IF($BZ403&lt;&gt;Constants!$B$8,"",$AI403)</f>
        <v/>
      </c>
      <c r="BY403" s="135" t="str">
        <f aca="false">IF(ISBLANK($C403),"",IF(ISBLANK($D$7),$BY$5,IF(NOT(ISNUMBER($D$7)),$BY$6,"")))</f>
        <v/>
      </c>
      <c r="BZ403" s="135" t="str">
        <f aca="false">IF(ISBLANK($C403),"",IF($BA403,Constants!$B$11,IF(COUNTA($E403:$AA403)=0,Constants!$B$10,IF(NOT($AG403),Constants!$B$9,IF(OR($BY403&lt;&gt;"",$BB403,$BN403),Constants!$B$12,Constants!$B$8)))))</f>
        <v/>
      </c>
      <c r="CA403" s="135" t="str">
        <f aca="false">IF(ISBLANK($C403),"",IF($BZ403&lt;&gt;Constants!$B$8,$BZ403,Constants!$B$13))</f>
        <v/>
      </c>
      <c r="CB403" s="138" t="str">
        <f aca="false">IF($BZ403&lt;&gt;Constants!$B$8,"",IF($BM403="-&gt;",$BT403,$BH403))</f>
        <v/>
      </c>
      <c r="CC403" s="138" t="str">
        <f aca="false">IF($BZ403&lt;&gt;Constants!$B$8,"",IF($AF403,0,Constants!$B$18))</f>
        <v/>
      </c>
      <c r="CD403" s="138" t="str">
        <f aca="false">IF($BZ403&lt;&gt;Constants!$B$8,"",((Constants!$B$31-$AZ403)-Constants!$B$31)/Constants!$B$32)</f>
        <v/>
      </c>
      <c r="CE403" s="138" t="str">
        <f aca="false">IF(ISBLANK($C403),"",IF($BZ403&lt;&gt;Constants!$B$8,$BZ403,SUM($CB403:$CD403)))</f>
        <v/>
      </c>
      <c r="CF403" s="135" t="str">
        <f aca="false">IF(ISBLANK($C403),"",IF($BZ403&lt;&gt;Constants!$B$8,$BZ403,RANK($CE403,$CE$9:$CE$508,1)))</f>
        <v/>
      </c>
      <c r="CG403" s="138" t="str">
        <f aca="false">IF($BZ403&lt;&gt;Constants!$B$8,"",IF($BM403="-&gt;",$BU403,$BI403))</f>
        <v/>
      </c>
      <c r="CH403" s="135" t="str">
        <f aca="false">IF(ISBLANK($C403),"",IF($BZ403&lt;&gt;Constants!$B$8,$BZ403,IF(ISNUMBER($CG403),RANK($CG403,$CG$9:$CG$508,1),COUNT($CG$9:$CG$508)+1)))</f>
        <v/>
      </c>
      <c r="CI403" s="138" t="str">
        <f aca="false">IF($BZ403&lt;&gt;Constants!$B$8,"",IF($BM403="-&gt;",$BV403,$BJ403))</f>
        <v/>
      </c>
      <c r="CJ403" s="135" t="str">
        <f aca="false">IF(ISBLANK($C403),"",IF($BZ403&lt;&gt;Constants!$B$8,$BZ403,IF(ISNUMBER($CI403),RANK($CI403,$CI$9:$CI$508,1),COUNT($CI$9:$CI$508)+1)))</f>
        <v/>
      </c>
      <c r="CK403" s="138" t="str">
        <f aca="false">IF($BZ403&lt;&gt;Constants!$B$8,"",IF($BM403="-&gt;",$BW403,$BK403))</f>
        <v/>
      </c>
      <c r="CL403" s="135" t="str">
        <f aca="false">IF(ISBLANK($C403),"",IF($BZ403&lt;&gt;Constants!$B$8,$BZ403,IF(ISNUMBER($CK403),RANK($CK403,$CK$9:$CK$508,1),COUNT($CK$9:$CK$508)+1)))</f>
        <v/>
      </c>
      <c r="CM403" s="138" t="str">
        <f aca="false">IF($BZ403&lt;&gt;Constants!$B$8,"",IF(AND(NOT($AL403),NOT($AT403),$AJ403,$AK403,$AR403,$AS403),"",IF($BM403="-&gt;",$BX403,$BL403)))</f>
        <v/>
      </c>
      <c r="CN403" s="135" t="str">
        <f aca="false">IF(ISBLANK($C403),"",IF($BZ403&lt;&gt;Constants!$B$8,$BZ403,IF(ISNUMBER($CM403),RANK($CM403,$CM$9:$CM$508,1),COUNT($CM$9:$CM$508)+1)))</f>
        <v/>
      </c>
      <c r="CO403" s="135" t="str">
        <f aca="false">IF(ISBLANK($C403),"",IF($BZ403&lt;&gt;Constants!$B$8,$BZ403,COUNTIFS($CF$9:$CF$508,"&lt;"&amp;$CF403)+COUNTIFS($CF$9:$CF$508,$CF403,$CH$9:$CH$508,"&lt;"&amp;$CH403)+COUNTIFS($CF$9:$CF$508,$CF403,$CH$9:$CH$508,$CH403,$CJ$9:$CJ$508,"&lt;"&amp;$CJ403)+COUNTIFS($CF$9:$CF$508,$CF403,$CH$9:$CH$508,$CH403,$CJ$9:$CJ$508,$CJ403,$CL$9:$CL$508,"&lt;"&amp;$CL403)+COUNTIFS($CF$9:$CF$508,$CF403,$CH$9:$CH$508,$CH403,$CJ$9:$CJ$508,$CJ403,$CL$9:$CL$508,$CL403,$CN$9:$CN$508,"&lt;"&amp;$CN403)+1))</f>
        <v/>
      </c>
      <c r="CP403" s="135" t="str">
        <f aca="false">IF(ISBLANK($C403),"",IF($BZ403&lt;&gt;Constants!$B$8,$BZ403,$CF403-$CO403))</f>
        <v/>
      </c>
      <c r="CQ403" s="141"/>
      <c r="CR403" s="142"/>
      <c r="CS403" s="143" t="str">
        <f aca="false">IF(ISBLANK($C403),"",IF($BZ403=Constants!$B$12,$BY403,""))</f>
        <v/>
      </c>
      <c r="CT403" s="142" t="str">
        <f aca="false">IF(ISBLANK($C403),"",IF($BZ403&lt;&gt;Constants!$B$8,"",IF($BM403="-&gt;",2,1)))</f>
        <v/>
      </c>
      <c r="CU403" s="144" t="str">
        <f aca="false">IF(ISBLANK($C403),"",IF($BZ403&lt;&gt;Constants!$B$8,"",IF($BM403="-&gt;",$BO403,$BC403)))</f>
        <v/>
      </c>
      <c r="CV403" s="144" t="str">
        <f aca="false">IF(ISBLANK($C403),"",IF($BZ403&lt;&gt;Constants!$B$8,"",IF($BM403="-&gt;",$BP403,$BD403)))</f>
        <v/>
      </c>
      <c r="CW403" s="144" t="str">
        <f aca="false">IF(ISBLANK($C403),"",IF($BZ403&lt;&gt;Constants!$B$8,"",IF($BM403="-&gt;",$BQ403+$BR403,$BE403+$BF403)+$CD403))</f>
        <v/>
      </c>
      <c r="CX403" s="144" t="str">
        <f aca="false">IF(ISBLANK($C403),"",IF($BZ403&lt;&gt;Constants!$B$8,"",IF($BM403="-&gt;",$BS403,$BG403)+$CC403))</f>
        <v/>
      </c>
      <c r="CY403" s="145" t="str">
        <f aca="false">IF(ISBLANK($C403),"",IF($BZ403&lt;&gt;Constants!$B$8,$BZ403,$CE403))</f>
        <v/>
      </c>
      <c r="CZ403" s="146" t="str">
        <f aca="false">IF(ISBLANK($C403),"",$CA403)</f>
        <v/>
      </c>
      <c r="DA403" s="147" t="str">
        <f aca="false">IF(ISBLANK($C403),"",$CP403)</f>
        <v/>
      </c>
      <c r="DB403" s="147" t="str">
        <f aca="false">IF(ISBLANK($C403),"",$CO403)</f>
        <v/>
      </c>
      <c r="DC403" s="148" t="str">
        <f aca="false">IF(ISBLANK($C403),"",IFERROR(_xlfn.SWITCH($DB403,Constants!$B$11,COUNTA($C$9:$C$508)+2,Constants!$B$10,COUNTA($C$9:$C$508)+1,Constants!$B$9,COUNTA($C$9:$C$508)),$DB403))</f>
        <v/>
      </c>
      <c r="DD403" s="9"/>
      <c r="DE403" s="149" t="n">
        <f aca="false">IF(OR(ISNUMBER($DB403),$DB403=Constants!$B$11,$DB403=Constants!$B$9,$DB403=Constants!$B$10),1,0)</f>
        <v>0</v>
      </c>
      <c r="DF403" s="149" t="n">
        <v>395</v>
      </c>
      <c r="DG403" s="149" t="str">
        <f aca="false">IF(ISBLANK($C403),"",IF(ISNUMBER($DC403),$DC403+ROW($B403)/1000,""))</f>
        <v/>
      </c>
      <c r="DH403" s="149" t="str">
        <f aca="false">IF(ISNUMBER($DG403),RANK($DG403,$DG$9:$DG$508,1),"")</f>
        <v/>
      </c>
      <c r="DI403" s="149" t="str">
        <f aca="false">IF(ISBLANK($C403),"",$B403)</f>
        <v/>
      </c>
      <c r="DJ403" s="149" t="str">
        <f aca="false">IF(ISBLANK($C403),"",$C403)</f>
        <v/>
      </c>
      <c r="DK403" s="149" t="str">
        <f aca="false">IF(ISBLANK($C403),"",$D403)</f>
        <v/>
      </c>
      <c r="DL403" s="150" t="str">
        <f aca="false">$CZ403</f>
        <v/>
      </c>
      <c r="DM403" s="151" t="str">
        <f aca="false">$CY403</f>
        <v/>
      </c>
      <c r="DN403" s="149" t="str">
        <f aca="false">IF(ISBLANK($C403),"",$DB403)</f>
        <v/>
      </c>
      <c r="DO403" s="152" t="str">
        <f aca="false">IF($DF403&gt;$DE$8,"",VLOOKUP($DF403,$DH$9:$DN$508,7,FALSE()))</f>
        <v/>
      </c>
      <c r="DP403" s="153" t="str">
        <f aca="false">IF($DF403&gt;$DE$8,"",VLOOKUP($DF403,$DH$9:$DN$508,2,FALSE()))</f>
        <v/>
      </c>
      <c r="DQ403" s="153" t="str">
        <f aca="false">IF($DF403&gt;$DE$8,"",VLOOKUP($DF403,$DH$9:$DN$508,3,FALSE()))</f>
        <v/>
      </c>
      <c r="DR403" s="153" t="str">
        <f aca="false">IF($DF403&gt;$DE$8,"",VLOOKUP($DF403,$DH$9:$DN$508,4,FALSE()))</f>
        <v/>
      </c>
      <c r="DS403" s="153" t="str">
        <f aca="false">IF($DF403&gt;$DE$8,"",VLOOKUP($DF403,$DH$9:$DN$508,5,FALSE()))</f>
        <v/>
      </c>
      <c r="DT403" s="154" t="str">
        <f aca="false">IF($DF403&gt;$DE$8,"",VLOOKUP($DF403,$DH$9:$DN$508,6,FALSE()))</f>
        <v/>
      </c>
      <c r="DU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IF(ISBLANK($C404),"",IF(E404=Constants!$B$3,TRUE(),IF(E404=Constants!$B$4,FALSE(),TRUE())))</f>
        <v/>
      </c>
      <c r="AG404" s="135" t="str">
        <f aca="false">IF(ISBLANK($C404),"",IF(F404=Constants!$B$3,TRUE(),IF(F404=Constants!$B$4,FALSE(),TRUE())))</f>
        <v/>
      </c>
      <c r="AH404" s="135" t="str">
        <f aca="false">IF(ISBLANK($C404),"",IF(G404=Constants!$B$3,TRUE(),IF(G404=Constants!$B$4,FALSE(),TRUE())))</f>
        <v/>
      </c>
      <c r="AI404" s="135" t="str">
        <f aca="false">IF(ISBLANK($C404),"",IF(AND(ISNUMBER(H404),H404&gt;=0),H404,Constants!$B$29))</f>
        <v/>
      </c>
      <c r="AJ404" s="135" t="str">
        <f aca="false">IF(ISBLANK($C404),"",IF(I404=Constants!$B$3,TRUE(),IF(I404=Constants!$B$4,FALSE(),TRUE())))</f>
        <v/>
      </c>
      <c r="AK404" s="135" t="str">
        <f aca="false">IF(ISBLANK($C404),"",IF(J404=Constants!$B$3,TRUE(),IF(J404=Constants!$B$4,FALSE(),TRUE())))</f>
        <v/>
      </c>
      <c r="AL404" s="135" t="str">
        <f aca="false">IF(ISBLANK($C404),"",IF(K404=Constants!$B$5,TRUE(),IF(K404=Constants!$B$6,FALSE(),COUNTA(L404:P404)&gt;0)))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IF(ISBLANK($C404),"",IF(N404=Constants!$B$3,TRUE(),IF(N404=Constants!$B$4,FALSE(),TRUE())))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IF(ISBLANK($C404),"",IF(P404=Constants!$B$3,TRUE(),IF(P404=Constants!$B$4,FALSE(),FALSE())))</f>
        <v/>
      </c>
      <c r="AR404" s="135" t="str">
        <f aca="false">IF(ISBLANK($C404),"",IF(Q404=Constants!$B$3,TRUE(),IF(Q404=Constants!$B$4,FALSE(),TRUE())))</f>
        <v/>
      </c>
      <c r="AS404" s="135" t="str">
        <f aca="false">IF(ISBLANK($C404),"",IF(R404=Constants!$B$3,TRUE(),IF(R404=Constants!$B$4,FALSE(),TRUE())))</f>
        <v/>
      </c>
      <c r="AT404" s="135" t="str">
        <f aca="false">IF(ISBLANK($C404),"",IF(S404=Constants!$B$5,TRUE(),IF(S404=Constants!$B$6,FALSE(),COUNTA(T404:X404)&gt;0)))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IF(ISBLANK($C404),"",IF(V404=Constants!$B$3,TRUE(),IF(V404=Constants!$B$4,FALSE(),TRUE())))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IF(ISBLANK($C404),"",IF(X404=Constants!$B$3,TRUE(),IF(X404=Constants!$B$4,FALSE(),FALSE())))</f>
        <v/>
      </c>
      <c r="AZ404" s="135" t="str">
        <f aca="false">IF(ISBLANK($C404),"",MIN(Constants!$B$31,MAX(0,IF(ISNUMBER(Y404),Y404*60,0)+IF(ISNUMBER(Z404),Z404,0))))</f>
        <v/>
      </c>
      <c r="BA404" s="135" t="str">
        <f aca="false">IF(ISBLANK($C404),"",IF(AA404=Constants!$B$3,TRUE(),IF(AA404=Constants!$B$4,FALSE(),FALSE())))</f>
        <v/>
      </c>
      <c r="BB404" s="134" t="str">
        <f aca="false">IF(ISBLANK($C404),"",AND($AL404,OR($AM404="",$AN404="",AND($AO404,$AP404=""))))</f>
        <v/>
      </c>
      <c r="BC404" s="137" t="str">
        <f aca="false">IF($BZ404&lt;&gt;Constants!$B$8,"",IF($AL404,Constants!$B$21*$AN404+Constants!$B$22*IF($AO404,$AP404,Constants!$B$23),Constants!$B$24))</f>
        <v/>
      </c>
      <c r="BD404" s="138" t="str">
        <f aca="false">IF($BZ404&lt;&gt;Constants!$B$8,"",Constants!$B$25*ABS($AD$9-IF($AL404,$AM404,0)))</f>
        <v/>
      </c>
      <c r="BE404" s="138" t="str">
        <f aca="false">IF($BZ404&lt;&gt;Constants!$B$8,"",IF(AND($AL404,$AQ404,$AO404),Constants!$B$27,0))</f>
        <v/>
      </c>
      <c r="BF404" s="138" t="str">
        <f aca="false">IF($BZ404&lt;&gt;Constants!$B$8,"",IF($AL404,($AI404-Constants!$B$29)*Constants!$B$28,0))</f>
        <v/>
      </c>
      <c r="BG404" s="138" t="str">
        <f aca="false">IF($BZ404&lt;&gt;Constants!$B$8,"",IF($AK404,0,Constants!$B$15)+IF($AJ404,0,Constants!$B$16)+IF($AH404,0,Constants!$B$17))</f>
        <v/>
      </c>
      <c r="BH404" s="139" t="str">
        <f aca="false">IF($BZ404&lt;&gt;Constants!$B$8,"",Constants!$B$20+SUM($BC404:$BG404))</f>
        <v/>
      </c>
      <c r="BI404" s="138" t="str">
        <f aca="false">IF($BZ404&lt;&gt;Constants!$B$8,"",$BC404)</f>
        <v/>
      </c>
      <c r="BJ404" s="138" t="str">
        <f aca="false">IF($BZ404&lt;&gt;Constants!$B$8,"",$BD404)</f>
        <v/>
      </c>
      <c r="BK404" s="138" t="str">
        <f aca="false">IF($BZ404&lt;&gt;Constants!$B$8,"",IF($AL404,$AN404,""))</f>
        <v/>
      </c>
      <c r="BL404" s="140" t="str">
        <f aca="false">IF($BZ404&lt;&gt;Constants!$B$8,"",$AI404)</f>
        <v/>
      </c>
      <c r="BM404" s="135" t="str">
        <f aca="false">IF($BZ404&lt;&gt;Constants!$B$8,"",IF(OR($BT404&lt;$BH404,AND($BT404=$BH404,OR($BU404&lt;$BI404,AND($BU404=$BI404,OR($BV404&lt;$BJ404,AND($BV404=$BJ404,OR(AND(ISNUMBER($BW404),OR(NOT(ISNUMBER($BK404)),$BW404&lt;$BK404)),AND(OR(AND($BW404="",$BK404=""),AND(ISNUMBER($BW404),ISNUMBER($BK404),$BW404=$BK404)),$BX404&lt;$BL404)))))))),"-&gt;","&lt;-"))</f>
        <v/>
      </c>
      <c r="BN404" s="134" t="str">
        <f aca="false">IF(ISBLANK($C404),"",AND($AT404,OR($AU404="",$AV404="",AND($AW404,$AX404=""))))</f>
        <v/>
      </c>
      <c r="BO404" s="137" t="str">
        <f aca="false">IF($BZ404&lt;&gt;Constants!$B$8,"",IF($AT404,Constants!$B$21*$AV404+Constants!$B$22*IF($AW404,$AX404,Constants!$B$23),Constants!$B$24))</f>
        <v/>
      </c>
      <c r="BP404" s="138" t="str">
        <f aca="false">IF($BZ404&lt;&gt;Constants!$B$8,"",Constants!$B$25*ABS($AD$9-IF($AT404,$AU404,0)))</f>
        <v/>
      </c>
      <c r="BQ404" s="138" t="str">
        <f aca="false">IF($BZ404&lt;&gt;Constants!$B$8,"",IF(AND($AT404,$AY404,$AW404),Constants!$B$27,0))</f>
        <v/>
      </c>
      <c r="BR404" s="138" t="str">
        <f aca="false">IF($BZ404&lt;&gt;Constants!$B$8,"",IF($AT404,($AI404-Constants!$B$29)*Constants!$B$28,0))</f>
        <v/>
      </c>
      <c r="BS404" s="138" t="str">
        <f aca="false">IF($BZ404&lt;&gt;Constants!$B$8,"",IF($AS404,0,Constants!$B$15)+IF($AR404,0,Constants!$B$16)+IF($AH404,0,Constants!$B$17))</f>
        <v/>
      </c>
      <c r="BT404" s="139" t="str">
        <f aca="false">IF($BZ404&lt;&gt;Constants!$B$8,"",Constants!$B$20+SUM($BO404:$BS404))</f>
        <v/>
      </c>
      <c r="BU404" s="138" t="str">
        <f aca="false">IF($BZ404&lt;&gt;Constants!$B$8,"",$BO404)</f>
        <v/>
      </c>
      <c r="BV404" s="138" t="str">
        <f aca="false">IF($BZ404&lt;&gt;Constants!$B$8,"",$BP404)</f>
        <v/>
      </c>
      <c r="BW404" s="138" t="str">
        <f aca="false">IF($BZ404&lt;&gt;Constants!$B$8,"",IF($AT404,$AV404,""))</f>
        <v/>
      </c>
      <c r="BX404" s="140" t="str">
        <f aca="false">IF($BZ404&lt;&gt;Constants!$B$8,"",$AI404)</f>
        <v/>
      </c>
      <c r="BY404" s="135" t="str">
        <f aca="false">IF(ISBLANK($C404),"",IF(ISBLANK($D$7),$BY$5,IF(NOT(ISNUMBER($D$7)),$BY$6,"")))</f>
        <v/>
      </c>
      <c r="BZ404" s="135" t="str">
        <f aca="false">IF(ISBLANK($C404),"",IF($BA404,Constants!$B$11,IF(COUNTA($E404:$AA404)=0,Constants!$B$10,IF(NOT($AG404),Constants!$B$9,IF(OR($BY404&lt;&gt;"",$BB404,$BN404),Constants!$B$12,Constants!$B$8)))))</f>
        <v/>
      </c>
      <c r="CA404" s="135" t="str">
        <f aca="false">IF(ISBLANK($C404),"",IF($BZ404&lt;&gt;Constants!$B$8,$BZ404,Constants!$B$13))</f>
        <v/>
      </c>
      <c r="CB404" s="138" t="str">
        <f aca="false">IF($BZ404&lt;&gt;Constants!$B$8,"",IF($BM404="-&gt;",$BT404,$BH404))</f>
        <v/>
      </c>
      <c r="CC404" s="138" t="str">
        <f aca="false">IF($BZ404&lt;&gt;Constants!$B$8,"",IF($AF404,0,Constants!$B$18))</f>
        <v/>
      </c>
      <c r="CD404" s="138" t="str">
        <f aca="false">IF($BZ404&lt;&gt;Constants!$B$8,"",((Constants!$B$31-$AZ404)-Constants!$B$31)/Constants!$B$32)</f>
        <v/>
      </c>
      <c r="CE404" s="138" t="str">
        <f aca="false">IF(ISBLANK($C404),"",IF($BZ404&lt;&gt;Constants!$B$8,$BZ404,SUM($CB404:$CD404)))</f>
        <v/>
      </c>
      <c r="CF404" s="135" t="str">
        <f aca="false">IF(ISBLANK($C404),"",IF($BZ404&lt;&gt;Constants!$B$8,$BZ404,RANK($CE404,$CE$9:$CE$508,1)))</f>
        <v/>
      </c>
      <c r="CG404" s="138" t="str">
        <f aca="false">IF($BZ404&lt;&gt;Constants!$B$8,"",IF($BM404="-&gt;",$BU404,$BI404))</f>
        <v/>
      </c>
      <c r="CH404" s="135" t="str">
        <f aca="false">IF(ISBLANK($C404),"",IF($BZ404&lt;&gt;Constants!$B$8,$BZ404,IF(ISNUMBER($CG404),RANK($CG404,$CG$9:$CG$508,1),COUNT($CG$9:$CG$508)+1)))</f>
        <v/>
      </c>
      <c r="CI404" s="138" t="str">
        <f aca="false">IF($BZ404&lt;&gt;Constants!$B$8,"",IF($BM404="-&gt;",$BV404,$BJ404))</f>
        <v/>
      </c>
      <c r="CJ404" s="135" t="str">
        <f aca="false">IF(ISBLANK($C404),"",IF($BZ404&lt;&gt;Constants!$B$8,$BZ404,IF(ISNUMBER($CI404),RANK($CI404,$CI$9:$CI$508,1),COUNT($CI$9:$CI$508)+1)))</f>
        <v/>
      </c>
      <c r="CK404" s="138" t="str">
        <f aca="false">IF($BZ404&lt;&gt;Constants!$B$8,"",IF($BM404="-&gt;",$BW404,$BK404))</f>
        <v/>
      </c>
      <c r="CL404" s="135" t="str">
        <f aca="false">IF(ISBLANK($C404),"",IF($BZ404&lt;&gt;Constants!$B$8,$BZ404,IF(ISNUMBER($CK404),RANK($CK404,$CK$9:$CK$508,1),COUNT($CK$9:$CK$508)+1)))</f>
        <v/>
      </c>
      <c r="CM404" s="138" t="str">
        <f aca="false">IF($BZ404&lt;&gt;Constants!$B$8,"",IF(AND(NOT($AL404),NOT($AT404),$AJ404,$AK404,$AR404,$AS404),"",IF($BM404="-&gt;",$BX404,$BL404)))</f>
        <v/>
      </c>
      <c r="CN404" s="135" t="str">
        <f aca="false">IF(ISBLANK($C404),"",IF($BZ404&lt;&gt;Constants!$B$8,$BZ404,IF(ISNUMBER($CM404),RANK($CM404,$CM$9:$CM$508,1),COUNT($CM$9:$CM$508)+1)))</f>
        <v/>
      </c>
      <c r="CO404" s="135" t="str">
        <f aca="false">IF(ISBLANK($C404),"",IF($BZ404&lt;&gt;Constants!$B$8,$BZ404,COUNTIFS($CF$9:$CF$508,"&lt;"&amp;$CF404)+COUNTIFS($CF$9:$CF$508,$CF404,$CH$9:$CH$508,"&lt;"&amp;$CH404)+COUNTIFS($CF$9:$CF$508,$CF404,$CH$9:$CH$508,$CH404,$CJ$9:$CJ$508,"&lt;"&amp;$CJ404)+COUNTIFS($CF$9:$CF$508,$CF404,$CH$9:$CH$508,$CH404,$CJ$9:$CJ$508,$CJ404,$CL$9:$CL$508,"&lt;"&amp;$CL404)+COUNTIFS($CF$9:$CF$508,$CF404,$CH$9:$CH$508,$CH404,$CJ$9:$CJ$508,$CJ404,$CL$9:$CL$508,$CL404,$CN$9:$CN$508,"&lt;"&amp;$CN404)+1))</f>
        <v/>
      </c>
      <c r="CP404" s="135" t="str">
        <f aca="false">IF(ISBLANK($C404),"",IF($BZ404&lt;&gt;Constants!$B$8,$BZ404,$CF404-$CO404))</f>
        <v/>
      </c>
      <c r="CQ404" s="141"/>
      <c r="CR404" s="142"/>
      <c r="CS404" s="143" t="str">
        <f aca="false">IF(ISBLANK($C404),"",IF($BZ404=Constants!$B$12,$BY404,""))</f>
        <v/>
      </c>
      <c r="CT404" s="142" t="str">
        <f aca="false">IF(ISBLANK($C404),"",IF($BZ404&lt;&gt;Constants!$B$8,"",IF($BM404="-&gt;",2,1)))</f>
        <v/>
      </c>
      <c r="CU404" s="144" t="str">
        <f aca="false">IF(ISBLANK($C404),"",IF($BZ404&lt;&gt;Constants!$B$8,"",IF($BM404="-&gt;",$BO404,$BC404)))</f>
        <v/>
      </c>
      <c r="CV404" s="144" t="str">
        <f aca="false">IF(ISBLANK($C404),"",IF($BZ404&lt;&gt;Constants!$B$8,"",IF($BM404="-&gt;",$BP404,$BD404)))</f>
        <v/>
      </c>
      <c r="CW404" s="144" t="str">
        <f aca="false">IF(ISBLANK($C404),"",IF($BZ404&lt;&gt;Constants!$B$8,"",IF($BM404="-&gt;",$BQ404+$BR404,$BE404+$BF404)+$CD404))</f>
        <v/>
      </c>
      <c r="CX404" s="144" t="str">
        <f aca="false">IF(ISBLANK($C404),"",IF($BZ404&lt;&gt;Constants!$B$8,"",IF($BM404="-&gt;",$BS404,$BG404)+$CC404))</f>
        <v/>
      </c>
      <c r="CY404" s="145" t="str">
        <f aca="false">IF(ISBLANK($C404),"",IF($BZ404&lt;&gt;Constants!$B$8,$BZ404,$CE404))</f>
        <v/>
      </c>
      <c r="CZ404" s="146" t="str">
        <f aca="false">IF(ISBLANK($C404),"",$CA404)</f>
        <v/>
      </c>
      <c r="DA404" s="147" t="str">
        <f aca="false">IF(ISBLANK($C404),"",$CP404)</f>
        <v/>
      </c>
      <c r="DB404" s="147" t="str">
        <f aca="false">IF(ISBLANK($C404),"",$CO404)</f>
        <v/>
      </c>
      <c r="DC404" s="148" t="str">
        <f aca="false">IF(ISBLANK($C404),"",IFERROR(_xlfn.SWITCH($DB404,Constants!$B$11,COUNTA($C$9:$C$508)+2,Constants!$B$10,COUNTA($C$9:$C$508)+1,Constants!$B$9,COUNTA($C$9:$C$508)),$DB404))</f>
        <v/>
      </c>
      <c r="DD404" s="9"/>
      <c r="DE404" s="149" t="n">
        <f aca="false">IF(OR(ISNUMBER($DB404),$DB404=Constants!$B$11,$DB404=Constants!$B$9,$DB404=Constants!$B$10),1,0)</f>
        <v>0</v>
      </c>
      <c r="DF404" s="149" t="n">
        <v>396</v>
      </c>
      <c r="DG404" s="149" t="str">
        <f aca="false">IF(ISBLANK($C404),"",IF(ISNUMBER($DC404),$DC404+ROW($B404)/1000,""))</f>
        <v/>
      </c>
      <c r="DH404" s="149" t="str">
        <f aca="false">IF(ISNUMBER($DG404),RANK($DG404,$DG$9:$DG$508,1),"")</f>
        <v/>
      </c>
      <c r="DI404" s="149" t="str">
        <f aca="false">IF(ISBLANK($C404),"",$B404)</f>
        <v/>
      </c>
      <c r="DJ404" s="149" t="str">
        <f aca="false">IF(ISBLANK($C404),"",$C404)</f>
        <v/>
      </c>
      <c r="DK404" s="149" t="str">
        <f aca="false">IF(ISBLANK($C404),"",$D404)</f>
        <v/>
      </c>
      <c r="DL404" s="150" t="str">
        <f aca="false">$CZ404</f>
        <v/>
      </c>
      <c r="DM404" s="151" t="str">
        <f aca="false">$CY404</f>
        <v/>
      </c>
      <c r="DN404" s="149" t="str">
        <f aca="false">IF(ISBLANK($C404),"",$DB404)</f>
        <v/>
      </c>
      <c r="DO404" s="152" t="str">
        <f aca="false">IF($DF404&gt;$DE$8,"",VLOOKUP($DF404,$DH$9:$DN$508,7,FALSE()))</f>
        <v/>
      </c>
      <c r="DP404" s="153" t="str">
        <f aca="false">IF($DF404&gt;$DE$8,"",VLOOKUP($DF404,$DH$9:$DN$508,2,FALSE()))</f>
        <v/>
      </c>
      <c r="DQ404" s="153" t="str">
        <f aca="false">IF($DF404&gt;$DE$8,"",VLOOKUP($DF404,$DH$9:$DN$508,3,FALSE()))</f>
        <v/>
      </c>
      <c r="DR404" s="153" t="str">
        <f aca="false">IF($DF404&gt;$DE$8,"",VLOOKUP($DF404,$DH$9:$DN$508,4,FALSE()))</f>
        <v/>
      </c>
      <c r="DS404" s="153" t="str">
        <f aca="false">IF($DF404&gt;$DE$8,"",VLOOKUP($DF404,$DH$9:$DN$508,5,FALSE()))</f>
        <v/>
      </c>
      <c r="DT404" s="154" t="str">
        <f aca="false">IF($DF404&gt;$DE$8,"",VLOOKUP($DF404,$DH$9:$DN$508,6,FALSE()))</f>
        <v/>
      </c>
      <c r="DU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IF(ISBLANK($C405),"",IF(E405=Constants!$B$3,TRUE(),IF(E405=Constants!$B$4,FALSE(),TRUE())))</f>
        <v/>
      </c>
      <c r="AG405" s="93" t="str">
        <f aca="false">IF(ISBLANK($C405),"",IF(F405=Constants!$B$3,TRUE(),IF(F405=Constants!$B$4,FALSE(),TRUE())))</f>
        <v/>
      </c>
      <c r="AH405" s="93" t="str">
        <f aca="false">IF(ISBLANK($C405),"",IF(G405=Constants!$B$3,TRUE(),IF(G405=Constants!$B$4,FALSE(),TRUE())))</f>
        <v/>
      </c>
      <c r="AI405" s="93" t="str">
        <f aca="false">IF(ISBLANK($C405),"",IF(AND(ISNUMBER(H405),H405&gt;=0),H405,Constants!$B$29))</f>
        <v/>
      </c>
      <c r="AJ405" s="93" t="str">
        <f aca="false">IF(ISBLANK($C405),"",IF(I405=Constants!$B$3,TRUE(),IF(I405=Constants!$B$4,FALSE(),TRUE())))</f>
        <v/>
      </c>
      <c r="AK405" s="93" t="str">
        <f aca="false">IF(ISBLANK($C405),"",IF(J405=Constants!$B$3,TRUE(),IF(J405=Constants!$B$4,FALSE(),TRUE())))</f>
        <v/>
      </c>
      <c r="AL405" s="93" t="str">
        <f aca="false">IF(ISBLANK($C405),"",IF(K405=Constants!$B$5,TRUE(),IF(K405=Constants!$B$6,FALSE(),COUNTA(L405:P405)&gt;0)))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IF(ISBLANK($C405),"",IF(N405=Constants!$B$3,TRUE(),IF(N405=Constants!$B$4,FALSE(),TRUE())))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IF(ISBLANK($C405),"",IF(P405=Constants!$B$3,TRUE(),IF(P405=Constants!$B$4,FALSE(),FALSE())))</f>
        <v/>
      </c>
      <c r="AR405" s="93" t="str">
        <f aca="false">IF(ISBLANK($C405),"",IF(Q405=Constants!$B$3,TRUE(),IF(Q405=Constants!$B$4,FALSE(),TRUE())))</f>
        <v/>
      </c>
      <c r="AS405" s="93" t="str">
        <f aca="false">IF(ISBLANK($C405),"",IF(R405=Constants!$B$3,TRUE(),IF(R405=Constants!$B$4,FALSE(),TRUE())))</f>
        <v/>
      </c>
      <c r="AT405" s="93" t="str">
        <f aca="false">IF(ISBLANK($C405),"",IF(S405=Constants!$B$5,TRUE(),IF(S405=Constants!$B$6,FALSE(),COUNTA(T405:X405)&gt;0)))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IF(ISBLANK($C405),"",IF(V405=Constants!$B$3,TRUE(),IF(V405=Constants!$B$4,FALSE(),TRUE())))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IF(ISBLANK($C405),"",IF(X405=Constants!$B$3,TRUE(),IF(X405=Constants!$B$4,FALSE(),FALSE())))</f>
        <v/>
      </c>
      <c r="AZ405" s="93" t="str">
        <f aca="false">IF(ISBLANK($C405),"",MIN(Constants!$B$31,MAX(0,IF(ISNUMBER(Y405),Y405*60,0)+IF(ISNUMBER(Z405),Z405,0))))</f>
        <v/>
      </c>
      <c r="BA405" s="93" t="str">
        <f aca="false">IF(ISBLANK($C405),"",IF(AA405=Constants!$B$3,TRUE(),IF(AA405=Constants!$B$4,FALSE(),FALSE())))</f>
        <v/>
      </c>
      <c r="BB405" s="92" t="str">
        <f aca="false">IF(ISBLANK($C405),"",AND($AL405,OR($AM405="",$AN405="",AND($AO405,$AP405=""))))</f>
        <v/>
      </c>
      <c r="BC405" s="94" t="str">
        <f aca="false">IF($BZ405&lt;&gt;Constants!$B$8,"",IF($AL405,Constants!$B$21*$AN405+Constants!$B$22*IF($AO405,$AP405,Constants!$B$23),Constants!$B$24))</f>
        <v/>
      </c>
      <c r="BD405" s="97" t="str">
        <f aca="false">IF($BZ405&lt;&gt;Constants!$B$8,"",Constants!$B$25*ABS($AD$9-IF($AL405,$AM405,0)))</f>
        <v/>
      </c>
      <c r="BE405" s="97" t="str">
        <f aca="false">IF($BZ405&lt;&gt;Constants!$B$8,"",IF(AND($AL405,$AQ405,$AO405),Constants!$B$27,0))</f>
        <v/>
      </c>
      <c r="BF405" s="97" t="str">
        <f aca="false">IF($BZ405&lt;&gt;Constants!$B$8,"",IF($AL405,($AI405-Constants!$B$29)*Constants!$B$28,0))</f>
        <v/>
      </c>
      <c r="BG405" s="97" t="str">
        <f aca="false">IF($BZ405&lt;&gt;Constants!$B$8,"",IF($AK405,0,Constants!$B$15)+IF($AJ405,0,Constants!$B$16)+IF($AH405,0,Constants!$B$17))</f>
        <v/>
      </c>
      <c r="BH405" s="98" t="str">
        <f aca="false">IF($BZ405&lt;&gt;Constants!$B$8,"",Constants!$B$20+SUM($BC405:$BG405))</f>
        <v/>
      </c>
      <c r="BI405" s="97" t="str">
        <f aca="false">IF($BZ405&lt;&gt;Constants!$B$8,"",$BC405)</f>
        <v/>
      </c>
      <c r="BJ405" s="97" t="str">
        <f aca="false">IF($BZ405&lt;&gt;Constants!$B$8,"",$BD405)</f>
        <v/>
      </c>
      <c r="BK405" s="97" t="str">
        <f aca="false">IF($BZ405&lt;&gt;Constants!$B$8,"",IF($AL405,$AN405,""))</f>
        <v/>
      </c>
      <c r="BL405" s="99" t="str">
        <f aca="false">IF($BZ405&lt;&gt;Constants!$B$8,"",$AI405)</f>
        <v/>
      </c>
      <c r="BM405" s="93" t="str">
        <f aca="false">IF($BZ405&lt;&gt;Constants!$B$8,"",IF(OR($BT405&lt;$BH405,AND($BT405=$BH405,OR($BU405&lt;$BI405,AND($BU405=$BI405,OR($BV405&lt;$BJ405,AND($BV405=$BJ405,OR(AND(ISNUMBER($BW405),OR(NOT(ISNUMBER($BK405)),$BW405&lt;$BK405)),AND(OR(AND($BW405="",$BK405=""),AND(ISNUMBER($BW405),ISNUMBER($BK405),$BW405=$BK405)),$BX405&lt;$BL405)))))))),"-&gt;","&lt;-"))</f>
        <v/>
      </c>
      <c r="BN405" s="92" t="str">
        <f aca="false">IF(ISBLANK($C405),"",AND($AT405,OR($AU405="",$AV405="",AND($AW405,$AX405=""))))</f>
        <v/>
      </c>
      <c r="BO405" s="94" t="str">
        <f aca="false">IF($BZ405&lt;&gt;Constants!$B$8,"",IF($AT405,Constants!$B$21*$AV405+Constants!$B$22*IF($AW405,$AX405,Constants!$B$23),Constants!$B$24))</f>
        <v/>
      </c>
      <c r="BP405" s="97" t="str">
        <f aca="false">IF($BZ405&lt;&gt;Constants!$B$8,"",Constants!$B$25*ABS($AD$9-IF($AT405,$AU405,0)))</f>
        <v/>
      </c>
      <c r="BQ405" s="97" t="str">
        <f aca="false">IF($BZ405&lt;&gt;Constants!$B$8,"",IF(AND($AT405,$AY405,$AW405),Constants!$B$27,0))</f>
        <v/>
      </c>
      <c r="BR405" s="97" t="str">
        <f aca="false">IF($BZ405&lt;&gt;Constants!$B$8,"",IF($AT405,($AI405-Constants!$B$29)*Constants!$B$28,0))</f>
        <v/>
      </c>
      <c r="BS405" s="97" t="str">
        <f aca="false">IF($BZ405&lt;&gt;Constants!$B$8,"",IF($AS405,0,Constants!$B$15)+IF($AR405,0,Constants!$B$16)+IF($AH405,0,Constants!$B$17))</f>
        <v/>
      </c>
      <c r="BT405" s="98" t="str">
        <f aca="false">IF($BZ405&lt;&gt;Constants!$B$8,"",Constants!$B$20+SUM($BO405:$BS405))</f>
        <v/>
      </c>
      <c r="BU405" s="97" t="str">
        <f aca="false">IF($BZ405&lt;&gt;Constants!$B$8,"",$BO405)</f>
        <v/>
      </c>
      <c r="BV405" s="97" t="str">
        <f aca="false">IF($BZ405&lt;&gt;Constants!$B$8,"",$BP405)</f>
        <v/>
      </c>
      <c r="BW405" s="97" t="str">
        <f aca="false">IF($BZ405&lt;&gt;Constants!$B$8,"",IF($AT405,$AV405,""))</f>
        <v/>
      </c>
      <c r="BX405" s="99" t="str">
        <f aca="false">IF($BZ405&lt;&gt;Constants!$B$8,"",$AI405)</f>
        <v/>
      </c>
      <c r="BY405" s="93" t="str">
        <f aca="false">IF(ISBLANK($C405),"",IF(ISBLANK($D$7),$BY$5,IF(NOT(ISNUMBER($D$7)),$BY$6,"")))</f>
        <v/>
      </c>
      <c r="BZ405" s="93" t="str">
        <f aca="false">IF(ISBLANK($C405),"",IF($BA405,Constants!$B$11,IF(COUNTA($E405:$AA405)=0,Constants!$B$10,IF(NOT($AG405),Constants!$B$9,IF(OR($BY405&lt;&gt;"",$BB405,$BN405),Constants!$B$12,Constants!$B$8)))))</f>
        <v/>
      </c>
      <c r="CA405" s="93" t="str">
        <f aca="false">IF(ISBLANK($C405),"",IF($BZ405&lt;&gt;Constants!$B$8,$BZ405,Constants!$B$13))</f>
        <v/>
      </c>
      <c r="CB405" s="97" t="str">
        <f aca="false">IF($BZ405&lt;&gt;Constants!$B$8,"",IF($BM405="-&gt;",$BT405,$BH405))</f>
        <v/>
      </c>
      <c r="CC405" s="97" t="str">
        <f aca="false">IF($BZ405&lt;&gt;Constants!$B$8,"",IF($AF405,0,Constants!$B$18))</f>
        <v/>
      </c>
      <c r="CD405" s="97" t="str">
        <f aca="false">IF($BZ405&lt;&gt;Constants!$B$8,"",((Constants!$B$31-$AZ405)-Constants!$B$31)/Constants!$B$32)</f>
        <v/>
      </c>
      <c r="CE405" s="97" t="str">
        <f aca="false">IF(ISBLANK($C405),"",IF($BZ405&lt;&gt;Constants!$B$8,$BZ405,SUM($CB405:$CD405)))</f>
        <v/>
      </c>
      <c r="CF405" s="93" t="str">
        <f aca="false">IF(ISBLANK($C405),"",IF($BZ405&lt;&gt;Constants!$B$8,$BZ405,RANK($CE405,$CE$9:$CE$508,1)))</f>
        <v/>
      </c>
      <c r="CG405" s="97" t="str">
        <f aca="false">IF($BZ405&lt;&gt;Constants!$B$8,"",IF($BM405="-&gt;",$BU405,$BI405))</f>
        <v/>
      </c>
      <c r="CH405" s="93" t="str">
        <f aca="false">IF(ISBLANK($C405),"",IF($BZ405&lt;&gt;Constants!$B$8,$BZ405,IF(ISNUMBER($CG405),RANK($CG405,$CG$9:$CG$508,1),COUNT($CG$9:$CG$508)+1)))</f>
        <v/>
      </c>
      <c r="CI405" s="97" t="str">
        <f aca="false">IF($BZ405&lt;&gt;Constants!$B$8,"",IF($BM405="-&gt;",$BV405,$BJ405))</f>
        <v/>
      </c>
      <c r="CJ405" s="93" t="str">
        <f aca="false">IF(ISBLANK($C405),"",IF($BZ405&lt;&gt;Constants!$B$8,$BZ405,IF(ISNUMBER($CI405),RANK($CI405,$CI$9:$CI$508,1),COUNT($CI$9:$CI$508)+1)))</f>
        <v/>
      </c>
      <c r="CK405" s="97" t="str">
        <f aca="false">IF($BZ405&lt;&gt;Constants!$B$8,"",IF($BM405="-&gt;",$BW405,$BK405))</f>
        <v/>
      </c>
      <c r="CL405" s="93" t="str">
        <f aca="false">IF(ISBLANK($C405),"",IF($BZ405&lt;&gt;Constants!$B$8,$BZ405,IF(ISNUMBER($CK405),RANK($CK405,$CK$9:$CK$508,1),COUNT($CK$9:$CK$508)+1)))</f>
        <v/>
      </c>
      <c r="CM405" s="97" t="str">
        <f aca="false">IF($BZ405&lt;&gt;Constants!$B$8,"",IF(AND(NOT($AL405),NOT($AT405),$AJ405,$AK405,$AR405,$AS405),"",IF($BM405="-&gt;",$BX405,$BL405)))</f>
        <v/>
      </c>
      <c r="CN405" s="93" t="str">
        <f aca="false">IF(ISBLANK($C405),"",IF($BZ405&lt;&gt;Constants!$B$8,$BZ405,IF(ISNUMBER($CM405),RANK($CM405,$CM$9:$CM$508,1),COUNT($CM$9:$CM$508)+1)))</f>
        <v/>
      </c>
      <c r="CO405" s="93" t="str">
        <f aca="false">IF(ISBLANK($C405),"",IF($BZ405&lt;&gt;Constants!$B$8,$BZ405,COUNTIFS($CF$9:$CF$508,"&lt;"&amp;$CF405)+COUNTIFS($CF$9:$CF$508,$CF405,$CH$9:$CH$508,"&lt;"&amp;$CH405)+COUNTIFS($CF$9:$CF$508,$CF405,$CH$9:$CH$508,$CH405,$CJ$9:$CJ$508,"&lt;"&amp;$CJ405)+COUNTIFS($CF$9:$CF$508,$CF405,$CH$9:$CH$508,$CH405,$CJ$9:$CJ$508,$CJ405,$CL$9:$CL$508,"&lt;"&amp;$CL405)+COUNTIFS($CF$9:$CF$508,$CF405,$CH$9:$CH$508,$CH405,$CJ$9:$CJ$508,$CJ405,$CL$9:$CL$508,$CL405,$CN$9:$CN$508,"&lt;"&amp;$CN405)+1))</f>
        <v/>
      </c>
      <c r="CP405" s="93" t="str">
        <f aca="false">IF(ISBLANK($C405),"",IF($BZ405&lt;&gt;Constants!$B$8,$BZ405,$CF405-$CO405))</f>
        <v/>
      </c>
      <c r="CQ405" s="100"/>
      <c r="CR405" s="101"/>
      <c r="CS405" s="102" t="str">
        <f aca="false">IF(ISBLANK($C405),"",IF($BZ405=Constants!$B$12,$BY405,""))</f>
        <v/>
      </c>
      <c r="CT405" s="101" t="str">
        <f aca="false">IF(ISBLANK($C405),"",IF($BZ405&lt;&gt;Constants!$B$8,"",IF($BM405="-&gt;",2,1)))</f>
        <v/>
      </c>
      <c r="CU405" s="103" t="str">
        <f aca="false">IF(ISBLANK($C405),"",IF($BZ405&lt;&gt;Constants!$B$8,"",IF($BM405="-&gt;",$BO405,$BC405)))</f>
        <v/>
      </c>
      <c r="CV405" s="103" t="str">
        <f aca="false">IF(ISBLANK($C405),"",IF($BZ405&lt;&gt;Constants!$B$8,"",IF($BM405="-&gt;",$BP405,$BD405)))</f>
        <v/>
      </c>
      <c r="CW405" s="103" t="str">
        <f aca="false">IF(ISBLANK($C405),"",IF($BZ405&lt;&gt;Constants!$B$8,"",IF($BM405="-&gt;",$BQ405+$BR405,$BE405+$BF405)+$CD405))</f>
        <v/>
      </c>
      <c r="CX405" s="103" t="str">
        <f aca="false">IF(ISBLANK($C405),"",IF($BZ405&lt;&gt;Constants!$B$8,"",IF($BM405="-&gt;",$BS405,$BG405)+$CC405))</f>
        <v/>
      </c>
      <c r="CY405" s="104" t="str">
        <f aca="false">IF(ISBLANK($C405),"",IF($BZ405&lt;&gt;Constants!$B$8,$BZ405,$CE405))</f>
        <v/>
      </c>
      <c r="CZ405" s="105" t="str">
        <f aca="false">IF(ISBLANK($C405),"",$CA405)</f>
        <v/>
      </c>
      <c r="DA405" s="106" t="str">
        <f aca="false">IF(ISBLANK($C405),"",$CP405)</f>
        <v/>
      </c>
      <c r="DB405" s="106" t="str">
        <f aca="false">IF(ISBLANK($C405),"",$CO405)</f>
        <v/>
      </c>
      <c r="DC405" s="107" t="str">
        <f aca="false">IF(ISBLANK($C405),"",IFERROR(_xlfn.SWITCH($DB405,Constants!$B$11,COUNTA($C$9:$C$508)+2,Constants!$B$10,COUNTA($C$9:$C$508)+1,Constants!$B$9,COUNTA($C$9:$C$508)),$DB405))</f>
        <v/>
      </c>
      <c r="DD405" s="9"/>
      <c r="DE405" s="108" t="n">
        <f aca="false">IF(OR(ISNUMBER($DB405),$DB405=Constants!$B$11,$DB405=Constants!$B$9,$DB405=Constants!$B$10),1,0)</f>
        <v>0</v>
      </c>
      <c r="DF405" s="108" t="n">
        <v>397</v>
      </c>
      <c r="DG405" s="108" t="str">
        <f aca="false">IF(ISBLANK($C405),"",IF(ISNUMBER($DC405),$DC405+ROW($B405)/1000,""))</f>
        <v/>
      </c>
      <c r="DH405" s="108" t="str">
        <f aca="false">IF(ISNUMBER($DG405),RANK($DG405,$DG$9:$DG$508,1),"")</f>
        <v/>
      </c>
      <c r="DI405" s="108" t="str">
        <f aca="false">IF(ISBLANK($C405),"",$B405)</f>
        <v/>
      </c>
      <c r="DJ405" s="108" t="str">
        <f aca="false">IF(ISBLANK($C405),"",$C405)</f>
        <v/>
      </c>
      <c r="DK405" s="108" t="str">
        <f aca="false">IF(ISBLANK($C405),"",$D405)</f>
        <v/>
      </c>
      <c r="DL405" s="109" t="str">
        <f aca="false">$CZ405</f>
        <v/>
      </c>
      <c r="DM405" s="110" t="str">
        <f aca="false">$CY405</f>
        <v/>
      </c>
      <c r="DN405" s="108" t="str">
        <f aca="false">IF(ISBLANK($C405),"",$DB405)</f>
        <v/>
      </c>
      <c r="DO405" s="111" t="str">
        <f aca="false">IF($DF405&gt;$DE$8,"",VLOOKUP($DF405,$DH$9:$DN$508,7,FALSE()))</f>
        <v/>
      </c>
      <c r="DP405" s="112" t="str">
        <f aca="false">IF($DF405&gt;$DE$8,"",VLOOKUP($DF405,$DH$9:$DN$508,2,FALSE()))</f>
        <v/>
      </c>
      <c r="DQ405" s="112" t="str">
        <f aca="false">IF($DF405&gt;$DE$8,"",VLOOKUP($DF405,$DH$9:$DN$508,3,FALSE()))</f>
        <v/>
      </c>
      <c r="DR405" s="112" t="str">
        <f aca="false">IF($DF405&gt;$DE$8,"",VLOOKUP($DF405,$DH$9:$DN$508,4,FALSE()))</f>
        <v/>
      </c>
      <c r="DS405" s="112" t="str">
        <f aca="false">IF($DF405&gt;$DE$8,"",VLOOKUP($DF405,$DH$9:$DN$508,5,FALSE()))</f>
        <v/>
      </c>
      <c r="DT405" s="113" t="str">
        <f aca="false">IF($DF405&gt;$DE$8,"",VLOOKUP($DF405,$DH$9:$DN$508,6,FALSE()))</f>
        <v/>
      </c>
      <c r="DU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IF(ISBLANK($C406),"",IF(E406=Constants!$B$3,TRUE(),IF(E406=Constants!$B$4,FALSE(),TRUE())))</f>
        <v/>
      </c>
      <c r="AG406" s="93" t="str">
        <f aca="false">IF(ISBLANK($C406),"",IF(F406=Constants!$B$3,TRUE(),IF(F406=Constants!$B$4,FALSE(),TRUE())))</f>
        <v/>
      </c>
      <c r="AH406" s="93" t="str">
        <f aca="false">IF(ISBLANK($C406),"",IF(G406=Constants!$B$3,TRUE(),IF(G406=Constants!$B$4,FALSE(),TRUE())))</f>
        <v/>
      </c>
      <c r="AI406" s="93" t="str">
        <f aca="false">IF(ISBLANK($C406),"",IF(AND(ISNUMBER(H406),H406&gt;=0),H406,Constants!$B$29))</f>
        <v/>
      </c>
      <c r="AJ406" s="93" t="str">
        <f aca="false">IF(ISBLANK($C406),"",IF(I406=Constants!$B$3,TRUE(),IF(I406=Constants!$B$4,FALSE(),TRUE())))</f>
        <v/>
      </c>
      <c r="AK406" s="93" t="str">
        <f aca="false">IF(ISBLANK($C406),"",IF(J406=Constants!$B$3,TRUE(),IF(J406=Constants!$B$4,FALSE(),TRUE())))</f>
        <v/>
      </c>
      <c r="AL406" s="93" t="str">
        <f aca="false">IF(ISBLANK($C406),"",IF(K406=Constants!$B$5,TRUE(),IF(K406=Constants!$B$6,FALSE(),COUNTA(L406:P406)&gt;0)))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IF(ISBLANK($C406),"",IF(N406=Constants!$B$3,TRUE(),IF(N406=Constants!$B$4,FALSE(),TRUE())))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IF(ISBLANK($C406),"",IF(P406=Constants!$B$3,TRUE(),IF(P406=Constants!$B$4,FALSE(),FALSE())))</f>
        <v/>
      </c>
      <c r="AR406" s="93" t="str">
        <f aca="false">IF(ISBLANK($C406),"",IF(Q406=Constants!$B$3,TRUE(),IF(Q406=Constants!$B$4,FALSE(),TRUE())))</f>
        <v/>
      </c>
      <c r="AS406" s="93" t="str">
        <f aca="false">IF(ISBLANK($C406),"",IF(R406=Constants!$B$3,TRUE(),IF(R406=Constants!$B$4,FALSE(),TRUE())))</f>
        <v/>
      </c>
      <c r="AT406" s="93" t="str">
        <f aca="false">IF(ISBLANK($C406),"",IF(S406=Constants!$B$5,TRUE(),IF(S406=Constants!$B$6,FALSE(),COUNTA(T406:X406)&gt;0)))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IF(ISBLANK($C406),"",IF(V406=Constants!$B$3,TRUE(),IF(V406=Constants!$B$4,FALSE(),TRUE())))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IF(ISBLANK($C406),"",IF(X406=Constants!$B$3,TRUE(),IF(X406=Constants!$B$4,FALSE(),FALSE())))</f>
        <v/>
      </c>
      <c r="AZ406" s="93" t="str">
        <f aca="false">IF(ISBLANK($C406),"",MIN(Constants!$B$31,MAX(0,IF(ISNUMBER(Y406),Y406*60,0)+IF(ISNUMBER(Z406),Z406,0))))</f>
        <v/>
      </c>
      <c r="BA406" s="93" t="str">
        <f aca="false">IF(ISBLANK($C406),"",IF(AA406=Constants!$B$3,TRUE(),IF(AA406=Constants!$B$4,FALSE(),FALSE())))</f>
        <v/>
      </c>
      <c r="BB406" s="92" t="str">
        <f aca="false">IF(ISBLANK($C406),"",AND($AL406,OR($AM406="",$AN406="",AND($AO406,$AP406=""))))</f>
        <v/>
      </c>
      <c r="BC406" s="94" t="str">
        <f aca="false">IF($BZ406&lt;&gt;Constants!$B$8,"",IF($AL406,Constants!$B$21*$AN406+Constants!$B$22*IF($AO406,$AP406,Constants!$B$23),Constants!$B$24))</f>
        <v/>
      </c>
      <c r="BD406" s="97" t="str">
        <f aca="false">IF($BZ406&lt;&gt;Constants!$B$8,"",Constants!$B$25*ABS($AD$9-IF($AL406,$AM406,0)))</f>
        <v/>
      </c>
      <c r="BE406" s="97" t="str">
        <f aca="false">IF($BZ406&lt;&gt;Constants!$B$8,"",IF(AND($AL406,$AQ406,$AO406),Constants!$B$27,0))</f>
        <v/>
      </c>
      <c r="BF406" s="97" t="str">
        <f aca="false">IF($BZ406&lt;&gt;Constants!$B$8,"",IF($AL406,($AI406-Constants!$B$29)*Constants!$B$28,0))</f>
        <v/>
      </c>
      <c r="BG406" s="97" t="str">
        <f aca="false">IF($BZ406&lt;&gt;Constants!$B$8,"",IF($AK406,0,Constants!$B$15)+IF($AJ406,0,Constants!$B$16)+IF($AH406,0,Constants!$B$17))</f>
        <v/>
      </c>
      <c r="BH406" s="98" t="str">
        <f aca="false">IF($BZ406&lt;&gt;Constants!$B$8,"",Constants!$B$20+SUM($BC406:$BG406))</f>
        <v/>
      </c>
      <c r="BI406" s="97" t="str">
        <f aca="false">IF($BZ406&lt;&gt;Constants!$B$8,"",$BC406)</f>
        <v/>
      </c>
      <c r="BJ406" s="97" t="str">
        <f aca="false">IF($BZ406&lt;&gt;Constants!$B$8,"",$BD406)</f>
        <v/>
      </c>
      <c r="BK406" s="97" t="str">
        <f aca="false">IF($BZ406&lt;&gt;Constants!$B$8,"",IF($AL406,$AN406,""))</f>
        <v/>
      </c>
      <c r="BL406" s="99" t="str">
        <f aca="false">IF($BZ406&lt;&gt;Constants!$B$8,"",$AI406)</f>
        <v/>
      </c>
      <c r="BM406" s="93" t="str">
        <f aca="false">IF($BZ406&lt;&gt;Constants!$B$8,"",IF(OR($BT406&lt;$BH406,AND($BT406=$BH406,OR($BU406&lt;$BI406,AND($BU406=$BI406,OR($BV406&lt;$BJ406,AND($BV406=$BJ406,OR(AND(ISNUMBER($BW406),OR(NOT(ISNUMBER($BK406)),$BW406&lt;$BK406)),AND(OR(AND($BW406="",$BK406=""),AND(ISNUMBER($BW406),ISNUMBER($BK406),$BW406=$BK406)),$BX406&lt;$BL406)))))))),"-&gt;","&lt;-"))</f>
        <v/>
      </c>
      <c r="BN406" s="92" t="str">
        <f aca="false">IF(ISBLANK($C406),"",AND($AT406,OR($AU406="",$AV406="",AND($AW406,$AX406=""))))</f>
        <v/>
      </c>
      <c r="BO406" s="94" t="str">
        <f aca="false">IF($BZ406&lt;&gt;Constants!$B$8,"",IF($AT406,Constants!$B$21*$AV406+Constants!$B$22*IF($AW406,$AX406,Constants!$B$23),Constants!$B$24))</f>
        <v/>
      </c>
      <c r="BP406" s="97" t="str">
        <f aca="false">IF($BZ406&lt;&gt;Constants!$B$8,"",Constants!$B$25*ABS($AD$9-IF($AT406,$AU406,0)))</f>
        <v/>
      </c>
      <c r="BQ406" s="97" t="str">
        <f aca="false">IF($BZ406&lt;&gt;Constants!$B$8,"",IF(AND($AT406,$AY406,$AW406),Constants!$B$27,0))</f>
        <v/>
      </c>
      <c r="BR406" s="97" t="str">
        <f aca="false">IF($BZ406&lt;&gt;Constants!$B$8,"",IF($AT406,($AI406-Constants!$B$29)*Constants!$B$28,0))</f>
        <v/>
      </c>
      <c r="BS406" s="97" t="str">
        <f aca="false">IF($BZ406&lt;&gt;Constants!$B$8,"",IF($AS406,0,Constants!$B$15)+IF($AR406,0,Constants!$B$16)+IF($AH406,0,Constants!$B$17))</f>
        <v/>
      </c>
      <c r="BT406" s="98" t="str">
        <f aca="false">IF($BZ406&lt;&gt;Constants!$B$8,"",Constants!$B$20+SUM($BO406:$BS406))</f>
        <v/>
      </c>
      <c r="BU406" s="97" t="str">
        <f aca="false">IF($BZ406&lt;&gt;Constants!$B$8,"",$BO406)</f>
        <v/>
      </c>
      <c r="BV406" s="97" t="str">
        <f aca="false">IF($BZ406&lt;&gt;Constants!$B$8,"",$BP406)</f>
        <v/>
      </c>
      <c r="BW406" s="97" t="str">
        <f aca="false">IF($BZ406&lt;&gt;Constants!$B$8,"",IF($AT406,$AV406,""))</f>
        <v/>
      </c>
      <c r="BX406" s="99" t="str">
        <f aca="false">IF($BZ406&lt;&gt;Constants!$B$8,"",$AI406)</f>
        <v/>
      </c>
      <c r="BY406" s="93" t="str">
        <f aca="false">IF(ISBLANK($C406),"",IF(ISBLANK($D$7),$BY$5,IF(NOT(ISNUMBER($D$7)),$BY$6,"")))</f>
        <v/>
      </c>
      <c r="BZ406" s="93" t="str">
        <f aca="false">IF(ISBLANK($C406),"",IF($BA406,Constants!$B$11,IF(COUNTA($E406:$AA406)=0,Constants!$B$10,IF(NOT($AG406),Constants!$B$9,IF(OR($BY406&lt;&gt;"",$BB406,$BN406),Constants!$B$12,Constants!$B$8)))))</f>
        <v/>
      </c>
      <c r="CA406" s="93" t="str">
        <f aca="false">IF(ISBLANK($C406),"",IF($BZ406&lt;&gt;Constants!$B$8,$BZ406,Constants!$B$13))</f>
        <v/>
      </c>
      <c r="CB406" s="97" t="str">
        <f aca="false">IF($BZ406&lt;&gt;Constants!$B$8,"",IF($BM406="-&gt;",$BT406,$BH406))</f>
        <v/>
      </c>
      <c r="CC406" s="97" t="str">
        <f aca="false">IF($BZ406&lt;&gt;Constants!$B$8,"",IF($AF406,0,Constants!$B$18))</f>
        <v/>
      </c>
      <c r="CD406" s="97" t="str">
        <f aca="false">IF($BZ406&lt;&gt;Constants!$B$8,"",((Constants!$B$31-$AZ406)-Constants!$B$31)/Constants!$B$32)</f>
        <v/>
      </c>
      <c r="CE406" s="97" t="str">
        <f aca="false">IF(ISBLANK($C406),"",IF($BZ406&lt;&gt;Constants!$B$8,$BZ406,SUM($CB406:$CD406)))</f>
        <v/>
      </c>
      <c r="CF406" s="93" t="str">
        <f aca="false">IF(ISBLANK($C406),"",IF($BZ406&lt;&gt;Constants!$B$8,$BZ406,RANK($CE406,$CE$9:$CE$508,1)))</f>
        <v/>
      </c>
      <c r="CG406" s="97" t="str">
        <f aca="false">IF($BZ406&lt;&gt;Constants!$B$8,"",IF($BM406="-&gt;",$BU406,$BI406))</f>
        <v/>
      </c>
      <c r="CH406" s="93" t="str">
        <f aca="false">IF(ISBLANK($C406),"",IF($BZ406&lt;&gt;Constants!$B$8,$BZ406,IF(ISNUMBER($CG406),RANK($CG406,$CG$9:$CG$508,1),COUNT($CG$9:$CG$508)+1)))</f>
        <v/>
      </c>
      <c r="CI406" s="97" t="str">
        <f aca="false">IF($BZ406&lt;&gt;Constants!$B$8,"",IF($BM406="-&gt;",$BV406,$BJ406))</f>
        <v/>
      </c>
      <c r="CJ406" s="93" t="str">
        <f aca="false">IF(ISBLANK($C406),"",IF($BZ406&lt;&gt;Constants!$B$8,$BZ406,IF(ISNUMBER($CI406),RANK($CI406,$CI$9:$CI$508,1),COUNT($CI$9:$CI$508)+1)))</f>
        <v/>
      </c>
      <c r="CK406" s="97" t="str">
        <f aca="false">IF($BZ406&lt;&gt;Constants!$B$8,"",IF($BM406="-&gt;",$BW406,$BK406))</f>
        <v/>
      </c>
      <c r="CL406" s="93" t="str">
        <f aca="false">IF(ISBLANK($C406),"",IF($BZ406&lt;&gt;Constants!$B$8,$BZ406,IF(ISNUMBER($CK406),RANK($CK406,$CK$9:$CK$508,1),COUNT($CK$9:$CK$508)+1)))</f>
        <v/>
      </c>
      <c r="CM406" s="97" t="str">
        <f aca="false">IF($BZ406&lt;&gt;Constants!$B$8,"",IF(AND(NOT($AL406),NOT($AT406),$AJ406,$AK406,$AR406,$AS406),"",IF($BM406="-&gt;",$BX406,$BL406)))</f>
        <v/>
      </c>
      <c r="CN406" s="93" t="str">
        <f aca="false">IF(ISBLANK($C406),"",IF($BZ406&lt;&gt;Constants!$B$8,$BZ406,IF(ISNUMBER($CM406),RANK($CM406,$CM$9:$CM$508,1),COUNT($CM$9:$CM$508)+1)))</f>
        <v/>
      </c>
      <c r="CO406" s="93" t="str">
        <f aca="false">IF(ISBLANK($C406),"",IF($BZ406&lt;&gt;Constants!$B$8,$BZ406,COUNTIFS($CF$9:$CF$508,"&lt;"&amp;$CF406)+COUNTIFS($CF$9:$CF$508,$CF406,$CH$9:$CH$508,"&lt;"&amp;$CH406)+COUNTIFS($CF$9:$CF$508,$CF406,$CH$9:$CH$508,$CH406,$CJ$9:$CJ$508,"&lt;"&amp;$CJ406)+COUNTIFS($CF$9:$CF$508,$CF406,$CH$9:$CH$508,$CH406,$CJ$9:$CJ$508,$CJ406,$CL$9:$CL$508,"&lt;"&amp;$CL406)+COUNTIFS($CF$9:$CF$508,$CF406,$CH$9:$CH$508,$CH406,$CJ$9:$CJ$508,$CJ406,$CL$9:$CL$508,$CL406,$CN$9:$CN$508,"&lt;"&amp;$CN406)+1))</f>
        <v/>
      </c>
      <c r="CP406" s="93" t="str">
        <f aca="false">IF(ISBLANK($C406),"",IF($BZ406&lt;&gt;Constants!$B$8,$BZ406,$CF406-$CO406))</f>
        <v/>
      </c>
      <c r="CQ406" s="100"/>
      <c r="CR406" s="101"/>
      <c r="CS406" s="102" t="str">
        <f aca="false">IF(ISBLANK($C406),"",IF($BZ406=Constants!$B$12,$BY406,""))</f>
        <v/>
      </c>
      <c r="CT406" s="101" t="str">
        <f aca="false">IF(ISBLANK($C406),"",IF($BZ406&lt;&gt;Constants!$B$8,"",IF($BM406="-&gt;",2,1)))</f>
        <v/>
      </c>
      <c r="CU406" s="103" t="str">
        <f aca="false">IF(ISBLANK($C406),"",IF($BZ406&lt;&gt;Constants!$B$8,"",IF($BM406="-&gt;",$BO406,$BC406)))</f>
        <v/>
      </c>
      <c r="CV406" s="103" t="str">
        <f aca="false">IF(ISBLANK($C406),"",IF($BZ406&lt;&gt;Constants!$B$8,"",IF($BM406="-&gt;",$BP406,$BD406)))</f>
        <v/>
      </c>
      <c r="CW406" s="103" t="str">
        <f aca="false">IF(ISBLANK($C406),"",IF($BZ406&lt;&gt;Constants!$B$8,"",IF($BM406="-&gt;",$BQ406+$BR406,$BE406+$BF406)+$CD406))</f>
        <v/>
      </c>
      <c r="CX406" s="103" t="str">
        <f aca="false">IF(ISBLANK($C406),"",IF($BZ406&lt;&gt;Constants!$B$8,"",IF($BM406="-&gt;",$BS406,$BG406)+$CC406))</f>
        <v/>
      </c>
      <c r="CY406" s="104" t="str">
        <f aca="false">IF(ISBLANK($C406),"",IF($BZ406&lt;&gt;Constants!$B$8,$BZ406,$CE406))</f>
        <v/>
      </c>
      <c r="CZ406" s="105" t="str">
        <f aca="false">IF(ISBLANK($C406),"",$CA406)</f>
        <v/>
      </c>
      <c r="DA406" s="106" t="str">
        <f aca="false">IF(ISBLANK($C406),"",$CP406)</f>
        <v/>
      </c>
      <c r="DB406" s="106" t="str">
        <f aca="false">IF(ISBLANK($C406),"",$CO406)</f>
        <v/>
      </c>
      <c r="DC406" s="107" t="str">
        <f aca="false">IF(ISBLANK($C406),"",IFERROR(_xlfn.SWITCH($DB406,Constants!$B$11,COUNTA($C$9:$C$508)+2,Constants!$B$10,COUNTA($C$9:$C$508)+1,Constants!$B$9,COUNTA($C$9:$C$508)),$DB406))</f>
        <v/>
      </c>
      <c r="DD406" s="9"/>
      <c r="DE406" s="108" t="n">
        <f aca="false">IF(OR(ISNUMBER($DB406),$DB406=Constants!$B$11,$DB406=Constants!$B$9,$DB406=Constants!$B$10),1,0)</f>
        <v>0</v>
      </c>
      <c r="DF406" s="108" t="n">
        <v>398</v>
      </c>
      <c r="DG406" s="108" t="str">
        <f aca="false">IF(ISBLANK($C406),"",IF(ISNUMBER($DC406),$DC406+ROW($B406)/1000,""))</f>
        <v/>
      </c>
      <c r="DH406" s="108" t="str">
        <f aca="false">IF(ISNUMBER($DG406),RANK($DG406,$DG$9:$DG$508,1),"")</f>
        <v/>
      </c>
      <c r="DI406" s="108" t="str">
        <f aca="false">IF(ISBLANK($C406),"",$B406)</f>
        <v/>
      </c>
      <c r="DJ406" s="108" t="str">
        <f aca="false">IF(ISBLANK($C406),"",$C406)</f>
        <v/>
      </c>
      <c r="DK406" s="108" t="str">
        <f aca="false">IF(ISBLANK($C406),"",$D406)</f>
        <v/>
      </c>
      <c r="DL406" s="109" t="str">
        <f aca="false">$CZ406</f>
        <v/>
      </c>
      <c r="DM406" s="110" t="str">
        <f aca="false">$CY406</f>
        <v/>
      </c>
      <c r="DN406" s="108" t="str">
        <f aca="false">IF(ISBLANK($C406),"",$DB406)</f>
        <v/>
      </c>
      <c r="DO406" s="111" t="str">
        <f aca="false">IF($DF406&gt;$DE$8,"",VLOOKUP($DF406,$DH$9:$DN$508,7,FALSE()))</f>
        <v/>
      </c>
      <c r="DP406" s="112" t="str">
        <f aca="false">IF($DF406&gt;$DE$8,"",VLOOKUP($DF406,$DH$9:$DN$508,2,FALSE()))</f>
        <v/>
      </c>
      <c r="DQ406" s="112" t="str">
        <f aca="false">IF($DF406&gt;$DE$8,"",VLOOKUP($DF406,$DH$9:$DN$508,3,FALSE()))</f>
        <v/>
      </c>
      <c r="DR406" s="112" t="str">
        <f aca="false">IF($DF406&gt;$DE$8,"",VLOOKUP($DF406,$DH$9:$DN$508,4,FALSE()))</f>
        <v/>
      </c>
      <c r="DS406" s="112" t="str">
        <f aca="false">IF($DF406&gt;$DE$8,"",VLOOKUP($DF406,$DH$9:$DN$508,5,FALSE()))</f>
        <v/>
      </c>
      <c r="DT406" s="113" t="str">
        <f aca="false">IF($DF406&gt;$DE$8,"",VLOOKUP($DF406,$DH$9:$DN$508,6,FALSE()))</f>
        <v/>
      </c>
      <c r="DU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IF(ISBLANK($C407),"",IF(E407=Constants!$B$3,TRUE(),IF(E407=Constants!$B$4,FALSE(),TRUE())))</f>
        <v/>
      </c>
      <c r="AG407" s="93" t="str">
        <f aca="false">IF(ISBLANK($C407),"",IF(F407=Constants!$B$3,TRUE(),IF(F407=Constants!$B$4,FALSE(),TRUE())))</f>
        <v/>
      </c>
      <c r="AH407" s="93" t="str">
        <f aca="false">IF(ISBLANK($C407),"",IF(G407=Constants!$B$3,TRUE(),IF(G407=Constants!$B$4,FALSE(),TRUE())))</f>
        <v/>
      </c>
      <c r="AI407" s="93" t="str">
        <f aca="false">IF(ISBLANK($C407),"",IF(AND(ISNUMBER(H407),H407&gt;=0),H407,Constants!$B$29))</f>
        <v/>
      </c>
      <c r="AJ407" s="93" t="str">
        <f aca="false">IF(ISBLANK($C407),"",IF(I407=Constants!$B$3,TRUE(),IF(I407=Constants!$B$4,FALSE(),TRUE())))</f>
        <v/>
      </c>
      <c r="AK407" s="93" t="str">
        <f aca="false">IF(ISBLANK($C407),"",IF(J407=Constants!$B$3,TRUE(),IF(J407=Constants!$B$4,FALSE(),TRUE())))</f>
        <v/>
      </c>
      <c r="AL407" s="93" t="str">
        <f aca="false">IF(ISBLANK($C407),"",IF(K407=Constants!$B$5,TRUE(),IF(K407=Constants!$B$6,FALSE(),COUNTA(L407:P407)&gt;0)))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IF(ISBLANK($C407),"",IF(N407=Constants!$B$3,TRUE(),IF(N407=Constants!$B$4,FALSE(),TRUE())))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IF(ISBLANK($C407),"",IF(P407=Constants!$B$3,TRUE(),IF(P407=Constants!$B$4,FALSE(),FALSE())))</f>
        <v/>
      </c>
      <c r="AR407" s="93" t="str">
        <f aca="false">IF(ISBLANK($C407),"",IF(Q407=Constants!$B$3,TRUE(),IF(Q407=Constants!$B$4,FALSE(),TRUE())))</f>
        <v/>
      </c>
      <c r="AS407" s="93" t="str">
        <f aca="false">IF(ISBLANK($C407),"",IF(R407=Constants!$B$3,TRUE(),IF(R407=Constants!$B$4,FALSE(),TRUE())))</f>
        <v/>
      </c>
      <c r="AT407" s="93" t="str">
        <f aca="false">IF(ISBLANK($C407),"",IF(S407=Constants!$B$5,TRUE(),IF(S407=Constants!$B$6,FALSE(),COUNTA(T407:X407)&gt;0)))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IF(ISBLANK($C407),"",IF(V407=Constants!$B$3,TRUE(),IF(V407=Constants!$B$4,FALSE(),TRUE())))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IF(ISBLANK($C407),"",IF(X407=Constants!$B$3,TRUE(),IF(X407=Constants!$B$4,FALSE(),FALSE())))</f>
        <v/>
      </c>
      <c r="AZ407" s="93" t="str">
        <f aca="false">IF(ISBLANK($C407),"",MIN(Constants!$B$31,MAX(0,IF(ISNUMBER(Y407),Y407*60,0)+IF(ISNUMBER(Z407),Z407,0))))</f>
        <v/>
      </c>
      <c r="BA407" s="93" t="str">
        <f aca="false">IF(ISBLANK($C407),"",IF(AA407=Constants!$B$3,TRUE(),IF(AA407=Constants!$B$4,FALSE(),FALSE())))</f>
        <v/>
      </c>
      <c r="BB407" s="92" t="str">
        <f aca="false">IF(ISBLANK($C407),"",AND($AL407,OR($AM407="",$AN407="",AND($AO407,$AP407=""))))</f>
        <v/>
      </c>
      <c r="BC407" s="94" t="str">
        <f aca="false">IF($BZ407&lt;&gt;Constants!$B$8,"",IF($AL407,Constants!$B$21*$AN407+Constants!$B$22*IF($AO407,$AP407,Constants!$B$23),Constants!$B$24))</f>
        <v/>
      </c>
      <c r="BD407" s="97" t="str">
        <f aca="false">IF($BZ407&lt;&gt;Constants!$B$8,"",Constants!$B$25*ABS($AD$9-IF($AL407,$AM407,0)))</f>
        <v/>
      </c>
      <c r="BE407" s="97" t="str">
        <f aca="false">IF($BZ407&lt;&gt;Constants!$B$8,"",IF(AND($AL407,$AQ407,$AO407),Constants!$B$27,0))</f>
        <v/>
      </c>
      <c r="BF407" s="97" t="str">
        <f aca="false">IF($BZ407&lt;&gt;Constants!$B$8,"",IF($AL407,($AI407-Constants!$B$29)*Constants!$B$28,0))</f>
        <v/>
      </c>
      <c r="BG407" s="97" t="str">
        <f aca="false">IF($BZ407&lt;&gt;Constants!$B$8,"",IF($AK407,0,Constants!$B$15)+IF($AJ407,0,Constants!$B$16)+IF($AH407,0,Constants!$B$17))</f>
        <v/>
      </c>
      <c r="BH407" s="98" t="str">
        <f aca="false">IF($BZ407&lt;&gt;Constants!$B$8,"",Constants!$B$20+SUM($BC407:$BG407))</f>
        <v/>
      </c>
      <c r="BI407" s="97" t="str">
        <f aca="false">IF($BZ407&lt;&gt;Constants!$B$8,"",$BC407)</f>
        <v/>
      </c>
      <c r="BJ407" s="97" t="str">
        <f aca="false">IF($BZ407&lt;&gt;Constants!$B$8,"",$BD407)</f>
        <v/>
      </c>
      <c r="BK407" s="97" t="str">
        <f aca="false">IF($BZ407&lt;&gt;Constants!$B$8,"",IF($AL407,$AN407,""))</f>
        <v/>
      </c>
      <c r="BL407" s="99" t="str">
        <f aca="false">IF($BZ407&lt;&gt;Constants!$B$8,"",$AI407)</f>
        <v/>
      </c>
      <c r="BM407" s="93" t="str">
        <f aca="false">IF($BZ407&lt;&gt;Constants!$B$8,"",IF(OR($BT407&lt;$BH407,AND($BT407=$BH407,OR($BU407&lt;$BI407,AND($BU407=$BI407,OR($BV407&lt;$BJ407,AND($BV407=$BJ407,OR(AND(ISNUMBER($BW407),OR(NOT(ISNUMBER($BK407)),$BW407&lt;$BK407)),AND(OR(AND($BW407="",$BK407=""),AND(ISNUMBER($BW407),ISNUMBER($BK407),$BW407=$BK407)),$BX407&lt;$BL407)))))))),"-&gt;","&lt;-"))</f>
        <v/>
      </c>
      <c r="BN407" s="92" t="str">
        <f aca="false">IF(ISBLANK($C407),"",AND($AT407,OR($AU407="",$AV407="",AND($AW407,$AX407=""))))</f>
        <v/>
      </c>
      <c r="BO407" s="94" t="str">
        <f aca="false">IF($BZ407&lt;&gt;Constants!$B$8,"",IF($AT407,Constants!$B$21*$AV407+Constants!$B$22*IF($AW407,$AX407,Constants!$B$23),Constants!$B$24))</f>
        <v/>
      </c>
      <c r="BP407" s="97" t="str">
        <f aca="false">IF($BZ407&lt;&gt;Constants!$B$8,"",Constants!$B$25*ABS($AD$9-IF($AT407,$AU407,0)))</f>
        <v/>
      </c>
      <c r="BQ407" s="97" t="str">
        <f aca="false">IF($BZ407&lt;&gt;Constants!$B$8,"",IF(AND($AT407,$AY407,$AW407),Constants!$B$27,0))</f>
        <v/>
      </c>
      <c r="BR407" s="97" t="str">
        <f aca="false">IF($BZ407&lt;&gt;Constants!$B$8,"",IF($AT407,($AI407-Constants!$B$29)*Constants!$B$28,0))</f>
        <v/>
      </c>
      <c r="BS407" s="97" t="str">
        <f aca="false">IF($BZ407&lt;&gt;Constants!$B$8,"",IF($AS407,0,Constants!$B$15)+IF($AR407,0,Constants!$B$16)+IF($AH407,0,Constants!$B$17))</f>
        <v/>
      </c>
      <c r="BT407" s="98" t="str">
        <f aca="false">IF($BZ407&lt;&gt;Constants!$B$8,"",Constants!$B$20+SUM($BO407:$BS407))</f>
        <v/>
      </c>
      <c r="BU407" s="97" t="str">
        <f aca="false">IF($BZ407&lt;&gt;Constants!$B$8,"",$BO407)</f>
        <v/>
      </c>
      <c r="BV407" s="97" t="str">
        <f aca="false">IF($BZ407&lt;&gt;Constants!$B$8,"",$BP407)</f>
        <v/>
      </c>
      <c r="BW407" s="97" t="str">
        <f aca="false">IF($BZ407&lt;&gt;Constants!$B$8,"",IF($AT407,$AV407,""))</f>
        <v/>
      </c>
      <c r="BX407" s="99" t="str">
        <f aca="false">IF($BZ407&lt;&gt;Constants!$B$8,"",$AI407)</f>
        <v/>
      </c>
      <c r="BY407" s="93" t="str">
        <f aca="false">IF(ISBLANK($C407),"",IF(ISBLANK($D$7),$BY$5,IF(NOT(ISNUMBER($D$7)),$BY$6,"")))</f>
        <v/>
      </c>
      <c r="BZ407" s="93" t="str">
        <f aca="false">IF(ISBLANK($C407),"",IF($BA407,Constants!$B$11,IF(COUNTA($E407:$AA407)=0,Constants!$B$10,IF(NOT($AG407),Constants!$B$9,IF(OR($BY407&lt;&gt;"",$BB407,$BN407),Constants!$B$12,Constants!$B$8)))))</f>
        <v/>
      </c>
      <c r="CA407" s="93" t="str">
        <f aca="false">IF(ISBLANK($C407),"",IF($BZ407&lt;&gt;Constants!$B$8,$BZ407,Constants!$B$13))</f>
        <v/>
      </c>
      <c r="CB407" s="97" t="str">
        <f aca="false">IF($BZ407&lt;&gt;Constants!$B$8,"",IF($BM407="-&gt;",$BT407,$BH407))</f>
        <v/>
      </c>
      <c r="CC407" s="97" t="str">
        <f aca="false">IF($BZ407&lt;&gt;Constants!$B$8,"",IF($AF407,0,Constants!$B$18))</f>
        <v/>
      </c>
      <c r="CD407" s="97" t="str">
        <f aca="false">IF($BZ407&lt;&gt;Constants!$B$8,"",((Constants!$B$31-$AZ407)-Constants!$B$31)/Constants!$B$32)</f>
        <v/>
      </c>
      <c r="CE407" s="97" t="str">
        <f aca="false">IF(ISBLANK($C407),"",IF($BZ407&lt;&gt;Constants!$B$8,$BZ407,SUM($CB407:$CD407)))</f>
        <v/>
      </c>
      <c r="CF407" s="93" t="str">
        <f aca="false">IF(ISBLANK($C407),"",IF($BZ407&lt;&gt;Constants!$B$8,$BZ407,RANK($CE407,$CE$9:$CE$508,1)))</f>
        <v/>
      </c>
      <c r="CG407" s="97" t="str">
        <f aca="false">IF($BZ407&lt;&gt;Constants!$B$8,"",IF($BM407="-&gt;",$BU407,$BI407))</f>
        <v/>
      </c>
      <c r="CH407" s="93" t="str">
        <f aca="false">IF(ISBLANK($C407),"",IF($BZ407&lt;&gt;Constants!$B$8,$BZ407,IF(ISNUMBER($CG407),RANK($CG407,$CG$9:$CG$508,1),COUNT($CG$9:$CG$508)+1)))</f>
        <v/>
      </c>
      <c r="CI407" s="97" t="str">
        <f aca="false">IF($BZ407&lt;&gt;Constants!$B$8,"",IF($BM407="-&gt;",$BV407,$BJ407))</f>
        <v/>
      </c>
      <c r="CJ407" s="93" t="str">
        <f aca="false">IF(ISBLANK($C407),"",IF($BZ407&lt;&gt;Constants!$B$8,$BZ407,IF(ISNUMBER($CI407),RANK($CI407,$CI$9:$CI$508,1),COUNT($CI$9:$CI$508)+1)))</f>
        <v/>
      </c>
      <c r="CK407" s="97" t="str">
        <f aca="false">IF($BZ407&lt;&gt;Constants!$B$8,"",IF($BM407="-&gt;",$BW407,$BK407))</f>
        <v/>
      </c>
      <c r="CL407" s="93" t="str">
        <f aca="false">IF(ISBLANK($C407),"",IF($BZ407&lt;&gt;Constants!$B$8,$BZ407,IF(ISNUMBER($CK407),RANK($CK407,$CK$9:$CK$508,1),COUNT($CK$9:$CK$508)+1)))</f>
        <v/>
      </c>
      <c r="CM407" s="97" t="str">
        <f aca="false">IF($BZ407&lt;&gt;Constants!$B$8,"",IF(AND(NOT($AL407),NOT($AT407),$AJ407,$AK407,$AR407,$AS407),"",IF($BM407="-&gt;",$BX407,$BL407)))</f>
        <v/>
      </c>
      <c r="CN407" s="93" t="str">
        <f aca="false">IF(ISBLANK($C407),"",IF($BZ407&lt;&gt;Constants!$B$8,$BZ407,IF(ISNUMBER($CM407),RANK($CM407,$CM$9:$CM$508,1),COUNT($CM$9:$CM$508)+1)))</f>
        <v/>
      </c>
      <c r="CO407" s="93" t="str">
        <f aca="false">IF(ISBLANK($C407),"",IF($BZ407&lt;&gt;Constants!$B$8,$BZ407,COUNTIFS($CF$9:$CF$508,"&lt;"&amp;$CF407)+COUNTIFS($CF$9:$CF$508,$CF407,$CH$9:$CH$508,"&lt;"&amp;$CH407)+COUNTIFS($CF$9:$CF$508,$CF407,$CH$9:$CH$508,$CH407,$CJ$9:$CJ$508,"&lt;"&amp;$CJ407)+COUNTIFS($CF$9:$CF$508,$CF407,$CH$9:$CH$508,$CH407,$CJ$9:$CJ$508,$CJ407,$CL$9:$CL$508,"&lt;"&amp;$CL407)+COUNTIFS($CF$9:$CF$508,$CF407,$CH$9:$CH$508,$CH407,$CJ$9:$CJ$508,$CJ407,$CL$9:$CL$508,$CL407,$CN$9:$CN$508,"&lt;"&amp;$CN407)+1))</f>
        <v/>
      </c>
      <c r="CP407" s="93" t="str">
        <f aca="false">IF(ISBLANK($C407),"",IF($BZ407&lt;&gt;Constants!$B$8,$BZ407,$CF407-$CO407))</f>
        <v/>
      </c>
      <c r="CQ407" s="100"/>
      <c r="CR407" s="101"/>
      <c r="CS407" s="102" t="str">
        <f aca="false">IF(ISBLANK($C407),"",IF($BZ407=Constants!$B$12,$BY407,""))</f>
        <v/>
      </c>
      <c r="CT407" s="101" t="str">
        <f aca="false">IF(ISBLANK($C407),"",IF($BZ407&lt;&gt;Constants!$B$8,"",IF($BM407="-&gt;",2,1)))</f>
        <v/>
      </c>
      <c r="CU407" s="103" t="str">
        <f aca="false">IF(ISBLANK($C407),"",IF($BZ407&lt;&gt;Constants!$B$8,"",IF($BM407="-&gt;",$BO407,$BC407)))</f>
        <v/>
      </c>
      <c r="CV407" s="103" t="str">
        <f aca="false">IF(ISBLANK($C407),"",IF($BZ407&lt;&gt;Constants!$B$8,"",IF($BM407="-&gt;",$BP407,$BD407)))</f>
        <v/>
      </c>
      <c r="CW407" s="103" t="str">
        <f aca="false">IF(ISBLANK($C407),"",IF($BZ407&lt;&gt;Constants!$B$8,"",IF($BM407="-&gt;",$BQ407+$BR407,$BE407+$BF407)+$CD407))</f>
        <v/>
      </c>
      <c r="CX407" s="103" t="str">
        <f aca="false">IF(ISBLANK($C407),"",IF($BZ407&lt;&gt;Constants!$B$8,"",IF($BM407="-&gt;",$BS407,$BG407)+$CC407))</f>
        <v/>
      </c>
      <c r="CY407" s="104" t="str">
        <f aca="false">IF(ISBLANK($C407),"",IF($BZ407&lt;&gt;Constants!$B$8,$BZ407,$CE407))</f>
        <v/>
      </c>
      <c r="CZ407" s="105" t="str">
        <f aca="false">IF(ISBLANK($C407),"",$CA407)</f>
        <v/>
      </c>
      <c r="DA407" s="106" t="str">
        <f aca="false">IF(ISBLANK($C407),"",$CP407)</f>
        <v/>
      </c>
      <c r="DB407" s="106" t="str">
        <f aca="false">IF(ISBLANK($C407),"",$CO407)</f>
        <v/>
      </c>
      <c r="DC407" s="107" t="str">
        <f aca="false">IF(ISBLANK($C407),"",IFERROR(_xlfn.SWITCH($DB407,Constants!$B$11,COUNTA($C$9:$C$508)+2,Constants!$B$10,COUNTA($C$9:$C$508)+1,Constants!$B$9,COUNTA($C$9:$C$508)),$DB407))</f>
        <v/>
      </c>
      <c r="DD407" s="9"/>
      <c r="DE407" s="108" t="n">
        <f aca="false">IF(OR(ISNUMBER($DB407),$DB407=Constants!$B$11,$DB407=Constants!$B$9,$DB407=Constants!$B$10),1,0)</f>
        <v>0</v>
      </c>
      <c r="DF407" s="108" t="n">
        <v>399</v>
      </c>
      <c r="DG407" s="108" t="str">
        <f aca="false">IF(ISBLANK($C407),"",IF(ISNUMBER($DC407),$DC407+ROW($B407)/1000,""))</f>
        <v/>
      </c>
      <c r="DH407" s="108" t="str">
        <f aca="false">IF(ISNUMBER($DG407),RANK($DG407,$DG$9:$DG$508,1),"")</f>
        <v/>
      </c>
      <c r="DI407" s="108" t="str">
        <f aca="false">IF(ISBLANK($C407),"",$B407)</f>
        <v/>
      </c>
      <c r="DJ407" s="108" t="str">
        <f aca="false">IF(ISBLANK($C407),"",$C407)</f>
        <v/>
      </c>
      <c r="DK407" s="108" t="str">
        <f aca="false">IF(ISBLANK($C407),"",$D407)</f>
        <v/>
      </c>
      <c r="DL407" s="109" t="str">
        <f aca="false">$CZ407</f>
        <v/>
      </c>
      <c r="DM407" s="110" t="str">
        <f aca="false">$CY407</f>
        <v/>
      </c>
      <c r="DN407" s="108" t="str">
        <f aca="false">IF(ISBLANK($C407),"",$DB407)</f>
        <v/>
      </c>
      <c r="DO407" s="111" t="str">
        <f aca="false">IF($DF407&gt;$DE$8,"",VLOOKUP($DF407,$DH$9:$DN$508,7,FALSE()))</f>
        <v/>
      </c>
      <c r="DP407" s="112" t="str">
        <f aca="false">IF($DF407&gt;$DE$8,"",VLOOKUP($DF407,$DH$9:$DN$508,2,FALSE()))</f>
        <v/>
      </c>
      <c r="DQ407" s="112" t="str">
        <f aca="false">IF($DF407&gt;$DE$8,"",VLOOKUP($DF407,$DH$9:$DN$508,3,FALSE()))</f>
        <v/>
      </c>
      <c r="DR407" s="112" t="str">
        <f aca="false">IF($DF407&gt;$DE$8,"",VLOOKUP($DF407,$DH$9:$DN$508,4,FALSE()))</f>
        <v/>
      </c>
      <c r="DS407" s="112" t="str">
        <f aca="false">IF($DF407&gt;$DE$8,"",VLOOKUP($DF407,$DH$9:$DN$508,5,FALSE()))</f>
        <v/>
      </c>
      <c r="DT407" s="113" t="str">
        <f aca="false">IF($DF407&gt;$DE$8,"",VLOOKUP($DF407,$DH$9:$DN$508,6,FALSE()))</f>
        <v/>
      </c>
      <c r="DU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IF(ISBLANK($C408),"",IF(E408=Constants!$B$3,TRUE(),IF(E408=Constants!$B$4,FALSE(),TRUE())))</f>
        <v/>
      </c>
      <c r="AG408" s="135" t="str">
        <f aca="false">IF(ISBLANK($C408),"",IF(F408=Constants!$B$3,TRUE(),IF(F408=Constants!$B$4,FALSE(),TRUE())))</f>
        <v/>
      </c>
      <c r="AH408" s="135" t="str">
        <f aca="false">IF(ISBLANK($C408),"",IF(G408=Constants!$B$3,TRUE(),IF(G408=Constants!$B$4,FALSE(),TRUE())))</f>
        <v/>
      </c>
      <c r="AI408" s="135" t="str">
        <f aca="false">IF(ISBLANK($C408),"",IF(AND(ISNUMBER(H408),H408&gt;=0),H408,Constants!$B$29))</f>
        <v/>
      </c>
      <c r="AJ408" s="135" t="str">
        <f aca="false">IF(ISBLANK($C408),"",IF(I408=Constants!$B$3,TRUE(),IF(I408=Constants!$B$4,FALSE(),TRUE())))</f>
        <v/>
      </c>
      <c r="AK408" s="135" t="str">
        <f aca="false">IF(ISBLANK($C408),"",IF(J408=Constants!$B$3,TRUE(),IF(J408=Constants!$B$4,FALSE(),TRUE())))</f>
        <v/>
      </c>
      <c r="AL408" s="135" t="str">
        <f aca="false">IF(ISBLANK($C408),"",IF(K408=Constants!$B$5,TRUE(),IF(K408=Constants!$B$6,FALSE(),COUNTA(L408:P408)&gt;0)))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IF(ISBLANK($C408),"",IF(N408=Constants!$B$3,TRUE(),IF(N408=Constants!$B$4,FALSE(),TRUE())))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IF(ISBLANK($C408),"",IF(P408=Constants!$B$3,TRUE(),IF(P408=Constants!$B$4,FALSE(),FALSE())))</f>
        <v/>
      </c>
      <c r="AR408" s="135" t="str">
        <f aca="false">IF(ISBLANK($C408),"",IF(Q408=Constants!$B$3,TRUE(),IF(Q408=Constants!$B$4,FALSE(),TRUE())))</f>
        <v/>
      </c>
      <c r="AS408" s="135" t="str">
        <f aca="false">IF(ISBLANK($C408),"",IF(R408=Constants!$B$3,TRUE(),IF(R408=Constants!$B$4,FALSE(),TRUE())))</f>
        <v/>
      </c>
      <c r="AT408" s="135" t="str">
        <f aca="false">IF(ISBLANK($C408),"",IF(S408=Constants!$B$5,TRUE(),IF(S408=Constants!$B$6,FALSE(),COUNTA(T408:X408)&gt;0)))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IF(ISBLANK($C408),"",IF(V408=Constants!$B$3,TRUE(),IF(V408=Constants!$B$4,FALSE(),TRUE())))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IF(ISBLANK($C408),"",IF(X408=Constants!$B$3,TRUE(),IF(X408=Constants!$B$4,FALSE(),FALSE())))</f>
        <v/>
      </c>
      <c r="AZ408" s="135" t="str">
        <f aca="false">IF(ISBLANK($C408),"",MIN(Constants!$B$31,MAX(0,IF(ISNUMBER(Y408),Y408*60,0)+IF(ISNUMBER(Z408),Z408,0))))</f>
        <v/>
      </c>
      <c r="BA408" s="135" t="str">
        <f aca="false">IF(ISBLANK($C408),"",IF(AA408=Constants!$B$3,TRUE(),IF(AA408=Constants!$B$4,FALSE(),FALSE())))</f>
        <v/>
      </c>
      <c r="BB408" s="134" t="str">
        <f aca="false">IF(ISBLANK($C408),"",AND($AL408,OR($AM408="",$AN408="",AND($AO408,$AP408=""))))</f>
        <v/>
      </c>
      <c r="BC408" s="137" t="str">
        <f aca="false">IF($BZ408&lt;&gt;Constants!$B$8,"",IF($AL408,Constants!$B$21*$AN408+Constants!$B$22*IF($AO408,$AP408,Constants!$B$23),Constants!$B$24))</f>
        <v/>
      </c>
      <c r="BD408" s="138" t="str">
        <f aca="false">IF($BZ408&lt;&gt;Constants!$B$8,"",Constants!$B$25*ABS($AD$9-IF($AL408,$AM408,0)))</f>
        <v/>
      </c>
      <c r="BE408" s="138" t="str">
        <f aca="false">IF($BZ408&lt;&gt;Constants!$B$8,"",IF(AND($AL408,$AQ408,$AO408),Constants!$B$27,0))</f>
        <v/>
      </c>
      <c r="BF408" s="138" t="str">
        <f aca="false">IF($BZ408&lt;&gt;Constants!$B$8,"",IF($AL408,($AI408-Constants!$B$29)*Constants!$B$28,0))</f>
        <v/>
      </c>
      <c r="BG408" s="138" t="str">
        <f aca="false">IF($BZ408&lt;&gt;Constants!$B$8,"",IF($AK408,0,Constants!$B$15)+IF($AJ408,0,Constants!$B$16)+IF($AH408,0,Constants!$B$17))</f>
        <v/>
      </c>
      <c r="BH408" s="139" t="str">
        <f aca="false">IF($BZ408&lt;&gt;Constants!$B$8,"",Constants!$B$20+SUM($BC408:$BG408))</f>
        <v/>
      </c>
      <c r="BI408" s="138" t="str">
        <f aca="false">IF($BZ408&lt;&gt;Constants!$B$8,"",$BC408)</f>
        <v/>
      </c>
      <c r="BJ408" s="138" t="str">
        <f aca="false">IF($BZ408&lt;&gt;Constants!$B$8,"",$BD408)</f>
        <v/>
      </c>
      <c r="BK408" s="138" t="str">
        <f aca="false">IF($BZ408&lt;&gt;Constants!$B$8,"",IF($AL408,$AN408,""))</f>
        <v/>
      </c>
      <c r="BL408" s="140" t="str">
        <f aca="false">IF($BZ408&lt;&gt;Constants!$B$8,"",$AI408)</f>
        <v/>
      </c>
      <c r="BM408" s="135" t="str">
        <f aca="false">IF($BZ408&lt;&gt;Constants!$B$8,"",IF(OR($BT408&lt;$BH408,AND($BT408=$BH408,OR($BU408&lt;$BI408,AND($BU408=$BI408,OR($BV408&lt;$BJ408,AND($BV408=$BJ408,OR(AND(ISNUMBER($BW408),OR(NOT(ISNUMBER($BK408)),$BW408&lt;$BK408)),AND(OR(AND($BW408="",$BK408=""),AND(ISNUMBER($BW408),ISNUMBER($BK408),$BW408=$BK408)),$BX408&lt;$BL408)))))))),"-&gt;","&lt;-"))</f>
        <v/>
      </c>
      <c r="BN408" s="134" t="str">
        <f aca="false">IF(ISBLANK($C408),"",AND($AT408,OR($AU408="",$AV408="",AND($AW408,$AX408=""))))</f>
        <v/>
      </c>
      <c r="BO408" s="137" t="str">
        <f aca="false">IF($BZ408&lt;&gt;Constants!$B$8,"",IF($AT408,Constants!$B$21*$AV408+Constants!$B$22*IF($AW408,$AX408,Constants!$B$23),Constants!$B$24))</f>
        <v/>
      </c>
      <c r="BP408" s="138" t="str">
        <f aca="false">IF($BZ408&lt;&gt;Constants!$B$8,"",Constants!$B$25*ABS($AD$9-IF($AT408,$AU408,0)))</f>
        <v/>
      </c>
      <c r="BQ408" s="138" t="str">
        <f aca="false">IF($BZ408&lt;&gt;Constants!$B$8,"",IF(AND($AT408,$AY408,$AW408),Constants!$B$27,0))</f>
        <v/>
      </c>
      <c r="BR408" s="138" t="str">
        <f aca="false">IF($BZ408&lt;&gt;Constants!$B$8,"",IF($AT408,($AI408-Constants!$B$29)*Constants!$B$28,0))</f>
        <v/>
      </c>
      <c r="BS408" s="138" t="str">
        <f aca="false">IF($BZ408&lt;&gt;Constants!$B$8,"",IF($AS408,0,Constants!$B$15)+IF($AR408,0,Constants!$B$16)+IF($AH408,0,Constants!$B$17))</f>
        <v/>
      </c>
      <c r="BT408" s="139" t="str">
        <f aca="false">IF($BZ408&lt;&gt;Constants!$B$8,"",Constants!$B$20+SUM($BO408:$BS408))</f>
        <v/>
      </c>
      <c r="BU408" s="138" t="str">
        <f aca="false">IF($BZ408&lt;&gt;Constants!$B$8,"",$BO408)</f>
        <v/>
      </c>
      <c r="BV408" s="138" t="str">
        <f aca="false">IF($BZ408&lt;&gt;Constants!$B$8,"",$BP408)</f>
        <v/>
      </c>
      <c r="BW408" s="138" t="str">
        <f aca="false">IF($BZ408&lt;&gt;Constants!$B$8,"",IF($AT408,$AV408,""))</f>
        <v/>
      </c>
      <c r="BX408" s="140" t="str">
        <f aca="false">IF($BZ408&lt;&gt;Constants!$B$8,"",$AI408)</f>
        <v/>
      </c>
      <c r="BY408" s="135" t="str">
        <f aca="false">IF(ISBLANK($C408),"",IF(ISBLANK($D$7),$BY$5,IF(NOT(ISNUMBER($D$7)),$BY$6,"")))</f>
        <v/>
      </c>
      <c r="BZ408" s="135" t="str">
        <f aca="false">IF(ISBLANK($C408),"",IF($BA408,Constants!$B$11,IF(COUNTA($E408:$AA408)=0,Constants!$B$10,IF(NOT($AG408),Constants!$B$9,IF(OR($BY408&lt;&gt;"",$BB408,$BN408),Constants!$B$12,Constants!$B$8)))))</f>
        <v/>
      </c>
      <c r="CA408" s="135" t="str">
        <f aca="false">IF(ISBLANK($C408),"",IF($BZ408&lt;&gt;Constants!$B$8,$BZ408,Constants!$B$13))</f>
        <v/>
      </c>
      <c r="CB408" s="138" t="str">
        <f aca="false">IF($BZ408&lt;&gt;Constants!$B$8,"",IF($BM408="-&gt;",$BT408,$BH408))</f>
        <v/>
      </c>
      <c r="CC408" s="138" t="str">
        <f aca="false">IF($BZ408&lt;&gt;Constants!$B$8,"",IF($AF408,0,Constants!$B$18))</f>
        <v/>
      </c>
      <c r="CD408" s="138" t="str">
        <f aca="false">IF($BZ408&lt;&gt;Constants!$B$8,"",((Constants!$B$31-$AZ408)-Constants!$B$31)/Constants!$B$32)</f>
        <v/>
      </c>
      <c r="CE408" s="138" t="str">
        <f aca="false">IF(ISBLANK($C408),"",IF($BZ408&lt;&gt;Constants!$B$8,$BZ408,SUM($CB408:$CD408)))</f>
        <v/>
      </c>
      <c r="CF408" s="135" t="str">
        <f aca="false">IF(ISBLANK($C408),"",IF($BZ408&lt;&gt;Constants!$B$8,$BZ408,RANK($CE408,$CE$9:$CE$508,1)))</f>
        <v/>
      </c>
      <c r="CG408" s="138" t="str">
        <f aca="false">IF($BZ408&lt;&gt;Constants!$B$8,"",IF($BM408="-&gt;",$BU408,$BI408))</f>
        <v/>
      </c>
      <c r="CH408" s="135" t="str">
        <f aca="false">IF(ISBLANK($C408),"",IF($BZ408&lt;&gt;Constants!$B$8,$BZ408,IF(ISNUMBER($CG408),RANK($CG408,$CG$9:$CG$508,1),COUNT($CG$9:$CG$508)+1)))</f>
        <v/>
      </c>
      <c r="CI408" s="138" t="str">
        <f aca="false">IF($BZ408&lt;&gt;Constants!$B$8,"",IF($BM408="-&gt;",$BV408,$BJ408))</f>
        <v/>
      </c>
      <c r="CJ408" s="135" t="str">
        <f aca="false">IF(ISBLANK($C408),"",IF($BZ408&lt;&gt;Constants!$B$8,$BZ408,IF(ISNUMBER($CI408),RANK($CI408,$CI$9:$CI$508,1),COUNT($CI$9:$CI$508)+1)))</f>
        <v/>
      </c>
      <c r="CK408" s="138" t="str">
        <f aca="false">IF($BZ408&lt;&gt;Constants!$B$8,"",IF($BM408="-&gt;",$BW408,$BK408))</f>
        <v/>
      </c>
      <c r="CL408" s="135" t="str">
        <f aca="false">IF(ISBLANK($C408),"",IF($BZ408&lt;&gt;Constants!$B$8,$BZ408,IF(ISNUMBER($CK408),RANK($CK408,$CK$9:$CK$508,1),COUNT($CK$9:$CK$508)+1)))</f>
        <v/>
      </c>
      <c r="CM408" s="138" t="str">
        <f aca="false">IF($BZ408&lt;&gt;Constants!$B$8,"",IF(AND(NOT($AL408),NOT($AT408),$AJ408,$AK408,$AR408,$AS408),"",IF($BM408="-&gt;",$BX408,$BL408)))</f>
        <v/>
      </c>
      <c r="CN408" s="135" t="str">
        <f aca="false">IF(ISBLANK($C408),"",IF($BZ408&lt;&gt;Constants!$B$8,$BZ408,IF(ISNUMBER($CM408),RANK($CM408,$CM$9:$CM$508,1),COUNT($CM$9:$CM$508)+1)))</f>
        <v/>
      </c>
      <c r="CO408" s="135" t="str">
        <f aca="false">IF(ISBLANK($C408),"",IF($BZ408&lt;&gt;Constants!$B$8,$BZ408,COUNTIFS($CF$9:$CF$508,"&lt;"&amp;$CF408)+COUNTIFS($CF$9:$CF$508,$CF408,$CH$9:$CH$508,"&lt;"&amp;$CH408)+COUNTIFS($CF$9:$CF$508,$CF408,$CH$9:$CH$508,$CH408,$CJ$9:$CJ$508,"&lt;"&amp;$CJ408)+COUNTIFS($CF$9:$CF$508,$CF408,$CH$9:$CH$508,$CH408,$CJ$9:$CJ$508,$CJ408,$CL$9:$CL$508,"&lt;"&amp;$CL408)+COUNTIFS($CF$9:$CF$508,$CF408,$CH$9:$CH$508,$CH408,$CJ$9:$CJ$508,$CJ408,$CL$9:$CL$508,$CL408,$CN$9:$CN$508,"&lt;"&amp;$CN408)+1))</f>
        <v/>
      </c>
      <c r="CP408" s="135" t="str">
        <f aca="false">IF(ISBLANK($C408),"",IF($BZ408&lt;&gt;Constants!$B$8,$BZ408,$CF408-$CO408))</f>
        <v/>
      </c>
      <c r="CQ408" s="141"/>
      <c r="CR408" s="142"/>
      <c r="CS408" s="143" t="str">
        <f aca="false">IF(ISBLANK($C408),"",IF($BZ408=Constants!$B$12,$BY408,""))</f>
        <v/>
      </c>
      <c r="CT408" s="142" t="str">
        <f aca="false">IF(ISBLANK($C408),"",IF($BZ408&lt;&gt;Constants!$B$8,"",IF($BM408="-&gt;",2,1)))</f>
        <v/>
      </c>
      <c r="CU408" s="144" t="str">
        <f aca="false">IF(ISBLANK($C408),"",IF($BZ408&lt;&gt;Constants!$B$8,"",IF($BM408="-&gt;",$BO408,$BC408)))</f>
        <v/>
      </c>
      <c r="CV408" s="144" t="str">
        <f aca="false">IF(ISBLANK($C408),"",IF($BZ408&lt;&gt;Constants!$B$8,"",IF($BM408="-&gt;",$BP408,$BD408)))</f>
        <v/>
      </c>
      <c r="CW408" s="144" t="str">
        <f aca="false">IF(ISBLANK($C408),"",IF($BZ408&lt;&gt;Constants!$B$8,"",IF($BM408="-&gt;",$BQ408+$BR408,$BE408+$BF408)+$CD408))</f>
        <v/>
      </c>
      <c r="CX408" s="144" t="str">
        <f aca="false">IF(ISBLANK($C408),"",IF($BZ408&lt;&gt;Constants!$B$8,"",IF($BM408="-&gt;",$BS408,$BG408)+$CC408))</f>
        <v/>
      </c>
      <c r="CY408" s="145" t="str">
        <f aca="false">IF(ISBLANK($C408),"",IF($BZ408&lt;&gt;Constants!$B$8,$BZ408,$CE408))</f>
        <v/>
      </c>
      <c r="CZ408" s="146" t="str">
        <f aca="false">IF(ISBLANK($C408),"",$CA408)</f>
        <v/>
      </c>
      <c r="DA408" s="147" t="str">
        <f aca="false">IF(ISBLANK($C408),"",$CP408)</f>
        <v/>
      </c>
      <c r="DB408" s="147" t="str">
        <f aca="false">IF(ISBLANK($C408),"",$CO408)</f>
        <v/>
      </c>
      <c r="DC408" s="148" t="str">
        <f aca="false">IF(ISBLANK($C408),"",IFERROR(_xlfn.SWITCH($DB408,Constants!$B$11,COUNTA($C$9:$C$508)+2,Constants!$B$10,COUNTA($C$9:$C$508)+1,Constants!$B$9,COUNTA($C$9:$C$508)),$DB408))</f>
        <v/>
      </c>
      <c r="DD408" s="9"/>
      <c r="DE408" s="149" t="n">
        <f aca="false">IF(OR(ISNUMBER($DB408),$DB408=Constants!$B$11,$DB408=Constants!$B$9,$DB408=Constants!$B$10),1,0)</f>
        <v>0</v>
      </c>
      <c r="DF408" s="149" t="n">
        <v>400</v>
      </c>
      <c r="DG408" s="149" t="str">
        <f aca="false">IF(ISBLANK($C408),"",IF(ISNUMBER($DC408),$DC408+ROW($B408)/1000,""))</f>
        <v/>
      </c>
      <c r="DH408" s="149" t="str">
        <f aca="false">IF(ISNUMBER($DG408),RANK($DG408,$DG$9:$DG$508,1),"")</f>
        <v/>
      </c>
      <c r="DI408" s="149" t="str">
        <f aca="false">IF(ISBLANK($C408),"",$B408)</f>
        <v/>
      </c>
      <c r="DJ408" s="149" t="str">
        <f aca="false">IF(ISBLANK($C408),"",$C408)</f>
        <v/>
      </c>
      <c r="DK408" s="149" t="str">
        <f aca="false">IF(ISBLANK($C408),"",$D408)</f>
        <v/>
      </c>
      <c r="DL408" s="150" t="str">
        <f aca="false">$CZ408</f>
        <v/>
      </c>
      <c r="DM408" s="151" t="str">
        <f aca="false">$CY408</f>
        <v/>
      </c>
      <c r="DN408" s="149" t="str">
        <f aca="false">IF(ISBLANK($C408),"",$DB408)</f>
        <v/>
      </c>
      <c r="DO408" s="152" t="str">
        <f aca="false">IF($DF408&gt;$DE$8,"",VLOOKUP($DF408,$DH$9:$DN$508,7,FALSE()))</f>
        <v/>
      </c>
      <c r="DP408" s="153" t="str">
        <f aca="false">IF($DF408&gt;$DE$8,"",VLOOKUP($DF408,$DH$9:$DN$508,2,FALSE()))</f>
        <v/>
      </c>
      <c r="DQ408" s="153" t="str">
        <f aca="false">IF($DF408&gt;$DE$8,"",VLOOKUP($DF408,$DH$9:$DN$508,3,FALSE()))</f>
        <v/>
      </c>
      <c r="DR408" s="153" t="str">
        <f aca="false">IF($DF408&gt;$DE$8,"",VLOOKUP($DF408,$DH$9:$DN$508,4,FALSE()))</f>
        <v/>
      </c>
      <c r="DS408" s="153" t="str">
        <f aca="false">IF($DF408&gt;$DE$8,"",VLOOKUP($DF408,$DH$9:$DN$508,5,FALSE()))</f>
        <v/>
      </c>
      <c r="DT408" s="154" t="str">
        <f aca="false">IF($DF408&gt;$DE$8,"",VLOOKUP($DF408,$DH$9:$DN$508,6,FALSE()))</f>
        <v/>
      </c>
      <c r="DU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IF(ISBLANK($C409),"",IF(E409=Constants!$B$3,TRUE(),IF(E409=Constants!$B$4,FALSE(),TRUE())))</f>
        <v/>
      </c>
      <c r="AG409" s="135" t="str">
        <f aca="false">IF(ISBLANK($C409),"",IF(F409=Constants!$B$3,TRUE(),IF(F409=Constants!$B$4,FALSE(),TRUE())))</f>
        <v/>
      </c>
      <c r="AH409" s="135" t="str">
        <f aca="false">IF(ISBLANK($C409),"",IF(G409=Constants!$B$3,TRUE(),IF(G409=Constants!$B$4,FALSE(),TRUE())))</f>
        <v/>
      </c>
      <c r="AI409" s="135" t="str">
        <f aca="false">IF(ISBLANK($C409),"",IF(AND(ISNUMBER(H409),H409&gt;=0),H409,Constants!$B$29))</f>
        <v/>
      </c>
      <c r="AJ409" s="135" t="str">
        <f aca="false">IF(ISBLANK($C409),"",IF(I409=Constants!$B$3,TRUE(),IF(I409=Constants!$B$4,FALSE(),TRUE())))</f>
        <v/>
      </c>
      <c r="AK409" s="135" t="str">
        <f aca="false">IF(ISBLANK($C409),"",IF(J409=Constants!$B$3,TRUE(),IF(J409=Constants!$B$4,FALSE(),TRUE())))</f>
        <v/>
      </c>
      <c r="AL409" s="135" t="str">
        <f aca="false">IF(ISBLANK($C409),"",IF(K409=Constants!$B$5,TRUE(),IF(K409=Constants!$B$6,FALSE(),COUNTA(L409:P409)&gt;0)))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IF(ISBLANK($C409),"",IF(N409=Constants!$B$3,TRUE(),IF(N409=Constants!$B$4,FALSE(),TRUE())))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IF(ISBLANK($C409),"",IF(P409=Constants!$B$3,TRUE(),IF(P409=Constants!$B$4,FALSE(),FALSE())))</f>
        <v/>
      </c>
      <c r="AR409" s="135" t="str">
        <f aca="false">IF(ISBLANK($C409),"",IF(Q409=Constants!$B$3,TRUE(),IF(Q409=Constants!$B$4,FALSE(),TRUE())))</f>
        <v/>
      </c>
      <c r="AS409" s="135" t="str">
        <f aca="false">IF(ISBLANK($C409),"",IF(R409=Constants!$B$3,TRUE(),IF(R409=Constants!$B$4,FALSE(),TRUE())))</f>
        <v/>
      </c>
      <c r="AT409" s="135" t="str">
        <f aca="false">IF(ISBLANK($C409),"",IF(S409=Constants!$B$5,TRUE(),IF(S409=Constants!$B$6,FALSE(),COUNTA(T409:X409)&gt;0)))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IF(ISBLANK($C409),"",IF(V409=Constants!$B$3,TRUE(),IF(V409=Constants!$B$4,FALSE(),TRUE())))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IF(ISBLANK($C409),"",IF(X409=Constants!$B$3,TRUE(),IF(X409=Constants!$B$4,FALSE(),FALSE())))</f>
        <v/>
      </c>
      <c r="AZ409" s="135" t="str">
        <f aca="false">IF(ISBLANK($C409),"",MIN(Constants!$B$31,MAX(0,IF(ISNUMBER(Y409),Y409*60,0)+IF(ISNUMBER(Z409),Z409,0))))</f>
        <v/>
      </c>
      <c r="BA409" s="135" t="str">
        <f aca="false">IF(ISBLANK($C409),"",IF(AA409=Constants!$B$3,TRUE(),IF(AA409=Constants!$B$4,FALSE(),FALSE())))</f>
        <v/>
      </c>
      <c r="BB409" s="134" t="str">
        <f aca="false">IF(ISBLANK($C409),"",AND($AL409,OR($AM409="",$AN409="",AND($AO409,$AP409=""))))</f>
        <v/>
      </c>
      <c r="BC409" s="137" t="str">
        <f aca="false">IF($BZ409&lt;&gt;Constants!$B$8,"",IF($AL409,Constants!$B$21*$AN409+Constants!$B$22*IF($AO409,$AP409,Constants!$B$23),Constants!$B$24))</f>
        <v/>
      </c>
      <c r="BD409" s="138" t="str">
        <f aca="false">IF($BZ409&lt;&gt;Constants!$B$8,"",Constants!$B$25*ABS($AD$9-IF($AL409,$AM409,0)))</f>
        <v/>
      </c>
      <c r="BE409" s="138" t="str">
        <f aca="false">IF($BZ409&lt;&gt;Constants!$B$8,"",IF(AND($AL409,$AQ409,$AO409),Constants!$B$27,0))</f>
        <v/>
      </c>
      <c r="BF409" s="138" t="str">
        <f aca="false">IF($BZ409&lt;&gt;Constants!$B$8,"",IF($AL409,($AI409-Constants!$B$29)*Constants!$B$28,0))</f>
        <v/>
      </c>
      <c r="BG409" s="138" t="str">
        <f aca="false">IF($BZ409&lt;&gt;Constants!$B$8,"",IF($AK409,0,Constants!$B$15)+IF($AJ409,0,Constants!$B$16)+IF($AH409,0,Constants!$B$17))</f>
        <v/>
      </c>
      <c r="BH409" s="139" t="str">
        <f aca="false">IF($BZ409&lt;&gt;Constants!$B$8,"",Constants!$B$20+SUM($BC409:$BG409))</f>
        <v/>
      </c>
      <c r="BI409" s="138" t="str">
        <f aca="false">IF($BZ409&lt;&gt;Constants!$B$8,"",$BC409)</f>
        <v/>
      </c>
      <c r="BJ409" s="138" t="str">
        <f aca="false">IF($BZ409&lt;&gt;Constants!$B$8,"",$BD409)</f>
        <v/>
      </c>
      <c r="BK409" s="138" t="str">
        <f aca="false">IF($BZ409&lt;&gt;Constants!$B$8,"",IF($AL409,$AN409,""))</f>
        <v/>
      </c>
      <c r="BL409" s="140" t="str">
        <f aca="false">IF($BZ409&lt;&gt;Constants!$B$8,"",$AI409)</f>
        <v/>
      </c>
      <c r="BM409" s="135" t="str">
        <f aca="false">IF($BZ409&lt;&gt;Constants!$B$8,"",IF(OR($BT409&lt;$BH409,AND($BT409=$BH409,OR($BU409&lt;$BI409,AND($BU409=$BI409,OR($BV409&lt;$BJ409,AND($BV409=$BJ409,OR(AND(ISNUMBER($BW409),OR(NOT(ISNUMBER($BK409)),$BW409&lt;$BK409)),AND(OR(AND($BW409="",$BK409=""),AND(ISNUMBER($BW409),ISNUMBER($BK409),$BW409=$BK409)),$BX409&lt;$BL409)))))))),"-&gt;","&lt;-"))</f>
        <v/>
      </c>
      <c r="BN409" s="134" t="str">
        <f aca="false">IF(ISBLANK($C409),"",AND($AT409,OR($AU409="",$AV409="",AND($AW409,$AX409=""))))</f>
        <v/>
      </c>
      <c r="BO409" s="137" t="str">
        <f aca="false">IF($BZ409&lt;&gt;Constants!$B$8,"",IF($AT409,Constants!$B$21*$AV409+Constants!$B$22*IF($AW409,$AX409,Constants!$B$23),Constants!$B$24))</f>
        <v/>
      </c>
      <c r="BP409" s="138" t="str">
        <f aca="false">IF($BZ409&lt;&gt;Constants!$B$8,"",Constants!$B$25*ABS($AD$9-IF($AT409,$AU409,0)))</f>
        <v/>
      </c>
      <c r="BQ409" s="138" t="str">
        <f aca="false">IF($BZ409&lt;&gt;Constants!$B$8,"",IF(AND($AT409,$AY409,$AW409),Constants!$B$27,0))</f>
        <v/>
      </c>
      <c r="BR409" s="138" t="str">
        <f aca="false">IF($BZ409&lt;&gt;Constants!$B$8,"",IF($AT409,($AI409-Constants!$B$29)*Constants!$B$28,0))</f>
        <v/>
      </c>
      <c r="BS409" s="138" t="str">
        <f aca="false">IF($BZ409&lt;&gt;Constants!$B$8,"",IF($AS409,0,Constants!$B$15)+IF($AR409,0,Constants!$B$16)+IF($AH409,0,Constants!$B$17))</f>
        <v/>
      </c>
      <c r="BT409" s="139" t="str">
        <f aca="false">IF($BZ409&lt;&gt;Constants!$B$8,"",Constants!$B$20+SUM($BO409:$BS409))</f>
        <v/>
      </c>
      <c r="BU409" s="138" t="str">
        <f aca="false">IF($BZ409&lt;&gt;Constants!$B$8,"",$BO409)</f>
        <v/>
      </c>
      <c r="BV409" s="138" t="str">
        <f aca="false">IF($BZ409&lt;&gt;Constants!$B$8,"",$BP409)</f>
        <v/>
      </c>
      <c r="BW409" s="138" t="str">
        <f aca="false">IF($BZ409&lt;&gt;Constants!$B$8,"",IF($AT409,$AV409,""))</f>
        <v/>
      </c>
      <c r="BX409" s="140" t="str">
        <f aca="false">IF($BZ409&lt;&gt;Constants!$B$8,"",$AI409)</f>
        <v/>
      </c>
      <c r="BY409" s="135" t="str">
        <f aca="false">IF(ISBLANK($C409),"",IF(ISBLANK($D$7),$BY$5,IF(NOT(ISNUMBER($D$7)),$BY$6,"")))</f>
        <v/>
      </c>
      <c r="BZ409" s="135" t="str">
        <f aca="false">IF(ISBLANK($C409),"",IF($BA409,Constants!$B$11,IF(COUNTA($E409:$AA409)=0,Constants!$B$10,IF(NOT($AG409),Constants!$B$9,IF(OR($BY409&lt;&gt;"",$BB409,$BN409),Constants!$B$12,Constants!$B$8)))))</f>
        <v/>
      </c>
      <c r="CA409" s="135" t="str">
        <f aca="false">IF(ISBLANK($C409),"",IF($BZ409&lt;&gt;Constants!$B$8,$BZ409,Constants!$B$13))</f>
        <v/>
      </c>
      <c r="CB409" s="138" t="str">
        <f aca="false">IF($BZ409&lt;&gt;Constants!$B$8,"",IF($BM409="-&gt;",$BT409,$BH409))</f>
        <v/>
      </c>
      <c r="CC409" s="138" t="str">
        <f aca="false">IF($BZ409&lt;&gt;Constants!$B$8,"",IF($AF409,0,Constants!$B$18))</f>
        <v/>
      </c>
      <c r="CD409" s="138" t="str">
        <f aca="false">IF($BZ409&lt;&gt;Constants!$B$8,"",((Constants!$B$31-$AZ409)-Constants!$B$31)/Constants!$B$32)</f>
        <v/>
      </c>
      <c r="CE409" s="138" t="str">
        <f aca="false">IF(ISBLANK($C409),"",IF($BZ409&lt;&gt;Constants!$B$8,$BZ409,SUM($CB409:$CD409)))</f>
        <v/>
      </c>
      <c r="CF409" s="135" t="str">
        <f aca="false">IF(ISBLANK($C409),"",IF($BZ409&lt;&gt;Constants!$B$8,$BZ409,RANK($CE409,$CE$9:$CE$508,1)))</f>
        <v/>
      </c>
      <c r="CG409" s="138" t="str">
        <f aca="false">IF($BZ409&lt;&gt;Constants!$B$8,"",IF($BM409="-&gt;",$BU409,$BI409))</f>
        <v/>
      </c>
      <c r="CH409" s="135" t="str">
        <f aca="false">IF(ISBLANK($C409),"",IF($BZ409&lt;&gt;Constants!$B$8,$BZ409,IF(ISNUMBER($CG409),RANK($CG409,$CG$9:$CG$508,1),COUNT($CG$9:$CG$508)+1)))</f>
        <v/>
      </c>
      <c r="CI409" s="138" t="str">
        <f aca="false">IF($BZ409&lt;&gt;Constants!$B$8,"",IF($BM409="-&gt;",$BV409,$BJ409))</f>
        <v/>
      </c>
      <c r="CJ409" s="135" t="str">
        <f aca="false">IF(ISBLANK($C409),"",IF($BZ409&lt;&gt;Constants!$B$8,$BZ409,IF(ISNUMBER($CI409),RANK($CI409,$CI$9:$CI$508,1),COUNT($CI$9:$CI$508)+1)))</f>
        <v/>
      </c>
      <c r="CK409" s="138" t="str">
        <f aca="false">IF($BZ409&lt;&gt;Constants!$B$8,"",IF($BM409="-&gt;",$BW409,$BK409))</f>
        <v/>
      </c>
      <c r="CL409" s="135" t="str">
        <f aca="false">IF(ISBLANK($C409),"",IF($BZ409&lt;&gt;Constants!$B$8,$BZ409,IF(ISNUMBER($CK409),RANK($CK409,$CK$9:$CK$508,1),COUNT($CK$9:$CK$508)+1)))</f>
        <v/>
      </c>
      <c r="CM409" s="138" t="str">
        <f aca="false">IF($BZ409&lt;&gt;Constants!$B$8,"",IF(AND(NOT($AL409),NOT($AT409),$AJ409,$AK409,$AR409,$AS409),"",IF($BM409="-&gt;",$BX409,$BL409)))</f>
        <v/>
      </c>
      <c r="CN409" s="135" t="str">
        <f aca="false">IF(ISBLANK($C409),"",IF($BZ409&lt;&gt;Constants!$B$8,$BZ409,IF(ISNUMBER($CM409),RANK($CM409,$CM$9:$CM$508,1),COUNT($CM$9:$CM$508)+1)))</f>
        <v/>
      </c>
      <c r="CO409" s="135" t="str">
        <f aca="false">IF(ISBLANK($C409),"",IF($BZ409&lt;&gt;Constants!$B$8,$BZ409,COUNTIFS($CF$9:$CF$508,"&lt;"&amp;$CF409)+COUNTIFS($CF$9:$CF$508,$CF409,$CH$9:$CH$508,"&lt;"&amp;$CH409)+COUNTIFS($CF$9:$CF$508,$CF409,$CH$9:$CH$508,$CH409,$CJ$9:$CJ$508,"&lt;"&amp;$CJ409)+COUNTIFS($CF$9:$CF$508,$CF409,$CH$9:$CH$508,$CH409,$CJ$9:$CJ$508,$CJ409,$CL$9:$CL$508,"&lt;"&amp;$CL409)+COUNTIFS($CF$9:$CF$508,$CF409,$CH$9:$CH$508,$CH409,$CJ$9:$CJ$508,$CJ409,$CL$9:$CL$508,$CL409,$CN$9:$CN$508,"&lt;"&amp;$CN409)+1))</f>
        <v/>
      </c>
      <c r="CP409" s="135" t="str">
        <f aca="false">IF(ISBLANK($C409),"",IF($BZ409&lt;&gt;Constants!$B$8,$BZ409,$CF409-$CO409))</f>
        <v/>
      </c>
      <c r="CQ409" s="141"/>
      <c r="CR409" s="142"/>
      <c r="CS409" s="143" t="str">
        <f aca="false">IF(ISBLANK($C409),"",IF($BZ409=Constants!$B$12,$BY409,""))</f>
        <v/>
      </c>
      <c r="CT409" s="142" t="str">
        <f aca="false">IF(ISBLANK($C409),"",IF($BZ409&lt;&gt;Constants!$B$8,"",IF($BM409="-&gt;",2,1)))</f>
        <v/>
      </c>
      <c r="CU409" s="144" t="str">
        <f aca="false">IF(ISBLANK($C409),"",IF($BZ409&lt;&gt;Constants!$B$8,"",IF($BM409="-&gt;",$BO409,$BC409)))</f>
        <v/>
      </c>
      <c r="CV409" s="144" t="str">
        <f aca="false">IF(ISBLANK($C409),"",IF($BZ409&lt;&gt;Constants!$B$8,"",IF($BM409="-&gt;",$BP409,$BD409)))</f>
        <v/>
      </c>
      <c r="CW409" s="144" t="str">
        <f aca="false">IF(ISBLANK($C409),"",IF($BZ409&lt;&gt;Constants!$B$8,"",IF($BM409="-&gt;",$BQ409+$BR409,$BE409+$BF409)+$CD409))</f>
        <v/>
      </c>
      <c r="CX409" s="144" t="str">
        <f aca="false">IF(ISBLANK($C409),"",IF($BZ409&lt;&gt;Constants!$B$8,"",IF($BM409="-&gt;",$BS409,$BG409)+$CC409))</f>
        <v/>
      </c>
      <c r="CY409" s="145" t="str">
        <f aca="false">IF(ISBLANK($C409),"",IF($BZ409&lt;&gt;Constants!$B$8,$BZ409,$CE409))</f>
        <v/>
      </c>
      <c r="CZ409" s="146" t="str">
        <f aca="false">IF(ISBLANK($C409),"",$CA409)</f>
        <v/>
      </c>
      <c r="DA409" s="147" t="str">
        <f aca="false">IF(ISBLANK($C409),"",$CP409)</f>
        <v/>
      </c>
      <c r="DB409" s="147" t="str">
        <f aca="false">IF(ISBLANK($C409),"",$CO409)</f>
        <v/>
      </c>
      <c r="DC409" s="148" t="str">
        <f aca="false">IF(ISBLANK($C409),"",IFERROR(_xlfn.SWITCH($DB409,Constants!$B$11,COUNTA($C$9:$C$508)+2,Constants!$B$10,COUNTA($C$9:$C$508)+1,Constants!$B$9,COUNTA($C$9:$C$508)),$DB409))</f>
        <v/>
      </c>
      <c r="DD409" s="9"/>
      <c r="DE409" s="149" t="n">
        <f aca="false">IF(OR(ISNUMBER($DB409),$DB409=Constants!$B$11,$DB409=Constants!$B$9,$DB409=Constants!$B$10),1,0)</f>
        <v>0</v>
      </c>
      <c r="DF409" s="149" t="n">
        <v>401</v>
      </c>
      <c r="DG409" s="149" t="str">
        <f aca="false">IF(ISBLANK($C409),"",IF(ISNUMBER($DC409),$DC409+ROW($B409)/1000,""))</f>
        <v/>
      </c>
      <c r="DH409" s="149" t="str">
        <f aca="false">IF(ISNUMBER($DG409),RANK($DG409,$DG$9:$DG$508,1),"")</f>
        <v/>
      </c>
      <c r="DI409" s="149" t="str">
        <f aca="false">IF(ISBLANK($C409),"",$B409)</f>
        <v/>
      </c>
      <c r="DJ409" s="149" t="str">
        <f aca="false">IF(ISBLANK($C409),"",$C409)</f>
        <v/>
      </c>
      <c r="DK409" s="149" t="str">
        <f aca="false">IF(ISBLANK($C409),"",$D409)</f>
        <v/>
      </c>
      <c r="DL409" s="150" t="str">
        <f aca="false">$CZ409</f>
        <v/>
      </c>
      <c r="DM409" s="151" t="str">
        <f aca="false">$CY409</f>
        <v/>
      </c>
      <c r="DN409" s="149" t="str">
        <f aca="false">IF(ISBLANK($C409),"",$DB409)</f>
        <v/>
      </c>
      <c r="DO409" s="152" t="str">
        <f aca="false">IF($DF409&gt;$DE$8,"",VLOOKUP($DF409,$DH$9:$DN$508,7,FALSE()))</f>
        <v/>
      </c>
      <c r="DP409" s="153" t="str">
        <f aca="false">IF($DF409&gt;$DE$8,"",VLOOKUP($DF409,$DH$9:$DN$508,2,FALSE()))</f>
        <v/>
      </c>
      <c r="DQ409" s="153" t="str">
        <f aca="false">IF($DF409&gt;$DE$8,"",VLOOKUP($DF409,$DH$9:$DN$508,3,FALSE()))</f>
        <v/>
      </c>
      <c r="DR409" s="153" t="str">
        <f aca="false">IF($DF409&gt;$DE$8,"",VLOOKUP($DF409,$DH$9:$DN$508,4,FALSE()))</f>
        <v/>
      </c>
      <c r="DS409" s="153" t="str">
        <f aca="false">IF($DF409&gt;$DE$8,"",VLOOKUP($DF409,$DH$9:$DN$508,5,FALSE()))</f>
        <v/>
      </c>
      <c r="DT409" s="154" t="str">
        <f aca="false">IF($DF409&gt;$DE$8,"",VLOOKUP($DF409,$DH$9:$DN$508,6,FALSE()))</f>
        <v/>
      </c>
      <c r="DU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IF(ISBLANK($C410),"",IF(E410=Constants!$B$3,TRUE(),IF(E410=Constants!$B$4,FALSE(),TRUE())))</f>
        <v/>
      </c>
      <c r="AG410" s="135" t="str">
        <f aca="false">IF(ISBLANK($C410),"",IF(F410=Constants!$B$3,TRUE(),IF(F410=Constants!$B$4,FALSE(),TRUE())))</f>
        <v/>
      </c>
      <c r="AH410" s="135" t="str">
        <f aca="false">IF(ISBLANK($C410),"",IF(G410=Constants!$B$3,TRUE(),IF(G410=Constants!$B$4,FALSE(),TRUE())))</f>
        <v/>
      </c>
      <c r="AI410" s="135" t="str">
        <f aca="false">IF(ISBLANK($C410),"",IF(AND(ISNUMBER(H410),H410&gt;=0),H410,Constants!$B$29))</f>
        <v/>
      </c>
      <c r="AJ410" s="135" t="str">
        <f aca="false">IF(ISBLANK($C410),"",IF(I410=Constants!$B$3,TRUE(),IF(I410=Constants!$B$4,FALSE(),TRUE())))</f>
        <v/>
      </c>
      <c r="AK410" s="135" t="str">
        <f aca="false">IF(ISBLANK($C410),"",IF(J410=Constants!$B$3,TRUE(),IF(J410=Constants!$B$4,FALSE(),TRUE())))</f>
        <v/>
      </c>
      <c r="AL410" s="135" t="str">
        <f aca="false">IF(ISBLANK($C410),"",IF(K410=Constants!$B$5,TRUE(),IF(K410=Constants!$B$6,FALSE(),COUNTA(L410:P410)&gt;0)))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IF(ISBLANK($C410),"",IF(N410=Constants!$B$3,TRUE(),IF(N410=Constants!$B$4,FALSE(),TRUE())))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IF(ISBLANK($C410),"",IF(P410=Constants!$B$3,TRUE(),IF(P410=Constants!$B$4,FALSE(),FALSE())))</f>
        <v/>
      </c>
      <c r="AR410" s="135" t="str">
        <f aca="false">IF(ISBLANK($C410),"",IF(Q410=Constants!$B$3,TRUE(),IF(Q410=Constants!$B$4,FALSE(),TRUE())))</f>
        <v/>
      </c>
      <c r="AS410" s="135" t="str">
        <f aca="false">IF(ISBLANK($C410),"",IF(R410=Constants!$B$3,TRUE(),IF(R410=Constants!$B$4,FALSE(),TRUE())))</f>
        <v/>
      </c>
      <c r="AT410" s="135" t="str">
        <f aca="false">IF(ISBLANK($C410),"",IF(S410=Constants!$B$5,TRUE(),IF(S410=Constants!$B$6,FALSE(),COUNTA(T410:X410)&gt;0)))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IF(ISBLANK($C410),"",IF(V410=Constants!$B$3,TRUE(),IF(V410=Constants!$B$4,FALSE(),TRUE())))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IF(ISBLANK($C410),"",IF(X410=Constants!$B$3,TRUE(),IF(X410=Constants!$B$4,FALSE(),FALSE())))</f>
        <v/>
      </c>
      <c r="AZ410" s="135" t="str">
        <f aca="false">IF(ISBLANK($C410),"",MIN(Constants!$B$31,MAX(0,IF(ISNUMBER(Y410),Y410*60,0)+IF(ISNUMBER(Z410),Z410,0))))</f>
        <v/>
      </c>
      <c r="BA410" s="135" t="str">
        <f aca="false">IF(ISBLANK($C410),"",IF(AA410=Constants!$B$3,TRUE(),IF(AA410=Constants!$B$4,FALSE(),FALSE())))</f>
        <v/>
      </c>
      <c r="BB410" s="134" t="str">
        <f aca="false">IF(ISBLANK($C410),"",AND($AL410,OR($AM410="",$AN410="",AND($AO410,$AP410=""))))</f>
        <v/>
      </c>
      <c r="BC410" s="137" t="str">
        <f aca="false">IF($BZ410&lt;&gt;Constants!$B$8,"",IF($AL410,Constants!$B$21*$AN410+Constants!$B$22*IF($AO410,$AP410,Constants!$B$23),Constants!$B$24))</f>
        <v/>
      </c>
      <c r="BD410" s="138" t="str">
        <f aca="false">IF($BZ410&lt;&gt;Constants!$B$8,"",Constants!$B$25*ABS($AD$9-IF($AL410,$AM410,0)))</f>
        <v/>
      </c>
      <c r="BE410" s="138" t="str">
        <f aca="false">IF($BZ410&lt;&gt;Constants!$B$8,"",IF(AND($AL410,$AQ410,$AO410),Constants!$B$27,0))</f>
        <v/>
      </c>
      <c r="BF410" s="138" t="str">
        <f aca="false">IF($BZ410&lt;&gt;Constants!$B$8,"",IF($AL410,($AI410-Constants!$B$29)*Constants!$B$28,0))</f>
        <v/>
      </c>
      <c r="BG410" s="138" t="str">
        <f aca="false">IF($BZ410&lt;&gt;Constants!$B$8,"",IF($AK410,0,Constants!$B$15)+IF($AJ410,0,Constants!$B$16)+IF($AH410,0,Constants!$B$17))</f>
        <v/>
      </c>
      <c r="BH410" s="139" t="str">
        <f aca="false">IF($BZ410&lt;&gt;Constants!$B$8,"",Constants!$B$20+SUM($BC410:$BG410))</f>
        <v/>
      </c>
      <c r="BI410" s="138" t="str">
        <f aca="false">IF($BZ410&lt;&gt;Constants!$B$8,"",$BC410)</f>
        <v/>
      </c>
      <c r="BJ410" s="138" t="str">
        <f aca="false">IF($BZ410&lt;&gt;Constants!$B$8,"",$BD410)</f>
        <v/>
      </c>
      <c r="BK410" s="138" t="str">
        <f aca="false">IF($BZ410&lt;&gt;Constants!$B$8,"",IF($AL410,$AN410,""))</f>
        <v/>
      </c>
      <c r="BL410" s="140" t="str">
        <f aca="false">IF($BZ410&lt;&gt;Constants!$B$8,"",$AI410)</f>
        <v/>
      </c>
      <c r="BM410" s="135" t="str">
        <f aca="false">IF($BZ410&lt;&gt;Constants!$B$8,"",IF(OR($BT410&lt;$BH410,AND($BT410=$BH410,OR($BU410&lt;$BI410,AND($BU410=$BI410,OR($BV410&lt;$BJ410,AND($BV410=$BJ410,OR(AND(ISNUMBER($BW410),OR(NOT(ISNUMBER($BK410)),$BW410&lt;$BK410)),AND(OR(AND($BW410="",$BK410=""),AND(ISNUMBER($BW410),ISNUMBER($BK410),$BW410=$BK410)),$BX410&lt;$BL410)))))))),"-&gt;","&lt;-"))</f>
        <v/>
      </c>
      <c r="BN410" s="134" t="str">
        <f aca="false">IF(ISBLANK($C410),"",AND($AT410,OR($AU410="",$AV410="",AND($AW410,$AX410=""))))</f>
        <v/>
      </c>
      <c r="BO410" s="137" t="str">
        <f aca="false">IF($BZ410&lt;&gt;Constants!$B$8,"",IF($AT410,Constants!$B$21*$AV410+Constants!$B$22*IF($AW410,$AX410,Constants!$B$23),Constants!$B$24))</f>
        <v/>
      </c>
      <c r="BP410" s="138" t="str">
        <f aca="false">IF($BZ410&lt;&gt;Constants!$B$8,"",Constants!$B$25*ABS($AD$9-IF($AT410,$AU410,0)))</f>
        <v/>
      </c>
      <c r="BQ410" s="138" t="str">
        <f aca="false">IF($BZ410&lt;&gt;Constants!$B$8,"",IF(AND($AT410,$AY410,$AW410),Constants!$B$27,0))</f>
        <v/>
      </c>
      <c r="BR410" s="138" t="str">
        <f aca="false">IF($BZ410&lt;&gt;Constants!$B$8,"",IF($AT410,($AI410-Constants!$B$29)*Constants!$B$28,0))</f>
        <v/>
      </c>
      <c r="BS410" s="138" t="str">
        <f aca="false">IF($BZ410&lt;&gt;Constants!$B$8,"",IF($AS410,0,Constants!$B$15)+IF($AR410,0,Constants!$B$16)+IF($AH410,0,Constants!$B$17))</f>
        <v/>
      </c>
      <c r="BT410" s="139" t="str">
        <f aca="false">IF($BZ410&lt;&gt;Constants!$B$8,"",Constants!$B$20+SUM($BO410:$BS410))</f>
        <v/>
      </c>
      <c r="BU410" s="138" t="str">
        <f aca="false">IF($BZ410&lt;&gt;Constants!$B$8,"",$BO410)</f>
        <v/>
      </c>
      <c r="BV410" s="138" t="str">
        <f aca="false">IF($BZ410&lt;&gt;Constants!$B$8,"",$BP410)</f>
        <v/>
      </c>
      <c r="BW410" s="138" t="str">
        <f aca="false">IF($BZ410&lt;&gt;Constants!$B$8,"",IF($AT410,$AV410,""))</f>
        <v/>
      </c>
      <c r="BX410" s="140" t="str">
        <f aca="false">IF($BZ410&lt;&gt;Constants!$B$8,"",$AI410)</f>
        <v/>
      </c>
      <c r="BY410" s="135" t="str">
        <f aca="false">IF(ISBLANK($C410),"",IF(ISBLANK($D$7),$BY$5,IF(NOT(ISNUMBER($D$7)),$BY$6,"")))</f>
        <v/>
      </c>
      <c r="BZ410" s="135" t="str">
        <f aca="false">IF(ISBLANK($C410),"",IF($BA410,Constants!$B$11,IF(COUNTA($E410:$AA410)=0,Constants!$B$10,IF(NOT($AG410),Constants!$B$9,IF(OR($BY410&lt;&gt;"",$BB410,$BN410),Constants!$B$12,Constants!$B$8)))))</f>
        <v/>
      </c>
      <c r="CA410" s="135" t="str">
        <f aca="false">IF(ISBLANK($C410),"",IF($BZ410&lt;&gt;Constants!$B$8,$BZ410,Constants!$B$13))</f>
        <v/>
      </c>
      <c r="CB410" s="138" t="str">
        <f aca="false">IF($BZ410&lt;&gt;Constants!$B$8,"",IF($BM410="-&gt;",$BT410,$BH410))</f>
        <v/>
      </c>
      <c r="CC410" s="138" t="str">
        <f aca="false">IF($BZ410&lt;&gt;Constants!$B$8,"",IF($AF410,0,Constants!$B$18))</f>
        <v/>
      </c>
      <c r="CD410" s="138" t="str">
        <f aca="false">IF($BZ410&lt;&gt;Constants!$B$8,"",((Constants!$B$31-$AZ410)-Constants!$B$31)/Constants!$B$32)</f>
        <v/>
      </c>
      <c r="CE410" s="138" t="str">
        <f aca="false">IF(ISBLANK($C410),"",IF($BZ410&lt;&gt;Constants!$B$8,$BZ410,SUM($CB410:$CD410)))</f>
        <v/>
      </c>
      <c r="CF410" s="135" t="str">
        <f aca="false">IF(ISBLANK($C410),"",IF($BZ410&lt;&gt;Constants!$B$8,$BZ410,RANK($CE410,$CE$9:$CE$508,1)))</f>
        <v/>
      </c>
      <c r="CG410" s="138" t="str">
        <f aca="false">IF($BZ410&lt;&gt;Constants!$B$8,"",IF($BM410="-&gt;",$BU410,$BI410))</f>
        <v/>
      </c>
      <c r="CH410" s="135" t="str">
        <f aca="false">IF(ISBLANK($C410),"",IF($BZ410&lt;&gt;Constants!$B$8,$BZ410,IF(ISNUMBER($CG410),RANK($CG410,$CG$9:$CG$508,1),COUNT($CG$9:$CG$508)+1)))</f>
        <v/>
      </c>
      <c r="CI410" s="138" t="str">
        <f aca="false">IF($BZ410&lt;&gt;Constants!$B$8,"",IF($BM410="-&gt;",$BV410,$BJ410))</f>
        <v/>
      </c>
      <c r="CJ410" s="135" t="str">
        <f aca="false">IF(ISBLANK($C410),"",IF($BZ410&lt;&gt;Constants!$B$8,$BZ410,IF(ISNUMBER($CI410),RANK($CI410,$CI$9:$CI$508,1),COUNT($CI$9:$CI$508)+1)))</f>
        <v/>
      </c>
      <c r="CK410" s="138" t="str">
        <f aca="false">IF($BZ410&lt;&gt;Constants!$B$8,"",IF($BM410="-&gt;",$BW410,$BK410))</f>
        <v/>
      </c>
      <c r="CL410" s="135" t="str">
        <f aca="false">IF(ISBLANK($C410),"",IF($BZ410&lt;&gt;Constants!$B$8,$BZ410,IF(ISNUMBER($CK410),RANK($CK410,$CK$9:$CK$508,1),COUNT($CK$9:$CK$508)+1)))</f>
        <v/>
      </c>
      <c r="CM410" s="138" t="str">
        <f aca="false">IF($BZ410&lt;&gt;Constants!$B$8,"",IF(AND(NOT($AL410),NOT($AT410),$AJ410,$AK410,$AR410,$AS410),"",IF($BM410="-&gt;",$BX410,$BL410)))</f>
        <v/>
      </c>
      <c r="CN410" s="135" t="str">
        <f aca="false">IF(ISBLANK($C410),"",IF($BZ410&lt;&gt;Constants!$B$8,$BZ410,IF(ISNUMBER($CM410),RANK($CM410,$CM$9:$CM$508,1),COUNT($CM$9:$CM$508)+1)))</f>
        <v/>
      </c>
      <c r="CO410" s="135" t="str">
        <f aca="false">IF(ISBLANK($C410),"",IF($BZ410&lt;&gt;Constants!$B$8,$BZ410,COUNTIFS($CF$9:$CF$508,"&lt;"&amp;$CF410)+COUNTIFS($CF$9:$CF$508,$CF410,$CH$9:$CH$508,"&lt;"&amp;$CH410)+COUNTIFS($CF$9:$CF$508,$CF410,$CH$9:$CH$508,$CH410,$CJ$9:$CJ$508,"&lt;"&amp;$CJ410)+COUNTIFS($CF$9:$CF$508,$CF410,$CH$9:$CH$508,$CH410,$CJ$9:$CJ$508,$CJ410,$CL$9:$CL$508,"&lt;"&amp;$CL410)+COUNTIFS($CF$9:$CF$508,$CF410,$CH$9:$CH$508,$CH410,$CJ$9:$CJ$508,$CJ410,$CL$9:$CL$508,$CL410,$CN$9:$CN$508,"&lt;"&amp;$CN410)+1))</f>
        <v/>
      </c>
      <c r="CP410" s="135" t="str">
        <f aca="false">IF(ISBLANK($C410),"",IF($BZ410&lt;&gt;Constants!$B$8,$BZ410,$CF410-$CO410))</f>
        <v/>
      </c>
      <c r="CQ410" s="141"/>
      <c r="CR410" s="142"/>
      <c r="CS410" s="143" t="str">
        <f aca="false">IF(ISBLANK($C410),"",IF($BZ410=Constants!$B$12,$BY410,""))</f>
        <v/>
      </c>
      <c r="CT410" s="142" t="str">
        <f aca="false">IF(ISBLANK($C410),"",IF($BZ410&lt;&gt;Constants!$B$8,"",IF($BM410="-&gt;",2,1)))</f>
        <v/>
      </c>
      <c r="CU410" s="144" t="str">
        <f aca="false">IF(ISBLANK($C410),"",IF($BZ410&lt;&gt;Constants!$B$8,"",IF($BM410="-&gt;",$BO410,$BC410)))</f>
        <v/>
      </c>
      <c r="CV410" s="144" t="str">
        <f aca="false">IF(ISBLANK($C410),"",IF($BZ410&lt;&gt;Constants!$B$8,"",IF($BM410="-&gt;",$BP410,$BD410)))</f>
        <v/>
      </c>
      <c r="CW410" s="144" t="str">
        <f aca="false">IF(ISBLANK($C410),"",IF($BZ410&lt;&gt;Constants!$B$8,"",IF($BM410="-&gt;",$BQ410+$BR410,$BE410+$BF410)+$CD410))</f>
        <v/>
      </c>
      <c r="CX410" s="144" t="str">
        <f aca="false">IF(ISBLANK($C410),"",IF($BZ410&lt;&gt;Constants!$B$8,"",IF($BM410="-&gt;",$BS410,$BG410)+$CC410))</f>
        <v/>
      </c>
      <c r="CY410" s="145" t="str">
        <f aca="false">IF(ISBLANK($C410),"",IF($BZ410&lt;&gt;Constants!$B$8,$BZ410,$CE410))</f>
        <v/>
      </c>
      <c r="CZ410" s="146" t="str">
        <f aca="false">IF(ISBLANK($C410),"",$CA410)</f>
        <v/>
      </c>
      <c r="DA410" s="147" t="str">
        <f aca="false">IF(ISBLANK($C410),"",$CP410)</f>
        <v/>
      </c>
      <c r="DB410" s="147" t="str">
        <f aca="false">IF(ISBLANK($C410),"",$CO410)</f>
        <v/>
      </c>
      <c r="DC410" s="148" t="str">
        <f aca="false">IF(ISBLANK($C410),"",IFERROR(_xlfn.SWITCH($DB410,Constants!$B$11,COUNTA($C$9:$C$508)+2,Constants!$B$10,COUNTA($C$9:$C$508)+1,Constants!$B$9,COUNTA($C$9:$C$508)),$DB410))</f>
        <v/>
      </c>
      <c r="DD410" s="9"/>
      <c r="DE410" s="149" t="n">
        <f aca="false">IF(OR(ISNUMBER($DB410),$DB410=Constants!$B$11,$DB410=Constants!$B$9,$DB410=Constants!$B$10),1,0)</f>
        <v>0</v>
      </c>
      <c r="DF410" s="149" t="n">
        <v>402</v>
      </c>
      <c r="DG410" s="149" t="str">
        <f aca="false">IF(ISBLANK($C410),"",IF(ISNUMBER($DC410),$DC410+ROW($B410)/1000,""))</f>
        <v/>
      </c>
      <c r="DH410" s="149" t="str">
        <f aca="false">IF(ISNUMBER($DG410),RANK($DG410,$DG$9:$DG$508,1),"")</f>
        <v/>
      </c>
      <c r="DI410" s="149" t="str">
        <f aca="false">IF(ISBLANK($C410),"",$B410)</f>
        <v/>
      </c>
      <c r="DJ410" s="149" t="str">
        <f aca="false">IF(ISBLANK($C410),"",$C410)</f>
        <v/>
      </c>
      <c r="DK410" s="149" t="str">
        <f aca="false">IF(ISBLANK($C410),"",$D410)</f>
        <v/>
      </c>
      <c r="DL410" s="150" t="str">
        <f aca="false">$CZ410</f>
        <v/>
      </c>
      <c r="DM410" s="151" t="str">
        <f aca="false">$CY410</f>
        <v/>
      </c>
      <c r="DN410" s="149" t="str">
        <f aca="false">IF(ISBLANK($C410),"",$DB410)</f>
        <v/>
      </c>
      <c r="DO410" s="152" t="str">
        <f aca="false">IF($DF410&gt;$DE$8,"",VLOOKUP($DF410,$DH$9:$DN$508,7,FALSE()))</f>
        <v/>
      </c>
      <c r="DP410" s="153" t="str">
        <f aca="false">IF($DF410&gt;$DE$8,"",VLOOKUP($DF410,$DH$9:$DN$508,2,FALSE()))</f>
        <v/>
      </c>
      <c r="DQ410" s="153" t="str">
        <f aca="false">IF($DF410&gt;$DE$8,"",VLOOKUP($DF410,$DH$9:$DN$508,3,FALSE()))</f>
        <v/>
      </c>
      <c r="DR410" s="153" t="str">
        <f aca="false">IF($DF410&gt;$DE$8,"",VLOOKUP($DF410,$DH$9:$DN$508,4,FALSE()))</f>
        <v/>
      </c>
      <c r="DS410" s="153" t="str">
        <f aca="false">IF($DF410&gt;$DE$8,"",VLOOKUP($DF410,$DH$9:$DN$508,5,FALSE()))</f>
        <v/>
      </c>
      <c r="DT410" s="154" t="str">
        <f aca="false">IF($DF410&gt;$DE$8,"",VLOOKUP($DF410,$DH$9:$DN$508,6,FALSE()))</f>
        <v/>
      </c>
      <c r="DU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IF(ISBLANK($C411),"",IF(E411=Constants!$B$3,TRUE(),IF(E411=Constants!$B$4,FALSE(),TRUE())))</f>
        <v/>
      </c>
      <c r="AG411" s="93" t="str">
        <f aca="false">IF(ISBLANK($C411),"",IF(F411=Constants!$B$3,TRUE(),IF(F411=Constants!$B$4,FALSE(),TRUE())))</f>
        <v/>
      </c>
      <c r="AH411" s="93" t="str">
        <f aca="false">IF(ISBLANK($C411),"",IF(G411=Constants!$B$3,TRUE(),IF(G411=Constants!$B$4,FALSE(),TRUE())))</f>
        <v/>
      </c>
      <c r="AI411" s="93" t="str">
        <f aca="false">IF(ISBLANK($C411),"",IF(AND(ISNUMBER(H411),H411&gt;=0),H411,Constants!$B$29))</f>
        <v/>
      </c>
      <c r="AJ411" s="93" t="str">
        <f aca="false">IF(ISBLANK($C411),"",IF(I411=Constants!$B$3,TRUE(),IF(I411=Constants!$B$4,FALSE(),TRUE())))</f>
        <v/>
      </c>
      <c r="AK411" s="93" t="str">
        <f aca="false">IF(ISBLANK($C411),"",IF(J411=Constants!$B$3,TRUE(),IF(J411=Constants!$B$4,FALSE(),TRUE())))</f>
        <v/>
      </c>
      <c r="AL411" s="93" t="str">
        <f aca="false">IF(ISBLANK($C411),"",IF(K411=Constants!$B$5,TRUE(),IF(K411=Constants!$B$6,FALSE(),COUNTA(L411:P411)&gt;0)))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IF(ISBLANK($C411),"",IF(N411=Constants!$B$3,TRUE(),IF(N411=Constants!$B$4,FALSE(),TRUE())))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IF(ISBLANK($C411),"",IF(P411=Constants!$B$3,TRUE(),IF(P411=Constants!$B$4,FALSE(),FALSE())))</f>
        <v/>
      </c>
      <c r="AR411" s="93" t="str">
        <f aca="false">IF(ISBLANK($C411),"",IF(Q411=Constants!$B$3,TRUE(),IF(Q411=Constants!$B$4,FALSE(),TRUE())))</f>
        <v/>
      </c>
      <c r="AS411" s="93" t="str">
        <f aca="false">IF(ISBLANK($C411),"",IF(R411=Constants!$B$3,TRUE(),IF(R411=Constants!$B$4,FALSE(),TRUE())))</f>
        <v/>
      </c>
      <c r="AT411" s="93" t="str">
        <f aca="false">IF(ISBLANK($C411),"",IF(S411=Constants!$B$5,TRUE(),IF(S411=Constants!$B$6,FALSE(),COUNTA(T411:X411)&gt;0)))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IF(ISBLANK($C411),"",IF(V411=Constants!$B$3,TRUE(),IF(V411=Constants!$B$4,FALSE(),TRUE())))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IF(ISBLANK($C411),"",IF(X411=Constants!$B$3,TRUE(),IF(X411=Constants!$B$4,FALSE(),FALSE())))</f>
        <v/>
      </c>
      <c r="AZ411" s="93" t="str">
        <f aca="false">IF(ISBLANK($C411),"",MIN(Constants!$B$31,MAX(0,IF(ISNUMBER(Y411),Y411*60,0)+IF(ISNUMBER(Z411),Z411,0))))</f>
        <v/>
      </c>
      <c r="BA411" s="93" t="str">
        <f aca="false">IF(ISBLANK($C411),"",IF(AA411=Constants!$B$3,TRUE(),IF(AA411=Constants!$B$4,FALSE(),FALSE())))</f>
        <v/>
      </c>
      <c r="BB411" s="92" t="str">
        <f aca="false">IF(ISBLANK($C411),"",AND($AL411,OR($AM411="",$AN411="",AND($AO411,$AP411=""))))</f>
        <v/>
      </c>
      <c r="BC411" s="94" t="str">
        <f aca="false">IF($BZ411&lt;&gt;Constants!$B$8,"",IF($AL411,Constants!$B$21*$AN411+Constants!$B$22*IF($AO411,$AP411,Constants!$B$23),Constants!$B$24))</f>
        <v/>
      </c>
      <c r="BD411" s="97" t="str">
        <f aca="false">IF($BZ411&lt;&gt;Constants!$B$8,"",Constants!$B$25*ABS($AD$9-IF($AL411,$AM411,0)))</f>
        <v/>
      </c>
      <c r="BE411" s="97" t="str">
        <f aca="false">IF($BZ411&lt;&gt;Constants!$B$8,"",IF(AND($AL411,$AQ411,$AO411),Constants!$B$27,0))</f>
        <v/>
      </c>
      <c r="BF411" s="97" t="str">
        <f aca="false">IF($BZ411&lt;&gt;Constants!$B$8,"",IF($AL411,($AI411-Constants!$B$29)*Constants!$B$28,0))</f>
        <v/>
      </c>
      <c r="BG411" s="97" t="str">
        <f aca="false">IF($BZ411&lt;&gt;Constants!$B$8,"",IF($AK411,0,Constants!$B$15)+IF($AJ411,0,Constants!$B$16)+IF($AH411,0,Constants!$B$17))</f>
        <v/>
      </c>
      <c r="BH411" s="98" t="str">
        <f aca="false">IF($BZ411&lt;&gt;Constants!$B$8,"",Constants!$B$20+SUM($BC411:$BG411))</f>
        <v/>
      </c>
      <c r="BI411" s="97" t="str">
        <f aca="false">IF($BZ411&lt;&gt;Constants!$B$8,"",$BC411)</f>
        <v/>
      </c>
      <c r="BJ411" s="97" t="str">
        <f aca="false">IF($BZ411&lt;&gt;Constants!$B$8,"",$BD411)</f>
        <v/>
      </c>
      <c r="BK411" s="97" t="str">
        <f aca="false">IF($BZ411&lt;&gt;Constants!$B$8,"",IF($AL411,$AN411,""))</f>
        <v/>
      </c>
      <c r="BL411" s="99" t="str">
        <f aca="false">IF($BZ411&lt;&gt;Constants!$B$8,"",$AI411)</f>
        <v/>
      </c>
      <c r="BM411" s="93" t="str">
        <f aca="false">IF($BZ411&lt;&gt;Constants!$B$8,"",IF(OR($BT411&lt;$BH411,AND($BT411=$BH411,OR($BU411&lt;$BI411,AND($BU411=$BI411,OR($BV411&lt;$BJ411,AND($BV411=$BJ411,OR(AND(ISNUMBER($BW411),OR(NOT(ISNUMBER($BK411)),$BW411&lt;$BK411)),AND(OR(AND($BW411="",$BK411=""),AND(ISNUMBER($BW411),ISNUMBER($BK411),$BW411=$BK411)),$BX411&lt;$BL411)))))))),"-&gt;","&lt;-"))</f>
        <v/>
      </c>
      <c r="BN411" s="92" t="str">
        <f aca="false">IF(ISBLANK($C411),"",AND($AT411,OR($AU411="",$AV411="",AND($AW411,$AX411=""))))</f>
        <v/>
      </c>
      <c r="BO411" s="94" t="str">
        <f aca="false">IF($BZ411&lt;&gt;Constants!$B$8,"",IF($AT411,Constants!$B$21*$AV411+Constants!$B$22*IF($AW411,$AX411,Constants!$B$23),Constants!$B$24))</f>
        <v/>
      </c>
      <c r="BP411" s="97" t="str">
        <f aca="false">IF($BZ411&lt;&gt;Constants!$B$8,"",Constants!$B$25*ABS($AD$9-IF($AT411,$AU411,0)))</f>
        <v/>
      </c>
      <c r="BQ411" s="97" t="str">
        <f aca="false">IF($BZ411&lt;&gt;Constants!$B$8,"",IF(AND($AT411,$AY411,$AW411),Constants!$B$27,0))</f>
        <v/>
      </c>
      <c r="BR411" s="97" t="str">
        <f aca="false">IF($BZ411&lt;&gt;Constants!$B$8,"",IF($AT411,($AI411-Constants!$B$29)*Constants!$B$28,0))</f>
        <v/>
      </c>
      <c r="BS411" s="97" t="str">
        <f aca="false">IF($BZ411&lt;&gt;Constants!$B$8,"",IF($AS411,0,Constants!$B$15)+IF($AR411,0,Constants!$B$16)+IF($AH411,0,Constants!$B$17))</f>
        <v/>
      </c>
      <c r="BT411" s="98" t="str">
        <f aca="false">IF($BZ411&lt;&gt;Constants!$B$8,"",Constants!$B$20+SUM($BO411:$BS411))</f>
        <v/>
      </c>
      <c r="BU411" s="97" t="str">
        <f aca="false">IF($BZ411&lt;&gt;Constants!$B$8,"",$BO411)</f>
        <v/>
      </c>
      <c r="BV411" s="97" t="str">
        <f aca="false">IF($BZ411&lt;&gt;Constants!$B$8,"",$BP411)</f>
        <v/>
      </c>
      <c r="BW411" s="97" t="str">
        <f aca="false">IF($BZ411&lt;&gt;Constants!$B$8,"",IF($AT411,$AV411,""))</f>
        <v/>
      </c>
      <c r="BX411" s="99" t="str">
        <f aca="false">IF($BZ411&lt;&gt;Constants!$B$8,"",$AI411)</f>
        <v/>
      </c>
      <c r="BY411" s="93" t="str">
        <f aca="false">IF(ISBLANK($C411),"",IF(ISBLANK($D$7),$BY$5,IF(NOT(ISNUMBER($D$7)),$BY$6,"")))</f>
        <v/>
      </c>
      <c r="BZ411" s="93" t="str">
        <f aca="false">IF(ISBLANK($C411),"",IF($BA411,Constants!$B$11,IF(COUNTA($E411:$AA411)=0,Constants!$B$10,IF(NOT($AG411),Constants!$B$9,IF(OR($BY411&lt;&gt;"",$BB411,$BN411),Constants!$B$12,Constants!$B$8)))))</f>
        <v/>
      </c>
      <c r="CA411" s="93" t="str">
        <f aca="false">IF(ISBLANK($C411),"",IF($BZ411&lt;&gt;Constants!$B$8,$BZ411,Constants!$B$13))</f>
        <v/>
      </c>
      <c r="CB411" s="97" t="str">
        <f aca="false">IF($BZ411&lt;&gt;Constants!$B$8,"",IF($BM411="-&gt;",$BT411,$BH411))</f>
        <v/>
      </c>
      <c r="CC411" s="97" t="str">
        <f aca="false">IF($BZ411&lt;&gt;Constants!$B$8,"",IF($AF411,0,Constants!$B$18))</f>
        <v/>
      </c>
      <c r="CD411" s="97" t="str">
        <f aca="false">IF($BZ411&lt;&gt;Constants!$B$8,"",((Constants!$B$31-$AZ411)-Constants!$B$31)/Constants!$B$32)</f>
        <v/>
      </c>
      <c r="CE411" s="97" t="str">
        <f aca="false">IF(ISBLANK($C411),"",IF($BZ411&lt;&gt;Constants!$B$8,$BZ411,SUM($CB411:$CD411)))</f>
        <v/>
      </c>
      <c r="CF411" s="93" t="str">
        <f aca="false">IF(ISBLANK($C411),"",IF($BZ411&lt;&gt;Constants!$B$8,$BZ411,RANK($CE411,$CE$9:$CE$508,1)))</f>
        <v/>
      </c>
      <c r="CG411" s="97" t="str">
        <f aca="false">IF($BZ411&lt;&gt;Constants!$B$8,"",IF($BM411="-&gt;",$BU411,$BI411))</f>
        <v/>
      </c>
      <c r="CH411" s="93" t="str">
        <f aca="false">IF(ISBLANK($C411),"",IF($BZ411&lt;&gt;Constants!$B$8,$BZ411,IF(ISNUMBER($CG411),RANK($CG411,$CG$9:$CG$508,1),COUNT($CG$9:$CG$508)+1)))</f>
        <v/>
      </c>
      <c r="CI411" s="97" t="str">
        <f aca="false">IF($BZ411&lt;&gt;Constants!$B$8,"",IF($BM411="-&gt;",$BV411,$BJ411))</f>
        <v/>
      </c>
      <c r="CJ411" s="93" t="str">
        <f aca="false">IF(ISBLANK($C411),"",IF($BZ411&lt;&gt;Constants!$B$8,$BZ411,IF(ISNUMBER($CI411),RANK($CI411,$CI$9:$CI$508,1),COUNT($CI$9:$CI$508)+1)))</f>
        <v/>
      </c>
      <c r="CK411" s="97" t="str">
        <f aca="false">IF($BZ411&lt;&gt;Constants!$B$8,"",IF($BM411="-&gt;",$BW411,$BK411))</f>
        <v/>
      </c>
      <c r="CL411" s="93" t="str">
        <f aca="false">IF(ISBLANK($C411),"",IF($BZ411&lt;&gt;Constants!$B$8,$BZ411,IF(ISNUMBER($CK411),RANK($CK411,$CK$9:$CK$508,1),COUNT($CK$9:$CK$508)+1)))</f>
        <v/>
      </c>
      <c r="CM411" s="97" t="str">
        <f aca="false">IF($BZ411&lt;&gt;Constants!$B$8,"",IF(AND(NOT($AL411),NOT($AT411),$AJ411,$AK411,$AR411,$AS411),"",IF($BM411="-&gt;",$BX411,$BL411)))</f>
        <v/>
      </c>
      <c r="CN411" s="93" t="str">
        <f aca="false">IF(ISBLANK($C411),"",IF($BZ411&lt;&gt;Constants!$B$8,$BZ411,IF(ISNUMBER($CM411),RANK($CM411,$CM$9:$CM$508,1),COUNT($CM$9:$CM$508)+1)))</f>
        <v/>
      </c>
      <c r="CO411" s="93" t="str">
        <f aca="false">IF(ISBLANK($C411),"",IF($BZ411&lt;&gt;Constants!$B$8,$BZ411,COUNTIFS($CF$9:$CF$508,"&lt;"&amp;$CF411)+COUNTIFS($CF$9:$CF$508,$CF411,$CH$9:$CH$508,"&lt;"&amp;$CH411)+COUNTIFS($CF$9:$CF$508,$CF411,$CH$9:$CH$508,$CH411,$CJ$9:$CJ$508,"&lt;"&amp;$CJ411)+COUNTIFS($CF$9:$CF$508,$CF411,$CH$9:$CH$508,$CH411,$CJ$9:$CJ$508,$CJ411,$CL$9:$CL$508,"&lt;"&amp;$CL411)+COUNTIFS($CF$9:$CF$508,$CF411,$CH$9:$CH$508,$CH411,$CJ$9:$CJ$508,$CJ411,$CL$9:$CL$508,$CL411,$CN$9:$CN$508,"&lt;"&amp;$CN411)+1))</f>
        <v/>
      </c>
      <c r="CP411" s="93" t="str">
        <f aca="false">IF(ISBLANK($C411),"",IF($BZ411&lt;&gt;Constants!$B$8,$BZ411,$CF411-$CO411))</f>
        <v/>
      </c>
      <c r="CQ411" s="100"/>
      <c r="CR411" s="101"/>
      <c r="CS411" s="102" t="str">
        <f aca="false">IF(ISBLANK($C411),"",IF($BZ411=Constants!$B$12,$BY411,""))</f>
        <v/>
      </c>
      <c r="CT411" s="101" t="str">
        <f aca="false">IF(ISBLANK($C411),"",IF($BZ411&lt;&gt;Constants!$B$8,"",IF($BM411="-&gt;",2,1)))</f>
        <v/>
      </c>
      <c r="CU411" s="103" t="str">
        <f aca="false">IF(ISBLANK($C411),"",IF($BZ411&lt;&gt;Constants!$B$8,"",IF($BM411="-&gt;",$BO411,$BC411)))</f>
        <v/>
      </c>
      <c r="CV411" s="103" t="str">
        <f aca="false">IF(ISBLANK($C411),"",IF($BZ411&lt;&gt;Constants!$B$8,"",IF($BM411="-&gt;",$BP411,$BD411)))</f>
        <v/>
      </c>
      <c r="CW411" s="103" t="str">
        <f aca="false">IF(ISBLANK($C411),"",IF($BZ411&lt;&gt;Constants!$B$8,"",IF($BM411="-&gt;",$BQ411+$BR411,$BE411+$BF411)+$CD411))</f>
        <v/>
      </c>
      <c r="CX411" s="103" t="str">
        <f aca="false">IF(ISBLANK($C411),"",IF($BZ411&lt;&gt;Constants!$B$8,"",IF($BM411="-&gt;",$BS411,$BG411)+$CC411))</f>
        <v/>
      </c>
      <c r="CY411" s="104" t="str">
        <f aca="false">IF(ISBLANK($C411),"",IF($BZ411&lt;&gt;Constants!$B$8,$BZ411,$CE411))</f>
        <v/>
      </c>
      <c r="CZ411" s="105" t="str">
        <f aca="false">IF(ISBLANK($C411),"",$CA411)</f>
        <v/>
      </c>
      <c r="DA411" s="106" t="str">
        <f aca="false">IF(ISBLANK($C411),"",$CP411)</f>
        <v/>
      </c>
      <c r="DB411" s="106" t="str">
        <f aca="false">IF(ISBLANK($C411),"",$CO411)</f>
        <v/>
      </c>
      <c r="DC411" s="107" t="str">
        <f aca="false">IF(ISBLANK($C411),"",IFERROR(_xlfn.SWITCH($DB411,Constants!$B$11,COUNTA($C$9:$C$508)+2,Constants!$B$10,COUNTA($C$9:$C$508)+1,Constants!$B$9,COUNTA($C$9:$C$508)),$DB411))</f>
        <v/>
      </c>
      <c r="DD411" s="9"/>
      <c r="DE411" s="108" t="n">
        <f aca="false">IF(OR(ISNUMBER($DB411),$DB411=Constants!$B$11,$DB411=Constants!$B$9,$DB411=Constants!$B$10),1,0)</f>
        <v>0</v>
      </c>
      <c r="DF411" s="108" t="n">
        <v>403</v>
      </c>
      <c r="DG411" s="108" t="str">
        <f aca="false">IF(ISBLANK($C411),"",IF(ISNUMBER($DC411),$DC411+ROW($B411)/1000,""))</f>
        <v/>
      </c>
      <c r="DH411" s="108" t="str">
        <f aca="false">IF(ISNUMBER($DG411),RANK($DG411,$DG$9:$DG$508,1),"")</f>
        <v/>
      </c>
      <c r="DI411" s="108" t="str">
        <f aca="false">IF(ISBLANK($C411),"",$B411)</f>
        <v/>
      </c>
      <c r="DJ411" s="108" t="str">
        <f aca="false">IF(ISBLANK($C411),"",$C411)</f>
        <v/>
      </c>
      <c r="DK411" s="108" t="str">
        <f aca="false">IF(ISBLANK($C411),"",$D411)</f>
        <v/>
      </c>
      <c r="DL411" s="109" t="str">
        <f aca="false">$CZ411</f>
        <v/>
      </c>
      <c r="DM411" s="110" t="str">
        <f aca="false">$CY411</f>
        <v/>
      </c>
      <c r="DN411" s="108" t="str">
        <f aca="false">IF(ISBLANK($C411),"",$DB411)</f>
        <v/>
      </c>
      <c r="DO411" s="111" t="str">
        <f aca="false">IF($DF411&gt;$DE$8,"",VLOOKUP($DF411,$DH$9:$DN$508,7,FALSE()))</f>
        <v/>
      </c>
      <c r="DP411" s="112" t="str">
        <f aca="false">IF($DF411&gt;$DE$8,"",VLOOKUP($DF411,$DH$9:$DN$508,2,FALSE()))</f>
        <v/>
      </c>
      <c r="DQ411" s="112" t="str">
        <f aca="false">IF($DF411&gt;$DE$8,"",VLOOKUP($DF411,$DH$9:$DN$508,3,FALSE()))</f>
        <v/>
      </c>
      <c r="DR411" s="112" t="str">
        <f aca="false">IF($DF411&gt;$DE$8,"",VLOOKUP($DF411,$DH$9:$DN$508,4,FALSE()))</f>
        <v/>
      </c>
      <c r="DS411" s="112" t="str">
        <f aca="false">IF($DF411&gt;$DE$8,"",VLOOKUP($DF411,$DH$9:$DN$508,5,FALSE()))</f>
        <v/>
      </c>
      <c r="DT411" s="113" t="str">
        <f aca="false">IF($DF411&gt;$DE$8,"",VLOOKUP($DF411,$DH$9:$DN$508,6,FALSE()))</f>
        <v/>
      </c>
      <c r="DU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IF(ISBLANK($C412),"",IF(E412=Constants!$B$3,TRUE(),IF(E412=Constants!$B$4,FALSE(),TRUE())))</f>
        <v/>
      </c>
      <c r="AG412" s="93" t="str">
        <f aca="false">IF(ISBLANK($C412),"",IF(F412=Constants!$B$3,TRUE(),IF(F412=Constants!$B$4,FALSE(),TRUE())))</f>
        <v/>
      </c>
      <c r="AH412" s="93" t="str">
        <f aca="false">IF(ISBLANK($C412),"",IF(G412=Constants!$B$3,TRUE(),IF(G412=Constants!$B$4,FALSE(),TRUE())))</f>
        <v/>
      </c>
      <c r="AI412" s="93" t="str">
        <f aca="false">IF(ISBLANK($C412),"",IF(AND(ISNUMBER(H412),H412&gt;=0),H412,Constants!$B$29))</f>
        <v/>
      </c>
      <c r="AJ412" s="93" t="str">
        <f aca="false">IF(ISBLANK($C412),"",IF(I412=Constants!$B$3,TRUE(),IF(I412=Constants!$B$4,FALSE(),TRUE())))</f>
        <v/>
      </c>
      <c r="AK412" s="93" t="str">
        <f aca="false">IF(ISBLANK($C412),"",IF(J412=Constants!$B$3,TRUE(),IF(J412=Constants!$B$4,FALSE(),TRUE())))</f>
        <v/>
      </c>
      <c r="AL412" s="93" t="str">
        <f aca="false">IF(ISBLANK($C412),"",IF(K412=Constants!$B$5,TRUE(),IF(K412=Constants!$B$6,FALSE(),COUNTA(L412:P412)&gt;0)))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IF(ISBLANK($C412),"",IF(N412=Constants!$B$3,TRUE(),IF(N412=Constants!$B$4,FALSE(),TRUE())))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IF(ISBLANK($C412),"",IF(P412=Constants!$B$3,TRUE(),IF(P412=Constants!$B$4,FALSE(),FALSE())))</f>
        <v/>
      </c>
      <c r="AR412" s="93" t="str">
        <f aca="false">IF(ISBLANK($C412),"",IF(Q412=Constants!$B$3,TRUE(),IF(Q412=Constants!$B$4,FALSE(),TRUE())))</f>
        <v/>
      </c>
      <c r="AS412" s="93" t="str">
        <f aca="false">IF(ISBLANK($C412),"",IF(R412=Constants!$B$3,TRUE(),IF(R412=Constants!$B$4,FALSE(),TRUE())))</f>
        <v/>
      </c>
      <c r="AT412" s="93" t="str">
        <f aca="false">IF(ISBLANK($C412),"",IF(S412=Constants!$B$5,TRUE(),IF(S412=Constants!$B$6,FALSE(),COUNTA(T412:X412)&gt;0)))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IF(ISBLANK($C412),"",IF(V412=Constants!$B$3,TRUE(),IF(V412=Constants!$B$4,FALSE(),TRUE())))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IF(ISBLANK($C412),"",IF(X412=Constants!$B$3,TRUE(),IF(X412=Constants!$B$4,FALSE(),FALSE())))</f>
        <v/>
      </c>
      <c r="AZ412" s="93" t="str">
        <f aca="false">IF(ISBLANK($C412),"",MIN(Constants!$B$31,MAX(0,IF(ISNUMBER(Y412),Y412*60,0)+IF(ISNUMBER(Z412),Z412,0))))</f>
        <v/>
      </c>
      <c r="BA412" s="93" t="str">
        <f aca="false">IF(ISBLANK($C412),"",IF(AA412=Constants!$B$3,TRUE(),IF(AA412=Constants!$B$4,FALSE(),FALSE())))</f>
        <v/>
      </c>
      <c r="BB412" s="92" t="str">
        <f aca="false">IF(ISBLANK($C412),"",AND($AL412,OR($AM412="",$AN412="",AND($AO412,$AP412=""))))</f>
        <v/>
      </c>
      <c r="BC412" s="94" t="str">
        <f aca="false">IF($BZ412&lt;&gt;Constants!$B$8,"",IF($AL412,Constants!$B$21*$AN412+Constants!$B$22*IF($AO412,$AP412,Constants!$B$23),Constants!$B$24))</f>
        <v/>
      </c>
      <c r="BD412" s="97" t="str">
        <f aca="false">IF($BZ412&lt;&gt;Constants!$B$8,"",Constants!$B$25*ABS($AD$9-IF($AL412,$AM412,0)))</f>
        <v/>
      </c>
      <c r="BE412" s="97" t="str">
        <f aca="false">IF($BZ412&lt;&gt;Constants!$B$8,"",IF(AND($AL412,$AQ412,$AO412),Constants!$B$27,0))</f>
        <v/>
      </c>
      <c r="BF412" s="97" t="str">
        <f aca="false">IF($BZ412&lt;&gt;Constants!$B$8,"",IF($AL412,($AI412-Constants!$B$29)*Constants!$B$28,0))</f>
        <v/>
      </c>
      <c r="BG412" s="97" t="str">
        <f aca="false">IF($BZ412&lt;&gt;Constants!$B$8,"",IF($AK412,0,Constants!$B$15)+IF($AJ412,0,Constants!$B$16)+IF($AH412,0,Constants!$B$17))</f>
        <v/>
      </c>
      <c r="BH412" s="98" t="str">
        <f aca="false">IF($BZ412&lt;&gt;Constants!$B$8,"",Constants!$B$20+SUM($BC412:$BG412))</f>
        <v/>
      </c>
      <c r="BI412" s="97" t="str">
        <f aca="false">IF($BZ412&lt;&gt;Constants!$B$8,"",$BC412)</f>
        <v/>
      </c>
      <c r="BJ412" s="97" t="str">
        <f aca="false">IF($BZ412&lt;&gt;Constants!$B$8,"",$BD412)</f>
        <v/>
      </c>
      <c r="BK412" s="97" t="str">
        <f aca="false">IF($BZ412&lt;&gt;Constants!$B$8,"",IF($AL412,$AN412,""))</f>
        <v/>
      </c>
      <c r="BL412" s="99" t="str">
        <f aca="false">IF($BZ412&lt;&gt;Constants!$B$8,"",$AI412)</f>
        <v/>
      </c>
      <c r="BM412" s="93" t="str">
        <f aca="false">IF($BZ412&lt;&gt;Constants!$B$8,"",IF(OR($BT412&lt;$BH412,AND($BT412=$BH412,OR($BU412&lt;$BI412,AND($BU412=$BI412,OR($BV412&lt;$BJ412,AND($BV412=$BJ412,OR(AND(ISNUMBER($BW412),OR(NOT(ISNUMBER($BK412)),$BW412&lt;$BK412)),AND(OR(AND($BW412="",$BK412=""),AND(ISNUMBER($BW412),ISNUMBER($BK412),$BW412=$BK412)),$BX412&lt;$BL412)))))))),"-&gt;","&lt;-"))</f>
        <v/>
      </c>
      <c r="BN412" s="92" t="str">
        <f aca="false">IF(ISBLANK($C412),"",AND($AT412,OR($AU412="",$AV412="",AND($AW412,$AX412=""))))</f>
        <v/>
      </c>
      <c r="BO412" s="94" t="str">
        <f aca="false">IF($BZ412&lt;&gt;Constants!$B$8,"",IF($AT412,Constants!$B$21*$AV412+Constants!$B$22*IF($AW412,$AX412,Constants!$B$23),Constants!$B$24))</f>
        <v/>
      </c>
      <c r="BP412" s="97" t="str">
        <f aca="false">IF($BZ412&lt;&gt;Constants!$B$8,"",Constants!$B$25*ABS($AD$9-IF($AT412,$AU412,0)))</f>
        <v/>
      </c>
      <c r="BQ412" s="97" t="str">
        <f aca="false">IF($BZ412&lt;&gt;Constants!$B$8,"",IF(AND($AT412,$AY412,$AW412),Constants!$B$27,0))</f>
        <v/>
      </c>
      <c r="BR412" s="97" t="str">
        <f aca="false">IF($BZ412&lt;&gt;Constants!$B$8,"",IF($AT412,($AI412-Constants!$B$29)*Constants!$B$28,0))</f>
        <v/>
      </c>
      <c r="BS412" s="97" t="str">
        <f aca="false">IF($BZ412&lt;&gt;Constants!$B$8,"",IF($AS412,0,Constants!$B$15)+IF($AR412,0,Constants!$B$16)+IF($AH412,0,Constants!$B$17))</f>
        <v/>
      </c>
      <c r="BT412" s="98" t="str">
        <f aca="false">IF($BZ412&lt;&gt;Constants!$B$8,"",Constants!$B$20+SUM($BO412:$BS412))</f>
        <v/>
      </c>
      <c r="BU412" s="97" t="str">
        <f aca="false">IF($BZ412&lt;&gt;Constants!$B$8,"",$BO412)</f>
        <v/>
      </c>
      <c r="BV412" s="97" t="str">
        <f aca="false">IF($BZ412&lt;&gt;Constants!$B$8,"",$BP412)</f>
        <v/>
      </c>
      <c r="BW412" s="97" t="str">
        <f aca="false">IF($BZ412&lt;&gt;Constants!$B$8,"",IF($AT412,$AV412,""))</f>
        <v/>
      </c>
      <c r="BX412" s="99" t="str">
        <f aca="false">IF($BZ412&lt;&gt;Constants!$B$8,"",$AI412)</f>
        <v/>
      </c>
      <c r="BY412" s="93" t="str">
        <f aca="false">IF(ISBLANK($C412),"",IF(ISBLANK($D$7),$BY$5,IF(NOT(ISNUMBER($D$7)),$BY$6,"")))</f>
        <v/>
      </c>
      <c r="BZ412" s="93" t="str">
        <f aca="false">IF(ISBLANK($C412),"",IF($BA412,Constants!$B$11,IF(COUNTA($E412:$AA412)=0,Constants!$B$10,IF(NOT($AG412),Constants!$B$9,IF(OR($BY412&lt;&gt;"",$BB412,$BN412),Constants!$B$12,Constants!$B$8)))))</f>
        <v/>
      </c>
      <c r="CA412" s="93" t="str">
        <f aca="false">IF(ISBLANK($C412),"",IF($BZ412&lt;&gt;Constants!$B$8,$BZ412,Constants!$B$13))</f>
        <v/>
      </c>
      <c r="CB412" s="97" t="str">
        <f aca="false">IF($BZ412&lt;&gt;Constants!$B$8,"",IF($BM412="-&gt;",$BT412,$BH412))</f>
        <v/>
      </c>
      <c r="CC412" s="97" t="str">
        <f aca="false">IF($BZ412&lt;&gt;Constants!$B$8,"",IF($AF412,0,Constants!$B$18))</f>
        <v/>
      </c>
      <c r="CD412" s="97" t="str">
        <f aca="false">IF($BZ412&lt;&gt;Constants!$B$8,"",((Constants!$B$31-$AZ412)-Constants!$B$31)/Constants!$B$32)</f>
        <v/>
      </c>
      <c r="CE412" s="97" t="str">
        <f aca="false">IF(ISBLANK($C412),"",IF($BZ412&lt;&gt;Constants!$B$8,$BZ412,SUM($CB412:$CD412)))</f>
        <v/>
      </c>
      <c r="CF412" s="93" t="str">
        <f aca="false">IF(ISBLANK($C412),"",IF($BZ412&lt;&gt;Constants!$B$8,$BZ412,RANK($CE412,$CE$9:$CE$508,1)))</f>
        <v/>
      </c>
      <c r="CG412" s="97" t="str">
        <f aca="false">IF($BZ412&lt;&gt;Constants!$B$8,"",IF($BM412="-&gt;",$BU412,$BI412))</f>
        <v/>
      </c>
      <c r="CH412" s="93" t="str">
        <f aca="false">IF(ISBLANK($C412),"",IF($BZ412&lt;&gt;Constants!$B$8,$BZ412,IF(ISNUMBER($CG412),RANK($CG412,$CG$9:$CG$508,1),COUNT($CG$9:$CG$508)+1)))</f>
        <v/>
      </c>
      <c r="CI412" s="97" t="str">
        <f aca="false">IF($BZ412&lt;&gt;Constants!$B$8,"",IF($BM412="-&gt;",$BV412,$BJ412))</f>
        <v/>
      </c>
      <c r="CJ412" s="93" t="str">
        <f aca="false">IF(ISBLANK($C412),"",IF($BZ412&lt;&gt;Constants!$B$8,$BZ412,IF(ISNUMBER($CI412),RANK($CI412,$CI$9:$CI$508,1),COUNT($CI$9:$CI$508)+1)))</f>
        <v/>
      </c>
      <c r="CK412" s="97" t="str">
        <f aca="false">IF($BZ412&lt;&gt;Constants!$B$8,"",IF($BM412="-&gt;",$BW412,$BK412))</f>
        <v/>
      </c>
      <c r="CL412" s="93" t="str">
        <f aca="false">IF(ISBLANK($C412),"",IF($BZ412&lt;&gt;Constants!$B$8,$BZ412,IF(ISNUMBER($CK412),RANK($CK412,$CK$9:$CK$508,1),COUNT($CK$9:$CK$508)+1)))</f>
        <v/>
      </c>
      <c r="CM412" s="97" t="str">
        <f aca="false">IF($BZ412&lt;&gt;Constants!$B$8,"",IF(AND(NOT($AL412),NOT($AT412),$AJ412,$AK412,$AR412,$AS412),"",IF($BM412="-&gt;",$BX412,$BL412)))</f>
        <v/>
      </c>
      <c r="CN412" s="93" t="str">
        <f aca="false">IF(ISBLANK($C412),"",IF($BZ412&lt;&gt;Constants!$B$8,$BZ412,IF(ISNUMBER($CM412),RANK($CM412,$CM$9:$CM$508,1),COUNT($CM$9:$CM$508)+1)))</f>
        <v/>
      </c>
      <c r="CO412" s="93" t="str">
        <f aca="false">IF(ISBLANK($C412),"",IF($BZ412&lt;&gt;Constants!$B$8,$BZ412,COUNTIFS($CF$9:$CF$508,"&lt;"&amp;$CF412)+COUNTIFS($CF$9:$CF$508,$CF412,$CH$9:$CH$508,"&lt;"&amp;$CH412)+COUNTIFS($CF$9:$CF$508,$CF412,$CH$9:$CH$508,$CH412,$CJ$9:$CJ$508,"&lt;"&amp;$CJ412)+COUNTIFS($CF$9:$CF$508,$CF412,$CH$9:$CH$508,$CH412,$CJ$9:$CJ$508,$CJ412,$CL$9:$CL$508,"&lt;"&amp;$CL412)+COUNTIFS($CF$9:$CF$508,$CF412,$CH$9:$CH$508,$CH412,$CJ$9:$CJ$508,$CJ412,$CL$9:$CL$508,$CL412,$CN$9:$CN$508,"&lt;"&amp;$CN412)+1))</f>
        <v/>
      </c>
      <c r="CP412" s="93" t="str">
        <f aca="false">IF(ISBLANK($C412),"",IF($BZ412&lt;&gt;Constants!$B$8,$BZ412,$CF412-$CO412))</f>
        <v/>
      </c>
      <c r="CQ412" s="100"/>
      <c r="CR412" s="101"/>
      <c r="CS412" s="102" t="str">
        <f aca="false">IF(ISBLANK($C412),"",IF($BZ412=Constants!$B$12,$BY412,""))</f>
        <v/>
      </c>
      <c r="CT412" s="101" t="str">
        <f aca="false">IF(ISBLANK($C412),"",IF($BZ412&lt;&gt;Constants!$B$8,"",IF($BM412="-&gt;",2,1)))</f>
        <v/>
      </c>
      <c r="CU412" s="103" t="str">
        <f aca="false">IF(ISBLANK($C412),"",IF($BZ412&lt;&gt;Constants!$B$8,"",IF($BM412="-&gt;",$BO412,$BC412)))</f>
        <v/>
      </c>
      <c r="CV412" s="103" t="str">
        <f aca="false">IF(ISBLANK($C412),"",IF($BZ412&lt;&gt;Constants!$B$8,"",IF($BM412="-&gt;",$BP412,$BD412)))</f>
        <v/>
      </c>
      <c r="CW412" s="103" t="str">
        <f aca="false">IF(ISBLANK($C412),"",IF($BZ412&lt;&gt;Constants!$B$8,"",IF($BM412="-&gt;",$BQ412+$BR412,$BE412+$BF412)+$CD412))</f>
        <v/>
      </c>
      <c r="CX412" s="103" t="str">
        <f aca="false">IF(ISBLANK($C412),"",IF($BZ412&lt;&gt;Constants!$B$8,"",IF($BM412="-&gt;",$BS412,$BG412)+$CC412))</f>
        <v/>
      </c>
      <c r="CY412" s="104" t="str">
        <f aca="false">IF(ISBLANK($C412),"",IF($BZ412&lt;&gt;Constants!$B$8,$BZ412,$CE412))</f>
        <v/>
      </c>
      <c r="CZ412" s="105" t="str">
        <f aca="false">IF(ISBLANK($C412),"",$CA412)</f>
        <v/>
      </c>
      <c r="DA412" s="106" t="str">
        <f aca="false">IF(ISBLANK($C412),"",$CP412)</f>
        <v/>
      </c>
      <c r="DB412" s="106" t="str">
        <f aca="false">IF(ISBLANK($C412),"",$CO412)</f>
        <v/>
      </c>
      <c r="DC412" s="107" t="str">
        <f aca="false">IF(ISBLANK($C412),"",IFERROR(_xlfn.SWITCH($DB412,Constants!$B$11,COUNTA($C$9:$C$508)+2,Constants!$B$10,COUNTA($C$9:$C$508)+1,Constants!$B$9,COUNTA($C$9:$C$508)),$DB412))</f>
        <v/>
      </c>
      <c r="DD412" s="9"/>
      <c r="DE412" s="108" t="n">
        <f aca="false">IF(OR(ISNUMBER($DB412),$DB412=Constants!$B$11,$DB412=Constants!$B$9,$DB412=Constants!$B$10),1,0)</f>
        <v>0</v>
      </c>
      <c r="DF412" s="108" t="n">
        <v>404</v>
      </c>
      <c r="DG412" s="108" t="str">
        <f aca="false">IF(ISBLANK($C412),"",IF(ISNUMBER($DC412),$DC412+ROW($B412)/1000,""))</f>
        <v/>
      </c>
      <c r="DH412" s="108" t="str">
        <f aca="false">IF(ISNUMBER($DG412),RANK($DG412,$DG$9:$DG$508,1),"")</f>
        <v/>
      </c>
      <c r="DI412" s="108" t="str">
        <f aca="false">IF(ISBLANK($C412),"",$B412)</f>
        <v/>
      </c>
      <c r="DJ412" s="108" t="str">
        <f aca="false">IF(ISBLANK($C412),"",$C412)</f>
        <v/>
      </c>
      <c r="DK412" s="108" t="str">
        <f aca="false">IF(ISBLANK($C412),"",$D412)</f>
        <v/>
      </c>
      <c r="DL412" s="109" t="str">
        <f aca="false">$CZ412</f>
        <v/>
      </c>
      <c r="DM412" s="110" t="str">
        <f aca="false">$CY412</f>
        <v/>
      </c>
      <c r="DN412" s="108" t="str">
        <f aca="false">IF(ISBLANK($C412),"",$DB412)</f>
        <v/>
      </c>
      <c r="DO412" s="111" t="str">
        <f aca="false">IF($DF412&gt;$DE$8,"",VLOOKUP($DF412,$DH$9:$DN$508,7,FALSE()))</f>
        <v/>
      </c>
      <c r="DP412" s="112" t="str">
        <f aca="false">IF($DF412&gt;$DE$8,"",VLOOKUP($DF412,$DH$9:$DN$508,2,FALSE()))</f>
        <v/>
      </c>
      <c r="DQ412" s="112" t="str">
        <f aca="false">IF($DF412&gt;$DE$8,"",VLOOKUP($DF412,$DH$9:$DN$508,3,FALSE()))</f>
        <v/>
      </c>
      <c r="DR412" s="112" t="str">
        <f aca="false">IF($DF412&gt;$DE$8,"",VLOOKUP($DF412,$DH$9:$DN$508,4,FALSE()))</f>
        <v/>
      </c>
      <c r="DS412" s="112" t="str">
        <f aca="false">IF($DF412&gt;$DE$8,"",VLOOKUP($DF412,$DH$9:$DN$508,5,FALSE()))</f>
        <v/>
      </c>
      <c r="DT412" s="113" t="str">
        <f aca="false">IF($DF412&gt;$DE$8,"",VLOOKUP($DF412,$DH$9:$DN$508,6,FALSE()))</f>
        <v/>
      </c>
      <c r="DU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IF(ISBLANK($C413),"",IF(E413=Constants!$B$3,TRUE(),IF(E413=Constants!$B$4,FALSE(),TRUE())))</f>
        <v/>
      </c>
      <c r="AG413" s="93" t="str">
        <f aca="false">IF(ISBLANK($C413),"",IF(F413=Constants!$B$3,TRUE(),IF(F413=Constants!$B$4,FALSE(),TRUE())))</f>
        <v/>
      </c>
      <c r="AH413" s="93" t="str">
        <f aca="false">IF(ISBLANK($C413),"",IF(G413=Constants!$B$3,TRUE(),IF(G413=Constants!$B$4,FALSE(),TRUE())))</f>
        <v/>
      </c>
      <c r="AI413" s="93" t="str">
        <f aca="false">IF(ISBLANK($C413),"",IF(AND(ISNUMBER(H413),H413&gt;=0),H413,Constants!$B$29))</f>
        <v/>
      </c>
      <c r="AJ413" s="93" t="str">
        <f aca="false">IF(ISBLANK($C413),"",IF(I413=Constants!$B$3,TRUE(),IF(I413=Constants!$B$4,FALSE(),TRUE())))</f>
        <v/>
      </c>
      <c r="AK413" s="93" t="str">
        <f aca="false">IF(ISBLANK($C413),"",IF(J413=Constants!$B$3,TRUE(),IF(J413=Constants!$B$4,FALSE(),TRUE())))</f>
        <v/>
      </c>
      <c r="AL413" s="93" t="str">
        <f aca="false">IF(ISBLANK($C413),"",IF(K413=Constants!$B$5,TRUE(),IF(K413=Constants!$B$6,FALSE(),COUNTA(L413:P413)&gt;0)))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IF(ISBLANK($C413),"",IF(N413=Constants!$B$3,TRUE(),IF(N413=Constants!$B$4,FALSE(),TRUE())))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IF(ISBLANK($C413),"",IF(P413=Constants!$B$3,TRUE(),IF(P413=Constants!$B$4,FALSE(),FALSE())))</f>
        <v/>
      </c>
      <c r="AR413" s="93" t="str">
        <f aca="false">IF(ISBLANK($C413),"",IF(Q413=Constants!$B$3,TRUE(),IF(Q413=Constants!$B$4,FALSE(),TRUE())))</f>
        <v/>
      </c>
      <c r="AS413" s="93" t="str">
        <f aca="false">IF(ISBLANK($C413),"",IF(R413=Constants!$B$3,TRUE(),IF(R413=Constants!$B$4,FALSE(),TRUE())))</f>
        <v/>
      </c>
      <c r="AT413" s="93" t="str">
        <f aca="false">IF(ISBLANK($C413),"",IF(S413=Constants!$B$5,TRUE(),IF(S413=Constants!$B$6,FALSE(),COUNTA(T413:X413)&gt;0)))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IF(ISBLANK($C413),"",IF(V413=Constants!$B$3,TRUE(),IF(V413=Constants!$B$4,FALSE(),TRUE())))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IF(ISBLANK($C413),"",IF(X413=Constants!$B$3,TRUE(),IF(X413=Constants!$B$4,FALSE(),FALSE())))</f>
        <v/>
      </c>
      <c r="AZ413" s="93" t="str">
        <f aca="false">IF(ISBLANK($C413),"",MIN(Constants!$B$31,MAX(0,IF(ISNUMBER(Y413),Y413*60,0)+IF(ISNUMBER(Z413),Z413,0))))</f>
        <v/>
      </c>
      <c r="BA413" s="93" t="str">
        <f aca="false">IF(ISBLANK($C413),"",IF(AA413=Constants!$B$3,TRUE(),IF(AA413=Constants!$B$4,FALSE(),FALSE())))</f>
        <v/>
      </c>
      <c r="BB413" s="92" t="str">
        <f aca="false">IF(ISBLANK($C413),"",AND($AL413,OR($AM413="",$AN413="",AND($AO413,$AP413=""))))</f>
        <v/>
      </c>
      <c r="BC413" s="94" t="str">
        <f aca="false">IF($BZ413&lt;&gt;Constants!$B$8,"",IF($AL413,Constants!$B$21*$AN413+Constants!$B$22*IF($AO413,$AP413,Constants!$B$23),Constants!$B$24))</f>
        <v/>
      </c>
      <c r="BD413" s="97" t="str">
        <f aca="false">IF($BZ413&lt;&gt;Constants!$B$8,"",Constants!$B$25*ABS($AD$9-IF($AL413,$AM413,0)))</f>
        <v/>
      </c>
      <c r="BE413" s="97" t="str">
        <f aca="false">IF($BZ413&lt;&gt;Constants!$B$8,"",IF(AND($AL413,$AQ413,$AO413),Constants!$B$27,0))</f>
        <v/>
      </c>
      <c r="BF413" s="97" t="str">
        <f aca="false">IF($BZ413&lt;&gt;Constants!$B$8,"",IF($AL413,($AI413-Constants!$B$29)*Constants!$B$28,0))</f>
        <v/>
      </c>
      <c r="BG413" s="97" t="str">
        <f aca="false">IF($BZ413&lt;&gt;Constants!$B$8,"",IF($AK413,0,Constants!$B$15)+IF($AJ413,0,Constants!$B$16)+IF($AH413,0,Constants!$B$17))</f>
        <v/>
      </c>
      <c r="BH413" s="98" t="str">
        <f aca="false">IF($BZ413&lt;&gt;Constants!$B$8,"",Constants!$B$20+SUM($BC413:$BG413))</f>
        <v/>
      </c>
      <c r="BI413" s="97" t="str">
        <f aca="false">IF($BZ413&lt;&gt;Constants!$B$8,"",$BC413)</f>
        <v/>
      </c>
      <c r="BJ413" s="97" t="str">
        <f aca="false">IF($BZ413&lt;&gt;Constants!$B$8,"",$BD413)</f>
        <v/>
      </c>
      <c r="BK413" s="97" t="str">
        <f aca="false">IF($BZ413&lt;&gt;Constants!$B$8,"",IF($AL413,$AN413,""))</f>
        <v/>
      </c>
      <c r="BL413" s="99" t="str">
        <f aca="false">IF($BZ413&lt;&gt;Constants!$B$8,"",$AI413)</f>
        <v/>
      </c>
      <c r="BM413" s="93" t="str">
        <f aca="false">IF($BZ413&lt;&gt;Constants!$B$8,"",IF(OR($BT413&lt;$BH413,AND($BT413=$BH413,OR($BU413&lt;$BI413,AND($BU413=$BI413,OR($BV413&lt;$BJ413,AND($BV413=$BJ413,OR(AND(ISNUMBER($BW413),OR(NOT(ISNUMBER($BK413)),$BW413&lt;$BK413)),AND(OR(AND($BW413="",$BK413=""),AND(ISNUMBER($BW413),ISNUMBER($BK413),$BW413=$BK413)),$BX413&lt;$BL413)))))))),"-&gt;","&lt;-"))</f>
        <v/>
      </c>
      <c r="BN413" s="92" t="str">
        <f aca="false">IF(ISBLANK($C413),"",AND($AT413,OR($AU413="",$AV413="",AND($AW413,$AX413=""))))</f>
        <v/>
      </c>
      <c r="BO413" s="94" t="str">
        <f aca="false">IF($BZ413&lt;&gt;Constants!$B$8,"",IF($AT413,Constants!$B$21*$AV413+Constants!$B$22*IF($AW413,$AX413,Constants!$B$23),Constants!$B$24))</f>
        <v/>
      </c>
      <c r="BP413" s="97" t="str">
        <f aca="false">IF($BZ413&lt;&gt;Constants!$B$8,"",Constants!$B$25*ABS($AD$9-IF($AT413,$AU413,0)))</f>
        <v/>
      </c>
      <c r="BQ413" s="97" t="str">
        <f aca="false">IF($BZ413&lt;&gt;Constants!$B$8,"",IF(AND($AT413,$AY413,$AW413),Constants!$B$27,0))</f>
        <v/>
      </c>
      <c r="BR413" s="97" t="str">
        <f aca="false">IF($BZ413&lt;&gt;Constants!$B$8,"",IF($AT413,($AI413-Constants!$B$29)*Constants!$B$28,0))</f>
        <v/>
      </c>
      <c r="BS413" s="97" t="str">
        <f aca="false">IF($BZ413&lt;&gt;Constants!$B$8,"",IF($AS413,0,Constants!$B$15)+IF($AR413,0,Constants!$B$16)+IF($AH413,0,Constants!$B$17))</f>
        <v/>
      </c>
      <c r="BT413" s="98" t="str">
        <f aca="false">IF($BZ413&lt;&gt;Constants!$B$8,"",Constants!$B$20+SUM($BO413:$BS413))</f>
        <v/>
      </c>
      <c r="BU413" s="97" t="str">
        <f aca="false">IF($BZ413&lt;&gt;Constants!$B$8,"",$BO413)</f>
        <v/>
      </c>
      <c r="BV413" s="97" t="str">
        <f aca="false">IF($BZ413&lt;&gt;Constants!$B$8,"",$BP413)</f>
        <v/>
      </c>
      <c r="BW413" s="97" t="str">
        <f aca="false">IF($BZ413&lt;&gt;Constants!$B$8,"",IF($AT413,$AV413,""))</f>
        <v/>
      </c>
      <c r="BX413" s="99" t="str">
        <f aca="false">IF($BZ413&lt;&gt;Constants!$B$8,"",$AI413)</f>
        <v/>
      </c>
      <c r="BY413" s="93" t="str">
        <f aca="false">IF(ISBLANK($C413),"",IF(ISBLANK($D$7),$BY$5,IF(NOT(ISNUMBER($D$7)),$BY$6,"")))</f>
        <v/>
      </c>
      <c r="BZ413" s="93" t="str">
        <f aca="false">IF(ISBLANK($C413),"",IF($BA413,Constants!$B$11,IF(COUNTA($E413:$AA413)=0,Constants!$B$10,IF(NOT($AG413),Constants!$B$9,IF(OR($BY413&lt;&gt;"",$BB413,$BN413),Constants!$B$12,Constants!$B$8)))))</f>
        <v/>
      </c>
      <c r="CA413" s="93" t="str">
        <f aca="false">IF(ISBLANK($C413),"",IF($BZ413&lt;&gt;Constants!$B$8,$BZ413,Constants!$B$13))</f>
        <v/>
      </c>
      <c r="CB413" s="97" t="str">
        <f aca="false">IF($BZ413&lt;&gt;Constants!$B$8,"",IF($BM413="-&gt;",$BT413,$BH413))</f>
        <v/>
      </c>
      <c r="CC413" s="97" t="str">
        <f aca="false">IF($BZ413&lt;&gt;Constants!$B$8,"",IF($AF413,0,Constants!$B$18))</f>
        <v/>
      </c>
      <c r="CD413" s="97" t="str">
        <f aca="false">IF($BZ413&lt;&gt;Constants!$B$8,"",((Constants!$B$31-$AZ413)-Constants!$B$31)/Constants!$B$32)</f>
        <v/>
      </c>
      <c r="CE413" s="97" t="str">
        <f aca="false">IF(ISBLANK($C413),"",IF($BZ413&lt;&gt;Constants!$B$8,$BZ413,SUM($CB413:$CD413)))</f>
        <v/>
      </c>
      <c r="CF413" s="93" t="str">
        <f aca="false">IF(ISBLANK($C413),"",IF($BZ413&lt;&gt;Constants!$B$8,$BZ413,RANK($CE413,$CE$9:$CE$508,1)))</f>
        <v/>
      </c>
      <c r="CG413" s="97" t="str">
        <f aca="false">IF($BZ413&lt;&gt;Constants!$B$8,"",IF($BM413="-&gt;",$BU413,$BI413))</f>
        <v/>
      </c>
      <c r="CH413" s="93" t="str">
        <f aca="false">IF(ISBLANK($C413),"",IF($BZ413&lt;&gt;Constants!$B$8,$BZ413,IF(ISNUMBER($CG413),RANK($CG413,$CG$9:$CG$508,1),COUNT($CG$9:$CG$508)+1)))</f>
        <v/>
      </c>
      <c r="CI413" s="97" t="str">
        <f aca="false">IF($BZ413&lt;&gt;Constants!$B$8,"",IF($BM413="-&gt;",$BV413,$BJ413))</f>
        <v/>
      </c>
      <c r="CJ413" s="93" t="str">
        <f aca="false">IF(ISBLANK($C413),"",IF($BZ413&lt;&gt;Constants!$B$8,$BZ413,IF(ISNUMBER($CI413),RANK($CI413,$CI$9:$CI$508,1),COUNT($CI$9:$CI$508)+1)))</f>
        <v/>
      </c>
      <c r="CK413" s="97" t="str">
        <f aca="false">IF($BZ413&lt;&gt;Constants!$B$8,"",IF($BM413="-&gt;",$BW413,$BK413))</f>
        <v/>
      </c>
      <c r="CL413" s="93" t="str">
        <f aca="false">IF(ISBLANK($C413),"",IF($BZ413&lt;&gt;Constants!$B$8,$BZ413,IF(ISNUMBER($CK413),RANK($CK413,$CK$9:$CK$508,1),COUNT($CK$9:$CK$508)+1)))</f>
        <v/>
      </c>
      <c r="CM413" s="97" t="str">
        <f aca="false">IF($BZ413&lt;&gt;Constants!$B$8,"",IF(AND(NOT($AL413),NOT($AT413),$AJ413,$AK413,$AR413,$AS413),"",IF($BM413="-&gt;",$BX413,$BL413)))</f>
        <v/>
      </c>
      <c r="CN413" s="93" t="str">
        <f aca="false">IF(ISBLANK($C413),"",IF($BZ413&lt;&gt;Constants!$B$8,$BZ413,IF(ISNUMBER($CM413),RANK($CM413,$CM$9:$CM$508,1),COUNT($CM$9:$CM$508)+1)))</f>
        <v/>
      </c>
      <c r="CO413" s="93" t="str">
        <f aca="false">IF(ISBLANK($C413),"",IF($BZ413&lt;&gt;Constants!$B$8,$BZ413,COUNTIFS($CF$9:$CF$508,"&lt;"&amp;$CF413)+COUNTIFS($CF$9:$CF$508,$CF413,$CH$9:$CH$508,"&lt;"&amp;$CH413)+COUNTIFS($CF$9:$CF$508,$CF413,$CH$9:$CH$508,$CH413,$CJ$9:$CJ$508,"&lt;"&amp;$CJ413)+COUNTIFS($CF$9:$CF$508,$CF413,$CH$9:$CH$508,$CH413,$CJ$9:$CJ$508,$CJ413,$CL$9:$CL$508,"&lt;"&amp;$CL413)+COUNTIFS($CF$9:$CF$508,$CF413,$CH$9:$CH$508,$CH413,$CJ$9:$CJ$508,$CJ413,$CL$9:$CL$508,$CL413,$CN$9:$CN$508,"&lt;"&amp;$CN413)+1))</f>
        <v/>
      </c>
      <c r="CP413" s="93" t="str">
        <f aca="false">IF(ISBLANK($C413),"",IF($BZ413&lt;&gt;Constants!$B$8,$BZ413,$CF413-$CO413))</f>
        <v/>
      </c>
      <c r="CQ413" s="100"/>
      <c r="CR413" s="101"/>
      <c r="CS413" s="102" t="str">
        <f aca="false">IF(ISBLANK($C413),"",IF($BZ413=Constants!$B$12,$BY413,""))</f>
        <v/>
      </c>
      <c r="CT413" s="101" t="str">
        <f aca="false">IF(ISBLANK($C413),"",IF($BZ413&lt;&gt;Constants!$B$8,"",IF($BM413="-&gt;",2,1)))</f>
        <v/>
      </c>
      <c r="CU413" s="103" t="str">
        <f aca="false">IF(ISBLANK($C413),"",IF($BZ413&lt;&gt;Constants!$B$8,"",IF($BM413="-&gt;",$BO413,$BC413)))</f>
        <v/>
      </c>
      <c r="CV413" s="103" t="str">
        <f aca="false">IF(ISBLANK($C413),"",IF($BZ413&lt;&gt;Constants!$B$8,"",IF($BM413="-&gt;",$BP413,$BD413)))</f>
        <v/>
      </c>
      <c r="CW413" s="103" t="str">
        <f aca="false">IF(ISBLANK($C413),"",IF($BZ413&lt;&gt;Constants!$B$8,"",IF($BM413="-&gt;",$BQ413+$BR413,$BE413+$BF413)+$CD413))</f>
        <v/>
      </c>
      <c r="CX413" s="103" t="str">
        <f aca="false">IF(ISBLANK($C413),"",IF($BZ413&lt;&gt;Constants!$B$8,"",IF($BM413="-&gt;",$BS413,$BG413)+$CC413))</f>
        <v/>
      </c>
      <c r="CY413" s="104" t="str">
        <f aca="false">IF(ISBLANK($C413),"",IF($BZ413&lt;&gt;Constants!$B$8,$BZ413,$CE413))</f>
        <v/>
      </c>
      <c r="CZ413" s="105" t="str">
        <f aca="false">IF(ISBLANK($C413),"",$CA413)</f>
        <v/>
      </c>
      <c r="DA413" s="106" t="str">
        <f aca="false">IF(ISBLANK($C413),"",$CP413)</f>
        <v/>
      </c>
      <c r="DB413" s="106" t="str">
        <f aca="false">IF(ISBLANK($C413),"",$CO413)</f>
        <v/>
      </c>
      <c r="DC413" s="107" t="str">
        <f aca="false">IF(ISBLANK($C413),"",IFERROR(_xlfn.SWITCH($DB413,Constants!$B$11,COUNTA($C$9:$C$508)+2,Constants!$B$10,COUNTA($C$9:$C$508)+1,Constants!$B$9,COUNTA($C$9:$C$508)),$DB413))</f>
        <v/>
      </c>
      <c r="DD413" s="9"/>
      <c r="DE413" s="108" t="n">
        <f aca="false">IF(OR(ISNUMBER($DB413),$DB413=Constants!$B$11,$DB413=Constants!$B$9,$DB413=Constants!$B$10),1,0)</f>
        <v>0</v>
      </c>
      <c r="DF413" s="108" t="n">
        <v>405</v>
      </c>
      <c r="DG413" s="108" t="str">
        <f aca="false">IF(ISBLANK($C413),"",IF(ISNUMBER($DC413),$DC413+ROW($B413)/1000,""))</f>
        <v/>
      </c>
      <c r="DH413" s="108" t="str">
        <f aca="false">IF(ISNUMBER($DG413),RANK($DG413,$DG$9:$DG$508,1),"")</f>
        <v/>
      </c>
      <c r="DI413" s="108" t="str">
        <f aca="false">IF(ISBLANK($C413),"",$B413)</f>
        <v/>
      </c>
      <c r="DJ413" s="108" t="str">
        <f aca="false">IF(ISBLANK($C413),"",$C413)</f>
        <v/>
      </c>
      <c r="DK413" s="108" t="str">
        <f aca="false">IF(ISBLANK($C413),"",$D413)</f>
        <v/>
      </c>
      <c r="DL413" s="109" t="str">
        <f aca="false">$CZ413</f>
        <v/>
      </c>
      <c r="DM413" s="110" t="str">
        <f aca="false">$CY413</f>
        <v/>
      </c>
      <c r="DN413" s="108" t="str">
        <f aca="false">IF(ISBLANK($C413),"",$DB413)</f>
        <v/>
      </c>
      <c r="DO413" s="111" t="str">
        <f aca="false">IF($DF413&gt;$DE$8,"",VLOOKUP($DF413,$DH$9:$DN$508,7,FALSE()))</f>
        <v/>
      </c>
      <c r="DP413" s="112" t="str">
        <f aca="false">IF($DF413&gt;$DE$8,"",VLOOKUP($DF413,$DH$9:$DN$508,2,FALSE()))</f>
        <v/>
      </c>
      <c r="DQ413" s="112" t="str">
        <f aca="false">IF($DF413&gt;$DE$8,"",VLOOKUP($DF413,$DH$9:$DN$508,3,FALSE()))</f>
        <v/>
      </c>
      <c r="DR413" s="112" t="str">
        <f aca="false">IF($DF413&gt;$DE$8,"",VLOOKUP($DF413,$DH$9:$DN$508,4,FALSE()))</f>
        <v/>
      </c>
      <c r="DS413" s="112" t="str">
        <f aca="false">IF($DF413&gt;$DE$8,"",VLOOKUP($DF413,$DH$9:$DN$508,5,FALSE()))</f>
        <v/>
      </c>
      <c r="DT413" s="113" t="str">
        <f aca="false">IF($DF413&gt;$DE$8,"",VLOOKUP($DF413,$DH$9:$DN$508,6,FALSE()))</f>
        <v/>
      </c>
      <c r="DU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IF(ISBLANK($C414),"",IF(E414=Constants!$B$3,TRUE(),IF(E414=Constants!$B$4,FALSE(),TRUE())))</f>
        <v/>
      </c>
      <c r="AG414" s="135" t="str">
        <f aca="false">IF(ISBLANK($C414),"",IF(F414=Constants!$B$3,TRUE(),IF(F414=Constants!$B$4,FALSE(),TRUE())))</f>
        <v/>
      </c>
      <c r="AH414" s="135" t="str">
        <f aca="false">IF(ISBLANK($C414),"",IF(G414=Constants!$B$3,TRUE(),IF(G414=Constants!$B$4,FALSE(),TRUE())))</f>
        <v/>
      </c>
      <c r="AI414" s="135" t="str">
        <f aca="false">IF(ISBLANK($C414),"",IF(AND(ISNUMBER(H414),H414&gt;=0),H414,Constants!$B$29))</f>
        <v/>
      </c>
      <c r="AJ414" s="135" t="str">
        <f aca="false">IF(ISBLANK($C414),"",IF(I414=Constants!$B$3,TRUE(),IF(I414=Constants!$B$4,FALSE(),TRUE())))</f>
        <v/>
      </c>
      <c r="AK414" s="135" t="str">
        <f aca="false">IF(ISBLANK($C414),"",IF(J414=Constants!$B$3,TRUE(),IF(J414=Constants!$B$4,FALSE(),TRUE())))</f>
        <v/>
      </c>
      <c r="AL414" s="135" t="str">
        <f aca="false">IF(ISBLANK($C414),"",IF(K414=Constants!$B$5,TRUE(),IF(K414=Constants!$B$6,FALSE(),COUNTA(L414:P414)&gt;0)))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IF(ISBLANK($C414),"",IF(N414=Constants!$B$3,TRUE(),IF(N414=Constants!$B$4,FALSE(),TRUE())))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IF(ISBLANK($C414),"",IF(P414=Constants!$B$3,TRUE(),IF(P414=Constants!$B$4,FALSE(),FALSE())))</f>
        <v/>
      </c>
      <c r="AR414" s="135" t="str">
        <f aca="false">IF(ISBLANK($C414),"",IF(Q414=Constants!$B$3,TRUE(),IF(Q414=Constants!$B$4,FALSE(),TRUE())))</f>
        <v/>
      </c>
      <c r="AS414" s="135" t="str">
        <f aca="false">IF(ISBLANK($C414),"",IF(R414=Constants!$B$3,TRUE(),IF(R414=Constants!$B$4,FALSE(),TRUE())))</f>
        <v/>
      </c>
      <c r="AT414" s="135" t="str">
        <f aca="false">IF(ISBLANK($C414),"",IF(S414=Constants!$B$5,TRUE(),IF(S414=Constants!$B$6,FALSE(),COUNTA(T414:X414)&gt;0)))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IF(ISBLANK($C414),"",IF(V414=Constants!$B$3,TRUE(),IF(V414=Constants!$B$4,FALSE(),TRUE())))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IF(ISBLANK($C414),"",IF(X414=Constants!$B$3,TRUE(),IF(X414=Constants!$B$4,FALSE(),FALSE())))</f>
        <v/>
      </c>
      <c r="AZ414" s="135" t="str">
        <f aca="false">IF(ISBLANK($C414),"",MIN(Constants!$B$31,MAX(0,IF(ISNUMBER(Y414),Y414*60,0)+IF(ISNUMBER(Z414),Z414,0))))</f>
        <v/>
      </c>
      <c r="BA414" s="135" t="str">
        <f aca="false">IF(ISBLANK($C414),"",IF(AA414=Constants!$B$3,TRUE(),IF(AA414=Constants!$B$4,FALSE(),FALSE())))</f>
        <v/>
      </c>
      <c r="BB414" s="134" t="str">
        <f aca="false">IF(ISBLANK($C414),"",AND($AL414,OR($AM414="",$AN414="",AND($AO414,$AP414=""))))</f>
        <v/>
      </c>
      <c r="BC414" s="137" t="str">
        <f aca="false">IF($BZ414&lt;&gt;Constants!$B$8,"",IF($AL414,Constants!$B$21*$AN414+Constants!$B$22*IF($AO414,$AP414,Constants!$B$23),Constants!$B$24))</f>
        <v/>
      </c>
      <c r="BD414" s="138" t="str">
        <f aca="false">IF($BZ414&lt;&gt;Constants!$B$8,"",Constants!$B$25*ABS($AD$9-IF($AL414,$AM414,0)))</f>
        <v/>
      </c>
      <c r="BE414" s="138" t="str">
        <f aca="false">IF($BZ414&lt;&gt;Constants!$B$8,"",IF(AND($AL414,$AQ414,$AO414),Constants!$B$27,0))</f>
        <v/>
      </c>
      <c r="BF414" s="138" t="str">
        <f aca="false">IF($BZ414&lt;&gt;Constants!$B$8,"",IF($AL414,($AI414-Constants!$B$29)*Constants!$B$28,0))</f>
        <v/>
      </c>
      <c r="BG414" s="138" t="str">
        <f aca="false">IF($BZ414&lt;&gt;Constants!$B$8,"",IF($AK414,0,Constants!$B$15)+IF($AJ414,0,Constants!$B$16)+IF($AH414,0,Constants!$B$17))</f>
        <v/>
      </c>
      <c r="BH414" s="139" t="str">
        <f aca="false">IF($BZ414&lt;&gt;Constants!$B$8,"",Constants!$B$20+SUM($BC414:$BG414))</f>
        <v/>
      </c>
      <c r="BI414" s="138" t="str">
        <f aca="false">IF($BZ414&lt;&gt;Constants!$B$8,"",$BC414)</f>
        <v/>
      </c>
      <c r="BJ414" s="138" t="str">
        <f aca="false">IF($BZ414&lt;&gt;Constants!$B$8,"",$BD414)</f>
        <v/>
      </c>
      <c r="BK414" s="138" t="str">
        <f aca="false">IF($BZ414&lt;&gt;Constants!$B$8,"",IF($AL414,$AN414,""))</f>
        <v/>
      </c>
      <c r="BL414" s="140" t="str">
        <f aca="false">IF($BZ414&lt;&gt;Constants!$B$8,"",$AI414)</f>
        <v/>
      </c>
      <c r="BM414" s="135" t="str">
        <f aca="false">IF($BZ414&lt;&gt;Constants!$B$8,"",IF(OR($BT414&lt;$BH414,AND($BT414=$BH414,OR($BU414&lt;$BI414,AND($BU414=$BI414,OR($BV414&lt;$BJ414,AND($BV414=$BJ414,OR(AND(ISNUMBER($BW414),OR(NOT(ISNUMBER($BK414)),$BW414&lt;$BK414)),AND(OR(AND($BW414="",$BK414=""),AND(ISNUMBER($BW414),ISNUMBER($BK414),$BW414=$BK414)),$BX414&lt;$BL414)))))))),"-&gt;","&lt;-"))</f>
        <v/>
      </c>
      <c r="BN414" s="134" t="str">
        <f aca="false">IF(ISBLANK($C414),"",AND($AT414,OR($AU414="",$AV414="",AND($AW414,$AX414=""))))</f>
        <v/>
      </c>
      <c r="BO414" s="137" t="str">
        <f aca="false">IF($BZ414&lt;&gt;Constants!$B$8,"",IF($AT414,Constants!$B$21*$AV414+Constants!$B$22*IF($AW414,$AX414,Constants!$B$23),Constants!$B$24))</f>
        <v/>
      </c>
      <c r="BP414" s="138" t="str">
        <f aca="false">IF($BZ414&lt;&gt;Constants!$B$8,"",Constants!$B$25*ABS($AD$9-IF($AT414,$AU414,0)))</f>
        <v/>
      </c>
      <c r="BQ414" s="138" t="str">
        <f aca="false">IF($BZ414&lt;&gt;Constants!$B$8,"",IF(AND($AT414,$AY414,$AW414),Constants!$B$27,0))</f>
        <v/>
      </c>
      <c r="BR414" s="138" t="str">
        <f aca="false">IF($BZ414&lt;&gt;Constants!$B$8,"",IF($AT414,($AI414-Constants!$B$29)*Constants!$B$28,0))</f>
        <v/>
      </c>
      <c r="BS414" s="138" t="str">
        <f aca="false">IF($BZ414&lt;&gt;Constants!$B$8,"",IF($AS414,0,Constants!$B$15)+IF($AR414,0,Constants!$B$16)+IF($AH414,0,Constants!$B$17))</f>
        <v/>
      </c>
      <c r="BT414" s="139" t="str">
        <f aca="false">IF($BZ414&lt;&gt;Constants!$B$8,"",Constants!$B$20+SUM($BO414:$BS414))</f>
        <v/>
      </c>
      <c r="BU414" s="138" t="str">
        <f aca="false">IF($BZ414&lt;&gt;Constants!$B$8,"",$BO414)</f>
        <v/>
      </c>
      <c r="BV414" s="138" t="str">
        <f aca="false">IF($BZ414&lt;&gt;Constants!$B$8,"",$BP414)</f>
        <v/>
      </c>
      <c r="BW414" s="138" t="str">
        <f aca="false">IF($BZ414&lt;&gt;Constants!$B$8,"",IF($AT414,$AV414,""))</f>
        <v/>
      </c>
      <c r="BX414" s="140" t="str">
        <f aca="false">IF($BZ414&lt;&gt;Constants!$B$8,"",$AI414)</f>
        <v/>
      </c>
      <c r="BY414" s="135" t="str">
        <f aca="false">IF(ISBLANK($C414),"",IF(ISBLANK($D$7),$BY$5,IF(NOT(ISNUMBER($D$7)),$BY$6,"")))</f>
        <v/>
      </c>
      <c r="BZ414" s="135" t="str">
        <f aca="false">IF(ISBLANK($C414),"",IF($BA414,Constants!$B$11,IF(COUNTA($E414:$AA414)=0,Constants!$B$10,IF(NOT($AG414),Constants!$B$9,IF(OR($BY414&lt;&gt;"",$BB414,$BN414),Constants!$B$12,Constants!$B$8)))))</f>
        <v/>
      </c>
      <c r="CA414" s="135" t="str">
        <f aca="false">IF(ISBLANK($C414),"",IF($BZ414&lt;&gt;Constants!$B$8,$BZ414,Constants!$B$13))</f>
        <v/>
      </c>
      <c r="CB414" s="138" t="str">
        <f aca="false">IF($BZ414&lt;&gt;Constants!$B$8,"",IF($BM414="-&gt;",$BT414,$BH414))</f>
        <v/>
      </c>
      <c r="CC414" s="138" t="str">
        <f aca="false">IF($BZ414&lt;&gt;Constants!$B$8,"",IF($AF414,0,Constants!$B$18))</f>
        <v/>
      </c>
      <c r="CD414" s="138" t="str">
        <f aca="false">IF($BZ414&lt;&gt;Constants!$B$8,"",((Constants!$B$31-$AZ414)-Constants!$B$31)/Constants!$B$32)</f>
        <v/>
      </c>
      <c r="CE414" s="138" t="str">
        <f aca="false">IF(ISBLANK($C414),"",IF($BZ414&lt;&gt;Constants!$B$8,$BZ414,SUM($CB414:$CD414)))</f>
        <v/>
      </c>
      <c r="CF414" s="135" t="str">
        <f aca="false">IF(ISBLANK($C414),"",IF($BZ414&lt;&gt;Constants!$B$8,$BZ414,RANK($CE414,$CE$9:$CE$508,1)))</f>
        <v/>
      </c>
      <c r="CG414" s="138" t="str">
        <f aca="false">IF($BZ414&lt;&gt;Constants!$B$8,"",IF($BM414="-&gt;",$BU414,$BI414))</f>
        <v/>
      </c>
      <c r="CH414" s="135" t="str">
        <f aca="false">IF(ISBLANK($C414),"",IF($BZ414&lt;&gt;Constants!$B$8,$BZ414,IF(ISNUMBER($CG414),RANK($CG414,$CG$9:$CG$508,1),COUNT($CG$9:$CG$508)+1)))</f>
        <v/>
      </c>
      <c r="CI414" s="138" t="str">
        <f aca="false">IF($BZ414&lt;&gt;Constants!$B$8,"",IF($BM414="-&gt;",$BV414,$BJ414))</f>
        <v/>
      </c>
      <c r="CJ414" s="135" t="str">
        <f aca="false">IF(ISBLANK($C414),"",IF($BZ414&lt;&gt;Constants!$B$8,$BZ414,IF(ISNUMBER($CI414),RANK($CI414,$CI$9:$CI$508,1),COUNT($CI$9:$CI$508)+1)))</f>
        <v/>
      </c>
      <c r="CK414" s="138" t="str">
        <f aca="false">IF($BZ414&lt;&gt;Constants!$B$8,"",IF($BM414="-&gt;",$BW414,$BK414))</f>
        <v/>
      </c>
      <c r="CL414" s="135" t="str">
        <f aca="false">IF(ISBLANK($C414),"",IF($BZ414&lt;&gt;Constants!$B$8,$BZ414,IF(ISNUMBER($CK414),RANK($CK414,$CK$9:$CK$508,1),COUNT($CK$9:$CK$508)+1)))</f>
        <v/>
      </c>
      <c r="CM414" s="138" t="str">
        <f aca="false">IF($BZ414&lt;&gt;Constants!$B$8,"",IF(AND(NOT($AL414),NOT($AT414),$AJ414,$AK414,$AR414,$AS414),"",IF($BM414="-&gt;",$BX414,$BL414)))</f>
        <v/>
      </c>
      <c r="CN414" s="135" t="str">
        <f aca="false">IF(ISBLANK($C414),"",IF($BZ414&lt;&gt;Constants!$B$8,$BZ414,IF(ISNUMBER($CM414),RANK($CM414,$CM$9:$CM$508,1),COUNT($CM$9:$CM$508)+1)))</f>
        <v/>
      </c>
      <c r="CO414" s="135" t="str">
        <f aca="false">IF(ISBLANK($C414),"",IF($BZ414&lt;&gt;Constants!$B$8,$BZ414,COUNTIFS($CF$9:$CF$508,"&lt;"&amp;$CF414)+COUNTIFS($CF$9:$CF$508,$CF414,$CH$9:$CH$508,"&lt;"&amp;$CH414)+COUNTIFS($CF$9:$CF$508,$CF414,$CH$9:$CH$508,$CH414,$CJ$9:$CJ$508,"&lt;"&amp;$CJ414)+COUNTIFS($CF$9:$CF$508,$CF414,$CH$9:$CH$508,$CH414,$CJ$9:$CJ$508,$CJ414,$CL$9:$CL$508,"&lt;"&amp;$CL414)+COUNTIFS($CF$9:$CF$508,$CF414,$CH$9:$CH$508,$CH414,$CJ$9:$CJ$508,$CJ414,$CL$9:$CL$508,$CL414,$CN$9:$CN$508,"&lt;"&amp;$CN414)+1))</f>
        <v/>
      </c>
      <c r="CP414" s="135" t="str">
        <f aca="false">IF(ISBLANK($C414),"",IF($BZ414&lt;&gt;Constants!$B$8,$BZ414,$CF414-$CO414))</f>
        <v/>
      </c>
      <c r="CQ414" s="141"/>
      <c r="CR414" s="142"/>
      <c r="CS414" s="143" t="str">
        <f aca="false">IF(ISBLANK($C414),"",IF($BZ414=Constants!$B$12,$BY414,""))</f>
        <v/>
      </c>
      <c r="CT414" s="142" t="str">
        <f aca="false">IF(ISBLANK($C414),"",IF($BZ414&lt;&gt;Constants!$B$8,"",IF($BM414="-&gt;",2,1)))</f>
        <v/>
      </c>
      <c r="CU414" s="144" t="str">
        <f aca="false">IF(ISBLANK($C414),"",IF($BZ414&lt;&gt;Constants!$B$8,"",IF($BM414="-&gt;",$BO414,$BC414)))</f>
        <v/>
      </c>
      <c r="CV414" s="144" t="str">
        <f aca="false">IF(ISBLANK($C414),"",IF($BZ414&lt;&gt;Constants!$B$8,"",IF($BM414="-&gt;",$BP414,$BD414)))</f>
        <v/>
      </c>
      <c r="CW414" s="144" t="str">
        <f aca="false">IF(ISBLANK($C414),"",IF($BZ414&lt;&gt;Constants!$B$8,"",IF($BM414="-&gt;",$BQ414+$BR414,$BE414+$BF414)+$CD414))</f>
        <v/>
      </c>
      <c r="CX414" s="144" t="str">
        <f aca="false">IF(ISBLANK($C414),"",IF($BZ414&lt;&gt;Constants!$B$8,"",IF($BM414="-&gt;",$BS414,$BG414)+$CC414))</f>
        <v/>
      </c>
      <c r="CY414" s="145" t="str">
        <f aca="false">IF(ISBLANK($C414),"",IF($BZ414&lt;&gt;Constants!$B$8,$BZ414,$CE414))</f>
        <v/>
      </c>
      <c r="CZ414" s="146" t="str">
        <f aca="false">IF(ISBLANK($C414),"",$CA414)</f>
        <v/>
      </c>
      <c r="DA414" s="147" t="str">
        <f aca="false">IF(ISBLANK($C414),"",$CP414)</f>
        <v/>
      </c>
      <c r="DB414" s="147" t="str">
        <f aca="false">IF(ISBLANK($C414),"",$CO414)</f>
        <v/>
      </c>
      <c r="DC414" s="148" t="str">
        <f aca="false">IF(ISBLANK($C414),"",IFERROR(_xlfn.SWITCH($DB414,Constants!$B$11,COUNTA($C$9:$C$508)+2,Constants!$B$10,COUNTA($C$9:$C$508)+1,Constants!$B$9,COUNTA($C$9:$C$508)),$DB414))</f>
        <v/>
      </c>
      <c r="DD414" s="9"/>
      <c r="DE414" s="149" t="n">
        <f aca="false">IF(OR(ISNUMBER($DB414),$DB414=Constants!$B$11,$DB414=Constants!$B$9,$DB414=Constants!$B$10),1,0)</f>
        <v>0</v>
      </c>
      <c r="DF414" s="149" t="n">
        <v>406</v>
      </c>
      <c r="DG414" s="149" t="str">
        <f aca="false">IF(ISBLANK($C414),"",IF(ISNUMBER($DC414),$DC414+ROW($B414)/1000,""))</f>
        <v/>
      </c>
      <c r="DH414" s="149" t="str">
        <f aca="false">IF(ISNUMBER($DG414),RANK($DG414,$DG$9:$DG$508,1),"")</f>
        <v/>
      </c>
      <c r="DI414" s="149" t="str">
        <f aca="false">IF(ISBLANK($C414),"",$B414)</f>
        <v/>
      </c>
      <c r="DJ414" s="149" t="str">
        <f aca="false">IF(ISBLANK($C414),"",$C414)</f>
        <v/>
      </c>
      <c r="DK414" s="149" t="str">
        <f aca="false">IF(ISBLANK($C414),"",$D414)</f>
        <v/>
      </c>
      <c r="DL414" s="150" t="str">
        <f aca="false">$CZ414</f>
        <v/>
      </c>
      <c r="DM414" s="151" t="str">
        <f aca="false">$CY414</f>
        <v/>
      </c>
      <c r="DN414" s="149" t="str">
        <f aca="false">IF(ISBLANK($C414),"",$DB414)</f>
        <v/>
      </c>
      <c r="DO414" s="152" t="str">
        <f aca="false">IF($DF414&gt;$DE$8,"",VLOOKUP($DF414,$DH$9:$DN$508,7,FALSE()))</f>
        <v/>
      </c>
      <c r="DP414" s="153" t="str">
        <f aca="false">IF($DF414&gt;$DE$8,"",VLOOKUP($DF414,$DH$9:$DN$508,2,FALSE()))</f>
        <v/>
      </c>
      <c r="DQ414" s="153" t="str">
        <f aca="false">IF($DF414&gt;$DE$8,"",VLOOKUP($DF414,$DH$9:$DN$508,3,FALSE()))</f>
        <v/>
      </c>
      <c r="DR414" s="153" t="str">
        <f aca="false">IF($DF414&gt;$DE$8,"",VLOOKUP($DF414,$DH$9:$DN$508,4,FALSE()))</f>
        <v/>
      </c>
      <c r="DS414" s="153" t="str">
        <f aca="false">IF($DF414&gt;$DE$8,"",VLOOKUP($DF414,$DH$9:$DN$508,5,FALSE()))</f>
        <v/>
      </c>
      <c r="DT414" s="154" t="str">
        <f aca="false">IF($DF414&gt;$DE$8,"",VLOOKUP($DF414,$DH$9:$DN$508,6,FALSE()))</f>
        <v/>
      </c>
      <c r="DU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IF(ISBLANK($C415),"",IF(E415=Constants!$B$3,TRUE(),IF(E415=Constants!$B$4,FALSE(),TRUE())))</f>
        <v/>
      </c>
      <c r="AG415" s="135" t="str">
        <f aca="false">IF(ISBLANK($C415),"",IF(F415=Constants!$B$3,TRUE(),IF(F415=Constants!$B$4,FALSE(),TRUE())))</f>
        <v/>
      </c>
      <c r="AH415" s="135" t="str">
        <f aca="false">IF(ISBLANK($C415),"",IF(G415=Constants!$B$3,TRUE(),IF(G415=Constants!$B$4,FALSE(),TRUE())))</f>
        <v/>
      </c>
      <c r="AI415" s="135" t="str">
        <f aca="false">IF(ISBLANK($C415),"",IF(AND(ISNUMBER(H415),H415&gt;=0),H415,Constants!$B$29))</f>
        <v/>
      </c>
      <c r="AJ415" s="135" t="str">
        <f aca="false">IF(ISBLANK($C415),"",IF(I415=Constants!$B$3,TRUE(),IF(I415=Constants!$B$4,FALSE(),TRUE())))</f>
        <v/>
      </c>
      <c r="AK415" s="135" t="str">
        <f aca="false">IF(ISBLANK($C415),"",IF(J415=Constants!$B$3,TRUE(),IF(J415=Constants!$B$4,FALSE(),TRUE())))</f>
        <v/>
      </c>
      <c r="AL415" s="135" t="str">
        <f aca="false">IF(ISBLANK($C415),"",IF(K415=Constants!$B$5,TRUE(),IF(K415=Constants!$B$6,FALSE(),COUNTA(L415:P415)&gt;0)))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IF(ISBLANK($C415),"",IF(N415=Constants!$B$3,TRUE(),IF(N415=Constants!$B$4,FALSE(),TRUE())))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IF(ISBLANK($C415),"",IF(P415=Constants!$B$3,TRUE(),IF(P415=Constants!$B$4,FALSE(),FALSE())))</f>
        <v/>
      </c>
      <c r="AR415" s="135" t="str">
        <f aca="false">IF(ISBLANK($C415),"",IF(Q415=Constants!$B$3,TRUE(),IF(Q415=Constants!$B$4,FALSE(),TRUE())))</f>
        <v/>
      </c>
      <c r="AS415" s="135" t="str">
        <f aca="false">IF(ISBLANK($C415),"",IF(R415=Constants!$B$3,TRUE(),IF(R415=Constants!$B$4,FALSE(),TRUE())))</f>
        <v/>
      </c>
      <c r="AT415" s="135" t="str">
        <f aca="false">IF(ISBLANK($C415),"",IF(S415=Constants!$B$5,TRUE(),IF(S415=Constants!$B$6,FALSE(),COUNTA(T415:X415)&gt;0)))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IF(ISBLANK($C415),"",IF(V415=Constants!$B$3,TRUE(),IF(V415=Constants!$B$4,FALSE(),TRUE())))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IF(ISBLANK($C415),"",IF(X415=Constants!$B$3,TRUE(),IF(X415=Constants!$B$4,FALSE(),FALSE())))</f>
        <v/>
      </c>
      <c r="AZ415" s="135" t="str">
        <f aca="false">IF(ISBLANK($C415),"",MIN(Constants!$B$31,MAX(0,IF(ISNUMBER(Y415),Y415*60,0)+IF(ISNUMBER(Z415),Z415,0))))</f>
        <v/>
      </c>
      <c r="BA415" s="135" t="str">
        <f aca="false">IF(ISBLANK($C415),"",IF(AA415=Constants!$B$3,TRUE(),IF(AA415=Constants!$B$4,FALSE(),FALSE())))</f>
        <v/>
      </c>
      <c r="BB415" s="134" t="str">
        <f aca="false">IF(ISBLANK($C415),"",AND($AL415,OR($AM415="",$AN415="",AND($AO415,$AP415=""))))</f>
        <v/>
      </c>
      <c r="BC415" s="137" t="str">
        <f aca="false">IF($BZ415&lt;&gt;Constants!$B$8,"",IF($AL415,Constants!$B$21*$AN415+Constants!$B$22*IF($AO415,$AP415,Constants!$B$23),Constants!$B$24))</f>
        <v/>
      </c>
      <c r="BD415" s="138" t="str">
        <f aca="false">IF($BZ415&lt;&gt;Constants!$B$8,"",Constants!$B$25*ABS($AD$9-IF($AL415,$AM415,0)))</f>
        <v/>
      </c>
      <c r="BE415" s="138" t="str">
        <f aca="false">IF($BZ415&lt;&gt;Constants!$B$8,"",IF(AND($AL415,$AQ415,$AO415),Constants!$B$27,0))</f>
        <v/>
      </c>
      <c r="BF415" s="138" t="str">
        <f aca="false">IF($BZ415&lt;&gt;Constants!$B$8,"",IF($AL415,($AI415-Constants!$B$29)*Constants!$B$28,0))</f>
        <v/>
      </c>
      <c r="BG415" s="138" t="str">
        <f aca="false">IF($BZ415&lt;&gt;Constants!$B$8,"",IF($AK415,0,Constants!$B$15)+IF($AJ415,0,Constants!$B$16)+IF($AH415,0,Constants!$B$17))</f>
        <v/>
      </c>
      <c r="BH415" s="139" t="str">
        <f aca="false">IF($BZ415&lt;&gt;Constants!$B$8,"",Constants!$B$20+SUM($BC415:$BG415))</f>
        <v/>
      </c>
      <c r="BI415" s="138" t="str">
        <f aca="false">IF($BZ415&lt;&gt;Constants!$B$8,"",$BC415)</f>
        <v/>
      </c>
      <c r="BJ415" s="138" t="str">
        <f aca="false">IF($BZ415&lt;&gt;Constants!$B$8,"",$BD415)</f>
        <v/>
      </c>
      <c r="BK415" s="138" t="str">
        <f aca="false">IF($BZ415&lt;&gt;Constants!$B$8,"",IF($AL415,$AN415,""))</f>
        <v/>
      </c>
      <c r="BL415" s="140" t="str">
        <f aca="false">IF($BZ415&lt;&gt;Constants!$B$8,"",$AI415)</f>
        <v/>
      </c>
      <c r="BM415" s="135" t="str">
        <f aca="false">IF($BZ415&lt;&gt;Constants!$B$8,"",IF(OR($BT415&lt;$BH415,AND($BT415=$BH415,OR($BU415&lt;$BI415,AND($BU415=$BI415,OR($BV415&lt;$BJ415,AND($BV415=$BJ415,OR(AND(ISNUMBER($BW415),OR(NOT(ISNUMBER($BK415)),$BW415&lt;$BK415)),AND(OR(AND($BW415="",$BK415=""),AND(ISNUMBER($BW415),ISNUMBER($BK415),$BW415=$BK415)),$BX415&lt;$BL415)))))))),"-&gt;","&lt;-"))</f>
        <v/>
      </c>
      <c r="BN415" s="134" t="str">
        <f aca="false">IF(ISBLANK($C415),"",AND($AT415,OR($AU415="",$AV415="",AND($AW415,$AX415=""))))</f>
        <v/>
      </c>
      <c r="BO415" s="137" t="str">
        <f aca="false">IF($BZ415&lt;&gt;Constants!$B$8,"",IF($AT415,Constants!$B$21*$AV415+Constants!$B$22*IF($AW415,$AX415,Constants!$B$23),Constants!$B$24))</f>
        <v/>
      </c>
      <c r="BP415" s="138" t="str">
        <f aca="false">IF($BZ415&lt;&gt;Constants!$B$8,"",Constants!$B$25*ABS($AD$9-IF($AT415,$AU415,0)))</f>
        <v/>
      </c>
      <c r="BQ415" s="138" t="str">
        <f aca="false">IF($BZ415&lt;&gt;Constants!$B$8,"",IF(AND($AT415,$AY415,$AW415),Constants!$B$27,0))</f>
        <v/>
      </c>
      <c r="BR415" s="138" t="str">
        <f aca="false">IF($BZ415&lt;&gt;Constants!$B$8,"",IF($AT415,($AI415-Constants!$B$29)*Constants!$B$28,0))</f>
        <v/>
      </c>
      <c r="BS415" s="138" t="str">
        <f aca="false">IF($BZ415&lt;&gt;Constants!$B$8,"",IF($AS415,0,Constants!$B$15)+IF($AR415,0,Constants!$B$16)+IF($AH415,0,Constants!$B$17))</f>
        <v/>
      </c>
      <c r="BT415" s="139" t="str">
        <f aca="false">IF($BZ415&lt;&gt;Constants!$B$8,"",Constants!$B$20+SUM($BO415:$BS415))</f>
        <v/>
      </c>
      <c r="BU415" s="138" t="str">
        <f aca="false">IF($BZ415&lt;&gt;Constants!$B$8,"",$BO415)</f>
        <v/>
      </c>
      <c r="BV415" s="138" t="str">
        <f aca="false">IF($BZ415&lt;&gt;Constants!$B$8,"",$BP415)</f>
        <v/>
      </c>
      <c r="BW415" s="138" t="str">
        <f aca="false">IF($BZ415&lt;&gt;Constants!$B$8,"",IF($AT415,$AV415,""))</f>
        <v/>
      </c>
      <c r="BX415" s="140" t="str">
        <f aca="false">IF($BZ415&lt;&gt;Constants!$B$8,"",$AI415)</f>
        <v/>
      </c>
      <c r="BY415" s="135" t="str">
        <f aca="false">IF(ISBLANK($C415),"",IF(ISBLANK($D$7),$BY$5,IF(NOT(ISNUMBER($D$7)),$BY$6,"")))</f>
        <v/>
      </c>
      <c r="BZ415" s="135" t="str">
        <f aca="false">IF(ISBLANK($C415),"",IF($BA415,Constants!$B$11,IF(COUNTA($E415:$AA415)=0,Constants!$B$10,IF(NOT($AG415),Constants!$B$9,IF(OR($BY415&lt;&gt;"",$BB415,$BN415),Constants!$B$12,Constants!$B$8)))))</f>
        <v/>
      </c>
      <c r="CA415" s="135" t="str">
        <f aca="false">IF(ISBLANK($C415),"",IF($BZ415&lt;&gt;Constants!$B$8,$BZ415,Constants!$B$13))</f>
        <v/>
      </c>
      <c r="CB415" s="138" t="str">
        <f aca="false">IF($BZ415&lt;&gt;Constants!$B$8,"",IF($BM415="-&gt;",$BT415,$BH415))</f>
        <v/>
      </c>
      <c r="CC415" s="138" t="str">
        <f aca="false">IF($BZ415&lt;&gt;Constants!$B$8,"",IF($AF415,0,Constants!$B$18))</f>
        <v/>
      </c>
      <c r="CD415" s="138" t="str">
        <f aca="false">IF($BZ415&lt;&gt;Constants!$B$8,"",((Constants!$B$31-$AZ415)-Constants!$B$31)/Constants!$B$32)</f>
        <v/>
      </c>
      <c r="CE415" s="138" t="str">
        <f aca="false">IF(ISBLANK($C415),"",IF($BZ415&lt;&gt;Constants!$B$8,$BZ415,SUM($CB415:$CD415)))</f>
        <v/>
      </c>
      <c r="CF415" s="135" t="str">
        <f aca="false">IF(ISBLANK($C415),"",IF($BZ415&lt;&gt;Constants!$B$8,$BZ415,RANK($CE415,$CE$9:$CE$508,1)))</f>
        <v/>
      </c>
      <c r="CG415" s="138" t="str">
        <f aca="false">IF($BZ415&lt;&gt;Constants!$B$8,"",IF($BM415="-&gt;",$BU415,$BI415))</f>
        <v/>
      </c>
      <c r="CH415" s="135" t="str">
        <f aca="false">IF(ISBLANK($C415),"",IF($BZ415&lt;&gt;Constants!$B$8,$BZ415,IF(ISNUMBER($CG415),RANK($CG415,$CG$9:$CG$508,1),COUNT($CG$9:$CG$508)+1)))</f>
        <v/>
      </c>
      <c r="CI415" s="138" t="str">
        <f aca="false">IF($BZ415&lt;&gt;Constants!$B$8,"",IF($BM415="-&gt;",$BV415,$BJ415))</f>
        <v/>
      </c>
      <c r="CJ415" s="135" t="str">
        <f aca="false">IF(ISBLANK($C415),"",IF($BZ415&lt;&gt;Constants!$B$8,$BZ415,IF(ISNUMBER($CI415),RANK($CI415,$CI$9:$CI$508,1),COUNT($CI$9:$CI$508)+1)))</f>
        <v/>
      </c>
      <c r="CK415" s="138" t="str">
        <f aca="false">IF($BZ415&lt;&gt;Constants!$B$8,"",IF($BM415="-&gt;",$BW415,$BK415))</f>
        <v/>
      </c>
      <c r="CL415" s="135" t="str">
        <f aca="false">IF(ISBLANK($C415),"",IF($BZ415&lt;&gt;Constants!$B$8,$BZ415,IF(ISNUMBER($CK415),RANK($CK415,$CK$9:$CK$508,1),COUNT($CK$9:$CK$508)+1)))</f>
        <v/>
      </c>
      <c r="CM415" s="138" t="str">
        <f aca="false">IF($BZ415&lt;&gt;Constants!$B$8,"",IF(AND(NOT($AL415),NOT($AT415),$AJ415,$AK415,$AR415,$AS415),"",IF($BM415="-&gt;",$BX415,$BL415)))</f>
        <v/>
      </c>
      <c r="CN415" s="135" t="str">
        <f aca="false">IF(ISBLANK($C415),"",IF($BZ415&lt;&gt;Constants!$B$8,$BZ415,IF(ISNUMBER($CM415),RANK($CM415,$CM$9:$CM$508,1),COUNT($CM$9:$CM$508)+1)))</f>
        <v/>
      </c>
      <c r="CO415" s="135" t="str">
        <f aca="false">IF(ISBLANK($C415),"",IF($BZ415&lt;&gt;Constants!$B$8,$BZ415,COUNTIFS($CF$9:$CF$508,"&lt;"&amp;$CF415)+COUNTIFS($CF$9:$CF$508,$CF415,$CH$9:$CH$508,"&lt;"&amp;$CH415)+COUNTIFS($CF$9:$CF$508,$CF415,$CH$9:$CH$508,$CH415,$CJ$9:$CJ$508,"&lt;"&amp;$CJ415)+COUNTIFS($CF$9:$CF$508,$CF415,$CH$9:$CH$508,$CH415,$CJ$9:$CJ$508,$CJ415,$CL$9:$CL$508,"&lt;"&amp;$CL415)+COUNTIFS($CF$9:$CF$508,$CF415,$CH$9:$CH$508,$CH415,$CJ$9:$CJ$508,$CJ415,$CL$9:$CL$508,$CL415,$CN$9:$CN$508,"&lt;"&amp;$CN415)+1))</f>
        <v/>
      </c>
      <c r="CP415" s="135" t="str">
        <f aca="false">IF(ISBLANK($C415),"",IF($BZ415&lt;&gt;Constants!$B$8,$BZ415,$CF415-$CO415))</f>
        <v/>
      </c>
      <c r="CQ415" s="141"/>
      <c r="CR415" s="142"/>
      <c r="CS415" s="143" t="str">
        <f aca="false">IF(ISBLANK($C415),"",IF($BZ415=Constants!$B$12,$BY415,""))</f>
        <v/>
      </c>
      <c r="CT415" s="142" t="str">
        <f aca="false">IF(ISBLANK($C415),"",IF($BZ415&lt;&gt;Constants!$B$8,"",IF($BM415="-&gt;",2,1)))</f>
        <v/>
      </c>
      <c r="CU415" s="144" t="str">
        <f aca="false">IF(ISBLANK($C415),"",IF($BZ415&lt;&gt;Constants!$B$8,"",IF($BM415="-&gt;",$BO415,$BC415)))</f>
        <v/>
      </c>
      <c r="CV415" s="144" t="str">
        <f aca="false">IF(ISBLANK($C415),"",IF($BZ415&lt;&gt;Constants!$B$8,"",IF($BM415="-&gt;",$BP415,$BD415)))</f>
        <v/>
      </c>
      <c r="CW415" s="144" t="str">
        <f aca="false">IF(ISBLANK($C415),"",IF($BZ415&lt;&gt;Constants!$B$8,"",IF($BM415="-&gt;",$BQ415+$BR415,$BE415+$BF415)+$CD415))</f>
        <v/>
      </c>
      <c r="CX415" s="144" t="str">
        <f aca="false">IF(ISBLANK($C415),"",IF($BZ415&lt;&gt;Constants!$B$8,"",IF($BM415="-&gt;",$BS415,$BG415)+$CC415))</f>
        <v/>
      </c>
      <c r="CY415" s="145" t="str">
        <f aca="false">IF(ISBLANK($C415),"",IF($BZ415&lt;&gt;Constants!$B$8,$BZ415,$CE415))</f>
        <v/>
      </c>
      <c r="CZ415" s="146" t="str">
        <f aca="false">IF(ISBLANK($C415),"",$CA415)</f>
        <v/>
      </c>
      <c r="DA415" s="147" t="str">
        <f aca="false">IF(ISBLANK($C415),"",$CP415)</f>
        <v/>
      </c>
      <c r="DB415" s="147" t="str">
        <f aca="false">IF(ISBLANK($C415),"",$CO415)</f>
        <v/>
      </c>
      <c r="DC415" s="148" t="str">
        <f aca="false">IF(ISBLANK($C415),"",IFERROR(_xlfn.SWITCH($DB415,Constants!$B$11,COUNTA($C$9:$C$508)+2,Constants!$B$10,COUNTA($C$9:$C$508)+1,Constants!$B$9,COUNTA($C$9:$C$508)),$DB415))</f>
        <v/>
      </c>
      <c r="DD415" s="9"/>
      <c r="DE415" s="149" t="n">
        <f aca="false">IF(OR(ISNUMBER($DB415),$DB415=Constants!$B$11,$DB415=Constants!$B$9,$DB415=Constants!$B$10),1,0)</f>
        <v>0</v>
      </c>
      <c r="DF415" s="149" t="n">
        <v>407</v>
      </c>
      <c r="DG415" s="149" t="str">
        <f aca="false">IF(ISBLANK($C415),"",IF(ISNUMBER($DC415),$DC415+ROW($B415)/1000,""))</f>
        <v/>
      </c>
      <c r="DH415" s="149" t="str">
        <f aca="false">IF(ISNUMBER($DG415),RANK($DG415,$DG$9:$DG$508,1),"")</f>
        <v/>
      </c>
      <c r="DI415" s="149" t="str">
        <f aca="false">IF(ISBLANK($C415),"",$B415)</f>
        <v/>
      </c>
      <c r="DJ415" s="149" t="str">
        <f aca="false">IF(ISBLANK($C415),"",$C415)</f>
        <v/>
      </c>
      <c r="DK415" s="149" t="str">
        <f aca="false">IF(ISBLANK($C415),"",$D415)</f>
        <v/>
      </c>
      <c r="DL415" s="150" t="str">
        <f aca="false">$CZ415</f>
        <v/>
      </c>
      <c r="DM415" s="151" t="str">
        <f aca="false">$CY415</f>
        <v/>
      </c>
      <c r="DN415" s="149" t="str">
        <f aca="false">IF(ISBLANK($C415),"",$DB415)</f>
        <v/>
      </c>
      <c r="DO415" s="152" t="str">
        <f aca="false">IF($DF415&gt;$DE$8,"",VLOOKUP($DF415,$DH$9:$DN$508,7,FALSE()))</f>
        <v/>
      </c>
      <c r="DP415" s="153" t="str">
        <f aca="false">IF($DF415&gt;$DE$8,"",VLOOKUP($DF415,$DH$9:$DN$508,2,FALSE()))</f>
        <v/>
      </c>
      <c r="DQ415" s="153" t="str">
        <f aca="false">IF($DF415&gt;$DE$8,"",VLOOKUP($DF415,$DH$9:$DN$508,3,FALSE()))</f>
        <v/>
      </c>
      <c r="DR415" s="153" t="str">
        <f aca="false">IF($DF415&gt;$DE$8,"",VLOOKUP($DF415,$DH$9:$DN$508,4,FALSE()))</f>
        <v/>
      </c>
      <c r="DS415" s="153" t="str">
        <f aca="false">IF($DF415&gt;$DE$8,"",VLOOKUP($DF415,$DH$9:$DN$508,5,FALSE()))</f>
        <v/>
      </c>
      <c r="DT415" s="154" t="str">
        <f aca="false">IF($DF415&gt;$DE$8,"",VLOOKUP($DF415,$DH$9:$DN$508,6,FALSE()))</f>
        <v/>
      </c>
      <c r="DU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IF(ISBLANK($C416),"",IF(E416=Constants!$B$3,TRUE(),IF(E416=Constants!$B$4,FALSE(),TRUE())))</f>
        <v/>
      </c>
      <c r="AG416" s="135" t="str">
        <f aca="false">IF(ISBLANK($C416),"",IF(F416=Constants!$B$3,TRUE(),IF(F416=Constants!$B$4,FALSE(),TRUE())))</f>
        <v/>
      </c>
      <c r="AH416" s="135" t="str">
        <f aca="false">IF(ISBLANK($C416),"",IF(G416=Constants!$B$3,TRUE(),IF(G416=Constants!$B$4,FALSE(),TRUE())))</f>
        <v/>
      </c>
      <c r="AI416" s="135" t="str">
        <f aca="false">IF(ISBLANK($C416),"",IF(AND(ISNUMBER(H416),H416&gt;=0),H416,Constants!$B$29))</f>
        <v/>
      </c>
      <c r="AJ416" s="135" t="str">
        <f aca="false">IF(ISBLANK($C416),"",IF(I416=Constants!$B$3,TRUE(),IF(I416=Constants!$B$4,FALSE(),TRUE())))</f>
        <v/>
      </c>
      <c r="AK416" s="135" t="str">
        <f aca="false">IF(ISBLANK($C416),"",IF(J416=Constants!$B$3,TRUE(),IF(J416=Constants!$B$4,FALSE(),TRUE())))</f>
        <v/>
      </c>
      <c r="AL416" s="135" t="str">
        <f aca="false">IF(ISBLANK($C416),"",IF(K416=Constants!$B$5,TRUE(),IF(K416=Constants!$B$6,FALSE(),COUNTA(L416:P416)&gt;0)))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IF(ISBLANK($C416),"",IF(N416=Constants!$B$3,TRUE(),IF(N416=Constants!$B$4,FALSE(),TRUE())))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IF(ISBLANK($C416),"",IF(P416=Constants!$B$3,TRUE(),IF(P416=Constants!$B$4,FALSE(),FALSE())))</f>
        <v/>
      </c>
      <c r="AR416" s="135" t="str">
        <f aca="false">IF(ISBLANK($C416),"",IF(Q416=Constants!$B$3,TRUE(),IF(Q416=Constants!$B$4,FALSE(),TRUE())))</f>
        <v/>
      </c>
      <c r="AS416" s="135" t="str">
        <f aca="false">IF(ISBLANK($C416),"",IF(R416=Constants!$B$3,TRUE(),IF(R416=Constants!$B$4,FALSE(),TRUE())))</f>
        <v/>
      </c>
      <c r="AT416" s="135" t="str">
        <f aca="false">IF(ISBLANK($C416),"",IF(S416=Constants!$B$5,TRUE(),IF(S416=Constants!$B$6,FALSE(),COUNTA(T416:X416)&gt;0)))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IF(ISBLANK($C416),"",IF(V416=Constants!$B$3,TRUE(),IF(V416=Constants!$B$4,FALSE(),TRUE())))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IF(ISBLANK($C416),"",IF(X416=Constants!$B$3,TRUE(),IF(X416=Constants!$B$4,FALSE(),FALSE())))</f>
        <v/>
      </c>
      <c r="AZ416" s="135" t="str">
        <f aca="false">IF(ISBLANK($C416),"",MIN(Constants!$B$31,MAX(0,IF(ISNUMBER(Y416),Y416*60,0)+IF(ISNUMBER(Z416),Z416,0))))</f>
        <v/>
      </c>
      <c r="BA416" s="135" t="str">
        <f aca="false">IF(ISBLANK($C416),"",IF(AA416=Constants!$B$3,TRUE(),IF(AA416=Constants!$B$4,FALSE(),FALSE())))</f>
        <v/>
      </c>
      <c r="BB416" s="134" t="str">
        <f aca="false">IF(ISBLANK($C416),"",AND($AL416,OR($AM416="",$AN416="",AND($AO416,$AP416=""))))</f>
        <v/>
      </c>
      <c r="BC416" s="137" t="str">
        <f aca="false">IF($BZ416&lt;&gt;Constants!$B$8,"",IF($AL416,Constants!$B$21*$AN416+Constants!$B$22*IF($AO416,$AP416,Constants!$B$23),Constants!$B$24))</f>
        <v/>
      </c>
      <c r="BD416" s="138" t="str">
        <f aca="false">IF($BZ416&lt;&gt;Constants!$B$8,"",Constants!$B$25*ABS($AD$9-IF($AL416,$AM416,0)))</f>
        <v/>
      </c>
      <c r="BE416" s="138" t="str">
        <f aca="false">IF($BZ416&lt;&gt;Constants!$B$8,"",IF(AND($AL416,$AQ416,$AO416),Constants!$B$27,0))</f>
        <v/>
      </c>
      <c r="BF416" s="138" t="str">
        <f aca="false">IF($BZ416&lt;&gt;Constants!$B$8,"",IF($AL416,($AI416-Constants!$B$29)*Constants!$B$28,0))</f>
        <v/>
      </c>
      <c r="BG416" s="138" t="str">
        <f aca="false">IF($BZ416&lt;&gt;Constants!$B$8,"",IF($AK416,0,Constants!$B$15)+IF($AJ416,0,Constants!$B$16)+IF($AH416,0,Constants!$B$17))</f>
        <v/>
      </c>
      <c r="BH416" s="139" t="str">
        <f aca="false">IF($BZ416&lt;&gt;Constants!$B$8,"",Constants!$B$20+SUM($BC416:$BG416))</f>
        <v/>
      </c>
      <c r="BI416" s="138" t="str">
        <f aca="false">IF($BZ416&lt;&gt;Constants!$B$8,"",$BC416)</f>
        <v/>
      </c>
      <c r="BJ416" s="138" t="str">
        <f aca="false">IF($BZ416&lt;&gt;Constants!$B$8,"",$BD416)</f>
        <v/>
      </c>
      <c r="BK416" s="138" t="str">
        <f aca="false">IF($BZ416&lt;&gt;Constants!$B$8,"",IF($AL416,$AN416,""))</f>
        <v/>
      </c>
      <c r="BL416" s="140" t="str">
        <f aca="false">IF($BZ416&lt;&gt;Constants!$B$8,"",$AI416)</f>
        <v/>
      </c>
      <c r="BM416" s="135" t="str">
        <f aca="false">IF($BZ416&lt;&gt;Constants!$B$8,"",IF(OR($BT416&lt;$BH416,AND($BT416=$BH416,OR($BU416&lt;$BI416,AND($BU416=$BI416,OR($BV416&lt;$BJ416,AND($BV416=$BJ416,OR(AND(ISNUMBER($BW416),OR(NOT(ISNUMBER($BK416)),$BW416&lt;$BK416)),AND(OR(AND($BW416="",$BK416=""),AND(ISNUMBER($BW416),ISNUMBER($BK416),$BW416=$BK416)),$BX416&lt;$BL416)))))))),"-&gt;","&lt;-"))</f>
        <v/>
      </c>
      <c r="BN416" s="134" t="str">
        <f aca="false">IF(ISBLANK($C416),"",AND($AT416,OR($AU416="",$AV416="",AND($AW416,$AX416=""))))</f>
        <v/>
      </c>
      <c r="BO416" s="137" t="str">
        <f aca="false">IF($BZ416&lt;&gt;Constants!$B$8,"",IF($AT416,Constants!$B$21*$AV416+Constants!$B$22*IF($AW416,$AX416,Constants!$B$23),Constants!$B$24))</f>
        <v/>
      </c>
      <c r="BP416" s="138" t="str">
        <f aca="false">IF($BZ416&lt;&gt;Constants!$B$8,"",Constants!$B$25*ABS($AD$9-IF($AT416,$AU416,0)))</f>
        <v/>
      </c>
      <c r="BQ416" s="138" t="str">
        <f aca="false">IF($BZ416&lt;&gt;Constants!$B$8,"",IF(AND($AT416,$AY416,$AW416),Constants!$B$27,0))</f>
        <v/>
      </c>
      <c r="BR416" s="138" t="str">
        <f aca="false">IF($BZ416&lt;&gt;Constants!$B$8,"",IF($AT416,($AI416-Constants!$B$29)*Constants!$B$28,0))</f>
        <v/>
      </c>
      <c r="BS416" s="138" t="str">
        <f aca="false">IF($BZ416&lt;&gt;Constants!$B$8,"",IF($AS416,0,Constants!$B$15)+IF($AR416,0,Constants!$B$16)+IF($AH416,0,Constants!$B$17))</f>
        <v/>
      </c>
      <c r="BT416" s="139" t="str">
        <f aca="false">IF($BZ416&lt;&gt;Constants!$B$8,"",Constants!$B$20+SUM($BO416:$BS416))</f>
        <v/>
      </c>
      <c r="BU416" s="138" t="str">
        <f aca="false">IF($BZ416&lt;&gt;Constants!$B$8,"",$BO416)</f>
        <v/>
      </c>
      <c r="BV416" s="138" t="str">
        <f aca="false">IF($BZ416&lt;&gt;Constants!$B$8,"",$BP416)</f>
        <v/>
      </c>
      <c r="BW416" s="138" t="str">
        <f aca="false">IF($BZ416&lt;&gt;Constants!$B$8,"",IF($AT416,$AV416,""))</f>
        <v/>
      </c>
      <c r="BX416" s="140" t="str">
        <f aca="false">IF($BZ416&lt;&gt;Constants!$B$8,"",$AI416)</f>
        <v/>
      </c>
      <c r="BY416" s="135" t="str">
        <f aca="false">IF(ISBLANK($C416),"",IF(ISBLANK($D$7),$BY$5,IF(NOT(ISNUMBER($D$7)),$BY$6,"")))</f>
        <v/>
      </c>
      <c r="BZ416" s="135" t="str">
        <f aca="false">IF(ISBLANK($C416),"",IF($BA416,Constants!$B$11,IF(COUNTA($E416:$AA416)=0,Constants!$B$10,IF(NOT($AG416),Constants!$B$9,IF(OR($BY416&lt;&gt;"",$BB416,$BN416),Constants!$B$12,Constants!$B$8)))))</f>
        <v/>
      </c>
      <c r="CA416" s="135" t="str">
        <f aca="false">IF(ISBLANK($C416),"",IF($BZ416&lt;&gt;Constants!$B$8,$BZ416,Constants!$B$13))</f>
        <v/>
      </c>
      <c r="CB416" s="138" t="str">
        <f aca="false">IF($BZ416&lt;&gt;Constants!$B$8,"",IF($BM416="-&gt;",$BT416,$BH416))</f>
        <v/>
      </c>
      <c r="CC416" s="138" t="str">
        <f aca="false">IF($BZ416&lt;&gt;Constants!$B$8,"",IF($AF416,0,Constants!$B$18))</f>
        <v/>
      </c>
      <c r="CD416" s="138" t="str">
        <f aca="false">IF($BZ416&lt;&gt;Constants!$B$8,"",((Constants!$B$31-$AZ416)-Constants!$B$31)/Constants!$B$32)</f>
        <v/>
      </c>
      <c r="CE416" s="138" t="str">
        <f aca="false">IF(ISBLANK($C416),"",IF($BZ416&lt;&gt;Constants!$B$8,$BZ416,SUM($CB416:$CD416)))</f>
        <v/>
      </c>
      <c r="CF416" s="135" t="str">
        <f aca="false">IF(ISBLANK($C416),"",IF($BZ416&lt;&gt;Constants!$B$8,$BZ416,RANK($CE416,$CE$9:$CE$508,1)))</f>
        <v/>
      </c>
      <c r="CG416" s="138" t="str">
        <f aca="false">IF($BZ416&lt;&gt;Constants!$B$8,"",IF($BM416="-&gt;",$BU416,$BI416))</f>
        <v/>
      </c>
      <c r="CH416" s="135" t="str">
        <f aca="false">IF(ISBLANK($C416),"",IF($BZ416&lt;&gt;Constants!$B$8,$BZ416,IF(ISNUMBER($CG416),RANK($CG416,$CG$9:$CG$508,1),COUNT($CG$9:$CG$508)+1)))</f>
        <v/>
      </c>
      <c r="CI416" s="138" t="str">
        <f aca="false">IF($BZ416&lt;&gt;Constants!$B$8,"",IF($BM416="-&gt;",$BV416,$BJ416))</f>
        <v/>
      </c>
      <c r="CJ416" s="135" t="str">
        <f aca="false">IF(ISBLANK($C416),"",IF($BZ416&lt;&gt;Constants!$B$8,$BZ416,IF(ISNUMBER($CI416),RANK($CI416,$CI$9:$CI$508,1),COUNT($CI$9:$CI$508)+1)))</f>
        <v/>
      </c>
      <c r="CK416" s="138" t="str">
        <f aca="false">IF($BZ416&lt;&gt;Constants!$B$8,"",IF($BM416="-&gt;",$BW416,$BK416))</f>
        <v/>
      </c>
      <c r="CL416" s="135" t="str">
        <f aca="false">IF(ISBLANK($C416),"",IF($BZ416&lt;&gt;Constants!$B$8,$BZ416,IF(ISNUMBER($CK416),RANK($CK416,$CK$9:$CK$508,1),COUNT($CK$9:$CK$508)+1)))</f>
        <v/>
      </c>
      <c r="CM416" s="138" t="str">
        <f aca="false">IF($BZ416&lt;&gt;Constants!$B$8,"",IF(AND(NOT($AL416),NOT($AT416),$AJ416,$AK416,$AR416,$AS416),"",IF($BM416="-&gt;",$BX416,$BL416)))</f>
        <v/>
      </c>
      <c r="CN416" s="135" t="str">
        <f aca="false">IF(ISBLANK($C416),"",IF($BZ416&lt;&gt;Constants!$B$8,$BZ416,IF(ISNUMBER($CM416),RANK($CM416,$CM$9:$CM$508,1),COUNT($CM$9:$CM$508)+1)))</f>
        <v/>
      </c>
      <c r="CO416" s="135" t="str">
        <f aca="false">IF(ISBLANK($C416),"",IF($BZ416&lt;&gt;Constants!$B$8,$BZ416,COUNTIFS($CF$9:$CF$508,"&lt;"&amp;$CF416)+COUNTIFS($CF$9:$CF$508,$CF416,$CH$9:$CH$508,"&lt;"&amp;$CH416)+COUNTIFS($CF$9:$CF$508,$CF416,$CH$9:$CH$508,$CH416,$CJ$9:$CJ$508,"&lt;"&amp;$CJ416)+COUNTIFS($CF$9:$CF$508,$CF416,$CH$9:$CH$508,$CH416,$CJ$9:$CJ$508,$CJ416,$CL$9:$CL$508,"&lt;"&amp;$CL416)+COUNTIFS($CF$9:$CF$508,$CF416,$CH$9:$CH$508,$CH416,$CJ$9:$CJ$508,$CJ416,$CL$9:$CL$508,$CL416,$CN$9:$CN$508,"&lt;"&amp;$CN416)+1))</f>
        <v/>
      </c>
      <c r="CP416" s="135" t="str">
        <f aca="false">IF(ISBLANK($C416),"",IF($BZ416&lt;&gt;Constants!$B$8,$BZ416,$CF416-$CO416))</f>
        <v/>
      </c>
      <c r="CQ416" s="141"/>
      <c r="CR416" s="142"/>
      <c r="CS416" s="143" t="str">
        <f aca="false">IF(ISBLANK($C416),"",IF($BZ416=Constants!$B$12,$BY416,""))</f>
        <v/>
      </c>
      <c r="CT416" s="142" t="str">
        <f aca="false">IF(ISBLANK($C416),"",IF($BZ416&lt;&gt;Constants!$B$8,"",IF($BM416="-&gt;",2,1)))</f>
        <v/>
      </c>
      <c r="CU416" s="144" t="str">
        <f aca="false">IF(ISBLANK($C416),"",IF($BZ416&lt;&gt;Constants!$B$8,"",IF($BM416="-&gt;",$BO416,$BC416)))</f>
        <v/>
      </c>
      <c r="CV416" s="144" t="str">
        <f aca="false">IF(ISBLANK($C416),"",IF($BZ416&lt;&gt;Constants!$B$8,"",IF($BM416="-&gt;",$BP416,$BD416)))</f>
        <v/>
      </c>
      <c r="CW416" s="144" t="str">
        <f aca="false">IF(ISBLANK($C416),"",IF($BZ416&lt;&gt;Constants!$B$8,"",IF($BM416="-&gt;",$BQ416+$BR416,$BE416+$BF416)+$CD416))</f>
        <v/>
      </c>
      <c r="CX416" s="144" t="str">
        <f aca="false">IF(ISBLANK($C416),"",IF($BZ416&lt;&gt;Constants!$B$8,"",IF($BM416="-&gt;",$BS416,$BG416)+$CC416))</f>
        <v/>
      </c>
      <c r="CY416" s="145" t="str">
        <f aca="false">IF(ISBLANK($C416),"",IF($BZ416&lt;&gt;Constants!$B$8,$BZ416,$CE416))</f>
        <v/>
      </c>
      <c r="CZ416" s="146" t="str">
        <f aca="false">IF(ISBLANK($C416),"",$CA416)</f>
        <v/>
      </c>
      <c r="DA416" s="147" t="str">
        <f aca="false">IF(ISBLANK($C416),"",$CP416)</f>
        <v/>
      </c>
      <c r="DB416" s="147" t="str">
        <f aca="false">IF(ISBLANK($C416),"",$CO416)</f>
        <v/>
      </c>
      <c r="DC416" s="148" t="str">
        <f aca="false">IF(ISBLANK($C416),"",IFERROR(_xlfn.SWITCH($DB416,Constants!$B$11,COUNTA($C$9:$C$508)+2,Constants!$B$10,COUNTA($C$9:$C$508)+1,Constants!$B$9,COUNTA($C$9:$C$508)),$DB416))</f>
        <v/>
      </c>
      <c r="DD416" s="9"/>
      <c r="DE416" s="149" t="n">
        <f aca="false">IF(OR(ISNUMBER($DB416),$DB416=Constants!$B$11,$DB416=Constants!$B$9,$DB416=Constants!$B$10),1,0)</f>
        <v>0</v>
      </c>
      <c r="DF416" s="149" t="n">
        <v>408</v>
      </c>
      <c r="DG416" s="149" t="str">
        <f aca="false">IF(ISBLANK($C416),"",IF(ISNUMBER($DC416),$DC416+ROW($B416)/1000,""))</f>
        <v/>
      </c>
      <c r="DH416" s="149" t="str">
        <f aca="false">IF(ISNUMBER($DG416),RANK($DG416,$DG$9:$DG$508,1),"")</f>
        <v/>
      </c>
      <c r="DI416" s="149" t="str">
        <f aca="false">IF(ISBLANK($C416),"",$B416)</f>
        <v/>
      </c>
      <c r="DJ416" s="149" t="str">
        <f aca="false">IF(ISBLANK($C416),"",$C416)</f>
        <v/>
      </c>
      <c r="DK416" s="149" t="str">
        <f aca="false">IF(ISBLANK($C416),"",$D416)</f>
        <v/>
      </c>
      <c r="DL416" s="150" t="str">
        <f aca="false">$CZ416</f>
        <v/>
      </c>
      <c r="DM416" s="151" t="str">
        <f aca="false">$CY416</f>
        <v/>
      </c>
      <c r="DN416" s="149" t="str">
        <f aca="false">IF(ISBLANK($C416),"",$DB416)</f>
        <v/>
      </c>
      <c r="DO416" s="152" t="str">
        <f aca="false">IF($DF416&gt;$DE$8,"",VLOOKUP($DF416,$DH$9:$DN$508,7,FALSE()))</f>
        <v/>
      </c>
      <c r="DP416" s="153" t="str">
        <f aca="false">IF($DF416&gt;$DE$8,"",VLOOKUP($DF416,$DH$9:$DN$508,2,FALSE()))</f>
        <v/>
      </c>
      <c r="DQ416" s="153" t="str">
        <f aca="false">IF($DF416&gt;$DE$8,"",VLOOKUP($DF416,$DH$9:$DN$508,3,FALSE()))</f>
        <v/>
      </c>
      <c r="DR416" s="153" t="str">
        <f aca="false">IF($DF416&gt;$DE$8,"",VLOOKUP($DF416,$DH$9:$DN$508,4,FALSE()))</f>
        <v/>
      </c>
      <c r="DS416" s="153" t="str">
        <f aca="false">IF($DF416&gt;$DE$8,"",VLOOKUP($DF416,$DH$9:$DN$508,5,FALSE()))</f>
        <v/>
      </c>
      <c r="DT416" s="154" t="str">
        <f aca="false">IF($DF416&gt;$DE$8,"",VLOOKUP($DF416,$DH$9:$DN$508,6,FALSE()))</f>
        <v/>
      </c>
      <c r="DU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IF(ISBLANK($C417),"",IF(E417=Constants!$B$3,TRUE(),IF(E417=Constants!$B$4,FALSE(),TRUE())))</f>
        <v/>
      </c>
      <c r="AG417" s="93" t="str">
        <f aca="false">IF(ISBLANK($C417),"",IF(F417=Constants!$B$3,TRUE(),IF(F417=Constants!$B$4,FALSE(),TRUE())))</f>
        <v/>
      </c>
      <c r="AH417" s="93" t="str">
        <f aca="false">IF(ISBLANK($C417),"",IF(G417=Constants!$B$3,TRUE(),IF(G417=Constants!$B$4,FALSE(),TRUE())))</f>
        <v/>
      </c>
      <c r="AI417" s="93" t="str">
        <f aca="false">IF(ISBLANK($C417),"",IF(AND(ISNUMBER(H417),H417&gt;=0),H417,Constants!$B$29))</f>
        <v/>
      </c>
      <c r="AJ417" s="93" t="str">
        <f aca="false">IF(ISBLANK($C417),"",IF(I417=Constants!$B$3,TRUE(),IF(I417=Constants!$B$4,FALSE(),TRUE())))</f>
        <v/>
      </c>
      <c r="AK417" s="93" t="str">
        <f aca="false">IF(ISBLANK($C417),"",IF(J417=Constants!$B$3,TRUE(),IF(J417=Constants!$B$4,FALSE(),TRUE())))</f>
        <v/>
      </c>
      <c r="AL417" s="93" t="str">
        <f aca="false">IF(ISBLANK($C417),"",IF(K417=Constants!$B$5,TRUE(),IF(K417=Constants!$B$6,FALSE(),COUNTA(L417:P417)&gt;0)))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IF(ISBLANK($C417),"",IF(N417=Constants!$B$3,TRUE(),IF(N417=Constants!$B$4,FALSE(),TRUE())))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IF(ISBLANK($C417),"",IF(P417=Constants!$B$3,TRUE(),IF(P417=Constants!$B$4,FALSE(),FALSE())))</f>
        <v/>
      </c>
      <c r="AR417" s="93" t="str">
        <f aca="false">IF(ISBLANK($C417),"",IF(Q417=Constants!$B$3,TRUE(),IF(Q417=Constants!$B$4,FALSE(),TRUE())))</f>
        <v/>
      </c>
      <c r="AS417" s="93" t="str">
        <f aca="false">IF(ISBLANK($C417),"",IF(R417=Constants!$B$3,TRUE(),IF(R417=Constants!$B$4,FALSE(),TRUE())))</f>
        <v/>
      </c>
      <c r="AT417" s="93" t="str">
        <f aca="false">IF(ISBLANK($C417),"",IF(S417=Constants!$B$5,TRUE(),IF(S417=Constants!$B$6,FALSE(),COUNTA(T417:X417)&gt;0)))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IF(ISBLANK($C417),"",IF(V417=Constants!$B$3,TRUE(),IF(V417=Constants!$B$4,FALSE(),TRUE())))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IF(ISBLANK($C417),"",IF(X417=Constants!$B$3,TRUE(),IF(X417=Constants!$B$4,FALSE(),FALSE())))</f>
        <v/>
      </c>
      <c r="AZ417" s="93" t="str">
        <f aca="false">IF(ISBLANK($C417),"",MIN(Constants!$B$31,MAX(0,IF(ISNUMBER(Y417),Y417*60,0)+IF(ISNUMBER(Z417),Z417,0))))</f>
        <v/>
      </c>
      <c r="BA417" s="93" t="str">
        <f aca="false">IF(ISBLANK($C417),"",IF(AA417=Constants!$B$3,TRUE(),IF(AA417=Constants!$B$4,FALSE(),FALSE())))</f>
        <v/>
      </c>
      <c r="BB417" s="92" t="str">
        <f aca="false">IF(ISBLANK($C417),"",AND($AL417,OR($AM417="",$AN417="",AND($AO417,$AP417=""))))</f>
        <v/>
      </c>
      <c r="BC417" s="94" t="str">
        <f aca="false">IF($BZ417&lt;&gt;Constants!$B$8,"",IF($AL417,Constants!$B$21*$AN417+Constants!$B$22*IF($AO417,$AP417,Constants!$B$23),Constants!$B$24))</f>
        <v/>
      </c>
      <c r="BD417" s="97" t="str">
        <f aca="false">IF($BZ417&lt;&gt;Constants!$B$8,"",Constants!$B$25*ABS($AD$9-IF($AL417,$AM417,0)))</f>
        <v/>
      </c>
      <c r="BE417" s="97" t="str">
        <f aca="false">IF($BZ417&lt;&gt;Constants!$B$8,"",IF(AND($AL417,$AQ417,$AO417),Constants!$B$27,0))</f>
        <v/>
      </c>
      <c r="BF417" s="97" t="str">
        <f aca="false">IF($BZ417&lt;&gt;Constants!$B$8,"",IF($AL417,($AI417-Constants!$B$29)*Constants!$B$28,0))</f>
        <v/>
      </c>
      <c r="BG417" s="97" t="str">
        <f aca="false">IF($BZ417&lt;&gt;Constants!$B$8,"",IF($AK417,0,Constants!$B$15)+IF($AJ417,0,Constants!$B$16)+IF($AH417,0,Constants!$B$17))</f>
        <v/>
      </c>
      <c r="BH417" s="98" t="str">
        <f aca="false">IF($BZ417&lt;&gt;Constants!$B$8,"",Constants!$B$20+SUM($BC417:$BG417))</f>
        <v/>
      </c>
      <c r="BI417" s="97" t="str">
        <f aca="false">IF($BZ417&lt;&gt;Constants!$B$8,"",$BC417)</f>
        <v/>
      </c>
      <c r="BJ417" s="97" t="str">
        <f aca="false">IF($BZ417&lt;&gt;Constants!$B$8,"",$BD417)</f>
        <v/>
      </c>
      <c r="BK417" s="97" t="str">
        <f aca="false">IF($BZ417&lt;&gt;Constants!$B$8,"",IF($AL417,$AN417,""))</f>
        <v/>
      </c>
      <c r="BL417" s="99" t="str">
        <f aca="false">IF($BZ417&lt;&gt;Constants!$B$8,"",$AI417)</f>
        <v/>
      </c>
      <c r="BM417" s="93" t="str">
        <f aca="false">IF($BZ417&lt;&gt;Constants!$B$8,"",IF(OR($BT417&lt;$BH417,AND($BT417=$BH417,OR($BU417&lt;$BI417,AND($BU417=$BI417,OR($BV417&lt;$BJ417,AND($BV417=$BJ417,OR(AND(ISNUMBER($BW417),OR(NOT(ISNUMBER($BK417)),$BW417&lt;$BK417)),AND(OR(AND($BW417="",$BK417=""),AND(ISNUMBER($BW417),ISNUMBER($BK417),$BW417=$BK417)),$BX417&lt;$BL417)))))))),"-&gt;","&lt;-"))</f>
        <v/>
      </c>
      <c r="BN417" s="92" t="str">
        <f aca="false">IF(ISBLANK($C417),"",AND($AT417,OR($AU417="",$AV417="",AND($AW417,$AX417=""))))</f>
        <v/>
      </c>
      <c r="BO417" s="94" t="str">
        <f aca="false">IF($BZ417&lt;&gt;Constants!$B$8,"",IF($AT417,Constants!$B$21*$AV417+Constants!$B$22*IF($AW417,$AX417,Constants!$B$23),Constants!$B$24))</f>
        <v/>
      </c>
      <c r="BP417" s="97" t="str">
        <f aca="false">IF($BZ417&lt;&gt;Constants!$B$8,"",Constants!$B$25*ABS($AD$9-IF($AT417,$AU417,0)))</f>
        <v/>
      </c>
      <c r="BQ417" s="97" t="str">
        <f aca="false">IF($BZ417&lt;&gt;Constants!$B$8,"",IF(AND($AT417,$AY417,$AW417),Constants!$B$27,0))</f>
        <v/>
      </c>
      <c r="BR417" s="97" t="str">
        <f aca="false">IF($BZ417&lt;&gt;Constants!$B$8,"",IF($AT417,($AI417-Constants!$B$29)*Constants!$B$28,0))</f>
        <v/>
      </c>
      <c r="BS417" s="97" t="str">
        <f aca="false">IF($BZ417&lt;&gt;Constants!$B$8,"",IF($AS417,0,Constants!$B$15)+IF($AR417,0,Constants!$B$16)+IF($AH417,0,Constants!$B$17))</f>
        <v/>
      </c>
      <c r="BT417" s="98" t="str">
        <f aca="false">IF($BZ417&lt;&gt;Constants!$B$8,"",Constants!$B$20+SUM($BO417:$BS417))</f>
        <v/>
      </c>
      <c r="BU417" s="97" t="str">
        <f aca="false">IF($BZ417&lt;&gt;Constants!$B$8,"",$BO417)</f>
        <v/>
      </c>
      <c r="BV417" s="97" t="str">
        <f aca="false">IF($BZ417&lt;&gt;Constants!$B$8,"",$BP417)</f>
        <v/>
      </c>
      <c r="BW417" s="97" t="str">
        <f aca="false">IF($BZ417&lt;&gt;Constants!$B$8,"",IF($AT417,$AV417,""))</f>
        <v/>
      </c>
      <c r="BX417" s="99" t="str">
        <f aca="false">IF($BZ417&lt;&gt;Constants!$B$8,"",$AI417)</f>
        <v/>
      </c>
      <c r="BY417" s="93" t="str">
        <f aca="false">IF(ISBLANK($C417),"",IF(ISBLANK($D$7),$BY$5,IF(NOT(ISNUMBER($D$7)),$BY$6,"")))</f>
        <v/>
      </c>
      <c r="BZ417" s="93" t="str">
        <f aca="false">IF(ISBLANK($C417),"",IF($BA417,Constants!$B$11,IF(COUNTA($E417:$AA417)=0,Constants!$B$10,IF(NOT($AG417),Constants!$B$9,IF(OR($BY417&lt;&gt;"",$BB417,$BN417),Constants!$B$12,Constants!$B$8)))))</f>
        <v/>
      </c>
      <c r="CA417" s="93" t="str">
        <f aca="false">IF(ISBLANK($C417),"",IF($BZ417&lt;&gt;Constants!$B$8,$BZ417,Constants!$B$13))</f>
        <v/>
      </c>
      <c r="CB417" s="97" t="str">
        <f aca="false">IF($BZ417&lt;&gt;Constants!$B$8,"",IF($BM417="-&gt;",$BT417,$BH417))</f>
        <v/>
      </c>
      <c r="CC417" s="97" t="str">
        <f aca="false">IF($BZ417&lt;&gt;Constants!$B$8,"",IF($AF417,0,Constants!$B$18))</f>
        <v/>
      </c>
      <c r="CD417" s="97" t="str">
        <f aca="false">IF($BZ417&lt;&gt;Constants!$B$8,"",((Constants!$B$31-$AZ417)-Constants!$B$31)/Constants!$B$32)</f>
        <v/>
      </c>
      <c r="CE417" s="97" t="str">
        <f aca="false">IF(ISBLANK($C417),"",IF($BZ417&lt;&gt;Constants!$B$8,$BZ417,SUM($CB417:$CD417)))</f>
        <v/>
      </c>
      <c r="CF417" s="93" t="str">
        <f aca="false">IF(ISBLANK($C417),"",IF($BZ417&lt;&gt;Constants!$B$8,$BZ417,RANK($CE417,$CE$9:$CE$508,1)))</f>
        <v/>
      </c>
      <c r="CG417" s="97" t="str">
        <f aca="false">IF($BZ417&lt;&gt;Constants!$B$8,"",IF($BM417="-&gt;",$BU417,$BI417))</f>
        <v/>
      </c>
      <c r="CH417" s="93" t="str">
        <f aca="false">IF(ISBLANK($C417),"",IF($BZ417&lt;&gt;Constants!$B$8,$BZ417,IF(ISNUMBER($CG417),RANK($CG417,$CG$9:$CG$508,1),COUNT($CG$9:$CG$508)+1)))</f>
        <v/>
      </c>
      <c r="CI417" s="97" t="str">
        <f aca="false">IF($BZ417&lt;&gt;Constants!$B$8,"",IF($BM417="-&gt;",$BV417,$BJ417))</f>
        <v/>
      </c>
      <c r="CJ417" s="93" t="str">
        <f aca="false">IF(ISBLANK($C417),"",IF($BZ417&lt;&gt;Constants!$B$8,$BZ417,IF(ISNUMBER($CI417),RANK($CI417,$CI$9:$CI$508,1),COUNT($CI$9:$CI$508)+1)))</f>
        <v/>
      </c>
      <c r="CK417" s="97" t="str">
        <f aca="false">IF($BZ417&lt;&gt;Constants!$B$8,"",IF($BM417="-&gt;",$BW417,$BK417))</f>
        <v/>
      </c>
      <c r="CL417" s="93" t="str">
        <f aca="false">IF(ISBLANK($C417),"",IF($BZ417&lt;&gt;Constants!$B$8,$BZ417,IF(ISNUMBER($CK417),RANK($CK417,$CK$9:$CK$508,1),COUNT($CK$9:$CK$508)+1)))</f>
        <v/>
      </c>
      <c r="CM417" s="97" t="str">
        <f aca="false">IF($BZ417&lt;&gt;Constants!$B$8,"",IF(AND(NOT($AL417),NOT($AT417),$AJ417,$AK417,$AR417,$AS417),"",IF($BM417="-&gt;",$BX417,$BL417)))</f>
        <v/>
      </c>
      <c r="CN417" s="93" t="str">
        <f aca="false">IF(ISBLANK($C417),"",IF($BZ417&lt;&gt;Constants!$B$8,$BZ417,IF(ISNUMBER($CM417),RANK($CM417,$CM$9:$CM$508,1),COUNT($CM$9:$CM$508)+1)))</f>
        <v/>
      </c>
      <c r="CO417" s="93" t="str">
        <f aca="false">IF(ISBLANK($C417),"",IF($BZ417&lt;&gt;Constants!$B$8,$BZ417,COUNTIFS($CF$9:$CF$508,"&lt;"&amp;$CF417)+COUNTIFS($CF$9:$CF$508,$CF417,$CH$9:$CH$508,"&lt;"&amp;$CH417)+COUNTIFS($CF$9:$CF$508,$CF417,$CH$9:$CH$508,$CH417,$CJ$9:$CJ$508,"&lt;"&amp;$CJ417)+COUNTIFS($CF$9:$CF$508,$CF417,$CH$9:$CH$508,$CH417,$CJ$9:$CJ$508,$CJ417,$CL$9:$CL$508,"&lt;"&amp;$CL417)+COUNTIFS($CF$9:$CF$508,$CF417,$CH$9:$CH$508,$CH417,$CJ$9:$CJ$508,$CJ417,$CL$9:$CL$508,$CL417,$CN$9:$CN$508,"&lt;"&amp;$CN417)+1))</f>
        <v/>
      </c>
      <c r="CP417" s="93" t="str">
        <f aca="false">IF(ISBLANK($C417),"",IF($BZ417&lt;&gt;Constants!$B$8,$BZ417,$CF417-$CO417))</f>
        <v/>
      </c>
      <c r="CQ417" s="100"/>
      <c r="CR417" s="101"/>
      <c r="CS417" s="102" t="str">
        <f aca="false">IF(ISBLANK($C417),"",IF($BZ417=Constants!$B$12,$BY417,""))</f>
        <v/>
      </c>
      <c r="CT417" s="101" t="str">
        <f aca="false">IF(ISBLANK($C417),"",IF($BZ417&lt;&gt;Constants!$B$8,"",IF($BM417="-&gt;",2,1)))</f>
        <v/>
      </c>
      <c r="CU417" s="103" t="str">
        <f aca="false">IF(ISBLANK($C417),"",IF($BZ417&lt;&gt;Constants!$B$8,"",IF($BM417="-&gt;",$BO417,$BC417)))</f>
        <v/>
      </c>
      <c r="CV417" s="103" t="str">
        <f aca="false">IF(ISBLANK($C417),"",IF($BZ417&lt;&gt;Constants!$B$8,"",IF($BM417="-&gt;",$BP417,$BD417)))</f>
        <v/>
      </c>
      <c r="CW417" s="103" t="str">
        <f aca="false">IF(ISBLANK($C417),"",IF($BZ417&lt;&gt;Constants!$B$8,"",IF($BM417="-&gt;",$BQ417+$BR417,$BE417+$BF417)+$CD417))</f>
        <v/>
      </c>
      <c r="CX417" s="103" t="str">
        <f aca="false">IF(ISBLANK($C417),"",IF($BZ417&lt;&gt;Constants!$B$8,"",IF($BM417="-&gt;",$BS417,$BG417)+$CC417))</f>
        <v/>
      </c>
      <c r="CY417" s="104" t="str">
        <f aca="false">IF(ISBLANK($C417),"",IF($BZ417&lt;&gt;Constants!$B$8,$BZ417,$CE417))</f>
        <v/>
      </c>
      <c r="CZ417" s="105" t="str">
        <f aca="false">IF(ISBLANK($C417),"",$CA417)</f>
        <v/>
      </c>
      <c r="DA417" s="106" t="str">
        <f aca="false">IF(ISBLANK($C417),"",$CP417)</f>
        <v/>
      </c>
      <c r="DB417" s="106" t="str">
        <f aca="false">IF(ISBLANK($C417),"",$CO417)</f>
        <v/>
      </c>
      <c r="DC417" s="107" t="str">
        <f aca="false">IF(ISBLANK($C417),"",IFERROR(_xlfn.SWITCH($DB417,Constants!$B$11,COUNTA($C$9:$C$508)+2,Constants!$B$10,COUNTA($C$9:$C$508)+1,Constants!$B$9,COUNTA($C$9:$C$508)),$DB417))</f>
        <v/>
      </c>
      <c r="DD417" s="9"/>
      <c r="DE417" s="108" t="n">
        <f aca="false">IF(OR(ISNUMBER($DB417),$DB417=Constants!$B$11,$DB417=Constants!$B$9,$DB417=Constants!$B$10),1,0)</f>
        <v>0</v>
      </c>
      <c r="DF417" s="108" t="n">
        <v>409</v>
      </c>
      <c r="DG417" s="108" t="str">
        <f aca="false">IF(ISBLANK($C417),"",IF(ISNUMBER($DC417),$DC417+ROW($B417)/1000,""))</f>
        <v/>
      </c>
      <c r="DH417" s="108" t="str">
        <f aca="false">IF(ISNUMBER($DG417),RANK($DG417,$DG$9:$DG$508,1),"")</f>
        <v/>
      </c>
      <c r="DI417" s="108" t="str">
        <f aca="false">IF(ISBLANK($C417),"",$B417)</f>
        <v/>
      </c>
      <c r="DJ417" s="108" t="str">
        <f aca="false">IF(ISBLANK($C417),"",$C417)</f>
        <v/>
      </c>
      <c r="DK417" s="108" t="str">
        <f aca="false">IF(ISBLANK($C417),"",$D417)</f>
        <v/>
      </c>
      <c r="DL417" s="109" t="str">
        <f aca="false">$CZ417</f>
        <v/>
      </c>
      <c r="DM417" s="110" t="str">
        <f aca="false">$CY417</f>
        <v/>
      </c>
      <c r="DN417" s="108" t="str">
        <f aca="false">IF(ISBLANK($C417),"",$DB417)</f>
        <v/>
      </c>
      <c r="DO417" s="111" t="str">
        <f aca="false">IF($DF417&gt;$DE$8,"",VLOOKUP($DF417,$DH$9:$DN$508,7,FALSE()))</f>
        <v/>
      </c>
      <c r="DP417" s="112" t="str">
        <f aca="false">IF($DF417&gt;$DE$8,"",VLOOKUP($DF417,$DH$9:$DN$508,2,FALSE()))</f>
        <v/>
      </c>
      <c r="DQ417" s="112" t="str">
        <f aca="false">IF($DF417&gt;$DE$8,"",VLOOKUP($DF417,$DH$9:$DN$508,3,FALSE()))</f>
        <v/>
      </c>
      <c r="DR417" s="112" t="str">
        <f aca="false">IF($DF417&gt;$DE$8,"",VLOOKUP($DF417,$DH$9:$DN$508,4,FALSE()))</f>
        <v/>
      </c>
      <c r="DS417" s="112" t="str">
        <f aca="false">IF($DF417&gt;$DE$8,"",VLOOKUP($DF417,$DH$9:$DN$508,5,FALSE()))</f>
        <v/>
      </c>
      <c r="DT417" s="113" t="str">
        <f aca="false">IF($DF417&gt;$DE$8,"",VLOOKUP($DF417,$DH$9:$DN$508,6,FALSE()))</f>
        <v/>
      </c>
      <c r="DU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IF(ISBLANK($C418),"",IF(E418=Constants!$B$3,TRUE(),IF(E418=Constants!$B$4,FALSE(),TRUE())))</f>
        <v/>
      </c>
      <c r="AG418" s="93" t="str">
        <f aca="false">IF(ISBLANK($C418),"",IF(F418=Constants!$B$3,TRUE(),IF(F418=Constants!$B$4,FALSE(),TRUE())))</f>
        <v/>
      </c>
      <c r="AH418" s="93" t="str">
        <f aca="false">IF(ISBLANK($C418),"",IF(G418=Constants!$B$3,TRUE(),IF(G418=Constants!$B$4,FALSE(),TRUE())))</f>
        <v/>
      </c>
      <c r="AI418" s="93" t="str">
        <f aca="false">IF(ISBLANK($C418),"",IF(AND(ISNUMBER(H418),H418&gt;=0),H418,Constants!$B$29))</f>
        <v/>
      </c>
      <c r="AJ418" s="93" t="str">
        <f aca="false">IF(ISBLANK($C418),"",IF(I418=Constants!$B$3,TRUE(),IF(I418=Constants!$B$4,FALSE(),TRUE())))</f>
        <v/>
      </c>
      <c r="AK418" s="93" t="str">
        <f aca="false">IF(ISBLANK($C418),"",IF(J418=Constants!$B$3,TRUE(),IF(J418=Constants!$B$4,FALSE(),TRUE())))</f>
        <v/>
      </c>
      <c r="AL418" s="93" t="str">
        <f aca="false">IF(ISBLANK($C418),"",IF(K418=Constants!$B$5,TRUE(),IF(K418=Constants!$B$6,FALSE(),COUNTA(L418:P418)&gt;0)))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IF(ISBLANK($C418),"",IF(N418=Constants!$B$3,TRUE(),IF(N418=Constants!$B$4,FALSE(),TRUE())))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IF(ISBLANK($C418),"",IF(P418=Constants!$B$3,TRUE(),IF(P418=Constants!$B$4,FALSE(),FALSE())))</f>
        <v/>
      </c>
      <c r="AR418" s="93" t="str">
        <f aca="false">IF(ISBLANK($C418),"",IF(Q418=Constants!$B$3,TRUE(),IF(Q418=Constants!$B$4,FALSE(),TRUE())))</f>
        <v/>
      </c>
      <c r="AS418" s="93" t="str">
        <f aca="false">IF(ISBLANK($C418),"",IF(R418=Constants!$B$3,TRUE(),IF(R418=Constants!$B$4,FALSE(),TRUE())))</f>
        <v/>
      </c>
      <c r="AT418" s="93" t="str">
        <f aca="false">IF(ISBLANK($C418),"",IF(S418=Constants!$B$5,TRUE(),IF(S418=Constants!$B$6,FALSE(),COUNTA(T418:X418)&gt;0)))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IF(ISBLANK($C418),"",IF(V418=Constants!$B$3,TRUE(),IF(V418=Constants!$B$4,FALSE(),TRUE())))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IF(ISBLANK($C418),"",IF(X418=Constants!$B$3,TRUE(),IF(X418=Constants!$B$4,FALSE(),FALSE())))</f>
        <v/>
      </c>
      <c r="AZ418" s="93" t="str">
        <f aca="false">IF(ISBLANK($C418),"",MIN(Constants!$B$31,MAX(0,IF(ISNUMBER(Y418),Y418*60,0)+IF(ISNUMBER(Z418),Z418,0))))</f>
        <v/>
      </c>
      <c r="BA418" s="93" t="str">
        <f aca="false">IF(ISBLANK($C418),"",IF(AA418=Constants!$B$3,TRUE(),IF(AA418=Constants!$B$4,FALSE(),FALSE())))</f>
        <v/>
      </c>
      <c r="BB418" s="92" t="str">
        <f aca="false">IF(ISBLANK($C418),"",AND($AL418,OR($AM418="",$AN418="",AND($AO418,$AP418=""))))</f>
        <v/>
      </c>
      <c r="BC418" s="94" t="str">
        <f aca="false">IF($BZ418&lt;&gt;Constants!$B$8,"",IF($AL418,Constants!$B$21*$AN418+Constants!$B$22*IF($AO418,$AP418,Constants!$B$23),Constants!$B$24))</f>
        <v/>
      </c>
      <c r="BD418" s="97" t="str">
        <f aca="false">IF($BZ418&lt;&gt;Constants!$B$8,"",Constants!$B$25*ABS($AD$9-IF($AL418,$AM418,0)))</f>
        <v/>
      </c>
      <c r="BE418" s="97" t="str">
        <f aca="false">IF($BZ418&lt;&gt;Constants!$B$8,"",IF(AND($AL418,$AQ418,$AO418),Constants!$B$27,0))</f>
        <v/>
      </c>
      <c r="BF418" s="97" t="str">
        <f aca="false">IF($BZ418&lt;&gt;Constants!$B$8,"",IF($AL418,($AI418-Constants!$B$29)*Constants!$B$28,0))</f>
        <v/>
      </c>
      <c r="BG418" s="97" t="str">
        <f aca="false">IF($BZ418&lt;&gt;Constants!$B$8,"",IF($AK418,0,Constants!$B$15)+IF($AJ418,0,Constants!$B$16)+IF($AH418,0,Constants!$B$17))</f>
        <v/>
      </c>
      <c r="BH418" s="98" t="str">
        <f aca="false">IF($BZ418&lt;&gt;Constants!$B$8,"",Constants!$B$20+SUM($BC418:$BG418))</f>
        <v/>
      </c>
      <c r="BI418" s="97" t="str">
        <f aca="false">IF($BZ418&lt;&gt;Constants!$B$8,"",$BC418)</f>
        <v/>
      </c>
      <c r="BJ418" s="97" t="str">
        <f aca="false">IF($BZ418&lt;&gt;Constants!$B$8,"",$BD418)</f>
        <v/>
      </c>
      <c r="BK418" s="97" t="str">
        <f aca="false">IF($BZ418&lt;&gt;Constants!$B$8,"",IF($AL418,$AN418,""))</f>
        <v/>
      </c>
      <c r="BL418" s="99" t="str">
        <f aca="false">IF($BZ418&lt;&gt;Constants!$B$8,"",$AI418)</f>
        <v/>
      </c>
      <c r="BM418" s="93" t="str">
        <f aca="false">IF($BZ418&lt;&gt;Constants!$B$8,"",IF(OR($BT418&lt;$BH418,AND($BT418=$BH418,OR($BU418&lt;$BI418,AND($BU418=$BI418,OR($BV418&lt;$BJ418,AND($BV418=$BJ418,OR(AND(ISNUMBER($BW418),OR(NOT(ISNUMBER($BK418)),$BW418&lt;$BK418)),AND(OR(AND($BW418="",$BK418=""),AND(ISNUMBER($BW418),ISNUMBER($BK418),$BW418=$BK418)),$BX418&lt;$BL418)))))))),"-&gt;","&lt;-"))</f>
        <v/>
      </c>
      <c r="BN418" s="92" t="str">
        <f aca="false">IF(ISBLANK($C418),"",AND($AT418,OR($AU418="",$AV418="",AND($AW418,$AX418=""))))</f>
        <v/>
      </c>
      <c r="BO418" s="94" t="str">
        <f aca="false">IF($BZ418&lt;&gt;Constants!$B$8,"",IF($AT418,Constants!$B$21*$AV418+Constants!$B$22*IF($AW418,$AX418,Constants!$B$23),Constants!$B$24))</f>
        <v/>
      </c>
      <c r="BP418" s="97" t="str">
        <f aca="false">IF($BZ418&lt;&gt;Constants!$B$8,"",Constants!$B$25*ABS($AD$9-IF($AT418,$AU418,0)))</f>
        <v/>
      </c>
      <c r="BQ418" s="97" t="str">
        <f aca="false">IF($BZ418&lt;&gt;Constants!$B$8,"",IF(AND($AT418,$AY418,$AW418),Constants!$B$27,0))</f>
        <v/>
      </c>
      <c r="BR418" s="97" t="str">
        <f aca="false">IF($BZ418&lt;&gt;Constants!$B$8,"",IF($AT418,($AI418-Constants!$B$29)*Constants!$B$28,0))</f>
        <v/>
      </c>
      <c r="BS418" s="97" t="str">
        <f aca="false">IF($BZ418&lt;&gt;Constants!$B$8,"",IF($AS418,0,Constants!$B$15)+IF($AR418,0,Constants!$B$16)+IF($AH418,0,Constants!$B$17))</f>
        <v/>
      </c>
      <c r="BT418" s="98" t="str">
        <f aca="false">IF($BZ418&lt;&gt;Constants!$B$8,"",Constants!$B$20+SUM($BO418:$BS418))</f>
        <v/>
      </c>
      <c r="BU418" s="97" t="str">
        <f aca="false">IF($BZ418&lt;&gt;Constants!$B$8,"",$BO418)</f>
        <v/>
      </c>
      <c r="BV418" s="97" t="str">
        <f aca="false">IF($BZ418&lt;&gt;Constants!$B$8,"",$BP418)</f>
        <v/>
      </c>
      <c r="BW418" s="97" t="str">
        <f aca="false">IF($BZ418&lt;&gt;Constants!$B$8,"",IF($AT418,$AV418,""))</f>
        <v/>
      </c>
      <c r="BX418" s="99" t="str">
        <f aca="false">IF($BZ418&lt;&gt;Constants!$B$8,"",$AI418)</f>
        <v/>
      </c>
      <c r="BY418" s="93" t="str">
        <f aca="false">IF(ISBLANK($C418),"",IF(ISBLANK($D$7),$BY$5,IF(NOT(ISNUMBER($D$7)),$BY$6,"")))</f>
        <v/>
      </c>
      <c r="BZ418" s="93" t="str">
        <f aca="false">IF(ISBLANK($C418),"",IF($BA418,Constants!$B$11,IF(COUNTA($E418:$AA418)=0,Constants!$B$10,IF(NOT($AG418),Constants!$B$9,IF(OR($BY418&lt;&gt;"",$BB418,$BN418),Constants!$B$12,Constants!$B$8)))))</f>
        <v/>
      </c>
      <c r="CA418" s="93" t="str">
        <f aca="false">IF(ISBLANK($C418),"",IF($BZ418&lt;&gt;Constants!$B$8,$BZ418,Constants!$B$13))</f>
        <v/>
      </c>
      <c r="CB418" s="97" t="str">
        <f aca="false">IF($BZ418&lt;&gt;Constants!$B$8,"",IF($BM418="-&gt;",$BT418,$BH418))</f>
        <v/>
      </c>
      <c r="CC418" s="97" t="str">
        <f aca="false">IF($BZ418&lt;&gt;Constants!$B$8,"",IF($AF418,0,Constants!$B$18))</f>
        <v/>
      </c>
      <c r="CD418" s="97" t="str">
        <f aca="false">IF($BZ418&lt;&gt;Constants!$B$8,"",((Constants!$B$31-$AZ418)-Constants!$B$31)/Constants!$B$32)</f>
        <v/>
      </c>
      <c r="CE418" s="97" t="str">
        <f aca="false">IF(ISBLANK($C418),"",IF($BZ418&lt;&gt;Constants!$B$8,$BZ418,SUM($CB418:$CD418)))</f>
        <v/>
      </c>
      <c r="CF418" s="93" t="str">
        <f aca="false">IF(ISBLANK($C418),"",IF($BZ418&lt;&gt;Constants!$B$8,$BZ418,RANK($CE418,$CE$9:$CE$508,1)))</f>
        <v/>
      </c>
      <c r="CG418" s="97" t="str">
        <f aca="false">IF($BZ418&lt;&gt;Constants!$B$8,"",IF($BM418="-&gt;",$BU418,$BI418))</f>
        <v/>
      </c>
      <c r="CH418" s="93" t="str">
        <f aca="false">IF(ISBLANK($C418),"",IF($BZ418&lt;&gt;Constants!$B$8,$BZ418,IF(ISNUMBER($CG418),RANK($CG418,$CG$9:$CG$508,1),COUNT($CG$9:$CG$508)+1)))</f>
        <v/>
      </c>
      <c r="CI418" s="97" t="str">
        <f aca="false">IF($BZ418&lt;&gt;Constants!$B$8,"",IF($BM418="-&gt;",$BV418,$BJ418))</f>
        <v/>
      </c>
      <c r="CJ418" s="93" t="str">
        <f aca="false">IF(ISBLANK($C418),"",IF($BZ418&lt;&gt;Constants!$B$8,$BZ418,IF(ISNUMBER($CI418),RANK($CI418,$CI$9:$CI$508,1),COUNT($CI$9:$CI$508)+1)))</f>
        <v/>
      </c>
      <c r="CK418" s="97" t="str">
        <f aca="false">IF($BZ418&lt;&gt;Constants!$B$8,"",IF($BM418="-&gt;",$BW418,$BK418))</f>
        <v/>
      </c>
      <c r="CL418" s="93" t="str">
        <f aca="false">IF(ISBLANK($C418),"",IF($BZ418&lt;&gt;Constants!$B$8,$BZ418,IF(ISNUMBER($CK418),RANK($CK418,$CK$9:$CK$508,1),COUNT($CK$9:$CK$508)+1)))</f>
        <v/>
      </c>
      <c r="CM418" s="97" t="str">
        <f aca="false">IF($BZ418&lt;&gt;Constants!$B$8,"",IF(AND(NOT($AL418),NOT($AT418),$AJ418,$AK418,$AR418,$AS418),"",IF($BM418="-&gt;",$BX418,$BL418)))</f>
        <v/>
      </c>
      <c r="CN418" s="93" t="str">
        <f aca="false">IF(ISBLANK($C418),"",IF($BZ418&lt;&gt;Constants!$B$8,$BZ418,IF(ISNUMBER($CM418),RANK($CM418,$CM$9:$CM$508,1),COUNT($CM$9:$CM$508)+1)))</f>
        <v/>
      </c>
      <c r="CO418" s="93" t="str">
        <f aca="false">IF(ISBLANK($C418),"",IF($BZ418&lt;&gt;Constants!$B$8,$BZ418,COUNTIFS($CF$9:$CF$508,"&lt;"&amp;$CF418)+COUNTIFS($CF$9:$CF$508,$CF418,$CH$9:$CH$508,"&lt;"&amp;$CH418)+COUNTIFS($CF$9:$CF$508,$CF418,$CH$9:$CH$508,$CH418,$CJ$9:$CJ$508,"&lt;"&amp;$CJ418)+COUNTIFS($CF$9:$CF$508,$CF418,$CH$9:$CH$508,$CH418,$CJ$9:$CJ$508,$CJ418,$CL$9:$CL$508,"&lt;"&amp;$CL418)+COUNTIFS($CF$9:$CF$508,$CF418,$CH$9:$CH$508,$CH418,$CJ$9:$CJ$508,$CJ418,$CL$9:$CL$508,$CL418,$CN$9:$CN$508,"&lt;"&amp;$CN418)+1))</f>
        <v/>
      </c>
      <c r="CP418" s="93" t="str">
        <f aca="false">IF(ISBLANK($C418),"",IF($BZ418&lt;&gt;Constants!$B$8,$BZ418,$CF418-$CO418))</f>
        <v/>
      </c>
      <c r="CQ418" s="100"/>
      <c r="CR418" s="101"/>
      <c r="CS418" s="102" t="str">
        <f aca="false">IF(ISBLANK($C418),"",IF($BZ418=Constants!$B$12,$BY418,""))</f>
        <v/>
      </c>
      <c r="CT418" s="101" t="str">
        <f aca="false">IF(ISBLANK($C418),"",IF($BZ418&lt;&gt;Constants!$B$8,"",IF($BM418="-&gt;",2,1)))</f>
        <v/>
      </c>
      <c r="CU418" s="103" t="str">
        <f aca="false">IF(ISBLANK($C418),"",IF($BZ418&lt;&gt;Constants!$B$8,"",IF($BM418="-&gt;",$BO418,$BC418)))</f>
        <v/>
      </c>
      <c r="CV418" s="103" t="str">
        <f aca="false">IF(ISBLANK($C418),"",IF($BZ418&lt;&gt;Constants!$B$8,"",IF($BM418="-&gt;",$BP418,$BD418)))</f>
        <v/>
      </c>
      <c r="CW418" s="103" t="str">
        <f aca="false">IF(ISBLANK($C418),"",IF($BZ418&lt;&gt;Constants!$B$8,"",IF($BM418="-&gt;",$BQ418+$BR418,$BE418+$BF418)+$CD418))</f>
        <v/>
      </c>
      <c r="CX418" s="103" t="str">
        <f aca="false">IF(ISBLANK($C418),"",IF($BZ418&lt;&gt;Constants!$B$8,"",IF($BM418="-&gt;",$BS418,$BG418)+$CC418))</f>
        <v/>
      </c>
      <c r="CY418" s="104" t="str">
        <f aca="false">IF(ISBLANK($C418),"",IF($BZ418&lt;&gt;Constants!$B$8,$BZ418,$CE418))</f>
        <v/>
      </c>
      <c r="CZ418" s="105" t="str">
        <f aca="false">IF(ISBLANK($C418),"",$CA418)</f>
        <v/>
      </c>
      <c r="DA418" s="106" t="str">
        <f aca="false">IF(ISBLANK($C418),"",$CP418)</f>
        <v/>
      </c>
      <c r="DB418" s="106" t="str">
        <f aca="false">IF(ISBLANK($C418),"",$CO418)</f>
        <v/>
      </c>
      <c r="DC418" s="107" t="str">
        <f aca="false">IF(ISBLANK($C418),"",IFERROR(_xlfn.SWITCH($DB418,Constants!$B$11,COUNTA($C$9:$C$508)+2,Constants!$B$10,COUNTA($C$9:$C$508)+1,Constants!$B$9,COUNTA($C$9:$C$508)),$DB418))</f>
        <v/>
      </c>
      <c r="DD418" s="9"/>
      <c r="DE418" s="108" t="n">
        <f aca="false">IF(OR(ISNUMBER($DB418),$DB418=Constants!$B$11,$DB418=Constants!$B$9,$DB418=Constants!$B$10),1,0)</f>
        <v>0</v>
      </c>
      <c r="DF418" s="108" t="n">
        <v>410</v>
      </c>
      <c r="DG418" s="108" t="str">
        <f aca="false">IF(ISBLANK($C418),"",IF(ISNUMBER($DC418),$DC418+ROW($B418)/1000,""))</f>
        <v/>
      </c>
      <c r="DH418" s="108" t="str">
        <f aca="false">IF(ISNUMBER($DG418),RANK($DG418,$DG$9:$DG$508,1),"")</f>
        <v/>
      </c>
      <c r="DI418" s="108" t="str">
        <f aca="false">IF(ISBLANK($C418),"",$B418)</f>
        <v/>
      </c>
      <c r="DJ418" s="108" t="str">
        <f aca="false">IF(ISBLANK($C418),"",$C418)</f>
        <v/>
      </c>
      <c r="DK418" s="108" t="str">
        <f aca="false">IF(ISBLANK($C418),"",$D418)</f>
        <v/>
      </c>
      <c r="DL418" s="109" t="str">
        <f aca="false">$CZ418</f>
        <v/>
      </c>
      <c r="DM418" s="110" t="str">
        <f aca="false">$CY418</f>
        <v/>
      </c>
      <c r="DN418" s="108" t="str">
        <f aca="false">IF(ISBLANK($C418),"",$DB418)</f>
        <v/>
      </c>
      <c r="DO418" s="111" t="str">
        <f aca="false">IF($DF418&gt;$DE$8,"",VLOOKUP($DF418,$DH$9:$DN$508,7,FALSE()))</f>
        <v/>
      </c>
      <c r="DP418" s="112" t="str">
        <f aca="false">IF($DF418&gt;$DE$8,"",VLOOKUP($DF418,$DH$9:$DN$508,2,FALSE()))</f>
        <v/>
      </c>
      <c r="DQ418" s="112" t="str">
        <f aca="false">IF($DF418&gt;$DE$8,"",VLOOKUP($DF418,$DH$9:$DN$508,3,FALSE()))</f>
        <v/>
      </c>
      <c r="DR418" s="112" t="str">
        <f aca="false">IF($DF418&gt;$DE$8,"",VLOOKUP($DF418,$DH$9:$DN$508,4,FALSE()))</f>
        <v/>
      </c>
      <c r="DS418" s="112" t="str">
        <f aca="false">IF($DF418&gt;$DE$8,"",VLOOKUP($DF418,$DH$9:$DN$508,5,FALSE()))</f>
        <v/>
      </c>
      <c r="DT418" s="113" t="str">
        <f aca="false">IF($DF418&gt;$DE$8,"",VLOOKUP($DF418,$DH$9:$DN$508,6,FALSE()))</f>
        <v/>
      </c>
      <c r="DU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IF(ISBLANK($C419),"",IF(E419=Constants!$B$3,TRUE(),IF(E419=Constants!$B$4,FALSE(),TRUE())))</f>
        <v/>
      </c>
      <c r="AG419" s="93" t="str">
        <f aca="false">IF(ISBLANK($C419),"",IF(F419=Constants!$B$3,TRUE(),IF(F419=Constants!$B$4,FALSE(),TRUE())))</f>
        <v/>
      </c>
      <c r="AH419" s="93" t="str">
        <f aca="false">IF(ISBLANK($C419),"",IF(G419=Constants!$B$3,TRUE(),IF(G419=Constants!$B$4,FALSE(),TRUE())))</f>
        <v/>
      </c>
      <c r="AI419" s="93" t="str">
        <f aca="false">IF(ISBLANK($C419),"",IF(AND(ISNUMBER(H419),H419&gt;=0),H419,Constants!$B$29))</f>
        <v/>
      </c>
      <c r="AJ419" s="93" t="str">
        <f aca="false">IF(ISBLANK($C419),"",IF(I419=Constants!$B$3,TRUE(),IF(I419=Constants!$B$4,FALSE(),TRUE())))</f>
        <v/>
      </c>
      <c r="AK419" s="93" t="str">
        <f aca="false">IF(ISBLANK($C419),"",IF(J419=Constants!$B$3,TRUE(),IF(J419=Constants!$B$4,FALSE(),TRUE())))</f>
        <v/>
      </c>
      <c r="AL419" s="93" t="str">
        <f aca="false">IF(ISBLANK($C419),"",IF(K419=Constants!$B$5,TRUE(),IF(K419=Constants!$B$6,FALSE(),COUNTA(L419:P419)&gt;0)))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IF(ISBLANK($C419),"",IF(N419=Constants!$B$3,TRUE(),IF(N419=Constants!$B$4,FALSE(),TRUE())))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IF(ISBLANK($C419),"",IF(P419=Constants!$B$3,TRUE(),IF(P419=Constants!$B$4,FALSE(),FALSE())))</f>
        <v/>
      </c>
      <c r="AR419" s="93" t="str">
        <f aca="false">IF(ISBLANK($C419),"",IF(Q419=Constants!$B$3,TRUE(),IF(Q419=Constants!$B$4,FALSE(),TRUE())))</f>
        <v/>
      </c>
      <c r="AS419" s="93" t="str">
        <f aca="false">IF(ISBLANK($C419),"",IF(R419=Constants!$B$3,TRUE(),IF(R419=Constants!$B$4,FALSE(),TRUE())))</f>
        <v/>
      </c>
      <c r="AT419" s="93" t="str">
        <f aca="false">IF(ISBLANK($C419),"",IF(S419=Constants!$B$5,TRUE(),IF(S419=Constants!$B$6,FALSE(),COUNTA(T419:X419)&gt;0)))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IF(ISBLANK($C419),"",IF(V419=Constants!$B$3,TRUE(),IF(V419=Constants!$B$4,FALSE(),TRUE())))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IF(ISBLANK($C419),"",IF(X419=Constants!$B$3,TRUE(),IF(X419=Constants!$B$4,FALSE(),FALSE())))</f>
        <v/>
      </c>
      <c r="AZ419" s="93" t="str">
        <f aca="false">IF(ISBLANK($C419),"",MIN(Constants!$B$31,MAX(0,IF(ISNUMBER(Y419),Y419*60,0)+IF(ISNUMBER(Z419),Z419,0))))</f>
        <v/>
      </c>
      <c r="BA419" s="93" t="str">
        <f aca="false">IF(ISBLANK($C419),"",IF(AA419=Constants!$B$3,TRUE(),IF(AA419=Constants!$B$4,FALSE(),FALSE())))</f>
        <v/>
      </c>
      <c r="BB419" s="92" t="str">
        <f aca="false">IF(ISBLANK($C419),"",AND($AL419,OR($AM419="",$AN419="",AND($AO419,$AP419=""))))</f>
        <v/>
      </c>
      <c r="BC419" s="94" t="str">
        <f aca="false">IF($BZ419&lt;&gt;Constants!$B$8,"",IF($AL419,Constants!$B$21*$AN419+Constants!$B$22*IF($AO419,$AP419,Constants!$B$23),Constants!$B$24))</f>
        <v/>
      </c>
      <c r="BD419" s="97" t="str">
        <f aca="false">IF($BZ419&lt;&gt;Constants!$B$8,"",Constants!$B$25*ABS($AD$9-IF($AL419,$AM419,0)))</f>
        <v/>
      </c>
      <c r="BE419" s="97" t="str">
        <f aca="false">IF($BZ419&lt;&gt;Constants!$B$8,"",IF(AND($AL419,$AQ419,$AO419),Constants!$B$27,0))</f>
        <v/>
      </c>
      <c r="BF419" s="97" t="str">
        <f aca="false">IF($BZ419&lt;&gt;Constants!$B$8,"",IF($AL419,($AI419-Constants!$B$29)*Constants!$B$28,0))</f>
        <v/>
      </c>
      <c r="BG419" s="97" t="str">
        <f aca="false">IF($BZ419&lt;&gt;Constants!$B$8,"",IF($AK419,0,Constants!$B$15)+IF($AJ419,0,Constants!$B$16)+IF($AH419,0,Constants!$B$17))</f>
        <v/>
      </c>
      <c r="BH419" s="98" t="str">
        <f aca="false">IF($BZ419&lt;&gt;Constants!$B$8,"",Constants!$B$20+SUM($BC419:$BG419))</f>
        <v/>
      </c>
      <c r="BI419" s="97" t="str">
        <f aca="false">IF($BZ419&lt;&gt;Constants!$B$8,"",$BC419)</f>
        <v/>
      </c>
      <c r="BJ419" s="97" t="str">
        <f aca="false">IF($BZ419&lt;&gt;Constants!$B$8,"",$BD419)</f>
        <v/>
      </c>
      <c r="BK419" s="97" t="str">
        <f aca="false">IF($BZ419&lt;&gt;Constants!$B$8,"",IF($AL419,$AN419,""))</f>
        <v/>
      </c>
      <c r="BL419" s="99" t="str">
        <f aca="false">IF($BZ419&lt;&gt;Constants!$B$8,"",$AI419)</f>
        <v/>
      </c>
      <c r="BM419" s="93" t="str">
        <f aca="false">IF($BZ419&lt;&gt;Constants!$B$8,"",IF(OR($BT419&lt;$BH419,AND($BT419=$BH419,OR($BU419&lt;$BI419,AND($BU419=$BI419,OR($BV419&lt;$BJ419,AND($BV419=$BJ419,OR(AND(ISNUMBER($BW419),OR(NOT(ISNUMBER($BK419)),$BW419&lt;$BK419)),AND(OR(AND($BW419="",$BK419=""),AND(ISNUMBER($BW419),ISNUMBER($BK419),$BW419=$BK419)),$BX419&lt;$BL419)))))))),"-&gt;","&lt;-"))</f>
        <v/>
      </c>
      <c r="BN419" s="92" t="str">
        <f aca="false">IF(ISBLANK($C419),"",AND($AT419,OR($AU419="",$AV419="",AND($AW419,$AX419=""))))</f>
        <v/>
      </c>
      <c r="BO419" s="94" t="str">
        <f aca="false">IF($BZ419&lt;&gt;Constants!$B$8,"",IF($AT419,Constants!$B$21*$AV419+Constants!$B$22*IF($AW419,$AX419,Constants!$B$23),Constants!$B$24))</f>
        <v/>
      </c>
      <c r="BP419" s="97" t="str">
        <f aca="false">IF($BZ419&lt;&gt;Constants!$B$8,"",Constants!$B$25*ABS($AD$9-IF($AT419,$AU419,0)))</f>
        <v/>
      </c>
      <c r="BQ419" s="97" t="str">
        <f aca="false">IF($BZ419&lt;&gt;Constants!$B$8,"",IF(AND($AT419,$AY419,$AW419),Constants!$B$27,0))</f>
        <v/>
      </c>
      <c r="BR419" s="97" t="str">
        <f aca="false">IF($BZ419&lt;&gt;Constants!$B$8,"",IF($AT419,($AI419-Constants!$B$29)*Constants!$B$28,0))</f>
        <v/>
      </c>
      <c r="BS419" s="97" t="str">
        <f aca="false">IF($BZ419&lt;&gt;Constants!$B$8,"",IF($AS419,0,Constants!$B$15)+IF($AR419,0,Constants!$B$16)+IF($AH419,0,Constants!$B$17))</f>
        <v/>
      </c>
      <c r="BT419" s="98" t="str">
        <f aca="false">IF($BZ419&lt;&gt;Constants!$B$8,"",Constants!$B$20+SUM($BO419:$BS419))</f>
        <v/>
      </c>
      <c r="BU419" s="97" t="str">
        <f aca="false">IF($BZ419&lt;&gt;Constants!$B$8,"",$BO419)</f>
        <v/>
      </c>
      <c r="BV419" s="97" t="str">
        <f aca="false">IF($BZ419&lt;&gt;Constants!$B$8,"",$BP419)</f>
        <v/>
      </c>
      <c r="BW419" s="97" t="str">
        <f aca="false">IF($BZ419&lt;&gt;Constants!$B$8,"",IF($AT419,$AV419,""))</f>
        <v/>
      </c>
      <c r="BX419" s="99" t="str">
        <f aca="false">IF($BZ419&lt;&gt;Constants!$B$8,"",$AI419)</f>
        <v/>
      </c>
      <c r="BY419" s="93" t="str">
        <f aca="false">IF(ISBLANK($C419),"",IF(ISBLANK($D$7),$BY$5,IF(NOT(ISNUMBER($D$7)),$BY$6,"")))</f>
        <v/>
      </c>
      <c r="BZ419" s="93" t="str">
        <f aca="false">IF(ISBLANK($C419),"",IF($BA419,Constants!$B$11,IF(COUNTA($E419:$AA419)=0,Constants!$B$10,IF(NOT($AG419),Constants!$B$9,IF(OR($BY419&lt;&gt;"",$BB419,$BN419),Constants!$B$12,Constants!$B$8)))))</f>
        <v/>
      </c>
      <c r="CA419" s="93" t="str">
        <f aca="false">IF(ISBLANK($C419),"",IF($BZ419&lt;&gt;Constants!$B$8,$BZ419,Constants!$B$13))</f>
        <v/>
      </c>
      <c r="CB419" s="97" t="str">
        <f aca="false">IF($BZ419&lt;&gt;Constants!$B$8,"",IF($BM419="-&gt;",$BT419,$BH419))</f>
        <v/>
      </c>
      <c r="CC419" s="97" t="str">
        <f aca="false">IF($BZ419&lt;&gt;Constants!$B$8,"",IF($AF419,0,Constants!$B$18))</f>
        <v/>
      </c>
      <c r="CD419" s="97" t="str">
        <f aca="false">IF($BZ419&lt;&gt;Constants!$B$8,"",((Constants!$B$31-$AZ419)-Constants!$B$31)/Constants!$B$32)</f>
        <v/>
      </c>
      <c r="CE419" s="97" t="str">
        <f aca="false">IF(ISBLANK($C419),"",IF($BZ419&lt;&gt;Constants!$B$8,$BZ419,SUM($CB419:$CD419)))</f>
        <v/>
      </c>
      <c r="CF419" s="93" t="str">
        <f aca="false">IF(ISBLANK($C419),"",IF($BZ419&lt;&gt;Constants!$B$8,$BZ419,RANK($CE419,$CE$9:$CE$508,1)))</f>
        <v/>
      </c>
      <c r="CG419" s="97" t="str">
        <f aca="false">IF($BZ419&lt;&gt;Constants!$B$8,"",IF($BM419="-&gt;",$BU419,$BI419))</f>
        <v/>
      </c>
      <c r="CH419" s="93" t="str">
        <f aca="false">IF(ISBLANK($C419),"",IF($BZ419&lt;&gt;Constants!$B$8,$BZ419,IF(ISNUMBER($CG419),RANK($CG419,$CG$9:$CG$508,1),COUNT($CG$9:$CG$508)+1)))</f>
        <v/>
      </c>
      <c r="CI419" s="97" t="str">
        <f aca="false">IF($BZ419&lt;&gt;Constants!$B$8,"",IF($BM419="-&gt;",$BV419,$BJ419))</f>
        <v/>
      </c>
      <c r="CJ419" s="93" t="str">
        <f aca="false">IF(ISBLANK($C419),"",IF($BZ419&lt;&gt;Constants!$B$8,$BZ419,IF(ISNUMBER($CI419),RANK($CI419,$CI$9:$CI$508,1),COUNT($CI$9:$CI$508)+1)))</f>
        <v/>
      </c>
      <c r="CK419" s="97" t="str">
        <f aca="false">IF($BZ419&lt;&gt;Constants!$B$8,"",IF($BM419="-&gt;",$BW419,$BK419))</f>
        <v/>
      </c>
      <c r="CL419" s="93" t="str">
        <f aca="false">IF(ISBLANK($C419),"",IF($BZ419&lt;&gt;Constants!$B$8,$BZ419,IF(ISNUMBER($CK419),RANK($CK419,$CK$9:$CK$508,1),COUNT($CK$9:$CK$508)+1)))</f>
        <v/>
      </c>
      <c r="CM419" s="97" t="str">
        <f aca="false">IF($BZ419&lt;&gt;Constants!$B$8,"",IF(AND(NOT($AL419),NOT($AT419),$AJ419,$AK419,$AR419,$AS419),"",IF($BM419="-&gt;",$BX419,$BL419)))</f>
        <v/>
      </c>
      <c r="CN419" s="93" t="str">
        <f aca="false">IF(ISBLANK($C419),"",IF($BZ419&lt;&gt;Constants!$B$8,$BZ419,IF(ISNUMBER($CM419),RANK($CM419,$CM$9:$CM$508,1),COUNT($CM$9:$CM$508)+1)))</f>
        <v/>
      </c>
      <c r="CO419" s="93" t="str">
        <f aca="false">IF(ISBLANK($C419),"",IF($BZ419&lt;&gt;Constants!$B$8,$BZ419,COUNTIFS($CF$9:$CF$508,"&lt;"&amp;$CF419)+COUNTIFS($CF$9:$CF$508,$CF419,$CH$9:$CH$508,"&lt;"&amp;$CH419)+COUNTIFS($CF$9:$CF$508,$CF419,$CH$9:$CH$508,$CH419,$CJ$9:$CJ$508,"&lt;"&amp;$CJ419)+COUNTIFS($CF$9:$CF$508,$CF419,$CH$9:$CH$508,$CH419,$CJ$9:$CJ$508,$CJ419,$CL$9:$CL$508,"&lt;"&amp;$CL419)+COUNTIFS($CF$9:$CF$508,$CF419,$CH$9:$CH$508,$CH419,$CJ$9:$CJ$508,$CJ419,$CL$9:$CL$508,$CL419,$CN$9:$CN$508,"&lt;"&amp;$CN419)+1))</f>
        <v/>
      </c>
      <c r="CP419" s="93" t="str">
        <f aca="false">IF(ISBLANK($C419),"",IF($BZ419&lt;&gt;Constants!$B$8,$BZ419,$CF419-$CO419))</f>
        <v/>
      </c>
      <c r="CQ419" s="100"/>
      <c r="CR419" s="101"/>
      <c r="CS419" s="102" t="str">
        <f aca="false">IF(ISBLANK($C419),"",IF($BZ419=Constants!$B$12,$BY419,""))</f>
        <v/>
      </c>
      <c r="CT419" s="101" t="str">
        <f aca="false">IF(ISBLANK($C419),"",IF($BZ419&lt;&gt;Constants!$B$8,"",IF($BM419="-&gt;",2,1)))</f>
        <v/>
      </c>
      <c r="CU419" s="103" t="str">
        <f aca="false">IF(ISBLANK($C419),"",IF($BZ419&lt;&gt;Constants!$B$8,"",IF($BM419="-&gt;",$BO419,$BC419)))</f>
        <v/>
      </c>
      <c r="CV419" s="103" t="str">
        <f aca="false">IF(ISBLANK($C419),"",IF($BZ419&lt;&gt;Constants!$B$8,"",IF($BM419="-&gt;",$BP419,$BD419)))</f>
        <v/>
      </c>
      <c r="CW419" s="103" t="str">
        <f aca="false">IF(ISBLANK($C419),"",IF($BZ419&lt;&gt;Constants!$B$8,"",IF($BM419="-&gt;",$BQ419+$BR419,$BE419+$BF419)+$CD419))</f>
        <v/>
      </c>
      <c r="CX419" s="103" t="str">
        <f aca="false">IF(ISBLANK($C419),"",IF($BZ419&lt;&gt;Constants!$B$8,"",IF($BM419="-&gt;",$BS419,$BG419)+$CC419))</f>
        <v/>
      </c>
      <c r="CY419" s="104" t="str">
        <f aca="false">IF(ISBLANK($C419),"",IF($BZ419&lt;&gt;Constants!$B$8,$BZ419,$CE419))</f>
        <v/>
      </c>
      <c r="CZ419" s="105" t="str">
        <f aca="false">IF(ISBLANK($C419),"",$CA419)</f>
        <v/>
      </c>
      <c r="DA419" s="106" t="str">
        <f aca="false">IF(ISBLANK($C419),"",$CP419)</f>
        <v/>
      </c>
      <c r="DB419" s="106" t="str">
        <f aca="false">IF(ISBLANK($C419),"",$CO419)</f>
        <v/>
      </c>
      <c r="DC419" s="107" t="str">
        <f aca="false">IF(ISBLANK($C419),"",IFERROR(_xlfn.SWITCH($DB419,Constants!$B$11,COUNTA($C$9:$C$508)+2,Constants!$B$10,COUNTA($C$9:$C$508)+1,Constants!$B$9,COUNTA($C$9:$C$508)),$DB419))</f>
        <v/>
      </c>
      <c r="DD419" s="9"/>
      <c r="DE419" s="108" t="n">
        <f aca="false">IF(OR(ISNUMBER($DB419),$DB419=Constants!$B$11,$DB419=Constants!$B$9,$DB419=Constants!$B$10),1,0)</f>
        <v>0</v>
      </c>
      <c r="DF419" s="108" t="n">
        <v>411</v>
      </c>
      <c r="DG419" s="108" t="str">
        <f aca="false">IF(ISBLANK($C419),"",IF(ISNUMBER($DC419),$DC419+ROW($B419)/1000,""))</f>
        <v/>
      </c>
      <c r="DH419" s="108" t="str">
        <f aca="false">IF(ISNUMBER($DG419),RANK($DG419,$DG$9:$DG$508,1),"")</f>
        <v/>
      </c>
      <c r="DI419" s="108" t="str">
        <f aca="false">IF(ISBLANK($C419),"",$B419)</f>
        <v/>
      </c>
      <c r="DJ419" s="108" t="str">
        <f aca="false">IF(ISBLANK($C419),"",$C419)</f>
        <v/>
      </c>
      <c r="DK419" s="108" t="str">
        <f aca="false">IF(ISBLANK($C419),"",$D419)</f>
        <v/>
      </c>
      <c r="DL419" s="109" t="str">
        <f aca="false">$CZ419</f>
        <v/>
      </c>
      <c r="DM419" s="110" t="str">
        <f aca="false">$CY419</f>
        <v/>
      </c>
      <c r="DN419" s="108" t="str">
        <f aca="false">IF(ISBLANK($C419),"",$DB419)</f>
        <v/>
      </c>
      <c r="DO419" s="111" t="str">
        <f aca="false">IF($DF419&gt;$DE$8,"",VLOOKUP($DF419,$DH$9:$DN$508,7,FALSE()))</f>
        <v/>
      </c>
      <c r="DP419" s="112" t="str">
        <f aca="false">IF($DF419&gt;$DE$8,"",VLOOKUP($DF419,$DH$9:$DN$508,2,FALSE()))</f>
        <v/>
      </c>
      <c r="DQ419" s="112" t="str">
        <f aca="false">IF($DF419&gt;$DE$8,"",VLOOKUP($DF419,$DH$9:$DN$508,3,FALSE()))</f>
        <v/>
      </c>
      <c r="DR419" s="112" t="str">
        <f aca="false">IF($DF419&gt;$DE$8,"",VLOOKUP($DF419,$DH$9:$DN$508,4,FALSE()))</f>
        <v/>
      </c>
      <c r="DS419" s="112" t="str">
        <f aca="false">IF($DF419&gt;$DE$8,"",VLOOKUP($DF419,$DH$9:$DN$508,5,FALSE()))</f>
        <v/>
      </c>
      <c r="DT419" s="113" t="str">
        <f aca="false">IF($DF419&gt;$DE$8,"",VLOOKUP($DF419,$DH$9:$DN$508,6,FALSE()))</f>
        <v/>
      </c>
      <c r="DU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IF(ISBLANK($C420),"",IF(E420=Constants!$B$3,TRUE(),IF(E420=Constants!$B$4,FALSE(),TRUE())))</f>
        <v/>
      </c>
      <c r="AG420" s="135" t="str">
        <f aca="false">IF(ISBLANK($C420),"",IF(F420=Constants!$B$3,TRUE(),IF(F420=Constants!$B$4,FALSE(),TRUE())))</f>
        <v/>
      </c>
      <c r="AH420" s="135" t="str">
        <f aca="false">IF(ISBLANK($C420),"",IF(G420=Constants!$B$3,TRUE(),IF(G420=Constants!$B$4,FALSE(),TRUE())))</f>
        <v/>
      </c>
      <c r="AI420" s="135" t="str">
        <f aca="false">IF(ISBLANK($C420),"",IF(AND(ISNUMBER(H420),H420&gt;=0),H420,Constants!$B$29))</f>
        <v/>
      </c>
      <c r="AJ420" s="135" t="str">
        <f aca="false">IF(ISBLANK($C420),"",IF(I420=Constants!$B$3,TRUE(),IF(I420=Constants!$B$4,FALSE(),TRUE())))</f>
        <v/>
      </c>
      <c r="AK420" s="135" t="str">
        <f aca="false">IF(ISBLANK($C420),"",IF(J420=Constants!$B$3,TRUE(),IF(J420=Constants!$B$4,FALSE(),TRUE())))</f>
        <v/>
      </c>
      <c r="AL420" s="135" t="str">
        <f aca="false">IF(ISBLANK($C420),"",IF(K420=Constants!$B$5,TRUE(),IF(K420=Constants!$B$6,FALSE(),COUNTA(L420:P420)&gt;0)))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IF(ISBLANK($C420),"",IF(N420=Constants!$B$3,TRUE(),IF(N420=Constants!$B$4,FALSE(),TRUE())))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IF(ISBLANK($C420),"",IF(P420=Constants!$B$3,TRUE(),IF(P420=Constants!$B$4,FALSE(),FALSE())))</f>
        <v/>
      </c>
      <c r="AR420" s="135" t="str">
        <f aca="false">IF(ISBLANK($C420),"",IF(Q420=Constants!$B$3,TRUE(),IF(Q420=Constants!$B$4,FALSE(),TRUE())))</f>
        <v/>
      </c>
      <c r="AS420" s="135" t="str">
        <f aca="false">IF(ISBLANK($C420),"",IF(R420=Constants!$B$3,TRUE(),IF(R420=Constants!$B$4,FALSE(),TRUE())))</f>
        <v/>
      </c>
      <c r="AT420" s="135" t="str">
        <f aca="false">IF(ISBLANK($C420),"",IF(S420=Constants!$B$5,TRUE(),IF(S420=Constants!$B$6,FALSE(),COUNTA(T420:X420)&gt;0)))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IF(ISBLANK($C420),"",IF(V420=Constants!$B$3,TRUE(),IF(V420=Constants!$B$4,FALSE(),TRUE())))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IF(ISBLANK($C420),"",IF(X420=Constants!$B$3,TRUE(),IF(X420=Constants!$B$4,FALSE(),FALSE())))</f>
        <v/>
      </c>
      <c r="AZ420" s="135" t="str">
        <f aca="false">IF(ISBLANK($C420),"",MIN(Constants!$B$31,MAX(0,IF(ISNUMBER(Y420),Y420*60,0)+IF(ISNUMBER(Z420),Z420,0))))</f>
        <v/>
      </c>
      <c r="BA420" s="135" t="str">
        <f aca="false">IF(ISBLANK($C420),"",IF(AA420=Constants!$B$3,TRUE(),IF(AA420=Constants!$B$4,FALSE(),FALSE())))</f>
        <v/>
      </c>
      <c r="BB420" s="134" t="str">
        <f aca="false">IF(ISBLANK($C420),"",AND($AL420,OR($AM420="",$AN420="",AND($AO420,$AP420=""))))</f>
        <v/>
      </c>
      <c r="BC420" s="137" t="str">
        <f aca="false">IF($BZ420&lt;&gt;Constants!$B$8,"",IF($AL420,Constants!$B$21*$AN420+Constants!$B$22*IF($AO420,$AP420,Constants!$B$23),Constants!$B$24))</f>
        <v/>
      </c>
      <c r="BD420" s="138" t="str">
        <f aca="false">IF($BZ420&lt;&gt;Constants!$B$8,"",Constants!$B$25*ABS($AD$9-IF($AL420,$AM420,0)))</f>
        <v/>
      </c>
      <c r="BE420" s="138" t="str">
        <f aca="false">IF($BZ420&lt;&gt;Constants!$B$8,"",IF(AND($AL420,$AQ420,$AO420),Constants!$B$27,0))</f>
        <v/>
      </c>
      <c r="BF420" s="138" t="str">
        <f aca="false">IF($BZ420&lt;&gt;Constants!$B$8,"",IF($AL420,($AI420-Constants!$B$29)*Constants!$B$28,0))</f>
        <v/>
      </c>
      <c r="BG420" s="138" t="str">
        <f aca="false">IF($BZ420&lt;&gt;Constants!$B$8,"",IF($AK420,0,Constants!$B$15)+IF($AJ420,0,Constants!$B$16)+IF($AH420,0,Constants!$B$17))</f>
        <v/>
      </c>
      <c r="BH420" s="139" t="str">
        <f aca="false">IF($BZ420&lt;&gt;Constants!$B$8,"",Constants!$B$20+SUM($BC420:$BG420))</f>
        <v/>
      </c>
      <c r="BI420" s="138" t="str">
        <f aca="false">IF($BZ420&lt;&gt;Constants!$B$8,"",$BC420)</f>
        <v/>
      </c>
      <c r="BJ420" s="138" t="str">
        <f aca="false">IF($BZ420&lt;&gt;Constants!$B$8,"",$BD420)</f>
        <v/>
      </c>
      <c r="BK420" s="138" t="str">
        <f aca="false">IF($BZ420&lt;&gt;Constants!$B$8,"",IF($AL420,$AN420,""))</f>
        <v/>
      </c>
      <c r="BL420" s="140" t="str">
        <f aca="false">IF($BZ420&lt;&gt;Constants!$B$8,"",$AI420)</f>
        <v/>
      </c>
      <c r="BM420" s="135" t="str">
        <f aca="false">IF($BZ420&lt;&gt;Constants!$B$8,"",IF(OR($BT420&lt;$BH420,AND($BT420=$BH420,OR($BU420&lt;$BI420,AND($BU420=$BI420,OR($BV420&lt;$BJ420,AND($BV420=$BJ420,OR(AND(ISNUMBER($BW420),OR(NOT(ISNUMBER($BK420)),$BW420&lt;$BK420)),AND(OR(AND($BW420="",$BK420=""),AND(ISNUMBER($BW420),ISNUMBER($BK420),$BW420=$BK420)),$BX420&lt;$BL420)))))))),"-&gt;","&lt;-"))</f>
        <v/>
      </c>
      <c r="BN420" s="134" t="str">
        <f aca="false">IF(ISBLANK($C420),"",AND($AT420,OR($AU420="",$AV420="",AND($AW420,$AX420=""))))</f>
        <v/>
      </c>
      <c r="BO420" s="137" t="str">
        <f aca="false">IF($BZ420&lt;&gt;Constants!$B$8,"",IF($AT420,Constants!$B$21*$AV420+Constants!$B$22*IF($AW420,$AX420,Constants!$B$23),Constants!$B$24))</f>
        <v/>
      </c>
      <c r="BP420" s="138" t="str">
        <f aca="false">IF($BZ420&lt;&gt;Constants!$B$8,"",Constants!$B$25*ABS($AD$9-IF($AT420,$AU420,0)))</f>
        <v/>
      </c>
      <c r="BQ420" s="138" t="str">
        <f aca="false">IF($BZ420&lt;&gt;Constants!$B$8,"",IF(AND($AT420,$AY420,$AW420),Constants!$B$27,0))</f>
        <v/>
      </c>
      <c r="BR420" s="138" t="str">
        <f aca="false">IF($BZ420&lt;&gt;Constants!$B$8,"",IF($AT420,($AI420-Constants!$B$29)*Constants!$B$28,0))</f>
        <v/>
      </c>
      <c r="BS420" s="138" t="str">
        <f aca="false">IF($BZ420&lt;&gt;Constants!$B$8,"",IF($AS420,0,Constants!$B$15)+IF($AR420,0,Constants!$B$16)+IF($AH420,0,Constants!$B$17))</f>
        <v/>
      </c>
      <c r="BT420" s="139" t="str">
        <f aca="false">IF($BZ420&lt;&gt;Constants!$B$8,"",Constants!$B$20+SUM($BO420:$BS420))</f>
        <v/>
      </c>
      <c r="BU420" s="138" t="str">
        <f aca="false">IF($BZ420&lt;&gt;Constants!$B$8,"",$BO420)</f>
        <v/>
      </c>
      <c r="BV420" s="138" t="str">
        <f aca="false">IF($BZ420&lt;&gt;Constants!$B$8,"",$BP420)</f>
        <v/>
      </c>
      <c r="BW420" s="138" t="str">
        <f aca="false">IF($BZ420&lt;&gt;Constants!$B$8,"",IF($AT420,$AV420,""))</f>
        <v/>
      </c>
      <c r="BX420" s="140" t="str">
        <f aca="false">IF($BZ420&lt;&gt;Constants!$B$8,"",$AI420)</f>
        <v/>
      </c>
      <c r="BY420" s="135" t="str">
        <f aca="false">IF(ISBLANK($C420),"",IF(ISBLANK($D$7),$BY$5,IF(NOT(ISNUMBER($D$7)),$BY$6,"")))</f>
        <v/>
      </c>
      <c r="BZ420" s="135" t="str">
        <f aca="false">IF(ISBLANK($C420),"",IF($BA420,Constants!$B$11,IF(COUNTA($E420:$AA420)=0,Constants!$B$10,IF(NOT($AG420),Constants!$B$9,IF(OR($BY420&lt;&gt;"",$BB420,$BN420),Constants!$B$12,Constants!$B$8)))))</f>
        <v/>
      </c>
      <c r="CA420" s="135" t="str">
        <f aca="false">IF(ISBLANK($C420),"",IF($BZ420&lt;&gt;Constants!$B$8,$BZ420,Constants!$B$13))</f>
        <v/>
      </c>
      <c r="CB420" s="138" t="str">
        <f aca="false">IF($BZ420&lt;&gt;Constants!$B$8,"",IF($BM420="-&gt;",$BT420,$BH420))</f>
        <v/>
      </c>
      <c r="CC420" s="138" t="str">
        <f aca="false">IF($BZ420&lt;&gt;Constants!$B$8,"",IF($AF420,0,Constants!$B$18))</f>
        <v/>
      </c>
      <c r="CD420" s="138" t="str">
        <f aca="false">IF($BZ420&lt;&gt;Constants!$B$8,"",((Constants!$B$31-$AZ420)-Constants!$B$31)/Constants!$B$32)</f>
        <v/>
      </c>
      <c r="CE420" s="138" t="str">
        <f aca="false">IF(ISBLANK($C420),"",IF($BZ420&lt;&gt;Constants!$B$8,$BZ420,SUM($CB420:$CD420)))</f>
        <v/>
      </c>
      <c r="CF420" s="135" t="str">
        <f aca="false">IF(ISBLANK($C420),"",IF($BZ420&lt;&gt;Constants!$B$8,$BZ420,RANK($CE420,$CE$9:$CE$508,1)))</f>
        <v/>
      </c>
      <c r="CG420" s="138" t="str">
        <f aca="false">IF($BZ420&lt;&gt;Constants!$B$8,"",IF($BM420="-&gt;",$BU420,$BI420))</f>
        <v/>
      </c>
      <c r="CH420" s="135" t="str">
        <f aca="false">IF(ISBLANK($C420),"",IF($BZ420&lt;&gt;Constants!$B$8,$BZ420,IF(ISNUMBER($CG420),RANK($CG420,$CG$9:$CG$508,1),COUNT($CG$9:$CG$508)+1)))</f>
        <v/>
      </c>
      <c r="CI420" s="138" t="str">
        <f aca="false">IF($BZ420&lt;&gt;Constants!$B$8,"",IF($BM420="-&gt;",$BV420,$BJ420))</f>
        <v/>
      </c>
      <c r="CJ420" s="135" t="str">
        <f aca="false">IF(ISBLANK($C420),"",IF($BZ420&lt;&gt;Constants!$B$8,$BZ420,IF(ISNUMBER($CI420),RANK($CI420,$CI$9:$CI$508,1),COUNT($CI$9:$CI$508)+1)))</f>
        <v/>
      </c>
      <c r="CK420" s="138" t="str">
        <f aca="false">IF($BZ420&lt;&gt;Constants!$B$8,"",IF($BM420="-&gt;",$BW420,$BK420))</f>
        <v/>
      </c>
      <c r="CL420" s="135" t="str">
        <f aca="false">IF(ISBLANK($C420),"",IF($BZ420&lt;&gt;Constants!$B$8,$BZ420,IF(ISNUMBER($CK420),RANK($CK420,$CK$9:$CK$508,1),COUNT($CK$9:$CK$508)+1)))</f>
        <v/>
      </c>
      <c r="CM420" s="138" t="str">
        <f aca="false">IF($BZ420&lt;&gt;Constants!$B$8,"",IF(AND(NOT($AL420),NOT($AT420),$AJ420,$AK420,$AR420,$AS420),"",IF($BM420="-&gt;",$BX420,$BL420)))</f>
        <v/>
      </c>
      <c r="CN420" s="135" t="str">
        <f aca="false">IF(ISBLANK($C420),"",IF($BZ420&lt;&gt;Constants!$B$8,$BZ420,IF(ISNUMBER($CM420),RANK($CM420,$CM$9:$CM$508,1),COUNT($CM$9:$CM$508)+1)))</f>
        <v/>
      </c>
      <c r="CO420" s="135" t="str">
        <f aca="false">IF(ISBLANK($C420),"",IF($BZ420&lt;&gt;Constants!$B$8,$BZ420,COUNTIFS($CF$9:$CF$508,"&lt;"&amp;$CF420)+COUNTIFS($CF$9:$CF$508,$CF420,$CH$9:$CH$508,"&lt;"&amp;$CH420)+COUNTIFS($CF$9:$CF$508,$CF420,$CH$9:$CH$508,$CH420,$CJ$9:$CJ$508,"&lt;"&amp;$CJ420)+COUNTIFS($CF$9:$CF$508,$CF420,$CH$9:$CH$508,$CH420,$CJ$9:$CJ$508,$CJ420,$CL$9:$CL$508,"&lt;"&amp;$CL420)+COUNTIFS($CF$9:$CF$508,$CF420,$CH$9:$CH$508,$CH420,$CJ$9:$CJ$508,$CJ420,$CL$9:$CL$508,$CL420,$CN$9:$CN$508,"&lt;"&amp;$CN420)+1))</f>
        <v/>
      </c>
      <c r="CP420" s="135" t="str">
        <f aca="false">IF(ISBLANK($C420),"",IF($BZ420&lt;&gt;Constants!$B$8,$BZ420,$CF420-$CO420))</f>
        <v/>
      </c>
      <c r="CQ420" s="141"/>
      <c r="CR420" s="142"/>
      <c r="CS420" s="143" t="str">
        <f aca="false">IF(ISBLANK($C420),"",IF($BZ420=Constants!$B$12,$BY420,""))</f>
        <v/>
      </c>
      <c r="CT420" s="142" t="str">
        <f aca="false">IF(ISBLANK($C420),"",IF($BZ420&lt;&gt;Constants!$B$8,"",IF($BM420="-&gt;",2,1)))</f>
        <v/>
      </c>
      <c r="CU420" s="144" t="str">
        <f aca="false">IF(ISBLANK($C420),"",IF($BZ420&lt;&gt;Constants!$B$8,"",IF($BM420="-&gt;",$BO420,$BC420)))</f>
        <v/>
      </c>
      <c r="CV420" s="144" t="str">
        <f aca="false">IF(ISBLANK($C420),"",IF($BZ420&lt;&gt;Constants!$B$8,"",IF($BM420="-&gt;",$BP420,$BD420)))</f>
        <v/>
      </c>
      <c r="CW420" s="144" t="str">
        <f aca="false">IF(ISBLANK($C420),"",IF($BZ420&lt;&gt;Constants!$B$8,"",IF($BM420="-&gt;",$BQ420+$BR420,$BE420+$BF420)+$CD420))</f>
        <v/>
      </c>
      <c r="CX420" s="144" t="str">
        <f aca="false">IF(ISBLANK($C420),"",IF($BZ420&lt;&gt;Constants!$B$8,"",IF($BM420="-&gt;",$BS420,$BG420)+$CC420))</f>
        <v/>
      </c>
      <c r="CY420" s="145" t="str">
        <f aca="false">IF(ISBLANK($C420),"",IF($BZ420&lt;&gt;Constants!$B$8,$BZ420,$CE420))</f>
        <v/>
      </c>
      <c r="CZ420" s="146" t="str">
        <f aca="false">IF(ISBLANK($C420),"",$CA420)</f>
        <v/>
      </c>
      <c r="DA420" s="147" t="str">
        <f aca="false">IF(ISBLANK($C420),"",$CP420)</f>
        <v/>
      </c>
      <c r="DB420" s="147" t="str">
        <f aca="false">IF(ISBLANK($C420),"",$CO420)</f>
        <v/>
      </c>
      <c r="DC420" s="148" t="str">
        <f aca="false">IF(ISBLANK($C420),"",IFERROR(_xlfn.SWITCH($DB420,Constants!$B$11,COUNTA($C$9:$C$508)+2,Constants!$B$10,COUNTA($C$9:$C$508)+1,Constants!$B$9,COUNTA($C$9:$C$508)),$DB420))</f>
        <v/>
      </c>
      <c r="DD420" s="9"/>
      <c r="DE420" s="149" t="n">
        <f aca="false">IF(OR(ISNUMBER($DB420),$DB420=Constants!$B$11,$DB420=Constants!$B$9,$DB420=Constants!$B$10),1,0)</f>
        <v>0</v>
      </c>
      <c r="DF420" s="149" t="n">
        <v>412</v>
      </c>
      <c r="DG420" s="149" t="str">
        <f aca="false">IF(ISBLANK($C420),"",IF(ISNUMBER($DC420),$DC420+ROW($B420)/1000,""))</f>
        <v/>
      </c>
      <c r="DH420" s="149" t="str">
        <f aca="false">IF(ISNUMBER($DG420),RANK($DG420,$DG$9:$DG$508,1),"")</f>
        <v/>
      </c>
      <c r="DI420" s="149" t="str">
        <f aca="false">IF(ISBLANK($C420),"",$B420)</f>
        <v/>
      </c>
      <c r="DJ420" s="149" t="str">
        <f aca="false">IF(ISBLANK($C420),"",$C420)</f>
        <v/>
      </c>
      <c r="DK420" s="149" t="str">
        <f aca="false">IF(ISBLANK($C420),"",$D420)</f>
        <v/>
      </c>
      <c r="DL420" s="150" t="str">
        <f aca="false">$CZ420</f>
        <v/>
      </c>
      <c r="DM420" s="151" t="str">
        <f aca="false">$CY420</f>
        <v/>
      </c>
      <c r="DN420" s="149" t="str">
        <f aca="false">IF(ISBLANK($C420),"",$DB420)</f>
        <v/>
      </c>
      <c r="DO420" s="152" t="str">
        <f aca="false">IF($DF420&gt;$DE$8,"",VLOOKUP($DF420,$DH$9:$DN$508,7,FALSE()))</f>
        <v/>
      </c>
      <c r="DP420" s="153" t="str">
        <f aca="false">IF($DF420&gt;$DE$8,"",VLOOKUP($DF420,$DH$9:$DN$508,2,FALSE()))</f>
        <v/>
      </c>
      <c r="DQ420" s="153" t="str">
        <f aca="false">IF($DF420&gt;$DE$8,"",VLOOKUP($DF420,$DH$9:$DN$508,3,FALSE()))</f>
        <v/>
      </c>
      <c r="DR420" s="153" t="str">
        <f aca="false">IF($DF420&gt;$DE$8,"",VLOOKUP($DF420,$DH$9:$DN$508,4,FALSE()))</f>
        <v/>
      </c>
      <c r="DS420" s="153" t="str">
        <f aca="false">IF($DF420&gt;$DE$8,"",VLOOKUP($DF420,$DH$9:$DN$508,5,FALSE()))</f>
        <v/>
      </c>
      <c r="DT420" s="154" t="str">
        <f aca="false">IF($DF420&gt;$DE$8,"",VLOOKUP($DF420,$DH$9:$DN$508,6,FALSE()))</f>
        <v/>
      </c>
      <c r="DU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IF(ISBLANK($C421),"",IF(E421=Constants!$B$3,TRUE(),IF(E421=Constants!$B$4,FALSE(),TRUE())))</f>
        <v/>
      </c>
      <c r="AG421" s="135" t="str">
        <f aca="false">IF(ISBLANK($C421),"",IF(F421=Constants!$B$3,TRUE(),IF(F421=Constants!$B$4,FALSE(),TRUE())))</f>
        <v/>
      </c>
      <c r="AH421" s="135" t="str">
        <f aca="false">IF(ISBLANK($C421),"",IF(G421=Constants!$B$3,TRUE(),IF(G421=Constants!$B$4,FALSE(),TRUE())))</f>
        <v/>
      </c>
      <c r="AI421" s="135" t="str">
        <f aca="false">IF(ISBLANK($C421),"",IF(AND(ISNUMBER(H421),H421&gt;=0),H421,Constants!$B$29))</f>
        <v/>
      </c>
      <c r="AJ421" s="135" t="str">
        <f aca="false">IF(ISBLANK($C421),"",IF(I421=Constants!$B$3,TRUE(),IF(I421=Constants!$B$4,FALSE(),TRUE())))</f>
        <v/>
      </c>
      <c r="AK421" s="135" t="str">
        <f aca="false">IF(ISBLANK($C421),"",IF(J421=Constants!$B$3,TRUE(),IF(J421=Constants!$B$4,FALSE(),TRUE())))</f>
        <v/>
      </c>
      <c r="AL421" s="135" t="str">
        <f aca="false">IF(ISBLANK($C421),"",IF(K421=Constants!$B$5,TRUE(),IF(K421=Constants!$B$6,FALSE(),COUNTA(L421:P421)&gt;0)))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IF(ISBLANK($C421),"",IF(N421=Constants!$B$3,TRUE(),IF(N421=Constants!$B$4,FALSE(),TRUE())))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IF(ISBLANK($C421),"",IF(P421=Constants!$B$3,TRUE(),IF(P421=Constants!$B$4,FALSE(),FALSE())))</f>
        <v/>
      </c>
      <c r="AR421" s="135" t="str">
        <f aca="false">IF(ISBLANK($C421),"",IF(Q421=Constants!$B$3,TRUE(),IF(Q421=Constants!$B$4,FALSE(),TRUE())))</f>
        <v/>
      </c>
      <c r="AS421" s="135" t="str">
        <f aca="false">IF(ISBLANK($C421),"",IF(R421=Constants!$B$3,TRUE(),IF(R421=Constants!$B$4,FALSE(),TRUE())))</f>
        <v/>
      </c>
      <c r="AT421" s="135" t="str">
        <f aca="false">IF(ISBLANK($C421),"",IF(S421=Constants!$B$5,TRUE(),IF(S421=Constants!$B$6,FALSE(),COUNTA(T421:X421)&gt;0)))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IF(ISBLANK($C421),"",IF(V421=Constants!$B$3,TRUE(),IF(V421=Constants!$B$4,FALSE(),TRUE())))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IF(ISBLANK($C421),"",IF(X421=Constants!$B$3,TRUE(),IF(X421=Constants!$B$4,FALSE(),FALSE())))</f>
        <v/>
      </c>
      <c r="AZ421" s="135" t="str">
        <f aca="false">IF(ISBLANK($C421),"",MIN(Constants!$B$31,MAX(0,IF(ISNUMBER(Y421),Y421*60,0)+IF(ISNUMBER(Z421),Z421,0))))</f>
        <v/>
      </c>
      <c r="BA421" s="135" t="str">
        <f aca="false">IF(ISBLANK($C421),"",IF(AA421=Constants!$B$3,TRUE(),IF(AA421=Constants!$B$4,FALSE(),FALSE())))</f>
        <v/>
      </c>
      <c r="BB421" s="134" t="str">
        <f aca="false">IF(ISBLANK($C421),"",AND($AL421,OR($AM421="",$AN421="",AND($AO421,$AP421=""))))</f>
        <v/>
      </c>
      <c r="BC421" s="137" t="str">
        <f aca="false">IF($BZ421&lt;&gt;Constants!$B$8,"",IF($AL421,Constants!$B$21*$AN421+Constants!$B$22*IF($AO421,$AP421,Constants!$B$23),Constants!$B$24))</f>
        <v/>
      </c>
      <c r="BD421" s="138" t="str">
        <f aca="false">IF($BZ421&lt;&gt;Constants!$B$8,"",Constants!$B$25*ABS($AD$9-IF($AL421,$AM421,0)))</f>
        <v/>
      </c>
      <c r="BE421" s="138" t="str">
        <f aca="false">IF($BZ421&lt;&gt;Constants!$B$8,"",IF(AND($AL421,$AQ421,$AO421),Constants!$B$27,0))</f>
        <v/>
      </c>
      <c r="BF421" s="138" t="str">
        <f aca="false">IF($BZ421&lt;&gt;Constants!$B$8,"",IF($AL421,($AI421-Constants!$B$29)*Constants!$B$28,0))</f>
        <v/>
      </c>
      <c r="BG421" s="138" t="str">
        <f aca="false">IF($BZ421&lt;&gt;Constants!$B$8,"",IF($AK421,0,Constants!$B$15)+IF($AJ421,0,Constants!$B$16)+IF($AH421,0,Constants!$B$17))</f>
        <v/>
      </c>
      <c r="BH421" s="139" t="str">
        <f aca="false">IF($BZ421&lt;&gt;Constants!$B$8,"",Constants!$B$20+SUM($BC421:$BG421))</f>
        <v/>
      </c>
      <c r="BI421" s="138" t="str">
        <f aca="false">IF($BZ421&lt;&gt;Constants!$B$8,"",$BC421)</f>
        <v/>
      </c>
      <c r="BJ421" s="138" t="str">
        <f aca="false">IF($BZ421&lt;&gt;Constants!$B$8,"",$BD421)</f>
        <v/>
      </c>
      <c r="BK421" s="138" t="str">
        <f aca="false">IF($BZ421&lt;&gt;Constants!$B$8,"",IF($AL421,$AN421,""))</f>
        <v/>
      </c>
      <c r="BL421" s="140" t="str">
        <f aca="false">IF($BZ421&lt;&gt;Constants!$B$8,"",$AI421)</f>
        <v/>
      </c>
      <c r="BM421" s="135" t="str">
        <f aca="false">IF($BZ421&lt;&gt;Constants!$B$8,"",IF(OR($BT421&lt;$BH421,AND($BT421=$BH421,OR($BU421&lt;$BI421,AND($BU421=$BI421,OR($BV421&lt;$BJ421,AND($BV421=$BJ421,OR(AND(ISNUMBER($BW421),OR(NOT(ISNUMBER($BK421)),$BW421&lt;$BK421)),AND(OR(AND($BW421="",$BK421=""),AND(ISNUMBER($BW421),ISNUMBER($BK421),$BW421=$BK421)),$BX421&lt;$BL421)))))))),"-&gt;","&lt;-"))</f>
        <v/>
      </c>
      <c r="BN421" s="134" t="str">
        <f aca="false">IF(ISBLANK($C421),"",AND($AT421,OR($AU421="",$AV421="",AND($AW421,$AX421=""))))</f>
        <v/>
      </c>
      <c r="BO421" s="137" t="str">
        <f aca="false">IF($BZ421&lt;&gt;Constants!$B$8,"",IF($AT421,Constants!$B$21*$AV421+Constants!$B$22*IF($AW421,$AX421,Constants!$B$23),Constants!$B$24))</f>
        <v/>
      </c>
      <c r="BP421" s="138" t="str">
        <f aca="false">IF($BZ421&lt;&gt;Constants!$B$8,"",Constants!$B$25*ABS($AD$9-IF($AT421,$AU421,0)))</f>
        <v/>
      </c>
      <c r="BQ421" s="138" t="str">
        <f aca="false">IF($BZ421&lt;&gt;Constants!$B$8,"",IF(AND($AT421,$AY421,$AW421),Constants!$B$27,0))</f>
        <v/>
      </c>
      <c r="BR421" s="138" t="str">
        <f aca="false">IF($BZ421&lt;&gt;Constants!$B$8,"",IF($AT421,($AI421-Constants!$B$29)*Constants!$B$28,0))</f>
        <v/>
      </c>
      <c r="BS421" s="138" t="str">
        <f aca="false">IF($BZ421&lt;&gt;Constants!$B$8,"",IF($AS421,0,Constants!$B$15)+IF($AR421,0,Constants!$B$16)+IF($AH421,0,Constants!$B$17))</f>
        <v/>
      </c>
      <c r="BT421" s="139" t="str">
        <f aca="false">IF($BZ421&lt;&gt;Constants!$B$8,"",Constants!$B$20+SUM($BO421:$BS421))</f>
        <v/>
      </c>
      <c r="BU421" s="138" t="str">
        <f aca="false">IF($BZ421&lt;&gt;Constants!$B$8,"",$BO421)</f>
        <v/>
      </c>
      <c r="BV421" s="138" t="str">
        <f aca="false">IF($BZ421&lt;&gt;Constants!$B$8,"",$BP421)</f>
        <v/>
      </c>
      <c r="BW421" s="138" t="str">
        <f aca="false">IF($BZ421&lt;&gt;Constants!$B$8,"",IF($AT421,$AV421,""))</f>
        <v/>
      </c>
      <c r="BX421" s="140" t="str">
        <f aca="false">IF($BZ421&lt;&gt;Constants!$B$8,"",$AI421)</f>
        <v/>
      </c>
      <c r="BY421" s="135" t="str">
        <f aca="false">IF(ISBLANK($C421),"",IF(ISBLANK($D$7),$BY$5,IF(NOT(ISNUMBER($D$7)),$BY$6,"")))</f>
        <v/>
      </c>
      <c r="BZ421" s="135" t="str">
        <f aca="false">IF(ISBLANK($C421),"",IF($BA421,Constants!$B$11,IF(COUNTA($E421:$AA421)=0,Constants!$B$10,IF(NOT($AG421),Constants!$B$9,IF(OR($BY421&lt;&gt;"",$BB421,$BN421),Constants!$B$12,Constants!$B$8)))))</f>
        <v/>
      </c>
      <c r="CA421" s="135" t="str">
        <f aca="false">IF(ISBLANK($C421),"",IF($BZ421&lt;&gt;Constants!$B$8,$BZ421,Constants!$B$13))</f>
        <v/>
      </c>
      <c r="CB421" s="138" t="str">
        <f aca="false">IF($BZ421&lt;&gt;Constants!$B$8,"",IF($BM421="-&gt;",$BT421,$BH421))</f>
        <v/>
      </c>
      <c r="CC421" s="138" t="str">
        <f aca="false">IF($BZ421&lt;&gt;Constants!$B$8,"",IF($AF421,0,Constants!$B$18))</f>
        <v/>
      </c>
      <c r="CD421" s="138" t="str">
        <f aca="false">IF($BZ421&lt;&gt;Constants!$B$8,"",((Constants!$B$31-$AZ421)-Constants!$B$31)/Constants!$B$32)</f>
        <v/>
      </c>
      <c r="CE421" s="138" t="str">
        <f aca="false">IF(ISBLANK($C421),"",IF($BZ421&lt;&gt;Constants!$B$8,$BZ421,SUM($CB421:$CD421)))</f>
        <v/>
      </c>
      <c r="CF421" s="135" t="str">
        <f aca="false">IF(ISBLANK($C421),"",IF($BZ421&lt;&gt;Constants!$B$8,$BZ421,RANK($CE421,$CE$9:$CE$508,1)))</f>
        <v/>
      </c>
      <c r="CG421" s="138" t="str">
        <f aca="false">IF($BZ421&lt;&gt;Constants!$B$8,"",IF($BM421="-&gt;",$BU421,$BI421))</f>
        <v/>
      </c>
      <c r="CH421" s="135" t="str">
        <f aca="false">IF(ISBLANK($C421),"",IF($BZ421&lt;&gt;Constants!$B$8,$BZ421,IF(ISNUMBER($CG421),RANK($CG421,$CG$9:$CG$508,1),COUNT($CG$9:$CG$508)+1)))</f>
        <v/>
      </c>
      <c r="CI421" s="138" t="str">
        <f aca="false">IF($BZ421&lt;&gt;Constants!$B$8,"",IF($BM421="-&gt;",$BV421,$BJ421))</f>
        <v/>
      </c>
      <c r="CJ421" s="135" t="str">
        <f aca="false">IF(ISBLANK($C421),"",IF($BZ421&lt;&gt;Constants!$B$8,$BZ421,IF(ISNUMBER($CI421),RANK($CI421,$CI$9:$CI$508,1),COUNT($CI$9:$CI$508)+1)))</f>
        <v/>
      </c>
      <c r="CK421" s="138" t="str">
        <f aca="false">IF($BZ421&lt;&gt;Constants!$B$8,"",IF($BM421="-&gt;",$BW421,$BK421))</f>
        <v/>
      </c>
      <c r="CL421" s="135" t="str">
        <f aca="false">IF(ISBLANK($C421),"",IF($BZ421&lt;&gt;Constants!$B$8,$BZ421,IF(ISNUMBER($CK421),RANK($CK421,$CK$9:$CK$508,1),COUNT($CK$9:$CK$508)+1)))</f>
        <v/>
      </c>
      <c r="CM421" s="138" t="str">
        <f aca="false">IF($BZ421&lt;&gt;Constants!$B$8,"",IF(AND(NOT($AL421),NOT($AT421),$AJ421,$AK421,$AR421,$AS421),"",IF($BM421="-&gt;",$BX421,$BL421)))</f>
        <v/>
      </c>
      <c r="CN421" s="135" t="str">
        <f aca="false">IF(ISBLANK($C421),"",IF($BZ421&lt;&gt;Constants!$B$8,$BZ421,IF(ISNUMBER($CM421),RANK($CM421,$CM$9:$CM$508,1),COUNT($CM$9:$CM$508)+1)))</f>
        <v/>
      </c>
      <c r="CO421" s="135" t="str">
        <f aca="false">IF(ISBLANK($C421),"",IF($BZ421&lt;&gt;Constants!$B$8,$BZ421,COUNTIFS($CF$9:$CF$508,"&lt;"&amp;$CF421)+COUNTIFS($CF$9:$CF$508,$CF421,$CH$9:$CH$508,"&lt;"&amp;$CH421)+COUNTIFS($CF$9:$CF$508,$CF421,$CH$9:$CH$508,$CH421,$CJ$9:$CJ$508,"&lt;"&amp;$CJ421)+COUNTIFS($CF$9:$CF$508,$CF421,$CH$9:$CH$508,$CH421,$CJ$9:$CJ$508,$CJ421,$CL$9:$CL$508,"&lt;"&amp;$CL421)+COUNTIFS($CF$9:$CF$508,$CF421,$CH$9:$CH$508,$CH421,$CJ$9:$CJ$508,$CJ421,$CL$9:$CL$508,$CL421,$CN$9:$CN$508,"&lt;"&amp;$CN421)+1))</f>
        <v/>
      </c>
      <c r="CP421" s="135" t="str">
        <f aca="false">IF(ISBLANK($C421),"",IF($BZ421&lt;&gt;Constants!$B$8,$BZ421,$CF421-$CO421))</f>
        <v/>
      </c>
      <c r="CQ421" s="141"/>
      <c r="CR421" s="142"/>
      <c r="CS421" s="143" t="str">
        <f aca="false">IF(ISBLANK($C421),"",IF($BZ421=Constants!$B$12,$BY421,""))</f>
        <v/>
      </c>
      <c r="CT421" s="142" t="str">
        <f aca="false">IF(ISBLANK($C421),"",IF($BZ421&lt;&gt;Constants!$B$8,"",IF($BM421="-&gt;",2,1)))</f>
        <v/>
      </c>
      <c r="CU421" s="144" t="str">
        <f aca="false">IF(ISBLANK($C421),"",IF($BZ421&lt;&gt;Constants!$B$8,"",IF($BM421="-&gt;",$BO421,$BC421)))</f>
        <v/>
      </c>
      <c r="CV421" s="144" t="str">
        <f aca="false">IF(ISBLANK($C421),"",IF($BZ421&lt;&gt;Constants!$B$8,"",IF($BM421="-&gt;",$BP421,$BD421)))</f>
        <v/>
      </c>
      <c r="CW421" s="144" t="str">
        <f aca="false">IF(ISBLANK($C421),"",IF($BZ421&lt;&gt;Constants!$B$8,"",IF($BM421="-&gt;",$BQ421+$BR421,$BE421+$BF421)+$CD421))</f>
        <v/>
      </c>
      <c r="CX421" s="144" t="str">
        <f aca="false">IF(ISBLANK($C421),"",IF($BZ421&lt;&gt;Constants!$B$8,"",IF($BM421="-&gt;",$BS421,$BG421)+$CC421))</f>
        <v/>
      </c>
      <c r="CY421" s="145" t="str">
        <f aca="false">IF(ISBLANK($C421),"",IF($BZ421&lt;&gt;Constants!$B$8,$BZ421,$CE421))</f>
        <v/>
      </c>
      <c r="CZ421" s="146" t="str">
        <f aca="false">IF(ISBLANK($C421),"",$CA421)</f>
        <v/>
      </c>
      <c r="DA421" s="147" t="str">
        <f aca="false">IF(ISBLANK($C421),"",$CP421)</f>
        <v/>
      </c>
      <c r="DB421" s="147" t="str">
        <f aca="false">IF(ISBLANK($C421),"",$CO421)</f>
        <v/>
      </c>
      <c r="DC421" s="148" t="str">
        <f aca="false">IF(ISBLANK($C421),"",IFERROR(_xlfn.SWITCH($DB421,Constants!$B$11,COUNTA($C$9:$C$508)+2,Constants!$B$10,COUNTA($C$9:$C$508)+1,Constants!$B$9,COUNTA($C$9:$C$508)),$DB421))</f>
        <v/>
      </c>
      <c r="DD421" s="9"/>
      <c r="DE421" s="149" t="n">
        <f aca="false">IF(OR(ISNUMBER($DB421),$DB421=Constants!$B$11,$DB421=Constants!$B$9,$DB421=Constants!$B$10),1,0)</f>
        <v>0</v>
      </c>
      <c r="DF421" s="149" t="n">
        <v>413</v>
      </c>
      <c r="DG421" s="149" t="str">
        <f aca="false">IF(ISBLANK($C421),"",IF(ISNUMBER($DC421),$DC421+ROW($B421)/1000,""))</f>
        <v/>
      </c>
      <c r="DH421" s="149" t="str">
        <f aca="false">IF(ISNUMBER($DG421),RANK($DG421,$DG$9:$DG$508,1),"")</f>
        <v/>
      </c>
      <c r="DI421" s="149" t="str">
        <f aca="false">IF(ISBLANK($C421),"",$B421)</f>
        <v/>
      </c>
      <c r="DJ421" s="149" t="str">
        <f aca="false">IF(ISBLANK($C421),"",$C421)</f>
        <v/>
      </c>
      <c r="DK421" s="149" t="str">
        <f aca="false">IF(ISBLANK($C421),"",$D421)</f>
        <v/>
      </c>
      <c r="DL421" s="150" t="str">
        <f aca="false">$CZ421</f>
        <v/>
      </c>
      <c r="DM421" s="151" t="str">
        <f aca="false">$CY421</f>
        <v/>
      </c>
      <c r="DN421" s="149" t="str">
        <f aca="false">IF(ISBLANK($C421),"",$DB421)</f>
        <v/>
      </c>
      <c r="DO421" s="152" t="str">
        <f aca="false">IF($DF421&gt;$DE$8,"",VLOOKUP($DF421,$DH$9:$DN$508,7,FALSE()))</f>
        <v/>
      </c>
      <c r="DP421" s="153" t="str">
        <f aca="false">IF($DF421&gt;$DE$8,"",VLOOKUP($DF421,$DH$9:$DN$508,2,FALSE()))</f>
        <v/>
      </c>
      <c r="DQ421" s="153" t="str">
        <f aca="false">IF($DF421&gt;$DE$8,"",VLOOKUP($DF421,$DH$9:$DN$508,3,FALSE()))</f>
        <v/>
      </c>
      <c r="DR421" s="153" t="str">
        <f aca="false">IF($DF421&gt;$DE$8,"",VLOOKUP($DF421,$DH$9:$DN$508,4,FALSE()))</f>
        <v/>
      </c>
      <c r="DS421" s="153" t="str">
        <f aca="false">IF($DF421&gt;$DE$8,"",VLOOKUP($DF421,$DH$9:$DN$508,5,FALSE()))</f>
        <v/>
      </c>
      <c r="DT421" s="154" t="str">
        <f aca="false">IF($DF421&gt;$DE$8,"",VLOOKUP($DF421,$DH$9:$DN$508,6,FALSE()))</f>
        <v/>
      </c>
      <c r="DU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IF(ISBLANK($C422),"",IF(E422=Constants!$B$3,TRUE(),IF(E422=Constants!$B$4,FALSE(),TRUE())))</f>
        <v/>
      </c>
      <c r="AG422" s="135" t="str">
        <f aca="false">IF(ISBLANK($C422),"",IF(F422=Constants!$B$3,TRUE(),IF(F422=Constants!$B$4,FALSE(),TRUE())))</f>
        <v/>
      </c>
      <c r="AH422" s="135" t="str">
        <f aca="false">IF(ISBLANK($C422),"",IF(G422=Constants!$B$3,TRUE(),IF(G422=Constants!$B$4,FALSE(),TRUE())))</f>
        <v/>
      </c>
      <c r="AI422" s="135" t="str">
        <f aca="false">IF(ISBLANK($C422),"",IF(AND(ISNUMBER(H422),H422&gt;=0),H422,Constants!$B$29))</f>
        <v/>
      </c>
      <c r="AJ422" s="135" t="str">
        <f aca="false">IF(ISBLANK($C422),"",IF(I422=Constants!$B$3,TRUE(),IF(I422=Constants!$B$4,FALSE(),TRUE())))</f>
        <v/>
      </c>
      <c r="AK422" s="135" t="str">
        <f aca="false">IF(ISBLANK($C422),"",IF(J422=Constants!$B$3,TRUE(),IF(J422=Constants!$B$4,FALSE(),TRUE())))</f>
        <v/>
      </c>
      <c r="AL422" s="135" t="str">
        <f aca="false">IF(ISBLANK($C422),"",IF(K422=Constants!$B$5,TRUE(),IF(K422=Constants!$B$6,FALSE(),COUNTA(L422:P422)&gt;0)))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IF(ISBLANK($C422),"",IF(N422=Constants!$B$3,TRUE(),IF(N422=Constants!$B$4,FALSE(),TRUE())))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IF(ISBLANK($C422),"",IF(P422=Constants!$B$3,TRUE(),IF(P422=Constants!$B$4,FALSE(),FALSE())))</f>
        <v/>
      </c>
      <c r="AR422" s="135" t="str">
        <f aca="false">IF(ISBLANK($C422),"",IF(Q422=Constants!$B$3,TRUE(),IF(Q422=Constants!$B$4,FALSE(),TRUE())))</f>
        <v/>
      </c>
      <c r="AS422" s="135" t="str">
        <f aca="false">IF(ISBLANK($C422),"",IF(R422=Constants!$B$3,TRUE(),IF(R422=Constants!$B$4,FALSE(),TRUE())))</f>
        <v/>
      </c>
      <c r="AT422" s="135" t="str">
        <f aca="false">IF(ISBLANK($C422),"",IF(S422=Constants!$B$5,TRUE(),IF(S422=Constants!$B$6,FALSE(),COUNTA(T422:X422)&gt;0)))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IF(ISBLANK($C422),"",IF(V422=Constants!$B$3,TRUE(),IF(V422=Constants!$B$4,FALSE(),TRUE())))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IF(ISBLANK($C422),"",IF(X422=Constants!$B$3,TRUE(),IF(X422=Constants!$B$4,FALSE(),FALSE())))</f>
        <v/>
      </c>
      <c r="AZ422" s="135" t="str">
        <f aca="false">IF(ISBLANK($C422),"",MIN(Constants!$B$31,MAX(0,IF(ISNUMBER(Y422),Y422*60,0)+IF(ISNUMBER(Z422),Z422,0))))</f>
        <v/>
      </c>
      <c r="BA422" s="135" t="str">
        <f aca="false">IF(ISBLANK($C422),"",IF(AA422=Constants!$B$3,TRUE(),IF(AA422=Constants!$B$4,FALSE(),FALSE())))</f>
        <v/>
      </c>
      <c r="BB422" s="134" t="str">
        <f aca="false">IF(ISBLANK($C422),"",AND($AL422,OR($AM422="",$AN422="",AND($AO422,$AP422=""))))</f>
        <v/>
      </c>
      <c r="BC422" s="137" t="str">
        <f aca="false">IF($BZ422&lt;&gt;Constants!$B$8,"",IF($AL422,Constants!$B$21*$AN422+Constants!$B$22*IF($AO422,$AP422,Constants!$B$23),Constants!$B$24))</f>
        <v/>
      </c>
      <c r="BD422" s="138" t="str">
        <f aca="false">IF($BZ422&lt;&gt;Constants!$B$8,"",Constants!$B$25*ABS($AD$9-IF($AL422,$AM422,0)))</f>
        <v/>
      </c>
      <c r="BE422" s="138" t="str">
        <f aca="false">IF($BZ422&lt;&gt;Constants!$B$8,"",IF(AND($AL422,$AQ422,$AO422),Constants!$B$27,0))</f>
        <v/>
      </c>
      <c r="BF422" s="138" t="str">
        <f aca="false">IF($BZ422&lt;&gt;Constants!$B$8,"",IF($AL422,($AI422-Constants!$B$29)*Constants!$B$28,0))</f>
        <v/>
      </c>
      <c r="BG422" s="138" t="str">
        <f aca="false">IF($BZ422&lt;&gt;Constants!$B$8,"",IF($AK422,0,Constants!$B$15)+IF($AJ422,0,Constants!$B$16)+IF($AH422,0,Constants!$B$17))</f>
        <v/>
      </c>
      <c r="BH422" s="139" t="str">
        <f aca="false">IF($BZ422&lt;&gt;Constants!$B$8,"",Constants!$B$20+SUM($BC422:$BG422))</f>
        <v/>
      </c>
      <c r="BI422" s="138" t="str">
        <f aca="false">IF($BZ422&lt;&gt;Constants!$B$8,"",$BC422)</f>
        <v/>
      </c>
      <c r="BJ422" s="138" t="str">
        <f aca="false">IF($BZ422&lt;&gt;Constants!$B$8,"",$BD422)</f>
        <v/>
      </c>
      <c r="BK422" s="138" t="str">
        <f aca="false">IF($BZ422&lt;&gt;Constants!$B$8,"",IF($AL422,$AN422,""))</f>
        <v/>
      </c>
      <c r="BL422" s="140" t="str">
        <f aca="false">IF($BZ422&lt;&gt;Constants!$B$8,"",$AI422)</f>
        <v/>
      </c>
      <c r="BM422" s="135" t="str">
        <f aca="false">IF($BZ422&lt;&gt;Constants!$B$8,"",IF(OR($BT422&lt;$BH422,AND($BT422=$BH422,OR($BU422&lt;$BI422,AND($BU422=$BI422,OR($BV422&lt;$BJ422,AND($BV422=$BJ422,OR(AND(ISNUMBER($BW422),OR(NOT(ISNUMBER($BK422)),$BW422&lt;$BK422)),AND(OR(AND($BW422="",$BK422=""),AND(ISNUMBER($BW422),ISNUMBER($BK422),$BW422=$BK422)),$BX422&lt;$BL422)))))))),"-&gt;","&lt;-"))</f>
        <v/>
      </c>
      <c r="BN422" s="134" t="str">
        <f aca="false">IF(ISBLANK($C422),"",AND($AT422,OR($AU422="",$AV422="",AND($AW422,$AX422=""))))</f>
        <v/>
      </c>
      <c r="BO422" s="137" t="str">
        <f aca="false">IF($BZ422&lt;&gt;Constants!$B$8,"",IF($AT422,Constants!$B$21*$AV422+Constants!$B$22*IF($AW422,$AX422,Constants!$B$23),Constants!$B$24))</f>
        <v/>
      </c>
      <c r="BP422" s="138" t="str">
        <f aca="false">IF($BZ422&lt;&gt;Constants!$B$8,"",Constants!$B$25*ABS($AD$9-IF($AT422,$AU422,0)))</f>
        <v/>
      </c>
      <c r="BQ422" s="138" t="str">
        <f aca="false">IF($BZ422&lt;&gt;Constants!$B$8,"",IF(AND($AT422,$AY422,$AW422),Constants!$B$27,0))</f>
        <v/>
      </c>
      <c r="BR422" s="138" t="str">
        <f aca="false">IF($BZ422&lt;&gt;Constants!$B$8,"",IF($AT422,($AI422-Constants!$B$29)*Constants!$B$28,0))</f>
        <v/>
      </c>
      <c r="BS422" s="138" t="str">
        <f aca="false">IF($BZ422&lt;&gt;Constants!$B$8,"",IF($AS422,0,Constants!$B$15)+IF($AR422,0,Constants!$B$16)+IF($AH422,0,Constants!$B$17))</f>
        <v/>
      </c>
      <c r="BT422" s="139" t="str">
        <f aca="false">IF($BZ422&lt;&gt;Constants!$B$8,"",Constants!$B$20+SUM($BO422:$BS422))</f>
        <v/>
      </c>
      <c r="BU422" s="138" t="str">
        <f aca="false">IF($BZ422&lt;&gt;Constants!$B$8,"",$BO422)</f>
        <v/>
      </c>
      <c r="BV422" s="138" t="str">
        <f aca="false">IF($BZ422&lt;&gt;Constants!$B$8,"",$BP422)</f>
        <v/>
      </c>
      <c r="BW422" s="138" t="str">
        <f aca="false">IF($BZ422&lt;&gt;Constants!$B$8,"",IF($AT422,$AV422,""))</f>
        <v/>
      </c>
      <c r="BX422" s="140" t="str">
        <f aca="false">IF($BZ422&lt;&gt;Constants!$B$8,"",$AI422)</f>
        <v/>
      </c>
      <c r="BY422" s="135" t="str">
        <f aca="false">IF(ISBLANK($C422),"",IF(ISBLANK($D$7),$BY$5,IF(NOT(ISNUMBER($D$7)),$BY$6,"")))</f>
        <v/>
      </c>
      <c r="BZ422" s="135" t="str">
        <f aca="false">IF(ISBLANK($C422),"",IF($BA422,Constants!$B$11,IF(COUNTA($E422:$AA422)=0,Constants!$B$10,IF(NOT($AG422),Constants!$B$9,IF(OR($BY422&lt;&gt;"",$BB422,$BN422),Constants!$B$12,Constants!$B$8)))))</f>
        <v/>
      </c>
      <c r="CA422" s="135" t="str">
        <f aca="false">IF(ISBLANK($C422),"",IF($BZ422&lt;&gt;Constants!$B$8,$BZ422,Constants!$B$13))</f>
        <v/>
      </c>
      <c r="CB422" s="138" t="str">
        <f aca="false">IF($BZ422&lt;&gt;Constants!$B$8,"",IF($BM422="-&gt;",$BT422,$BH422))</f>
        <v/>
      </c>
      <c r="CC422" s="138" t="str">
        <f aca="false">IF($BZ422&lt;&gt;Constants!$B$8,"",IF($AF422,0,Constants!$B$18))</f>
        <v/>
      </c>
      <c r="CD422" s="138" t="str">
        <f aca="false">IF($BZ422&lt;&gt;Constants!$B$8,"",((Constants!$B$31-$AZ422)-Constants!$B$31)/Constants!$B$32)</f>
        <v/>
      </c>
      <c r="CE422" s="138" t="str">
        <f aca="false">IF(ISBLANK($C422),"",IF($BZ422&lt;&gt;Constants!$B$8,$BZ422,SUM($CB422:$CD422)))</f>
        <v/>
      </c>
      <c r="CF422" s="135" t="str">
        <f aca="false">IF(ISBLANK($C422),"",IF($BZ422&lt;&gt;Constants!$B$8,$BZ422,RANK($CE422,$CE$9:$CE$508,1)))</f>
        <v/>
      </c>
      <c r="CG422" s="138" t="str">
        <f aca="false">IF($BZ422&lt;&gt;Constants!$B$8,"",IF($BM422="-&gt;",$BU422,$BI422))</f>
        <v/>
      </c>
      <c r="CH422" s="135" t="str">
        <f aca="false">IF(ISBLANK($C422),"",IF($BZ422&lt;&gt;Constants!$B$8,$BZ422,IF(ISNUMBER($CG422),RANK($CG422,$CG$9:$CG$508,1),COUNT($CG$9:$CG$508)+1)))</f>
        <v/>
      </c>
      <c r="CI422" s="138" t="str">
        <f aca="false">IF($BZ422&lt;&gt;Constants!$B$8,"",IF($BM422="-&gt;",$BV422,$BJ422))</f>
        <v/>
      </c>
      <c r="CJ422" s="135" t="str">
        <f aca="false">IF(ISBLANK($C422),"",IF($BZ422&lt;&gt;Constants!$B$8,$BZ422,IF(ISNUMBER($CI422),RANK($CI422,$CI$9:$CI$508,1),COUNT($CI$9:$CI$508)+1)))</f>
        <v/>
      </c>
      <c r="CK422" s="138" t="str">
        <f aca="false">IF($BZ422&lt;&gt;Constants!$B$8,"",IF($BM422="-&gt;",$BW422,$BK422))</f>
        <v/>
      </c>
      <c r="CL422" s="135" t="str">
        <f aca="false">IF(ISBLANK($C422),"",IF($BZ422&lt;&gt;Constants!$B$8,$BZ422,IF(ISNUMBER($CK422),RANK($CK422,$CK$9:$CK$508,1),COUNT($CK$9:$CK$508)+1)))</f>
        <v/>
      </c>
      <c r="CM422" s="138" t="str">
        <f aca="false">IF($BZ422&lt;&gt;Constants!$B$8,"",IF(AND(NOT($AL422),NOT($AT422),$AJ422,$AK422,$AR422,$AS422),"",IF($BM422="-&gt;",$BX422,$BL422)))</f>
        <v/>
      </c>
      <c r="CN422" s="135" t="str">
        <f aca="false">IF(ISBLANK($C422),"",IF($BZ422&lt;&gt;Constants!$B$8,$BZ422,IF(ISNUMBER($CM422),RANK($CM422,$CM$9:$CM$508,1),COUNT($CM$9:$CM$508)+1)))</f>
        <v/>
      </c>
      <c r="CO422" s="135" t="str">
        <f aca="false">IF(ISBLANK($C422),"",IF($BZ422&lt;&gt;Constants!$B$8,$BZ422,COUNTIFS($CF$9:$CF$508,"&lt;"&amp;$CF422)+COUNTIFS($CF$9:$CF$508,$CF422,$CH$9:$CH$508,"&lt;"&amp;$CH422)+COUNTIFS($CF$9:$CF$508,$CF422,$CH$9:$CH$508,$CH422,$CJ$9:$CJ$508,"&lt;"&amp;$CJ422)+COUNTIFS($CF$9:$CF$508,$CF422,$CH$9:$CH$508,$CH422,$CJ$9:$CJ$508,$CJ422,$CL$9:$CL$508,"&lt;"&amp;$CL422)+COUNTIFS($CF$9:$CF$508,$CF422,$CH$9:$CH$508,$CH422,$CJ$9:$CJ$508,$CJ422,$CL$9:$CL$508,$CL422,$CN$9:$CN$508,"&lt;"&amp;$CN422)+1))</f>
        <v/>
      </c>
      <c r="CP422" s="135" t="str">
        <f aca="false">IF(ISBLANK($C422),"",IF($BZ422&lt;&gt;Constants!$B$8,$BZ422,$CF422-$CO422))</f>
        <v/>
      </c>
      <c r="CQ422" s="141"/>
      <c r="CR422" s="142"/>
      <c r="CS422" s="143" t="str">
        <f aca="false">IF(ISBLANK($C422),"",IF($BZ422=Constants!$B$12,$BY422,""))</f>
        <v/>
      </c>
      <c r="CT422" s="142" t="str">
        <f aca="false">IF(ISBLANK($C422),"",IF($BZ422&lt;&gt;Constants!$B$8,"",IF($BM422="-&gt;",2,1)))</f>
        <v/>
      </c>
      <c r="CU422" s="144" t="str">
        <f aca="false">IF(ISBLANK($C422),"",IF($BZ422&lt;&gt;Constants!$B$8,"",IF($BM422="-&gt;",$BO422,$BC422)))</f>
        <v/>
      </c>
      <c r="CV422" s="144" t="str">
        <f aca="false">IF(ISBLANK($C422),"",IF($BZ422&lt;&gt;Constants!$B$8,"",IF($BM422="-&gt;",$BP422,$BD422)))</f>
        <v/>
      </c>
      <c r="CW422" s="144" t="str">
        <f aca="false">IF(ISBLANK($C422),"",IF($BZ422&lt;&gt;Constants!$B$8,"",IF($BM422="-&gt;",$BQ422+$BR422,$BE422+$BF422)+$CD422))</f>
        <v/>
      </c>
      <c r="CX422" s="144" t="str">
        <f aca="false">IF(ISBLANK($C422),"",IF($BZ422&lt;&gt;Constants!$B$8,"",IF($BM422="-&gt;",$BS422,$BG422)+$CC422))</f>
        <v/>
      </c>
      <c r="CY422" s="145" t="str">
        <f aca="false">IF(ISBLANK($C422),"",IF($BZ422&lt;&gt;Constants!$B$8,$BZ422,$CE422))</f>
        <v/>
      </c>
      <c r="CZ422" s="146" t="str">
        <f aca="false">IF(ISBLANK($C422),"",$CA422)</f>
        <v/>
      </c>
      <c r="DA422" s="147" t="str">
        <f aca="false">IF(ISBLANK($C422),"",$CP422)</f>
        <v/>
      </c>
      <c r="DB422" s="147" t="str">
        <f aca="false">IF(ISBLANK($C422),"",$CO422)</f>
        <v/>
      </c>
      <c r="DC422" s="148" t="str">
        <f aca="false">IF(ISBLANK($C422),"",IFERROR(_xlfn.SWITCH($DB422,Constants!$B$11,COUNTA($C$9:$C$508)+2,Constants!$B$10,COUNTA($C$9:$C$508)+1,Constants!$B$9,COUNTA($C$9:$C$508)),$DB422))</f>
        <v/>
      </c>
      <c r="DD422" s="9"/>
      <c r="DE422" s="149" t="n">
        <f aca="false">IF(OR(ISNUMBER($DB422),$DB422=Constants!$B$11,$DB422=Constants!$B$9,$DB422=Constants!$B$10),1,0)</f>
        <v>0</v>
      </c>
      <c r="DF422" s="149" t="n">
        <v>414</v>
      </c>
      <c r="DG422" s="149" t="str">
        <f aca="false">IF(ISBLANK($C422),"",IF(ISNUMBER($DC422),$DC422+ROW($B422)/1000,""))</f>
        <v/>
      </c>
      <c r="DH422" s="149" t="str">
        <f aca="false">IF(ISNUMBER($DG422),RANK($DG422,$DG$9:$DG$508,1),"")</f>
        <v/>
      </c>
      <c r="DI422" s="149" t="str">
        <f aca="false">IF(ISBLANK($C422),"",$B422)</f>
        <v/>
      </c>
      <c r="DJ422" s="149" t="str">
        <f aca="false">IF(ISBLANK($C422),"",$C422)</f>
        <v/>
      </c>
      <c r="DK422" s="149" t="str">
        <f aca="false">IF(ISBLANK($C422),"",$D422)</f>
        <v/>
      </c>
      <c r="DL422" s="150" t="str">
        <f aca="false">$CZ422</f>
        <v/>
      </c>
      <c r="DM422" s="151" t="str">
        <f aca="false">$CY422</f>
        <v/>
      </c>
      <c r="DN422" s="149" t="str">
        <f aca="false">IF(ISBLANK($C422),"",$DB422)</f>
        <v/>
      </c>
      <c r="DO422" s="152" t="str">
        <f aca="false">IF($DF422&gt;$DE$8,"",VLOOKUP($DF422,$DH$9:$DN$508,7,FALSE()))</f>
        <v/>
      </c>
      <c r="DP422" s="153" t="str">
        <f aca="false">IF($DF422&gt;$DE$8,"",VLOOKUP($DF422,$DH$9:$DN$508,2,FALSE()))</f>
        <v/>
      </c>
      <c r="DQ422" s="153" t="str">
        <f aca="false">IF($DF422&gt;$DE$8,"",VLOOKUP($DF422,$DH$9:$DN$508,3,FALSE()))</f>
        <v/>
      </c>
      <c r="DR422" s="153" t="str">
        <f aca="false">IF($DF422&gt;$DE$8,"",VLOOKUP($DF422,$DH$9:$DN$508,4,FALSE()))</f>
        <v/>
      </c>
      <c r="DS422" s="153" t="str">
        <f aca="false">IF($DF422&gt;$DE$8,"",VLOOKUP($DF422,$DH$9:$DN$508,5,FALSE()))</f>
        <v/>
      </c>
      <c r="DT422" s="154" t="str">
        <f aca="false">IF($DF422&gt;$DE$8,"",VLOOKUP($DF422,$DH$9:$DN$508,6,FALSE()))</f>
        <v/>
      </c>
      <c r="DU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IF(ISBLANK($C423),"",IF(E423=Constants!$B$3,TRUE(),IF(E423=Constants!$B$4,FALSE(),TRUE())))</f>
        <v/>
      </c>
      <c r="AG423" s="93" t="str">
        <f aca="false">IF(ISBLANK($C423),"",IF(F423=Constants!$B$3,TRUE(),IF(F423=Constants!$B$4,FALSE(),TRUE())))</f>
        <v/>
      </c>
      <c r="AH423" s="93" t="str">
        <f aca="false">IF(ISBLANK($C423),"",IF(G423=Constants!$B$3,TRUE(),IF(G423=Constants!$B$4,FALSE(),TRUE())))</f>
        <v/>
      </c>
      <c r="AI423" s="93" t="str">
        <f aca="false">IF(ISBLANK($C423),"",IF(AND(ISNUMBER(H423),H423&gt;=0),H423,Constants!$B$29))</f>
        <v/>
      </c>
      <c r="AJ423" s="93" t="str">
        <f aca="false">IF(ISBLANK($C423),"",IF(I423=Constants!$B$3,TRUE(),IF(I423=Constants!$B$4,FALSE(),TRUE())))</f>
        <v/>
      </c>
      <c r="AK423" s="93" t="str">
        <f aca="false">IF(ISBLANK($C423),"",IF(J423=Constants!$B$3,TRUE(),IF(J423=Constants!$B$4,FALSE(),TRUE())))</f>
        <v/>
      </c>
      <c r="AL423" s="93" t="str">
        <f aca="false">IF(ISBLANK($C423),"",IF(K423=Constants!$B$5,TRUE(),IF(K423=Constants!$B$6,FALSE(),COUNTA(L423:P423)&gt;0)))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IF(ISBLANK($C423),"",IF(N423=Constants!$B$3,TRUE(),IF(N423=Constants!$B$4,FALSE(),TRUE())))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IF(ISBLANK($C423),"",IF(P423=Constants!$B$3,TRUE(),IF(P423=Constants!$B$4,FALSE(),FALSE())))</f>
        <v/>
      </c>
      <c r="AR423" s="93" t="str">
        <f aca="false">IF(ISBLANK($C423),"",IF(Q423=Constants!$B$3,TRUE(),IF(Q423=Constants!$B$4,FALSE(),TRUE())))</f>
        <v/>
      </c>
      <c r="AS423" s="93" t="str">
        <f aca="false">IF(ISBLANK($C423),"",IF(R423=Constants!$B$3,TRUE(),IF(R423=Constants!$B$4,FALSE(),TRUE())))</f>
        <v/>
      </c>
      <c r="AT423" s="93" t="str">
        <f aca="false">IF(ISBLANK($C423),"",IF(S423=Constants!$B$5,TRUE(),IF(S423=Constants!$B$6,FALSE(),COUNTA(T423:X423)&gt;0)))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IF(ISBLANK($C423),"",IF(V423=Constants!$B$3,TRUE(),IF(V423=Constants!$B$4,FALSE(),TRUE())))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IF(ISBLANK($C423),"",IF(X423=Constants!$B$3,TRUE(),IF(X423=Constants!$B$4,FALSE(),FALSE())))</f>
        <v/>
      </c>
      <c r="AZ423" s="93" t="str">
        <f aca="false">IF(ISBLANK($C423),"",MIN(Constants!$B$31,MAX(0,IF(ISNUMBER(Y423),Y423*60,0)+IF(ISNUMBER(Z423),Z423,0))))</f>
        <v/>
      </c>
      <c r="BA423" s="93" t="str">
        <f aca="false">IF(ISBLANK($C423),"",IF(AA423=Constants!$B$3,TRUE(),IF(AA423=Constants!$B$4,FALSE(),FALSE())))</f>
        <v/>
      </c>
      <c r="BB423" s="92" t="str">
        <f aca="false">IF(ISBLANK($C423),"",AND($AL423,OR($AM423="",$AN423="",AND($AO423,$AP423=""))))</f>
        <v/>
      </c>
      <c r="BC423" s="94" t="str">
        <f aca="false">IF($BZ423&lt;&gt;Constants!$B$8,"",IF($AL423,Constants!$B$21*$AN423+Constants!$B$22*IF($AO423,$AP423,Constants!$B$23),Constants!$B$24))</f>
        <v/>
      </c>
      <c r="BD423" s="97" t="str">
        <f aca="false">IF($BZ423&lt;&gt;Constants!$B$8,"",Constants!$B$25*ABS($AD$9-IF($AL423,$AM423,0)))</f>
        <v/>
      </c>
      <c r="BE423" s="97" t="str">
        <f aca="false">IF($BZ423&lt;&gt;Constants!$B$8,"",IF(AND($AL423,$AQ423,$AO423),Constants!$B$27,0))</f>
        <v/>
      </c>
      <c r="BF423" s="97" t="str">
        <f aca="false">IF($BZ423&lt;&gt;Constants!$B$8,"",IF($AL423,($AI423-Constants!$B$29)*Constants!$B$28,0))</f>
        <v/>
      </c>
      <c r="BG423" s="97" t="str">
        <f aca="false">IF($BZ423&lt;&gt;Constants!$B$8,"",IF($AK423,0,Constants!$B$15)+IF($AJ423,0,Constants!$B$16)+IF($AH423,0,Constants!$B$17))</f>
        <v/>
      </c>
      <c r="BH423" s="98" t="str">
        <f aca="false">IF($BZ423&lt;&gt;Constants!$B$8,"",Constants!$B$20+SUM($BC423:$BG423))</f>
        <v/>
      </c>
      <c r="BI423" s="97" t="str">
        <f aca="false">IF($BZ423&lt;&gt;Constants!$B$8,"",$BC423)</f>
        <v/>
      </c>
      <c r="BJ423" s="97" t="str">
        <f aca="false">IF($BZ423&lt;&gt;Constants!$B$8,"",$BD423)</f>
        <v/>
      </c>
      <c r="BK423" s="97" t="str">
        <f aca="false">IF($BZ423&lt;&gt;Constants!$B$8,"",IF($AL423,$AN423,""))</f>
        <v/>
      </c>
      <c r="BL423" s="99" t="str">
        <f aca="false">IF($BZ423&lt;&gt;Constants!$B$8,"",$AI423)</f>
        <v/>
      </c>
      <c r="BM423" s="93" t="str">
        <f aca="false">IF($BZ423&lt;&gt;Constants!$B$8,"",IF(OR($BT423&lt;$BH423,AND($BT423=$BH423,OR($BU423&lt;$BI423,AND($BU423=$BI423,OR($BV423&lt;$BJ423,AND($BV423=$BJ423,OR(AND(ISNUMBER($BW423),OR(NOT(ISNUMBER($BK423)),$BW423&lt;$BK423)),AND(OR(AND($BW423="",$BK423=""),AND(ISNUMBER($BW423),ISNUMBER($BK423),$BW423=$BK423)),$BX423&lt;$BL423)))))))),"-&gt;","&lt;-"))</f>
        <v/>
      </c>
      <c r="BN423" s="92" t="str">
        <f aca="false">IF(ISBLANK($C423),"",AND($AT423,OR($AU423="",$AV423="",AND($AW423,$AX423=""))))</f>
        <v/>
      </c>
      <c r="BO423" s="94" t="str">
        <f aca="false">IF($BZ423&lt;&gt;Constants!$B$8,"",IF($AT423,Constants!$B$21*$AV423+Constants!$B$22*IF($AW423,$AX423,Constants!$B$23),Constants!$B$24))</f>
        <v/>
      </c>
      <c r="BP423" s="97" t="str">
        <f aca="false">IF($BZ423&lt;&gt;Constants!$B$8,"",Constants!$B$25*ABS($AD$9-IF($AT423,$AU423,0)))</f>
        <v/>
      </c>
      <c r="BQ423" s="97" t="str">
        <f aca="false">IF($BZ423&lt;&gt;Constants!$B$8,"",IF(AND($AT423,$AY423,$AW423),Constants!$B$27,0))</f>
        <v/>
      </c>
      <c r="BR423" s="97" t="str">
        <f aca="false">IF($BZ423&lt;&gt;Constants!$B$8,"",IF($AT423,($AI423-Constants!$B$29)*Constants!$B$28,0))</f>
        <v/>
      </c>
      <c r="BS423" s="97" t="str">
        <f aca="false">IF($BZ423&lt;&gt;Constants!$B$8,"",IF($AS423,0,Constants!$B$15)+IF($AR423,0,Constants!$B$16)+IF($AH423,0,Constants!$B$17))</f>
        <v/>
      </c>
      <c r="BT423" s="98" t="str">
        <f aca="false">IF($BZ423&lt;&gt;Constants!$B$8,"",Constants!$B$20+SUM($BO423:$BS423))</f>
        <v/>
      </c>
      <c r="BU423" s="97" t="str">
        <f aca="false">IF($BZ423&lt;&gt;Constants!$B$8,"",$BO423)</f>
        <v/>
      </c>
      <c r="BV423" s="97" t="str">
        <f aca="false">IF($BZ423&lt;&gt;Constants!$B$8,"",$BP423)</f>
        <v/>
      </c>
      <c r="BW423" s="97" t="str">
        <f aca="false">IF($BZ423&lt;&gt;Constants!$B$8,"",IF($AT423,$AV423,""))</f>
        <v/>
      </c>
      <c r="BX423" s="99" t="str">
        <f aca="false">IF($BZ423&lt;&gt;Constants!$B$8,"",$AI423)</f>
        <v/>
      </c>
      <c r="BY423" s="93" t="str">
        <f aca="false">IF(ISBLANK($C423),"",IF(ISBLANK($D$7),$BY$5,IF(NOT(ISNUMBER($D$7)),$BY$6,"")))</f>
        <v/>
      </c>
      <c r="BZ423" s="93" t="str">
        <f aca="false">IF(ISBLANK($C423),"",IF($BA423,Constants!$B$11,IF(COUNTA($E423:$AA423)=0,Constants!$B$10,IF(NOT($AG423),Constants!$B$9,IF(OR($BY423&lt;&gt;"",$BB423,$BN423),Constants!$B$12,Constants!$B$8)))))</f>
        <v/>
      </c>
      <c r="CA423" s="93" t="str">
        <f aca="false">IF(ISBLANK($C423),"",IF($BZ423&lt;&gt;Constants!$B$8,$BZ423,Constants!$B$13))</f>
        <v/>
      </c>
      <c r="CB423" s="97" t="str">
        <f aca="false">IF($BZ423&lt;&gt;Constants!$B$8,"",IF($BM423="-&gt;",$BT423,$BH423))</f>
        <v/>
      </c>
      <c r="CC423" s="97" t="str">
        <f aca="false">IF($BZ423&lt;&gt;Constants!$B$8,"",IF($AF423,0,Constants!$B$18))</f>
        <v/>
      </c>
      <c r="CD423" s="97" t="str">
        <f aca="false">IF($BZ423&lt;&gt;Constants!$B$8,"",((Constants!$B$31-$AZ423)-Constants!$B$31)/Constants!$B$32)</f>
        <v/>
      </c>
      <c r="CE423" s="97" t="str">
        <f aca="false">IF(ISBLANK($C423),"",IF($BZ423&lt;&gt;Constants!$B$8,$BZ423,SUM($CB423:$CD423)))</f>
        <v/>
      </c>
      <c r="CF423" s="93" t="str">
        <f aca="false">IF(ISBLANK($C423),"",IF($BZ423&lt;&gt;Constants!$B$8,$BZ423,RANK($CE423,$CE$9:$CE$508,1)))</f>
        <v/>
      </c>
      <c r="CG423" s="97" t="str">
        <f aca="false">IF($BZ423&lt;&gt;Constants!$B$8,"",IF($BM423="-&gt;",$BU423,$BI423))</f>
        <v/>
      </c>
      <c r="CH423" s="93" t="str">
        <f aca="false">IF(ISBLANK($C423),"",IF($BZ423&lt;&gt;Constants!$B$8,$BZ423,IF(ISNUMBER($CG423),RANK($CG423,$CG$9:$CG$508,1),COUNT($CG$9:$CG$508)+1)))</f>
        <v/>
      </c>
      <c r="CI423" s="97" t="str">
        <f aca="false">IF($BZ423&lt;&gt;Constants!$B$8,"",IF($BM423="-&gt;",$BV423,$BJ423))</f>
        <v/>
      </c>
      <c r="CJ423" s="93" t="str">
        <f aca="false">IF(ISBLANK($C423),"",IF($BZ423&lt;&gt;Constants!$B$8,$BZ423,IF(ISNUMBER($CI423),RANK($CI423,$CI$9:$CI$508,1),COUNT($CI$9:$CI$508)+1)))</f>
        <v/>
      </c>
      <c r="CK423" s="97" t="str">
        <f aca="false">IF($BZ423&lt;&gt;Constants!$B$8,"",IF($BM423="-&gt;",$BW423,$BK423))</f>
        <v/>
      </c>
      <c r="CL423" s="93" t="str">
        <f aca="false">IF(ISBLANK($C423),"",IF($BZ423&lt;&gt;Constants!$B$8,$BZ423,IF(ISNUMBER($CK423),RANK($CK423,$CK$9:$CK$508,1),COUNT($CK$9:$CK$508)+1)))</f>
        <v/>
      </c>
      <c r="CM423" s="97" t="str">
        <f aca="false">IF($BZ423&lt;&gt;Constants!$B$8,"",IF(AND(NOT($AL423),NOT($AT423),$AJ423,$AK423,$AR423,$AS423),"",IF($BM423="-&gt;",$BX423,$BL423)))</f>
        <v/>
      </c>
      <c r="CN423" s="93" t="str">
        <f aca="false">IF(ISBLANK($C423),"",IF($BZ423&lt;&gt;Constants!$B$8,$BZ423,IF(ISNUMBER($CM423),RANK($CM423,$CM$9:$CM$508,1),COUNT($CM$9:$CM$508)+1)))</f>
        <v/>
      </c>
      <c r="CO423" s="93" t="str">
        <f aca="false">IF(ISBLANK($C423),"",IF($BZ423&lt;&gt;Constants!$B$8,$BZ423,COUNTIFS($CF$9:$CF$508,"&lt;"&amp;$CF423)+COUNTIFS($CF$9:$CF$508,$CF423,$CH$9:$CH$508,"&lt;"&amp;$CH423)+COUNTIFS($CF$9:$CF$508,$CF423,$CH$9:$CH$508,$CH423,$CJ$9:$CJ$508,"&lt;"&amp;$CJ423)+COUNTIFS($CF$9:$CF$508,$CF423,$CH$9:$CH$508,$CH423,$CJ$9:$CJ$508,$CJ423,$CL$9:$CL$508,"&lt;"&amp;$CL423)+COUNTIFS($CF$9:$CF$508,$CF423,$CH$9:$CH$508,$CH423,$CJ$9:$CJ$508,$CJ423,$CL$9:$CL$508,$CL423,$CN$9:$CN$508,"&lt;"&amp;$CN423)+1))</f>
        <v/>
      </c>
      <c r="CP423" s="93" t="str">
        <f aca="false">IF(ISBLANK($C423),"",IF($BZ423&lt;&gt;Constants!$B$8,$BZ423,$CF423-$CO423))</f>
        <v/>
      </c>
      <c r="CQ423" s="100"/>
      <c r="CR423" s="101"/>
      <c r="CS423" s="102" t="str">
        <f aca="false">IF(ISBLANK($C423),"",IF($BZ423=Constants!$B$12,$BY423,""))</f>
        <v/>
      </c>
      <c r="CT423" s="101" t="str">
        <f aca="false">IF(ISBLANK($C423),"",IF($BZ423&lt;&gt;Constants!$B$8,"",IF($BM423="-&gt;",2,1)))</f>
        <v/>
      </c>
      <c r="CU423" s="103" t="str">
        <f aca="false">IF(ISBLANK($C423),"",IF($BZ423&lt;&gt;Constants!$B$8,"",IF($BM423="-&gt;",$BO423,$BC423)))</f>
        <v/>
      </c>
      <c r="CV423" s="103" t="str">
        <f aca="false">IF(ISBLANK($C423),"",IF($BZ423&lt;&gt;Constants!$B$8,"",IF($BM423="-&gt;",$BP423,$BD423)))</f>
        <v/>
      </c>
      <c r="CW423" s="103" t="str">
        <f aca="false">IF(ISBLANK($C423),"",IF($BZ423&lt;&gt;Constants!$B$8,"",IF($BM423="-&gt;",$BQ423+$BR423,$BE423+$BF423)+$CD423))</f>
        <v/>
      </c>
      <c r="CX423" s="103" t="str">
        <f aca="false">IF(ISBLANK($C423),"",IF($BZ423&lt;&gt;Constants!$B$8,"",IF($BM423="-&gt;",$BS423,$BG423)+$CC423))</f>
        <v/>
      </c>
      <c r="CY423" s="104" t="str">
        <f aca="false">IF(ISBLANK($C423),"",IF($BZ423&lt;&gt;Constants!$B$8,$BZ423,$CE423))</f>
        <v/>
      </c>
      <c r="CZ423" s="105" t="str">
        <f aca="false">IF(ISBLANK($C423),"",$CA423)</f>
        <v/>
      </c>
      <c r="DA423" s="106" t="str">
        <f aca="false">IF(ISBLANK($C423),"",$CP423)</f>
        <v/>
      </c>
      <c r="DB423" s="106" t="str">
        <f aca="false">IF(ISBLANK($C423),"",$CO423)</f>
        <v/>
      </c>
      <c r="DC423" s="107" t="str">
        <f aca="false">IF(ISBLANK($C423),"",IFERROR(_xlfn.SWITCH($DB423,Constants!$B$11,COUNTA($C$9:$C$508)+2,Constants!$B$10,COUNTA($C$9:$C$508)+1,Constants!$B$9,COUNTA($C$9:$C$508)),$DB423))</f>
        <v/>
      </c>
      <c r="DD423" s="9"/>
      <c r="DE423" s="108" t="n">
        <f aca="false">IF(OR(ISNUMBER($DB423),$DB423=Constants!$B$11,$DB423=Constants!$B$9,$DB423=Constants!$B$10),1,0)</f>
        <v>0</v>
      </c>
      <c r="DF423" s="108" t="n">
        <v>415</v>
      </c>
      <c r="DG423" s="108" t="str">
        <f aca="false">IF(ISBLANK($C423),"",IF(ISNUMBER($DC423),$DC423+ROW($B423)/1000,""))</f>
        <v/>
      </c>
      <c r="DH423" s="108" t="str">
        <f aca="false">IF(ISNUMBER($DG423),RANK($DG423,$DG$9:$DG$508,1),"")</f>
        <v/>
      </c>
      <c r="DI423" s="108" t="str">
        <f aca="false">IF(ISBLANK($C423),"",$B423)</f>
        <v/>
      </c>
      <c r="DJ423" s="108" t="str">
        <f aca="false">IF(ISBLANK($C423),"",$C423)</f>
        <v/>
      </c>
      <c r="DK423" s="108" t="str">
        <f aca="false">IF(ISBLANK($C423),"",$D423)</f>
        <v/>
      </c>
      <c r="DL423" s="109" t="str">
        <f aca="false">$CZ423</f>
        <v/>
      </c>
      <c r="DM423" s="110" t="str">
        <f aca="false">$CY423</f>
        <v/>
      </c>
      <c r="DN423" s="108" t="str">
        <f aca="false">IF(ISBLANK($C423),"",$DB423)</f>
        <v/>
      </c>
      <c r="DO423" s="111" t="str">
        <f aca="false">IF($DF423&gt;$DE$8,"",VLOOKUP($DF423,$DH$9:$DN$508,7,FALSE()))</f>
        <v/>
      </c>
      <c r="DP423" s="112" t="str">
        <f aca="false">IF($DF423&gt;$DE$8,"",VLOOKUP($DF423,$DH$9:$DN$508,2,FALSE()))</f>
        <v/>
      </c>
      <c r="DQ423" s="112" t="str">
        <f aca="false">IF($DF423&gt;$DE$8,"",VLOOKUP($DF423,$DH$9:$DN$508,3,FALSE()))</f>
        <v/>
      </c>
      <c r="DR423" s="112" t="str">
        <f aca="false">IF($DF423&gt;$DE$8,"",VLOOKUP($DF423,$DH$9:$DN$508,4,FALSE()))</f>
        <v/>
      </c>
      <c r="DS423" s="112" t="str">
        <f aca="false">IF($DF423&gt;$DE$8,"",VLOOKUP($DF423,$DH$9:$DN$508,5,FALSE()))</f>
        <v/>
      </c>
      <c r="DT423" s="113" t="str">
        <f aca="false">IF($DF423&gt;$DE$8,"",VLOOKUP($DF423,$DH$9:$DN$508,6,FALSE()))</f>
        <v/>
      </c>
      <c r="DU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IF(ISBLANK($C424),"",IF(E424=Constants!$B$3,TRUE(),IF(E424=Constants!$B$4,FALSE(),TRUE())))</f>
        <v/>
      </c>
      <c r="AG424" s="93" t="str">
        <f aca="false">IF(ISBLANK($C424),"",IF(F424=Constants!$B$3,TRUE(),IF(F424=Constants!$B$4,FALSE(),TRUE())))</f>
        <v/>
      </c>
      <c r="AH424" s="93" t="str">
        <f aca="false">IF(ISBLANK($C424),"",IF(G424=Constants!$B$3,TRUE(),IF(G424=Constants!$B$4,FALSE(),TRUE())))</f>
        <v/>
      </c>
      <c r="AI424" s="93" t="str">
        <f aca="false">IF(ISBLANK($C424),"",IF(AND(ISNUMBER(H424),H424&gt;=0),H424,Constants!$B$29))</f>
        <v/>
      </c>
      <c r="AJ424" s="93" t="str">
        <f aca="false">IF(ISBLANK($C424),"",IF(I424=Constants!$B$3,TRUE(),IF(I424=Constants!$B$4,FALSE(),TRUE())))</f>
        <v/>
      </c>
      <c r="AK424" s="93" t="str">
        <f aca="false">IF(ISBLANK($C424),"",IF(J424=Constants!$B$3,TRUE(),IF(J424=Constants!$B$4,FALSE(),TRUE())))</f>
        <v/>
      </c>
      <c r="AL424" s="93" t="str">
        <f aca="false">IF(ISBLANK($C424),"",IF(K424=Constants!$B$5,TRUE(),IF(K424=Constants!$B$6,FALSE(),COUNTA(L424:P424)&gt;0)))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IF(ISBLANK($C424),"",IF(N424=Constants!$B$3,TRUE(),IF(N424=Constants!$B$4,FALSE(),TRUE())))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IF(ISBLANK($C424),"",IF(P424=Constants!$B$3,TRUE(),IF(P424=Constants!$B$4,FALSE(),FALSE())))</f>
        <v/>
      </c>
      <c r="AR424" s="93" t="str">
        <f aca="false">IF(ISBLANK($C424),"",IF(Q424=Constants!$B$3,TRUE(),IF(Q424=Constants!$B$4,FALSE(),TRUE())))</f>
        <v/>
      </c>
      <c r="AS424" s="93" t="str">
        <f aca="false">IF(ISBLANK($C424),"",IF(R424=Constants!$B$3,TRUE(),IF(R424=Constants!$B$4,FALSE(),TRUE())))</f>
        <v/>
      </c>
      <c r="AT424" s="93" t="str">
        <f aca="false">IF(ISBLANK($C424),"",IF(S424=Constants!$B$5,TRUE(),IF(S424=Constants!$B$6,FALSE(),COUNTA(T424:X424)&gt;0)))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IF(ISBLANK($C424),"",IF(V424=Constants!$B$3,TRUE(),IF(V424=Constants!$B$4,FALSE(),TRUE())))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IF(ISBLANK($C424),"",IF(X424=Constants!$B$3,TRUE(),IF(X424=Constants!$B$4,FALSE(),FALSE())))</f>
        <v/>
      </c>
      <c r="AZ424" s="93" t="str">
        <f aca="false">IF(ISBLANK($C424),"",MIN(Constants!$B$31,MAX(0,IF(ISNUMBER(Y424),Y424*60,0)+IF(ISNUMBER(Z424),Z424,0))))</f>
        <v/>
      </c>
      <c r="BA424" s="93" t="str">
        <f aca="false">IF(ISBLANK($C424),"",IF(AA424=Constants!$B$3,TRUE(),IF(AA424=Constants!$B$4,FALSE(),FALSE())))</f>
        <v/>
      </c>
      <c r="BB424" s="92" t="str">
        <f aca="false">IF(ISBLANK($C424),"",AND($AL424,OR($AM424="",$AN424="",AND($AO424,$AP424=""))))</f>
        <v/>
      </c>
      <c r="BC424" s="94" t="str">
        <f aca="false">IF($BZ424&lt;&gt;Constants!$B$8,"",IF($AL424,Constants!$B$21*$AN424+Constants!$B$22*IF($AO424,$AP424,Constants!$B$23),Constants!$B$24))</f>
        <v/>
      </c>
      <c r="BD424" s="97" t="str">
        <f aca="false">IF($BZ424&lt;&gt;Constants!$B$8,"",Constants!$B$25*ABS($AD$9-IF($AL424,$AM424,0)))</f>
        <v/>
      </c>
      <c r="BE424" s="97" t="str">
        <f aca="false">IF($BZ424&lt;&gt;Constants!$B$8,"",IF(AND($AL424,$AQ424,$AO424),Constants!$B$27,0))</f>
        <v/>
      </c>
      <c r="BF424" s="97" t="str">
        <f aca="false">IF($BZ424&lt;&gt;Constants!$B$8,"",IF($AL424,($AI424-Constants!$B$29)*Constants!$B$28,0))</f>
        <v/>
      </c>
      <c r="BG424" s="97" t="str">
        <f aca="false">IF($BZ424&lt;&gt;Constants!$B$8,"",IF($AK424,0,Constants!$B$15)+IF($AJ424,0,Constants!$B$16)+IF($AH424,0,Constants!$B$17))</f>
        <v/>
      </c>
      <c r="BH424" s="98" t="str">
        <f aca="false">IF($BZ424&lt;&gt;Constants!$B$8,"",Constants!$B$20+SUM($BC424:$BG424))</f>
        <v/>
      </c>
      <c r="BI424" s="97" t="str">
        <f aca="false">IF($BZ424&lt;&gt;Constants!$B$8,"",$BC424)</f>
        <v/>
      </c>
      <c r="BJ424" s="97" t="str">
        <f aca="false">IF($BZ424&lt;&gt;Constants!$B$8,"",$BD424)</f>
        <v/>
      </c>
      <c r="BK424" s="97" t="str">
        <f aca="false">IF($BZ424&lt;&gt;Constants!$B$8,"",IF($AL424,$AN424,""))</f>
        <v/>
      </c>
      <c r="BL424" s="99" t="str">
        <f aca="false">IF($BZ424&lt;&gt;Constants!$B$8,"",$AI424)</f>
        <v/>
      </c>
      <c r="BM424" s="93" t="str">
        <f aca="false">IF($BZ424&lt;&gt;Constants!$B$8,"",IF(OR($BT424&lt;$BH424,AND($BT424=$BH424,OR($BU424&lt;$BI424,AND($BU424=$BI424,OR($BV424&lt;$BJ424,AND($BV424=$BJ424,OR(AND(ISNUMBER($BW424),OR(NOT(ISNUMBER($BK424)),$BW424&lt;$BK424)),AND(OR(AND($BW424="",$BK424=""),AND(ISNUMBER($BW424),ISNUMBER($BK424),$BW424=$BK424)),$BX424&lt;$BL424)))))))),"-&gt;","&lt;-"))</f>
        <v/>
      </c>
      <c r="BN424" s="92" t="str">
        <f aca="false">IF(ISBLANK($C424),"",AND($AT424,OR($AU424="",$AV424="",AND($AW424,$AX424=""))))</f>
        <v/>
      </c>
      <c r="BO424" s="94" t="str">
        <f aca="false">IF($BZ424&lt;&gt;Constants!$B$8,"",IF($AT424,Constants!$B$21*$AV424+Constants!$B$22*IF($AW424,$AX424,Constants!$B$23),Constants!$B$24))</f>
        <v/>
      </c>
      <c r="BP424" s="97" t="str">
        <f aca="false">IF($BZ424&lt;&gt;Constants!$B$8,"",Constants!$B$25*ABS($AD$9-IF($AT424,$AU424,0)))</f>
        <v/>
      </c>
      <c r="BQ424" s="97" t="str">
        <f aca="false">IF($BZ424&lt;&gt;Constants!$B$8,"",IF(AND($AT424,$AY424,$AW424),Constants!$B$27,0))</f>
        <v/>
      </c>
      <c r="BR424" s="97" t="str">
        <f aca="false">IF($BZ424&lt;&gt;Constants!$B$8,"",IF($AT424,($AI424-Constants!$B$29)*Constants!$B$28,0))</f>
        <v/>
      </c>
      <c r="BS424" s="97" t="str">
        <f aca="false">IF($BZ424&lt;&gt;Constants!$B$8,"",IF($AS424,0,Constants!$B$15)+IF($AR424,0,Constants!$B$16)+IF($AH424,0,Constants!$B$17))</f>
        <v/>
      </c>
      <c r="BT424" s="98" t="str">
        <f aca="false">IF($BZ424&lt;&gt;Constants!$B$8,"",Constants!$B$20+SUM($BO424:$BS424))</f>
        <v/>
      </c>
      <c r="BU424" s="97" t="str">
        <f aca="false">IF($BZ424&lt;&gt;Constants!$B$8,"",$BO424)</f>
        <v/>
      </c>
      <c r="BV424" s="97" t="str">
        <f aca="false">IF($BZ424&lt;&gt;Constants!$B$8,"",$BP424)</f>
        <v/>
      </c>
      <c r="BW424" s="97" t="str">
        <f aca="false">IF($BZ424&lt;&gt;Constants!$B$8,"",IF($AT424,$AV424,""))</f>
        <v/>
      </c>
      <c r="BX424" s="99" t="str">
        <f aca="false">IF($BZ424&lt;&gt;Constants!$B$8,"",$AI424)</f>
        <v/>
      </c>
      <c r="BY424" s="93" t="str">
        <f aca="false">IF(ISBLANK($C424),"",IF(ISBLANK($D$7),$BY$5,IF(NOT(ISNUMBER($D$7)),$BY$6,"")))</f>
        <v/>
      </c>
      <c r="BZ424" s="93" t="str">
        <f aca="false">IF(ISBLANK($C424),"",IF($BA424,Constants!$B$11,IF(COUNTA($E424:$AA424)=0,Constants!$B$10,IF(NOT($AG424),Constants!$B$9,IF(OR($BY424&lt;&gt;"",$BB424,$BN424),Constants!$B$12,Constants!$B$8)))))</f>
        <v/>
      </c>
      <c r="CA424" s="93" t="str">
        <f aca="false">IF(ISBLANK($C424),"",IF($BZ424&lt;&gt;Constants!$B$8,$BZ424,Constants!$B$13))</f>
        <v/>
      </c>
      <c r="CB424" s="97" t="str">
        <f aca="false">IF($BZ424&lt;&gt;Constants!$B$8,"",IF($BM424="-&gt;",$BT424,$BH424))</f>
        <v/>
      </c>
      <c r="CC424" s="97" t="str">
        <f aca="false">IF($BZ424&lt;&gt;Constants!$B$8,"",IF($AF424,0,Constants!$B$18))</f>
        <v/>
      </c>
      <c r="CD424" s="97" t="str">
        <f aca="false">IF($BZ424&lt;&gt;Constants!$B$8,"",((Constants!$B$31-$AZ424)-Constants!$B$31)/Constants!$B$32)</f>
        <v/>
      </c>
      <c r="CE424" s="97" t="str">
        <f aca="false">IF(ISBLANK($C424),"",IF($BZ424&lt;&gt;Constants!$B$8,$BZ424,SUM($CB424:$CD424)))</f>
        <v/>
      </c>
      <c r="CF424" s="93" t="str">
        <f aca="false">IF(ISBLANK($C424),"",IF($BZ424&lt;&gt;Constants!$B$8,$BZ424,RANK($CE424,$CE$9:$CE$508,1)))</f>
        <v/>
      </c>
      <c r="CG424" s="97" t="str">
        <f aca="false">IF($BZ424&lt;&gt;Constants!$B$8,"",IF($BM424="-&gt;",$BU424,$BI424))</f>
        <v/>
      </c>
      <c r="CH424" s="93" t="str">
        <f aca="false">IF(ISBLANK($C424),"",IF($BZ424&lt;&gt;Constants!$B$8,$BZ424,IF(ISNUMBER($CG424),RANK($CG424,$CG$9:$CG$508,1),COUNT($CG$9:$CG$508)+1)))</f>
        <v/>
      </c>
      <c r="CI424" s="97" t="str">
        <f aca="false">IF($BZ424&lt;&gt;Constants!$B$8,"",IF($BM424="-&gt;",$BV424,$BJ424))</f>
        <v/>
      </c>
      <c r="CJ424" s="93" t="str">
        <f aca="false">IF(ISBLANK($C424),"",IF($BZ424&lt;&gt;Constants!$B$8,$BZ424,IF(ISNUMBER($CI424),RANK($CI424,$CI$9:$CI$508,1),COUNT($CI$9:$CI$508)+1)))</f>
        <v/>
      </c>
      <c r="CK424" s="97" t="str">
        <f aca="false">IF($BZ424&lt;&gt;Constants!$B$8,"",IF($BM424="-&gt;",$BW424,$BK424))</f>
        <v/>
      </c>
      <c r="CL424" s="93" t="str">
        <f aca="false">IF(ISBLANK($C424),"",IF($BZ424&lt;&gt;Constants!$B$8,$BZ424,IF(ISNUMBER($CK424),RANK($CK424,$CK$9:$CK$508,1),COUNT($CK$9:$CK$508)+1)))</f>
        <v/>
      </c>
      <c r="CM424" s="97" t="str">
        <f aca="false">IF($BZ424&lt;&gt;Constants!$B$8,"",IF(AND(NOT($AL424),NOT($AT424),$AJ424,$AK424,$AR424,$AS424),"",IF($BM424="-&gt;",$BX424,$BL424)))</f>
        <v/>
      </c>
      <c r="CN424" s="93" t="str">
        <f aca="false">IF(ISBLANK($C424),"",IF($BZ424&lt;&gt;Constants!$B$8,$BZ424,IF(ISNUMBER($CM424),RANK($CM424,$CM$9:$CM$508,1),COUNT($CM$9:$CM$508)+1)))</f>
        <v/>
      </c>
      <c r="CO424" s="93" t="str">
        <f aca="false">IF(ISBLANK($C424),"",IF($BZ424&lt;&gt;Constants!$B$8,$BZ424,COUNTIFS($CF$9:$CF$508,"&lt;"&amp;$CF424)+COUNTIFS($CF$9:$CF$508,$CF424,$CH$9:$CH$508,"&lt;"&amp;$CH424)+COUNTIFS($CF$9:$CF$508,$CF424,$CH$9:$CH$508,$CH424,$CJ$9:$CJ$508,"&lt;"&amp;$CJ424)+COUNTIFS($CF$9:$CF$508,$CF424,$CH$9:$CH$508,$CH424,$CJ$9:$CJ$508,$CJ424,$CL$9:$CL$508,"&lt;"&amp;$CL424)+COUNTIFS($CF$9:$CF$508,$CF424,$CH$9:$CH$508,$CH424,$CJ$9:$CJ$508,$CJ424,$CL$9:$CL$508,$CL424,$CN$9:$CN$508,"&lt;"&amp;$CN424)+1))</f>
        <v/>
      </c>
      <c r="CP424" s="93" t="str">
        <f aca="false">IF(ISBLANK($C424),"",IF($BZ424&lt;&gt;Constants!$B$8,$BZ424,$CF424-$CO424))</f>
        <v/>
      </c>
      <c r="CQ424" s="100"/>
      <c r="CR424" s="101"/>
      <c r="CS424" s="102" t="str">
        <f aca="false">IF(ISBLANK($C424),"",IF($BZ424=Constants!$B$12,$BY424,""))</f>
        <v/>
      </c>
      <c r="CT424" s="101" t="str">
        <f aca="false">IF(ISBLANK($C424),"",IF($BZ424&lt;&gt;Constants!$B$8,"",IF($BM424="-&gt;",2,1)))</f>
        <v/>
      </c>
      <c r="CU424" s="103" t="str">
        <f aca="false">IF(ISBLANK($C424),"",IF($BZ424&lt;&gt;Constants!$B$8,"",IF($BM424="-&gt;",$BO424,$BC424)))</f>
        <v/>
      </c>
      <c r="CV424" s="103" t="str">
        <f aca="false">IF(ISBLANK($C424),"",IF($BZ424&lt;&gt;Constants!$B$8,"",IF($BM424="-&gt;",$BP424,$BD424)))</f>
        <v/>
      </c>
      <c r="CW424" s="103" t="str">
        <f aca="false">IF(ISBLANK($C424),"",IF($BZ424&lt;&gt;Constants!$B$8,"",IF($BM424="-&gt;",$BQ424+$BR424,$BE424+$BF424)+$CD424))</f>
        <v/>
      </c>
      <c r="CX424" s="103" t="str">
        <f aca="false">IF(ISBLANK($C424),"",IF($BZ424&lt;&gt;Constants!$B$8,"",IF($BM424="-&gt;",$BS424,$BG424)+$CC424))</f>
        <v/>
      </c>
      <c r="CY424" s="104" t="str">
        <f aca="false">IF(ISBLANK($C424),"",IF($BZ424&lt;&gt;Constants!$B$8,$BZ424,$CE424))</f>
        <v/>
      </c>
      <c r="CZ424" s="105" t="str">
        <f aca="false">IF(ISBLANK($C424),"",$CA424)</f>
        <v/>
      </c>
      <c r="DA424" s="106" t="str">
        <f aca="false">IF(ISBLANK($C424),"",$CP424)</f>
        <v/>
      </c>
      <c r="DB424" s="106" t="str">
        <f aca="false">IF(ISBLANK($C424),"",$CO424)</f>
        <v/>
      </c>
      <c r="DC424" s="107" t="str">
        <f aca="false">IF(ISBLANK($C424),"",IFERROR(_xlfn.SWITCH($DB424,Constants!$B$11,COUNTA($C$9:$C$508)+2,Constants!$B$10,COUNTA($C$9:$C$508)+1,Constants!$B$9,COUNTA($C$9:$C$508)),$DB424))</f>
        <v/>
      </c>
      <c r="DD424" s="9"/>
      <c r="DE424" s="108" t="n">
        <f aca="false">IF(OR(ISNUMBER($DB424),$DB424=Constants!$B$11,$DB424=Constants!$B$9,$DB424=Constants!$B$10),1,0)</f>
        <v>0</v>
      </c>
      <c r="DF424" s="108" t="n">
        <v>416</v>
      </c>
      <c r="DG424" s="108" t="str">
        <f aca="false">IF(ISBLANK($C424),"",IF(ISNUMBER($DC424),$DC424+ROW($B424)/1000,""))</f>
        <v/>
      </c>
      <c r="DH424" s="108" t="str">
        <f aca="false">IF(ISNUMBER($DG424),RANK($DG424,$DG$9:$DG$508,1),"")</f>
        <v/>
      </c>
      <c r="DI424" s="108" t="str">
        <f aca="false">IF(ISBLANK($C424),"",$B424)</f>
        <v/>
      </c>
      <c r="DJ424" s="108" t="str">
        <f aca="false">IF(ISBLANK($C424),"",$C424)</f>
        <v/>
      </c>
      <c r="DK424" s="108" t="str">
        <f aca="false">IF(ISBLANK($C424),"",$D424)</f>
        <v/>
      </c>
      <c r="DL424" s="109" t="str">
        <f aca="false">$CZ424</f>
        <v/>
      </c>
      <c r="DM424" s="110" t="str">
        <f aca="false">$CY424</f>
        <v/>
      </c>
      <c r="DN424" s="108" t="str">
        <f aca="false">IF(ISBLANK($C424),"",$DB424)</f>
        <v/>
      </c>
      <c r="DO424" s="111" t="str">
        <f aca="false">IF($DF424&gt;$DE$8,"",VLOOKUP($DF424,$DH$9:$DN$508,7,FALSE()))</f>
        <v/>
      </c>
      <c r="DP424" s="112" t="str">
        <f aca="false">IF($DF424&gt;$DE$8,"",VLOOKUP($DF424,$DH$9:$DN$508,2,FALSE()))</f>
        <v/>
      </c>
      <c r="DQ424" s="112" t="str">
        <f aca="false">IF($DF424&gt;$DE$8,"",VLOOKUP($DF424,$DH$9:$DN$508,3,FALSE()))</f>
        <v/>
      </c>
      <c r="DR424" s="112" t="str">
        <f aca="false">IF($DF424&gt;$DE$8,"",VLOOKUP($DF424,$DH$9:$DN$508,4,FALSE()))</f>
        <v/>
      </c>
      <c r="DS424" s="112" t="str">
        <f aca="false">IF($DF424&gt;$DE$8,"",VLOOKUP($DF424,$DH$9:$DN$508,5,FALSE()))</f>
        <v/>
      </c>
      <c r="DT424" s="113" t="str">
        <f aca="false">IF($DF424&gt;$DE$8,"",VLOOKUP($DF424,$DH$9:$DN$508,6,FALSE()))</f>
        <v/>
      </c>
      <c r="DU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IF(ISBLANK($C425),"",IF(E425=Constants!$B$3,TRUE(),IF(E425=Constants!$B$4,FALSE(),TRUE())))</f>
        <v/>
      </c>
      <c r="AG425" s="93" t="str">
        <f aca="false">IF(ISBLANK($C425),"",IF(F425=Constants!$B$3,TRUE(),IF(F425=Constants!$B$4,FALSE(),TRUE())))</f>
        <v/>
      </c>
      <c r="AH425" s="93" t="str">
        <f aca="false">IF(ISBLANK($C425),"",IF(G425=Constants!$B$3,TRUE(),IF(G425=Constants!$B$4,FALSE(),TRUE())))</f>
        <v/>
      </c>
      <c r="AI425" s="93" t="str">
        <f aca="false">IF(ISBLANK($C425),"",IF(AND(ISNUMBER(H425),H425&gt;=0),H425,Constants!$B$29))</f>
        <v/>
      </c>
      <c r="AJ425" s="93" t="str">
        <f aca="false">IF(ISBLANK($C425),"",IF(I425=Constants!$B$3,TRUE(),IF(I425=Constants!$B$4,FALSE(),TRUE())))</f>
        <v/>
      </c>
      <c r="AK425" s="93" t="str">
        <f aca="false">IF(ISBLANK($C425),"",IF(J425=Constants!$B$3,TRUE(),IF(J425=Constants!$B$4,FALSE(),TRUE())))</f>
        <v/>
      </c>
      <c r="AL425" s="93" t="str">
        <f aca="false">IF(ISBLANK($C425),"",IF(K425=Constants!$B$5,TRUE(),IF(K425=Constants!$B$6,FALSE(),COUNTA(L425:P425)&gt;0)))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IF(ISBLANK($C425),"",IF(N425=Constants!$B$3,TRUE(),IF(N425=Constants!$B$4,FALSE(),TRUE())))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IF(ISBLANK($C425),"",IF(P425=Constants!$B$3,TRUE(),IF(P425=Constants!$B$4,FALSE(),FALSE())))</f>
        <v/>
      </c>
      <c r="AR425" s="93" t="str">
        <f aca="false">IF(ISBLANK($C425),"",IF(Q425=Constants!$B$3,TRUE(),IF(Q425=Constants!$B$4,FALSE(),TRUE())))</f>
        <v/>
      </c>
      <c r="AS425" s="93" t="str">
        <f aca="false">IF(ISBLANK($C425),"",IF(R425=Constants!$B$3,TRUE(),IF(R425=Constants!$B$4,FALSE(),TRUE())))</f>
        <v/>
      </c>
      <c r="AT425" s="93" t="str">
        <f aca="false">IF(ISBLANK($C425),"",IF(S425=Constants!$B$5,TRUE(),IF(S425=Constants!$B$6,FALSE(),COUNTA(T425:X425)&gt;0)))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IF(ISBLANK($C425),"",IF(V425=Constants!$B$3,TRUE(),IF(V425=Constants!$B$4,FALSE(),TRUE())))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IF(ISBLANK($C425),"",IF(X425=Constants!$B$3,TRUE(),IF(X425=Constants!$B$4,FALSE(),FALSE())))</f>
        <v/>
      </c>
      <c r="AZ425" s="93" t="str">
        <f aca="false">IF(ISBLANK($C425),"",MIN(Constants!$B$31,MAX(0,IF(ISNUMBER(Y425),Y425*60,0)+IF(ISNUMBER(Z425),Z425,0))))</f>
        <v/>
      </c>
      <c r="BA425" s="93" t="str">
        <f aca="false">IF(ISBLANK($C425),"",IF(AA425=Constants!$B$3,TRUE(),IF(AA425=Constants!$B$4,FALSE(),FALSE())))</f>
        <v/>
      </c>
      <c r="BB425" s="92" t="str">
        <f aca="false">IF(ISBLANK($C425),"",AND($AL425,OR($AM425="",$AN425="",AND($AO425,$AP425=""))))</f>
        <v/>
      </c>
      <c r="BC425" s="94" t="str">
        <f aca="false">IF($BZ425&lt;&gt;Constants!$B$8,"",IF($AL425,Constants!$B$21*$AN425+Constants!$B$22*IF($AO425,$AP425,Constants!$B$23),Constants!$B$24))</f>
        <v/>
      </c>
      <c r="BD425" s="97" t="str">
        <f aca="false">IF($BZ425&lt;&gt;Constants!$B$8,"",Constants!$B$25*ABS($AD$9-IF($AL425,$AM425,0)))</f>
        <v/>
      </c>
      <c r="BE425" s="97" t="str">
        <f aca="false">IF($BZ425&lt;&gt;Constants!$B$8,"",IF(AND($AL425,$AQ425,$AO425),Constants!$B$27,0))</f>
        <v/>
      </c>
      <c r="BF425" s="97" t="str">
        <f aca="false">IF($BZ425&lt;&gt;Constants!$B$8,"",IF($AL425,($AI425-Constants!$B$29)*Constants!$B$28,0))</f>
        <v/>
      </c>
      <c r="BG425" s="97" t="str">
        <f aca="false">IF($BZ425&lt;&gt;Constants!$B$8,"",IF($AK425,0,Constants!$B$15)+IF($AJ425,0,Constants!$B$16)+IF($AH425,0,Constants!$B$17))</f>
        <v/>
      </c>
      <c r="BH425" s="98" t="str">
        <f aca="false">IF($BZ425&lt;&gt;Constants!$B$8,"",Constants!$B$20+SUM($BC425:$BG425))</f>
        <v/>
      </c>
      <c r="BI425" s="97" t="str">
        <f aca="false">IF($BZ425&lt;&gt;Constants!$B$8,"",$BC425)</f>
        <v/>
      </c>
      <c r="BJ425" s="97" t="str">
        <f aca="false">IF($BZ425&lt;&gt;Constants!$B$8,"",$BD425)</f>
        <v/>
      </c>
      <c r="BK425" s="97" t="str">
        <f aca="false">IF($BZ425&lt;&gt;Constants!$B$8,"",IF($AL425,$AN425,""))</f>
        <v/>
      </c>
      <c r="BL425" s="99" t="str">
        <f aca="false">IF($BZ425&lt;&gt;Constants!$B$8,"",$AI425)</f>
        <v/>
      </c>
      <c r="BM425" s="93" t="str">
        <f aca="false">IF($BZ425&lt;&gt;Constants!$B$8,"",IF(OR($BT425&lt;$BH425,AND($BT425=$BH425,OR($BU425&lt;$BI425,AND($BU425=$BI425,OR($BV425&lt;$BJ425,AND($BV425=$BJ425,OR(AND(ISNUMBER($BW425),OR(NOT(ISNUMBER($BK425)),$BW425&lt;$BK425)),AND(OR(AND($BW425="",$BK425=""),AND(ISNUMBER($BW425),ISNUMBER($BK425),$BW425=$BK425)),$BX425&lt;$BL425)))))))),"-&gt;","&lt;-"))</f>
        <v/>
      </c>
      <c r="BN425" s="92" t="str">
        <f aca="false">IF(ISBLANK($C425),"",AND($AT425,OR($AU425="",$AV425="",AND($AW425,$AX425=""))))</f>
        <v/>
      </c>
      <c r="BO425" s="94" t="str">
        <f aca="false">IF($BZ425&lt;&gt;Constants!$B$8,"",IF($AT425,Constants!$B$21*$AV425+Constants!$B$22*IF($AW425,$AX425,Constants!$B$23),Constants!$B$24))</f>
        <v/>
      </c>
      <c r="BP425" s="97" t="str">
        <f aca="false">IF($BZ425&lt;&gt;Constants!$B$8,"",Constants!$B$25*ABS($AD$9-IF($AT425,$AU425,0)))</f>
        <v/>
      </c>
      <c r="BQ425" s="97" t="str">
        <f aca="false">IF($BZ425&lt;&gt;Constants!$B$8,"",IF(AND($AT425,$AY425,$AW425),Constants!$B$27,0))</f>
        <v/>
      </c>
      <c r="BR425" s="97" t="str">
        <f aca="false">IF($BZ425&lt;&gt;Constants!$B$8,"",IF($AT425,($AI425-Constants!$B$29)*Constants!$B$28,0))</f>
        <v/>
      </c>
      <c r="BS425" s="97" t="str">
        <f aca="false">IF($BZ425&lt;&gt;Constants!$B$8,"",IF($AS425,0,Constants!$B$15)+IF($AR425,0,Constants!$B$16)+IF($AH425,0,Constants!$B$17))</f>
        <v/>
      </c>
      <c r="BT425" s="98" t="str">
        <f aca="false">IF($BZ425&lt;&gt;Constants!$B$8,"",Constants!$B$20+SUM($BO425:$BS425))</f>
        <v/>
      </c>
      <c r="BU425" s="97" t="str">
        <f aca="false">IF($BZ425&lt;&gt;Constants!$B$8,"",$BO425)</f>
        <v/>
      </c>
      <c r="BV425" s="97" t="str">
        <f aca="false">IF($BZ425&lt;&gt;Constants!$B$8,"",$BP425)</f>
        <v/>
      </c>
      <c r="BW425" s="97" t="str">
        <f aca="false">IF($BZ425&lt;&gt;Constants!$B$8,"",IF($AT425,$AV425,""))</f>
        <v/>
      </c>
      <c r="BX425" s="99" t="str">
        <f aca="false">IF($BZ425&lt;&gt;Constants!$B$8,"",$AI425)</f>
        <v/>
      </c>
      <c r="BY425" s="93" t="str">
        <f aca="false">IF(ISBLANK($C425),"",IF(ISBLANK($D$7),$BY$5,IF(NOT(ISNUMBER($D$7)),$BY$6,"")))</f>
        <v/>
      </c>
      <c r="BZ425" s="93" t="str">
        <f aca="false">IF(ISBLANK($C425),"",IF($BA425,Constants!$B$11,IF(COUNTA($E425:$AA425)=0,Constants!$B$10,IF(NOT($AG425),Constants!$B$9,IF(OR($BY425&lt;&gt;"",$BB425,$BN425),Constants!$B$12,Constants!$B$8)))))</f>
        <v/>
      </c>
      <c r="CA425" s="93" t="str">
        <f aca="false">IF(ISBLANK($C425),"",IF($BZ425&lt;&gt;Constants!$B$8,$BZ425,Constants!$B$13))</f>
        <v/>
      </c>
      <c r="CB425" s="97" t="str">
        <f aca="false">IF($BZ425&lt;&gt;Constants!$B$8,"",IF($BM425="-&gt;",$BT425,$BH425))</f>
        <v/>
      </c>
      <c r="CC425" s="97" t="str">
        <f aca="false">IF($BZ425&lt;&gt;Constants!$B$8,"",IF($AF425,0,Constants!$B$18))</f>
        <v/>
      </c>
      <c r="CD425" s="97" t="str">
        <f aca="false">IF($BZ425&lt;&gt;Constants!$B$8,"",((Constants!$B$31-$AZ425)-Constants!$B$31)/Constants!$B$32)</f>
        <v/>
      </c>
      <c r="CE425" s="97" t="str">
        <f aca="false">IF(ISBLANK($C425),"",IF($BZ425&lt;&gt;Constants!$B$8,$BZ425,SUM($CB425:$CD425)))</f>
        <v/>
      </c>
      <c r="CF425" s="93" t="str">
        <f aca="false">IF(ISBLANK($C425),"",IF($BZ425&lt;&gt;Constants!$B$8,$BZ425,RANK($CE425,$CE$9:$CE$508,1)))</f>
        <v/>
      </c>
      <c r="CG425" s="97" t="str">
        <f aca="false">IF($BZ425&lt;&gt;Constants!$B$8,"",IF($BM425="-&gt;",$BU425,$BI425))</f>
        <v/>
      </c>
      <c r="CH425" s="93" t="str">
        <f aca="false">IF(ISBLANK($C425),"",IF($BZ425&lt;&gt;Constants!$B$8,$BZ425,IF(ISNUMBER($CG425),RANK($CG425,$CG$9:$CG$508,1),COUNT($CG$9:$CG$508)+1)))</f>
        <v/>
      </c>
      <c r="CI425" s="97" t="str">
        <f aca="false">IF($BZ425&lt;&gt;Constants!$B$8,"",IF($BM425="-&gt;",$BV425,$BJ425))</f>
        <v/>
      </c>
      <c r="CJ425" s="93" t="str">
        <f aca="false">IF(ISBLANK($C425),"",IF($BZ425&lt;&gt;Constants!$B$8,$BZ425,IF(ISNUMBER($CI425),RANK($CI425,$CI$9:$CI$508,1),COUNT($CI$9:$CI$508)+1)))</f>
        <v/>
      </c>
      <c r="CK425" s="97" t="str">
        <f aca="false">IF($BZ425&lt;&gt;Constants!$B$8,"",IF($BM425="-&gt;",$BW425,$BK425))</f>
        <v/>
      </c>
      <c r="CL425" s="93" t="str">
        <f aca="false">IF(ISBLANK($C425),"",IF($BZ425&lt;&gt;Constants!$B$8,$BZ425,IF(ISNUMBER($CK425),RANK($CK425,$CK$9:$CK$508,1),COUNT($CK$9:$CK$508)+1)))</f>
        <v/>
      </c>
      <c r="CM425" s="97" t="str">
        <f aca="false">IF($BZ425&lt;&gt;Constants!$B$8,"",IF(AND(NOT($AL425),NOT($AT425),$AJ425,$AK425,$AR425,$AS425),"",IF($BM425="-&gt;",$BX425,$BL425)))</f>
        <v/>
      </c>
      <c r="CN425" s="93" t="str">
        <f aca="false">IF(ISBLANK($C425),"",IF($BZ425&lt;&gt;Constants!$B$8,$BZ425,IF(ISNUMBER($CM425),RANK($CM425,$CM$9:$CM$508,1),COUNT($CM$9:$CM$508)+1)))</f>
        <v/>
      </c>
      <c r="CO425" s="93" t="str">
        <f aca="false">IF(ISBLANK($C425),"",IF($BZ425&lt;&gt;Constants!$B$8,$BZ425,COUNTIFS($CF$9:$CF$508,"&lt;"&amp;$CF425)+COUNTIFS($CF$9:$CF$508,$CF425,$CH$9:$CH$508,"&lt;"&amp;$CH425)+COUNTIFS($CF$9:$CF$508,$CF425,$CH$9:$CH$508,$CH425,$CJ$9:$CJ$508,"&lt;"&amp;$CJ425)+COUNTIFS($CF$9:$CF$508,$CF425,$CH$9:$CH$508,$CH425,$CJ$9:$CJ$508,$CJ425,$CL$9:$CL$508,"&lt;"&amp;$CL425)+COUNTIFS($CF$9:$CF$508,$CF425,$CH$9:$CH$508,$CH425,$CJ$9:$CJ$508,$CJ425,$CL$9:$CL$508,$CL425,$CN$9:$CN$508,"&lt;"&amp;$CN425)+1))</f>
        <v/>
      </c>
      <c r="CP425" s="93" t="str">
        <f aca="false">IF(ISBLANK($C425),"",IF($BZ425&lt;&gt;Constants!$B$8,$BZ425,$CF425-$CO425))</f>
        <v/>
      </c>
      <c r="CQ425" s="100"/>
      <c r="CR425" s="101"/>
      <c r="CS425" s="102" t="str">
        <f aca="false">IF(ISBLANK($C425),"",IF($BZ425=Constants!$B$12,$BY425,""))</f>
        <v/>
      </c>
      <c r="CT425" s="101" t="str">
        <f aca="false">IF(ISBLANK($C425),"",IF($BZ425&lt;&gt;Constants!$B$8,"",IF($BM425="-&gt;",2,1)))</f>
        <v/>
      </c>
      <c r="CU425" s="103" t="str">
        <f aca="false">IF(ISBLANK($C425),"",IF($BZ425&lt;&gt;Constants!$B$8,"",IF($BM425="-&gt;",$BO425,$BC425)))</f>
        <v/>
      </c>
      <c r="CV425" s="103" t="str">
        <f aca="false">IF(ISBLANK($C425),"",IF($BZ425&lt;&gt;Constants!$B$8,"",IF($BM425="-&gt;",$BP425,$BD425)))</f>
        <v/>
      </c>
      <c r="CW425" s="103" t="str">
        <f aca="false">IF(ISBLANK($C425),"",IF($BZ425&lt;&gt;Constants!$B$8,"",IF($BM425="-&gt;",$BQ425+$BR425,$BE425+$BF425)+$CD425))</f>
        <v/>
      </c>
      <c r="CX425" s="103" t="str">
        <f aca="false">IF(ISBLANK($C425),"",IF($BZ425&lt;&gt;Constants!$B$8,"",IF($BM425="-&gt;",$BS425,$BG425)+$CC425))</f>
        <v/>
      </c>
      <c r="CY425" s="104" t="str">
        <f aca="false">IF(ISBLANK($C425),"",IF($BZ425&lt;&gt;Constants!$B$8,$BZ425,$CE425))</f>
        <v/>
      </c>
      <c r="CZ425" s="105" t="str">
        <f aca="false">IF(ISBLANK($C425),"",$CA425)</f>
        <v/>
      </c>
      <c r="DA425" s="106" t="str">
        <f aca="false">IF(ISBLANK($C425),"",$CP425)</f>
        <v/>
      </c>
      <c r="DB425" s="106" t="str">
        <f aca="false">IF(ISBLANK($C425),"",$CO425)</f>
        <v/>
      </c>
      <c r="DC425" s="107" t="str">
        <f aca="false">IF(ISBLANK($C425),"",IFERROR(_xlfn.SWITCH($DB425,Constants!$B$11,COUNTA($C$9:$C$508)+2,Constants!$B$10,COUNTA($C$9:$C$508)+1,Constants!$B$9,COUNTA($C$9:$C$508)),$DB425))</f>
        <v/>
      </c>
      <c r="DD425" s="9"/>
      <c r="DE425" s="108" t="n">
        <f aca="false">IF(OR(ISNUMBER($DB425),$DB425=Constants!$B$11,$DB425=Constants!$B$9,$DB425=Constants!$B$10),1,0)</f>
        <v>0</v>
      </c>
      <c r="DF425" s="108" t="n">
        <v>417</v>
      </c>
      <c r="DG425" s="108" t="str">
        <f aca="false">IF(ISBLANK($C425),"",IF(ISNUMBER($DC425),$DC425+ROW($B425)/1000,""))</f>
        <v/>
      </c>
      <c r="DH425" s="108" t="str">
        <f aca="false">IF(ISNUMBER($DG425),RANK($DG425,$DG$9:$DG$508,1),"")</f>
        <v/>
      </c>
      <c r="DI425" s="108" t="str">
        <f aca="false">IF(ISBLANK($C425),"",$B425)</f>
        <v/>
      </c>
      <c r="DJ425" s="108" t="str">
        <f aca="false">IF(ISBLANK($C425),"",$C425)</f>
        <v/>
      </c>
      <c r="DK425" s="108" t="str">
        <f aca="false">IF(ISBLANK($C425),"",$D425)</f>
        <v/>
      </c>
      <c r="DL425" s="109" t="str">
        <f aca="false">$CZ425</f>
        <v/>
      </c>
      <c r="DM425" s="110" t="str">
        <f aca="false">$CY425</f>
        <v/>
      </c>
      <c r="DN425" s="108" t="str">
        <f aca="false">IF(ISBLANK($C425),"",$DB425)</f>
        <v/>
      </c>
      <c r="DO425" s="111" t="str">
        <f aca="false">IF($DF425&gt;$DE$8,"",VLOOKUP($DF425,$DH$9:$DN$508,7,FALSE()))</f>
        <v/>
      </c>
      <c r="DP425" s="112" t="str">
        <f aca="false">IF($DF425&gt;$DE$8,"",VLOOKUP($DF425,$DH$9:$DN$508,2,FALSE()))</f>
        <v/>
      </c>
      <c r="DQ425" s="112" t="str">
        <f aca="false">IF($DF425&gt;$DE$8,"",VLOOKUP($DF425,$DH$9:$DN$508,3,FALSE()))</f>
        <v/>
      </c>
      <c r="DR425" s="112" t="str">
        <f aca="false">IF($DF425&gt;$DE$8,"",VLOOKUP($DF425,$DH$9:$DN$508,4,FALSE()))</f>
        <v/>
      </c>
      <c r="DS425" s="112" t="str">
        <f aca="false">IF($DF425&gt;$DE$8,"",VLOOKUP($DF425,$DH$9:$DN$508,5,FALSE()))</f>
        <v/>
      </c>
      <c r="DT425" s="113" t="str">
        <f aca="false">IF($DF425&gt;$DE$8,"",VLOOKUP($DF425,$DH$9:$DN$508,6,FALSE()))</f>
        <v/>
      </c>
      <c r="DU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IF(ISBLANK($C426),"",IF(E426=Constants!$B$3,TRUE(),IF(E426=Constants!$B$4,FALSE(),TRUE())))</f>
        <v/>
      </c>
      <c r="AG426" s="135" t="str">
        <f aca="false">IF(ISBLANK($C426),"",IF(F426=Constants!$B$3,TRUE(),IF(F426=Constants!$B$4,FALSE(),TRUE())))</f>
        <v/>
      </c>
      <c r="AH426" s="135" t="str">
        <f aca="false">IF(ISBLANK($C426),"",IF(G426=Constants!$B$3,TRUE(),IF(G426=Constants!$B$4,FALSE(),TRUE())))</f>
        <v/>
      </c>
      <c r="AI426" s="135" t="str">
        <f aca="false">IF(ISBLANK($C426),"",IF(AND(ISNUMBER(H426),H426&gt;=0),H426,Constants!$B$29))</f>
        <v/>
      </c>
      <c r="AJ426" s="135" t="str">
        <f aca="false">IF(ISBLANK($C426),"",IF(I426=Constants!$B$3,TRUE(),IF(I426=Constants!$B$4,FALSE(),TRUE())))</f>
        <v/>
      </c>
      <c r="AK426" s="135" t="str">
        <f aca="false">IF(ISBLANK($C426),"",IF(J426=Constants!$B$3,TRUE(),IF(J426=Constants!$B$4,FALSE(),TRUE())))</f>
        <v/>
      </c>
      <c r="AL426" s="135" t="str">
        <f aca="false">IF(ISBLANK($C426),"",IF(K426=Constants!$B$5,TRUE(),IF(K426=Constants!$B$6,FALSE(),COUNTA(L426:P426)&gt;0)))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IF(ISBLANK($C426),"",IF(N426=Constants!$B$3,TRUE(),IF(N426=Constants!$B$4,FALSE(),TRUE())))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IF(ISBLANK($C426),"",IF(P426=Constants!$B$3,TRUE(),IF(P426=Constants!$B$4,FALSE(),FALSE())))</f>
        <v/>
      </c>
      <c r="AR426" s="135" t="str">
        <f aca="false">IF(ISBLANK($C426),"",IF(Q426=Constants!$B$3,TRUE(),IF(Q426=Constants!$B$4,FALSE(),TRUE())))</f>
        <v/>
      </c>
      <c r="AS426" s="135" t="str">
        <f aca="false">IF(ISBLANK($C426),"",IF(R426=Constants!$B$3,TRUE(),IF(R426=Constants!$B$4,FALSE(),TRUE())))</f>
        <v/>
      </c>
      <c r="AT426" s="135" t="str">
        <f aca="false">IF(ISBLANK($C426),"",IF(S426=Constants!$B$5,TRUE(),IF(S426=Constants!$B$6,FALSE(),COUNTA(T426:X426)&gt;0)))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IF(ISBLANK($C426),"",IF(V426=Constants!$B$3,TRUE(),IF(V426=Constants!$B$4,FALSE(),TRUE())))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IF(ISBLANK($C426),"",IF(X426=Constants!$B$3,TRUE(),IF(X426=Constants!$B$4,FALSE(),FALSE())))</f>
        <v/>
      </c>
      <c r="AZ426" s="135" t="str">
        <f aca="false">IF(ISBLANK($C426),"",MIN(Constants!$B$31,MAX(0,IF(ISNUMBER(Y426),Y426*60,0)+IF(ISNUMBER(Z426),Z426,0))))</f>
        <v/>
      </c>
      <c r="BA426" s="135" t="str">
        <f aca="false">IF(ISBLANK($C426),"",IF(AA426=Constants!$B$3,TRUE(),IF(AA426=Constants!$B$4,FALSE(),FALSE())))</f>
        <v/>
      </c>
      <c r="BB426" s="134" t="str">
        <f aca="false">IF(ISBLANK($C426),"",AND($AL426,OR($AM426="",$AN426="",AND($AO426,$AP426=""))))</f>
        <v/>
      </c>
      <c r="BC426" s="137" t="str">
        <f aca="false">IF($BZ426&lt;&gt;Constants!$B$8,"",IF($AL426,Constants!$B$21*$AN426+Constants!$B$22*IF($AO426,$AP426,Constants!$B$23),Constants!$B$24))</f>
        <v/>
      </c>
      <c r="BD426" s="138" t="str">
        <f aca="false">IF($BZ426&lt;&gt;Constants!$B$8,"",Constants!$B$25*ABS($AD$9-IF($AL426,$AM426,0)))</f>
        <v/>
      </c>
      <c r="BE426" s="138" t="str">
        <f aca="false">IF($BZ426&lt;&gt;Constants!$B$8,"",IF(AND($AL426,$AQ426,$AO426),Constants!$B$27,0))</f>
        <v/>
      </c>
      <c r="BF426" s="138" t="str">
        <f aca="false">IF($BZ426&lt;&gt;Constants!$B$8,"",IF($AL426,($AI426-Constants!$B$29)*Constants!$B$28,0))</f>
        <v/>
      </c>
      <c r="BG426" s="138" t="str">
        <f aca="false">IF($BZ426&lt;&gt;Constants!$B$8,"",IF($AK426,0,Constants!$B$15)+IF($AJ426,0,Constants!$B$16)+IF($AH426,0,Constants!$B$17))</f>
        <v/>
      </c>
      <c r="BH426" s="139" t="str">
        <f aca="false">IF($BZ426&lt;&gt;Constants!$B$8,"",Constants!$B$20+SUM($BC426:$BG426))</f>
        <v/>
      </c>
      <c r="BI426" s="138" t="str">
        <f aca="false">IF($BZ426&lt;&gt;Constants!$B$8,"",$BC426)</f>
        <v/>
      </c>
      <c r="BJ426" s="138" t="str">
        <f aca="false">IF($BZ426&lt;&gt;Constants!$B$8,"",$BD426)</f>
        <v/>
      </c>
      <c r="BK426" s="138" t="str">
        <f aca="false">IF($BZ426&lt;&gt;Constants!$B$8,"",IF($AL426,$AN426,""))</f>
        <v/>
      </c>
      <c r="BL426" s="140" t="str">
        <f aca="false">IF($BZ426&lt;&gt;Constants!$B$8,"",$AI426)</f>
        <v/>
      </c>
      <c r="BM426" s="135" t="str">
        <f aca="false">IF($BZ426&lt;&gt;Constants!$B$8,"",IF(OR($BT426&lt;$BH426,AND($BT426=$BH426,OR($BU426&lt;$BI426,AND($BU426=$BI426,OR($BV426&lt;$BJ426,AND($BV426=$BJ426,OR(AND(ISNUMBER($BW426),OR(NOT(ISNUMBER($BK426)),$BW426&lt;$BK426)),AND(OR(AND($BW426="",$BK426=""),AND(ISNUMBER($BW426),ISNUMBER($BK426),$BW426=$BK426)),$BX426&lt;$BL426)))))))),"-&gt;","&lt;-"))</f>
        <v/>
      </c>
      <c r="BN426" s="134" t="str">
        <f aca="false">IF(ISBLANK($C426),"",AND($AT426,OR($AU426="",$AV426="",AND($AW426,$AX426=""))))</f>
        <v/>
      </c>
      <c r="BO426" s="137" t="str">
        <f aca="false">IF($BZ426&lt;&gt;Constants!$B$8,"",IF($AT426,Constants!$B$21*$AV426+Constants!$B$22*IF($AW426,$AX426,Constants!$B$23),Constants!$B$24))</f>
        <v/>
      </c>
      <c r="BP426" s="138" t="str">
        <f aca="false">IF($BZ426&lt;&gt;Constants!$B$8,"",Constants!$B$25*ABS($AD$9-IF($AT426,$AU426,0)))</f>
        <v/>
      </c>
      <c r="BQ426" s="138" t="str">
        <f aca="false">IF($BZ426&lt;&gt;Constants!$B$8,"",IF(AND($AT426,$AY426,$AW426),Constants!$B$27,0))</f>
        <v/>
      </c>
      <c r="BR426" s="138" t="str">
        <f aca="false">IF($BZ426&lt;&gt;Constants!$B$8,"",IF($AT426,($AI426-Constants!$B$29)*Constants!$B$28,0))</f>
        <v/>
      </c>
      <c r="BS426" s="138" t="str">
        <f aca="false">IF($BZ426&lt;&gt;Constants!$B$8,"",IF($AS426,0,Constants!$B$15)+IF($AR426,0,Constants!$B$16)+IF($AH426,0,Constants!$B$17))</f>
        <v/>
      </c>
      <c r="BT426" s="139" t="str">
        <f aca="false">IF($BZ426&lt;&gt;Constants!$B$8,"",Constants!$B$20+SUM($BO426:$BS426))</f>
        <v/>
      </c>
      <c r="BU426" s="138" t="str">
        <f aca="false">IF($BZ426&lt;&gt;Constants!$B$8,"",$BO426)</f>
        <v/>
      </c>
      <c r="BV426" s="138" t="str">
        <f aca="false">IF($BZ426&lt;&gt;Constants!$B$8,"",$BP426)</f>
        <v/>
      </c>
      <c r="BW426" s="138" t="str">
        <f aca="false">IF($BZ426&lt;&gt;Constants!$B$8,"",IF($AT426,$AV426,""))</f>
        <v/>
      </c>
      <c r="BX426" s="140" t="str">
        <f aca="false">IF($BZ426&lt;&gt;Constants!$B$8,"",$AI426)</f>
        <v/>
      </c>
      <c r="BY426" s="135" t="str">
        <f aca="false">IF(ISBLANK($C426),"",IF(ISBLANK($D$7),$BY$5,IF(NOT(ISNUMBER($D$7)),$BY$6,"")))</f>
        <v/>
      </c>
      <c r="BZ426" s="135" t="str">
        <f aca="false">IF(ISBLANK($C426),"",IF($BA426,Constants!$B$11,IF(COUNTA($E426:$AA426)=0,Constants!$B$10,IF(NOT($AG426),Constants!$B$9,IF(OR($BY426&lt;&gt;"",$BB426,$BN426),Constants!$B$12,Constants!$B$8)))))</f>
        <v/>
      </c>
      <c r="CA426" s="135" t="str">
        <f aca="false">IF(ISBLANK($C426),"",IF($BZ426&lt;&gt;Constants!$B$8,$BZ426,Constants!$B$13))</f>
        <v/>
      </c>
      <c r="CB426" s="138" t="str">
        <f aca="false">IF($BZ426&lt;&gt;Constants!$B$8,"",IF($BM426="-&gt;",$BT426,$BH426))</f>
        <v/>
      </c>
      <c r="CC426" s="138" t="str">
        <f aca="false">IF($BZ426&lt;&gt;Constants!$B$8,"",IF($AF426,0,Constants!$B$18))</f>
        <v/>
      </c>
      <c r="CD426" s="138" t="str">
        <f aca="false">IF($BZ426&lt;&gt;Constants!$B$8,"",((Constants!$B$31-$AZ426)-Constants!$B$31)/Constants!$B$32)</f>
        <v/>
      </c>
      <c r="CE426" s="138" t="str">
        <f aca="false">IF(ISBLANK($C426),"",IF($BZ426&lt;&gt;Constants!$B$8,$BZ426,SUM($CB426:$CD426)))</f>
        <v/>
      </c>
      <c r="CF426" s="135" t="str">
        <f aca="false">IF(ISBLANK($C426),"",IF($BZ426&lt;&gt;Constants!$B$8,$BZ426,RANK($CE426,$CE$9:$CE$508,1)))</f>
        <v/>
      </c>
      <c r="CG426" s="138" t="str">
        <f aca="false">IF($BZ426&lt;&gt;Constants!$B$8,"",IF($BM426="-&gt;",$BU426,$BI426))</f>
        <v/>
      </c>
      <c r="CH426" s="135" t="str">
        <f aca="false">IF(ISBLANK($C426),"",IF($BZ426&lt;&gt;Constants!$B$8,$BZ426,IF(ISNUMBER($CG426),RANK($CG426,$CG$9:$CG$508,1),COUNT($CG$9:$CG$508)+1)))</f>
        <v/>
      </c>
      <c r="CI426" s="138" t="str">
        <f aca="false">IF($BZ426&lt;&gt;Constants!$B$8,"",IF($BM426="-&gt;",$BV426,$BJ426))</f>
        <v/>
      </c>
      <c r="CJ426" s="135" t="str">
        <f aca="false">IF(ISBLANK($C426),"",IF($BZ426&lt;&gt;Constants!$B$8,$BZ426,IF(ISNUMBER($CI426),RANK($CI426,$CI$9:$CI$508,1),COUNT($CI$9:$CI$508)+1)))</f>
        <v/>
      </c>
      <c r="CK426" s="138" t="str">
        <f aca="false">IF($BZ426&lt;&gt;Constants!$B$8,"",IF($BM426="-&gt;",$BW426,$BK426))</f>
        <v/>
      </c>
      <c r="CL426" s="135" t="str">
        <f aca="false">IF(ISBLANK($C426),"",IF($BZ426&lt;&gt;Constants!$B$8,$BZ426,IF(ISNUMBER($CK426),RANK($CK426,$CK$9:$CK$508,1),COUNT($CK$9:$CK$508)+1)))</f>
        <v/>
      </c>
      <c r="CM426" s="138" t="str">
        <f aca="false">IF($BZ426&lt;&gt;Constants!$B$8,"",IF(AND(NOT($AL426),NOT($AT426),$AJ426,$AK426,$AR426,$AS426),"",IF($BM426="-&gt;",$BX426,$BL426)))</f>
        <v/>
      </c>
      <c r="CN426" s="135" t="str">
        <f aca="false">IF(ISBLANK($C426),"",IF($BZ426&lt;&gt;Constants!$B$8,$BZ426,IF(ISNUMBER($CM426),RANK($CM426,$CM$9:$CM$508,1),COUNT($CM$9:$CM$508)+1)))</f>
        <v/>
      </c>
      <c r="CO426" s="135" t="str">
        <f aca="false">IF(ISBLANK($C426),"",IF($BZ426&lt;&gt;Constants!$B$8,$BZ426,COUNTIFS($CF$9:$CF$508,"&lt;"&amp;$CF426)+COUNTIFS($CF$9:$CF$508,$CF426,$CH$9:$CH$508,"&lt;"&amp;$CH426)+COUNTIFS($CF$9:$CF$508,$CF426,$CH$9:$CH$508,$CH426,$CJ$9:$CJ$508,"&lt;"&amp;$CJ426)+COUNTIFS($CF$9:$CF$508,$CF426,$CH$9:$CH$508,$CH426,$CJ$9:$CJ$508,$CJ426,$CL$9:$CL$508,"&lt;"&amp;$CL426)+COUNTIFS($CF$9:$CF$508,$CF426,$CH$9:$CH$508,$CH426,$CJ$9:$CJ$508,$CJ426,$CL$9:$CL$508,$CL426,$CN$9:$CN$508,"&lt;"&amp;$CN426)+1))</f>
        <v/>
      </c>
      <c r="CP426" s="135" t="str">
        <f aca="false">IF(ISBLANK($C426),"",IF($BZ426&lt;&gt;Constants!$B$8,$BZ426,$CF426-$CO426))</f>
        <v/>
      </c>
      <c r="CQ426" s="141"/>
      <c r="CR426" s="142"/>
      <c r="CS426" s="143" t="str">
        <f aca="false">IF(ISBLANK($C426),"",IF($BZ426=Constants!$B$12,$BY426,""))</f>
        <v/>
      </c>
      <c r="CT426" s="142" t="str">
        <f aca="false">IF(ISBLANK($C426),"",IF($BZ426&lt;&gt;Constants!$B$8,"",IF($BM426="-&gt;",2,1)))</f>
        <v/>
      </c>
      <c r="CU426" s="144" t="str">
        <f aca="false">IF(ISBLANK($C426),"",IF($BZ426&lt;&gt;Constants!$B$8,"",IF($BM426="-&gt;",$BO426,$BC426)))</f>
        <v/>
      </c>
      <c r="CV426" s="144" t="str">
        <f aca="false">IF(ISBLANK($C426),"",IF($BZ426&lt;&gt;Constants!$B$8,"",IF($BM426="-&gt;",$BP426,$BD426)))</f>
        <v/>
      </c>
      <c r="CW426" s="144" t="str">
        <f aca="false">IF(ISBLANK($C426),"",IF($BZ426&lt;&gt;Constants!$B$8,"",IF($BM426="-&gt;",$BQ426+$BR426,$BE426+$BF426)+$CD426))</f>
        <v/>
      </c>
      <c r="CX426" s="144" t="str">
        <f aca="false">IF(ISBLANK($C426),"",IF($BZ426&lt;&gt;Constants!$B$8,"",IF($BM426="-&gt;",$BS426,$BG426)+$CC426))</f>
        <v/>
      </c>
      <c r="CY426" s="145" t="str">
        <f aca="false">IF(ISBLANK($C426),"",IF($BZ426&lt;&gt;Constants!$B$8,$BZ426,$CE426))</f>
        <v/>
      </c>
      <c r="CZ426" s="146" t="str">
        <f aca="false">IF(ISBLANK($C426),"",$CA426)</f>
        <v/>
      </c>
      <c r="DA426" s="147" t="str">
        <f aca="false">IF(ISBLANK($C426),"",$CP426)</f>
        <v/>
      </c>
      <c r="DB426" s="147" t="str">
        <f aca="false">IF(ISBLANK($C426),"",$CO426)</f>
        <v/>
      </c>
      <c r="DC426" s="148" t="str">
        <f aca="false">IF(ISBLANK($C426),"",IFERROR(_xlfn.SWITCH($DB426,Constants!$B$11,COUNTA($C$9:$C$508)+2,Constants!$B$10,COUNTA($C$9:$C$508)+1,Constants!$B$9,COUNTA($C$9:$C$508)),$DB426))</f>
        <v/>
      </c>
      <c r="DD426" s="9"/>
      <c r="DE426" s="149" t="n">
        <f aca="false">IF(OR(ISNUMBER($DB426),$DB426=Constants!$B$11,$DB426=Constants!$B$9,$DB426=Constants!$B$10),1,0)</f>
        <v>0</v>
      </c>
      <c r="DF426" s="149" t="n">
        <v>418</v>
      </c>
      <c r="DG426" s="149" t="str">
        <f aca="false">IF(ISBLANK($C426),"",IF(ISNUMBER($DC426),$DC426+ROW($B426)/1000,""))</f>
        <v/>
      </c>
      <c r="DH426" s="149" t="str">
        <f aca="false">IF(ISNUMBER($DG426),RANK($DG426,$DG$9:$DG$508,1),"")</f>
        <v/>
      </c>
      <c r="DI426" s="149" t="str">
        <f aca="false">IF(ISBLANK($C426),"",$B426)</f>
        <v/>
      </c>
      <c r="DJ426" s="149" t="str">
        <f aca="false">IF(ISBLANK($C426),"",$C426)</f>
        <v/>
      </c>
      <c r="DK426" s="149" t="str">
        <f aca="false">IF(ISBLANK($C426),"",$D426)</f>
        <v/>
      </c>
      <c r="DL426" s="150" t="str">
        <f aca="false">$CZ426</f>
        <v/>
      </c>
      <c r="DM426" s="151" t="str">
        <f aca="false">$CY426</f>
        <v/>
      </c>
      <c r="DN426" s="149" t="str">
        <f aca="false">IF(ISBLANK($C426),"",$DB426)</f>
        <v/>
      </c>
      <c r="DO426" s="152" t="str">
        <f aca="false">IF($DF426&gt;$DE$8,"",VLOOKUP($DF426,$DH$9:$DN$508,7,FALSE()))</f>
        <v/>
      </c>
      <c r="DP426" s="153" t="str">
        <f aca="false">IF($DF426&gt;$DE$8,"",VLOOKUP($DF426,$DH$9:$DN$508,2,FALSE()))</f>
        <v/>
      </c>
      <c r="DQ426" s="153" t="str">
        <f aca="false">IF($DF426&gt;$DE$8,"",VLOOKUP($DF426,$DH$9:$DN$508,3,FALSE()))</f>
        <v/>
      </c>
      <c r="DR426" s="153" t="str">
        <f aca="false">IF($DF426&gt;$DE$8,"",VLOOKUP($DF426,$DH$9:$DN$508,4,FALSE()))</f>
        <v/>
      </c>
      <c r="DS426" s="153" t="str">
        <f aca="false">IF($DF426&gt;$DE$8,"",VLOOKUP($DF426,$DH$9:$DN$508,5,FALSE()))</f>
        <v/>
      </c>
      <c r="DT426" s="154" t="str">
        <f aca="false">IF($DF426&gt;$DE$8,"",VLOOKUP($DF426,$DH$9:$DN$508,6,FALSE()))</f>
        <v/>
      </c>
      <c r="DU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IF(ISBLANK($C427),"",IF(E427=Constants!$B$3,TRUE(),IF(E427=Constants!$B$4,FALSE(),TRUE())))</f>
        <v/>
      </c>
      <c r="AG427" s="135" t="str">
        <f aca="false">IF(ISBLANK($C427),"",IF(F427=Constants!$B$3,TRUE(),IF(F427=Constants!$B$4,FALSE(),TRUE())))</f>
        <v/>
      </c>
      <c r="AH427" s="135" t="str">
        <f aca="false">IF(ISBLANK($C427),"",IF(G427=Constants!$B$3,TRUE(),IF(G427=Constants!$B$4,FALSE(),TRUE())))</f>
        <v/>
      </c>
      <c r="AI427" s="135" t="str">
        <f aca="false">IF(ISBLANK($C427),"",IF(AND(ISNUMBER(H427),H427&gt;=0),H427,Constants!$B$29))</f>
        <v/>
      </c>
      <c r="AJ427" s="135" t="str">
        <f aca="false">IF(ISBLANK($C427),"",IF(I427=Constants!$B$3,TRUE(),IF(I427=Constants!$B$4,FALSE(),TRUE())))</f>
        <v/>
      </c>
      <c r="AK427" s="135" t="str">
        <f aca="false">IF(ISBLANK($C427),"",IF(J427=Constants!$B$3,TRUE(),IF(J427=Constants!$B$4,FALSE(),TRUE())))</f>
        <v/>
      </c>
      <c r="AL427" s="135" t="str">
        <f aca="false">IF(ISBLANK($C427),"",IF(K427=Constants!$B$5,TRUE(),IF(K427=Constants!$B$6,FALSE(),COUNTA(L427:P427)&gt;0)))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IF(ISBLANK($C427),"",IF(N427=Constants!$B$3,TRUE(),IF(N427=Constants!$B$4,FALSE(),TRUE())))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IF(ISBLANK($C427),"",IF(P427=Constants!$B$3,TRUE(),IF(P427=Constants!$B$4,FALSE(),FALSE())))</f>
        <v/>
      </c>
      <c r="AR427" s="135" t="str">
        <f aca="false">IF(ISBLANK($C427),"",IF(Q427=Constants!$B$3,TRUE(),IF(Q427=Constants!$B$4,FALSE(),TRUE())))</f>
        <v/>
      </c>
      <c r="AS427" s="135" t="str">
        <f aca="false">IF(ISBLANK($C427),"",IF(R427=Constants!$B$3,TRUE(),IF(R427=Constants!$B$4,FALSE(),TRUE())))</f>
        <v/>
      </c>
      <c r="AT427" s="135" t="str">
        <f aca="false">IF(ISBLANK($C427),"",IF(S427=Constants!$B$5,TRUE(),IF(S427=Constants!$B$6,FALSE(),COUNTA(T427:X427)&gt;0)))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IF(ISBLANK($C427),"",IF(V427=Constants!$B$3,TRUE(),IF(V427=Constants!$B$4,FALSE(),TRUE())))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IF(ISBLANK($C427),"",IF(X427=Constants!$B$3,TRUE(),IF(X427=Constants!$B$4,FALSE(),FALSE())))</f>
        <v/>
      </c>
      <c r="AZ427" s="135" t="str">
        <f aca="false">IF(ISBLANK($C427),"",MIN(Constants!$B$31,MAX(0,IF(ISNUMBER(Y427),Y427*60,0)+IF(ISNUMBER(Z427),Z427,0))))</f>
        <v/>
      </c>
      <c r="BA427" s="135" t="str">
        <f aca="false">IF(ISBLANK($C427),"",IF(AA427=Constants!$B$3,TRUE(),IF(AA427=Constants!$B$4,FALSE(),FALSE())))</f>
        <v/>
      </c>
      <c r="BB427" s="134" t="str">
        <f aca="false">IF(ISBLANK($C427),"",AND($AL427,OR($AM427="",$AN427="",AND($AO427,$AP427=""))))</f>
        <v/>
      </c>
      <c r="BC427" s="137" t="str">
        <f aca="false">IF($BZ427&lt;&gt;Constants!$B$8,"",IF($AL427,Constants!$B$21*$AN427+Constants!$B$22*IF($AO427,$AP427,Constants!$B$23),Constants!$B$24))</f>
        <v/>
      </c>
      <c r="BD427" s="138" t="str">
        <f aca="false">IF($BZ427&lt;&gt;Constants!$B$8,"",Constants!$B$25*ABS($AD$9-IF($AL427,$AM427,0)))</f>
        <v/>
      </c>
      <c r="BE427" s="138" t="str">
        <f aca="false">IF($BZ427&lt;&gt;Constants!$B$8,"",IF(AND($AL427,$AQ427,$AO427),Constants!$B$27,0))</f>
        <v/>
      </c>
      <c r="BF427" s="138" t="str">
        <f aca="false">IF($BZ427&lt;&gt;Constants!$B$8,"",IF($AL427,($AI427-Constants!$B$29)*Constants!$B$28,0))</f>
        <v/>
      </c>
      <c r="BG427" s="138" t="str">
        <f aca="false">IF($BZ427&lt;&gt;Constants!$B$8,"",IF($AK427,0,Constants!$B$15)+IF($AJ427,0,Constants!$B$16)+IF($AH427,0,Constants!$B$17))</f>
        <v/>
      </c>
      <c r="BH427" s="139" t="str">
        <f aca="false">IF($BZ427&lt;&gt;Constants!$B$8,"",Constants!$B$20+SUM($BC427:$BG427))</f>
        <v/>
      </c>
      <c r="BI427" s="138" t="str">
        <f aca="false">IF($BZ427&lt;&gt;Constants!$B$8,"",$BC427)</f>
        <v/>
      </c>
      <c r="BJ427" s="138" t="str">
        <f aca="false">IF($BZ427&lt;&gt;Constants!$B$8,"",$BD427)</f>
        <v/>
      </c>
      <c r="BK427" s="138" t="str">
        <f aca="false">IF($BZ427&lt;&gt;Constants!$B$8,"",IF($AL427,$AN427,""))</f>
        <v/>
      </c>
      <c r="BL427" s="140" t="str">
        <f aca="false">IF($BZ427&lt;&gt;Constants!$B$8,"",$AI427)</f>
        <v/>
      </c>
      <c r="BM427" s="135" t="str">
        <f aca="false">IF($BZ427&lt;&gt;Constants!$B$8,"",IF(OR($BT427&lt;$BH427,AND($BT427=$BH427,OR($BU427&lt;$BI427,AND($BU427=$BI427,OR($BV427&lt;$BJ427,AND($BV427=$BJ427,OR(AND(ISNUMBER($BW427),OR(NOT(ISNUMBER($BK427)),$BW427&lt;$BK427)),AND(OR(AND($BW427="",$BK427=""),AND(ISNUMBER($BW427),ISNUMBER($BK427),$BW427=$BK427)),$BX427&lt;$BL427)))))))),"-&gt;","&lt;-"))</f>
        <v/>
      </c>
      <c r="BN427" s="134" t="str">
        <f aca="false">IF(ISBLANK($C427),"",AND($AT427,OR($AU427="",$AV427="",AND($AW427,$AX427=""))))</f>
        <v/>
      </c>
      <c r="BO427" s="137" t="str">
        <f aca="false">IF($BZ427&lt;&gt;Constants!$B$8,"",IF($AT427,Constants!$B$21*$AV427+Constants!$B$22*IF($AW427,$AX427,Constants!$B$23),Constants!$B$24))</f>
        <v/>
      </c>
      <c r="BP427" s="138" t="str">
        <f aca="false">IF($BZ427&lt;&gt;Constants!$B$8,"",Constants!$B$25*ABS($AD$9-IF($AT427,$AU427,0)))</f>
        <v/>
      </c>
      <c r="BQ427" s="138" t="str">
        <f aca="false">IF($BZ427&lt;&gt;Constants!$B$8,"",IF(AND($AT427,$AY427,$AW427),Constants!$B$27,0))</f>
        <v/>
      </c>
      <c r="BR427" s="138" t="str">
        <f aca="false">IF($BZ427&lt;&gt;Constants!$B$8,"",IF($AT427,($AI427-Constants!$B$29)*Constants!$B$28,0))</f>
        <v/>
      </c>
      <c r="BS427" s="138" t="str">
        <f aca="false">IF($BZ427&lt;&gt;Constants!$B$8,"",IF($AS427,0,Constants!$B$15)+IF($AR427,0,Constants!$B$16)+IF($AH427,0,Constants!$B$17))</f>
        <v/>
      </c>
      <c r="BT427" s="139" t="str">
        <f aca="false">IF($BZ427&lt;&gt;Constants!$B$8,"",Constants!$B$20+SUM($BO427:$BS427))</f>
        <v/>
      </c>
      <c r="BU427" s="138" t="str">
        <f aca="false">IF($BZ427&lt;&gt;Constants!$B$8,"",$BO427)</f>
        <v/>
      </c>
      <c r="BV427" s="138" t="str">
        <f aca="false">IF($BZ427&lt;&gt;Constants!$B$8,"",$BP427)</f>
        <v/>
      </c>
      <c r="BW427" s="138" t="str">
        <f aca="false">IF($BZ427&lt;&gt;Constants!$B$8,"",IF($AT427,$AV427,""))</f>
        <v/>
      </c>
      <c r="BX427" s="140" t="str">
        <f aca="false">IF($BZ427&lt;&gt;Constants!$B$8,"",$AI427)</f>
        <v/>
      </c>
      <c r="BY427" s="135" t="str">
        <f aca="false">IF(ISBLANK($C427),"",IF(ISBLANK($D$7),$BY$5,IF(NOT(ISNUMBER($D$7)),$BY$6,"")))</f>
        <v/>
      </c>
      <c r="BZ427" s="135" t="str">
        <f aca="false">IF(ISBLANK($C427),"",IF($BA427,Constants!$B$11,IF(COUNTA($E427:$AA427)=0,Constants!$B$10,IF(NOT($AG427),Constants!$B$9,IF(OR($BY427&lt;&gt;"",$BB427,$BN427),Constants!$B$12,Constants!$B$8)))))</f>
        <v/>
      </c>
      <c r="CA427" s="135" t="str">
        <f aca="false">IF(ISBLANK($C427),"",IF($BZ427&lt;&gt;Constants!$B$8,$BZ427,Constants!$B$13))</f>
        <v/>
      </c>
      <c r="CB427" s="138" t="str">
        <f aca="false">IF($BZ427&lt;&gt;Constants!$B$8,"",IF($BM427="-&gt;",$BT427,$BH427))</f>
        <v/>
      </c>
      <c r="CC427" s="138" t="str">
        <f aca="false">IF($BZ427&lt;&gt;Constants!$B$8,"",IF($AF427,0,Constants!$B$18))</f>
        <v/>
      </c>
      <c r="CD427" s="138" t="str">
        <f aca="false">IF($BZ427&lt;&gt;Constants!$B$8,"",((Constants!$B$31-$AZ427)-Constants!$B$31)/Constants!$B$32)</f>
        <v/>
      </c>
      <c r="CE427" s="138" t="str">
        <f aca="false">IF(ISBLANK($C427),"",IF($BZ427&lt;&gt;Constants!$B$8,$BZ427,SUM($CB427:$CD427)))</f>
        <v/>
      </c>
      <c r="CF427" s="135" t="str">
        <f aca="false">IF(ISBLANK($C427),"",IF($BZ427&lt;&gt;Constants!$B$8,$BZ427,RANK($CE427,$CE$9:$CE$508,1)))</f>
        <v/>
      </c>
      <c r="CG427" s="138" t="str">
        <f aca="false">IF($BZ427&lt;&gt;Constants!$B$8,"",IF($BM427="-&gt;",$BU427,$BI427))</f>
        <v/>
      </c>
      <c r="CH427" s="135" t="str">
        <f aca="false">IF(ISBLANK($C427),"",IF($BZ427&lt;&gt;Constants!$B$8,$BZ427,IF(ISNUMBER($CG427),RANK($CG427,$CG$9:$CG$508,1),COUNT($CG$9:$CG$508)+1)))</f>
        <v/>
      </c>
      <c r="CI427" s="138" t="str">
        <f aca="false">IF($BZ427&lt;&gt;Constants!$B$8,"",IF($BM427="-&gt;",$BV427,$BJ427))</f>
        <v/>
      </c>
      <c r="CJ427" s="135" t="str">
        <f aca="false">IF(ISBLANK($C427),"",IF($BZ427&lt;&gt;Constants!$B$8,$BZ427,IF(ISNUMBER($CI427),RANK($CI427,$CI$9:$CI$508,1),COUNT($CI$9:$CI$508)+1)))</f>
        <v/>
      </c>
      <c r="CK427" s="138" t="str">
        <f aca="false">IF($BZ427&lt;&gt;Constants!$B$8,"",IF($BM427="-&gt;",$BW427,$BK427))</f>
        <v/>
      </c>
      <c r="CL427" s="135" t="str">
        <f aca="false">IF(ISBLANK($C427),"",IF($BZ427&lt;&gt;Constants!$B$8,$BZ427,IF(ISNUMBER($CK427),RANK($CK427,$CK$9:$CK$508,1),COUNT($CK$9:$CK$508)+1)))</f>
        <v/>
      </c>
      <c r="CM427" s="138" t="str">
        <f aca="false">IF($BZ427&lt;&gt;Constants!$B$8,"",IF(AND(NOT($AL427),NOT($AT427),$AJ427,$AK427,$AR427,$AS427),"",IF($BM427="-&gt;",$BX427,$BL427)))</f>
        <v/>
      </c>
      <c r="CN427" s="135" t="str">
        <f aca="false">IF(ISBLANK($C427),"",IF($BZ427&lt;&gt;Constants!$B$8,$BZ427,IF(ISNUMBER($CM427),RANK($CM427,$CM$9:$CM$508,1),COUNT($CM$9:$CM$508)+1)))</f>
        <v/>
      </c>
      <c r="CO427" s="135" t="str">
        <f aca="false">IF(ISBLANK($C427),"",IF($BZ427&lt;&gt;Constants!$B$8,$BZ427,COUNTIFS($CF$9:$CF$508,"&lt;"&amp;$CF427)+COUNTIFS($CF$9:$CF$508,$CF427,$CH$9:$CH$508,"&lt;"&amp;$CH427)+COUNTIFS($CF$9:$CF$508,$CF427,$CH$9:$CH$508,$CH427,$CJ$9:$CJ$508,"&lt;"&amp;$CJ427)+COUNTIFS($CF$9:$CF$508,$CF427,$CH$9:$CH$508,$CH427,$CJ$9:$CJ$508,$CJ427,$CL$9:$CL$508,"&lt;"&amp;$CL427)+COUNTIFS($CF$9:$CF$508,$CF427,$CH$9:$CH$508,$CH427,$CJ$9:$CJ$508,$CJ427,$CL$9:$CL$508,$CL427,$CN$9:$CN$508,"&lt;"&amp;$CN427)+1))</f>
        <v/>
      </c>
      <c r="CP427" s="135" t="str">
        <f aca="false">IF(ISBLANK($C427),"",IF($BZ427&lt;&gt;Constants!$B$8,$BZ427,$CF427-$CO427))</f>
        <v/>
      </c>
      <c r="CQ427" s="141"/>
      <c r="CR427" s="142"/>
      <c r="CS427" s="143" t="str">
        <f aca="false">IF(ISBLANK($C427),"",IF($BZ427=Constants!$B$12,$BY427,""))</f>
        <v/>
      </c>
      <c r="CT427" s="142" t="str">
        <f aca="false">IF(ISBLANK($C427),"",IF($BZ427&lt;&gt;Constants!$B$8,"",IF($BM427="-&gt;",2,1)))</f>
        <v/>
      </c>
      <c r="CU427" s="144" t="str">
        <f aca="false">IF(ISBLANK($C427),"",IF($BZ427&lt;&gt;Constants!$B$8,"",IF($BM427="-&gt;",$BO427,$BC427)))</f>
        <v/>
      </c>
      <c r="CV427" s="144" t="str">
        <f aca="false">IF(ISBLANK($C427),"",IF($BZ427&lt;&gt;Constants!$B$8,"",IF($BM427="-&gt;",$BP427,$BD427)))</f>
        <v/>
      </c>
      <c r="CW427" s="144" t="str">
        <f aca="false">IF(ISBLANK($C427),"",IF($BZ427&lt;&gt;Constants!$B$8,"",IF($BM427="-&gt;",$BQ427+$BR427,$BE427+$BF427)+$CD427))</f>
        <v/>
      </c>
      <c r="CX427" s="144" t="str">
        <f aca="false">IF(ISBLANK($C427),"",IF($BZ427&lt;&gt;Constants!$B$8,"",IF($BM427="-&gt;",$BS427,$BG427)+$CC427))</f>
        <v/>
      </c>
      <c r="CY427" s="145" t="str">
        <f aca="false">IF(ISBLANK($C427),"",IF($BZ427&lt;&gt;Constants!$B$8,$BZ427,$CE427))</f>
        <v/>
      </c>
      <c r="CZ427" s="146" t="str">
        <f aca="false">IF(ISBLANK($C427),"",$CA427)</f>
        <v/>
      </c>
      <c r="DA427" s="147" t="str">
        <f aca="false">IF(ISBLANK($C427),"",$CP427)</f>
        <v/>
      </c>
      <c r="DB427" s="147" t="str">
        <f aca="false">IF(ISBLANK($C427),"",$CO427)</f>
        <v/>
      </c>
      <c r="DC427" s="148" t="str">
        <f aca="false">IF(ISBLANK($C427),"",IFERROR(_xlfn.SWITCH($DB427,Constants!$B$11,COUNTA($C$9:$C$508)+2,Constants!$B$10,COUNTA($C$9:$C$508)+1,Constants!$B$9,COUNTA($C$9:$C$508)),$DB427))</f>
        <v/>
      </c>
      <c r="DD427" s="9"/>
      <c r="DE427" s="149" t="n">
        <f aca="false">IF(OR(ISNUMBER($DB427),$DB427=Constants!$B$11,$DB427=Constants!$B$9,$DB427=Constants!$B$10),1,0)</f>
        <v>0</v>
      </c>
      <c r="DF427" s="149" t="n">
        <v>419</v>
      </c>
      <c r="DG427" s="149" t="str">
        <f aca="false">IF(ISBLANK($C427),"",IF(ISNUMBER($DC427),$DC427+ROW($B427)/1000,""))</f>
        <v/>
      </c>
      <c r="DH427" s="149" t="str">
        <f aca="false">IF(ISNUMBER($DG427),RANK($DG427,$DG$9:$DG$508,1),"")</f>
        <v/>
      </c>
      <c r="DI427" s="149" t="str">
        <f aca="false">IF(ISBLANK($C427),"",$B427)</f>
        <v/>
      </c>
      <c r="DJ427" s="149" t="str">
        <f aca="false">IF(ISBLANK($C427),"",$C427)</f>
        <v/>
      </c>
      <c r="DK427" s="149" t="str">
        <f aca="false">IF(ISBLANK($C427),"",$D427)</f>
        <v/>
      </c>
      <c r="DL427" s="150" t="str">
        <f aca="false">$CZ427</f>
        <v/>
      </c>
      <c r="DM427" s="151" t="str">
        <f aca="false">$CY427</f>
        <v/>
      </c>
      <c r="DN427" s="149" t="str">
        <f aca="false">IF(ISBLANK($C427),"",$DB427)</f>
        <v/>
      </c>
      <c r="DO427" s="152" t="str">
        <f aca="false">IF($DF427&gt;$DE$8,"",VLOOKUP($DF427,$DH$9:$DN$508,7,FALSE()))</f>
        <v/>
      </c>
      <c r="DP427" s="153" t="str">
        <f aca="false">IF($DF427&gt;$DE$8,"",VLOOKUP($DF427,$DH$9:$DN$508,2,FALSE()))</f>
        <v/>
      </c>
      <c r="DQ427" s="153" t="str">
        <f aca="false">IF($DF427&gt;$DE$8,"",VLOOKUP($DF427,$DH$9:$DN$508,3,FALSE()))</f>
        <v/>
      </c>
      <c r="DR427" s="153" t="str">
        <f aca="false">IF($DF427&gt;$DE$8,"",VLOOKUP($DF427,$DH$9:$DN$508,4,FALSE()))</f>
        <v/>
      </c>
      <c r="DS427" s="153" t="str">
        <f aca="false">IF($DF427&gt;$DE$8,"",VLOOKUP($DF427,$DH$9:$DN$508,5,FALSE()))</f>
        <v/>
      </c>
      <c r="DT427" s="154" t="str">
        <f aca="false">IF($DF427&gt;$DE$8,"",VLOOKUP($DF427,$DH$9:$DN$508,6,FALSE()))</f>
        <v/>
      </c>
      <c r="DU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IF(ISBLANK($C428),"",IF(E428=Constants!$B$3,TRUE(),IF(E428=Constants!$B$4,FALSE(),TRUE())))</f>
        <v/>
      </c>
      <c r="AG428" s="135" t="str">
        <f aca="false">IF(ISBLANK($C428),"",IF(F428=Constants!$B$3,TRUE(),IF(F428=Constants!$B$4,FALSE(),TRUE())))</f>
        <v/>
      </c>
      <c r="AH428" s="135" t="str">
        <f aca="false">IF(ISBLANK($C428),"",IF(G428=Constants!$B$3,TRUE(),IF(G428=Constants!$B$4,FALSE(),TRUE())))</f>
        <v/>
      </c>
      <c r="AI428" s="135" t="str">
        <f aca="false">IF(ISBLANK($C428),"",IF(AND(ISNUMBER(H428),H428&gt;=0),H428,Constants!$B$29))</f>
        <v/>
      </c>
      <c r="AJ428" s="135" t="str">
        <f aca="false">IF(ISBLANK($C428),"",IF(I428=Constants!$B$3,TRUE(),IF(I428=Constants!$B$4,FALSE(),TRUE())))</f>
        <v/>
      </c>
      <c r="AK428" s="135" t="str">
        <f aca="false">IF(ISBLANK($C428),"",IF(J428=Constants!$B$3,TRUE(),IF(J428=Constants!$B$4,FALSE(),TRUE())))</f>
        <v/>
      </c>
      <c r="AL428" s="135" t="str">
        <f aca="false">IF(ISBLANK($C428),"",IF(K428=Constants!$B$5,TRUE(),IF(K428=Constants!$B$6,FALSE(),COUNTA(L428:P428)&gt;0)))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IF(ISBLANK($C428),"",IF(N428=Constants!$B$3,TRUE(),IF(N428=Constants!$B$4,FALSE(),TRUE())))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IF(ISBLANK($C428),"",IF(P428=Constants!$B$3,TRUE(),IF(P428=Constants!$B$4,FALSE(),FALSE())))</f>
        <v/>
      </c>
      <c r="AR428" s="135" t="str">
        <f aca="false">IF(ISBLANK($C428),"",IF(Q428=Constants!$B$3,TRUE(),IF(Q428=Constants!$B$4,FALSE(),TRUE())))</f>
        <v/>
      </c>
      <c r="AS428" s="135" t="str">
        <f aca="false">IF(ISBLANK($C428),"",IF(R428=Constants!$B$3,TRUE(),IF(R428=Constants!$B$4,FALSE(),TRUE())))</f>
        <v/>
      </c>
      <c r="AT428" s="135" t="str">
        <f aca="false">IF(ISBLANK($C428),"",IF(S428=Constants!$B$5,TRUE(),IF(S428=Constants!$B$6,FALSE(),COUNTA(T428:X428)&gt;0)))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IF(ISBLANK($C428),"",IF(V428=Constants!$B$3,TRUE(),IF(V428=Constants!$B$4,FALSE(),TRUE())))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IF(ISBLANK($C428),"",IF(X428=Constants!$B$3,TRUE(),IF(X428=Constants!$B$4,FALSE(),FALSE())))</f>
        <v/>
      </c>
      <c r="AZ428" s="135" t="str">
        <f aca="false">IF(ISBLANK($C428),"",MIN(Constants!$B$31,MAX(0,IF(ISNUMBER(Y428),Y428*60,0)+IF(ISNUMBER(Z428),Z428,0))))</f>
        <v/>
      </c>
      <c r="BA428" s="135" t="str">
        <f aca="false">IF(ISBLANK($C428),"",IF(AA428=Constants!$B$3,TRUE(),IF(AA428=Constants!$B$4,FALSE(),FALSE())))</f>
        <v/>
      </c>
      <c r="BB428" s="134" t="str">
        <f aca="false">IF(ISBLANK($C428),"",AND($AL428,OR($AM428="",$AN428="",AND($AO428,$AP428=""))))</f>
        <v/>
      </c>
      <c r="BC428" s="137" t="str">
        <f aca="false">IF($BZ428&lt;&gt;Constants!$B$8,"",IF($AL428,Constants!$B$21*$AN428+Constants!$B$22*IF($AO428,$AP428,Constants!$B$23),Constants!$B$24))</f>
        <v/>
      </c>
      <c r="BD428" s="138" t="str">
        <f aca="false">IF($BZ428&lt;&gt;Constants!$B$8,"",Constants!$B$25*ABS($AD$9-IF($AL428,$AM428,0)))</f>
        <v/>
      </c>
      <c r="BE428" s="138" t="str">
        <f aca="false">IF($BZ428&lt;&gt;Constants!$B$8,"",IF(AND($AL428,$AQ428,$AO428),Constants!$B$27,0))</f>
        <v/>
      </c>
      <c r="BF428" s="138" t="str">
        <f aca="false">IF($BZ428&lt;&gt;Constants!$B$8,"",IF($AL428,($AI428-Constants!$B$29)*Constants!$B$28,0))</f>
        <v/>
      </c>
      <c r="BG428" s="138" t="str">
        <f aca="false">IF($BZ428&lt;&gt;Constants!$B$8,"",IF($AK428,0,Constants!$B$15)+IF($AJ428,0,Constants!$B$16)+IF($AH428,0,Constants!$B$17))</f>
        <v/>
      </c>
      <c r="BH428" s="139" t="str">
        <f aca="false">IF($BZ428&lt;&gt;Constants!$B$8,"",Constants!$B$20+SUM($BC428:$BG428))</f>
        <v/>
      </c>
      <c r="BI428" s="138" t="str">
        <f aca="false">IF($BZ428&lt;&gt;Constants!$B$8,"",$BC428)</f>
        <v/>
      </c>
      <c r="BJ428" s="138" t="str">
        <f aca="false">IF($BZ428&lt;&gt;Constants!$B$8,"",$BD428)</f>
        <v/>
      </c>
      <c r="BK428" s="138" t="str">
        <f aca="false">IF($BZ428&lt;&gt;Constants!$B$8,"",IF($AL428,$AN428,""))</f>
        <v/>
      </c>
      <c r="BL428" s="140" t="str">
        <f aca="false">IF($BZ428&lt;&gt;Constants!$B$8,"",$AI428)</f>
        <v/>
      </c>
      <c r="BM428" s="135" t="str">
        <f aca="false">IF($BZ428&lt;&gt;Constants!$B$8,"",IF(OR($BT428&lt;$BH428,AND($BT428=$BH428,OR($BU428&lt;$BI428,AND($BU428=$BI428,OR($BV428&lt;$BJ428,AND($BV428=$BJ428,OR(AND(ISNUMBER($BW428),OR(NOT(ISNUMBER($BK428)),$BW428&lt;$BK428)),AND(OR(AND($BW428="",$BK428=""),AND(ISNUMBER($BW428),ISNUMBER($BK428),$BW428=$BK428)),$BX428&lt;$BL428)))))))),"-&gt;","&lt;-"))</f>
        <v/>
      </c>
      <c r="BN428" s="134" t="str">
        <f aca="false">IF(ISBLANK($C428),"",AND($AT428,OR($AU428="",$AV428="",AND($AW428,$AX428=""))))</f>
        <v/>
      </c>
      <c r="BO428" s="137" t="str">
        <f aca="false">IF($BZ428&lt;&gt;Constants!$B$8,"",IF($AT428,Constants!$B$21*$AV428+Constants!$B$22*IF($AW428,$AX428,Constants!$B$23),Constants!$B$24))</f>
        <v/>
      </c>
      <c r="BP428" s="138" t="str">
        <f aca="false">IF($BZ428&lt;&gt;Constants!$B$8,"",Constants!$B$25*ABS($AD$9-IF($AT428,$AU428,0)))</f>
        <v/>
      </c>
      <c r="BQ428" s="138" t="str">
        <f aca="false">IF($BZ428&lt;&gt;Constants!$B$8,"",IF(AND($AT428,$AY428,$AW428),Constants!$B$27,0))</f>
        <v/>
      </c>
      <c r="BR428" s="138" t="str">
        <f aca="false">IF($BZ428&lt;&gt;Constants!$B$8,"",IF($AT428,($AI428-Constants!$B$29)*Constants!$B$28,0))</f>
        <v/>
      </c>
      <c r="BS428" s="138" t="str">
        <f aca="false">IF($BZ428&lt;&gt;Constants!$B$8,"",IF($AS428,0,Constants!$B$15)+IF($AR428,0,Constants!$B$16)+IF($AH428,0,Constants!$B$17))</f>
        <v/>
      </c>
      <c r="BT428" s="139" t="str">
        <f aca="false">IF($BZ428&lt;&gt;Constants!$B$8,"",Constants!$B$20+SUM($BO428:$BS428))</f>
        <v/>
      </c>
      <c r="BU428" s="138" t="str">
        <f aca="false">IF($BZ428&lt;&gt;Constants!$B$8,"",$BO428)</f>
        <v/>
      </c>
      <c r="BV428" s="138" t="str">
        <f aca="false">IF($BZ428&lt;&gt;Constants!$B$8,"",$BP428)</f>
        <v/>
      </c>
      <c r="BW428" s="138" t="str">
        <f aca="false">IF($BZ428&lt;&gt;Constants!$B$8,"",IF($AT428,$AV428,""))</f>
        <v/>
      </c>
      <c r="BX428" s="140" t="str">
        <f aca="false">IF($BZ428&lt;&gt;Constants!$B$8,"",$AI428)</f>
        <v/>
      </c>
      <c r="BY428" s="135" t="str">
        <f aca="false">IF(ISBLANK($C428),"",IF(ISBLANK($D$7),$BY$5,IF(NOT(ISNUMBER($D$7)),$BY$6,"")))</f>
        <v/>
      </c>
      <c r="BZ428" s="135" t="str">
        <f aca="false">IF(ISBLANK($C428),"",IF($BA428,Constants!$B$11,IF(COUNTA($E428:$AA428)=0,Constants!$B$10,IF(NOT($AG428),Constants!$B$9,IF(OR($BY428&lt;&gt;"",$BB428,$BN428),Constants!$B$12,Constants!$B$8)))))</f>
        <v/>
      </c>
      <c r="CA428" s="135" t="str">
        <f aca="false">IF(ISBLANK($C428),"",IF($BZ428&lt;&gt;Constants!$B$8,$BZ428,Constants!$B$13))</f>
        <v/>
      </c>
      <c r="CB428" s="138" t="str">
        <f aca="false">IF($BZ428&lt;&gt;Constants!$B$8,"",IF($BM428="-&gt;",$BT428,$BH428))</f>
        <v/>
      </c>
      <c r="CC428" s="138" t="str">
        <f aca="false">IF($BZ428&lt;&gt;Constants!$B$8,"",IF($AF428,0,Constants!$B$18))</f>
        <v/>
      </c>
      <c r="CD428" s="138" t="str">
        <f aca="false">IF($BZ428&lt;&gt;Constants!$B$8,"",((Constants!$B$31-$AZ428)-Constants!$B$31)/Constants!$B$32)</f>
        <v/>
      </c>
      <c r="CE428" s="138" t="str">
        <f aca="false">IF(ISBLANK($C428),"",IF($BZ428&lt;&gt;Constants!$B$8,$BZ428,SUM($CB428:$CD428)))</f>
        <v/>
      </c>
      <c r="CF428" s="135" t="str">
        <f aca="false">IF(ISBLANK($C428),"",IF($BZ428&lt;&gt;Constants!$B$8,$BZ428,RANK($CE428,$CE$9:$CE$508,1)))</f>
        <v/>
      </c>
      <c r="CG428" s="138" t="str">
        <f aca="false">IF($BZ428&lt;&gt;Constants!$B$8,"",IF($BM428="-&gt;",$BU428,$BI428))</f>
        <v/>
      </c>
      <c r="CH428" s="135" t="str">
        <f aca="false">IF(ISBLANK($C428),"",IF($BZ428&lt;&gt;Constants!$B$8,$BZ428,IF(ISNUMBER($CG428),RANK($CG428,$CG$9:$CG$508,1),COUNT($CG$9:$CG$508)+1)))</f>
        <v/>
      </c>
      <c r="CI428" s="138" t="str">
        <f aca="false">IF($BZ428&lt;&gt;Constants!$B$8,"",IF($BM428="-&gt;",$BV428,$BJ428))</f>
        <v/>
      </c>
      <c r="CJ428" s="135" t="str">
        <f aca="false">IF(ISBLANK($C428),"",IF($BZ428&lt;&gt;Constants!$B$8,$BZ428,IF(ISNUMBER($CI428),RANK($CI428,$CI$9:$CI$508,1),COUNT($CI$9:$CI$508)+1)))</f>
        <v/>
      </c>
      <c r="CK428" s="138" t="str">
        <f aca="false">IF($BZ428&lt;&gt;Constants!$B$8,"",IF($BM428="-&gt;",$BW428,$BK428))</f>
        <v/>
      </c>
      <c r="CL428" s="135" t="str">
        <f aca="false">IF(ISBLANK($C428),"",IF($BZ428&lt;&gt;Constants!$B$8,$BZ428,IF(ISNUMBER($CK428),RANK($CK428,$CK$9:$CK$508,1),COUNT($CK$9:$CK$508)+1)))</f>
        <v/>
      </c>
      <c r="CM428" s="138" t="str">
        <f aca="false">IF($BZ428&lt;&gt;Constants!$B$8,"",IF(AND(NOT($AL428),NOT($AT428),$AJ428,$AK428,$AR428,$AS428),"",IF($BM428="-&gt;",$BX428,$BL428)))</f>
        <v/>
      </c>
      <c r="CN428" s="135" t="str">
        <f aca="false">IF(ISBLANK($C428),"",IF($BZ428&lt;&gt;Constants!$B$8,$BZ428,IF(ISNUMBER($CM428),RANK($CM428,$CM$9:$CM$508,1),COUNT($CM$9:$CM$508)+1)))</f>
        <v/>
      </c>
      <c r="CO428" s="135" t="str">
        <f aca="false">IF(ISBLANK($C428),"",IF($BZ428&lt;&gt;Constants!$B$8,$BZ428,COUNTIFS($CF$9:$CF$508,"&lt;"&amp;$CF428)+COUNTIFS($CF$9:$CF$508,$CF428,$CH$9:$CH$508,"&lt;"&amp;$CH428)+COUNTIFS($CF$9:$CF$508,$CF428,$CH$9:$CH$508,$CH428,$CJ$9:$CJ$508,"&lt;"&amp;$CJ428)+COUNTIFS($CF$9:$CF$508,$CF428,$CH$9:$CH$508,$CH428,$CJ$9:$CJ$508,$CJ428,$CL$9:$CL$508,"&lt;"&amp;$CL428)+COUNTIFS($CF$9:$CF$508,$CF428,$CH$9:$CH$508,$CH428,$CJ$9:$CJ$508,$CJ428,$CL$9:$CL$508,$CL428,$CN$9:$CN$508,"&lt;"&amp;$CN428)+1))</f>
        <v/>
      </c>
      <c r="CP428" s="135" t="str">
        <f aca="false">IF(ISBLANK($C428),"",IF($BZ428&lt;&gt;Constants!$B$8,$BZ428,$CF428-$CO428))</f>
        <v/>
      </c>
      <c r="CQ428" s="141"/>
      <c r="CR428" s="142"/>
      <c r="CS428" s="143" t="str">
        <f aca="false">IF(ISBLANK($C428),"",IF($BZ428=Constants!$B$12,$BY428,""))</f>
        <v/>
      </c>
      <c r="CT428" s="142" t="str">
        <f aca="false">IF(ISBLANK($C428),"",IF($BZ428&lt;&gt;Constants!$B$8,"",IF($BM428="-&gt;",2,1)))</f>
        <v/>
      </c>
      <c r="CU428" s="144" t="str">
        <f aca="false">IF(ISBLANK($C428),"",IF($BZ428&lt;&gt;Constants!$B$8,"",IF($BM428="-&gt;",$BO428,$BC428)))</f>
        <v/>
      </c>
      <c r="CV428" s="144" t="str">
        <f aca="false">IF(ISBLANK($C428),"",IF($BZ428&lt;&gt;Constants!$B$8,"",IF($BM428="-&gt;",$BP428,$BD428)))</f>
        <v/>
      </c>
      <c r="CW428" s="144" t="str">
        <f aca="false">IF(ISBLANK($C428),"",IF($BZ428&lt;&gt;Constants!$B$8,"",IF($BM428="-&gt;",$BQ428+$BR428,$BE428+$BF428)+$CD428))</f>
        <v/>
      </c>
      <c r="CX428" s="144" t="str">
        <f aca="false">IF(ISBLANK($C428),"",IF($BZ428&lt;&gt;Constants!$B$8,"",IF($BM428="-&gt;",$BS428,$BG428)+$CC428))</f>
        <v/>
      </c>
      <c r="CY428" s="145" t="str">
        <f aca="false">IF(ISBLANK($C428),"",IF($BZ428&lt;&gt;Constants!$B$8,$BZ428,$CE428))</f>
        <v/>
      </c>
      <c r="CZ428" s="146" t="str">
        <f aca="false">IF(ISBLANK($C428),"",$CA428)</f>
        <v/>
      </c>
      <c r="DA428" s="147" t="str">
        <f aca="false">IF(ISBLANK($C428),"",$CP428)</f>
        <v/>
      </c>
      <c r="DB428" s="147" t="str">
        <f aca="false">IF(ISBLANK($C428),"",$CO428)</f>
        <v/>
      </c>
      <c r="DC428" s="148" t="str">
        <f aca="false">IF(ISBLANK($C428),"",IFERROR(_xlfn.SWITCH($DB428,Constants!$B$11,COUNTA($C$9:$C$508)+2,Constants!$B$10,COUNTA($C$9:$C$508)+1,Constants!$B$9,COUNTA($C$9:$C$508)),$DB428))</f>
        <v/>
      </c>
      <c r="DD428" s="9"/>
      <c r="DE428" s="149" t="n">
        <f aca="false">IF(OR(ISNUMBER($DB428),$DB428=Constants!$B$11,$DB428=Constants!$B$9,$DB428=Constants!$B$10),1,0)</f>
        <v>0</v>
      </c>
      <c r="DF428" s="149" t="n">
        <v>420</v>
      </c>
      <c r="DG428" s="149" t="str">
        <f aca="false">IF(ISBLANK($C428),"",IF(ISNUMBER($DC428),$DC428+ROW($B428)/1000,""))</f>
        <v/>
      </c>
      <c r="DH428" s="149" t="str">
        <f aca="false">IF(ISNUMBER($DG428),RANK($DG428,$DG$9:$DG$508,1),"")</f>
        <v/>
      </c>
      <c r="DI428" s="149" t="str">
        <f aca="false">IF(ISBLANK($C428),"",$B428)</f>
        <v/>
      </c>
      <c r="DJ428" s="149" t="str">
        <f aca="false">IF(ISBLANK($C428),"",$C428)</f>
        <v/>
      </c>
      <c r="DK428" s="149" t="str">
        <f aca="false">IF(ISBLANK($C428),"",$D428)</f>
        <v/>
      </c>
      <c r="DL428" s="150" t="str">
        <f aca="false">$CZ428</f>
        <v/>
      </c>
      <c r="DM428" s="151" t="str">
        <f aca="false">$CY428</f>
        <v/>
      </c>
      <c r="DN428" s="149" t="str">
        <f aca="false">IF(ISBLANK($C428),"",$DB428)</f>
        <v/>
      </c>
      <c r="DO428" s="152" t="str">
        <f aca="false">IF($DF428&gt;$DE$8,"",VLOOKUP($DF428,$DH$9:$DN$508,7,FALSE()))</f>
        <v/>
      </c>
      <c r="DP428" s="153" t="str">
        <f aca="false">IF($DF428&gt;$DE$8,"",VLOOKUP($DF428,$DH$9:$DN$508,2,FALSE()))</f>
        <v/>
      </c>
      <c r="DQ428" s="153" t="str">
        <f aca="false">IF($DF428&gt;$DE$8,"",VLOOKUP($DF428,$DH$9:$DN$508,3,FALSE()))</f>
        <v/>
      </c>
      <c r="DR428" s="153" t="str">
        <f aca="false">IF($DF428&gt;$DE$8,"",VLOOKUP($DF428,$DH$9:$DN$508,4,FALSE()))</f>
        <v/>
      </c>
      <c r="DS428" s="153" t="str">
        <f aca="false">IF($DF428&gt;$DE$8,"",VLOOKUP($DF428,$DH$9:$DN$508,5,FALSE()))</f>
        <v/>
      </c>
      <c r="DT428" s="154" t="str">
        <f aca="false">IF($DF428&gt;$DE$8,"",VLOOKUP($DF428,$DH$9:$DN$508,6,FALSE()))</f>
        <v/>
      </c>
      <c r="DU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IF(ISBLANK($C429),"",IF(E429=Constants!$B$3,TRUE(),IF(E429=Constants!$B$4,FALSE(),TRUE())))</f>
        <v/>
      </c>
      <c r="AG429" s="93" t="str">
        <f aca="false">IF(ISBLANK($C429),"",IF(F429=Constants!$B$3,TRUE(),IF(F429=Constants!$B$4,FALSE(),TRUE())))</f>
        <v/>
      </c>
      <c r="AH429" s="93" t="str">
        <f aca="false">IF(ISBLANK($C429),"",IF(G429=Constants!$B$3,TRUE(),IF(G429=Constants!$B$4,FALSE(),TRUE())))</f>
        <v/>
      </c>
      <c r="AI429" s="93" t="str">
        <f aca="false">IF(ISBLANK($C429),"",IF(AND(ISNUMBER(H429),H429&gt;=0),H429,Constants!$B$29))</f>
        <v/>
      </c>
      <c r="AJ429" s="93" t="str">
        <f aca="false">IF(ISBLANK($C429),"",IF(I429=Constants!$B$3,TRUE(),IF(I429=Constants!$B$4,FALSE(),TRUE())))</f>
        <v/>
      </c>
      <c r="AK429" s="93" t="str">
        <f aca="false">IF(ISBLANK($C429),"",IF(J429=Constants!$B$3,TRUE(),IF(J429=Constants!$B$4,FALSE(),TRUE())))</f>
        <v/>
      </c>
      <c r="AL429" s="93" t="str">
        <f aca="false">IF(ISBLANK($C429),"",IF(K429=Constants!$B$5,TRUE(),IF(K429=Constants!$B$6,FALSE(),COUNTA(L429:P429)&gt;0)))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IF(ISBLANK($C429),"",IF(N429=Constants!$B$3,TRUE(),IF(N429=Constants!$B$4,FALSE(),TRUE())))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IF(ISBLANK($C429),"",IF(P429=Constants!$B$3,TRUE(),IF(P429=Constants!$B$4,FALSE(),FALSE())))</f>
        <v/>
      </c>
      <c r="AR429" s="93" t="str">
        <f aca="false">IF(ISBLANK($C429),"",IF(Q429=Constants!$B$3,TRUE(),IF(Q429=Constants!$B$4,FALSE(),TRUE())))</f>
        <v/>
      </c>
      <c r="AS429" s="93" t="str">
        <f aca="false">IF(ISBLANK($C429),"",IF(R429=Constants!$B$3,TRUE(),IF(R429=Constants!$B$4,FALSE(),TRUE())))</f>
        <v/>
      </c>
      <c r="AT429" s="93" t="str">
        <f aca="false">IF(ISBLANK($C429),"",IF(S429=Constants!$B$5,TRUE(),IF(S429=Constants!$B$6,FALSE(),COUNTA(T429:X429)&gt;0)))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IF(ISBLANK($C429),"",IF(V429=Constants!$B$3,TRUE(),IF(V429=Constants!$B$4,FALSE(),TRUE())))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IF(ISBLANK($C429),"",IF(X429=Constants!$B$3,TRUE(),IF(X429=Constants!$B$4,FALSE(),FALSE())))</f>
        <v/>
      </c>
      <c r="AZ429" s="93" t="str">
        <f aca="false">IF(ISBLANK($C429),"",MIN(Constants!$B$31,MAX(0,IF(ISNUMBER(Y429),Y429*60,0)+IF(ISNUMBER(Z429),Z429,0))))</f>
        <v/>
      </c>
      <c r="BA429" s="93" t="str">
        <f aca="false">IF(ISBLANK($C429),"",IF(AA429=Constants!$B$3,TRUE(),IF(AA429=Constants!$B$4,FALSE(),FALSE())))</f>
        <v/>
      </c>
      <c r="BB429" s="92" t="str">
        <f aca="false">IF(ISBLANK($C429),"",AND($AL429,OR($AM429="",$AN429="",AND($AO429,$AP429=""))))</f>
        <v/>
      </c>
      <c r="BC429" s="94" t="str">
        <f aca="false">IF($BZ429&lt;&gt;Constants!$B$8,"",IF($AL429,Constants!$B$21*$AN429+Constants!$B$22*IF($AO429,$AP429,Constants!$B$23),Constants!$B$24))</f>
        <v/>
      </c>
      <c r="BD429" s="97" t="str">
        <f aca="false">IF($BZ429&lt;&gt;Constants!$B$8,"",Constants!$B$25*ABS($AD$9-IF($AL429,$AM429,0)))</f>
        <v/>
      </c>
      <c r="BE429" s="97" t="str">
        <f aca="false">IF($BZ429&lt;&gt;Constants!$B$8,"",IF(AND($AL429,$AQ429,$AO429),Constants!$B$27,0))</f>
        <v/>
      </c>
      <c r="BF429" s="97" t="str">
        <f aca="false">IF($BZ429&lt;&gt;Constants!$B$8,"",IF($AL429,($AI429-Constants!$B$29)*Constants!$B$28,0))</f>
        <v/>
      </c>
      <c r="BG429" s="97" t="str">
        <f aca="false">IF($BZ429&lt;&gt;Constants!$B$8,"",IF($AK429,0,Constants!$B$15)+IF($AJ429,0,Constants!$B$16)+IF($AH429,0,Constants!$B$17))</f>
        <v/>
      </c>
      <c r="BH429" s="98" t="str">
        <f aca="false">IF($BZ429&lt;&gt;Constants!$B$8,"",Constants!$B$20+SUM($BC429:$BG429))</f>
        <v/>
      </c>
      <c r="BI429" s="97" t="str">
        <f aca="false">IF($BZ429&lt;&gt;Constants!$B$8,"",$BC429)</f>
        <v/>
      </c>
      <c r="BJ429" s="97" t="str">
        <f aca="false">IF($BZ429&lt;&gt;Constants!$B$8,"",$BD429)</f>
        <v/>
      </c>
      <c r="BK429" s="97" t="str">
        <f aca="false">IF($BZ429&lt;&gt;Constants!$B$8,"",IF($AL429,$AN429,""))</f>
        <v/>
      </c>
      <c r="BL429" s="99" t="str">
        <f aca="false">IF($BZ429&lt;&gt;Constants!$B$8,"",$AI429)</f>
        <v/>
      </c>
      <c r="BM429" s="93" t="str">
        <f aca="false">IF($BZ429&lt;&gt;Constants!$B$8,"",IF(OR($BT429&lt;$BH429,AND($BT429=$BH429,OR($BU429&lt;$BI429,AND($BU429=$BI429,OR($BV429&lt;$BJ429,AND($BV429=$BJ429,OR(AND(ISNUMBER($BW429),OR(NOT(ISNUMBER($BK429)),$BW429&lt;$BK429)),AND(OR(AND($BW429="",$BK429=""),AND(ISNUMBER($BW429),ISNUMBER($BK429),$BW429=$BK429)),$BX429&lt;$BL429)))))))),"-&gt;","&lt;-"))</f>
        <v/>
      </c>
      <c r="BN429" s="92" t="str">
        <f aca="false">IF(ISBLANK($C429),"",AND($AT429,OR($AU429="",$AV429="",AND($AW429,$AX429=""))))</f>
        <v/>
      </c>
      <c r="BO429" s="94" t="str">
        <f aca="false">IF($BZ429&lt;&gt;Constants!$B$8,"",IF($AT429,Constants!$B$21*$AV429+Constants!$B$22*IF($AW429,$AX429,Constants!$B$23),Constants!$B$24))</f>
        <v/>
      </c>
      <c r="BP429" s="97" t="str">
        <f aca="false">IF($BZ429&lt;&gt;Constants!$B$8,"",Constants!$B$25*ABS($AD$9-IF($AT429,$AU429,0)))</f>
        <v/>
      </c>
      <c r="BQ429" s="97" t="str">
        <f aca="false">IF($BZ429&lt;&gt;Constants!$B$8,"",IF(AND($AT429,$AY429,$AW429),Constants!$B$27,0))</f>
        <v/>
      </c>
      <c r="BR429" s="97" t="str">
        <f aca="false">IF($BZ429&lt;&gt;Constants!$B$8,"",IF($AT429,($AI429-Constants!$B$29)*Constants!$B$28,0))</f>
        <v/>
      </c>
      <c r="BS429" s="97" t="str">
        <f aca="false">IF($BZ429&lt;&gt;Constants!$B$8,"",IF($AS429,0,Constants!$B$15)+IF($AR429,0,Constants!$B$16)+IF($AH429,0,Constants!$B$17))</f>
        <v/>
      </c>
      <c r="BT429" s="98" t="str">
        <f aca="false">IF($BZ429&lt;&gt;Constants!$B$8,"",Constants!$B$20+SUM($BO429:$BS429))</f>
        <v/>
      </c>
      <c r="BU429" s="97" t="str">
        <f aca="false">IF($BZ429&lt;&gt;Constants!$B$8,"",$BO429)</f>
        <v/>
      </c>
      <c r="BV429" s="97" t="str">
        <f aca="false">IF($BZ429&lt;&gt;Constants!$B$8,"",$BP429)</f>
        <v/>
      </c>
      <c r="BW429" s="97" t="str">
        <f aca="false">IF($BZ429&lt;&gt;Constants!$B$8,"",IF($AT429,$AV429,""))</f>
        <v/>
      </c>
      <c r="BX429" s="99" t="str">
        <f aca="false">IF($BZ429&lt;&gt;Constants!$B$8,"",$AI429)</f>
        <v/>
      </c>
      <c r="BY429" s="93" t="str">
        <f aca="false">IF(ISBLANK($C429),"",IF(ISBLANK($D$7),$BY$5,IF(NOT(ISNUMBER($D$7)),$BY$6,"")))</f>
        <v/>
      </c>
      <c r="BZ429" s="93" t="str">
        <f aca="false">IF(ISBLANK($C429),"",IF($BA429,Constants!$B$11,IF(COUNTA($E429:$AA429)=0,Constants!$B$10,IF(NOT($AG429),Constants!$B$9,IF(OR($BY429&lt;&gt;"",$BB429,$BN429),Constants!$B$12,Constants!$B$8)))))</f>
        <v/>
      </c>
      <c r="CA429" s="93" t="str">
        <f aca="false">IF(ISBLANK($C429),"",IF($BZ429&lt;&gt;Constants!$B$8,$BZ429,Constants!$B$13))</f>
        <v/>
      </c>
      <c r="CB429" s="97" t="str">
        <f aca="false">IF($BZ429&lt;&gt;Constants!$B$8,"",IF($BM429="-&gt;",$BT429,$BH429))</f>
        <v/>
      </c>
      <c r="CC429" s="97" t="str">
        <f aca="false">IF($BZ429&lt;&gt;Constants!$B$8,"",IF($AF429,0,Constants!$B$18))</f>
        <v/>
      </c>
      <c r="CD429" s="97" t="str">
        <f aca="false">IF($BZ429&lt;&gt;Constants!$B$8,"",((Constants!$B$31-$AZ429)-Constants!$B$31)/Constants!$B$32)</f>
        <v/>
      </c>
      <c r="CE429" s="97" t="str">
        <f aca="false">IF(ISBLANK($C429),"",IF($BZ429&lt;&gt;Constants!$B$8,$BZ429,SUM($CB429:$CD429)))</f>
        <v/>
      </c>
      <c r="CF429" s="93" t="str">
        <f aca="false">IF(ISBLANK($C429),"",IF($BZ429&lt;&gt;Constants!$B$8,$BZ429,RANK($CE429,$CE$9:$CE$508,1)))</f>
        <v/>
      </c>
      <c r="CG429" s="97" t="str">
        <f aca="false">IF($BZ429&lt;&gt;Constants!$B$8,"",IF($BM429="-&gt;",$BU429,$BI429))</f>
        <v/>
      </c>
      <c r="CH429" s="93" t="str">
        <f aca="false">IF(ISBLANK($C429),"",IF($BZ429&lt;&gt;Constants!$B$8,$BZ429,IF(ISNUMBER($CG429),RANK($CG429,$CG$9:$CG$508,1),COUNT($CG$9:$CG$508)+1)))</f>
        <v/>
      </c>
      <c r="CI429" s="97" t="str">
        <f aca="false">IF($BZ429&lt;&gt;Constants!$B$8,"",IF($BM429="-&gt;",$BV429,$BJ429))</f>
        <v/>
      </c>
      <c r="CJ429" s="93" t="str">
        <f aca="false">IF(ISBLANK($C429),"",IF($BZ429&lt;&gt;Constants!$B$8,$BZ429,IF(ISNUMBER($CI429),RANK($CI429,$CI$9:$CI$508,1),COUNT($CI$9:$CI$508)+1)))</f>
        <v/>
      </c>
      <c r="CK429" s="97" t="str">
        <f aca="false">IF($BZ429&lt;&gt;Constants!$B$8,"",IF($BM429="-&gt;",$BW429,$BK429))</f>
        <v/>
      </c>
      <c r="CL429" s="93" t="str">
        <f aca="false">IF(ISBLANK($C429),"",IF($BZ429&lt;&gt;Constants!$B$8,$BZ429,IF(ISNUMBER($CK429),RANK($CK429,$CK$9:$CK$508,1),COUNT($CK$9:$CK$508)+1)))</f>
        <v/>
      </c>
      <c r="CM429" s="97" t="str">
        <f aca="false">IF($BZ429&lt;&gt;Constants!$B$8,"",IF(AND(NOT($AL429),NOT($AT429),$AJ429,$AK429,$AR429,$AS429),"",IF($BM429="-&gt;",$BX429,$BL429)))</f>
        <v/>
      </c>
      <c r="CN429" s="93" t="str">
        <f aca="false">IF(ISBLANK($C429),"",IF($BZ429&lt;&gt;Constants!$B$8,$BZ429,IF(ISNUMBER($CM429),RANK($CM429,$CM$9:$CM$508,1),COUNT($CM$9:$CM$508)+1)))</f>
        <v/>
      </c>
      <c r="CO429" s="93" t="str">
        <f aca="false">IF(ISBLANK($C429),"",IF($BZ429&lt;&gt;Constants!$B$8,$BZ429,COUNTIFS($CF$9:$CF$508,"&lt;"&amp;$CF429)+COUNTIFS($CF$9:$CF$508,$CF429,$CH$9:$CH$508,"&lt;"&amp;$CH429)+COUNTIFS($CF$9:$CF$508,$CF429,$CH$9:$CH$508,$CH429,$CJ$9:$CJ$508,"&lt;"&amp;$CJ429)+COUNTIFS($CF$9:$CF$508,$CF429,$CH$9:$CH$508,$CH429,$CJ$9:$CJ$508,$CJ429,$CL$9:$CL$508,"&lt;"&amp;$CL429)+COUNTIFS($CF$9:$CF$508,$CF429,$CH$9:$CH$508,$CH429,$CJ$9:$CJ$508,$CJ429,$CL$9:$CL$508,$CL429,$CN$9:$CN$508,"&lt;"&amp;$CN429)+1))</f>
        <v/>
      </c>
      <c r="CP429" s="93" t="str">
        <f aca="false">IF(ISBLANK($C429),"",IF($BZ429&lt;&gt;Constants!$B$8,$BZ429,$CF429-$CO429))</f>
        <v/>
      </c>
      <c r="CQ429" s="100"/>
      <c r="CR429" s="101"/>
      <c r="CS429" s="102" t="str">
        <f aca="false">IF(ISBLANK($C429),"",IF($BZ429=Constants!$B$12,$BY429,""))</f>
        <v/>
      </c>
      <c r="CT429" s="101" t="str">
        <f aca="false">IF(ISBLANK($C429),"",IF($BZ429&lt;&gt;Constants!$B$8,"",IF($BM429="-&gt;",2,1)))</f>
        <v/>
      </c>
      <c r="CU429" s="103" t="str">
        <f aca="false">IF(ISBLANK($C429),"",IF($BZ429&lt;&gt;Constants!$B$8,"",IF($BM429="-&gt;",$BO429,$BC429)))</f>
        <v/>
      </c>
      <c r="CV429" s="103" t="str">
        <f aca="false">IF(ISBLANK($C429),"",IF($BZ429&lt;&gt;Constants!$B$8,"",IF($BM429="-&gt;",$BP429,$BD429)))</f>
        <v/>
      </c>
      <c r="CW429" s="103" t="str">
        <f aca="false">IF(ISBLANK($C429),"",IF($BZ429&lt;&gt;Constants!$B$8,"",IF($BM429="-&gt;",$BQ429+$BR429,$BE429+$BF429)+$CD429))</f>
        <v/>
      </c>
      <c r="CX429" s="103" t="str">
        <f aca="false">IF(ISBLANK($C429),"",IF($BZ429&lt;&gt;Constants!$B$8,"",IF($BM429="-&gt;",$BS429,$BG429)+$CC429))</f>
        <v/>
      </c>
      <c r="CY429" s="104" t="str">
        <f aca="false">IF(ISBLANK($C429),"",IF($BZ429&lt;&gt;Constants!$B$8,$BZ429,$CE429))</f>
        <v/>
      </c>
      <c r="CZ429" s="105" t="str">
        <f aca="false">IF(ISBLANK($C429),"",$CA429)</f>
        <v/>
      </c>
      <c r="DA429" s="106" t="str">
        <f aca="false">IF(ISBLANK($C429),"",$CP429)</f>
        <v/>
      </c>
      <c r="DB429" s="106" t="str">
        <f aca="false">IF(ISBLANK($C429),"",$CO429)</f>
        <v/>
      </c>
      <c r="DC429" s="107" t="str">
        <f aca="false">IF(ISBLANK($C429),"",IFERROR(_xlfn.SWITCH($DB429,Constants!$B$11,COUNTA($C$9:$C$508)+2,Constants!$B$10,COUNTA($C$9:$C$508)+1,Constants!$B$9,COUNTA($C$9:$C$508)),$DB429))</f>
        <v/>
      </c>
      <c r="DD429" s="9"/>
      <c r="DE429" s="108" t="n">
        <f aca="false">IF(OR(ISNUMBER($DB429),$DB429=Constants!$B$11,$DB429=Constants!$B$9,$DB429=Constants!$B$10),1,0)</f>
        <v>0</v>
      </c>
      <c r="DF429" s="108" t="n">
        <v>421</v>
      </c>
      <c r="DG429" s="108" t="str">
        <f aca="false">IF(ISBLANK($C429),"",IF(ISNUMBER($DC429),$DC429+ROW($B429)/1000,""))</f>
        <v/>
      </c>
      <c r="DH429" s="108" t="str">
        <f aca="false">IF(ISNUMBER($DG429),RANK($DG429,$DG$9:$DG$508,1),"")</f>
        <v/>
      </c>
      <c r="DI429" s="108" t="str">
        <f aca="false">IF(ISBLANK($C429),"",$B429)</f>
        <v/>
      </c>
      <c r="DJ429" s="108" t="str">
        <f aca="false">IF(ISBLANK($C429),"",$C429)</f>
        <v/>
      </c>
      <c r="DK429" s="108" t="str">
        <f aca="false">IF(ISBLANK($C429),"",$D429)</f>
        <v/>
      </c>
      <c r="DL429" s="109" t="str">
        <f aca="false">$CZ429</f>
        <v/>
      </c>
      <c r="DM429" s="110" t="str">
        <f aca="false">$CY429</f>
        <v/>
      </c>
      <c r="DN429" s="108" t="str">
        <f aca="false">IF(ISBLANK($C429),"",$DB429)</f>
        <v/>
      </c>
      <c r="DO429" s="111" t="str">
        <f aca="false">IF($DF429&gt;$DE$8,"",VLOOKUP($DF429,$DH$9:$DN$508,7,FALSE()))</f>
        <v/>
      </c>
      <c r="DP429" s="112" t="str">
        <f aca="false">IF($DF429&gt;$DE$8,"",VLOOKUP($DF429,$DH$9:$DN$508,2,FALSE()))</f>
        <v/>
      </c>
      <c r="DQ429" s="112" t="str">
        <f aca="false">IF($DF429&gt;$DE$8,"",VLOOKUP($DF429,$DH$9:$DN$508,3,FALSE()))</f>
        <v/>
      </c>
      <c r="DR429" s="112" t="str">
        <f aca="false">IF($DF429&gt;$DE$8,"",VLOOKUP($DF429,$DH$9:$DN$508,4,FALSE()))</f>
        <v/>
      </c>
      <c r="DS429" s="112" t="str">
        <f aca="false">IF($DF429&gt;$DE$8,"",VLOOKUP($DF429,$DH$9:$DN$508,5,FALSE()))</f>
        <v/>
      </c>
      <c r="DT429" s="113" t="str">
        <f aca="false">IF($DF429&gt;$DE$8,"",VLOOKUP($DF429,$DH$9:$DN$508,6,FALSE()))</f>
        <v/>
      </c>
      <c r="DU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IF(ISBLANK($C430),"",IF(E430=Constants!$B$3,TRUE(),IF(E430=Constants!$B$4,FALSE(),TRUE())))</f>
        <v/>
      </c>
      <c r="AG430" s="93" t="str">
        <f aca="false">IF(ISBLANK($C430),"",IF(F430=Constants!$B$3,TRUE(),IF(F430=Constants!$B$4,FALSE(),TRUE())))</f>
        <v/>
      </c>
      <c r="AH430" s="93" t="str">
        <f aca="false">IF(ISBLANK($C430),"",IF(G430=Constants!$B$3,TRUE(),IF(G430=Constants!$B$4,FALSE(),TRUE())))</f>
        <v/>
      </c>
      <c r="AI430" s="93" t="str">
        <f aca="false">IF(ISBLANK($C430),"",IF(AND(ISNUMBER(H430),H430&gt;=0),H430,Constants!$B$29))</f>
        <v/>
      </c>
      <c r="AJ430" s="93" t="str">
        <f aca="false">IF(ISBLANK($C430),"",IF(I430=Constants!$B$3,TRUE(),IF(I430=Constants!$B$4,FALSE(),TRUE())))</f>
        <v/>
      </c>
      <c r="AK430" s="93" t="str">
        <f aca="false">IF(ISBLANK($C430),"",IF(J430=Constants!$B$3,TRUE(),IF(J430=Constants!$B$4,FALSE(),TRUE())))</f>
        <v/>
      </c>
      <c r="AL430" s="93" t="str">
        <f aca="false">IF(ISBLANK($C430),"",IF(K430=Constants!$B$5,TRUE(),IF(K430=Constants!$B$6,FALSE(),COUNTA(L430:P430)&gt;0)))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IF(ISBLANK($C430),"",IF(N430=Constants!$B$3,TRUE(),IF(N430=Constants!$B$4,FALSE(),TRUE())))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IF(ISBLANK($C430),"",IF(P430=Constants!$B$3,TRUE(),IF(P430=Constants!$B$4,FALSE(),FALSE())))</f>
        <v/>
      </c>
      <c r="AR430" s="93" t="str">
        <f aca="false">IF(ISBLANK($C430),"",IF(Q430=Constants!$B$3,TRUE(),IF(Q430=Constants!$B$4,FALSE(),TRUE())))</f>
        <v/>
      </c>
      <c r="AS430" s="93" t="str">
        <f aca="false">IF(ISBLANK($C430),"",IF(R430=Constants!$B$3,TRUE(),IF(R430=Constants!$B$4,FALSE(),TRUE())))</f>
        <v/>
      </c>
      <c r="AT430" s="93" t="str">
        <f aca="false">IF(ISBLANK($C430),"",IF(S430=Constants!$B$5,TRUE(),IF(S430=Constants!$B$6,FALSE(),COUNTA(T430:X430)&gt;0)))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IF(ISBLANK($C430),"",IF(V430=Constants!$B$3,TRUE(),IF(V430=Constants!$B$4,FALSE(),TRUE())))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IF(ISBLANK($C430),"",IF(X430=Constants!$B$3,TRUE(),IF(X430=Constants!$B$4,FALSE(),FALSE())))</f>
        <v/>
      </c>
      <c r="AZ430" s="93" t="str">
        <f aca="false">IF(ISBLANK($C430),"",MIN(Constants!$B$31,MAX(0,IF(ISNUMBER(Y430),Y430*60,0)+IF(ISNUMBER(Z430),Z430,0))))</f>
        <v/>
      </c>
      <c r="BA430" s="93" t="str">
        <f aca="false">IF(ISBLANK($C430),"",IF(AA430=Constants!$B$3,TRUE(),IF(AA430=Constants!$B$4,FALSE(),FALSE())))</f>
        <v/>
      </c>
      <c r="BB430" s="92" t="str">
        <f aca="false">IF(ISBLANK($C430),"",AND($AL430,OR($AM430="",$AN430="",AND($AO430,$AP430=""))))</f>
        <v/>
      </c>
      <c r="BC430" s="94" t="str">
        <f aca="false">IF($BZ430&lt;&gt;Constants!$B$8,"",IF($AL430,Constants!$B$21*$AN430+Constants!$B$22*IF($AO430,$AP430,Constants!$B$23),Constants!$B$24))</f>
        <v/>
      </c>
      <c r="BD430" s="97" t="str">
        <f aca="false">IF($BZ430&lt;&gt;Constants!$B$8,"",Constants!$B$25*ABS($AD$9-IF($AL430,$AM430,0)))</f>
        <v/>
      </c>
      <c r="BE430" s="97" t="str">
        <f aca="false">IF($BZ430&lt;&gt;Constants!$B$8,"",IF(AND($AL430,$AQ430,$AO430),Constants!$B$27,0))</f>
        <v/>
      </c>
      <c r="BF430" s="97" t="str">
        <f aca="false">IF($BZ430&lt;&gt;Constants!$B$8,"",IF($AL430,($AI430-Constants!$B$29)*Constants!$B$28,0))</f>
        <v/>
      </c>
      <c r="BG430" s="97" t="str">
        <f aca="false">IF($BZ430&lt;&gt;Constants!$B$8,"",IF($AK430,0,Constants!$B$15)+IF($AJ430,0,Constants!$B$16)+IF($AH430,0,Constants!$B$17))</f>
        <v/>
      </c>
      <c r="BH430" s="98" t="str">
        <f aca="false">IF($BZ430&lt;&gt;Constants!$B$8,"",Constants!$B$20+SUM($BC430:$BG430))</f>
        <v/>
      </c>
      <c r="BI430" s="97" t="str">
        <f aca="false">IF($BZ430&lt;&gt;Constants!$B$8,"",$BC430)</f>
        <v/>
      </c>
      <c r="BJ430" s="97" t="str">
        <f aca="false">IF($BZ430&lt;&gt;Constants!$B$8,"",$BD430)</f>
        <v/>
      </c>
      <c r="BK430" s="97" t="str">
        <f aca="false">IF($BZ430&lt;&gt;Constants!$B$8,"",IF($AL430,$AN430,""))</f>
        <v/>
      </c>
      <c r="BL430" s="99" t="str">
        <f aca="false">IF($BZ430&lt;&gt;Constants!$B$8,"",$AI430)</f>
        <v/>
      </c>
      <c r="BM430" s="93" t="str">
        <f aca="false">IF($BZ430&lt;&gt;Constants!$B$8,"",IF(OR($BT430&lt;$BH430,AND($BT430=$BH430,OR($BU430&lt;$BI430,AND($BU430=$BI430,OR($BV430&lt;$BJ430,AND($BV430=$BJ430,OR(AND(ISNUMBER($BW430),OR(NOT(ISNUMBER($BK430)),$BW430&lt;$BK430)),AND(OR(AND($BW430="",$BK430=""),AND(ISNUMBER($BW430),ISNUMBER($BK430),$BW430=$BK430)),$BX430&lt;$BL430)))))))),"-&gt;","&lt;-"))</f>
        <v/>
      </c>
      <c r="BN430" s="92" t="str">
        <f aca="false">IF(ISBLANK($C430),"",AND($AT430,OR($AU430="",$AV430="",AND($AW430,$AX430=""))))</f>
        <v/>
      </c>
      <c r="BO430" s="94" t="str">
        <f aca="false">IF($BZ430&lt;&gt;Constants!$B$8,"",IF($AT430,Constants!$B$21*$AV430+Constants!$B$22*IF($AW430,$AX430,Constants!$B$23),Constants!$B$24))</f>
        <v/>
      </c>
      <c r="BP430" s="97" t="str">
        <f aca="false">IF($BZ430&lt;&gt;Constants!$B$8,"",Constants!$B$25*ABS($AD$9-IF($AT430,$AU430,0)))</f>
        <v/>
      </c>
      <c r="BQ430" s="97" t="str">
        <f aca="false">IF($BZ430&lt;&gt;Constants!$B$8,"",IF(AND($AT430,$AY430,$AW430),Constants!$B$27,0))</f>
        <v/>
      </c>
      <c r="BR430" s="97" t="str">
        <f aca="false">IF($BZ430&lt;&gt;Constants!$B$8,"",IF($AT430,($AI430-Constants!$B$29)*Constants!$B$28,0))</f>
        <v/>
      </c>
      <c r="BS430" s="97" t="str">
        <f aca="false">IF($BZ430&lt;&gt;Constants!$B$8,"",IF($AS430,0,Constants!$B$15)+IF($AR430,0,Constants!$B$16)+IF($AH430,0,Constants!$B$17))</f>
        <v/>
      </c>
      <c r="BT430" s="98" t="str">
        <f aca="false">IF($BZ430&lt;&gt;Constants!$B$8,"",Constants!$B$20+SUM($BO430:$BS430))</f>
        <v/>
      </c>
      <c r="BU430" s="97" t="str">
        <f aca="false">IF($BZ430&lt;&gt;Constants!$B$8,"",$BO430)</f>
        <v/>
      </c>
      <c r="BV430" s="97" t="str">
        <f aca="false">IF($BZ430&lt;&gt;Constants!$B$8,"",$BP430)</f>
        <v/>
      </c>
      <c r="BW430" s="97" t="str">
        <f aca="false">IF($BZ430&lt;&gt;Constants!$B$8,"",IF($AT430,$AV430,""))</f>
        <v/>
      </c>
      <c r="BX430" s="99" t="str">
        <f aca="false">IF($BZ430&lt;&gt;Constants!$B$8,"",$AI430)</f>
        <v/>
      </c>
      <c r="BY430" s="93" t="str">
        <f aca="false">IF(ISBLANK($C430),"",IF(ISBLANK($D$7),$BY$5,IF(NOT(ISNUMBER($D$7)),$BY$6,"")))</f>
        <v/>
      </c>
      <c r="BZ430" s="93" t="str">
        <f aca="false">IF(ISBLANK($C430),"",IF($BA430,Constants!$B$11,IF(COUNTA($E430:$AA430)=0,Constants!$B$10,IF(NOT($AG430),Constants!$B$9,IF(OR($BY430&lt;&gt;"",$BB430,$BN430),Constants!$B$12,Constants!$B$8)))))</f>
        <v/>
      </c>
      <c r="CA430" s="93" t="str">
        <f aca="false">IF(ISBLANK($C430),"",IF($BZ430&lt;&gt;Constants!$B$8,$BZ430,Constants!$B$13))</f>
        <v/>
      </c>
      <c r="CB430" s="97" t="str">
        <f aca="false">IF($BZ430&lt;&gt;Constants!$B$8,"",IF($BM430="-&gt;",$BT430,$BH430))</f>
        <v/>
      </c>
      <c r="CC430" s="97" t="str">
        <f aca="false">IF($BZ430&lt;&gt;Constants!$B$8,"",IF($AF430,0,Constants!$B$18))</f>
        <v/>
      </c>
      <c r="CD430" s="97" t="str">
        <f aca="false">IF($BZ430&lt;&gt;Constants!$B$8,"",((Constants!$B$31-$AZ430)-Constants!$B$31)/Constants!$B$32)</f>
        <v/>
      </c>
      <c r="CE430" s="97" t="str">
        <f aca="false">IF(ISBLANK($C430),"",IF($BZ430&lt;&gt;Constants!$B$8,$BZ430,SUM($CB430:$CD430)))</f>
        <v/>
      </c>
      <c r="CF430" s="93" t="str">
        <f aca="false">IF(ISBLANK($C430),"",IF($BZ430&lt;&gt;Constants!$B$8,$BZ430,RANK($CE430,$CE$9:$CE$508,1)))</f>
        <v/>
      </c>
      <c r="CG430" s="97" t="str">
        <f aca="false">IF($BZ430&lt;&gt;Constants!$B$8,"",IF($BM430="-&gt;",$BU430,$BI430))</f>
        <v/>
      </c>
      <c r="CH430" s="93" t="str">
        <f aca="false">IF(ISBLANK($C430),"",IF($BZ430&lt;&gt;Constants!$B$8,$BZ430,IF(ISNUMBER($CG430),RANK($CG430,$CG$9:$CG$508,1),COUNT($CG$9:$CG$508)+1)))</f>
        <v/>
      </c>
      <c r="CI430" s="97" t="str">
        <f aca="false">IF($BZ430&lt;&gt;Constants!$B$8,"",IF($BM430="-&gt;",$BV430,$BJ430))</f>
        <v/>
      </c>
      <c r="CJ430" s="93" t="str">
        <f aca="false">IF(ISBLANK($C430),"",IF($BZ430&lt;&gt;Constants!$B$8,$BZ430,IF(ISNUMBER($CI430),RANK($CI430,$CI$9:$CI$508,1),COUNT($CI$9:$CI$508)+1)))</f>
        <v/>
      </c>
      <c r="CK430" s="97" t="str">
        <f aca="false">IF($BZ430&lt;&gt;Constants!$B$8,"",IF($BM430="-&gt;",$BW430,$BK430))</f>
        <v/>
      </c>
      <c r="CL430" s="93" t="str">
        <f aca="false">IF(ISBLANK($C430),"",IF($BZ430&lt;&gt;Constants!$B$8,$BZ430,IF(ISNUMBER($CK430),RANK($CK430,$CK$9:$CK$508,1),COUNT($CK$9:$CK$508)+1)))</f>
        <v/>
      </c>
      <c r="CM430" s="97" t="str">
        <f aca="false">IF($BZ430&lt;&gt;Constants!$B$8,"",IF(AND(NOT($AL430),NOT($AT430),$AJ430,$AK430,$AR430,$AS430),"",IF($BM430="-&gt;",$BX430,$BL430)))</f>
        <v/>
      </c>
      <c r="CN430" s="93" t="str">
        <f aca="false">IF(ISBLANK($C430),"",IF($BZ430&lt;&gt;Constants!$B$8,$BZ430,IF(ISNUMBER($CM430),RANK($CM430,$CM$9:$CM$508,1),COUNT($CM$9:$CM$508)+1)))</f>
        <v/>
      </c>
      <c r="CO430" s="93" t="str">
        <f aca="false">IF(ISBLANK($C430),"",IF($BZ430&lt;&gt;Constants!$B$8,$BZ430,COUNTIFS($CF$9:$CF$508,"&lt;"&amp;$CF430)+COUNTIFS($CF$9:$CF$508,$CF430,$CH$9:$CH$508,"&lt;"&amp;$CH430)+COUNTIFS($CF$9:$CF$508,$CF430,$CH$9:$CH$508,$CH430,$CJ$9:$CJ$508,"&lt;"&amp;$CJ430)+COUNTIFS($CF$9:$CF$508,$CF430,$CH$9:$CH$508,$CH430,$CJ$9:$CJ$508,$CJ430,$CL$9:$CL$508,"&lt;"&amp;$CL430)+COUNTIFS($CF$9:$CF$508,$CF430,$CH$9:$CH$508,$CH430,$CJ$9:$CJ$508,$CJ430,$CL$9:$CL$508,$CL430,$CN$9:$CN$508,"&lt;"&amp;$CN430)+1))</f>
        <v/>
      </c>
      <c r="CP430" s="93" t="str">
        <f aca="false">IF(ISBLANK($C430),"",IF($BZ430&lt;&gt;Constants!$B$8,$BZ430,$CF430-$CO430))</f>
        <v/>
      </c>
      <c r="CQ430" s="100"/>
      <c r="CR430" s="101"/>
      <c r="CS430" s="102" t="str">
        <f aca="false">IF(ISBLANK($C430),"",IF($BZ430=Constants!$B$12,$BY430,""))</f>
        <v/>
      </c>
      <c r="CT430" s="101" t="str">
        <f aca="false">IF(ISBLANK($C430),"",IF($BZ430&lt;&gt;Constants!$B$8,"",IF($BM430="-&gt;",2,1)))</f>
        <v/>
      </c>
      <c r="CU430" s="103" t="str">
        <f aca="false">IF(ISBLANK($C430),"",IF($BZ430&lt;&gt;Constants!$B$8,"",IF($BM430="-&gt;",$BO430,$BC430)))</f>
        <v/>
      </c>
      <c r="CV430" s="103" t="str">
        <f aca="false">IF(ISBLANK($C430),"",IF($BZ430&lt;&gt;Constants!$B$8,"",IF($BM430="-&gt;",$BP430,$BD430)))</f>
        <v/>
      </c>
      <c r="CW430" s="103" t="str">
        <f aca="false">IF(ISBLANK($C430),"",IF($BZ430&lt;&gt;Constants!$B$8,"",IF($BM430="-&gt;",$BQ430+$BR430,$BE430+$BF430)+$CD430))</f>
        <v/>
      </c>
      <c r="CX430" s="103" t="str">
        <f aca="false">IF(ISBLANK($C430),"",IF($BZ430&lt;&gt;Constants!$B$8,"",IF($BM430="-&gt;",$BS430,$BG430)+$CC430))</f>
        <v/>
      </c>
      <c r="CY430" s="104" t="str">
        <f aca="false">IF(ISBLANK($C430),"",IF($BZ430&lt;&gt;Constants!$B$8,$BZ430,$CE430))</f>
        <v/>
      </c>
      <c r="CZ430" s="105" t="str">
        <f aca="false">IF(ISBLANK($C430),"",$CA430)</f>
        <v/>
      </c>
      <c r="DA430" s="106" t="str">
        <f aca="false">IF(ISBLANK($C430),"",$CP430)</f>
        <v/>
      </c>
      <c r="DB430" s="106" t="str">
        <f aca="false">IF(ISBLANK($C430),"",$CO430)</f>
        <v/>
      </c>
      <c r="DC430" s="107" t="str">
        <f aca="false">IF(ISBLANK($C430),"",IFERROR(_xlfn.SWITCH($DB430,Constants!$B$11,COUNTA($C$9:$C$508)+2,Constants!$B$10,COUNTA($C$9:$C$508)+1,Constants!$B$9,COUNTA($C$9:$C$508)),$DB430))</f>
        <v/>
      </c>
      <c r="DD430" s="9"/>
      <c r="DE430" s="108" t="n">
        <f aca="false">IF(OR(ISNUMBER($DB430),$DB430=Constants!$B$11,$DB430=Constants!$B$9,$DB430=Constants!$B$10),1,0)</f>
        <v>0</v>
      </c>
      <c r="DF430" s="108" t="n">
        <v>422</v>
      </c>
      <c r="DG430" s="108" t="str">
        <f aca="false">IF(ISBLANK($C430),"",IF(ISNUMBER($DC430),$DC430+ROW($B430)/1000,""))</f>
        <v/>
      </c>
      <c r="DH430" s="108" t="str">
        <f aca="false">IF(ISNUMBER($DG430),RANK($DG430,$DG$9:$DG$508,1),"")</f>
        <v/>
      </c>
      <c r="DI430" s="108" t="str">
        <f aca="false">IF(ISBLANK($C430),"",$B430)</f>
        <v/>
      </c>
      <c r="DJ430" s="108" t="str">
        <f aca="false">IF(ISBLANK($C430),"",$C430)</f>
        <v/>
      </c>
      <c r="DK430" s="108" t="str">
        <f aca="false">IF(ISBLANK($C430),"",$D430)</f>
        <v/>
      </c>
      <c r="DL430" s="109" t="str">
        <f aca="false">$CZ430</f>
        <v/>
      </c>
      <c r="DM430" s="110" t="str">
        <f aca="false">$CY430</f>
        <v/>
      </c>
      <c r="DN430" s="108" t="str">
        <f aca="false">IF(ISBLANK($C430),"",$DB430)</f>
        <v/>
      </c>
      <c r="DO430" s="111" t="str">
        <f aca="false">IF($DF430&gt;$DE$8,"",VLOOKUP($DF430,$DH$9:$DN$508,7,FALSE()))</f>
        <v/>
      </c>
      <c r="DP430" s="112" t="str">
        <f aca="false">IF($DF430&gt;$DE$8,"",VLOOKUP($DF430,$DH$9:$DN$508,2,FALSE()))</f>
        <v/>
      </c>
      <c r="DQ430" s="112" t="str">
        <f aca="false">IF($DF430&gt;$DE$8,"",VLOOKUP($DF430,$DH$9:$DN$508,3,FALSE()))</f>
        <v/>
      </c>
      <c r="DR430" s="112" t="str">
        <f aca="false">IF($DF430&gt;$DE$8,"",VLOOKUP($DF430,$DH$9:$DN$508,4,FALSE()))</f>
        <v/>
      </c>
      <c r="DS430" s="112" t="str">
        <f aca="false">IF($DF430&gt;$DE$8,"",VLOOKUP($DF430,$DH$9:$DN$508,5,FALSE()))</f>
        <v/>
      </c>
      <c r="DT430" s="113" t="str">
        <f aca="false">IF($DF430&gt;$DE$8,"",VLOOKUP($DF430,$DH$9:$DN$508,6,FALSE()))</f>
        <v/>
      </c>
      <c r="DU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IF(ISBLANK($C431),"",IF(E431=Constants!$B$3,TRUE(),IF(E431=Constants!$B$4,FALSE(),TRUE())))</f>
        <v/>
      </c>
      <c r="AG431" s="93" t="str">
        <f aca="false">IF(ISBLANK($C431),"",IF(F431=Constants!$B$3,TRUE(),IF(F431=Constants!$B$4,FALSE(),TRUE())))</f>
        <v/>
      </c>
      <c r="AH431" s="93" t="str">
        <f aca="false">IF(ISBLANK($C431),"",IF(G431=Constants!$B$3,TRUE(),IF(G431=Constants!$B$4,FALSE(),TRUE())))</f>
        <v/>
      </c>
      <c r="AI431" s="93" t="str">
        <f aca="false">IF(ISBLANK($C431),"",IF(AND(ISNUMBER(H431),H431&gt;=0),H431,Constants!$B$29))</f>
        <v/>
      </c>
      <c r="AJ431" s="93" t="str">
        <f aca="false">IF(ISBLANK($C431),"",IF(I431=Constants!$B$3,TRUE(),IF(I431=Constants!$B$4,FALSE(),TRUE())))</f>
        <v/>
      </c>
      <c r="AK431" s="93" t="str">
        <f aca="false">IF(ISBLANK($C431),"",IF(J431=Constants!$B$3,TRUE(),IF(J431=Constants!$B$4,FALSE(),TRUE())))</f>
        <v/>
      </c>
      <c r="AL431" s="93" t="str">
        <f aca="false">IF(ISBLANK($C431),"",IF(K431=Constants!$B$5,TRUE(),IF(K431=Constants!$B$6,FALSE(),COUNTA(L431:P431)&gt;0)))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IF(ISBLANK($C431),"",IF(N431=Constants!$B$3,TRUE(),IF(N431=Constants!$B$4,FALSE(),TRUE())))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IF(ISBLANK($C431),"",IF(P431=Constants!$B$3,TRUE(),IF(P431=Constants!$B$4,FALSE(),FALSE())))</f>
        <v/>
      </c>
      <c r="AR431" s="93" t="str">
        <f aca="false">IF(ISBLANK($C431),"",IF(Q431=Constants!$B$3,TRUE(),IF(Q431=Constants!$B$4,FALSE(),TRUE())))</f>
        <v/>
      </c>
      <c r="AS431" s="93" t="str">
        <f aca="false">IF(ISBLANK($C431),"",IF(R431=Constants!$B$3,TRUE(),IF(R431=Constants!$B$4,FALSE(),TRUE())))</f>
        <v/>
      </c>
      <c r="AT431" s="93" t="str">
        <f aca="false">IF(ISBLANK($C431),"",IF(S431=Constants!$B$5,TRUE(),IF(S431=Constants!$B$6,FALSE(),COUNTA(T431:X431)&gt;0)))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IF(ISBLANK($C431),"",IF(V431=Constants!$B$3,TRUE(),IF(V431=Constants!$B$4,FALSE(),TRUE())))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IF(ISBLANK($C431),"",IF(X431=Constants!$B$3,TRUE(),IF(X431=Constants!$B$4,FALSE(),FALSE())))</f>
        <v/>
      </c>
      <c r="AZ431" s="93" t="str">
        <f aca="false">IF(ISBLANK($C431),"",MIN(Constants!$B$31,MAX(0,IF(ISNUMBER(Y431),Y431*60,0)+IF(ISNUMBER(Z431),Z431,0))))</f>
        <v/>
      </c>
      <c r="BA431" s="93" t="str">
        <f aca="false">IF(ISBLANK($C431),"",IF(AA431=Constants!$B$3,TRUE(),IF(AA431=Constants!$B$4,FALSE(),FALSE())))</f>
        <v/>
      </c>
      <c r="BB431" s="92" t="str">
        <f aca="false">IF(ISBLANK($C431),"",AND($AL431,OR($AM431="",$AN431="",AND($AO431,$AP431=""))))</f>
        <v/>
      </c>
      <c r="BC431" s="94" t="str">
        <f aca="false">IF($BZ431&lt;&gt;Constants!$B$8,"",IF($AL431,Constants!$B$21*$AN431+Constants!$B$22*IF($AO431,$AP431,Constants!$B$23),Constants!$B$24))</f>
        <v/>
      </c>
      <c r="BD431" s="97" t="str">
        <f aca="false">IF($BZ431&lt;&gt;Constants!$B$8,"",Constants!$B$25*ABS($AD$9-IF($AL431,$AM431,0)))</f>
        <v/>
      </c>
      <c r="BE431" s="97" t="str">
        <f aca="false">IF($BZ431&lt;&gt;Constants!$B$8,"",IF(AND($AL431,$AQ431,$AO431),Constants!$B$27,0))</f>
        <v/>
      </c>
      <c r="BF431" s="97" t="str">
        <f aca="false">IF($BZ431&lt;&gt;Constants!$B$8,"",IF($AL431,($AI431-Constants!$B$29)*Constants!$B$28,0))</f>
        <v/>
      </c>
      <c r="BG431" s="97" t="str">
        <f aca="false">IF($BZ431&lt;&gt;Constants!$B$8,"",IF($AK431,0,Constants!$B$15)+IF($AJ431,0,Constants!$B$16)+IF($AH431,0,Constants!$B$17))</f>
        <v/>
      </c>
      <c r="BH431" s="98" t="str">
        <f aca="false">IF($BZ431&lt;&gt;Constants!$B$8,"",Constants!$B$20+SUM($BC431:$BG431))</f>
        <v/>
      </c>
      <c r="BI431" s="97" t="str">
        <f aca="false">IF($BZ431&lt;&gt;Constants!$B$8,"",$BC431)</f>
        <v/>
      </c>
      <c r="BJ431" s="97" t="str">
        <f aca="false">IF($BZ431&lt;&gt;Constants!$B$8,"",$BD431)</f>
        <v/>
      </c>
      <c r="BK431" s="97" t="str">
        <f aca="false">IF($BZ431&lt;&gt;Constants!$B$8,"",IF($AL431,$AN431,""))</f>
        <v/>
      </c>
      <c r="BL431" s="99" t="str">
        <f aca="false">IF($BZ431&lt;&gt;Constants!$B$8,"",$AI431)</f>
        <v/>
      </c>
      <c r="BM431" s="93" t="str">
        <f aca="false">IF($BZ431&lt;&gt;Constants!$B$8,"",IF(OR($BT431&lt;$BH431,AND($BT431=$BH431,OR($BU431&lt;$BI431,AND($BU431=$BI431,OR($BV431&lt;$BJ431,AND($BV431=$BJ431,OR(AND(ISNUMBER($BW431),OR(NOT(ISNUMBER($BK431)),$BW431&lt;$BK431)),AND(OR(AND($BW431="",$BK431=""),AND(ISNUMBER($BW431),ISNUMBER($BK431),$BW431=$BK431)),$BX431&lt;$BL431)))))))),"-&gt;","&lt;-"))</f>
        <v/>
      </c>
      <c r="BN431" s="92" t="str">
        <f aca="false">IF(ISBLANK($C431),"",AND($AT431,OR($AU431="",$AV431="",AND($AW431,$AX431=""))))</f>
        <v/>
      </c>
      <c r="BO431" s="94" t="str">
        <f aca="false">IF($BZ431&lt;&gt;Constants!$B$8,"",IF($AT431,Constants!$B$21*$AV431+Constants!$B$22*IF($AW431,$AX431,Constants!$B$23),Constants!$B$24))</f>
        <v/>
      </c>
      <c r="BP431" s="97" t="str">
        <f aca="false">IF($BZ431&lt;&gt;Constants!$B$8,"",Constants!$B$25*ABS($AD$9-IF($AT431,$AU431,0)))</f>
        <v/>
      </c>
      <c r="BQ431" s="97" t="str">
        <f aca="false">IF($BZ431&lt;&gt;Constants!$B$8,"",IF(AND($AT431,$AY431,$AW431),Constants!$B$27,0))</f>
        <v/>
      </c>
      <c r="BR431" s="97" t="str">
        <f aca="false">IF($BZ431&lt;&gt;Constants!$B$8,"",IF($AT431,($AI431-Constants!$B$29)*Constants!$B$28,0))</f>
        <v/>
      </c>
      <c r="BS431" s="97" t="str">
        <f aca="false">IF($BZ431&lt;&gt;Constants!$B$8,"",IF($AS431,0,Constants!$B$15)+IF($AR431,0,Constants!$B$16)+IF($AH431,0,Constants!$B$17))</f>
        <v/>
      </c>
      <c r="BT431" s="98" t="str">
        <f aca="false">IF($BZ431&lt;&gt;Constants!$B$8,"",Constants!$B$20+SUM($BO431:$BS431))</f>
        <v/>
      </c>
      <c r="BU431" s="97" t="str">
        <f aca="false">IF($BZ431&lt;&gt;Constants!$B$8,"",$BO431)</f>
        <v/>
      </c>
      <c r="BV431" s="97" t="str">
        <f aca="false">IF($BZ431&lt;&gt;Constants!$B$8,"",$BP431)</f>
        <v/>
      </c>
      <c r="BW431" s="97" t="str">
        <f aca="false">IF($BZ431&lt;&gt;Constants!$B$8,"",IF($AT431,$AV431,""))</f>
        <v/>
      </c>
      <c r="BX431" s="99" t="str">
        <f aca="false">IF($BZ431&lt;&gt;Constants!$B$8,"",$AI431)</f>
        <v/>
      </c>
      <c r="BY431" s="93" t="str">
        <f aca="false">IF(ISBLANK($C431),"",IF(ISBLANK($D$7),$BY$5,IF(NOT(ISNUMBER($D$7)),$BY$6,"")))</f>
        <v/>
      </c>
      <c r="BZ431" s="93" t="str">
        <f aca="false">IF(ISBLANK($C431),"",IF($BA431,Constants!$B$11,IF(COUNTA($E431:$AA431)=0,Constants!$B$10,IF(NOT($AG431),Constants!$B$9,IF(OR($BY431&lt;&gt;"",$BB431,$BN431),Constants!$B$12,Constants!$B$8)))))</f>
        <v/>
      </c>
      <c r="CA431" s="93" t="str">
        <f aca="false">IF(ISBLANK($C431),"",IF($BZ431&lt;&gt;Constants!$B$8,$BZ431,Constants!$B$13))</f>
        <v/>
      </c>
      <c r="CB431" s="97" t="str">
        <f aca="false">IF($BZ431&lt;&gt;Constants!$B$8,"",IF($BM431="-&gt;",$BT431,$BH431))</f>
        <v/>
      </c>
      <c r="CC431" s="97" t="str">
        <f aca="false">IF($BZ431&lt;&gt;Constants!$B$8,"",IF($AF431,0,Constants!$B$18))</f>
        <v/>
      </c>
      <c r="CD431" s="97" t="str">
        <f aca="false">IF($BZ431&lt;&gt;Constants!$B$8,"",((Constants!$B$31-$AZ431)-Constants!$B$31)/Constants!$B$32)</f>
        <v/>
      </c>
      <c r="CE431" s="97" t="str">
        <f aca="false">IF(ISBLANK($C431),"",IF($BZ431&lt;&gt;Constants!$B$8,$BZ431,SUM($CB431:$CD431)))</f>
        <v/>
      </c>
      <c r="CF431" s="93" t="str">
        <f aca="false">IF(ISBLANK($C431),"",IF($BZ431&lt;&gt;Constants!$B$8,$BZ431,RANK($CE431,$CE$9:$CE$508,1)))</f>
        <v/>
      </c>
      <c r="CG431" s="97" t="str">
        <f aca="false">IF($BZ431&lt;&gt;Constants!$B$8,"",IF($BM431="-&gt;",$BU431,$BI431))</f>
        <v/>
      </c>
      <c r="CH431" s="93" t="str">
        <f aca="false">IF(ISBLANK($C431),"",IF($BZ431&lt;&gt;Constants!$B$8,$BZ431,IF(ISNUMBER($CG431),RANK($CG431,$CG$9:$CG$508,1),COUNT($CG$9:$CG$508)+1)))</f>
        <v/>
      </c>
      <c r="CI431" s="97" t="str">
        <f aca="false">IF($BZ431&lt;&gt;Constants!$B$8,"",IF($BM431="-&gt;",$BV431,$BJ431))</f>
        <v/>
      </c>
      <c r="CJ431" s="93" t="str">
        <f aca="false">IF(ISBLANK($C431),"",IF($BZ431&lt;&gt;Constants!$B$8,$BZ431,IF(ISNUMBER($CI431),RANK($CI431,$CI$9:$CI$508,1),COUNT($CI$9:$CI$508)+1)))</f>
        <v/>
      </c>
      <c r="CK431" s="97" t="str">
        <f aca="false">IF($BZ431&lt;&gt;Constants!$B$8,"",IF($BM431="-&gt;",$BW431,$BK431))</f>
        <v/>
      </c>
      <c r="CL431" s="93" t="str">
        <f aca="false">IF(ISBLANK($C431),"",IF($BZ431&lt;&gt;Constants!$B$8,$BZ431,IF(ISNUMBER($CK431),RANK($CK431,$CK$9:$CK$508,1),COUNT($CK$9:$CK$508)+1)))</f>
        <v/>
      </c>
      <c r="CM431" s="97" t="str">
        <f aca="false">IF($BZ431&lt;&gt;Constants!$B$8,"",IF(AND(NOT($AL431),NOT($AT431),$AJ431,$AK431,$AR431,$AS431),"",IF($BM431="-&gt;",$BX431,$BL431)))</f>
        <v/>
      </c>
      <c r="CN431" s="93" t="str">
        <f aca="false">IF(ISBLANK($C431),"",IF($BZ431&lt;&gt;Constants!$B$8,$BZ431,IF(ISNUMBER($CM431),RANK($CM431,$CM$9:$CM$508,1),COUNT($CM$9:$CM$508)+1)))</f>
        <v/>
      </c>
      <c r="CO431" s="93" t="str">
        <f aca="false">IF(ISBLANK($C431),"",IF($BZ431&lt;&gt;Constants!$B$8,$BZ431,COUNTIFS($CF$9:$CF$508,"&lt;"&amp;$CF431)+COUNTIFS($CF$9:$CF$508,$CF431,$CH$9:$CH$508,"&lt;"&amp;$CH431)+COUNTIFS($CF$9:$CF$508,$CF431,$CH$9:$CH$508,$CH431,$CJ$9:$CJ$508,"&lt;"&amp;$CJ431)+COUNTIFS($CF$9:$CF$508,$CF431,$CH$9:$CH$508,$CH431,$CJ$9:$CJ$508,$CJ431,$CL$9:$CL$508,"&lt;"&amp;$CL431)+COUNTIFS($CF$9:$CF$508,$CF431,$CH$9:$CH$508,$CH431,$CJ$9:$CJ$508,$CJ431,$CL$9:$CL$508,$CL431,$CN$9:$CN$508,"&lt;"&amp;$CN431)+1))</f>
        <v/>
      </c>
      <c r="CP431" s="93" t="str">
        <f aca="false">IF(ISBLANK($C431),"",IF($BZ431&lt;&gt;Constants!$B$8,$BZ431,$CF431-$CO431))</f>
        <v/>
      </c>
      <c r="CQ431" s="100"/>
      <c r="CR431" s="101"/>
      <c r="CS431" s="102" t="str">
        <f aca="false">IF(ISBLANK($C431),"",IF($BZ431=Constants!$B$12,$BY431,""))</f>
        <v/>
      </c>
      <c r="CT431" s="101" t="str">
        <f aca="false">IF(ISBLANK($C431),"",IF($BZ431&lt;&gt;Constants!$B$8,"",IF($BM431="-&gt;",2,1)))</f>
        <v/>
      </c>
      <c r="CU431" s="103" t="str">
        <f aca="false">IF(ISBLANK($C431),"",IF($BZ431&lt;&gt;Constants!$B$8,"",IF($BM431="-&gt;",$BO431,$BC431)))</f>
        <v/>
      </c>
      <c r="CV431" s="103" t="str">
        <f aca="false">IF(ISBLANK($C431),"",IF($BZ431&lt;&gt;Constants!$B$8,"",IF($BM431="-&gt;",$BP431,$BD431)))</f>
        <v/>
      </c>
      <c r="CW431" s="103" t="str">
        <f aca="false">IF(ISBLANK($C431),"",IF($BZ431&lt;&gt;Constants!$B$8,"",IF($BM431="-&gt;",$BQ431+$BR431,$BE431+$BF431)+$CD431))</f>
        <v/>
      </c>
      <c r="CX431" s="103" t="str">
        <f aca="false">IF(ISBLANK($C431),"",IF($BZ431&lt;&gt;Constants!$B$8,"",IF($BM431="-&gt;",$BS431,$BG431)+$CC431))</f>
        <v/>
      </c>
      <c r="CY431" s="104" t="str">
        <f aca="false">IF(ISBLANK($C431),"",IF($BZ431&lt;&gt;Constants!$B$8,$BZ431,$CE431))</f>
        <v/>
      </c>
      <c r="CZ431" s="105" t="str">
        <f aca="false">IF(ISBLANK($C431),"",$CA431)</f>
        <v/>
      </c>
      <c r="DA431" s="106" t="str">
        <f aca="false">IF(ISBLANK($C431),"",$CP431)</f>
        <v/>
      </c>
      <c r="DB431" s="106" t="str">
        <f aca="false">IF(ISBLANK($C431),"",$CO431)</f>
        <v/>
      </c>
      <c r="DC431" s="107" t="str">
        <f aca="false">IF(ISBLANK($C431),"",IFERROR(_xlfn.SWITCH($DB431,Constants!$B$11,COUNTA($C$9:$C$508)+2,Constants!$B$10,COUNTA($C$9:$C$508)+1,Constants!$B$9,COUNTA($C$9:$C$508)),$DB431))</f>
        <v/>
      </c>
      <c r="DD431" s="9"/>
      <c r="DE431" s="108" t="n">
        <f aca="false">IF(OR(ISNUMBER($DB431),$DB431=Constants!$B$11,$DB431=Constants!$B$9,$DB431=Constants!$B$10),1,0)</f>
        <v>0</v>
      </c>
      <c r="DF431" s="108" t="n">
        <v>423</v>
      </c>
      <c r="DG431" s="108" t="str">
        <f aca="false">IF(ISBLANK($C431),"",IF(ISNUMBER($DC431),$DC431+ROW($B431)/1000,""))</f>
        <v/>
      </c>
      <c r="DH431" s="108" t="str">
        <f aca="false">IF(ISNUMBER($DG431),RANK($DG431,$DG$9:$DG$508,1),"")</f>
        <v/>
      </c>
      <c r="DI431" s="108" t="str">
        <f aca="false">IF(ISBLANK($C431),"",$B431)</f>
        <v/>
      </c>
      <c r="DJ431" s="108" t="str">
        <f aca="false">IF(ISBLANK($C431),"",$C431)</f>
        <v/>
      </c>
      <c r="DK431" s="108" t="str">
        <f aca="false">IF(ISBLANK($C431),"",$D431)</f>
        <v/>
      </c>
      <c r="DL431" s="109" t="str">
        <f aca="false">$CZ431</f>
        <v/>
      </c>
      <c r="DM431" s="110" t="str">
        <f aca="false">$CY431</f>
        <v/>
      </c>
      <c r="DN431" s="108" t="str">
        <f aca="false">IF(ISBLANK($C431),"",$DB431)</f>
        <v/>
      </c>
      <c r="DO431" s="111" t="str">
        <f aca="false">IF($DF431&gt;$DE$8,"",VLOOKUP($DF431,$DH$9:$DN$508,7,FALSE()))</f>
        <v/>
      </c>
      <c r="DP431" s="112" t="str">
        <f aca="false">IF($DF431&gt;$DE$8,"",VLOOKUP($DF431,$DH$9:$DN$508,2,FALSE()))</f>
        <v/>
      </c>
      <c r="DQ431" s="112" t="str">
        <f aca="false">IF($DF431&gt;$DE$8,"",VLOOKUP($DF431,$DH$9:$DN$508,3,FALSE()))</f>
        <v/>
      </c>
      <c r="DR431" s="112" t="str">
        <f aca="false">IF($DF431&gt;$DE$8,"",VLOOKUP($DF431,$DH$9:$DN$508,4,FALSE()))</f>
        <v/>
      </c>
      <c r="DS431" s="112" t="str">
        <f aca="false">IF($DF431&gt;$DE$8,"",VLOOKUP($DF431,$DH$9:$DN$508,5,FALSE()))</f>
        <v/>
      </c>
      <c r="DT431" s="113" t="str">
        <f aca="false">IF($DF431&gt;$DE$8,"",VLOOKUP($DF431,$DH$9:$DN$508,6,FALSE()))</f>
        <v/>
      </c>
      <c r="DU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IF(ISBLANK($C432),"",IF(E432=Constants!$B$3,TRUE(),IF(E432=Constants!$B$4,FALSE(),TRUE())))</f>
        <v/>
      </c>
      <c r="AG432" s="135" t="str">
        <f aca="false">IF(ISBLANK($C432),"",IF(F432=Constants!$B$3,TRUE(),IF(F432=Constants!$B$4,FALSE(),TRUE())))</f>
        <v/>
      </c>
      <c r="AH432" s="135" t="str">
        <f aca="false">IF(ISBLANK($C432),"",IF(G432=Constants!$B$3,TRUE(),IF(G432=Constants!$B$4,FALSE(),TRUE())))</f>
        <v/>
      </c>
      <c r="AI432" s="135" t="str">
        <f aca="false">IF(ISBLANK($C432),"",IF(AND(ISNUMBER(H432),H432&gt;=0),H432,Constants!$B$29))</f>
        <v/>
      </c>
      <c r="AJ432" s="135" t="str">
        <f aca="false">IF(ISBLANK($C432),"",IF(I432=Constants!$B$3,TRUE(),IF(I432=Constants!$B$4,FALSE(),TRUE())))</f>
        <v/>
      </c>
      <c r="AK432" s="135" t="str">
        <f aca="false">IF(ISBLANK($C432),"",IF(J432=Constants!$B$3,TRUE(),IF(J432=Constants!$B$4,FALSE(),TRUE())))</f>
        <v/>
      </c>
      <c r="AL432" s="135" t="str">
        <f aca="false">IF(ISBLANK($C432),"",IF(K432=Constants!$B$5,TRUE(),IF(K432=Constants!$B$6,FALSE(),COUNTA(L432:P432)&gt;0)))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IF(ISBLANK($C432),"",IF(N432=Constants!$B$3,TRUE(),IF(N432=Constants!$B$4,FALSE(),TRUE())))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IF(ISBLANK($C432),"",IF(P432=Constants!$B$3,TRUE(),IF(P432=Constants!$B$4,FALSE(),FALSE())))</f>
        <v/>
      </c>
      <c r="AR432" s="135" t="str">
        <f aca="false">IF(ISBLANK($C432),"",IF(Q432=Constants!$B$3,TRUE(),IF(Q432=Constants!$B$4,FALSE(),TRUE())))</f>
        <v/>
      </c>
      <c r="AS432" s="135" t="str">
        <f aca="false">IF(ISBLANK($C432),"",IF(R432=Constants!$B$3,TRUE(),IF(R432=Constants!$B$4,FALSE(),TRUE())))</f>
        <v/>
      </c>
      <c r="AT432" s="135" t="str">
        <f aca="false">IF(ISBLANK($C432),"",IF(S432=Constants!$B$5,TRUE(),IF(S432=Constants!$B$6,FALSE(),COUNTA(T432:X432)&gt;0)))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IF(ISBLANK($C432),"",IF(V432=Constants!$B$3,TRUE(),IF(V432=Constants!$B$4,FALSE(),TRUE())))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IF(ISBLANK($C432),"",IF(X432=Constants!$B$3,TRUE(),IF(X432=Constants!$B$4,FALSE(),FALSE())))</f>
        <v/>
      </c>
      <c r="AZ432" s="135" t="str">
        <f aca="false">IF(ISBLANK($C432),"",MIN(Constants!$B$31,MAX(0,IF(ISNUMBER(Y432),Y432*60,0)+IF(ISNUMBER(Z432),Z432,0))))</f>
        <v/>
      </c>
      <c r="BA432" s="135" t="str">
        <f aca="false">IF(ISBLANK($C432),"",IF(AA432=Constants!$B$3,TRUE(),IF(AA432=Constants!$B$4,FALSE(),FALSE())))</f>
        <v/>
      </c>
      <c r="BB432" s="134" t="str">
        <f aca="false">IF(ISBLANK($C432),"",AND($AL432,OR($AM432="",$AN432="",AND($AO432,$AP432=""))))</f>
        <v/>
      </c>
      <c r="BC432" s="137" t="str">
        <f aca="false">IF($BZ432&lt;&gt;Constants!$B$8,"",IF($AL432,Constants!$B$21*$AN432+Constants!$B$22*IF($AO432,$AP432,Constants!$B$23),Constants!$B$24))</f>
        <v/>
      </c>
      <c r="BD432" s="138" t="str">
        <f aca="false">IF($BZ432&lt;&gt;Constants!$B$8,"",Constants!$B$25*ABS($AD$9-IF($AL432,$AM432,0)))</f>
        <v/>
      </c>
      <c r="BE432" s="138" t="str">
        <f aca="false">IF($BZ432&lt;&gt;Constants!$B$8,"",IF(AND($AL432,$AQ432,$AO432),Constants!$B$27,0))</f>
        <v/>
      </c>
      <c r="BF432" s="138" t="str">
        <f aca="false">IF($BZ432&lt;&gt;Constants!$B$8,"",IF($AL432,($AI432-Constants!$B$29)*Constants!$B$28,0))</f>
        <v/>
      </c>
      <c r="BG432" s="138" t="str">
        <f aca="false">IF($BZ432&lt;&gt;Constants!$B$8,"",IF($AK432,0,Constants!$B$15)+IF($AJ432,0,Constants!$B$16)+IF($AH432,0,Constants!$B$17))</f>
        <v/>
      </c>
      <c r="BH432" s="139" t="str">
        <f aca="false">IF($BZ432&lt;&gt;Constants!$B$8,"",Constants!$B$20+SUM($BC432:$BG432))</f>
        <v/>
      </c>
      <c r="BI432" s="138" t="str">
        <f aca="false">IF($BZ432&lt;&gt;Constants!$B$8,"",$BC432)</f>
        <v/>
      </c>
      <c r="BJ432" s="138" t="str">
        <f aca="false">IF($BZ432&lt;&gt;Constants!$B$8,"",$BD432)</f>
        <v/>
      </c>
      <c r="BK432" s="138" t="str">
        <f aca="false">IF($BZ432&lt;&gt;Constants!$B$8,"",IF($AL432,$AN432,""))</f>
        <v/>
      </c>
      <c r="BL432" s="140" t="str">
        <f aca="false">IF($BZ432&lt;&gt;Constants!$B$8,"",$AI432)</f>
        <v/>
      </c>
      <c r="BM432" s="135" t="str">
        <f aca="false">IF($BZ432&lt;&gt;Constants!$B$8,"",IF(OR($BT432&lt;$BH432,AND($BT432=$BH432,OR($BU432&lt;$BI432,AND($BU432=$BI432,OR($BV432&lt;$BJ432,AND($BV432=$BJ432,OR(AND(ISNUMBER($BW432),OR(NOT(ISNUMBER($BK432)),$BW432&lt;$BK432)),AND(OR(AND($BW432="",$BK432=""),AND(ISNUMBER($BW432),ISNUMBER($BK432),$BW432=$BK432)),$BX432&lt;$BL432)))))))),"-&gt;","&lt;-"))</f>
        <v/>
      </c>
      <c r="BN432" s="134" t="str">
        <f aca="false">IF(ISBLANK($C432),"",AND($AT432,OR($AU432="",$AV432="",AND($AW432,$AX432=""))))</f>
        <v/>
      </c>
      <c r="BO432" s="137" t="str">
        <f aca="false">IF($BZ432&lt;&gt;Constants!$B$8,"",IF($AT432,Constants!$B$21*$AV432+Constants!$B$22*IF($AW432,$AX432,Constants!$B$23),Constants!$B$24))</f>
        <v/>
      </c>
      <c r="BP432" s="138" t="str">
        <f aca="false">IF($BZ432&lt;&gt;Constants!$B$8,"",Constants!$B$25*ABS($AD$9-IF($AT432,$AU432,0)))</f>
        <v/>
      </c>
      <c r="BQ432" s="138" t="str">
        <f aca="false">IF($BZ432&lt;&gt;Constants!$B$8,"",IF(AND($AT432,$AY432,$AW432),Constants!$B$27,0))</f>
        <v/>
      </c>
      <c r="BR432" s="138" t="str">
        <f aca="false">IF($BZ432&lt;&gt;Constants!$B$8,"",IF($AT432,($AI432-Constants!$B$29)*Constants!$B$28,0))</f>
        <v/>
      </c>
      <c r="BS432" s="138" t="str">
        <f aca="false">IF($BZ432&lt;&gt;Constants!$B$8,"",IF($AS432,0,Constants!$B$15)+IF($AR432,0,Constants!$B$16)+IF($AH432,0,Constants!$B$17))</f>
        <v/>
      </c>
      <c r="BT432" s="139" t="str">
        <f aca="false">IF($BZ432&lt;&gt;Constants!$B$8,"",Constants!$B$20+SUM($BO432:$BS432))</f>
        <v/>
      </c>
      <c r="BU432" s="138" t="str">
        <f aca="false">IF($BZ432&lt;&gt;Constants!$B$8,"",$BO432)</f>
        <v/>
      </c>
      <c r="BV432" s="138" t="str">
        <f aca="false">IF($BZ432&lt;&gt;Constants!$B$8,"",$BP432)</f>
        <v/>
      </c>
      <c r="BW432" s="138" t="str">
        <f aca="false">IF($BZ432&lt;&gt;Constants!$B$8,"",IF($AT432,$AV432,""))</f>
        <v/>
      </c>
      <c r="BX432" s="140" t="str">
        <f aca="false">IF($BZ432&lt;&gt;Constants!$B$8,"",$AI432)</f>
        <v/>
      </c>
      <c r="BY432" s="135" t="str">
        <f aca="false">IF(ISBLANK($C432),"",IF(ISBLANK($D$7),$BY$5,IF(NOT(ISNUMBER($D$7)),$BY$6,"")))</f>
        <v/>
      </c>
      <c r="BZ432" s="135" t="str">
        <f aca="false">IF(ISBLANK($C432),"",IF($BA432,Constants!$B$11,IF(COUNTA($E432:$AA432)=0,Constants!$B$10,IF(NOT($AG432),Constants!$B$9,IF(OR($BY432&lt;&gt;"",$BB432,$BN432),Constants!$B$12,Constants!$B$8)))))</f>
        <v/>
      </c>
      <c r="CA432" s="135" t="str">
        <f aca="false">IF(ISBLANK($C432),"",IF($BZ432&lt;&gt;Constants!$B$8,$BZ432,Constants!$B$13))</f>
        <v/>
      </c>
      <c r="CB432" s="138" t="str">
        <f aca="false">IF($BZ432&lt;&gt;Constants!$B$8,"",IF($BM432="-&gt;",$BT432,$BH432))</f>
        <v/>
      </c>
      <c r="CC432" s="138" t="str">
        <f aca="false">IF($BZ432&lt;&gt;Constants!$B$8,"",IF($AF432,0,Constants!$B$18))</f>
        <v/>
      </c>
      <c r="CD432" s="138" t="str">
        <f aca="false">IF($BZ432&lt;&gt;Constants!$B$8,"",((Constants!$B$31-$AZ432)-Constants!$B$31)/Constants!$B$32)</f>
        <v/>
      </c>
      <c r="CE432" s="138" t="str">
        <f aca="false">IF(ISBLANK($C432),"",IF($BZ432&lt;&gt;Constants!$B$8,$BZ432,SUM($CB432:$CD432)))</f>
        <v/>
      </c>
      <c r="CF432" s="135" t="str">
        <f aca="false">IF(ISBLANK($C432),"",IF($BZ432&lt;&gt;Constants!$B$8,$BZ432,RANK($CE432,$CE$9:$CE$508,1)))</f>
        <v/>
      </c>
      <c r="CG432" s="138" t="str">
        <f aca="false">IF($BZ432&lt;&gt;Constants!$B$8,"",IF($BM432="-&gt;",$BU432,$BI432))</f>
        <v/>
      </c>
      <c r="CH432" s="135" t="str">
        <f aca="false">IF(ISBLANK($C432),"",IF($BZ432&lt;&gt;Constants!$B$8,$BZ432,IF(ISNUMBER($CG432),RANK($CG432,$CG$9:$CG$508,1),COUNT($CG$9:$CG$508)+1)))</f>
        <v/>
      </c>
      <c r="CI432" s="138" t="str">
        <f aca="false">IF($BZ432&lt;&gt;Constants!$B$8,"",IF($BM432="-&gt;",$BV432,$BJ432))</f>
        <v/>
      </c>
      <c r="CJ432" s="135" t="str">
        <f aca="false">IF(ISBLANK($C432),"",IF($BZ432&lt;&gt;Constants!$B$8,$BZ432,IF(ISNUMBER($CI432),RANK($CI432,$CI$9:$CI$508,1),COUNT($CI$9:$CI$508)+1)))</f>
        <v/>
      </c>
      <c r="CK432" s="138" t="str">
        <f aca="false">IF($BZ432&lt;&gt;Constants!$B$8,"",IF($BM432="-&gt;",$BW432,$BK432))</f>
        <v/>
      </c>
      <c r="CL432" s="135" t="str">
        <f aca="false">IF(ISBLANK($C432),"",IF($BZ432&lt;&gt;Constants!$B$8,$BZ432,IF(ISNUMBER($CK432),RANK($CK432,$CK$9:$CK$508,1),COUNT($CK$9:$CK$508)+1)))</f>
        <v/>
      </c>
      <c r="CM432" s="138" t="str">
        <f aca="false">IF($BZ432&lt;&gt;Constants!$B$8,"",IF(AND(NOT($AL432),NOT($AT432),$AJ432,$AK432,$AR432,$AS432),"",IF($BM432="-&gt;",$BX432,$BL432)))</f>
        <v/>
      </c>
      <c r="CN432" s="135" t="str">
        <f aca="false">IF(ISBLANK($C432),"",IF($BZ432&lt;&gt;Constants!$B$8,$BZ432,IF(ISNUMBER($CM432),RANK($CM432,$CM$9:$CM$508,1),COUNT($CM$9:$CM$508)+1)))</f>
        <v/>
      </c>
      <c r="CO432" s="135" t="str">
        <f aca="false">IF(ISBLANK($C432),"",IF($BZ432&lt;&gt;Constants!$B$8,$BZ432,COUNTIFS($CF$9:$CF$508,"&lt;"&amp;$CF432)+COUNTIFS($CF$9:$CF$508,$CF432,$CH$9:$CH$508,"&lt;"&amp;$CH432)+COUNTIFS($CF$9:$CF$508,$CF432,$CH$9:$CH$508,$CH432,$CJ$9:$CJ$508,"&lt;"&amp;$CJ432)+COUNTIFS($CF$9:$CF$508,$CF432,$CH$9:$CH$508,$CH432,$CJ$9:$CJ$508,$CJ432,$CL$9:$CL$508,"&lt;"&amp;$CL432)+COUNTIFS($CF$9:$CF$508,$CF432,$CH$9:$CH$508,$CH432,$CJ$9:$CJ$508,$CJ432,$CL$9:$CL$508,$CL432,$CN$9:$CN$508,"&lt;"&amp;$CN432)+1))</f>
        <v/>
      </c>
      <c r="CP432" s="135" t="str">
        <f aca="false">IF(ISBLANK($C432),"",IF($BZ432&lt;&gt;Constants!$B$8,$BZ432,$CF432-$CO432))</f>
        <v/>
      </c>
      <c r="CQ432" s="141"/>
      <c r="CR432" s="142"/>
      <c r="CS432" s="143" t="str">
        <f aca="false">IF(ISBLANK($C432),"",IF($BZ432=Constants!$B$12,$BY432,""))</f>
        <v/>
      </c>
      <c r="CT432" s="142" t="str">
        <f aca="false">IF(ISBLANK($C432),"",IF($BZ432&lt;&gt;Constants!$B$8,"",IF($BM432="-&gt;",2,1)))</f>
        <v/>
      </c>
      <c r="CU432" s="144" t="str">
        <f aca="false">IF(ISBLANK($C432),"",IF($BZ432&lt;&gt;Constants!$B$8,"",IF($BM432="-&gt;",$BO432,$BC432)))</f>
        <v/>
      </c>
      <c r="CV432" s="144" t="str">
        <f aca="false">IF(ISBLANK($C432),"",IF($BZ432&lt;&gt;Constants!$B$8,"",IF($BM432="-&gt;",$BP432,$BD432)))</f>
        <v/>
      </c>
      <c r="CW432" s="144" t="str">
        <f aca="false">IF(ISBLANK($C432),"",IF($BZ432&lt;&gt;Constants!$B$8,"",IF($BM432="-&gt;",$BQ432+$BR432,$BE432+$BF432)+$CD432))</f>
        <v/>
      </c>
      <c r="CX432" s="144" t="str">
        <f aca="false">IF(ISBLANK($C432),"",IF($BZ432&lt;&gt;Constants!$B$8,"",IF($BM432="-&gt;",$BS432,$BG432)+$CC432))</f>
        <v/>
      </c>
      <c r="CY432" s="145" t="str">
        <f aca="false">IF(ISBLANK($C432),"",IF($BZ432&lt;&gt;Constants!$B$8,$BZ432,$CE432))</f>
        <v/>
      </c>
      <c r="CZ432" s="146" t="str">
        <f aca="false">IF(ISBLANK($C432),"",$CA432)</f>
        <v/>
      </c>
      <c r="DA432" s="147" t="str">
        <f aca="false">IF(ISBLANK($C432),"",$CP432)</f>
        <v/>
      </c>
      <c r="DB432" s="147" t="str">
        <f aca="false">IF(ISBLANK($C432),"",$CO432)</f>
        <v/>
      </c>
      <c r="DC432" s="148" t="str">
        <f aca="false">IF(ISBLANK($C432),"",IFERROR(_xlfn.SWITCH($DB432,Constants!$B$11,COUNTA($C$9:$C$508)+2,Constants!$B$10,COUNTA($C$9:$C$508)+1,Constants!$B$9,COUNTA($C$9:$C$508)),$DB432))</f>
        <v/>
      </c>
      <c r="DD432" s="9"/>
      <c r="DE432" s="149" t="n">
        <f aca="false">IF(OR(ISNUMBER($DB432),$DB432=Constants!$B$11,$DB432=Constants!$B$9,$DB432=Constants!$B$10),1,0)</f>
        <v>0</v>
      </c>
      <c r="DF432" s="149" t="n">
        <v>424</v>
      </c>
      <c r="DG432" s="149" t="str">
        <f aca="false">IF(ISBLANK($C432),"",IF(ISNUMBER($DC432),$DC432+ROW($B432)/1000,""))</f>
        <v/>
      </c>
      <c r="DH432" s="149" t="str">
        <f aca="false">IF(ISNUMBER($DG432),RANK($DG432,$DG$9:$DG$508,1),"")</f>
        <v/>
      </c>
      <c r="DI432" s="149" t="str">
        <f aca="false">IF(ISBLANK($C432),"",$B432)</f>
        <v/>
      </c>
      <c r="DJ432" s="149" t="str">
        <f aca="false">IF(ISBLANK($C432),"",$C432)</f>
        <v/>
      </c>
      <c r="DK432" s="149" t="str">
        <f aca="false">IF(ISBLANK($C432),"",$D432)</f>
        <v/>
      </c>
      <c r="DL432" s="150" t="str">
        <f aca="false">$CZ432</f>
        <v/>
      </c>
      <c r="DM432" s="151" t="str">
        <f aca="false">$CY432</f>
        <v/>
      </c>
      <c r="DN432" s="149" t="str">
        <f aca="false">IF(ISBLANK($C432),"",$DB432)</f>
        <v/>
      </c>
      <c r="DO432" s="152" t="str">
        <f aca="false">IF($DF432&gt;$DE$8,"",VLOOKUP($DF432,$DH$9:$DN$508,7,FALSE()))</f>
        <v/>
      </c>
      <c r="DP432" s="153" t="str">
        <f aca="false">IF($DF432&gt;$DE$8,"",VLOOKUP($DF432,$DH$9:$DN$508,2,FALSE()))</f>
        <v/>
      </c>
      <c r="DQ432" s="153" t="str">
        <f aca="false">IF($DF432&gt;$DE$8,"",VLOOKUP($DF432,$DH$9:$DN$508,3,FALSE()))</f>
        <v/>
      </c>
      <c r="DR432" s="153" t="str">
        <f aca="false">IF($DF432&gt;$DE$8,"",VLOOKUP($DF432,$DH$9:$DN$508,4,FALSE()))</f>
        <v/>
      </c>
      <c r="DS432" s="153" t="str">
        <f aca="false">IF($DF432&gt;$DE$8,"",VLOOKUP($DF432,$DH$9:$DN$508,5,FALSE()))</f>
        <v/>
      </c>
      <c r="DT432" s="154" t="str">
        <f aca="false">IF($DF432&gt;$DE$8,"",VLOOKUP($DF432,$DH$9:$DN$508,6,FALSE()))</f>
        <v/>
      </c>
      <c r="DU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IF(ISBLANK($C433),"",IF(E433=Constants!$B$3,TRUE(),IF(E433=Constants!$B$4,FALSE(),TRUE())))</f>
        <v/>
      </c>
      <c r="AG433" s="135" t="str">
        <f aca="false">IF(ISBLANK($C433),"",IF(F433=Constants!$B$3,TRUE(),IF(F433=Constants!$B$4,FALSE(),TRUE())))</f>
        <v/>
      </c>
      <c r="AH433" s="135" t="str">
        <f aca="false">IF(ISBLANK($C433),"",IF(G433=Constants!$B$3,TRUE(),IF(G433=Constants!$B$4,FALSE(),TRUE())))</f>
        <v/>
      </c>
      <c r="AI433" s="135" t="str">
        <f aca="false">IF(ISBLANK($C433),"",IF(AND(ISNUMBER(H433),H433&gt;=0),H433,Constants!$B$29))</f>
        <v/>
      </c>
      <c r="AJ433" s="135" t="str">
        <f aca="false">IF(ISBLANK($C433),"",IF(I433=Constants!$B$3,TRUE(),IF(I433=Constants!$B$4,FALSE(),TRUE())))</f>
        <v/>
      </c>
      <c r="AK433" s="135" t="str">
        <f aca="false">IF(ISBLANK($C433),"",IF(J433=Constants!$B$3,TRUE(),IF(J433=Constants!$B$4,FALSE(),TRUE())))</f>
        <v/>
      </c>
      <c r="AL433" s="135" t="str">
        <f aca="false">IF(ISBLANK($C433),"",IF(K433=Constants!$B$5,TRUE(),IF(K433=Constants!$B$6,FALSE(),COUNTA(L433:P433)&gt;0)))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IF(ISBLANK($C433),"",IF(N433=Constants!$B$3,TRUE(),IF(N433=Constants!$B$4,FALSE(),TRUE())))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IF(ISBLANK($C433),"",IF(P433=Constants!$B$3,TRUE(),IF(P433=Constants!$B$4,FALSE(),FALSE())))</f>
        <v/>
      </c>
      <c r="AR433" s="135" t="str">
        <f aca="false">IF(ISBLANK($C433),"",IF(Q433=Constants!$B$3,TRUE(),IF(Q433=Constants!$B$4,FALSE(),TRUE())))</f>
        <v/>
      </c>
      <c r="AS433" s="135" t="str">
        <f aca="false">IF(ISBLANK($C433),"",IF(R433=Constants!$B$3,TRUE(),IF(R433=Constants!$B$4,FALSE(),TRUE())))</f>
        <v/>
      </c>
      <c r="AT433" s="135" t="str">
        <f aca="false">IF(ISBLANK($C433),"",IF(S433=Constants!$B$5,TRUE(),IF(S433=Constants!$B$6,FALSE(),COUNTA(T433:X433)&gt;0)))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IF(ISBLANK($C433),"",IF(V433=Constants!$B$3,TRUE(),IF(V433=Constants!$B$4,FALSE(),TRUE())))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IF(ISBLANK($C433),"",IF(X433=Constants!$B$3,TRUE(),IF(X433=Constants!$B$4,FALSE(),FALSE())))</f>
        <v/>
      </c>
      <c r="AZ433" s="135" t="str">
        <f aca="false">IF(ISBLANK($C433),"",MIN(Constants!$B$31,MAX(0,IF(ISNUMBER(Y433),Y433*60,0)+IF(ISNUMBER(Z433),Z433,0))))</f>
        <v/>
      </c>
      <c r="BA433" s="135" t="str">
        <f aca="false">IF(ISBLANK($C433),"",IF(AA433=Constants!$B$3,TRUE(),IF(AA433=Constants!$B$4,FALSE(),FALSE())))</f>
        <v/>
      </c>
      <c r="BB433" s="134" t="str">
        <f aca="false">IF(ISBLANK($C433),"",AND($AL433,OR($AM433="",$AN433="",AND($AO433,$AP433=""))))</f>
        <v/>
      </c>
      <c r="BC433" s="137" t="str">
        <f aca="false">IF($BZ433&lt;&gt;Constants!$B$8,"",IF($AL433,Constants!$B$21*$AN433+Constants!$B$22*IF($AO433,$AP433,Constants!$B$23),Constants!$B$24))</f>
        <v/>
      </c>
      <c r="BD433" s="138" t="str">
        <f aca="false">IF($BZ433&lt;&gt;Constants!$B$8,"",Constants!$B$25*ABS($AD$9-IF($AL433,$AM433,0)))</f>
        <v/>
      </c>
      <c r="BE433" s="138" t="str">
        <f aca="false">IF($BZ433&lt;&gt;Constants!$B$8,"",IF(AND($AL433,$AQ433,$AO433),Constants!$B$27,0))</f>
        <v/>
      </c>
      <c r="BF433" s="138" t="str">
        <f aca="false">IF($BZ433&lt;&gt;Constants!$B$8,"",IF($AL433,($AI433-Constants!$B$29)*Constants!$B$28,0))</f>
        <v/>
      </c>
      <c r="BG433" s="138" t="str">
        <f aca="false">IF($BZ433&lt;&gt;Constants!$B$8,"",IF($AK433,0,Constants!$B$15)+IF($AJ433,0,Constants!$B$16)+IF($AH433,0,Constants!$B$17))</f>
        <v/>
      </c>
      <c r="BH433" s="139" t="str">
        <f aca="false">IF($BZ433&lt;&gt;Constants!$B$8,"",Constants!$B$20+SUM($BC433:$BG433))</f>
        <v/>
      </c>
      <c r="BI433" s="138" t="str">
        <f aca="false">IF($BZ433&lt;&gt;Constants!$B$8,"",$BC433)</f>
        <v/>
      </c>
      <c r="BJ433" s="138" t="str">
        <f aca="false">IF($BZ433&lt;&gt;Constants!$B$8,"",$BD433)</f>
        <v/>
      </c>
      <c r="BK433" s="138" t="str">
        <f aca="false">IF($BZ433&lt;&gt;Constants!$B$8,"",IF($AL433,$AN433,""))</f>
        <v/>
      </c>
      <c r="BL433" s="140" t="str">
        <f aca="false">IF($BZ433&lt;&gt;Constants!$B$8,"",$AI433)</f>
        <v/>
      </c>
      <c r="BM433" s="135" t="str">
        <f aca="false">IF($BZ433&lt;&gt;Constants!$B$8,"",IF(OR($BT433&lt;$BH433,AND($BT433=$BH433,OR($BU433&lt;$BI433,AND($BU433=$BI433,OR($BV433&lt;$BJ433,AND($BV433=$BJ433,OR(AND(ISNUMBER($BW433),OR(NOT(ISNUMBER($BK433)),$BW433&lt;$BK433)),AND(OR(AND($BW433="",$BK433=""),AND(ISNUMBER($BW433),ISNUMBER($BK433),$BW433=$BK433)),$BX433&lt;$BL433)))))))),"-&gt;","&lt;-"))</f>
        <v/>
      </c>
      <c r="BN433" s="134" t="str">
        <f aca="false">IF(ISBLANK($C433),"",AND($AT433,OR($AU433="",$AV433="",AND($AW433,$AX433=""))))</f>
        <v/>
      </c>
      <c r="BO433" s="137" t="str">
        <f aca="false">IF($BZ433&lt;&gt;Constants!$B$8,"",IF($AT433,Constants!$B$21*$AV433+Constants!$B$22*IF($AW433,$AX433,Constants!$B$23),Constants!$B$24))</f>
        <v/>
      </c>
      <c r="BP433" s="138" t="str">
        <f aca="false">IF($BZ433&lt;&gt;Constants!$B$8,"",Constants!$B$25*ABS($AD$9-IF($AT433,$AU433,0)))</f>
        <v/>
      </c>
      <c r="BQ433" s="138" t="str">
        <f aca="false">IF($BZ433&lt;&gt;Constants!$B$8,"",IF(AND($AT433,$AY433,$AW433),Constants!$B$27,0))</f>
        <v/>
      </c>
      <c r="BR433" s="138" t="str">
        <f aca="false">IF($BZ433&lt;&gt;Constants!$B$8,"",IF($AT433,($AI433-Constants!$B$29)*Constants!$B$28,0))</f>
        <v/>
      </c>
      <c r="BS433" s="138" t="str">
        <f aca="false">IF($BZ433&lt;&gt;Constants!$B$8,"",IF($AS433,0,Constants!$B$15)+IF($AR433,0,Constants!$B$16)+IF($AH433,0,Constants!$B$17))</f>
        <v/>
      </c>
      <c r="BT433" s="139" t="str">
        <f aca="false">IF($BZ433&lt;&gt;Constants!$B$8,"",Constants!$B$20+SUM($BO433:$BS433))</f>
        <v/>
      </c>
      <c r="BU433" s="138" t="str">
        <f aca="false">IF($BZ433&lt;&gt;Constants!$B$8,"",$BO433)</f>
        <v/>
      </c>
      <c r="BV433" s="138" t="str">
        <f aca="false">IF($BZ433&lt;&gt;Constants!$B$8,"",$BP433)</f>
        <v/>
      </c>
      <c r="BW433" s="138" t="str">
        <f aca="false">IF($BZ433&lt;&gt;Constants!$B$8,"",IF($AT433,$AV433,""))</f>
        <v/>
      </c>
      <c r="BX433" s="140" t="str">
        <f aca="false">IF($BZ433&lt;&gt;Constants!$B$8,"",$AI433)</f>
        <v/>
      </c>
      <c r="BY433" s="135" t="str">
        <f aca="false">IF(ISBLANK($C433),"",IF(ISBLANK($D$7),$BY$5,IF(NOT(ISNUMBER($D$7)),$BY$6,"")))</f>
        <v/>
      </c>
      <c r="BZ433" s="135" t="str">
        <f aca="false">IF(ISBLANK($C433),"",IF($BA433,Constants!$B$11,IF(COUNTA($E433:$AA433)=0,Constants!$B$10,IF(NOT($AG433),Constants!$B$9,IF(OR($BY433&lt;&gt;"",$BB433,$BN433),Constants!$B$12,Constants!$B$8)))))</f>
        <v/>
      </c>
      <c r="CA433" s="135" t="str">
        <f aca="false">IF(ISBLANK($C433),"",IF($BZ433&lt;&gt;Constants!$B$8,$BZ433,Constants!$B$13))</f>
        <v/>
      </c>
      <c r="CB433" s="138" t="str">
        <f aca="false">IF($BZ433&lt;&gt;Constants!$B$8,"",IF($BM433="-&gt;",$BT433,$BH433))</f>
        <v/>
      </c>
      <c r="CC433" s="138" t="str">
        <f aca="false">IF($BZ433&lt;&gt;Constants!$B$8,"",IF($AF433,0,Constants!$B$18))</f>
        <v/>
      </c>
      <c r="CD433" s="138" t="str">
        <f aca="false">IF($BZ433&lt;&gt;Constants!$B$8,"",((Constants!$B$31-$AZ433)-Constants!$B$31)/Constants!$B$32)</f>
        <v/>
      </c>
      <c r="CE433" s="138" t="str">
        <f aca="false">IF(ISBLANK($C433),"",IF($BZ433&lt;&gt;Constants!$B$8,$BZ433,SUM($CB433:$CD433)))</f>
        <v/>
      </c>
      <c r="CF433" s="135" t="str">
        <f aca="false">IF(ISBLANK($C433),"",IF($BZ433&lt;&gt;Constants!$B$8,$BZ433,RANK($CE433,$CE$9:$CE$508,1)))</f>
        <v/>
      </c>
      <c r="CG433" s="138" t="str">
        <f aca="false">IF($BZ433&lt;&gt;Constants!$B$8,"",IF($BM433="-&gt;",$BU433,$BI433))</f>
        <v/>
      </c>
      <c r="CH433" s="135" t="str">
        <f aca="false">IF(ISBLANK($C433),"",IF($BZ433&lt;&gt;Constants!$B$8,$BZ433,IF(ISNUMBER($CG433),RANK($CG433,$CG$9:$CG$508,1),COUNT($CG$9:$CG$508)+1)))</f>
        <v/>
      </c>
      <c r="CI433" s="138" t="str">
        <f aca="false">IF($BZ433&lt;&gt;Constants!$B$8,"",IF($BM433="-&gt;",$BV433,$BJ433))</f>
        <v/>
      </c>
      <c r="CJ433" s="135" t="str">
        <f aca="false">IF(ISBLANK($C433),"",IF($BZ433&lt;&gt;Constants!$B$8,$BZ433,IF(ISNUMBER($CI433),RANK($CI433,$CI$9:$CI$508,1),COUNT($CI$9:$CI$508)+1)))</f>
        <v/>
      </c>
      <c r="CK433" s="138" t="str">
        <f aca="false">IF($BZ433&lt;&gt;Constants!$B$8,"",IF($BM433="-&gt;",$BW433,$BK433))</f>
        <v/>
      </c>
      <c r="CL433" s="135" t="str">
        <f aca="false">IF(ISBLANK($C433),"",IF($BZ433&lt;&gt;Constants!$B$8,$BZ433,IF(ISNUMBER($CK433),RANK($CK433,$CK$9:$CK$508,1),COUNT($CK$9:$CK$508)+1)))</f>
        <v/>
      </c>
      <c r="CM433" s="138" t="str">
        <f aca="false">IF($BZ433&lt;&gt;Constants!$B$8,"",IF(AND(NOT($AL433),NOT($AT433),$AJ433,$AK433,$AR433,$AS433),"",IF($BM433="-&gt;",$BX433,$BL433)))</f>
        <v/>
      </c>
      <c r="CN433" s="135" t="str">
        <f aca="false">IF(ISBLANK($C433),"",IF($BZ433&lt;&gt;Constants!$B$8,$BZ433,IF(ISNUMBER($CM433),RANK($CM433,$CM$9:$CM$508,1),COUNT($CM$9:$CM$508)+1)))</f>
        <v/>
      </c>
      <c r="CO433" s="135" t="str">
        <f aca="false">IF(ISBLANK($C433),"",IF($BZ433&lt;&gt;Constants!$B$8,$BZ433,COUNTIFS($CF$9:$CF$508,"&lt;"&amp;$CF433)+COUNTIFS($CF$9:$CF$508,$CF433,$CH$9:$CH$508,"&lt;"&amp;$CH433)+COUNTIFS($CF$9:$CF$508,$CF433,$CH$9:$CH$508,$CH433,$CJ$9:$CJ$508,"&lt;"&amp;$CJ433)+COUNTIFS($CF$9:$CF$508,$CF433,$CH$9:$CH$508,$CH433,$CJ$9:$CJ$508,$CJ433,$CL$9:$CL$508,"&lt;"&amp;$CL433)+COUNTIFS($CF$9:$CF$508,$CF433,$CH$9:$CH$508,$CH433,$CJ$9:$CJ$508,$CJ433,$CL$9:$CL$508,$CL433,$CN$9:$CN$508,"&lt;"&amp;$CN433)+1))</f>
        <v/>
      </c>
      <c r="CP433" s="135" t="str">
        <f aca="false">IF(ISBLANK($C433),"",IF($BZ433&lt;&gt;Constants!$B$8,$BZ433,$CF433-$CO433))</f>
        <v/>
      </c>
      <c r="CQ433" s="141"/>
      <c r="CR433" s="142"/>
      <c r="CS433" s="143" t="str">
        <f aca="false">IF(ISBLANK($C433),"",IF($BZ433=Constants!$B$12,$BY433,""))</f>
        <v/>
      </c>
      <c r="CT433" s="142" t="str">
        <f aca="false">IF(ISBLANK($C433),"",IF($BZ433&lt;&gt;Constants!$B$8,"",IF($BM433="-&gt;",2,1)))</f>
        <v/>
      </c>
      <c r="CU433" s="144" t="str">
        <f aca="false">IF(ISBLANK($C433),"",IF($BZ433&lt;&gt;Constants!$B$8,"",IF($BM433="-&gt;",$BO433,$BC433)))</f>
        <v/>
      </c>
      <c r="CV433" s="144" t="str">
        <f aca="false">IF(ISBLANK($C433),"",IF($BZ433&lt;&gt;Constants!$B$8,"",IF($BM433="-&gt;",$BP433,$BD433)))</f>
        <v/>
      </c>
      <c r="CW433" s="144" t="str">
        <f aca="false">IF(ISBLANK($C433),"",IF($BZ433&lt;&gt;Constants!$B$8,"",IF($BM433="-&gt;",$BQ433+$BR433,$BE433+$BF433)+$CD433))</f>
        <v/>
      </c>
      <c r="CX433" s="144" t="str">
        <f aca="false">IF(ISBLANK($C433),"",IF($BZ433&lt;&gt;Constants!$B$8,"",IF($BM433="-&gt;",$BS433,$BG433)+$CC433))</f>
        <v/>
      </c>
      <c r="CY433" s="145" t="str">
        <f aca="false">IF(ISBLANK($C433),"",IF($BZ433&lt;&gt;Constants!$B$8,$BZ433,$CE433))</f>
        <v/>
      </c>
      <c r="CZ433" s="146" t="str">
        <f aca="false">IF(ISBLANK($C433),"",$CA433)</f>
        <v/>
      </c>
      <c r="DA433" s="147" t="str">
        <f aca="false">IF(ISBLANK($C433),"",$CP433)</f>
        <v/>
      </c>
      <c r="DB433" s="147" t="str">
        <f aca="false">IF(ISBLANK($C433),"",$CO433)</f>
        <v/>
      </c>
      <c r="DC433" s="148" t="str">
        <f aca="false">IF(ISBLANK($C433),"",IFERROR(_xlfn.SWITCH($DB433,Constants!$B$11,COUNTA($C$9:$C$508)+2,Constants!$B$10,COUNTA($C$9:$C$508)+1,Constants!$B$9,COUNTA($C$9:$C$508)),$DB433))</f>
        <v/>
      </c>
      <c r="DD433" s="9"/>
      <c r="DE433" s="149" t="n">
        <f aca="false">IF(OR(ISNUMBER($DB433),$DB433=Constants!$B$11,$DB433=Constants!$B$9,$DB433=Constants!$B$10),1,0)</f>
        <v>0</v>
      </c>
      <c r="DF433" s="149" t="n">
        <v>425</v>
      </c>
      <c r="DG433" s="149" t="str">
        <f aca="false">IF(ISBLANK($C433),"",IF(ISNUMBER($DC433),$DC433+ROW($B433)/1000,""))</f>
        <v/>
      </c>
      <c r="DH433" s="149" t="str">
        <f aca="false">IF(ISNUMBER($DG433),RANK($DG433,$DG$9:$DG$508,1),"")</f>
        <v/>
      </c>
      <c r="DI433" s="149" t="str">
        <f aca="false">IF(ISBLANK($C433),"",$B433)</f>
        <v/>
      </c>
      <c r="DJ433" s="149" t="str">
        <f aca="false">IF(ISBLANK($C433),"",$C433)</f>
        <v/>
      </c>
      <c r="DK433" s="149" t="str">
        <f aca="false">IF(ISBLANK($C433),"",$D433)</f>
        <v/>
      </c>
      <c r="DL433" s="150" t="str">
        <f aca="false">$CZ433</f>
        <v/>
      </c>
      <c r="DM433" s="151" t="str">
        <f aca="false">$CY433</f>
        <v/>
      </c>
      <c r="DN433" s="149" t="str">
        <f aca="false">IF(ISBLANK($C433),"",$DB433)</f>
        <v/>
      </c>
      <c r="DO433" s="152" t="str">
        <f aca="false">IF($DF433&gt;$DE$8,"",VLOOKUP($DF433,$DH$9:$DN$508,7,FALSE()))</f>
        <v/>
      </c>
      <c r="DP433" s="153" t="str">
        <f aca="false">IF($DF433&gt;$DE$8,"",VLOOKUP($DF433,$DH$9:$DN$508,2,FALSE()))</f>
        <v/>
      </c>
      <c r="DQ433" s="153" t="str">
        <f aca="false">IF($DF433&gt;$DE$8,"",VLOOKUP($DF433,$DH$9:$DN$508,3,FALSE()))</f>
        <v/>
      </c>
      <c r="DR433" s="153" t="str">
        <f aca="false">IF($DF433&gt;$DE$8,"",VLOOKUP($DF433,$DH$9:$DN$508,4,FALSE()))</f>
        <v/>
      </c>
      <c r="DS433" s="153" t="str">
        <f aca="false">IF($DF433&gt;$DE$8,"",VLOOKUP($DF433,$DH$9:$DN$508,5,FALSE()))</f>
        <v/>
      </c>
      <c r="DT433" s="154" t="str">
        <f aca="false">IF($DF433&gt;$DE$8,"",VLOOKUP($DF433,$DH$9:$DN$508,6,FALSE()))</f>
        <v/>
      </c>
      <c r="DU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IF(ISBLANK($C434),"",IF(E434=Constants!$B$3,TRUE(),IF(E434=Constants!$B$4,FALSE(),TRUE())))</f>
        <v/>
      </c>
      <c r="AG434" s="135" t="str">
        <f aca="false">IF(ISBLANK($C434),"",IF(F434=Constants!$B$3,TRUE(),IF(F434=Constants!$B$4,FALSE(),TRUE())))</f>
        <v/>
      </c>
      <c r="AH434" s="135" t="str">
        <f aca="false">IF(ISBLANK($C434),"",IF(G434=Constants!$B$3,TRUE(),IF(G434=Constants!$B$4,FALSE(),TRUE())))</f>
        <v/>
      </c>
      <c r="AI434" s="135" t="str">
        <f aca="false">IF(ISBLANK($C434),"",IF(AND(ISNUMBER(H434),H434&gt;=0),H434,Constants!$B$29))</f>
        <v/>
      </c>
      <c r="AJ434" s="135" t="str">
        <f aca="false">IF(ISBLANK($C434),"",IF(I434=Constants!$B$3,TRUE(),IF(I434=Constants!$B$4,FALSE(),TRUE())))</f>
        <v/>
      </c>
      <c r="AK434" s="135" t="str">
        <f aca="false">IF(ISBLANK($C434),"",IF(J434=Constants!$B$3,TRUE(),IF(J434=Constants!$B$4,FALSE(),TRUE())))</f>
        <v/>
      </c>
      <c r="AL434" s="135" t="str">
        <f aca="false">IF(ISBLANK($C434),"",IF(K434=Constants!$B$5,TRUE(),IF(K434=Constants!$B$6,FALSE(),COUNTA(L434:P434)&gt;0)))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IF(ISBLANK($C434),"",IF(N434=Constants!$B$3,TRUE(),IF(N434=Constants!$B$4,FALSE(),TRUE())))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IF(ISBLANK($C434),"",IF(P434=Constants!$B$3,TRUE(),IF(P434=Constants!$B$4,FALSE(),FALSE())))</f>
        <v/>
      </c>
      <c r="AR434" s="135" t="str">
        <f aca="false">IF(ISBLANK($C434),"",IF(Q434=Constants!$B$3,TRUE(),IF(Q434=Constants!$B$4,FALSE(),TRUE())))</f>
        <v/>
      </c>
      <c r="AS434" s="135" t="str">
        <f aca="false">IF(ISBLANK($C434),"",IF(R434=Constants!$B$3,TRUE(),IF(R434=Constants!$B$4,FALSE(),TRUE())))</f>
        <v/>
      </c>
      <c r="AT434" s="135" t="str">
        <f aca="false">IF(ISBLANK($C434),"",IF(S434=Constants!$B$5,TRUE(),IF(S434=Constants!$B$6,FALSE(),COUNTA(T434:X434)&gt;0)))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IF(ISBLANK($C434),"",IF(V434=Constants!$B$3,TRUE(),IF(V434=Constants!$B$4,FALSE(),TRUE())))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IF(ISBLANK($C434),"",IF(X434=Constants!$B$3,TRUE(),IF(X434=Constants!$B$4,FALSE(),FALSE())))</f>
        <v/>
      </c>
      <c r="AZ434" s="135" t="str">
        <f aca="false">IF(ISBLANK($C434),"",MIN(Constants!$B$31,MAX(0,IF(ISNUMBER(Y434),Y434*60,0)+IF(ISNUMBER(Z434),Z434,0))))</f>
        <v/>
      </c>
      <c r="BA434" s="135" t="str">
        <f aca="false">IF(ISBLANK($C434),"",IF(AA434=Constants!$B$3,TRUE(),IF(AA434=Constants!$B$4,FALSE(),FALSE())))</f>
        <v/>
      </c>
      <c r="BB434" s="134" t="str">
        <f aca="false">IF(ISBLANK($C434),"",AND($AL434,OR($AM434="",$AN434="",AND($AO434,$AP434=""))))</f>
        <v/>
      </c>
      <c r="BC434" s="137" t="str">
        <f aca="false">IF($BZ434&lt;&gt;Constants!$B$8,"",IF($AL434,Constants!$B$21*$AN434+Constants!$B$22*IF($AO434,$AP434,Constants!$B$23),Constants!$B$24))</f>
        <v/>
      </c>
      <c r="BD434" s="138" t="str">
        <f aca="false">IF($BZ434&lt;&gt;Constants!$B$8,"",Constants!$B$25*ABS($AD$9-IF($AL434,$AM434,0)))</f>
        <v/>
      </c>
      <c r="BE434" s="138" t="str">
        <f aca="false">IF($BZ434&lt;&gt;Constants!$B$8,"",IF(AND($AL434,$AQ434,$AO434),Constants!$B$27,0))</f>
        <v/>
      </c>
      <c r="BF434" s="138" t="str">
        <f aca="false">IF($BZ434&lt;&gt;Constants!$B$8,"",IF($AL434,($AI434-Constants!$B$29)*Constants!$B$28,0))</f>
        <v/>
      </c>
      <c r="BG434" s="138" t="str">
        <f aca="false">IF($BZ434&lt;&gt;Constants!$B$8,"",IF($AK434,0,Constants!$B$15)+IF($AJ434,0,Constants!$B$16)+IF($AH434,0,Constants!$B$17))</f>
        <v/>
      </c>
      <c r="BH434" s="139" t="str">
        <f aca="false">IF($BZ434&lt;&gt;Constants!$B$8,"",Constants!$B$20+SUM($BC434:$BG434))</f>
        <v/>
      </c>
      <c r="BI434" s="138" t="str">
        <f aca="false">IF($BZ434&lt;&gt;Constants!$B$8,"",$BC434)</f>
        <v/>
      </c>
      <c r="BJ434" s="138" t="str">
        <f aca="false">IF($BZ434&lt;&gt;Constants!$B$8,"",$BD434)</f>
        <v/>
      </c>
      <c r="BK434" s="138" t="str">
        <f aca="false">IF($BZ434&lt;&gt;Constants!$B$8,"",IF($AL434,$AN434,""))</f>
        <v/>
      </c>
      <c r="BL434" s="140" t="str">
        <f aca="false">IF($BZ434&lt;&gt;Constants!$B$8,"",$AI434)</f>
        <v/>
      </c>
      <c r="BM434" s="135" t="str">
        <f aca="false">IF($BZ434&lt;&gt;Constants!$B$8,"",IF(OR($BT434&lt;$BH434,AND($BT434=$BH434,OR($BU434&lt;$BI434,AND($BU434=$BI434,OR($BV434&lt;$BJ434,AND($BV434=$BJ434,OR(AND(ISNUMBER($BW434),OR(NOT(ISNUMBER($BK434)),$BW434&lt;$BK434)),AND(OR(AND($BW434="",$BK434=""),AND(ISNUMBER($BW434),ISNUMBER($BK434),$BW434=$BK434)),$BX434&lt;$BL434)))))))),"-&gt;","&lt;-"))</f>
        <v/>
      </c>
      <c r="BN434" s="134" t="str">
        <f aca="false">IF(ISBLANK($C434),"",AND($AT434,OR($AU434="",$AV434="",AND($AW434,$AX434=""))))</f>
        <v/>
      </c>
      <c r="BO434" s="137" t="str">
        <f aca="false">IF($BZ434&lt;&gt;Constants!$B$8,"",IF($AT434,Constants!$B$21*$AV434+Constants!$B$22*IF($AW434,$AX434,Constants!$B$23),Constants!$B$24))</f>
        <v/>
      </c>
      <c r="BP434" s="138" t="str">
        <f aca="false">IF($BZ434&lt;&gt;Constants!$B$8,"",Constants!$B$25*ABS($AD$9-IF($AT434,$AU434,0)))</f>
        <v/>
      </c>
      <c r="BQ434" s="138" t="str">
        <f aca="false">IF($BZ434&lt;&gt;Constants!$B$8,"",IF(AND($AT434,$AY434,$AW434),Constants!$B$27,0))</f>
        <v/>
      </c>
      <c r="BR434" s="138" t="str">
        <f aca="false">IF($BZ434&lt;&gt;Constants!$B$8,"",IF($AT434,($AI434-Constants!$B$29)*Constants!$B$28,0))</f>
        <v/>
      </c>
      <c r="BS434" s="138" t="str">
        <f aca="false">IF($BZ434&lt;&gt;Constants!$B$8,"",IF($AS434,0,Constants!$B$15)+IF($AR434,0,Constants!$B$16)+IF($AH434,0,Constants!$B$17))</f>
        <v/>
      </c>
      <c r="BT434" s="139" t="str">
        <f aca="false">IF($BZ434&lt;&gt;Constants!$B$8,"",Constants!$B$20+SUM($BO434:$BS434))</f>
        <v/>
      </c>
      <c r="BU434" s="138" t="str">
        <f aca="false">IF($BZ434&lt;&gt;Constants!$B$8,"",$BO434)</f>
        <v/>
      </c>
      <c r="BV434" s="138" t="str">
        <f aca="false">IF($BZ434&lt;&gt;Constants!$B$8,"",$BP434)</f>
        <v/>
      </c>
      <c r="BW434" s="138" t="str">
        <f aca="false">IF($BZ434&lt;&gt;Constants!$B$8,"",IF($AT434,$AV434,""))</f>
        <v/>
      </c>
      <c r="BX434" s="140" t="str">
        <f aca="false">IF($BZ434&lt;&gt;Constants!$B$8,"",$AI434)</f>
        <v/>
      </c>
      <c r="BY434" s="135" t="str">
        <f aca="false">IF(ISBLANK($C434),"",IF(ISBLANK($D$7),$BY$5,IF(NOT(ISNUMBER($D$7)),$BY$6,"")))</f>
        <v/>
      </c>
      <c r="BZ434" s="135" t="str">
        <f aca="false">IF(ISBLANK($C434),"",IF($BA434,Constants!$B$11,IF(COUNTA($E434:$AA434)=0,Constants!$B$10,IF(NOT($AG434),Constants!$B$9,IF(OR($BY434&lt;&gt;"",$BB434,$BN434),Constants!$B$12,Constants!$B$8)))))</f>
        <v/>
      </c>
      <c r="CA434" s="135" t="str">
        <f aca="false">IF(ISBLANK($C434),"",IF($BZ434&lt;&gt;Constants!$B$8,$BZ434,Constants!$B$13))</f>
        <v/>
      </c>
      <c r="CB434" s="138" t="str">
        <f aca="false">IF($BZ434&lt;&gt;Constants!$B$8,"",IF($BM434="-&gt;",$BT434,$BH434))</f>
        <v/>
      </c>
      <c r="CC434" s="138" t="str">
        <f aca="false">IF($BZ434&lt;&gt;Constants!$B$8,"",IF($AF434,0,Constants!$B$18))</f>
        <v/>
      </c>
      <c r="CD434" s="138" t="str">
        <f aca="false">IF($BZ434&lt;&gt;Constants!$B$8,"",((Constants!$B$31-$AZ434)-Constants!$B$31)/Constants!$B$32)</f>
        <v/>
      </c>
      <c r="CE434" s="138" t="str">
        <f aca="false">IF(ISBLANK($C434),"",IF($BZ434&lt;&gt;Constants!$B$8,$BZ434,SUM($CB434:$CD434)))</f>
        <v/>
      </c>
      <c r="CF434" s="135" t="str">
        <f aca="false">IF(ISBLANK($C434),"",IF($BZ434&lt;&gt;Constants!$B$8,$BZ434,RANK($CE434,$CE$9:$CE$508,1)))</f>
        <v/>
      </c>
      <c r="CG434" s="138" t="str">
        <f aca="false">IF($BZ434&lt;&gt;Constants!$B$8,"",IF($BM434="-&gt;",$BU434,$BI434))</f>
        <v/>
      </c>
      <c r="CH434" s="135" t="str">
        <f aca="false">IF(ISBLANK($C434),"",IF($BZ434&lt;&gt;Constants!$B$8,$BZ434,IF(ISNUMBER($CG434),RANK($CG434,$CG$9:$CG$508,1),COUNT($CG$9:$CG$508)+1)))</f>
        <v/>
      </c>
      <c r="CI434" s="138" t="str">
        <f aca="false">IF($BZ434&lt;&gt;Constants!$B$8,"",IF($BM434="-&gt;",$BV434,$BJ434))</f>
        <v/>
      </c>
      <c r="CJ434" s="135" t="str">
        <f aca="false">IF(ISBLANK($C434),"",IF($BZ434&lt;&gt;Constants!$B$8,$BZ434,IF(ISNUMBER($CI434),RANK($CI434,$CI$9:$CI$508,1),COUNT($CI$9:$CI$508)+1)))</f>
        <v/>
      </c>
      <c r="CK434" s="138" t="str">
        <f aca="false">IF($BZ434&lt;&gt;Constants!$B$8,"",IF($BM434="-&gt;",$BW434,$BK434))</f>
        <v/>
      </c>
      <c r="CL434" s="135" t="str">
        <f aca="false">IF(ISBLANK($C434),"",IF($BZ434&lt;&gt;Constants!$B$8,$BZ434,IF(ISNUMBER($CK434),RANK($CK434,$CK$9:$CK$508,1),COUNT($CK$9:$CK$508)+1)))</f>
        <v/>
      </c>
      <c r="CM434" s="138" t="str">
        <f aca="false">IF($BZ434&lt;&gt;Constants!$B$8,"",IF(AND(NOT($AL434),NOT($AT434),$AJ434,$AK434,$AR434,$AS434),"",IF($BM434="-&gt;",$BX434,$BL434)))</f>
        <v/>
      </c>
      <c r="CN434" s="135" t="str">
        <f aca="false">IF(ISBLANK($C434),"",IF($BZ434&lt;&gt;Constants!$B$8,$BZ434,IF(ISNUMBER($CM434),RANK($CM434,$CM$9:$CM$508,1),COUNT($CM$9:$CM$508)+1)))</f>
        <v/>
      </c>
      <c r="CO434" s="135" t="str">
        <f aca="false">IF(ISBLANK($C434),"",IF($BZ434&lt;&gt;Constants!$B$8,$BZ434,COUNTIFS($CF$9:$CF$508,"&lt;"&amp;$CF434)+COUNTIFS($CF$9:$CF$508,$CF434,$CH$9:$CH$508,"&lt;"&amp;$CH434)+COUNTIFS($CF$9:$CF$508,$CF434,$CH$9:$CH$508,$CH434,$CJ$9:$CJ$508,"&lt;"&amp;$CJ434)+COUNTIFS($CF$9:$CF$508,$CF434,$CH$9:$CH$508,$CH434,$CJ$9:$CJ$508,$CJ434,$CL$9:$CL$508,"&lt;"&amp;$CL434)+COUNTIFS($CF$9:$CF$508,$CF434,$CH$9:$CH$508,$CH434,$CJ$9:$CJ$508,$CJ434,$CL$9:$CL$508,$CL434,$CN$9:$CN$508,"&lt;"&amp;$CN434)+1))</f>
        <v/>
      </c>
      <c r="CP434" s="135" t="str">
        <f aca="false">IF(ISBLANK($C434),"",IF($BZ434&lt;&gt;Constants!$B$8,$BZ434,$CF434-$CO434))</f>
        <v/>
      </c>
      <c r="CQ434" s="141"/>
      <c r="CR434" s="142"/>
      <c r="CS434" s="143" t="str">
        <f aca="false">IF(ISBLANK($C434),"",IF($BZ434=Constants!$B$12,$BY434,""))</f>
        <v/>
      </c>
      <c r="CT434" s="142" t="str">
        <f aca="false">IF(ISBLANK($C434),"",IF($BZ434&lt;&gt;Constants!$B$8,"",IF($BM434="-&gt;",2,1)))</f>
        <v/>
      </c>
      <c r="CU434" s="144" t="str">
        <f aca="false">IF(ISBLANK($C434),"",IF($BZ434&lt;&gt;Constants!$B$8,"",IF($BM434="-&gt;",$BO434,$BC434)))</f>
        <v/>
      </c>
      <c r="CV434" s="144" t="str">
        <f aca="false">IF(ISBLANK($C434),"",IF($BZ434&lt;&gt;Constants!$B$8,"",IF($BM434="-&gt;",$BP434,$BD434)))</f>
        <v/>
      </c>
      <c r="CW434" s="144" t="str">
        <f aca="false">IF(ISBLANK($C434),"",IF($BZ434&lt;&gt;Constants!$B$8,"",IF($BM434="-&gt;",$BQ434+$BR434,$BE434+$BF434)+$CD434))</f>
        <v/>
      </c>
      <c r="CX434" s="144" t="str">
        <f aca="false">IF(ISBLANK($C434),"",IF($BZ434&lt;&gt;Constants!$B$8,"",IF($BM434="-&gt;",$BS434,$BG434)+$CC434))</f>
        <v/>
      </c>
      <c r="CY434" s="145" t="str">
        <f aca="false">IF(ISBLANK($C434),"",IF($BZ434&lt;&gt;Constants!$B$8,$BZ434,$CE434))</f>
        <v/>
      </c>
      <c r="CZ434" s="146" t="str">
        <f aca="false">IF(ISBLANK($C434),"",$CA434)</f>
        <v/>
      </c>
      <c r="DA434" s="147" t="str">
        <f aca="false">IF(ISBLANK($C434),"",$CP434)</f>
        <v/>
      </c>
      <c r="DB434" s="147" t="str">
        <f aca="false">IF(ISBLANK($C434),"",$CO434)</f>
        <v/>
      </c>
      <c r="DC434" s="148" t="str">
        <f aca="false">IF(ISBLANK($C434),"",IFERROR(_xlfn.SWITCH($DB434,Constants!$B$11,COUNTA($C$9:$C$508)+2,Constants!$B$10,COUNTA($C$9:$C$508)+1,Constants!$B$9,COUNTA($C$9:$C$508)),$DB434))</f>
        <v/>
      </c>
      <c r="DD434" s="9"/>
      <c r="DE434" s="149" t="n">
        <f aca="false">IF(OR(ISNUMBER($DB434),$DB434=Constants!$B$11,$DB434=Constants!$B$9,$DB434=Constants!$B$10),1,0)</f>
        <v>0</v>
      </c>
      <c r="DF434" s="149" t="n">
        <v>426</v>
      </c>
      <c r="DG434" s="149" t="str">
        <f aca="false">IF(ISBLANK($C434),"",IF(ISNUMBER($DC434),$DC434+ROW($B434)/1000,""))</f>
        <v/>
      </c>
      <c r="DH434" s="149" t="str">
        <f aca="false">IF(ISNUMBER($DG434),RANK($DG434,$DG$9:$DG$508,1),"")</f>
        <v/>
      </c>
      <c r="DI434" s="149" t="str">
        <f aca="false">IF(ISBLANK($C434),"",$B434)</f>
        <v/>
      </c>
      <c r="DJ434" s="149" t="str">
        <f aca="false">IF(ISBLANK($C434),"",$C434)</f>
        <v/>
      </c>
      <c r="DK434" s="149" t="str">
        <f aca="false">IF(ISBLANK($C434),"",$D434)</f>
        <v/>
      </c>
      <c r="DL434" s="150" t="str">
        <f aca="false">$CZ434</f>
        <v/>
      </c>
      <c r="DM434" s="151" t="str">
        <f aca="false">$CY434</f>
        <v/>
      </c>
      <c r="DN434" s="149" t="str">
        <f aca="false">IF(ISBLANK($C434),"",$DB434)</f>
        <v/>
      </c>
      <c r="DO434" s="152" t="str">
        <f aca="false">IF($DF434&gt;$DE$8,"",VLOOKUP($DF434,$DH$9:$DN$508,7,FALSE()))</f>
        <v/>
      </c>
      <c r="DP434" s="153" t="str">
        <f aca="false">IF($DF434&gt;$DE$8,"",VLOOKUP($DF434,$DH$9:$DN$508,2,FALSE()))</f>
        <v/>
      </c>
      <c r="DQ434" s="153" t="str">
        <f aca="false">IF($DF434&gt;$DE$8,"",VLOOKUP($DF434,$DH$9:$DN$508,3,FALSE()))</f>
        <v/>
      </c>
      <c r="DR434" s="153" t="str">
        <f aca="false">IF($DF434&gt;$DE$8,"",VLOOKUP($DF434,$DH$9:$DN$508,4,FALSE()))</f>
        <v/>
      </c>
      <c r="DS434" s="153" t="str">
        <f aca="false">IF($DF434&gt;$DE$8,"",VLOOKUP($DF434,$DH$9:$DN$508,5,FALSE()))</f>
        <v/>
      </c>
      <c r="DT434" s="154" t="str">
        <f aca="false">IF($DF434&gt;$DE$8,"",VLOOKUP($DF434,$DH$9:$DN$508,6,FALSE()))</f>
        <v/>
      </c>
      <c r="DU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IF(ISBLANK($C435),"",IF(E435=Constants!$B$3,TRUE(),IF(E435=Constants!$B$4,FALSE(),TRUE())))</f>
        <v/>
      </c>
      <c r="AG435" s="93" t="str">
        <f aca="false">IF(ISBLANK($C435),"",IF(F435=Constants!$B$3,TRUE(),IF(F435=Constants!$B$4,FALSE(),TRUE())))</f>
        <v/>
      </c>
      <c r="AH435" s="93" t="str">
        <f aca="false">IF(ISBLANK($C435),"",IF(G435=Constants!$B$3,TRUE(),IF(G435=Constants!$B$4,FALSE(),TRUE())))</f>
        <v/>
      </c>
      <c r="AI435" s="93" t="str">
        <f aca="false">IF(ISBLANK($C435),"",IF(AND(ISNUMBER(H435),H435&gt;=0),H435,Constants!$B$29))</f>
        <v/>
      </c>
      <c r="AJ435" s="93" t="str">
        <f aca="false">IF(ISBLANK($C435),"",IF(I435=Constants!$B$3,TRUE(),IF(I435=Constants!$B$4,FALSE(),TRUE())))</f>
        <v/>
      </c>
      <c r="AK435" s="93" t="str">
        <f aca="false">IF(ISBLANK($C435),"",IF(J435=Constants!$B$3,TRUE(),IF(J435=Constants!$B$4,FALSE(),TRUE())))</f>
        <v/>
      </c>
      <c r="AL435" s="93" t="str">
        <f aca="false">IF(ISBLANK($C435),"",IF(K435=Constants!$B$5,TRUE(),IF(K435=Constants!$B$6,FALSE(),COUNTA(L435:P435)&gt;0)))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IF(ISBLANK($C435),"",IF(N435=Constants!$B$3,TRUE(),IF(N435=Constants!$B$4,FALSE(),TRUE())))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IF(ISBLANK($C435),"",IF(P435=Constants!$B$3,TRUE(),IF(P435=Constants!$B$4,FALSE(),FALSE())))</f>
        <v/>
      </c>
      <c r="AR435" s="93" t="str">
        <f aca="false">IF(ISBLANK($C435),"",IF(Q435=Constants!$B$3,TRUE(),IF(Q435=Constants!$B$4,FALSE(),TRUE())))</f>
        <v/>
      </c>
      <c r="AS435" s="93" t="str">
        <f aca="false">IF(ISBLANK($C435),"",IF(R435=Constants!$B$3,TRUE(),IF(R435=Constants!$B$4,FALSE(),TRUE())))</f>
        <v/>
      </c>
      <c r="AT435" s="93" t="str">
        <f aca="false">IF(ISBLANK($C435),"",IF(S435=Constants!$B$5,TRUE(),IF(S435=Constants!$B$6,FALSE(),COUNTA(T435:X435)&gt;0)))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IF(ISBLANK($C435),"",IF(V435=Constants!$B$3,TRUE(),IF(V435=Constants!$B$4,FALSE(),TRUE())))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IF(ISBLANK($C435),"",IF(X435=Constants!$B$3,TRUE(),IF(X435=Constants!$B$4,FALSE(),FALSE())))</f>
        <v/>
      </c>
      <c r="AZ435" s="93" t="str">
        <f aca="false">IF(ISBLANK($C435),"",MIN(Constants!$B$31,MAX(0,IF(ISNUMBER(Y435),Y435*60,0)+IF(ISNUMBER(Z435),Z435,0))))</f>
        <v/>
      </c>
      <c r="BA435" s="93" t="str">
        <f aca="false">IF(ISBLANK($C435),"",IF(AA435=Constants!$B$3,TRUE(),IF(AA435=Constants!$B$4,FALSE(),FALSE())))</f>
        <v/>
      </c>
      <c r="BB435" s="92" t="str">
        <f aca="false">IF(ISBLANK($C435),"",AND($AL435,OR($AM435="",$AN435="",AND($AO435,$AP435=""))))</f>
        <v/>
      </c>
      <c r="BC435" s="94" t="str">
        <f aca="false">IF($BZ435&lt;&gt;Constants!$B$8,"",IF($AL435,Constants!$B$21*$AN435+Constants!$B$22*IF($AO435,$AP435,Constants!$B$23),Constants!$B$24))</f>
        <v/>
      </c>
      <c r="BD435" s="97" t="str">
        <f aca="false">IF($BZ435&lt;&gt;Constants!$B$8,"",Constants!$B$25*ABS($AD$9-IF($AL435,$AM435,0)))</f>
        <v/>
      </c>
      <c r="BE435" s="97" t="str">
        <f aca="false">IF($BZ435&lt;&gt;Constants!$B$8,"",IF(AND($AL435,$AQ435,$AO435),Constants!$B$27,0))</f>
        <v/>
      </c>
      <c r="BF435" s="97" t="str">
        <f aca="false">IF($BZ435&lt;&gt;Constants!$B$8,"",IF($AL435,($AI435-Constants!$B$29)*Constants!$B$28,0))</f>
        <v/>
      </c>
      <c r="BG435" s="97" t="str">
        <f aca="false">IF($BZ435&lt;&gt;Constants!$B$8,"",IF($AK435,0,Constants!$B$15)+IF($AJ435,0,Constants!$B$16)+IF($AH435,0,Constants!$B$17))</f>
        <v/>
      </c>
      <c r="BH435" s="98" t="str">
        <f aca="false">IF($BZ435&lt;&gt;Constants!$B$8,"",Constants!$B$20+SUM($BC435:$BG435))</f>
        <v/>
      </c>
      <c r="BI435" s="97" t="str">
        <f aca="false">IF($BZ435&lt;&gt;Constants!$B$8,"",$BC435)</f>
        <v/>
      </c>
      <c r="BJ435" s="97" t="str">
        <f aca="false">IF($BZ435&lt;&gt;Constants!$B$8,"",$BD435)</f>
        <v/>
      </c>
      <c r="BK435" s="97" t="str">
        <f aca="false">IF($BZ435&lt;&gt;Constants!$B$8,"",IF($AL435,$AN435,""))</f>
        <v/>
      </c>
      <c r="BL435" s="99" t="str">
        <f aca="false">IF($BZ435&lt;&gt;Constants!$B$8,"",$AI435)</f>
        <v/>
      </c>
      <c r="BM435" s="93" t="str">
        <f aca="false">IF($BZ435&lt;&gt;Constants!$B$8,"",IF(OR($BT435&lt;$BH435,AND($BT435=$BH435,OR($BU435&lt;$BI435,AND($BU435=$BI435,OR($BV435&lt;$BJ435,AND($BV435=$BJ435,OR(AND(ISNUMBER($BW435),OR(NOT(ISNUMBER($BK435)),$BW435&lt;$BK435)),AND(OR(AND($BW435="",$BK435=""),AND(ISNUMBER($BW435),ISNUMBER($BK435),$BW435=$BK435)),$BX435&lt;$BL435)))))))),"-&gt;","&lt;-"))</f>
        <v/>
      </c>
      <c r="BN435" s="92" t="str">
        <f aca="false">IF(ISBLANK($C435),"",AND($AT435,OR($AU435="",$AV435="",AND($AW435,$AX435=""))))</f>
        <v/>
      </c>
      <c r="BO435" s="94" t="str">
        <f aca="false">IF($BZ435&lt;&gt;Constants!$B$8,"",IF($AT435,Constants!$B$21*$AV435+Constants!$B$22*IF($AW435,$AX435,Constants!$B$23),Constants!$B$24))</f>
        <v/>
      </c>
      <c r="BP435" s="97" t="str">
        <f aca="false">IF($BZ435&lt;&gt;Constants!$B$8,"",Constants!$B$25*ABS($AD$9-IF($AT435,$AU435,0)))</f>
        <v/>
      </c>
      <c r="BQ435" s="97" t="str">
        <f aca="false">IF($BZ435&lt;&gt;Constants!$B$8,"",IF(AND($AT435,$AY435,$AW435),Constants!$B$27,0))</f>
        <v/>
      </c>
      <c r="BR435" s="97" t="str">
        <f aca="false">IF($BZ435&lt;&gt;Constants!$B$8,"",IF($AT435,($AI435-Constants!$B$29)*Constants!$B$28,0))</f>
        <v/>
      </c>
      <c r="BS435" s="97" t="str">
        <f aca="false">IF($BZ435&lt;&gt;Constants!$B$8,"",IF($AS435,0,Constants!$B$15)+IF($AR435,0,Constants!$B$16)+IF($AH435,0,Constants!$B$17))</f>
        <v/>
      </c>
      <c r="BT435" s="98" t="str">
        <f aca="false">IF($BZ435&lt;&gt;Constants!$B$8,"",Constants!$B$20+SUM($BO435:$BS435))</f>
        <v/>
      </c>
      <c r="BU435" s="97" t="str">
        <f aca="false">IF($BZ435&lt;&gt;Constants!$B$8,"",$BO435)</f>
        <v/>
      </c>
      <c r="BV435" s="97" t="str">
        <f aca="false">IF($BZ435&lt;&gt;Constants!$B$8,"",$BP435)</f>
        <v/>
      </c>
      <c r="BW435" s="97" t="str">
        <f aca="false">IF($BZ435&lt;&gt;Constants!$B$8,"",IF($AT435,$AV435,""))</f>
        <v/>
      </c>
      <c r="BX435" s="99" t="str">
        <f aca="false">IF($BZ435&lt;&gt;Constants!$B$8,"",$AI435)</f>
        <v/>
      </c>
      <c r="BY435" s="93" t="str">
        <f aca="false">IF(ISBLANK($C435),"",IF(ISBLANK($D$7),$BY$5,IF(NOT(ISNUMBER($D$7)),$BY$6,"")))</f>
        <v/>
      </c>
      <c r="BZ435" s="93" t="str">
        <f aca="false">IF(ISBLANK($C435),"",IF($BA435,Constants!$B$11,IF(COUNTA($E435:$AA435)=0,Constants!$B$10,IF(NOT($AG435),Constants!$B$9,IF(OR($BY435&lt;&gt;"",$BB435,$BN435),Constants!$B$12,Constants!$B$8)))))</f>
        <v/>
      </c>
      <c r="CA435" s="93" t="str">
        <f aca="false">IF(ISBLANK($C435),"",IF($BZ435&lt;&gt;Constants!$B$8,$BZ435,Constants!$B$13))</f>
        <v/>
      </c>
      <c r="CB435" s="97" t="str">
        <f aca="false">IF($BZ435&lt;&gt;Constants!$B$8,"",IF($BM435="-&gt;",$BT435,$BH435))</f>
        <v/>
      </c>
      <c r="CC435" s="97" t="str">
        <f aca="false">IF($BZ435&lt;&gt;Constants!$B$8,"",IF($AF435,0,Constants!$B$18))</f>
        <v/>
      </c>
      <c r="CD435" s="97" t="str">
        <f aca="false">IF($BZ435&lt;&gt;Constants!$B$8,"",((Constants!$B$31-$AZ435)-Constants!$B$31)/Constants!$B$32)</f>
        <v/>
      </c>
      <c r="CE435" s="97" t="str">
        <f aca="false">IF(ISBLANK($C435),"",IF($BZ435&lt;&gt;Constants!$B$8,$BZ435,SUM($CB435:$CD435)))</f>
        <v/>
      </c>
      <c r="CF435" s="93" t="str">
        <f aca="false">IF(ISBLANK($C435),"",IF($BZ435&lt;&gt;Constants!$B$8,$BZ435,RANK($CE435,$CE$9:$CE$508,1)))</f>
        <v/>
      </c>
      <c r="CG435" s="97" t="str">
        <f aca="false">IF($BZ435&lt;&gt;Constants!$B$8,"",IF($BM435="-&gt;",$BU435,$BI435))</f>
        <v/>
      </c>
      <c r="CH435" s="93" t="str">
        <f aca="false">IF(ISBLANK($C435),"",IF($BZ435&lt;&gt;Constants!$B$8,$BZ435,IF(ISNUMBER($CG435),RANK($CG435,$CG$9:$CG$508,1),COUNT($CG$9:$CG$508)+1)))</f>
        <v/>
      </c>
      <c r="CI435" s="97" t="str">
        <f aca="false">IF($BZ435&lt;&gt;Constants!$B$8,"",IF($BM435="-&gt;",$BV435,$BJ435))</f>
        <v/>
      </c>
      <c r="CJ435" s="93" t="str">
        <f aca="false">IF(ISBLANK($C435),"",IF($BZ435&lt;&gt;Constants!$B$8,$BZ435,IF(ISNUMBER($CI435),RANK($CI435,$CI$9:$CI$508,1),COUNT($CI$9:$CI$508)+1)))</f>
        <v/>
      </c>
      <c r="CK435" s="97" t="str">
        <f aca="false">IF($BZ435&lt;&gt;Constants!$B$8,"",IF($BM435="-&gt;",$BW435,$BK435))</f>
        <v/>
      </c>
      <c r="CL435" s="93" t="str">
        <f aca="false">IF(ISBLANK($C435),"",IF($BZ435&lt;&gt;Constants!$B$8,$BZ435,IF(ISNUMBER($CK435),RANK($CK435,$CK$9:$CK$508,1),COUNT($CK$9:$CK$508)+1)))</f>
        <v/>
      </c>
      <c r="CM435" s="97" t="str">
        <f aca="false">IF($BZ435&lt;&gt;Constants!$B$8,"",IF(AND(NOT($AL435),NOT($AT435),$AJ435,$AK435,$AR435,$AS435),"",IF($BM435="-&gt;",$BX435,$BL435)))</f>
        <v/>
      </c>
      <c r="CN435" s="93" t="str">
        <f aca="false">IF(ISBLANK($C435),"",IF($BZ435&lt;&gt;Constants!$B$8,$BZ435,IF(ISNUMBER($CM435),RANK($CM435,$CM$9:$CM$508,1),COUNT($CM$9:$CM$508)+1)))</f>
        <v/>
      </c>
      <c r="CO435" s="93" t="str">
        <f aca="false">IF(ISBLANK($C435),"",IF($BZ435&lt;&gt;Constants!$B$8,$BZ435,COUNTIFS($CF$9:$CF$508,"&lt;"&amp;$CF435)+COUNTIFS($CF$9:$CF$508,$CF435,$CH$9:$CH$508,"&lt;"&amp;$CH435)+COUNTIFS($CF$9:$CF$508,$CF435,$CH$9:$CH$508,$CH435,$CJ$9:$CJ$508,"&lt;"&amp;$CJ435)+COUNTIFS($CF$9:$CF$508,$CF435,$CH$9:$CH$508,$CH435,$CJ$9:$CJ$508,$CJ435,$CL$9:$CL$508,"&lt;"&amp;$CL435)+COUNTIFS($CF$9:$CF$508,$CF435,$CH$9:$CH$508,$CH435,$CJ$9:$CJ$508,$CJ435,$CL$9:$CL$508,$CL435,$CN$9:$CN$508,"&lt;"&amp;$CN435)+1))</f>
        <v/>
      </c>
      <c r="CP435" s="93" t="str">
        <f aca="false">IF(ISBLANK($C435),"",IF($BZ435&lt;&gt;Constants!$B$8,$BZ435,$CF435-$CO435))</f>
        <v/>
      </c>
      <c r="CQ435" s="100"/>
      <c r="CR435" s="101"/>
      <c r="CS435" s="102" t="str">
        <f aca="false">IF(ISBLANK($C435),"",IF($BZ435=Constants!$B$12,$BY435,""))</f>
        <v/>
      </c>
      <c r="CT435" s="101" t="str">
        <f aca="false">IF(ISBLANK($C435),"",IF($BZ435&lt;&gt;Constants!$B$8,"",IF($BM435="-&gt;",2,1)))</f>
        <v/>
      </c>
      <c r="CU435" s="103" t="str">
        <f aca="false">IF(ISBLANK($C435),"",IF($BZ435&lt;&gt;Constants!$B$8,"",IF($BM435="-&gt;",$BO435,$BC435)))</f>
        <v/>
      </c>
      <c r="CV435" s="103" t="str">
        <f aca="false">IF(ISBLANK($C435),"",IF($BZ435&lt;&gt;Constants!$B$8,"",IF($BM435="-&gt;",$BP435,$BD435)))</f>
        <v/>
      </c>
      <c r="CW435" s="103" t="str">
        <f aca="false">IF(ISBLANK($C435),"",IF($BZ435&lt;&gt;Constants!$B$8,"",IF($BM435="-&gt;",$BQ435+$BR435,$BE435+$BF435)+$CD435))</f>
        <v/>
      </c>
      <c r="CX435" s="103" t="str">
        <f aca="false">IF(ISBLANK($C435),"",IF($BZ435&lt;&gt;Constants!$B$8,"",IF($BM435="-&gt;",$BS435,$BG435)+$CC435))</f>
        <v/>
      </c>
      <c r="CY435" s="104" t="str">
        <f aca="false">IF(ISBLANK($C435),"",IF($BZ435&lt;&gt;Constants!$B$8,$BZ435,$CE435))</f>
        <v/>
      </c>
      <c r="CZ435" s="105" t="str">
        <f aca="false">IF(ISBLANK($C435),"",$CA435)</f>
        <v/>
      </c>
      <c r="DA435" s="106" t="str">
        <f aca="false">IF(ISBLANK($C435),"",$CP435)</f>
        <v/>
      </c>
      <c r="DB435" s="106" t="str">
        <f aca="false">IF(ISBLANK($C435),"",$CO435)</f>
        <v/>
      </c>
      <c r="DC435" s="107" t="str">
        <f aca="false">IF(ISBLANK($C435),"",IFERROR(_xlfn.SWITCH($DB435,Constants!$B$11,COUNTA($C$9:$C$508)+2,Constants!$B$10,COUNTA($C$9:$C$508)+1,Constants!$B$9,COUNTA($C$9:$C$508)),$DB435))</f>
        <v/>
      </c>
      <c r="DD435" s="9"/>
      <c r="DE435" s="108" t="n">
        <f aca="false">IF(OR(ISNUMBER($DB435),$DB435=Constants!$B$11,$DB435=Constants!$B$9,$DB435=Constants!$B$10),1,0)</f>
        <v>0</v>
      </c>
      <c r="DF435" s="108" t="n">
        <v>427</v>
      </c>
      <c r="DG435" s="108" t="str">
        <f aca="false">IF(ISBLANK($C435),"",IF(ISNUMBER($DC435),$DC435+ROW($B435)/1000,""))</f>
        <v/>
      </c>
      <c r="DH435" s="108" t="str">
        <f aca="false">IF(ISNUMBER($DG435),RANK($DG435,$DG$9:$DG$508,1),"")</f>
        <v/>
      </c>
      <c r="DI435" s="108" t="str">
        <f aca="false">IF(ISBLANK($C435),"",$B435)</f>
        <v/>
      </c>
      <c r="DJ435" s="108" t="str">
        <f aca="false">IF(ISBLANK($C435),"",$C435)</f>
        <v/>
      </c>
      <c r="DK435" s="108" t="str">
        <f aca="false">IF(ISBLANK($C435),"",$D435)</f>
        <v/>
      </c>
      <c r="DL435" s="109" t="str">
        <f aca="false">$CZ435</f>
        <v/>
      </c>
      <c r="DM435" s="110" t="str">
        <f aca="false">$CY435</f>
        <v/>
      </c>
      <c r="DN435" s="108" t="str">
        <f aca="false">IF(ISBLANK($C435),"",$DB435)</f>
        <v/>
      </c>
      <c r="DO435" s="111" t="str">
        <f aca="false">IF($DF435&gt;$DE$8,"",VLOOKUP($DF435,$DH$9:$DN$508,7,FALSE()))</f>
        <v/>
      </c>
      <c r="DP435" s="112" t="str">
        <f aca="false">IF($DF435&gt;$DE$8,"",VLOOKUP($DF435,$DH$9:$DN$508,2,FALSE()))</f>
        <v/>
      </c>
      <c r="DQ435" s="112" t="str">
        <f aca="false">IF($DF435&gt;$DE$8,"",VLOOKUP($DF435,$DH$9:$DN$508,3,FALSE()))</f>
        <v/>
      </c>
      <c r="DR435" s="112" t="str">
        <f aca="false">IF($DF435&gt;$DE$8,"",VLOOKUP($DF435,$DH$9:$DN$508,4,FALSE()))</f>
        <v/>
      </c>
      <c r="DS435" s="112" t="str">
        <f aca="false">IF($DF435&gt;$DE$8,"",VLOOKUP($DF435,$DH$9:$DN$508,5,FALSE()))</f>
        <v/>
      </c>
      <c r="DT435" s="113" t="str">
        <f aca="false">IF($DF435&gt;$DE$8,"",VLOOKUP($DF435,$DH$9:$DN$508,6,FALSE()))</f>
        <v/>
      </c>
      <c r="DU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IF(ISBLANK($C436),"",IF(E436=Constants!$B$3,TRUE(),IF(E436=Constants!$B$4,FALSE(),TRUE())))</f>
        <v/>
      </c>
      <c r="AG436" s="93" t="str">
        <f aca="false">IF(ISBLANK($C436),"",IF(F436=Constants!$B$3,TRUE(),IF(F436=Constants!$B$4,FALSE(),TRUE())))</f>
        <v/>
      </c>
      <c r="AH436" s="93" t="str">
        <f aca="false">IF(ISBLANK($C436),"",IF(G436=Constants!$B$3,TRUE(),IF(G436=Constants!$B$4,FALSE(),TRUE())))</f>
        <v/>
      </c>
      <c r="AI436" s="93" t="str">
        <f aca="false">IF(ISBLANK($C436),"",IF(AND(ISNUMBER(H436),H436&gt;=0),H436,Constants!$B$29))</f>
        <v/>
      </c>
      <c r="AJ436" s="93" t="str">
        <f aca="false">IF(ISBLANK($C436),"",IF(I436=Constants!$B$3,TRUE(),IF(I436=Constants!$B$4,FALSE(),TRUE())))</f>
        <v/>
      </c>
      <c r="AK436" s="93" t="str">
        <f aca="false">IF(ISBLANK($C436),"",IF(J436=Constants!$B$3,TRUE(),IF(J436=Constants!$B$4,FALSE(),TRUE())))</f>
        <v/>
      </c>
      <c r="AL436" s="93" t="str">
        <f aca="false">IF(ISBLANK($C436),"",IF(K436=Constants!$B$5,TRUE(),IF(K436=Constants!$B$6,FALSE(),COUNTA(L436:P436)&gt;0)))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IF(ISBLANK($C436),"",IF(N436=Constants!$B$3,TRUE(),IF(N436=Constants!$B$4,FALSE(),TRUE())))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IF(ISBLANK($C436),"",IF(P436=Constants!$B$3,TRUE(),IF(P436=Constants!$B$4,FALSE(),FALSE())))</f>
        <v/>
      </c>
      <c r="AR436" s="93" t="str">
        <f aca="false">IF(ISBLANK($C436),"",IF(Q436=Constants!$B$3,TRUE(),IF(Q436=Constants!$B$4,FALSE(),TRUE())))</f>
        <v/>
      </c>
      <c r="AS436" s="93" t="str">
        <f aca="false">IF(ISBLANK($C436),"",IF(R436=Constants!$B$3,TRUE(),IF(R436=Constants!$B$4,FALSE(),TRUE())))</f>
        <v/>
      </c>
      <c r="AT436" s="93" t="str">
        <f aca="false">IF(ISBLANK($C436),"",IF(S436=Constants!$B$5,TRUE(),IF(S436=Constants!$B$6,FALSE(),COUNTA(T436:X436)&gt;0)))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IF(ISBLANK($C436),"",IF(V436=Constants!$B$3,TRUE(),IF(V436=Constants!$B$4,FALSE(),TRUE())))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IF(ISBLANK($C436),"",IF(X436=Constants!$B$3,TRUE(),IF(X436=Constants!$B$4,FALSE(),FALSE())))</f>
        <v/>
      </c>
      <c r="AZ436" s="93" t="str">
        <f aca="false">IF(ISBLANK($C436),"",MIN(Constants!$B$31,MAX(0,IF(ISNUMBER(Y436),Y436*60,0)+IF(ISNUMBER(Z436),Z436,0))))</f>
        <v/>
      </c>
      <c r="BA436" s="93" t="str">
        <f aca="false">IF(ISBLANK($C436),"",IF(AA436=Constants!$B$3,TRUE(),IF(AA436=Constants!$B$4,FALSE(),FALSE())))</f>
        <v/>
      </c>
      <c r="BB436" s="92" t="str">
        <f aca="false">IF(ISBLANK($C436),"",AND($AL436,OR($AM436="",$AN436="",AND($AO436,$AP436=""))))</f>
        <v/>
      </c>
      <c r="BC436" s="94" t="str">
        <f aca="false">IF($BZ436&lt;&gt;Constants!$B$8,"",IF($AL436,Constants!$B$21*$AN436+Constants!$B$22*IF($AO436,$AP436,Constants!$B$23),Constants!$B$24))</f>
        <v/>
      </c>
      <c r="BD436" s="97" t="str">
        <f aca="false">IF($BZ436&lt;&gt;Constants!$B$8,"",Constants!$B$25*ABS($AD$9-IF($AL436,$AM436,0)))</f>
        <v/>
      </c>
      <c r="BE436" s="97" t="str">
        <f aca="false">IF($BZ436&lt;&gt;Constants!$B$8,"",IF(AND($AL436,$AQ436,$AO436),Constants!$B$27,0))</f>
        <v/>
      </c>
      <c r="BF436" s="97" t="str">
        <f aca="false">IF($BZ436&lt;&gt;Constants!$B$8,"",IF($AL436,($AI436-Constants!$B$29)*Constants!$B$28,0))</f>
        <v/>
      </c>
      <c r="BG436" s="97" t="str">
        <f aca="false">IF($BZ436&lt;&gt;Constants!$B$8,"",IF($AK436,0,Constants!$B$15)+IF($AJ436,0,Constants!$B$16)+IF($AH436,0,Constants!$B$17))</f>
        <v/>
      </c>
      <c r="BH436" s="98" t="str">
        <f aca="false">IF($BZ436&lt;&gt;Constants!$B$8,"",Constants!$B$20+SUM($BC436:$BG436))</f>
        <v/>
      </c>
      <c r="BI436" s="97" t="str">
        <f aca="false">IF($BZ436&lt;&gt;Constants!$B$8,"",$BC436)</f>
        <v/>
      </c>
      <c r="BJ436" s="97" t="str">
        <f aca="false">IF($BZ436&lt;&gt;Constants!$B$8,"",$BD436)</f>
        <v/>
      </c>
      <c r="BK436" s="97" t="str">
        <f aca="false">IF($BZ436&lt;&gt;Constants!$B$8,"",IF($AL436,$AN436,""))</f>
        <v/>
      </c>
      <c r="BL436" s="99" t="str">
        <f aca="false">IF($BZ436&lt;&gt;Constants!$B$8,"",$AI436)</f>
        <v/>
      </c>
      <c r="BM436" s="93" t="str">
        <f aca="false">IF($BZ436&lt;&gt;Constants!$B$8,"",IF(OR($BT436&lt;$BH436,AND($BT436=$BH436,OR($BU436&lt;$BI436,AND($BU436=$BI436,OR($BV436&lt;$BJ436,AND($BV436=$BJ436,OR(AND(ISNUMBER($BW436),OR(NOT(ISNUMBER($BK436)),$BW436&lt;$BK436)),AND(OR(AND($BW436="",$BK436=""),AND(ISNUMBER($BW436),ISNUMBER($BK436),$BW436=$BK436)),$BX436&lt;$BL436)))))))),"-&gt;","&lt;-"))</f>
        <v/>
      </c>
      <c r="BN436" s="92" t="str">
        <f aca="false">IF(ISBLANK($C436),"",AND($AT436,OR($AU436="",$AV436="",AND($AW436,$AX436=""))))</f>
        <v/>
      </c>
      <c r="BO436" s="94" t="str">
        <f aca="false">IF($BZ436&lt;&gt;Constants!$B$8,"",IF($AT436,Constants!$B$21*$AV436+Constants!$B$22*IF($AW436,$AX436,Constants!$B$23),Constants!$B$24))</f>
        <v/>
      </c>
      <c r="BP436" s="97" t="str">
        <f aca="false">IF($BZ436&lt;&gt;Constants!$B$8,"",Constants!$B$25*ABS($AD$9-IF($AT436,$AU436,0)))</f>
        <v/>
      </c>
      <c r="BQ436" s="97" t="str">
        <f aca="false">IF($BZ436&lt;&gt;Constants!$B$8,"",IF(AND($AT436,$AY436,$AW436),Constants!$B$27,0))</f>
        <v/>
      </c>
      <c r="BR436" s="97" t="str">
        <f aca="false">IF($BZ436&lt;&gt;Constants!$B$8,"",IF($AT436,($AI436-Constants!$B$29)*Constants!$B$28,0))</f>
        <v/>
      </c>
      <c r="BS436" s="97" t="str">
        <f aca="false">IF($BZ436&lt;&gt;Constants!$B$8,"",IF($AS436,0,Constants!$B$15)+IF($AR436,0,Constants!$B$16)+IF($AH436,0,Constants!$B$17))</f>
        <v/>
      </c>
      <c r="BT436" s="98" t="str">
        <f aca="false">IF($BZ436&lt;&gt;Constants!$B$8,"",Constants!$B$20+SUM($BO436:$BS436))</f>
        <v/>
      </c>
      <c r="BU436" s="97" t="str">
        <f aca="false">IF($BZ436&lt;&gt;Constants!$B$8,"",$BO436)</f>
        <v/>
      </c>
      <c r="BV436" s="97" t="str">
        <f aca="false">IF($BZ436&lt;&gt;Constants!$B$8,"",$BP436)</f>
        <v/>
      </c>
      <c r="BW436" s="97" t="str">
        <f aca="false">IF($BZ436&lt;&gt;Constants!$B$8,"",IF($AT436,$AV436,""))</f>
        <v/>
      </c>
      <c r="BX436" s="99" t="str">
        <f aca="false">IF($BZ436&lt;&gt;Constants!$B$8,"",$AI436)</f>
        <v/>
      </c>
      <c r="BY436" s="93" t="str">
        <f aca="false">IF(ISBLANK($C436),"",IF(ISBLANK($D$7),$BY$5,IF(NOT(ISNUMBER($D$7)),$BY$6,"")))</f>
        <v/>
      </c>
      <c r="BZ436" s="93" t="str">
        <f aca="false">IF(ISBLANK($C436),"",IF($BA436,Constants!$B$11,IF(COUNTA($E436:$AA436)=0,Constants!$B$10,IF(NOT($AG436),Constants!$B$9,IF(OR($BY436&lt;&gt;"",$BB436,$BN436),Constants!$B$12,Constants!$B$8)))))</f>
        <v/>
      </c>
      <c r="CA436" s="93" t="str">
        <f aca="false">IF(ISBLANK($C436),"",IF($BZ436&lt;&gt;Constants!$B$8,$BZ436,Constants!$B$13))</f>
        <v/>
      </c>
      <c r="CB436" s="97" t="str">
        <f aca="false">IF($BZ436&lt;&gt;Constants!$B$8,"",IF($BM436="-&gt;",$BT436,$BH436))</f>
        <v/>
      </c>
      <c r="CC436" s="97" t="str">
        <f aca="false">IF($BZ436&lt;&gt;Constants!$B$8,"",IF($AF436,0,Constants!$B$18))</f>
        <v/>
      </c>
      <c r="CD436" s="97" t="str">
        <f aca="false">IF($BZ436&lt;&gt;Constants!$B$8,"",((Constants!$B$31-$AZ436)-Constants!$B$31)/Constants!$B$32)</f>
        <v/>
      </c>
      <c r="CE436" s="97" t="str">
        <f aca="false">IF(ISBLANK($C436),"",IF($BZ436&lt;&gt;Constants!$B$8,$BZ436,SUM($CB436:$CD436)))</f>
        <v/>
      </c>
      <c r="CF436" s="93" t="str">
        <f aca="false">IF(ISBLANK($C436),"",IF($BZ436&lt;&gt;Constants!$B$8,$BZ436,RANK($CE436,$CE$9:$CE$508,1)))</f>
        <v/>
      </c>
      <c r="CG436" s="97" t="str">
        <f aca="false">IF($BZ436&lt;&gt;Constants!$B$8,"",IF($BM436="-&gt;",$BU436,$BI436))</f>
        <v/>
      </c>
      <c r="CH436" s="93" t="str">
        <f aca="false">IF(ISBLANK($C436),"",IF($BZ436&lt;&gt;Constants!$B$8,$BZ436,IF(ISNUMBER($CG436),RANK($CG436,$CG$9:$CG$508,1),COUNT($CG$9:$CG$508)+1)))</f>
        <v/>
      </c>
      <c r="CI436" s="97" t="str">
        <f aca="false">IF($BZ436&lt;&gt;Constants!$B$8,"",IF($BM436="-&gt;",$BV436,$BJ436))</f>
        <v/>
      </c>
      <c r="CJ436" s="93" t="str">
        <f aca="false">IF(ISBLANK($C436),"",IF($BZ436&lt;&gt;Constants!$B$8,$BZ436,IF(ISNUMBER($CI436),RANK($CI436,$CI$9:$CI$508,1),COUNT($CI$9:$CI$508)+1)))</f>
        <v/>
      </c>
      <c r="CK436" s="97" t="str">
        <f aca="false">IF($BZ436&lt;&gt;Constants!$B$8,"",IF($BM436="-&gt;",$BW436,$BK436))</f>
        <v/>
      </c>
      <c r="CL436" s="93" t="str">
        <f aca="false">IF(ISBLANK($C436),"",IF($BZ436&lt;&gt;Constants!$B$8,$BZ436,IF(ISNUMBER($CK436),RANK($CK436,$CK$9:$CK$508,1),COUNT($CK$9:$CK$508)+1)))</f>
        <v/>
      </c>
      <c r="CM436" s="97" t="str">
        <f aca="false">IF($BZ436&lt;&gt;Constants!$B$8,"",IF(AND(NOT($AL436),NOT($AT436),$AJ436,$AK436,$AR436,$AS436),"",IF($BM436="-&gt;",$BX436,$BL436)))</f>
        <v/>
      </c>
      <c r="CN436" s="93" t="str">
        <f aca="false">IF(ISBLANK($C436),"",IF($BZ436&lt;&gt;Constants!$B$8,$BZ436,IF(ISNUMBER($CM436),RANK($CM436,$CM$9:$CM$508,1),COUNT($CM$9:$CM$508)+1)))</f>
        <v/>
      </c>
      <c r="CO436" s="93" t="str">
        <f aca="false">IF(ISBLANK($C436),"",IF($BZ436&lt;&gt;Constants!$B$8,$BZ436,COUNTIFS($CF$9:$CF$508,"&lt;"&amp;$CF436)+COUNTIFS($CF$9:$CF$508,$CF436,$CH$9:$CH$508,"&lt;"&amp;$CH436)+COUNTIFS($CF$9:$CF$508,$CF436,$CH$9:$CH$508,$CH436,$CJ$9:$CJ$508,"&lt;"&amp;$CJ436)+COUNTIFS($CF$9:$CF$508,$CF436,$CH$9:$CH$508,$CH436,$CJ$9:$CJ$508,$CJ436,$CL$9:$CL$508,"&lt;"&amp;$CL436)+COUNTIFS($CF$9:$CF$508,$CF436,$CH$9:$CH$508,$CH436,$CJ$9:$CJ$508,$CJ436,$CL$9:$CL$508,$CL436,$CN$9:$CN$508,"&lt;"&amp;$CN436)+1))</f>
        <v/>
      </c>
      <c r="CP436" s="93" t="str">
        <f aca="false">IF(ISBLANK($C436),"",IF($BZ436&lt;&gt;Constants!$B$8,$BZ436,$CF436-$CO436))</f>
        <v/>
      </c>
      <c r="CQ436" s="100"/>
      <c r="CR436" s="101"/>
      <c r="CS436" s="102" t="str">
        <f aca="false">IF(ISBLANK($C436),"",IF($BZ436=Constants!$B$12,$BY436,""))</f>
        <v/>
      </c>
      <c r="CT436" s="101" t="str">
        <f aca="false">IF(ISBLANK($C436),"",IF($BZ436&lt;&gt;Constants!$B$8,"",IF($BM436="-&gt;",2,1)))</f>
        <v/>
      </c>
      <c r="CU436" s="103" t="str">
        <f aca="false">IF(ISBLANK($C436),"",IF($BZ436&lt;&gt;Constants!$B$8,"",IF($BM436="-&gt;",$BO436,$BC436)))</f>
        <v/>
      </c>
      <c r="CV436" s="103" t="str">
        <f aca="false">IF(ISBLANK($C436),"",IF($BZ436&lt;&gt;Constants!$B$8,"",IF($BM436="-&gt;",$BP436,$BD436)))</f>
        <v/>
      </c>
      <c r="CW436" s="103" t="str">
        <f aca="false">IF(ISBLANK($C436),"",IF($BZ436&lt;&gt;Constants!$B$8,"",IF($BM436="-&gt;",$BQ436+$BR436,$BE436+$BF436)+$CD436))</f>
        <v/>
      </c>
      <c r="CX436" s="103" t="str">
        <f aca="false">IF(ISBLANK($C436),"",IF($BZ436&lt;&gt;Constants!$B$8,"",IF($BM436="-&gt;",$BS436,$BG436)+$CC436))</f>
        <v/>
      </c>
      <c r="CY436" s="104" t="str">
        <f aca="false">IF(ISBLANK($C436),"",IF($BZ436&lt;&gt;Constants!$B$8,$BZ436,$CE436))</f>
        <v/>
      </c>
      <c r="CZ436" s="105" t="str">
        <f aca="false">IF(ISBLANK($C436),"",$CA436)</f>
        <v/>
      </c>
      <c r="DA436" s="106" t="str">
        <f aca="false">IF(ISBLANK($C436),"",$CP436)</f>
        <v/>
      </c>
      <c r="DB436" s="106" t="str">
        <f aca="false">IF(ISBLANK($C436),"",$CO436)</f>
        <v/>
      </c>
      <c r="DC436" s="107" t="str">
        <f aca="false">IF(ISBLANK($C436),"",IFERROR(_xlfn.SWITCH($DB436,Constants!$B$11,COUNTA($C$9:$C$508)+2,Constants!$B$10,COUNTA($C$9:$C$508)+1,Constants!$B$9,COUNTA($C$9:$C$508)),$DB436))</f>
        <v/>
      </c>
      <c r="DD436" s="9"/>
      <c r="DE436" s="108" t="n">
        <f aca="false">IF(OR(ISNUMBER($DB436),$DB436=Constants!$B$11,$DB436=Constants!$B$9,$DB436=Constants!$B$10),1,0)</f>
        <v>0</v>
      </c>
      <c r="DF436" s="108" t="n">
        <v>428</v>
      </c>
      <c r="DG436" s="108" t="str">
        <f aca="false">IF(ISBLANK($C436),"",IF(ISNUMBER($DC436),$DC436+ROW($B436)/1000,""))</f>
        <v/>
      </c>
      <c r="DH436" s="108" t="str">
        <f aca="false">IF(ISNUMBER($DG436),RANK($DG436,$DG$9:$DG$508,1),"")</f>
        <v/>
      </c>
      <c r="DI436" s="108" t="str">
        <f aca="false">IF(ISBLANK($C436),"",$B436)</f>
        <v/>
      </c>
      <c r="DJ436" s="108" t="str">
        <f aca="false">IF(ISBLANK($C436),"",$C436)</f>
        <v/>
      </c>
      <c r="DK436" s="108" t="str">
        <f aca="false">IF(ISBLANK($C436),"",$D436)</f>
        <v/>
      </c>
      <c r="DL436" s="109" t="str">
        <f aca="false">$CZ436</f>
        <v/>
      </c>
      <c r="DM436" s="110" t="str">
        <f aca="false">$CY436</f>
        <v/>
      </c>
      <c r="DN436" s="108" t="str">
        <f aca="false">IF(ISBLANK($C436),"",$DB436)</f>
        <v/>
      </c>
      <c r="DO436" s="111" t="str">
        <f aca="false">IF($DF436&gt;$DE$8,"",VLOOKUP($DF436,$DH$9:$DN$508,7,FALSE()))</f>
        <v/>
      </c>
      <c r="DP436" s="112" t="str">
        <f aca="false">IF($DF436&gt;$DE$8,"",VLOOKUP($DF436,$DH$9:$DN$508,2,FALSE()))</f>
        <v/>
      </c>
      <c r="DQ436" s="112" t="str">
        <f aca="false">IF($DF436&gt;$DE$8,"",VLOOKUP($DF436,$DH$9:$DN$508,3,FALSE()))</f>
        <v/>
      </c>
      <c r="DR436" s="112" t="str">
        <f aca="false">IF($DF436&gt;$DE$8,"",VLOOKUP($DF436,$DH$9:$DN$508,4,FALSE()))</f>
        <v/>
      </c>
      <c r="DS436" s="112" t="str">
        <f aca="false">IF($DF436&gt;$DE$8,"",VLOOKUP($DF436,$DH$9:$DN$508,5,FALSE()))</f>
        <v/>
      </c>
      <c r="DT436" s="113" t="str">
        <f aca="false">IF($DF436&gt;$DE$8,"",VLOOKUP($DF436,$DH$9:$DN$508,6,FALSE()))</f>
        <v/>
      </c>
      <c r="DU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IF(ISBLANK($C437),"",IF(E437=Constants!$B$3,TRUE(),IF(E437=Constants!$B$4,FALSE(),TRUE())))</f>
        <v/>
      </c>
      <c r="AG437" s="93" t="str">
        <f aca="false">IF(ISBLANK($C437),"",IF(F437=Constants!$B$3,TRUE(),IF(F437=Constants!$B$4,FALSE(),TRUE())))</f>
        <v/>
      </c>
      <c r="AH437" s="93" t="str">
        <f aca="false">IF(ISBLANK($C437),"",IF(G437=Constants!$B$3,TRUE(),IF(G437=Constants!$B$4,FALSE(),TRUE())))</f>
        <v/>
      </c>
      <c r="AI437" s="93" t="str">
        <f aca="false">IF(ISBLANK($C437),"",IF(AND(ISNUMBER(H437),H437&gt;=0),H437,Constants!$B$29))</f>
        <v/>
      </c>
      <c r="AJ437" s="93" t="str">
        <f aca="false">IF(ISBLANK($C437),"",IF(I437=Constants!$B$3,TRUE(),IF(I437=Constants!$B$4,FALSE(),TRUE())))</f>
        <v/>
      </c>
      <c r="AK437" s="93" t="str">
        <f aca="false">IF(ISBLANK($C437),"",IF(J437=Constants!$B$3,TRUE(),IF(J437=Constants!$B$4,FALSE(),TRUE())))</f>
        <v/>
      </c>
      <c r="AL437" s="93" t="str">
        <f aca="false">IF(ISBLANK($C437),"",IF(K437=Constants!$B$5,TRUE(),IF(K437=Constants!$B$6,FALSE(),COUNTA(L437:P437)&gt;0)))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IF(ISBLANK($C437),"",IF(N437=Constants!$B$3,TRUE(),IF(N437=Constants!$B$4,FALSE(),TRUE())))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IF(ISBLANK($C437),"",IF(P437=Constants!$B$3,TRUE(),IF(P437=Constants!$B$4,FALSE(),FALSE())))</f>
        <v/>
      </c>
      <c r="AR437" s="93" t="str">
        <f aca="false">IF(ISBLANK($C437),"",IF(Q437=Constants!$B$3,TRUE(),IF(Q437=Constants!$B$4,FALSE(),TRUE())))</f>
        <v/>
      </c>
      <c r="AS437" s="93" t="str">
        <f aca="false">IF(ISBLANK($C437),"",IF(R437=Constants!$B$3,TRUE(),IF(R437=Constants!$B$4,FALSE(),TRUE())))</f>
        <v/>
      </c>
      <c r="AT437" s="93" t="str">
        <f aca="false">IF(ISBLANK($C437),"",IF(S437=Constants!$B$5,TRUE(),IF(S437=Constants!$B$6,FALSE(),COUNTA(T437:X437)&gt;0)))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IF(ISBLANK($C437),"",IF(V437=Constants!$B$3,TRUE(),IF(V437=Constants!$B$4,FALSE(),TRUE())))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IF(ISBLANK($C437),"",IF(X437=Constants!$B$3,TRUE(),IF(X437=Constants!$B$4,FALSE(),FALSE())))</f>
        <v/>
      </c>
      <c r="AZ437" s="93" t="str">
        <f aca="false">IF(ISBLANK($C437),"",MIN(Constants!$B$31,MAX(0,IF(ISNUMBER(Y437),Y437*60,0)+IF(ISNUMBER(Z437),Z437,0))))</f>
        <v/>
      </c>
      <c r="BA437" s="93" t="str">
        <f aca="false">IF(ISBLANK($C437),"",IF(AA437=Constants!$B$3,TRUE(),IF(AA437=Constants!$B$4,FALSE(),FALSE())))</f>
        <v/>
      </c>
      <c r="BB437" s="92" t="str">
        <f aca="false">IF(ISBLANK($C437),"",AND($AL437,OR($AM437="",$AN437="",AND($AO437,$AP437=""))))</f>
        <v/>
      </c>
      <c r="BC437" s="94" t="str">
        <f aca="false">IF($BZ437&lt;&gt;Constants!$B$8,"",IF($AL437,Constants!$B$21*$AN437+Constants!$B$22*IF($AO437,$AP437,Constants!$B$23),Constants!$B$24))</f>
        <v/>
      </c>
      <c r="BD437" s="97" t="str">
        <f aca="false">IF($BZ437&lt;&gt;Constants!$B$8,"",Constants!$B$25*ABS($AD$9-IF($AL437,$AM437,0)))</f>
        <v/>
      </c>
      <c r="BE437" s="97" t="str">
        <f aca="false">IF($BZ437&lt;&gt;Constants!$B$8,"",IF(AND($AL437,$AQ437,$AO437),Constants!$B$27,0))</f>
        <v/>
      </c>
      <c r="BF437" s="97" t="str">
        <f aca="false">IF($BZ437&lt;&gt;Constants!$B$8,"",IF($AL437,($AI437-Constants!$B$29)*Constants!$B$28,0))</f>
        <v/>
      </c>
      <c r="BG437" s="97" t="str">
        <f aca="false">IF($BZ437&lt;&gt;Constants!$B$8,"",IF($AK437,0,Constants!$B$15)+IF($AJ437,0,Constants!$B$16)+IF($AH437,0,Constants!$B$17))</f>
        <v/>
      </c>
      <c r="BH437" s="98" t="str">
        <f aca="false">IF($BZ437&lt;&gt;Constants!$B$8,"",Constants!$B$20+SUM($BC437:$BG437))</f>
        <v/>
      </c>
      <c r="BI437" s="97" t="str">
        <f aca="false">IF($BZ437&lt;&gt;Constants!$B$8,"",$BC437)</f>
        <v/>
      </c>
      <c r="BJ437" s="97" t="str">
        <f aca="false">IF($BZ437&lt;&gt;Constants!$B$8,"",$BD437)</f>
        <v/>
      </c>
      <c r="BK437" s="97" t="str">
        <f aca="false">IF($BZ437&lt;&gt;Constants!$B$8,"",IF($AL437,$AN437,""))</f>
        <v/>
      </c>
      <c r="BL437" s="99" t="str">
        <f aca="false">IF($BZ437&lt;&gt;Constants!$B$8,"",$AI437)</f>
        <v/>
      </c>
      <c r="BM437" s="93" t="str">
        <f aca="false">IF($BZ437&lt;&gt;Constants!$B$8,"",IF(OR($BT437&lt;$BH437,AND($BT437=$BH437,OR($BU437&lt;$BI437,AND($BU437=$BI437,OR($BV437&lt;$BJ437,AND($BV437=$BJ437,OR(AND(ISNUMBER($BW437),OR(NOT(ISNUMBER($BK437)),$BW437&lt;$BK437)),AND(OR(AND($BW437="",$BK437=""),AND(ISNUMBER($BW437),ISNUMBER($BK437),$BW437=$BK437)),$BX437&lt;$BL437)))))))),"-&gt;","&lt;-"))</f>
        <v/>
      </c>
      <c r="BN437" s="92" t="str">
        <f aca="false">IF(ISBLANK($C437),"",AND($AT437,OR($AU437="",$AV437="",AND($AW437,$AX437=""))))</f>
        <v/>
      </c>
      <c r="BO437" s="94" t="str">
        <f aca="false">IF($BZ437&lt;&gt;Constants!$B$8,"",IF($AT437,Constants!$B$21*$AV437+Constants!$B$22*IF($AW437,$AX437,Constants!$B$23),Constants!$B$24))</f>
        <v/>
      </c>
      <c r="BP437" s="97" t="str">
        <f aca="false">IF($BZ437&lt;&gt;Constants!$B$8,"",Constants!$B$25*ABS($AD$9-IF($AT437,$AU437,0)))</f>
        <v/>
      </c>
      <c r="BQ437" s="97" t="str">
        <f aca="false">IF($BZ437&lt;&gt;Constants!$B$8,"",IF(AND($AT437,$AY437,$AW437),Constants!$B$27,0))</f>
        <v/>
      </c>
      <c r="BR437" s="97" t="str">
        <f aca="false">IF($BZ437&lt;&gt;Constants!$B$8,"",IF($AT437,($AI437-Constants!$B$29)*Constants!$B$28,0))</f>
        <v/>
      </c>
      <c r="BS437" s="97" t="str">
        <f aca="false">IF($BZ437&lt;&gt;Constants!$B$8,"",IF($AS437,0,Constants!$B$15)+IF($AR437,0,Constants!$B$16)+IF($AH437,0,Constants!$B$17))</f>
        <v/>
      </c>
      <c r="BT437" s="98" t="str">
        <f aca="false">IF($BZ437&lt;&gt;Constants!$B$8,"",Constants!$B$20+SUM($BO437:$BS437))</f>
        <v/>
      </c>
      <c r="BU437" s="97" t="str">
        <f aca="false">IF($BZ437&lt;&gt;Constants!$B$8,"",$BO437)</f>
        <v/>
      </c>
      <c r="BV437" s="97" t="str">
        <f aca="false">IF($BZ437&lt;&gt;Constants!$B$8,"",$BP437)</f>
        <v/>
      </c>
      <c r="BW437" s="97" t="str">
        <f aca="false">IF($BZ437&lt;&gt;Constants!$B$8,"",IF($AT437,$AV437,""))</f>
        <v/>
      </c>
      <c r="BX437" s="99" t="str">
        <f aca="false">IF($BZ437&lt;&gt;Constants!$B$8,"",$AI437)</f>
        <v/>
      </c>
      <c r="BY437" s="93" t="str">
        <f aca="false">IF(ISBLANK($C437),"",IF(ISBLANK($D$7),$BY$5,IF(NOT(ISNUMBER($D$7)),$BY$6,"")))</f>
        <v/>
      </c>
      <c r="BZ437" s="93" t="str">
        <f aca="false">IF(ISBLANK($C437),"",IF($BA437,Constants!$B$11,IF(COUNTA($E437:$AA437)=0,Constants!$B$10,IF(NOT($AG437),Constants!$B$9,IF(OR($BY437&lt;&gt;"",$BB437,$BN437),Constants!$B$12,Constants!$B$8)))))</f>
        <v/>
      </c>
      <c r="CA437" s="93" t="str">
        <f aca="false">IF(ISBLANK($C437),"",IF($BZ437&lt;&gt;Constants!$B$8,$BZ437,Constants!$B$13))</f>
        <v/>
      </c>
      <c r="CB437" s="97" t="str">
        <f aca="false">IF($BZ437&lt;&gt;Constants!$B$8,"",IF($BM437="-&gt;",$BT437,$BH437))</f>
        <v/>
      </c>
      <c r="CC437" s="97" t="str">
        <f aca="false">IF($BZ437&lt;&gt;Constants!$B$8,"",IF($AF437,0,Constants!$B$18))</f>
        <v/>
      </c>
      <c r="CD437" s="97" t="str">
        <f aca="false">IF($BZ437&lt;&gt;Constants!$B$8,"",((Constants!$B$31-$AZ437)-Constants!$B$31)/Constants!$B$32)</f>
        <v/>
      </c>
      <c r="CE437" s="97" t="str">
        <f aca="false">IF(ISBLANK($C437),"",IF($BZ437&lt;&gt;Constants!$B$8,$BZ437,SUM($CB437:$CD437)))</f>
        <v/>
      </c>
      <c r="CF437" s="93" t="str">
        <f aca="false">IF(ISBLANK($C437),"",IF($BZ437&lt;&gt;Constants!$B$8,$BZ437,RANK($CE437,$CE$9:$CE$508,1)))</f>
        <v/>
      </c>
      <c r="CG437" s="97" t="str">
        <f aca="false">IF($BZ437&lt;&gt;Constants!$B$8,"",IF($BM437="-&gt;",$BU437,$BI437))</f>
        <v/>
      </c>
      <c r="CH437" s="93" t="str">
        <f aca="false">IF(ISBLANK($C437),"",IF($BZ437&lt;&gt;Constants!$B$8,$BZ437,IF(ISNUMBER($CG437),RANK($CG437,$CG$9:$CG$508,1),COUNT($CG$9:$CG$508)+1)))</f>
        <v/>
      </c>
      <c r="CI437" s="97" t="str">
        <f aca="false">IF($BZ437&lt;&gt;Constants!$B$8,"",IF($BM437="-&gt;",$BV437,$BJ437))</f>
        <v/>
      </c>
      <c r="CJ437" s="93" t="str">
        <f aca="false">IF(ISBLANK($C437),"",IF($BZ437&lt;&gt;Constants!$B$8,$BZ437,IF(ISNUMBER($CI437),RANK($CI437,$CI$9:$CI$508,1),COUNT($CI$9:$CI$508)+1)))</f>
        <v/>
      </c>
      <c r="CK437" s="97" t="str">
        <f aca="false">IF($BZ437&lt;&gt;Constants!$B$8,"",IF($BM437="-&gt;",$BW437,$BK437))</f>
        <v/>
      </c>
      <c r="CL437" s="93" t="str">
        <f aca="false">IF(ISBLANK($C437),"",IF($BZ437&lt;&gt;Constants!$B$8,$BZ437,IF(ISNUMBER($CK437),RANK($CK437,$CK$9:$CK$508,1),COUNT($CK$9:$CK$508)+1)))</f>
        <v/>
      </c>
      <c r="CM437" s="97" t="str">
        <f aca="false">IF($BZ437&lt;&gt;Constants!$B$8,"",IF(AND(NOT($AL437),NOT($AT437),$AJ437,$AK437,$AR437,$AS437),"",IF($BM437="-&gt;",$BX437,$BL437)))</f>
        <v/>
      </c>
      <c r="CN437" s="93" t="str">
        <f aca="false">IF(ISBLANK($C437),"",IF($BZ437&lt;&gt;Constants!$B$8,$BZ437,IF(ISNUMBER($CM437),RANK($CM437,$CM$9:$CM$508,1),COUNT($CM$9:$CM$508)+1)))</f>
        <v/>
      </c>
      <c r="CO437" s="93" t="str">
        <f aca="false">IF(ISBLANK($C437),"",IF($BZ437&lt;&gt;Constants!$B$8,$BZ437,COUNTIFS($CF$9:$CF$508,"&lt;"&amp;$CF437)+COUNTIFS($CF$9:$CF$508,$CF437,$CH$9:$CH$508,"&lt;"&amp;$CH437)+COUNTIFS($CF$9:$CF$508,$CF437,$CH$9:$CH$508,$CH437,$CJ$9:$CJ$508,"&lt;"&amp;$CJ437)+COUNTIFS($CF$9:$CF$508,$CF437,$CH$9:$CH$508,$CH437,$CJ$9:$CJ$508,$CJ437,$CL$9:$CL$508,"&lt;"&amp;$CL437)+COUNTIFS($CF$9:$CF$508,$CF437,$CH$9:$CH$508,$CH437,$CJ$9:$CJ$508,$CJ437,$CL$9:$CL$508,$CL437,$CN$9:$CN$508,"&lt;"&amp;$CN437)+1))</f>
        <v/>
      </c>
      <c r="CP437" s="93" t="str">
        <f aca="false">IF(ISBLANK($C437),"",IF($BZ437&lt;&gt;Constants!$B$8,$BZ437,$CF437-$CO437))</f>
        <v/>
      </c>
      <c r="CQ437" s="100"/>
      <c r="CR437" s="101"/>
      <c r="CS437" s="102" t="str">
        <f aca="false">IF(ISBLANK($C437),"",IF($BZ437=Constants!$B$12,$BY437,""))</f>
        <v/>
      </c>
      <c r="CT437" s="101" t="str">
        <f aca="false">IF(ISBLANK($C437),"",IF($BZ437&lt;&gt;Constants!$B$8,"",IF($BM437="-&gt;",2,1)))</f>
        <v/>
      </c>
      <c r="CU437" s="103" t="str">
        <f aca="false">IF(ISBLANK($C437),"",IF($BZ437&lt;&gt;Constants!$B$8,"",IF($BM437="-&gt;",$BO437,$BC437)))</f>
        <v/>
      </c>
      <c r="CV437" s="103" t="str">
        <f aca="false">IF(ISBLANK($C437),"",IF($BZ437&lt;&gt;Constants!$B$8,"",IF($BM437="-&gt;",$BP437,$BD437)))</f>
        <v/>
      </c>
      <c r="CW437" s="103" t="str">
        <f aca="false">IF(ISBLANK($C437),"",IF($BZ437&lt;&gt;Constants!$B$8,"",IF($BM437="-&gt;",$BQ437+$BR437,$BE437+$BF437)+$CD437))</f>
        <v/>
      </c>
      <c r="CX437" s="103" t="str">
        <f aca="false">IF(ISBLANK($C437),"",IF($BZ437&lt;&gt;Constants!$B$8,"",IF($BM437="-&gt;",$BS437,$BG437)+$CC437))</f>
        <v/>
      </c>
      <c r="CY437" s="104" t="str">
        <f aca="false">IF(ISBLANK($C437),"",IF($BZ437&lt;&gt;Constants!$B$8,$BZ437,$CE437))</f>
        <v/>
      </c>
      <c r="CZ437" s="105" t="str">
        <f aca="false">IF(ISBLANK($C437),"",$CA437)</f>
        <v/>
      </c>
      <c r="DA437" s="106" t="str">
        <f aca="false">IF(ISBLANK($C437),"",$CP437)</f>
        <v/>
      </c>
      <c r="DB437" s="106" t="str">
        <f aca="false">IF(ISBLANK($C437),"",$CO437)</f>
        <v/>
      </c>
      <c r="DC437" s="107" t="str">
        <f aca="false">IF(ISBLANK($C437),"",IFERROR(_xlfn.SWITCH($DB437,Constants!$B$11,COUNTA($C$9:$C$508)+2,Constants!$B$10,COUNTA($C$9:$C$508)+1,Constants!$B$9,COUNTA($C$9:$C$508)),$DB437))</f>
        <v/>
      </c>
      <c r="DD437" s="9"/>
      <c r="DE437" s="108" t="n">
        <f aca="false">IF(OR(ISNUMBER($DB437),$DB437=Constants!$B$11,$DB437=Constants!$B$9,$DB437=Constants!$B$10),1,0)</f>
        <v>0</v>
      </c>
      <c r="DF437" s="108" t="n">
        <v>429</v>
      </c>
      <c r="DG437" s="108" t="str">
        <f aca="false">IF(ISBLANK($C437),"",IF(ISNUMBER($DC437),$DC437+ROW($B437)/1000,""))</f>
        <v/>
      </c>
      <c r="DH437" s="108" t="str">
        <f aca="false">IF(ISNUMBER($DG437),RANK($DG437,$DG$9:$DG$508,1),"")</f>
        <v/>
      </c>
      <c r="DI437" s="108" t="str">
        <f aca="false">IF(ISBLANK($C437),"",$B437)</f>
        <v/>
      </c>
      <c r="DJ437" s="108" t="str">
        <f aca="false">IF(ISBLANK($C437),"",$C437)</f>
        <v/>
      </c>
      <c r="DK437" s="108" t="str">
        <f aca="false">IF(ISBLANK($C437),"",$D437)</f>
        <v/>
      </c>
      <c r="DL437" s="109" t="str">
        <f aca="false">$CZ437</f>
        <v/>
      </c>
      <c r="DM437" s="110" t="str">
        <f aca="false">$CY437</f>
        <v/>
      </c>
      <c r="DN437" s="108" t="str">
        <f aca="false">IF(ISBLANK($C437),"",$DB437)</f>
        <v/>
      </c>
      <c r="DO437" s="111" t="str">
        <f aca="false">IF($DF437&gt;$DE$8,"",VLOOKUP($DF437,$DH$9:$DN$508,7,FALSE()))</f>
        <v/>
      </c>
      <c r="DP437" s="112" t="str">
        <f aca="false">IF($DF437&gt;$DE$8,"",VLOOKUP($DF437,$DH$9:$DN$508,2,FALSE()))</f>
        <v/>
      </c>
      <c r="DQ437" s="112" t="str">
        <f aca="false">IF($DF437&gt;$DE$8,"",VLOOKUP($DF437,$DH$9:$DN$508,3,FALSE()))</f>
        <v/>
      </c>
      <c r="DR437" s="112" t="str">
        <f aca="false">IF($DF437&gt;$DE$8,"",VLOOKUP($DF437,$DH$9:$DN$508,4,FALSE()))</f>
        <v/>
      </c>
      <c r="DS437" s="112" t="str">
        <f aca="false">IF($DF437&gt;$DE$8,"",VLOOKUP($DF437,$DH$9:$DN$508,5,FALSE()))</f>
        <v/>
      </c>
      <c r="DT437" s="113" t="str">
        <f aca="false">IF($DF437&gt;$DE$8,"",VLOOKUP($DF437,$DH$9:$DN$508,6,FALSE()))</f>
        <v/>
      </c>
      <c r="DU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IF(ISBLANK($C438),"",IF(E438=Constants!$B$3,TRUE(),IF(E438=Constants!$B$4,FALSE(),TRUE())))</f>
        <v/>
      </c>
      <c r="AG438" s="135" t="str">
        <f aca="false">IF(ISBLANK($C438),"",IF(F438=Constants!$B$3,TRUE(),IF(F438=Constants!$B$4,FALSE(),TRUE())))</f>
        <v/>
      </c>
      <c r="AH438" s="135" t="str">
        <f aca="false">IF(ISBLANK($C438),"",IF(G438=Constants!$B$3,TRUE(),IF(G438=Constants!$B$4,FALSE(),TRUE())))</f>
        <v/>
      </c>
      <c r="AI438" s="135" t="str">
        <f aca="false">IF(ISBLANK($C438),"",IF(AND(ISNUMBER(H438),H438&gt;=0),H438,Constants!$B$29))</f>
        <v/>
      </c>
      <c r="AJ438" s="135" t="str">
        <f aca="false">IF(ISBLANK($C438),"",IF(I438=Constants!$B$3,TRUE(),IF(I438=Constants!$B$4,FALSE(),TRUE())))</f>
        <v/>
      </c>
      <c r="AK438" s="135" t="str">
        <f aca="false">IF(ISBLANK($C438),"",IF(J438=Constants!$B$3,TRUE(),IF(J438=Constants!$B$4,FALSE(),TRUE())))</f>
        <v/>
      </c>
      <c r="AL438" s="135" t="str">
        <f aca="false">IF(ISBLANK($C438),"",IF(K438=Constants!$B$5,TRUE(),IF(K438=Constants!$B$6,FALSE(),COUNTA(L438:P438)&gt;0)))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IF(ISBLANK($C438),"",IF(N438=Constants!$B$3,TRUE(),IF(N438=Constants!$B$4,FALSE(),TRUE())))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IF(ISBLANK($C438),"",IF(P438=Constants!$B$3,TRUE(),IF(P438=Constants!$B$4,FALSE(),FALSE())))</f>
        <v/>
      </c>
      <c r="AR438" s="135" t="str">
        <f aca="false">IF(ISBLANK($C438),"",IF(Q438=Constants!$B$3,TRUE(),IF(Q438=Constants!$B$4,FALSE(),TRUE())))</f>
        <v/>
      </c>
      <c r="AS438" s="135" t="str">
        <f aca="false">IF(ISBLANK($C438),"",IF(R438=Constants!$B$3,TRUE(),IF(R438=Constants!$B$4,FALSE(),TRUE())))</f>
        <v/>
      </c>
      <c r="AT438" s="135" t="str">
        <f aca="false">IF(ISBLANK($C438),"",IF(S438=Constants!$B$5,TRUE(),IF(S438=Constants!$B$6,FALSE(),COUNTA(T438:X438)&gt;0)))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IF(ISBLANK($C438),"",IF(V438=Constants!$B$3,TRUE(),IF(V438=Constants!$B$4,FALSE(),TRUE())))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IF(ISBLANK($C438),"",IF(X438=Constants!$B$3,TRUE(),IF(X438=Constants!$B$4,FALSE(),FALSE())))</f>
        <v/>
      </c>
      <c r="AZ438" s="135" t="str">
        <f aca="false">IF(ISBLANK($C438),"",MIN(Constants!$B$31,MAX(0,IF(ISNUMBER(Y438),Y438*60,0)+IF(ISNUMBER(Z438),Z438,0))))</f>
        <v/>
      </c>
      <c r="BA438" s="135" t="str">
        <f aca="false">IF(ISBLANK($C438),"",IF(AA438=Constants!$B$3,TRUE(),IF(AA438=Constants!$B$4,FALSE(),FALSE())))</f>
        <v/>
      </c>
      <c r="BB438" s="134" t="str">
        <f aca="false">IF(ISBLANK($C438),"",AND($AL438,OR($AM438="",$AN438="",AND($AO438,$AP438=""))))</f>
        <v/>
      </c>
      <c r="BC438" s="137" t="str">
        <f aca="false">IF($BZ438&lt;&gt;Constants!$B$8,"",IF($AL438,Constants!$B$21*$AN438+Constants!$B$22*IF($AO438,$AP438,Constants!$B$23),Constants!$B$24))</f>
        <v/>
      </c>
      <c r="BD438" s="138" t="str">
        <f aca="false">IF($BZ438&lt;&gt;Constants!$B$8,"",Constants!$B$25*ABS($AD$9-IF($AL438,$AM438,0)))</f>
        <v/>
      </c>
      <c r="BE438" s="138" t="str">
        <f aca="false">IF($BZ438&lt;&gt;Constants!$B$8,"",IF(AND($AL438,$AQ438,$AO438),Constants!$B$27,0))</f>
        <v/>
      </c>
      <c r="BF438" s="138" t="str">
        <f aca="false">IF($BZ438&lt;&gt;Constants!$B$8,"",IF($AL438,($AI438-Constants!$B$29)*Constants!$B$28,0))</f>
        <v/>
      </c>
      <c r="BG438" s="138" t="str">
        <f aca="false">IF($BZ438&lt;&gt;Constants!$B$8,"",IF($AK438,0,Constants!$B$15)+IF($AJ438,0,Constants!$B$16)+IF($AH438,0,Constants!$B$17))</f>
        <v/>
      </c>
      <c r="BH438" s="139" t="str">
        <f aca="false">IF($BZ438&lt;&gt;Constants!$B$8,"",Constants!$B$20+SUM($BC438:$BG438))</f>
        <v/>
      </c>
      <c r="BI438" s="138" t="str">
        <f aca="false">IF($BZ438&lt;&gt;Constants!$B$8,"",$BC438)</f>
        <v/>
      </c>
      <c r="BJ438" s="138" t="str">
        <f aca="false">IF($BZ438&lt;&gt;Constants!$B$8,"",$BD438)</f>
        <v/>
      </c>
      <c r="BK438" s="138" t="str">
        <f aca="false">IF($BZ438&lt;&gt;Constants!$B$8,"",IF($AL438,$AN438,""))</f>
        <v/>
      </c>
      <c r="BL438" s="140" t="str">
        <f aca="false">IF($BZ438&lt;&gt;Constants!$B$8,"",$AI438)</f>
        <v/>
      </c>
      <c r="BM438" s="135" t="str">
        <f aca="false">IF($BZ438&lt;&gt;Constants!$B$8,"",IF(OR($BT438&lt;$BH438,AND($BT438=$BH438,OR($BU438&lt;$BI438,AND($BU438=$BI438,OR($BV438&lt;$BJ438,AND($BV438=$BJ438,OR(AND(ISNUMBER($BW438),OR(NOT(ISNUMBER($BK438)),$BW438&lt;$BK438)),AND(OR(AND($BW438="",$BK438=""),AND(ISNUMBER($BW438),ISNUMBER($BK438),$BW438=$BK438)),$BX438&lt;$BL438)))))))),"-&gt;","&lt;-"))</f>
        <v/>
      </c>
      <c r="BN438" s="134" t="str">
        <f aca="false">IF(ISBLANK($C438),"",AND($AT438,OR($AU438="",$AV438="",AND($AW438,$AX438=""))))</f>
        <v/>
      </c>
      <c r="BO438" s="137" t="str">
        <f aca="false">IF($BZ438&lt;&gt;Constants!$B$8,"",IF($AT438,Constants!$B$21*$AV438+Constants!$B$22*IF($AW438,$AX438,Constants!$B$23),Constants!$B$24))</f>
        <v/>
      </c>
      <c r="BP438" s="138" t="str">
        <f aca="false">IF($BZ438&lt;&gt;Constants!$B$8,"",Constants!$B$25*ABS($AD$9-IF($AT438,$AU438,0)))</f>
        <v/>
      </c>
      <c r="BQ438" s="138" t="str">
        <f aca="false">IF($BZ438&lt;&gt;Constants!$B$8,"",IF(AND($AT438,$AY438,$AW438),Constants!$B$27,0))</f>
        <v/>
      </c>
      <c r="BR438" s="138" t="str">
        <f aca="false">IF($BZ438&lt;&gt;Constants!$B$8,"",IF($AT438,($AI438-Constants!$B$29)*Constants!$B$28,0))</f>
        <v/>
      </c>
      <c r="BS438" s="138" t="str">
        <f aca="false">IF($BZ438&lt;&gt;Constants!$B$8,"",IF($AS438,0,Constants!$B$15)+IF($AR438,0,Constants!$B$16)+IF($AH438,0,Constants!$B$17))</f>
        <v/>
      </c>
      <c r="BT438" s="139" t="str">
        <f aca="false">IF($BZ438&lt;&gt;Constants!$B$8,"",Constants!$B$20+SUM($BO438:$BS438))</f>
        <v/>
      </c>
      <c r="BU438" s="138" t="str">
        <f aca="false">IF($BZ438&lt;&gt;Constants!$B$8,"",$BO438)</f>
        <v/>
      </c>
      <c r="BV438" s="138" t="str">
        <f aca="false">IF($BZ438&lt;&gt;Constants!$B$8,"",$BP438)</f>
        <v/>
      </c>
      <c r="BW438" s="138" t="str">
        <f aca="false">IF($BZ438&lt;&gt;Constants!$B$8,"",IF($AT438,$AV438,""))</f>
        <v/>
      </c>
      <c r="BX438" s="140" t="str">
        <f aca="false">IF($BZ438&lt;&gt;Constants!$B$8,"",$AI438)</f>
        <v/>
      </c>
      <c r="BY438" s="135" t="str">
        <f aca="false">IF(ISBLANK($C438),"",IF(ISBLANK($D$7),$BY$5,IF(NOT(ISNUMBER($D$7)),$BY$6,"")))</f>
        <v/>
      </c>
      <c r="BZ438" s="135" t="str">
        <f aca="false">IF(ISBLANK($C438),"",IF($BA438,Constants!$B$11,IF(COUNTA($E438:$AA438)=0,Constants!$B$10,IF(NOT($AG438),Constants!$B$9,IF(OR($BY438&lt;&gt;"",$BB438,$BN438),Constants!$B$12,Constants!$B$8)))))</f>
        <v/>
      </c>
      <c r="CA438" s="135" t="str">
        <f aca="false">IF(ISBLANK($C438),"",IF($BZ438&lt;&gt;Constants!$B$8,$BZ438,Constants!$B$13))</f>
        <v/>
      </c>
      <c r="CB438" s="138" t="str">
        <f aca="false">IF($BZ438&lt;&gt;Constants!$B$8,"",IF($BM438="-&gt;",$BT438,$BH438))</f>
        <v/>
      </c>
      <c r="CC438" s="138" t="str">
        <f aca="false">IF($BZ438&lt;&gt;Constants!$B$8,"",IF($AF438,0,Constants!$B$18))</f>
        <v/>
      </c>
      <c r="CD438" s="138" t="str">
        <f aca="false">IF($BZ438&lt;&gt;Constants!$B$8,"",((Constants!$B$31-$AZ438)-Constants!$B$31)/Constants!$B$32)</f>
        <v/>
      </c>
      <c r="CE438" s="138" t="str">
        <f aca="false">IF(ISBLANK($C438),"",IF($BZ438&lt;&gt;Constants!$B$8,$BZ438,SUM($CB438:$CD438)))</f>
        <v/>
      </c>
      <c r="CF438" s="135" t="str">
        <f aca="false">IF(ISBLANK($C438),"",IF($BZ438&lt;&gt;Constants!$B$8,$BZ438,RANK($CE438,$CE$9:$CE$508,1)))</f>
        <v/>
      </c>
      <c r="CG438" s="138" t="str">
        <f aca="false">IF($BZ438&lt;&gt;Constants!$B$8,"",IF($BM438="-&gt;",$BU438,$BI438))</f>
        <v/>
      </c>
      <c r="CH438" s="135" t="str">
        <f aca="false">IF(ISBLANK($C438),"",IF($BZ438&lt;&gt;Constants!$B$8,$BZ438,IF(ISNUMBER($CG438),RANK($CG438,$CG$9:$CG$508,1),COUNT($CG$9:$CG$508)+1)))</f>
        <v/>
      </c>
      <c r="CI438" s="138" t="str">
        <f aca="false">IF($BZ438&lt;&gt;Constants!$B$8,"",IF($BM438="-&gt;",$BV438,$BJ438))</f>
        <v/>
      </c>
      <c r="CJ438" s="135" t="str">
        <f aca="false">IF(ISBLANK($C438),"",IF($BZ438&lt;&gt;Constants!$B$8,$BZ438,IF(ISNUMBER($CI438),RANK($CI438,$CI$9:$CI$508,1),COUNT($CI$9:$CI$508)+1)))</f>
        <v/>
      </c>
      <c r="CK438" s="138" t="str">
        <f aca="false">IF($BZ438&lt;&gt;Constants!$B$8,"",IF($BM438="-&gt;",$BW438,$BK438))</f>
        <v/>
      </c>
      <c r="CL438" s="135" t="str">
        <f aca="false">IF(ISBLANK($C438),"",IF($BZ438&lt;&gt;Constants!$B$8,$BZ438,IF(ISNUMBER($CK438),RANK($CK438,$CK$9:$CK$508,1),COUNT($CK$9:$CK$508)+1)))</f>
        <v/>
      </c>
      <c r="CM438" s="138" t="str">
        <f aca="false">IF($BZ438&lt;&gt;Constants!$B$8,"",IF(AND(NOT($AL438),NOT($AT438),$AJ438,$AK438,$AR438,$AS438),"",IF($BM438="-&gt;",$BX438,$BL438)))</f>
        <v/>
      </c>
      <c r="CN438" s="135" t="str">
        <f aca="false">IF(ISBLANK($C438),"",IF($BZ438&lt;&gt;Constants!$B$8,$BZ438,IF(ISNUMBER($CM438),RANK($CM438,$CM$9:$CM$508,1),COUNT($CM$9:$CM$508)+1)))</f>
        <v/>
      </c>
      <c r="CO438" s="135" t="str">
        <f aca="false">IF(ISBLANK($C438),"",IF($BZ438&lt;&gt;Constants!$B$8,$BZ438,COUNTIFS($CF$9:$CF$508,"&lt;"&amp;$CF438)+COUNTIFS($CF$9:$CF$508,$CF438,$CH$9:$CH$508,"&lt;"&amp;$CH438)+COUNTIFS($CF$9:$CF$508,$CF438,$CH$9:$CH$508,$CH438,$CJ$9:$CJ$508,"&lt;"&amp;$CJ438)+COUNTIFS($CF$9:$CF$508,$CF438,$CH$9:$CH$508,$CH438,$CJ$9:$CJ$508,$CJ438,$CL$9:$CL$508,"&lt;"&amp;$CL438)+COUNTIFS($CF$9:$CF$508,$CF438,$CH$9:$CH$508,$CH438,$CJ$9:$CJ$508,$CJ438,$CL$9:$CL$508,$CL438,$CN$9:$CN$508,"&lt;"&amp;$CN438)+1))</f>
        <v/>
      </c>
      <c r="CP438" s="135" t="str">
        <f aca="false">IF(ISBLANK($C438),"",IF($BZ438&lt;&gt;Constants!$B$8,$BZ438,$CF438-$CO438))</f>
        <v/>
      </c>
      <c r="CQ438" s="141"/>
      <c r="CR438" s="142"/>
      <c r="CS438" s="143" t="str">
        <f aca="false">IF(ISBLANK($C438),"",IF($BZ438=Constants!$B$12,$BY438,""))</f>
        <v/>
      </c>
      <c r="CT438" s="142" t="str">
        <f aca="false">IF(ISBLANK($C438),"",IF($BZ438&lt;&gt;Constants!$B$8,"",IF($BM438="-&gt;",2,1)))</f>
        <v/>
      </c>
      <c r="CU438" s="144" t="str">
        <f aca="false">IF(ISBLANK($C438),"",IF($BZ438&lt;&gt;Constants!$B$8,"",IF($BM438="-&gt;",$BO438,$BC438)))</f>
        <v/>
      </c>
      <c r="CV438" s="144" t="str">
        <f aca="false">IF(ISBLANK($C438),"",IF($BZ438&lt;&gt;Constants!$B$8,"",IF($BM438="-&gt;",$BP438,$BD438)))</f>
        <v/>
      </c>
      <c r="CW438" s="144" t="str">
        <f aca="false">IF(ISBLANK($C438),"",IF($BZ438&lt;&gt;Constants!$B$8,"",IF($BM438="-&gt;",$BQ438+$BR438,$BE438+$BF438)+$CD438))</f>
        <v/>
      </c>
      <c r="CX438" s="144" t="str">
        <f aca="false">IF(ISBLANK($C438),"",IF($BZ438&lt;&gt;Constants!$B$8,"",IF($BM438="-&gt;",$BS438,$BG438)+$CC438))</f>
        <v/>
      </c>
      <c r="CY438" s="145" t="str">
        <f aca="false">IF(ISBLANK($C438),"",IF($BZ438&lt;&gt;Constants!$B$8,$BZ438,$CE438))</f>
        <v/>
      </c>
      <c r="CZ438" s="146" t="str">
        <f aca="false">IF(ISBLANK($C438),"",$CA438)</f>
        <v/>
      </c>
      <c r="DA438" s="147" t="str">
        <f aca="false">IF(ISBLANK($C438),"",$CP438)</f>
        <v/>
      </c>
      <c r="DB438" s="147" t="str">
        <f aca="false">IF(ISBLANK($C438),"",$CO438)</f>
        <v/>
      </c>
      <c r="DC438" s="148" t="str">
        <f aca="false">IF(ISBLANK($C438),"",IFERROR(_xlfn.SWITCH($DB438,Constants!$B$11,COUNTA($C$9:$C$508)+2,Constants!$B$10,COUNTA($C$9:$C$508)+1,Constants!$B$9,COUNTA($C$9:$C$508)),$DB438))</f>
        <v/>
      </c>
      <c r="DD438" s="9"/>
      <c r="DE438" s="149" t="n">
        <f aca="false">IF(OR(ISNUMBER($DB438),$DB438=Constants!$B$11,$DB438=Constants!$B$9,$DB438=Constants!$B$10),1,0)</f>
        <v>0</v>
      </c>
      <c r="DF438" s="149" t="n">
        <v>430</v>
      </c>
      <c r="DG438" s="149" t="str">
        <f aca="false">IF(ISBLANK($C438),"",IF(ISNUMBER($DC438),$DC438+ROW($B438)/1000,""))</f>
        <v/>
      </c>
      <c r="DH438" s="149" t="str">
        <f aca="false">IF(ISNUMBER($DG438),RANK($DG438,$DG$9:$DG$508,1),"")</f>
        <v/>
      </c>
      <c r="DI438" s="149" t="str">
        <f aca="false">IF(ISBLANK($C438),"",$B438)</f>
        <v/>
      </c>
      <c r="DJ438" s="149" t="str">
        <f aca="false">IF(ISBLANK($C438),"",$C438)</f>
        <v/>
      </c>
      <c r="DK438" s="149" t="str">
        <f aca="false">IF(ISBLANK($C438),"",$D438)</f>
        <v/>
      </c>
      <c r="DL438" s="150" t="str">
        <f aca="false">$CZ438</f>
        <v/>
      </c>
      <c r="DM438" s="151" t="str">
        <f aca="false">$CY438</f>
        <v/>
      </c>
      <c r="DN438" s="149" t="str">
        <f aca="false">IF(ISBLANK($C438),"",$DB438)</f>
        <v/>
      </c>
      <c r="DO438" s="152" t="str">
        <f aca="false">IF($DF438&gt;$DE$8,"",VLOOKUP($DF438,$DH$9:$DN$508,7,FALSE()))</f>
        <v/>
      </c>
      <c r="DP438" s="153" t="str">
        <f aca="false">IF($DF438&gt;$DE$8,"",VLOOKUP($DF438,$DH$9:$DN$508,2,FALSE()))</f>
        <v/>
      </c>
      <c r="DQ438" s="153" t="str">
        <f aca="false">IF($DF438&gt;$DE$8,"",VLOOKUP($DF438,$DH$9:$DN$508,3,FALSE()))</f>
        <v/>
      </c>
      <c r="DR438" s="153" t="str">
        <f aca="false">IF($DF438&gt;$DE$8,"",VLOOKUP($DF438,$DH$9:$DN$508,4,FALSE()))</f>
        <v/>
      </c>
      <c r="DS438" s="153" t="str">
        <f aca="false">IF($DF438&gt;$DE$8,"",VLOOKUP($DF438,$DH$9:$DN$508,5,FALSE()))</f>
        <v/>
      </c>
      <c r="DT438" s="154" t="str">
        <f aca="false">IF($DF438&gt;$DE$8,"",VLOOKUP($DF438,$DH$9:$DN$508,6,FALSE()))</f>
        <v/>
      </c>
      <c r="DU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IF(ISBLANK($C439),"",IF(E439=Constants!$B$3,TRUE(),IF(E439=Constants!$B$4,FALSE(),TRUE())))</f>
        <v/>
      </c>
      <c r="AG439" s="135" t="str">
        <f aca="false">IF(ISBLANK($C439),"",IF(F439=Constants!$B$3,TRUE(),IF(F439=Constants!$B$4,FALSE(),TRUE())))</f>
        <v/>
      </c>
      <c r="AH439" s="135" t="str">
        <f aca="false">IF(ISBLANK($C439),"",IF(G439=Constants!$B$3,TRUE(),IF(G439=Constants!$B$4,FALSE(),TRUE())))</f>
        <v/>
      </c>
      <c r="AI439" s="135" t="str">
        <f aca="false">IF(ISBLANK($C439),"",IF(AND(ISNUMBER(H439),H439&gt;=0),H439,Constants!$B$29))</f>
        <v/>
      </c>
      <c r="AJ439" s="135" t="str">
        <f aca="false">IF(ISBLANK($C439),"",IF(I439=Constants!$B$3,TRUE(),IF(I439=Constants!$B$4,FALSE(),TRUE())))</f>
        <v/>
      </c>
      <c r="AK439" s="135" t="str">
        <f aca="false">IF(ISBLANK($C439),"",IF(J439=Constants!$B$3,TRUE(),IF(J439=Constants!$B$4,FALSE(),TRUE())))</f>
        <v/>
      </c>
      <c r="AL439" s="135" t="str">
        <f aca="false">IF(ISBLANK($C439),"",IF(K439=Constants!$B$5,TRUE(),IF(K439=Constants!$B$6,FALSE(),COUNTA(L439:P439)&gt;0)))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IF(ISBLANK($C439),"",IF(N439=Constants!$B$3,TRUE(),IF(N439=Constants!$B$4,FALSE(),TRUE())))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IF(ISBLANK($C439),"",IF(P439=Constants!$B$3,TRUE(),IF(P439=Constants!$B$4,FALSE(),FALSE())))</f>
        <v/>
      </c>
      <c r="AR439" s="135" t="str">
        <f aca="false">IF(ISBLANK($C439),"",IF(Q439=Constants!$B$3,TRUE(),IF(Q439=Constants!$B$4,FALSE(),TRUE())))</f>
        <v/>
      </c>
      <c r="AS439" s="135" t="str">
        <f aca="false">IF(ISBLANK($C439),"",IF(R439=Constants!$B$3,TRUE(),IF(R439=Constants!$B$4,FALSE(),TRUE())))</f>
        <v/>
      </c>
      <c r="AT439" s="135" t="str">
        <f aca="false">IF(ISBLANK($C439),"",IF(S439=Constants!$B$5,TRUE(),IF(S439=Constants!$B$6,FALSE(),COUNTA(T439:X439)&gt;0)))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IF(ISBLANK($C439),"",IF(V439=Constants!$B$3,TRUE(),IF(V439=Constants!$B$4,FALSE(),TRUE())))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IF(ISBLANK($C439),"",IF(X439=Constants!$B$3,TRUE(),IF(X439=Constants!$B$4,FALSE(),FALSE())))</f>
        <v/>
      </c>
      <c r="AZ439" s="135" t="str">
        <f aca="false">IF(ISBLANK($C439),"",MIN(Constants!$B$31,MAX(0,IF(ISNUMBER(Y439),Y439*60,0)+IF(ISNUMBER(Z439),Z439,0))))</f>
        <v/>
      </c>
      <c r="BA439" s="135" t="str">
        <f aca="false">IF(ISBLANK($C439),"",IF(AA439=Constants!$B$3,TRUE(),IF(AA439=Constants!$B$4,FALSE(),FALSE())))</f>
        <v/>
      </c>
      <c r="BB439" s="134" t="str">
        <f aca="false">IF(ISBLANK($C439),"",AND($AL439,OR($AM439="",$AN439="",AND($AO439,$AP439=""))))</f>
        <v/>
      </c>
      <c r="BC439" s="137" t="str">
        <f aca="false">IF($BZ439&lt;&gt;Constants!$B$8,"",IF($AL439,Constants!$B$21*$AN439+Constants!$B$22*IF($AO439,$AP439,Constants!$B$23),Constants!$B$24))</f>
        <v/>
      </c>
      <c r="BD439" s="138" t="str">
        <f aca="false">IF($BZ439&lt;&gt;Constants!$B$8,"",Constants!$B$25*ABS($AD$9-IF($AL439,$AM439,0)))</f>
        <v/>
      </c>
      <c r="BE439" s="138" t="str">
        <f aca="false">IF($BZ439&lt;&gt;Constants!$B$8,"",IF(AND($AL439,$AQ439,$AO439),Constants!$B$27,0))</f>
        <v/>
      </c>
      <c r="BF439" s="138" t="str">
        <f aca="false">IF($BZ439&lt;&gt;Constants!$B$8,"",IF($AL439,($AI439-Constants!$B$29)*Constants!$B$28,0))</f>
        <v/>
      </c>
      <c r="BG439" s="138" t="str">
        <f aca="false">IF($BZ439&lt;&gt;Constants!$B$8,"",IF($AK439,0,Constants!$B$15)+IF($AJ439,0,Constants!$B$16)+IF($AH439,0,Constants!$B$17))</f>
        <v/>
      </c>
      <c r="BH439" s="139" t="str">
        <f aca="false">IF($BZ439&lt;&gt;Constants!$B$8,"",Constants!$B$20+SUM($BC439:$BG439))</f>
        <v/>
      </c>
      <c r="BI439" s="138" t="str">
        <f aca="false">IF($BZ439&lt;&gt;Constants!$B$8,"",$BC439)</f>
        <v/>
      </c>
      <c r="BJ439" s="138" t="str">
        <f aca="false">IF($BZ439&lt;&gt;Constants!$B$8,"",$BD439)</f>
        <v/>
      </c>
      <c r="BK439" s="138" t="str">
        <f aca="false">IF($BZ439&lt;&gt;Constants!$B$8,"",IF($AL439,$AN439,""))</f>
        <v/>
      </c>
      <c r="BL439" s="140" t="str">
        <f aca="false">IF($BZ439&lt;&gt;Constants!$B$8,"",$AI439)</f>
        <v/>
      </c>
      <c r="BM439" s="135" t="str">
        <f aca="false">IF($BZ439&lt;&gt;Constants!$B$8,"",IF(OR($BT439&lt;$BH439,AND($BT439=$BH439,OR($BU439&lt;$BI439,AND($BU439=$BI439,OR($BV439&lt;$BJ439,AND($BV439=$BJ439,OR(AND(ISNUMBER($BW439),OR(NOT(ISNUMBER($BK439)),$BW439&lt;$BK439)),AND(OR(AND($BW439="",$BK439=""),AND(ISNUMBER($BW439),ISNUMBER($BK439),$BW439=$BK439)),$BX439&lt;$BL439)))))))),"-&gt;","&lt;-"))</f>
        <v/>
      </c>
      <c r="BN439" s="134" t="str">
        <f aca="false">IF(ISBLANK($C439),"",AND($AT439,OR($AU439="",$AV439="",AND($AW439,$AX439=""))))</f>
        <v/>
      </c>
      <c r="BO439" s="137" t="str">
        <f aca="false">IF($BZ439&lt;&gt;Constants!$B$8,"",IF($AT439,Constants!$B$21*$AV439+Constants!$B$22*IF($AW439,$AX439,Constants!$B$23),Constants!$B$24))</f>
        <v/>
      </c>
      <c r="BP439" s="138" t="str">
        <f aca="false">IF($BZ439&lt;&gt;Constants!$B$8,"",Constants!$B$25*ABS($AD$9-IF($AT439,$AU439,0)))</f>
        <v/>
      </c>
      <c r="BQ439" s="138" t="str">
        <f aca="false">IF($BZ439&lt;&gt;Constants!$B$8,"",IF(AND($AT439,$AY439,$AW439),Constants!$B$27,0))</f>
        <v/>
      </c>
      <c r="BR439" s="138" t="str">
        <f aca="false">IF($BZ439&lt;&gt;Constants!$B$8,"",IF($AT439,($AI439-Constants!$B$29)*Constants!$B$28,0))</f>
        <v/>
      </c>
      <c r="BS439" s="138" t="str">
        <f aca="false">IF($BZ439&lt;&gt;Constants!$B$8,"",IF($AS439,0,Constants!$B$15)+IF($AR439,0,Constants!$B$16)+IF($AH439,0,Constants!$B$17))</f>
        <v/>
      </c>
      <c r="BT439" s="139" t="str">
        <f aca="false">IF($BZ439&lt;&gt;Constants!$B$8,"",Constants!$B$20+SUM($BO439:$BS439))</f>
        <v/>
      </c>
      <c r="BU439" s="138" t="str">
        <f aca="false">IF($BZ439&lt;&gt;Constants!$B$8,"",$BO439)</f>
        <v/>
      </c>
      <c r="BV439" s="138" t="str">
        <f aca="false">IF($BZ439&lt;&gt;Constants!$B$8,"",$BP439)</f>
        <v/>
      </c>
      <c r="BW439" s="138" t="str">
        <f aca="false">IF($BZ439&lt;&gt;Constants!$B$8,"",IF($AT439,$AV439,""))</f>
        <v/>
      </c>
      <c r="BX439" s="140" t="str">
        <f aca="false">IF($BZ439&lt;&gt;Constants!$B$8,"",$AI439)</f>
        <v/>
      </c>
      <c r="BY439" s="135" t="str">
        <f aca="false">IF(ISBLANK($C439),"",IF(ISBLANK($D$7),$BY$5,IF(NOT(ISNUMBER($D$7)),$BY$6,"")))</f>
        <v/>
      </c>
      <c r="BZ439" s="135" t="str">
        <f aca="false">IF(ISBLANK($C439),"",IF($BA439,Constants!$B$11,IF(COUNTA($E439:$AA439)=0,Constants!$B$10,IF(NOT($AG439),Constants!$B$9,IF(OR($BY439&lt;&gt;"",$BB439,$BN439),Constants!$B$12,Constants!$B$8)))))</f>
        <v/>
      </c>
      <c r="CA439" s="135" t="str">
        <f aca="false">IF(ISBLANK($C439),"",IF($BZ439&lt;&gt;Constants!$B$8,$BZ439,Constants!$B$13))</f>
        <v/>
      </c>
      <c r="CB439" s="138" t="str">
        <f aca="false">IF($BZ439&lt;&gt;Constants!$B$8,"",IF($BM439="-&gt;",$BT439,$BH439))</f>
        <v/>
      </c>
      <c r="CC439" s="138" t="str">
        <f aca="false">IF($BZ439&lt;&gt;Constants!$B$8,"",IF($AF439,0,Constants!$B$18))</f>
        <v/>
      </c>
      <c r="CD439" s="138" t="str">
        <f aca="false">IF($BZ439&lt;&gt;Constants!$B$8,"",((Constants!$B$31-$AZ439)-Constants!$B$31)/Constants!$B$32)</f>
        <v/>
      </c>
      <c r="CE439" s="138" t="str">
        <f aca="false">IF(ISBLANK($C439),"",IF($BZ439&lt;&gt;Constants!$B$8,$BZ439,SUM($CB439:$CD439)))</f>
        <v/>
      </c>
      <c r="CF439" s="135" t="str">
        <f aca="false">IF(ISBLANK($C439),"",IF($BZ439&lt;&gt;Constants!$B$8,$BZ439,RANK($CE439,$CE$9:$CE$508,1)))</f>
        <v/>
      </c>
      <c r="CG439" s="138" t="str">
        <f aca="false">IF($BZ439&lt;&gt;Constants!$B$8,"",IF($BM439="-&gt;",$BU439,$BI439))</f>
        <v/>
      </c>
      <c r="CH439" s="135" t="str">
        <f aca="false">IF(ISBLANK($C439),"",IF($BZ439&lt;&gt;Constants!$B$8,$BZ439,IF(ISNUMBER($CG439),RANK($CG439,$CG$9:$CG$508,1),COUNT($CG$9:$CG$508)+1)))</f>
        <v/>
      </c>
      <c r="CI439" s="138" t="str">
        <f aca="false">IF($BZ439&lt;&gt;Constants!$B$8,"",IF($BM439="-&gt;",$BV439,$BJ439))</f>
        <v/>
      </c>
      <c r="CJ439" s="135" t="str">
        <f aca="false">IF(ISBLANK($C439),"",IF($BZ439&lt;&gt;Constants!$B$8,$BZ439,IF(ISNUMBER($CI439),RANK($CI439,$CI$9:$CI$508,1),COUNT($CI$9:$CI$508)+1)))</f>
        <v/>
      </c>
      <c r="CK439" s="138" t="str">
        <f aca="false">IF($BZ439&lt;&gt;Constants!$B$8,"",IF($BM439="-&gt;",$BW439,$BK439))</f>
        <v/>
      </c>
      <c r="CL439" s="135" t="str">
        <f aca="false">IF(ISBLANK($C439),"",IF($BZ439&lt;&gt;Constants!$B$8,$BZ439,IF(ISNUMBER($CK439),RANK($CK439,$CK$9:$CK$508,1),COUNT($CK$9:$CK$508)+1)))</f>
        <v/>
      </c>
      <c r="CM439" s="138" t="str">
        <f aca="false">IF($BZ439&lt;&gt;Constants!$B$8,"",IF(AND(NOT($AL439),NOT($AT439),$AJ439,$AK439,$AR439,$AS439),"",IF($BM439="-&gt;",$BX439,$BL439)))</f>
        <v/>
      </c>
      <c r="CN439" s="135" t="str">
        <f aca="false">IF(ISBLANK($C439),"",IF($BZ439&lt;&gt;Constants!$B$8,$BZ439,IF(ISNUMBER($CM439),RANK($CM439,$CM$9:$CM$508,1),COUNT($CM$9:$CM$508)+1)))</f>
        <v/>
      </c>
      <c r="CO439" s="135" t="str">
        <f aca="false">IF(ISBLANK($C439),"",IF($BZ439&lt;&gt;Constants!$B$8,$BZ439,COUNTIFS($CF$9:$CF$508,"&lt;"&amp;$CF439)+COUNTIFS($CF$9:$CF$508,$CF439,$CH$9:$CH$508,"&lt;"&amp;$CH439)+COUNTIFS($CF$9:$CF$508,$CF439,$CH$9:$CH$508,$CH439,$CJ$9:$CJ$508,"&lt;"&amp;$CJ439)+COUNTIFS($CF$9:$CF$508,$CF439,$CH$9:$CH$508,$CH439,$CJ$9:$CJ$508,$CJ439,$CL$9:$CL$508,"&lt;"&amp;$CL439)+COUNTIFS($CF$9:$CF$508,$CF439,$CH$9:$CH$508,$CH439,$CJ$9:$CJ$508,$CJ439,$CL$9:$CL$508,$CL439,$CN$9:$CN$508,"&lt;"&amp;$CN439)+1))</f>
        <v/>
      </c>
      <c r="CP439" s="135" t="str">
        <f aca="false">IF(ISBLANK($C439),"",IF($BZ439&lt;&gt;Constants!$B$8,$BZ439,$CF439-$CO439))</f>
        <v/>
      </c>
      <c r="CQ439" s="141"/>
      <c r="CR439" s="142"/>
      <c r="CS439" s="143" t="str">
        <f aca="false">IF(ISBLANK($C439),"",IF($BZ439=Constants!$B$12,$BY439,""))</f>
        <v/>
      </c>
      <c r="CT439" s="142" t="str">
        <f aca="false">IF(ISBLANK($C439),"",IF($BZ439&lt;&gt;Constants!$B$8,"",IF($BM439="-&gt;",2,1)))</f>
        <v/>
      </c>
      <c r="CU439" s="144" t="str">
        <f aca="false">IF(ISBLANK($C439),"",IF($BZ439&lt;&gt;Constants!$B$8,"",IF($BM439="-&gt;",$BO439,$BC439)))</f>
        <v/>
      </c>
      <c r="CV439" s="144" t="str">
        <f aca="false">IF(ISBLANK($C439),"",IF($BZ439&lt;&gt;Constants!$B$8,"",IF($BM439="-&gt;",$BP439,$BD439)))</f>
        <v/>
      </c>
      <c r="CW439" s="144" t="str">
        <f aca="false">IF(ISBLANK($C439),"",IF($BZ439&lt;&gt;Constants!$B$8,"",IF($BM439="-&gt;",$BQ439+$BR439,$BE439+$BF439)+$CD439))</f>
        <v/>
      </c>
      <c r="CX439" s="144" t="str">
        <f aca="false">IF(ISBLANK($C439),"",IF($BZ439&lt;&gt;Constants!$B$8,"",IF($BM439="-&gt;",$BS439,$BG439)+$CC439))</f>
        <v/>
      </c>
      <c r="CY439" s="145" t="str">
        <f aca="false">IF(ISBLANK($C439),"",IF($BZ439&lt;&gt;Constants!$B$8,$BZ439,$CE439))</f>
        <v/>
      </c>
      <c r="CZ439" s="146" t="str">
        <f aca="false">IF(ISBLANK($C439),"",$CA439)</f>
        <v/>
      </c>
      <c r="DA439" s="147" t="str">
        <f aca="false">IF(ISBLANK($C439),"",$CP439)</f>
        <v/>
      </c>
      <c r="DB439" s="147" t="str">
        <f aca="false">IF(ISBLANK($C439),"",$CO439)</f>
        <v/>
      </c>
      <c r="DC439" s="148" t="str">
        <f aca="false">IF(ISBLANK($C439),"",IFERROR(_xlfn.SWITCH($DB439,Constants!$B$11,COUNTA($C$9:$C$508)+2,Constants!$B$10,COUNTA($C$9:$C$508)+1,Constants!$B$9,COUNTA($C$9:$C$508)),$DB439))</f>
        <v/>
      </c>
      <c r="DD439" s="9"/>
      <c r="DE439" s="149" t="n">
        <f aca="false">IF(OR(ISNUMBER($DB439),$DB439=Constants!$B$11,$DB439=Constants!$B$9,$DB439=Constants!$B$10),1,0)</f>
        <v>0</v>
      </c>
      <c r="DF439" s="149" t="n">
        <v>431</v>
      </c>
      <c r="DG439" s="149" t="str">
        <f aca="false">IF(ISBLANK($C439),"",IF(ISNUMBER($DC439),$DC439+ROW($B439)/1000,""))</f>
        <v/>
      </c>
      <c r="DH439" s="149" t="str">
        <f aca="false">IF(ISNUMBER($DG439),RANK($DG439,$DG$9:$DG$508,1),"")</f>
        <v/>
      </c>
      <c r="DI439" s="149" t="str">
        <f aca="false">IF(ISBLANK($C439),"",$B439)</f>
        <v/>
      </c>
      <c r="DJ439" s="149" t="str">
        <f aca="false">IF(ISBLANK($C439),"",$C439)</f>
        <v/>
      </c>
      <c r="DK439" s="149" t="str">
        <f aca="false">IF(ISBLANK($C439),"",$D439)</f>
        <v/>
      </c>
      <c r="DL439" s="150" t="str">
        <f aca="false">$CZ439</f>
        <v/>
      </c>
      <c r="DM439" s="151" t="str">
        <f aca="false">$CY439</f>
        <v/>
      </c>
      <c r="DN439" s="149" t="str">
        <f aca="false">IF(ISBLANK($C439),"",$DB439)</f>
        <v/>
      </c>
      <c r="DO439" s="152" t="str">
        <f aca="false">IF($DF439&gt;$DE$8,"",VLOOKUP($DF439,$DH$9:$DN$508,7,FALSE()))</f>
        <v/>
      </c>
      <c r="DP439" s="153" t="str">
        <f aca="false">IF($DF439&gt;$DE$8,"",VLOOKUP($DF439,$DH$9:$DN$508,2,FALSE()))</f>
        <v/>
      </c>
      <c r="DQ439" s="153" t="str">
        <f aca="false">IF($DF439&gt;$DE$8,"",VLOOKUP($DF439,$DH$9:$DN$508,3,FALSE()))</f>
        <v/>
      </c>
      <c r="DR439" s="153" t="str">
        <f aca="false">IF($DF439&gt;$DE$8,"",VLOOKUP($DF439,$DH$9:$DN$508,4,FALSE()))</f>
        <v/>
      </c>
      <c r="DS439" s="153" t="str">
        <f aca="false">IF($DF439&gt;$DE$8,"",VLOOKUP($DF439,$DH$9:$DN$508,5,FALSE()))</f>
        <v/>
      </c>
      <c r="DT439" s="154" t="str">
        <f aca="false">IF($DF439&gt;$DE$8,"",VLOOKUP($DF439,$DH$9:$DN$508,6,FALSE()))</f>
        <v/>
      </c>
      <c r="DU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IF(ISBLANK($C440),"",IF(E440=Constants!$B$3,TRUE(),IF(E440=Constants!$B$4,FALSE(),TRUE())))</f>
        <v/>
      </c>
      <c r="AG440" s="135" t="str">
        <f aca="false">IF(ISBLANK($C440),"",IF(F440=Constants!$B$3,TRUE(),IF(F440=Constants!$B$4,FALSE(),TRUE())))</f>
        <v/>
      </c>
      <c r="AH440" s="135" t="str">
        <f aca="false">IF(ISBLANK($C440),"",IF(G440=Constants!$B$3,TRUE(),IF(G440=Constants!$B$4,FALSE(),TRUE())))</f>
        <v/>
      </c>
      <c r="AI440" s="135" t="str">
        <f aca="false">IF(ISBLANK($C440),"",IF(AND(ISNUMBER(H440),H440&gt;=0),H440,Constants!$B$29))</f>
        <v/>
      </c>
      <c r="AJ440" s="135" t="str">
        <f aca="false">IF(ISBLANK($C440),"",IF(I440=Constants!$B$3,TRUE(),IF(I440=Constants!$B$4,FALSE(),TRUE())))</f>
        <v/>
      </c>
      <c r="AK440" s="135" t="str">
        <f aca="false">IF(ISBLANK($C440),"",IF(J440=Constants!$B$3,TRUE(),IF(J440=Constants!$B$4,FALSE(),TRUE())))</f>
        <v/>
      </c>
      <c r="AL440" s="135" t="str">
        <f aca="false">IF(ISBLANK($C440),"",IF(K440=Constants!$B$5,TRUE(),IF(K440=Constants!$B$6,FALSE(),COUNTA(L440:P440)&gt;0)))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IF(ISBLANK($C440),"",IF(N440=Constants!$B$3,TRUE(),IF(N440=Constants!$B$4,FALSE(),TRUE())))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IF(ISBLANK($C440),"",IF(P440=Constants!$B$3,TRUE(),IF(P440=Constants!$B$4,FALSE(),FALSE())))</f>
        <v/>
      </c>
      <c r="AR440" s="135" t="str">
        <f aca="false">IF(ISBLANK($C440),"",IF(Q440=Constants!$B$3,TRUE(),IF(Q440=Constants!$B$4,FALSE(),TRUE())))</f>
        <v/>
      </c>
      <c r="AS440" s="135" t="str">
        <f aca="false">IF(ISBLANK($C440),"",IF(R440=Constants!$B$3,TRUE(),IF(R440=Constants!$B$4,FALSE(),TRUE())))</f>
        <v/>
      </c>
      <c r="AT440" s="135" t="str">
        <f aca="false">IF(ISBLANK($C440),"",IF(S440=Constants!$B$5,TRUE(),IF(S440=Constants!$B$6,FALSE(),COUNTA(T440:X440)&gt;0)))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IF(ISBLANK($C440),"",IF(V440=Constants!$B$3,TRUE(),IF(V440=Constants!$B$4,FALSE(),TRUE())))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IF(ISBLANK($C440),"",IF(X440=Constants!$B$3,TRUE(),IF(X440=Constants!$B$4,FALSE(),FALSE())))</f>
        <v/>
      </c>
      <c r="AZ440" s="135" t="str">
        <f aca="false">IF(ISBLANK($C440),"",MIN(Constants!$B$31,MAX(0,IF(ISNUMBER(Y440),Y440*60,0)+IF(ISNUMBER(Z440),Z440,0))))</f>
        <v/>
      </c>
      <c r="BA440" s="135" t="str">
        <f aca="false">IF(ISBLANK($C440),"",IF(AA440=Constants!$B$3,TRUE(),IF(AA440=Constants!$B$4,FALSE(),FALSE())))</f>
        <v/>
      </c>
      <c r="BB440" s="134" t="str">
        <f aca="false">IF(ISBLANK($C440),"",AND($AL440,OR($AM440="",$AN440="",AND($AO440,$AP440=""))))</f>
        <v/>
      </c>
      <c r="BC440" s="137" t="str">
        <f aca="false">IF($BZ440&lt;&gt;Constants!$B$8,"",IF($AL440,Constants!$B$21*$AN440+Constants!$B$22*IF($AO440,$AP440,Constants!$B$23),Constants!$B$24))</f>
        <v/>
      </c>
      <c r="BD440" s="138" t="str">
        <f aca="false">IF($BZ440&lt;&gt;Constants!$B$8,"",Constants!$B$25*ABS($AD$9-IF($AL440,$AM440,0)))</f>
        <v/>
      </c>
      <c r="BE440" s="138" t="str">
        <f aca="false">IF($BZ440&lt;&gt;Constants!$B$8,"",IF(AND($AL440,$AQ440,$AO440),Constants!$B$27,0))</f>
        <v/>
      </c>
      <c r="BF440" s="138" t="str">
        <f aca="false">IF($BZ440&lt;&gt;Constants!$B$8,"",IF($AL440,($AI440-Constants!$B$29)*Constants!$B$28,0))</f>
        <v/>
      </c>
      <c r="BG440" s="138" t="str">
        <f aca="false">IF($BZ440&lt;&gt;Constants!$B$8,"",IF($AK440,0,Constants!$B$15)+IF($AJ440,0,Constants!$B$16)+IF($AH440,0,Constants!$B$17))</f>
        <v/>
      </c>
      <c r="BH440" s="139" t="str">
        <f aca="false">IF($BZ440&lt;&gt;Constants!$B$8,"",Constants!$B$20+SUM($BC440:$BG440))</f>
        <v/>
      </c>
      <c r="BI440" s="138" t="str">
        <f aca="false">IF($BZ440&lt;&gt;Constants!$B$8,"",$BC440)</f>
        <v/>
      </c>
      <c r="BJ440" s="138" t="str">
        <f aca="false">IF($BZ440&lt;&gt;Constants!$B$8,"",$BD440)</f>
        <v/>
      </c>
      <c r="BK440" s="138" t="str">
        <f aca="false">IF($BZ440&lt;&gt;Constants!$B$8,"",IF($AL440,$AN440,""))</f>
        <v/>
      </c>
      <c r="BL440" s="140" t="str">
        <f aca="false">IF($BZ440&lt;&gt;Constants!$B$8,"",$AI440)</f>
        <v/>
      </c>
      <c r="BM440" s="135" t="str">
        <f aca="false">IF($BZ440&lt;&gt;Constants!$B$8,"",IF(OR($BT440&lt;$BH440,AND($BT440=$BH440,OR($BU440&lt;$BI440,AND($BU440=$BI440,OR($BV440&lt;$BJ440,AND($BV440=$BJ440,OR(AND(ISNUMBER($BW440),OR(NOT(ISNUMBER($BK440)),$BW440&lt;$BK440)),AND(OR(AND($BW440="",$BK440=""),AND(ISNUMBER($BW440),ISNUMBER($BK440),$BW440=$BK440)),$BX440&lt;$BL440)))))))),"-&gt;","&lt;-"))</f>
        <v/>
      </c>
      <c r="BN440" s="134" t="str">
        <f aca="false">IF(ISBLANK($C440),"",AND($AT440,OR($AU440="",$AV440="",AND($AW440,$AX440=""))))</f>
        <v/>
      </c>
      <c r="BO440" s="137" t="str">
        <f aca="false">IF($BZ440&lt;&gt;Constants!$B$8,"",IF($AT440,Constants!$B$21*$AV440+Constants!$B$22*IF($AW440,$AX440,Constants!$B$23),Constants!$B$24))</f>
        <v/>
      </c>
      <c r="BP440" s="138" t="str">
        <f aca="false">IF($BZ440&lt;&gt;Constants!$B$8,"",Constants!$B$25*ABS($AD$9-IF($AT440,$AU440,0)))</f>
        <v/>
      </c>
      <c r="BQ440" s="138" t="str">
        <f aca="false">IF($BZ440&lt;&gt;Constants!$B$8,"",IF(AND($AT440,$AY440,$AW440),Constants!$B$27,0))</f>
        <v/>
      </c>
      <c r="BR440" s="138" t="str">
        <f aca="false">IF($BZ440&lt;&gt;Constants!$B$8,"",IF($AT440,($AI440-Constants!$B$29)*Constants!$B$28,0))</f>
        <v/>
      </c>
      <c r="BS440" s="138" t="str">
        <f aca="false">IF($BZ440&lt;&gt;Constants!$B$8,"",IF($AS440,0,Constants!$B$15)+IF($AR440,0,Constants!$B$16)+IF($AH440,0,Constants!$B$17))</f>
        <v/>
      </c>
      <c r="BT440" s="139" t="str">
        <f aca="false">IF($BZ440&lt;&gt;Constants!$B$8,"",Constants!$B$20+SUM($BO440:$BS440))</f>
        <v/>
      </c>
      <c r="BU440" s="138" t="str">
        <f aca="false">IF($BZ440&lt;&gt;Constants!$B$8,"",$BO440)</f>
        <v/>
      </c>
      <c r="BV440" s="138" t="str">
        <f aca="false">IF($BZ440&lt;&gt;Constants!$B$8,"",$BP440)</f>
        <v/>
      </c>
      <c r="BW440" s="138" t="str">
        <f aca="false">IF($BZ440&lt;&gt;Constants!$B$8,"",IF($AT440,$AV440,""))</f>
        <v/>
      </c>
      <c r="BX440" s="140" t="str">
        <f aca="false">IF($BZ440&lt;&gt;Constants!$B$8,"",$AI440)</f>
        <v/>
      </c>
      <c r="BY440" s="135" t="str">
        <f aca="false">IF(ISBLANK($C440),"",IF(ISBLANK($D$7),$BY$5,IF(NOT(ISNUMBER($D$7)),$BY$6,"")))</f>
        <v/>
      </c>
      <c r="BZ440" s="135" t="str">
        <f aca="false">IF(ISBLANK($C440),"",IF($BA440,Constants!$B$11,IF(COUNTA($E440:$AA440)=0,Constants!$B$10,IF(NOT($AG440),Constants!$B$9,IF(OR($BY440&lt;&gt;"",$BB440,$BN440),Constants!$B$12,Constants!$B$8)))))</f>
        <v/>
      </c>
      <c r="CA440" s="135" t="str">
        <f aca="false">IF(ISBLANK($C440),"",IF($BZ440&lt;&gt;Constants!$B$8,$BZ440,Constants!$B$13))</f>
        <v/>
      </c>
      <c r="CB440" s="138" t="str">
        <f aca="false">IF($BZ440&lt;&gt;Constants!$B$8,"",IF($BM440="-&gt;",$BT440,$BH440))</f>
        <v/>
      </c>
      <c r="CC440" s="138" t="str">
        <f aca="false">IF($BZ440&lt;&gt;Constants!$B$8,"",IF($AF440,0,Constants!$B$18))</f>
        <v/>
      </c>
      <c r="CD440" s="138" t="str">
        <f aca="false">IF($BZ440&lt;&gt;Constants!$B$8,"",((Constants!$B$31-$AZ440)-Constants!$B$31)/Constants!$B$32)</f>
        <v/>
      </c>
      <c r="CE440" s="138" t="str">
        <f aca="false">IF(ISBLANK($C440),"",IF($BZ440&lt;&gt;Constants!$B$8,$BZ440,SUM($CB440:$CD440)))</f>
        <v/>
      </c>
      <c r="CF440" s="135" t="str">
        <f aca="false">IF(ISBLANK($C440),"",IF($BZ440&lt;&gt;Constants!$B$8,$BZ440,RANK($CE440,$CE$9:$CE$508,1)))</f>
        <v/>
      </c>
      <c r="CG440" s="138" t="str">
        <f aca="false">IF($BZ440&lt;&gt;Constants!$B$8,"",IF($BM440="-&gt;",$BU440,$BI440))</f>
        <v/>
      </c>
      <c r="CH440" s="135" t="str">
        <f aca="false">IF(ISBLANK($C440),"",IF($BZ440&lt;&gt;Constants!$B$8,$BZ440,IF(ISNUMBER($CG440),RANK($CG440,$CG$9:$CG$508,1),COUNT($CG$9:$CG$508)+1)))</f>
        <v/>
      </c>
      <c r="CI440" s="138" t="str">
        <f aca="false">IF($BZ440&lt;&gt;Constants!$B$8,"",IF($BM440="-&gt;",$BV440,$BJ440))</f>
        <v/>
      </c>
      <c r="CJ440" s="135" t="str">
        <f aca="false">IF(ISBLANK($C440),"",IF($BZ440&lt;&gt;Constants!$B$8,$BZ440,IF(ISNUMBER($CI440),RANK($CI440,$CI$9:$CI$508,1),COUNT($CI$9:$CI$508)+1)))</f>
        <v/>
      </c>
      <c r="CK440" s="138" t="str">
        <f aca="false">IF($BZ440&lt;&gt;Constants!$B$8,"",IF($BM440="-&gt;",$BW440,$BK440))</f>
        <v/>
      </c>
      <c r="CL440" s="135" t="str">
        <f aca="false">IF(ISBLANK($C440),"",IF($BZ440&lt;&gt;Constants!$B$8,$BZ440,IF(ISNUMBER($CK440),RANK($CK440,$CK$9:$CK$508,1),COUNT($CK$9:$CK$508)+1)))</f>
        <v/>
      </c>
      <c r="CM440" s="138" t="str">
        <f aca="false">IF($BZ440&lt;&gt;Constants!$B$8,"",IF(AND(NOT($AL440),NOT($AT440),$AJ440,$AK440,$AR440,$AS440),"",IF($BM440="-&gt;",$BX440,$BL440)))</f>
        <v/>
      </c>
      <c r="CN440" s="135" t="str">
        <f aca="false">IF(ISBLANK($C440),"",IF($BZ440&lt;&gt;Constants!$B$8,$BZ440,IF(ISNUMBER($CM440),RANK($CM440,$CM$9:$CM$508,1),COUNT($CM$9:$CM$508)+1)))</f>
        <v/>
      </c>
      <c r="CO440" s="135" t="str">
        <f aca="false">IF(ISBLANK($C440),"",IF($BZ440&lt;&gt;Constants!$B$8,$BZ440,COUNTIFS($CF$9:$CF$508,"&lt;"&amp;$CF440)+COUNTIFS($CF$9:$CF$508,$CF440,$CH$9:$CH$508,"&lt;"&amp;$CH440)+COUNTIFS($CF$9:$CF$508,$CF440,$CH$9:$CH$508,$CH440,$CJ$9:$CJ$508,"&lt;"&amp;$CJ440)+COUNTIFS($CF$9:$CF$508,$CF440,$CH$9:$CH$508,$CH440,$CJ$9:$CJ$508,$CJ440,$CL$9:$CL$508,"&lt;"&amp;$CL440)+COUNTIFS($CF$9:$CF$508,$CF440,$CH$9:$CH$508,$CH440,$CJ$9:$CJ$508,$CJ440,$CL$9:$CL$508,$CL440,$CN$9:$CN$508,"&lt;"&amp;$CN440)+1))</f>
        <v/>
      </c>
      <c r="CP440" s="135" t="str">
        <f aca="false">IF(ISBLANK($C440),"",IF($BZ440&lt;&gt;Constants!$B$8,$BZ440,$CF440-$CO440))</f>
        <v/>
      </c>
      <c r="CQ440" s="141"/>
      <c r="CR440" s="142"/>
      <c r="CS440" s="143" t="str">
        <f aca="false">IF(ISBLANK($C440),"",IF($BZ440=Constants!$B$12,$BY440,""))</f>
        <v/>
      </c>
      <c r="CT440" s="142" t="str">
        <f aca="false">IF(ISBLANK($C440),"",IF($BZ440&lt;&gt;Constants!$B$8,"",IF($BM440="-&gt;",2,1)))</f>
        <v/>
      </c>
      <c r="CU440" s="144" t="str">
        <f aca="false">IF(ISBLANK($C440),"",IF($BZ440&lt;&gt;Constants!$B$8,"",IF($BM440="-&gt;",$BO440,$BC440)))</f>
        <v/>
      </c>
      <c r="CV440" s="144" t="str">
        <f aca="false">IF(ISBLANK($C440),"",IF($BZ440&lt;&gt;Constants!$B$8,"",IF($BM440="-&gt;",$BP440,$BD440)))</f>
        <v/>
      </c>
      <c r="CW440" s="144" t="str">
        <f aca="false">IF(ISBLANK($C440),"",IF($BZ440&lt;&gt;Constants!$B$8,"",IF($BM440="-&gt;",$BQ440+$BR440,$BE440+$BF440)+$CD440))</f>
        <v/>
      </c>
      <c r="CX440" s="144" t="str">
        <f aca="false">IF(ISBLANK($C440),"",IF($BZ440&lt;&gt;Constants!$B$8,"",IF($BM440="-&gt;",$BS440,$BG440)+$CC440))</f>
        <v/>
      </c>
      <c r="CY440" s="145" t="str">
        <f aca="false">IF(ISBLANK($C440),"",IF($BZ440&lt;&gt;Constants!$B$8,$BZ440,$CE440))</f>
        <v/>
      </c>
      <c r="CZ440" s="146" t="str">
        <f aca="false">IF(ISBLANK($C440),"",$CA440)</f>
        <v/>
      </c>
      <c r="DA440" s="147" t="str">
        <f aca="false">IF(ISBLANK($C440),"",$CP440)</f>
        <v/>
      </c>
      <c r="DB440" s="147" t="str">
        <f aca="false">IF(ISBLANK($C440),"",$CO440)</f>
        <v/>
      </c>
      <c r="DC440" s="148" t="str">
        <f aca="false">IF(ISBLANK($C440),"",IFERROR(_xlfn.SWITCH($DB440,Constants!$B$11,COUNTA($C$9:$C$508)+2,Constants!$B$10,COUNTA($C$9:$C$508)+1,Constants!$B$9,COUNTA($C$9:$C$508)),$DB440))</f>
        <v/>
      </c>
      <c r="DD440" s="9"/>
      <c r="DE440" s="149" t="n">
        <f aca="false">IF(OR(ISNUMBER($DB440),$DB440=Constants!$B$11,$DB440=Constants!$B$9,$DB440=Constants!$B$10),1,0)</f>
        <v>0</v>
      </c>
      <c r="DF440" s="149" t="n">
        <v>432</v>
      </c>
      <c r="DG440" s="149" t="str">
        <f aca="false">IF(ISBLANK($C440),"",IF(ISNUMBER($DC440),$DC440+ROW($B440)/1000,""))</f>
        <v/>
      </c>
      <c r="DH440" s="149" t="str">
        <f aca="false">IF(ISNUMBER($DG440),RANK($DG440,$DG$9:$DG$508,1),"")</f>
        <v/>
      </c>
      <c r="DI440" s="149" t="str">
        <f aca="false">IF(ISBLANK($C440),"",$B440)</f>
        <v/>
      </c>
      <c r="DJ440" s="149" t="str">
        <f aca="false">IF(ISBLANK($C440),"",$C440)</f>
        <v/>
      </c>
      <c r="DK440" s="149" t="str">
        <f aca="false">IF(ISBLANK($C440),"",$D440)</f>
        <v/>
      </c>
      <c r="DL440" s="150" t="str">
        <f aca="false">$CZ440</f>
        <v/>
      </c>
      <c r="DM440" s="151" t="str">
        <f aca="false">$CY440</f>
        <v/>
      </c>
      <c r="DN440" s="149" t="str">
        <f aca="false">IF(ISBLANK($C440),"",$DB440)</f>
        <v/>
      </c>
      <c r="DO440" s="152" t="str">
        <f aca="false">IF($DF440&gt;$DE$8,"",VLOOKUP($DF440,$DH$9:$DN$508,7,FALSE()))</f>
        <v/>
      </c>
      <c r="DP440" s="153" t="str">
        <f aca="false">IF($DF440&gt;$DE$8,"",VLOOKUP($DF440,$DH$9:$DN$508,2,FALSE()))</f>
        <v/>
      </c>
      <c r="DQ440" s="153" t="str">
        <f aca="false">IF($DF440&gt;$DE$8,"",VLOOKUP($DF440,$DH$9:$DN$508,3,FALSE()))</f>
        <v/>
      </c>
      <c r="DR440" s="153" t="str">
        <f aca="false">IF($DF440&gt;$DE$8,"",VLOOKUP($DF440,$DH$9:$DN$508,4,FALSE()))</f>
        <v/>
      </c>
      <c r="DS440" s="153" t="str">
        <f aca="false">IF($DF440&gt;$DE$8,"",VLOOKUP($DF440,$DH$9:$DN$508,5,FALSE()))</f>
        <v/>
      </c>
      <c r="DT440" s="154" t="str">
        <f aca="false">IF($DF440&gt;$DE$8,"",VLOOKUP($DF440,$DH$9:$DN$508,6,FALSE()))</f>
        <v/>
      </c>
      <c r="DU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IF(ISBLANK($C441),"",IF(E441=Constants!$B$3,TRUE(),IF(E441=Constants!$B$4,FALSE(),TRUE())))</f>
        <v/>
      </c>
      <c r="AG441" s="93" t="str">
        <f aca="false">IF(ISBLANK($C441),"",IF(F441=Constants!$B$3,TRUE(),IF(F441=Constants!$B$4,FALSE(),TRUE())))</f>
        <v/>
      </c>
      <c r="AH441" s="93" t="str">
        <f aca="false">IF(ISBLANK($C441),"",IF(G441=Constants!$B$3,TRUE(),IF(G441=Constants!$B$4,FALSE(),TRUE())))</f>
        <v/>
      </c>
      <c r="AI441" s="93" t="str">
        <f aca="false">IF(ISBLANK($C441),"",IF(AND(ISNUMBER(H441),H441&gt;=0),H441,Constants!$B$29))</f>
        <v/>
      </c>
      <c r="AJ441" s="93" t="str">
        <f aca="false">IF(ISBLANK($C441),"",IF(I441=Constants!$B$3,TRUE(),IF(I441=Constants!$B$4,FALSE(),TRUE())))</f>
        <v/>
      </c>
      <c r="AK441" s="93" t="str">
        <f aca="false">IF(ISBLANK($C441),"",IF(J441=Constants!$B$3,TRUE(),IF(J441=Constants!$B$4,FALSE(),TRUE())))</f>
        <v/>
      </c>
      <c r="AL441" s="93" t="str">
        <f aca="false">IF(ISBLANK($C441),"",IF(K441=Constants!$B$5,TRUE(),IF(K441=Constants!$B$6,FALSE(),COUNTA(L441:P441)&gt;0)))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IF(ISBLANK($C441),"",IF(N441=Constants!$B$3,TRUE(),IF(N441=Constants!$B$4,FALSE(),TRUE())))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IF(ISBLANK($C441),"",IF(P441=Constants!$B$3,TRUE(),IF(P441=Constants!$B$4,FALSE(),FALSE())))</f>
        <v/>
      </c>
      <c r="AR441" s="93" t="str">
        <f aca="false">IF(ISBLANK($C441),"",IF(Q441=Constants!$B$3,TRUE(),IF(Q441=Constants!$B$4,FALSE(),TRUE())))</f>
        <v/>
      </c>
      <c r="AS441" s="93" t="str">
        <f aca="false">IF(ISBLANK($C441),"",IF(R441=Constants!$B$3,TRUE(),IF(R441=Constants!$B$4,FALSE(),TRUE())))</f>
        <v/>
      </c>
      <c r="AT441" s="93" t="str">
        <f aca="false">IF(ISBLANK($C441),"",IF(S441=Constants!$B$5,TRUE(),IF(S441=Constants!$B$6,FALSE(),COUNTA(T441:X441)&gt;0)))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IF(ISBLANK($C441),"",IF(V441=Constants!$B$3,TRUE(),IF(V441=Constants!$B$4,FALSE(),TRUE())))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IF(ISBLANK($C441),"",IF(X441=Constants!$B$3,TRUE(),IF(X441=Constants!$B$4,FALSE(),FALSE())))</f>
        <v/>
      </c>
      <c r="AZ441" s="93" t="str">
        <f aca="false">IF(ISBLANK($C441),"",MIN(Constants!$B$31,MAX(0,IF(ISNUMBER(Y441),Y441*60,0)+IF(ISNUMBER(Z441),Z441,0))))</f>
        <v/>
      </c>
      <c r="BA441" s="93" t="str">
        <f aca="false">IF(ISBLANK($C441),"",IF(AA441=Constants!$B$3,TRUE(),IF(AA441=Constants!$B$4,FALSE(),FALSE())))</f>
        <v/>
      </c>
      <c r="BB441" s="92" t="str">
        <f aca="false">IF(ISBLANK($C441),"",AND($AL441,OR($AM441="",$AN441="",AND($AO441,$AP441=""))))</f>
        <v/>
      </c>
      <c r="BC441" s="94" t="str">
        <f aca="false">IF($BZ441&lt;&gt;Constants!$B$8,"",IF($AL441,Constants!$B$21*$AN441+Constants!$B$22*IF($AO441,$AP441,Constants!$B$23),Constants!$B$24))</f>
        <v/>
      </c>
      <c r="BD441" s="97" t="str">
        <f aca="false">IF($BZ441&lt;&gt;Constants!$B$8,"",Constants!$B$25*ABS($AD$9-IF($AL441,$AM441,0)))</f>
        <v/>
      </c>
      <c r="BE441" s="97" t="str">
        <f aca="false">IF($BZ441&lt;&gt;Constants!$B$8,"",IF(AND($AL441,$AQ441,$AO441),Constants!$B$27,0))</f>
        <v/>
      </c>
      <c r="BF441" s="97" t="str">
        <f aca="false">IF($BZ441&lt;&gt;Constants!$B$8,"",IF($AL441,($AI441-Constants!$B$29)*Constants!$B$28,0))</f>
        <v/>
      </c>
      <c r="BG441" s="97" t="str">
        <f aca="false">IF($BZ441&lt;&gt;Constants!$B$8,"",IF($AK441,0,Constants!$B$15)+IF($AJ441,0,Constants!$B$16)+IF($AH441,0,Constants!$B$17))</f>
        <v/>
      </c>
      <c r="BH441" s="98" t="str">
        <f aca="false">IF($BZ441&lt;&gt;Constants!$B$8,"",Constants!$B$20+SUM($BC441:$BG441))</f>
        <v/>
      </c>
      <c r="BI441" s="97" t="str">
        <f aca="false">IF($BZ441&lt;&gt;Constants!$B$8,"",$BC441)</f>
        <v/>
      </c>
      <c r="BJ441" s="97" t="str">
        <f aca="false">IF($BZ441&lt;&gt;Constants!$B$8,"",$BD441)</f>
        <v/>
      </c>
      <c r="BK441" s="97" t="str">
        <f aca="false">IF($BZ441&lt;&gt;Constants!$B$8,"",IF($AL441,$AN441,""))</f>
        <v/>
      </c>
      <c r="BL441" s="99" t="str">
        <f aca="false">IF($BZ441&lt;&gt;Constants!$B$8,"",$AI441)</f>
        <v/>
      </c>
      <c r="BM441" s="93" t="str">
        <f aca="false">IF($BZ441&lt;&gt;Constants!$B$8,"",IF(OR($BT441&lt;$BH441,AND($BT441=$BH441,OR($BU441&lt;$BI441,AND($BU441=$BI441,OR($BV441&lt;$BJ441,AND($BV441=$BJ441,OR(AND(ISNUMBER($BW441),OR(NOT(ISNUMBER($BK441)),$BW441&lt;$BK441)),AND(OR(AND($BW441="",$BK441=""),AND(ISNUMBER($BW441),ISNUMBER($BK441),$BW441=$BK441)),$BX441&lt;$BL441)))))))),"-&gt;","&lt;-"))</f>
        <v/>
      </c>
      <c r="BN441" s="92" t="str">
        <f aca="false">IF(ISBLANK($C441),"",AND($AT441,OR($AU441="",$AV441="",AND($AW441,$AX441=""))))</f>
        <v/>
      </c>
      <c r="BO441" s="94" t="str">
        <f aca="false">IF($BZ441&lt;&gt;Constants!$B$8,"",IF($AT441,Constants!$B$21*$AV441+Constants!$B$22*IF($AW441,$AX441,Constants!$B$23),Constants!$B$24))</f>
        <v/>
      </c>
      <c r="BP441" s="97" t="str">
        <f aca="false">IF($BZ441&lt;&gt;Constants!$B$8,"",Constants!$B$25*ABS($AD$9-IF($AT441,$AU441,0)))</f>
        <v/>
      </c>
      <c r="BQ441" s="97" t="str">
        <f aca="false">IF($BZ441&lt;&gt;Constants!$B$8,"",IF(AND($AT441,$AY441,$AW441),Constants!$B$27,0))</f>
        <v/>
      </c>
      <c r="BR441" s="97" t="str">
        <f aca="false">IF($BZ441&lt;&gt;Constants!$B$8,"",IF($AT441,($AI441-Constants!$B$29)*Constants!$B$28,0))</f>
        <v/>
      </c>
      <c r="BS441" s="97" t="str">
        <f aca="false">IF($BZ441&lt;&gt;Constants!$B$8,"",IF($AS441,0,Constants!$B$15)+IF($AR441,0,Constants!$B$16)+IF($AH441,0,Constants!$B$17))</f>
        <v/>
      </c>
      <c r="BT441" s="98" t="str">
        <f aca="false">IF($BZ441&lt;&gt;Constants!$B$8,"",Constants!$B$20+SUM($BO441:$BS441))</f>
        <v/>
      </c>
      <c r="BU441" s="97" t="str">
        <f aca="false">IF($BZ441&lt;&gt;Constants!$B$8,"",$BO441)</f>
        <v/>
      </c>
      <c r="BV441" s="97" t="str">
        <f aca="false">IF($BZ441&lt;&gt;Constants!$B$8,"",$BP441)</f>
        <v/>
      </c>
      <c r="BW441" s="97" t="str">
        <f aca="false">IF($BZ441&lt;&gt;Constants!$B$8,"",IF($AT441,$AV441,""))</f>
        <v/>
      </c>
      <c r="BX441" s="99" t="str">
        <f aca="false">IF($BZ441&lt;&gt;Constants!$B$8,"",$AI441)</f>
        <v/>
      </c>
      <c r="BY441" s="93" t="str">
        <f aca="false">IF(ISBLANK($C441),"",IF(ISBLANK($D$7),$BY$5,IF(NOT(ISNUMBER($D$7)),$BY$6,"")))</f>
        <v/>
      </c>
      <c r="BZ441" s="93" t="str">
        <f aca="false">IF(ISBLANK($C441),"",IF($BA441,Constants!$B$11,IF(COUNTA($E441:$AA441)=0,Constants!$B$10,IF(NOT($AG441),Constants!$B$9,IF(OR($BY441&lt;&gt;"",$BB441,$BN441),Constants!$B$12,Constants!$B$8)))))</f>
        <v/>
      </c>
      <c r="CA441" s="93" t="str">
        <f aca="false">IF(ISBLANK($C441),"",IF($BZ441&lt;&gt;Constants!$B$8,$BZ441,Constants!$B$13))</f>
        <v/>
      </c>
      <c r="CB441" s="97" t="str">
        <f aca="false">IF($BZ441&lt;&gt;Constants!$B$8,"",IF($BM441="-&gt;",$BT441,$BH441))</f>
        <v/>
      </c>
      <c r="CC441" s="97" t="str">
        <f aca="false">IF($BZ441&lt;&gt;Constants!$B$8,"",IF($AF441,0,Constants!$B$18))</f>
        <v/>
      </c>
      <c r="CD441" s="97" t="str">
        <f aca="false">IF($BZ441&lt;&gt;Constants!$B$8,"",((Constants!$B$31-$AZ441)-Constants!$B$31)/Constants!$B$32)</f>
        <v/>
      </c>
      <c r="CE441" s="97" t="str">
        <f aca="false">IF(ISBLANK($C441),"",IF($BZ441&lt;&gt;Constants!$B$8,$BZ441,SUM($CB441:$CD441)))</f>
        <v/>
      </c>
      <c r="CF441" s="93" t="str">
        <f aca="false">IF(ISBLANK($C441),"",IF($BZ441&lt;&gt;Constants!$B$8,$BZ441,RANK($CE441,$CE$9:$CE$508,1)))</f>
        <v/>
      </c>
      <c r="CG441" s="97" t="str">
        <f aca="false">IF($BZ441&lt;&gt;Constants!$B$8,"",IF($BM441="-&gt;",$BU441,$BI441))</f>
        <v/>
      </c>
      <c r="CH441" s="93" t="str">
        <f aca="false">IF(ISBLANK($C441),"",IF($BZ441&lt;&gt;Constants!$B$8,$BZ441,IF(ISNUMBER($CG441),RANK($CG441,$CG$9:$CG$508,1),COUNT($CG$9:$CG$508)+1)))</f>
        <v/>
      </c>
      <c r="CI441" s="97" t="str">
        <f aca="false">IF($BZ441&lt;&gt;Constants!$B$8,"",IF($BM441="-&gt;",$BV441,$BJ441))</f>
        <v/>
      </c>
      <c r="CJ441" s="93" t="str">
        <f aca="false">IF(ISBLANK($C441),"",IF($BZ441&lt;&gt;Constants!$B$8,$BZ441,IF(ISNUMBER($CI441),RANK($CI441,$CI$9:$CI$508,1),COUNT($CI$9:$CI$508)+1)))</f>
        <v/>
      </c>
      <c r="CK441" s="97" t="str">
        <f aca="false">IF($BZ441&lt;&gt;Constants!$B$8,"",IF($BM441="-&gt;",$BW441,$BK441))</f>
        <v/>
      </c>
      <c r="CL441" s="93" t="str">
        <f aca="false">IF(ISBLANK($C441),"",IF($BZ441&lt;&gt;Constants!$B$8,$BZ441,IF(ISNUMBER($CK441),RANK($CK441,$CK$9:$CK$508,1),COUNT($CK$9:$CK$508)+1)))</f>
        <v/>
      </c>
      <c r="CM441" s="97" t="str">
        <f aca="false">IF($BZ441&lt;&gt;Constants!$B$8,"",IF(AND(NOT($AL441),NOT($AT441),$AJ441,$AK441,$AR441,$AS441),"",IF($BM441="-&gt;",$BX441,$BL441)))</f>
        <v/>
      </c>
      <c r="CN441" s="93" t="str">
        <f aca="false">IF(ISBLANK($C441),"",IF($BZ441&lt;&gt;Constants!$B$8,$BZ441,IF(ISNUMBER($CM441),RANK($CM441,$CM$9:$CM$508,1),COUNT($CM$9:$CM$508)+1)))</f>
        <v/>
      </c>
      <c r="CO441" s="93" t="str">
        <f aca="false">IF(ISBLANK($C441),"",IF($BZ441&lt;&gt;Constants!$B$8,$BZ441,COUNTIFS($CF$9:$CF$508,"&lt;"&amp;$CF441)+COUNTIFS($CF$9:$CF$508,$CF441,$CH$9:$CH$508,"&lt;"&amp;$CH441)+COUNTIFS($CF$9:$CF$508,$CF441,$CH$9:$CH$508,$CH441,$CJ$9:$CJ$508,"&lt;"&amp;$CJ441)+COUNTIFS($CF$9:$CF$508,$CF441,$CH$9:$CH$508,$CH441,$CJ$9:$CJ$508,$CJ441,$CL$9:$CL$508,"&lt;"&amp;$CL441)+COUNTIFS($CF$9:$CF$508,$CF441,$CH$9:$CH$508,$CH441,$CJ$9:$CJ$508,$CJ441,$CL$9:$CL$508,$CL441,$CN$9:$CN$508,"&lt;"&amp;$CN441)+1))</f>
        <v/>
      </c>
      <c r="CP441" s="93" t="str">
        <f aca="false">IF(ISBLANK($C441),"",IF($BZ441&lt;&gt;Constants!$B$8,$BZ441,$CF441-$CO441))</f>
        <v/>
      </c>
      <c r="CQ441" s="100"/>
      <c r="CR441" s="101"/>
      <c r="CS441" s="102" t="str">
        <f aca="false">IF(ISBLANK($C441),"",IF($BZ441=Constants!$B$12,$BY441,""))</f>
        <v/>
      </c>
      <c r="CT441" s="101" t="str">
        <f aca="false">IF(ISBLANK($C441),"",IF($BZ441&lt;&gt;Constants!$B$8,"",IF($BM441="-&gt;",2,1)))</f>
        <v/>
      </c>
      <c r="CU441" s="103" t="str">
        <f aca="false">IF(ISBLANK($C441),"",IF($BZ441&lt;&gt;Constants!$B$8,"",IF($BM441="-&gt;",$BO441,$BC441)))</f>
        <v/>
      </c>
      <c r="CV441" s="103" t="str">
        <f aca="false">IF(ISBLANK($C441),"",IF($BZ441&lt;&gt;Constants!$B$8,"",IF($BM441="-&gt;",$BP441,$BD441)))</f>
        <v/>
      </c>
      <c r="CW441" s="103" t="str">
        <f aca="false">IF(ISBLANK($C441),"",IF($BZ441&lt;&gt;Constants!$B$8,"",IF($BM441="-&gt;",$BQ441+$BR441,$BE441+$BF441)+$CD441))</f>
        <v/>
      </c>
      <c r="CX441" s="103" t="str">
        <f aca="false">IF(ISBLANK($C441),"",IF($BZ441&lt;&gt;Constants!$B$8,"",IF($BM441="-&gt;",$BS441,$BG441)+$CC441))</f>
        <v/>
      </c>
      <c r="CY441" s="104" t="str">
        <f aca="false">IF(ISBLANK($C441),"",IF($BZ441&lt;&gt;Constants!$B$8,$BZ441,$CE441))</f>
        <v/>
      </c>
      <c r="CZ441" s="105" t="str">
        <f aca="false">IF(ISBLANK($C441),"",$CA441)</f>
        <v/>
      </c>
      <c r="DA441" s="106" t="str">
        <f aca="false">IF(ISBLANK($C441),"",$CP441)</f>
        <v/>
      </c>
      <c r="DB441" s="106" t="str">
        <f aca="false">IF(ISBLANK($C441),"",$CO441)</f>
        <v/>
      </c>
      <c r="DC441" s="107" t="str">
        <f aca="false">IF(ISBLANK($C441),"",IFERROR(_xlfn.SWITCH($DB441,Constants!$B$11,COUNTA($C$9:$C$508)+2,Constants!$B$10,COUNTA($C$9:$C$508)+1,Constants!$B$9,COUNTA($C$9:$C$508)),$DB441))</f>
        <v/>
      </c>
      <c r="DD441" s="9"/>
      <c r="DE441" s="108" t="n">
        <f aca="false">IF(OR(ISNUMBER($DB441),$DB441=Constants!$B$11,$DB441=Constants!$B$9,$DB441=Constants!$B$10),1,0)</f>
        <v>0</v>
      </c>
      <c r="DF441" s="108" t="n">
        <v>433</v>
      </c>
      <c r="DG441" s="108" t="str">
        <f aca="false">IF(ISBLANK($C441),"",IF(ISNUMBER($DC441),$DC441+ROW($B441)/1000,""))</f>
        <v/>
      </c>
      <c r="DH441" s="108" t="str">
        <f aca="false">IF(ISNUMBER($DG441),RANK($DG441,$DG$9:$DG$508,1),"")</f>
        <v/>
      </c>
      <c r="DI441" s="108" t="str">
        <f aca="false">IF(ISBLANK($C441),"",$B441)</f>
        <v/>
      </c>
      <c r="DJ441" s="108" t="str">
        <f aca="false">IF(ISBLANK($C441),"",$C441)</f>
        <v/>
      </c>
      <c r="DK441" s="108" t="str">
        <f aca="false">IF(ISBLANK($C441),"",$D441)</f>
        <v/>
      </c>
      <c r="DL441" s="109" t="str">
        <f aca="false">$CZ441</f>
        <v/>
      </c>
      <c r="DM441" s="110" t="str">
        <f aca="false">$CY441</f>
        <v/>
      </c>
      <c r="DN441" s="108" t="str">
        <f aca="false">IF(ISBLANK($C441),"",$DB441)</f>
        <v/>
      </c>
      <c r="DO441" s="111" t="str">
        <f aca="false">IF($DF441&gt;$DE$8,"",VLOOKUP($DF441,$DH$9:$DN$508,7,FALSE()))</f>
        <v/>
      </c>
      <c r="DP441" s="112" t="str">
        <f aca="false">IF($DF441&gt;$DE$8,"",VLOOKUP($DF441,$DH$9:$DN$508,2,FALSE()))</f>
        <v/>
      </c>
      <c r="DQ441" s="112" t="str">
        <f aca="false">IF($DF441&gt;$DE$8,"",VLOOKUP($DF441,$DH$9:$DN$508,3,FALSE()))</f>
        <v/>
      </c>
      <c r="DR441" s="112" t="str">
        <f aca="false">IF($DF441&gt;$DE$8,"",VLOOKUP($DF441,$DH$9:$DN$508,4,FALSE()))</f>
        <v/>
      </c>
      <c r="DS441" s="112" t="str">
        <f aca="false">IF($DF441&gt;$DE$8,"",VLOOKUP($DF441,$DH$9:$DN$508,5,FALSE()))</f>
        <v/>
      </c>
      <c r="DT441" s="113" t="str">
        <f aca="false">IF($DF441&gt;$DE$8,"",VLOOKUP($DF441,$DH$9:$DN$508,6,FALSE()))</f>
        <v/>
      </c>
      <c r="DU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IF(ISBLANK($C442),"",IF(E442=Constants!$B$3,TRUE(),IF(E442=Constants!$B$4,FALSE(),TRUE())))</f>
        <v/>
      </c>
      <c r="AG442" s="93" t="str">
        <f aca="false">IF(ISBLANK($C442),"",IF(F442=Constants!$B$3,TRUE(),IF(F442=Constants!$B$4,FALSE(),TRUE())))</f>
        <v/>
      </c>
      <c r="AH442" s="93" t="str">
        <f aca="false">IF(ISBLANK($C442),"",IF(G442=Constants!$B$3,TRUE(),IF(G442=Constants!$B$4,FALSE(),TRUE())))</f>
        <v/>
      </c>
      <c r="AI442" s="93" t="str">
        <f aca="false">IF(ISBLANK($C442),"",IF(AND(ISNUMBER(H442),H442&gt;=0),H442,Constants!$B$29))</f>
        <v/>
      </c>
      <c r="AJ442" s="93" t="str">
        <f aca="false">IF(ISBLANK($C442),"",IF(I442=Constants!$B$3,TRUE(),IF(I442=Constants!$B$4,FALSE(),TRUE())))</f>
        <v/>
      </c>
      <c r="AK442" s="93" t="str">
        <f aca="false">IF(ISBLANK($C442),"",IF(J442=Constants!$B$3,TRUE(),IF(J442=Constants!$B$4,FALSE(),TRUE())))</f>
        <v/>
      </c>
      <c r="AL442" s="93" t="str">
        <f aca="false">IF(ISBLANK($C442),"",IF(K442=Constants!$B$5,TRUE(),IF(K442=Constants!$B$6,FALSE(),COUNTA(L442:P442)&gt;0)))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IF(ISBLANK($C442),"",IF(N442=Constants!$B$3,TRUE(),IF(N442=Constants!$B$4,FALSE(),TRUE())))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IF(ISBLANK($C442),"",IF(P442=Constants!$B$3,TRUE(),IF(P442=Constants!$B$4,FALSE(),FALSE())))</f>
        <v/>
      </c>
      <c r="AR442" s="93" t="str">
        <f aca="false">IF(ISBLANK($C442),"",IF(Q442=Constants!$B$3,TRUE(),IF(Q442=Constants!$B$4,FALSE(),TRUE())))</f>
        <v/>
      </c>
      <c r="AS442" s="93" t="str">
        <f aca="false">IF(ISBLANK($C442),"",IF(R442=Constants!$B$3,TRUE(),IF(R442=Constants!$B$4,FALSE(),TRUE())))</f>
        <v/>
      </c>
      <c r="AT442" s="93" t="str">
        <f aca="false">IF(ISBLANK($C442),"",IF(S442=Constants!$B$5,TRUE(),IF(S442=Constants!$B$6,FALSE(),COUNTA(T442:X442)&gt;0)))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IF(ISBLANK($C442),"",IF(V442=Constants!$B$3,TRUE(),IF(V442=Constants!$B$4,FALSE(),TRUE())))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IF(ISBLANK($C442),"",IF(X442=Constants!$B$3,TRUE(),IF(X442=Constants!$B$4,FALSE(),FALSE())))</f>
        <v/>
      </c>
      <c r="AZ442" s="93" t="str">
        <f aca="false">IF(ISBLANK($C442),"",MIN(Constants!$B$31,MAX(0,IF(ISNUMBER(Y442),Y442*60,0)+IF(ISNUMBER(Z442),Z442,0))))</f>
        <v/>
      </c>
      <c r="BA442" s="93" t="str">
        <f aca="false">IF(ISBLANK($C442),"",IF(AA442=Constants!$B$3,TRUE(),IF(AA442=Constants!$B$4,FALSE(),FALSE())))</f>
        <v/>
      </c>
      <c r="BB442" s="92" t="str">
        <f aca="false">IF(ISBLANK($C442),"",AND($AL442,OR($AM442="",$AN442="",AND($AO442,$AP442=""))))</f>
        <v/>
      </c>
      <c r="BC442" s="94" t="str">
        <f aca="false">IF($BZ442&lt;&gt;Constants!$B$8,"",IF($AL442,Constants!$B$21*$AN442+Constants!$B$22*IF($AO442,$AP442,Constants!$B$23),Constants!$B$24))</f>
        <v/>
      </c>
      <c r="BD442" s="97" t="str">
        <f aca="false">IF($BZ442&lt;&gt;Constants!$B$8,"",Constants!$B$25*ABS($AD$9-IF($AL442,$AM442,0)))</f>
        <v/>
      </c>
      <c r="BE442" s="97" t="str">
        <f aca="false">IF($BZ442&lt;&gt;Constants!$B$8,"",IF(AND($AL442,$AQ442,$AO442),Constants!$B$27,0))</f>
        <v/>
      </c>
      <c r="BF442" s="97" t="str">
        <f aca="false">IF($BZ442&lt;&gt;Constants!$B$8,"",IF($AL442,($AI442-Constants!$B$29)*Constants!$B$28,0))</f>
        <v/>
      </c>
      <c r="BG442" s="97" t="str">
        <f aca="false">IF($BZ442&lt;&gt;Constants!$B$8,"",IF($AK442,0,Constants!$B$15)+IF($AJ442,0,Constants!$B$16)+IF($AH442,0,Constants!$B$17))</f>
        <v/>
      </c>
      <c r="BH442" s="98" t="str">
        <f aca="false">IF($BZ442&lt;&gt;Constants!$B$8,"",Constants!$B$20+SUM($BC442:$BG442))</f>
        <v/>
      </c>
      <c r="BI442" s="97" t="str">
        <f aca="false">IF($BZ442&lt;&gt;Constants!$B$8,"",$BC442)</f>
        <v/>
      </c>
      <c r="BJ442" s="97" t="str">
        <f aca="false">IF($BZ442&lt;&gt;Constants!$B$8,"",$BD442)</f>
        <v/>
      </c>
      <c r="BK442" s="97" t="str">
        <f aca="false">IF($BZ442&lt;&gt;Constants!$B$8,"",IF($AL442,$AN442,""))</f>
        <v/>
      </c>
      <c r="BL442" s="99" t="str">
        <f aca="false">IF($BZ442&lt;&gt;Constants!$B$8,"",$AI442)</f>
        <v/>
      </c>
      <c r="BM442" s="93" t="str">
        <f aca="false">IF($BZ442&lt;&gt;Constants!$B$8,"",IF(OR($BT442&lt;$BH442,AND($BT442=$BH442,OR($BU442&lt;$BI442,AND($BU442=$BI442,OR($BV442&lt;$BJ442,AND($BV442=$BJ442,OR(AND(ISNUMBER($BW442),OR(NOT(ISNUMBER($BK442)),$BW442&lt;$BK442)),AND(OR(AND($BW442="",$BK442=""),AND(ISNUMBER($BW442),ISNUMBER($BK442),$BW442=$BK442)),$BX442&lt;$BL442)))))))),"-&gt;","&lt;-"))</f>
        <v/>
      </c>
      <c r="BN442" s="92" t="str">
        <f aca="false">IF(ISBLANK($C442),"",AND($AT442,OR($AU442="",$AV442="",AND($AW442,$AX442=""))))</f>
        <v/>
      </c>
      <c r="BO442" s="94" t="str">
        <f aca="false">IF($BZ442&lt;&gt;Constants!$B$8,"",IF($AT442,Constants!$B$21*$AV442+Constants!$B$22*IF($AW442,$AX442,Constants!$B$23),Constants!$B$24))</f>
        <v/>
      </c>
      <c r="BP442" s="97" t="str">
        <f aca="false">IF($BZ442&lt;&gt;Constants!$B$8,"",Constants!$B$25*ABS($AD$9-IF($AT442,$AU442,0)))</f>
        <v/>
      </c>
      <c r="BQ442" s="97" t="str">
        <f aca="false">IF($BZ442&lt;&gt;Constants!$B$8,"",IF(AND($AT442,$AY442,$AW442),Constants!$B$27,0))</f>
        <v/>
      </c>
      <c r="BR442" s="97" t="str">
        <f aca="false">IF($BZ442&lt;&gt;Constants!$B$8,"",IF($AT442,($AI442-Constants!$B$29)*Constants!$B$28,0))</f>
        <v/>
      </c>
      <c r="BS442" s="97" t="str">
        <f aca="false">IF($BZ442&lt;&gt;Constants!$B$8,"",IF($AS442,0,Constants!$B$15)+IF($AR442,0,Constants!$B$16)+IF($AH442,0,Constants!$B$17))</f>
        <v/>
      </c>
      <c r="BT442" s="98" t="str">
        <f aca="false">IF($BZ442&lt;&gt;Constants!$B$8,"",Constants!$B$20+SUM($BO442:$BS442))</f>
        <v/>
      </c>
      <c r="BU442" s="97" t="str">
        <f aca="false">IF($BZ442&lt;&gt;Constants!$B$8,"",$BO442)</f>
        <v/>
      </c>
      <c r="BV442" s="97" t="str">
        <f aca="false">IF($BZ442&lt;&gt;Constants!$B$8,"",$BP442)</f>
        <v/>
      </c>
      <c r="BW442" s="97" t="str">
        <f aca="false">IF($BZ442&lt;&gt;Constants!$B$8,"",IF($AT442,$AV442,""))</f>
        <v/>
      </c>
      <c r="BX442" s="99" t="str">
        <f aca="false">IF($BZ442&lt;&gt;Constants!$B$8,"",$AI442)</f>
        <v/>
      </c>
      <c r="BY442" s="93" t="str">
        <f aca="false">IF(ISBLANK($C442),"",IF(ISBLANK($D$7),$BY$5,IF(NOT(ISNUMBER($D$7)),$BY$6,"")))</f>
        <v/>
      </c>
      <c r="BZ442" s="93" t="str">
        <f aca="false">IF(ISBLANK($C442),"",IF($BA442,Constants!$B$11,IF(COUNTA($E442:$AA442)=0,Constants!$B$10,IF(NOT($AG442),Constants!$B$9,IF(OR($BY442&lt;&gt;"",$BB442,$BN442),Constants!$B$12,Constants!$B$8)))))</f>
        <v/>
      </c>
      <c r="CA442" s="93" t="str">
        <f aca="false">IF(ISBLANK($C442),"",IF($BZ442&lt;&gt;Constants!$B$8,$BZ442,Constants!$B$13))</f>
        <v/>
      </c>
      <c r="CB442" s="97" t="str">
        <f aca="false">IF($BZ442&lt;&gt;Constants!$B$8,"",IF($BM442="-&gt;",$BT442,$BH442))</f>
        <v/>
      </c>
      <c r="CC442" s="97" t="str">
        <f aca="false">IF($BZ442&lt;&gt;Constants!$B$8,"",IF($AF442,0,Constants!$B$18))</f>
        <v/>
      </c>
      <c r="CD442" s="97" t="str">
        <f aca="false">IF($BZ442&lt;&gt;Constants!$B$8,"",((Constants!$B$31-$AZ442)-Constants!$B$31)/Constants!$B$32)</f>
        <v/>
      </c>
      <c r="CE442" s="97" t="str">
        <f aca="false">IF(ISBLANK($C442),"",IF($BZ442&lt;&gt;Constants!$B$8,$BZ442,SUM($CB442:$CD442)))</f>
        <v/>
      </c>
      <c r="CF442" s="93" t="str">
        <f aca="false">IF(ISBLANK($C442),"",IF($BZ442&lt;&gt;Constants!$B$8,$BZ442,RANK($CE442,$CE$9:$CE$508,1)))</f>
        <v/>
      </c>
      <c r="CG442" s="97" t="str">
        <f aca="false">IF($BZ442&lt;&gt;Constants!$B$8,"",IF($BM442="-&gt;",$BU442,$BI442))</f>
        <v/>
      </c>
      <c r="CH442" s="93" t="str">
        <f aca="false">IF(ISBLANK($C442),"",IF($BZ442&lt;&gt;Constants!$B$8,$BZ442,IF(ISNUMBER($CG442),RANK($CG442,$CG$9:$CG$508,1),COUNT($CG$9:$CG$508)+1)))</f>
        <v/>
      </c>
      <c r="CI442" s="97" t="str">
        <f aca="false">IF($BZ442&lt;&gt;Constants!$B$8,"",IF($BM442="-&gt;",$BV442,$BJ442))</f>
        <v/>
      </c>
      <c r="CJ442" s="93" t="str">
        <f aca="false">IF(ISBLANK($C442),"",IF($BZ442&lt;&gt;Constants!$B$8,$BZ442,IF(ISNUMBER($CI442),RANK($CI442,$CI$9:$CI$508,1),COUNT($CI$9:$CI$508)+1)))</f>
        <v/>
      </c>
      <c r="CK442" s="97" t="str">
        <f aca="false">IF($BZ442&lt;&gt;Constants!$B$8,"",IF($BM442="-&gt;",$BW442,$BK442))</f>
        <v/>
      </c>
      <c r="CL442" s="93" t="str">
        <f aca="false">IF(ISBLANK($C442),"",IF($BZ442&lt;&gt;Constants!$B$8,$BZ442,IF(ISNUMBER($CK442),RANK($CK442,$CK$9:$CK$508,1),COUNT($CK$9:$CK$508)+1)))</f>
        <v/>
      </c>
      <c r="CM442" s="97" t="str">
        <f aca="false">IF($BZ442&lt;&gt;Constants!$B$8,"",IF(AND(NOT($AL442),NOT($AT442),$AJ442,$AK442,$AR442,$AS442),"",IF($BM442="-&gt;",$BX442,$BL442)))</f>
        <v/>
      </c>
      <c r="CN442" s="93" t="str">
        <f aca="false">IF(ISBLANK($C442),"",IF($BZ442&lt;&gt;Constants!$B$8,$BZ442,IF(ISNUMBER($CM442),RANK($CM442,$CM$9:$CM$508,1),COUNT($CM$9:$CM$508)+1)))</f>
        <v/>
      </c>
      <c r="CO442" s="93" t="str">
        <f aca="false">IF(ISBLANK($C442),"",IF($BZ442&lt;&gt;Constants!$B$8,$BZ442,COUNTIFS($CF$9:$CF$508,"&lt;"&amp;$CF442)+COUNTIFS($CF$9:$CF$508,$CF442,$CH$9:$CH$508,"&lt;"&amp;$CH442)+COUNTIFS($CF$9:$CF$508,$CF442,$CH$9:$CH$508,$CH442,$CJ$9:$CJ$508,"&lt;"&amp;$CJ442)+COUNTIFS($CF$9:$CF$508,$CF442,$CH$9:$CH$508,$CH442,$CJ$9:$CJ$508,$CJ442,$CL$9:$CL$508,"&lt;"&amp;$CL442)+COUNTIFS($CF$9:$CF$508,$CF442,$CH$9:$CH$508,$CH442,$CJ$9:$CJ$508,$CJ442,$CL$9:$CL$508,$CL442,$CN$9:$CN$508,"&lt;"&amp;$CN442)+1))</f>
        <v/>
      </c>
      <c r="CP442" s="93" t="str">
        <f aca="false">IF(ISBLANK($C442),"",IF($BZ442&lt;&gt;Constants!$B$8,$BZ442,$CF442-$CO442))</f>
        <v/>
      </c>
      <c r="CQ442" s="100"/>
      <c r="CR442" s="101"/>
      <c r="CS442" s="102" t="str">
        <f aca="false">IF(ISBLANK($C442),"",IF($BZ442=Constants!$B$12,$BY442,""))</f>
        <v/>
      </c>
      <c r="CT442" s="101" t="str">
        <f aca="false">IF(ISBLANK($C442),"",IF($BZ442&lt;&gt;Constants!$B$8,"",IF($BM442="-&gt;",2,1)))</f>
        <v/>
      </c>
      <c r="CU442" s="103" t="str">
        <f aca="false">IF(ISBLANK($C442),"",IF($BZ442&lt;&gt;Constants!$B$8,"",IF($BM442="-&gt;",$BO442,$BC442)))</f>
        <v/>
      </c>
      <c r="CV442" s="103" t="str">
        <f aca="false">IF(ISBLANK($C442),"",IF($BZ442&lt;&gt;Constants!$B$8,"",IF($BM442="-&gt;",$BP442,$BD442)))</f>
        <v/>
      </c>
      <c r="CW442" s="103" t="str">
        <f aca="false">IF(ISBLANK($C442),"",IF($BZ442&lt;&gt;Constants!$B$8,"",IF($BM442="-&gt;",$BQ442+$BR442,$BE442+$BF442)+$CD442))</f>
        <v/>
      </c>
      <c r="CX442" s="103" t="str">
        <f aca="false">IF(ISBLANK($C442),"",IF($BZ442&lt;&gt;Constants!$B$8,"",IF($BM442="-&gt;",$BS442,$BG442)+$CC442))</f>
        <v/>
      </c>
      <c r="CY442" s="104" t="str">
        <f aca="false">IF(ISBLANK($C442),"",IF($BZ442&lt;&gt;Constants!$B$8,$BZ442,$CE442))</f>
        <v/>
      </c>
      <c r="CZ442" s="105" t="str">
        <f aca="false">IF(ISBLANK($C442),"",$CA442)</f>
        <v/>
      </c>
      <c r="DA442" s="106" t="str">
        <f aca="false">IF(ISBLANK($C442),"",$CP442)</f>
        <v/>
      </c>
      <c r="DB442" s="106" t="str">
        <f aca="false">IF(ISBLANK($C442),"",$CO442)</f>
        <v/>
      </c>
      <c r="DC442" s="107" t="str">
        <f aca="false">IF(ISBLANK($C442),"",IFERROR(_xlfn.SWITCH($DB442,Constants!$B$11,COUNTA($C$9:$C$508)+2,Constants!$B$10,COUNTA($C$9:$C$508)+1,Constants!$B$9,COUNTA($C$9:$C$508)),$DB442))</f>
        <v/>
      </c>
      <c r="DD442" s="9"/>
      <c r="DE442" s="108" t="n">
        <f aca="false">IF(OR(ISNUMBER($DB442),$DB442=Constants!$B$11,$DB442=Constants!$B$9,$DB442=Constants!$B$10),1,0)</f>
        <v>0</v>
      </c>
      <c r="DF442" s="108" t="n">
        <v>434</v>
      </c>
      <c r="DG442" s="108" t="str">
        <f aca="false">IF(ISBLANK($C442),"",IF(ISNUMBER($DC442),$DC442+ROW($B442)/1000,""))</f>
        <v/>
      </c>
      <c r="DH442" s="108" t="str">
        <f aca="false">IF(ISNUMBER($DG442),RANK($DG442,$DG$9:$DG$508,1),"")</f>
        <v/>
      </c>
      <c r="DI442" s="108" t="str">
        <f aca="false">IF(ISBLANK($C442),"",$B442)</f>
        <v/>
      </c>
      <c r="DJ442" s="108" t="str">
        <f aca="false">IF(ISBLANK($C442),"",$C442)</f>
        <v/>
      </c>
      <c r="DK442" s="108" t="str">
        <f aca="false">IF(ISBLANK($C442),"",$D442)</f>
        <v/>
      </c>
      <c r="DL442" s="109" t="str">
        <f aca="false">$CZ442</f>
        <v/>
      </c>
      <c r="DM442" s="110" t="str">
        <f aca="false">$CY442</f>
        <v/>
      </c>
      <c r="DN442" s="108" t="str">
        <f aca="false">IF(ISBLANK($C442),"",$DB442)</f>
        <v/>
      </c>
      <c r="DO442" s="111" t="str">
        <f aca="false">IF($DF442&gt;$DE$8,"",VLOOKUP($DF442,$DH$9:$DN$508,7,FALSE()))</f>
        <v/>
      </c>
      <c r="DP442" s="112" t="str">
        <f aca="false">IF($DF442&gt;$DE$8,"",VLOOKUP($DF442,$DH$9:$DN$508,2,FALSE()))</f>
        <v/>
      </c>
      <c r="DQ442" s="112" t="str">
        <f aca="false">IF($DF442&gt;$DE$8,"",VLOOKUP($DF442,$DH$9:$DN$508,3,FALSE()))</f>
        <v/>
      </c>
      <c r="DR442" s="112" t="str">
        <f aca="false">IF($DF442&gt;$DE$8,"",VLOOKUP($DF442,$DH$9:$DN$508,4,FALSE()))</f>
        <v/>
      </c>
      <c r="DS442" s="112" t="str">
        <f aca="false">IF($DF442&gt;$DE$8,"",VLOOKUP($DF442,$DH$9:$DN$508,5,FALSE()))</f>
        <v/>
      </c>
      <c r="DT442" s="113" t="str">
        <f aca="false">IF($DF442&gt;$DE$8,"",VLOOKUP($DF442,$DH$9:$DN$508,6,FALSE()))</f>
        <v/>
      </c>
      <c r="DU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IF(ISBLANK($C443),"",IF(E443=Constants!$B$3,TRUE(),IF(E443=Constants!$B$4,FALSE(),TRUE())))</f>
        <v/>
      </c>
      <c r="AG443" s="93" t="str">
        <f aca="false">IF(ISBLANK($C443),"",IF(F443=Constants!$B$3,TRUE(),IF(F443=Constants!$B$4,FALSE(),TRUE())))</f>
        <v/>
      </c>
      <c r="AH443" s="93" t="str">
        <f aca="false">IF(ISBLANK($C443),"",IF(G443=Constants!$B$3,TRUE(),IF(G443=Constants!$B$4,FALSE(),TRUE())))</f>
        <v/>
      </c>
      <c r="AI443" s="93" t="str">
        <f aca="false">IF(ISBLANK($C443),"",IF(AND(ISNUMBER(H443),H443&gt;=0),H443,Constants!$B$29))</f>
        <v/>
      </c>
      <c r="AJ443" s="93" t="str">
        <f aca="false">IF(ISBLANK($C443),"",IF(I443=Constants!$B$3,TRUE(),IF(I443=Constants!$B$4,FALSE(),TRUE())))</f>
        <v/>
      </c>
      <c r="AK443" s="93" t="str">
        <f aca="false">IF(ISBLANK($C443),"",IF(J443=Constants!$B$3,TRUE(),IF(J443=Constants!$B$4,FALSE(),TRUE())))</f>
        <v/>
      </c>
      <c r="AL443" s="93" t="str">
        <f aca="false">IF(ISBLANK($C443),"",IF(K443=Constants!$B$5,TRUE(),IF(K443=Constants!$B$6,FALSE(),COUNTA(L443:P443)&gt;0)))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IF(ISBLANK($C443),"",IF(N443=Constants!$B$3,TRUE(),IF(N443=Constants!$B$4,FALSE(),TRUE())))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IF(ISBLANK($C443),"",IF(P443=Constants!$B$3,TRUE(),IF(P443=Constants!$B$4,FALSE(),FALSE())))</f>
        <v/>
      </c>
      <c r="AR443" s="93" t="str">
        <f aca="false">IF(ISBLANK($C443),"",IF(Q443=Constants!$B$3,TRUE(),IF(Q443=Constants!$B$4,FALSE(),TRUE())))</f>
        <v/>
      </c>
      <c r="AS443" s="93" t="str">
        <f aca="false">IF(ISBLANK($C443),"",IF(R443=Constants!$B$3,TRUE(),IF(R443=Constants!$B$4,FALSE(),TRUE())))</f>
        <v/>
      </c>
      <c r="AT443" s="93" t="str">
        <f aca="false">IF(ISBLANK($C443),"",IF(S443=Constants!$B$5,TRUE(),IF(S443=Constants!$B$6,FALSE(),COUNTA(T443:X443)&gt;0)))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IF(ISBLANK($C443),"",IF(V443=Constants!$B$3,TRUE(),IF(V443=Constants!$B$4,FALSE(),TRUE())))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IF(ISBLANK($C443),"",IF(X443=Constants!$B$3,TRUE(),IF(X443=Constants!$B$4,FALSE(),FALSE())))</f>
        <v/>
      </c>
      <c r="AZ443" s="93" t="str">
        <f aca="false">IF(ISBLANK($C443),"",MIN(Constants!$B$31,MAX(0,IF(ISNUMBER(Y443),Y443*60,0)+IF(ISNUMBER(Z443),Z443,0))))</f>
        <v/>
      </c>
      <c r="BA443" s="93" t="str">
        <f aca="false">IF(ISBLANK($C443),"",IF(AA443=Constants!$B$3,TRUE(),IF(AA443=Constants!$B$4,FALSE(),FALSE())))</f>
        <v/>
      </c>
      <c r="BB443" s="92" t="str">
        <f aca="false">IF(ISBLANK($C443),"",AND($AL443,OR($AM443="",$AN443="",AND($AO443,$AP443=""))))</f>
        <v/>
      </c>
      <c r="BC443" s="94" t="str">
        <f aca="false">IF($BZ443&lt;&gt;Constants!$B$8,"",IF($AL443,Constants!$B$21*$AN443+Constants!$B$22*IF($AO443,$AP443,Constants!$B$23),Constants!$B$24))</f>
        <v/>
      </c>
      <c r="BD443" s="97" t="str">
        <f aca="false">IF($BZ443&lt;&gt;Constants!$B$8,"",Constants!$B$25*ABS($AD$9-IF($AL443,$AM443,0)))</f>
        <v/>
      </c>
      <c r="BE443" s="97" t="str">
        <f aca="false">IF($BZ443&lt;&gt;Constants!$B$8,"",IF(AND($AL443,$AQ443,$AO443),Constants!$B$27,0))</f>
        <v/>
      </c>
      <c r="BF443" s="97" t="str">
        <f aca="false">IF($BZ443&lt;&gt;Constants!$B$8,"",IF($AL443,($AI443-Constants!$B$29)*Constants!$B$28,0))</f>
        <v/>
      </c>
      <c r="BG443" s="97" t="str">
        <f aca="false">IF($BZ443&lt;&gt;Constants!$B$8,"",IF($AK443,0,Constants!$B$15)+IF($AJ443,0,Constants!$B$16)+IF($AH443,0,Constants!$B$17))</f>
        <v/>
      </c>
      <c r="BH443" s="98" t="str">
        <f aca="false">IF($BZ443&lt;&gt;Constants!$B$8,"",Constants!$B$20+SUM($BC443:$BG443))</f>
        <v/>
      </c>
      <c r="BI443" s="97" t="str">
        <f aca="false">IF($BZ443&lt;&gt;Constants!$B$8,"",$BC443)</f>
        <v/>
      </c>
      <c r="BJ443" s="97" t="str">
        <f aca="false">IF($BZ443&lt;&gt;Constants!$B$8,"",$BD443)</f>
        <v/>
      </c>
      <c r="BK443" s="97" t="str">
        <f aca="false">IF($BZ443&lt;&gt;Constants!$B$8,"",IF($AL443,$AN443,""))</f>
        <v/>
      </c>
      <c r="BL443" s="99" t="str">
        <f aca="false">IF($BZ443&lt;&gt;Constants!$B$8,"",$AI443)</f>
        <v/>
      </c>
      <c r="BM443" s="93" t="str">
        <f aca="false">IF($BZ443&lt;&gt;Constants!$B$8,"",IF(OR($BT443&lt;$BH443,AND($BT443=$BH443,OR($BU443&lt;$BI443,AND($BU443=$BI443,OR($BV443&lt;$BJ443,AND($BV443=$BJ443,OR(AND(ISNUMBER($BW443),OR(NOT(ISNUMBER($BK443)),$BW443&lt;$BK443)),AND(OR(AND($BW443="",$BK443=""),AND(ISNUMBER($BW443),ISNUMBER($BK443),$BW443=$BK443)),$BX443&lt;$BL443)))))))),"-&gt;","&lt;-"))</f>
        <v/>
      </c>
      <c r="BN443" s="92" t="str">
        <f aca="false">IF(ISBLANK($C443),"",AND($AT443,OR($AU443="",$AV443="",AND($AW443,$AX443=""))))</f>
        <v/>
      </c>
      <c r="BO443" s="94" t="str">
        <f aca="false">IF($BZ443&lt;&gt;Constants!$B$8,"",IF($AT443,Constants!$B$21*$AV443+Constants!$B$22*IF($AW443,$AX443,Constants!$B$23),Constants!$B$24))</f>
        <v/>
      </c>
      <c r="BP443" s="97" t="str">
        <f aca="false">IF($BZ443&lt;&gt;Constants!$B$8,"",Constants!$B$25*ABS($AD$9-IF($AT443,$AU443,0)))</f>
        <v/>
      </c>
      <c r="BQ443" s="97" t="str">
        <f aca="false">IF($BZ443&lt;&gt;Constants!$B$8,"",IF(AND($AT443,$AY443,$AW443),Constants!$B$27,0))</f>
        <v/>
      </c>
      <c r="BR443" s="97" t="str">
        <f aca="false">IF($BZ443&lt;&gt;Constants!$B$8,"",IF($AT443,($AI443-Constants!$B$29)*Constants!$B$28,0))</f>
        <v/>
      </c>
      <c r="BS443" s="97" t="str">
        <f aca="false">IF($BZ443&lt;&gt;Constants!$B$8,"",IF($AS443,0,Constants!$B$15)+IF($AR443,0,Constants!$B$16)+IF($AH443,0,Constants!$B$17))</f>
        <v/>
      </c>
      <c r="BT443" s="98" t="str">
        <f aca="false">IF($BZ443&lt;&gt;Constants!$B$8,"",Constants!$B$20+SUM($BO443:$BS443))</f>
        <v/>
      </c>
      <c r="BU443" s="97" t="str">
        <f aca="false">IF($BZ443&lt;&gt;Constants!$B$8,"",$BO443)</f>
        <v/>
      </c>
      <c r="BV443" s="97" t="str">
        <f aca="false">IF($BZ443&lt;&gt;Constants!$B$8,"",$BP443)</f>
        <v/>
      </c>
      <c r="BW443" s="97" t="str">
        <f aca="false">IF($BZ443&lt;&gt;Constants!$B$8,"",IF($AT443,$AV443,""))</f>
        <v/>
      </c>
      <c r="BX443" s="99" t="str">
        <f aca="false">IF($BZ443&lt;&gt;Constants!$B$8,"",$AI443)</f>
        <v/>
      </c>
      <c r="BY443" s="93" t="str">
        <f aca="false">IF(ISBLANK($C443),"",IF(ISBLANK($D$7),$BY$5,IF(NOT(ISNUMBER($D$7)),$BY$6,"")))</f>
        <v/>
      </c>
      <c r="BZ443" s="93" t="str">
        <f aca="false">IF(ISBLANK($C443),"",IF($BA443,Constants!$B$11,IF(COUNTA($E443:$AA443)=0,Constants!$B$10,IF(NOT($AG443),Constants!$B$9,IF(OR($BY443&lt;&gt;"",$BB443,$BN443),Constants!$B$12,Constants!$B$8)))))</f>
        <v/>
      </c>
      <c r="CA443" s="93" t="str">
        <f aca="false">IF(ISBLANK($C443),"",IF($BZ443&lt;&gt;Constants!$B$8,$BZ443,Constants!$B$13))</f>
        <v/>
      </c>
      <c r="CB443" s="97" t="str">
        <f aca="false">IF($BZ443&lt;&gt;Constants!$B$8,"",IF($BM443="-&gt;",$BT443,$BH443))</f>
        <v/>
      </c>
      <c r="CC443" s="97" t="str">
        <f aca="false">IF($BZ443&lt;&gt;Constants!$B$8,"",IF($AF443,0,Constants!$B$18))</f>
        <v/>
      </c>
      <c r="CD443" s="97" t="str">
        <f aca="false">IF($BZ443&lt;&gt;Constants!$B$8,"",((Constants!$B$31-$AZ443)-Constants!$B$31)/Constants!$B$32)</f>
        <v/>
      </c>
      <c r="CE443" s="97" t="str">
        <f aca="false">IF(ISBLANK($C443),"",IF($BZ443&lt;&gt;Constants!$B$8,$BZ443,SUM($CB443:$CD443)))</f>
        <v/>
      </c>
      <c r="CF443" s="93" t="str">
        <f aca="false">IF(ISBLANK($C443),"",IF($BZ443&lt;&gt;Constants!$B$8,$BZ443,RANK($CE443,$CE$9:$CE$508,1)))</f>
        <v/>
      </c>
      <c r="CG443" s="97" t="str">
        <f aca="false">IF($BZ443&lt;&gt;Constants!$B$8,"",IF($BM443="-&gt;",$BU443,$BI443))</f>
        <v/>
      </c>
      <c r="CH443" s="93" t="str">
        <f aca="false">IF(ISBLANK($C443),"",IF($BZ443&lt;&gt;Constants!$B$8,$BZ443,IF(ISNUMBER($CG443),RANK($CG443,$CG$9:$CG$508,1),COUNT($CG$9:$CG$508)+1)))</f>
        <v/>
      </c>
      <c r="CI443" s="97" t="str">
        <f aca="false">IF($BZ443&lt;&gt;Constants!$B$8,"",IF($BM443="-&gt;",$BV443,$BJ443))</f>
        <v/>
      </c>
      <c r="CJ443" s="93" t="str">
        <f aca="false">IF(ISBLANK($C443),"",IF($BZ443&lt;&gt;Constants!$B$8,$BZ443,IF(ISNUMBER($CI443),RANK($CI443,$CI$9:$CI$508,1),COUNT($CI$9:$CI$508)+1)))</f>
        <v/>
      </c>
      <c r="CK443" s="97" t="str">
        <f aca="false">IF($BZ443&lt;&gt;Constants!$B$8,"",IF($BM443="-&gt;",$BW443,$BK443))</f>
        <v/>
      </c>
      <c r="CL443" s="93" t="str">
        <f aca="false">IF(ISBLANK($C443),"",IF($BZ443&lt;&gt;Constants!$B$8,$BZ443,IF(ISNUMBER($CK443),RANK($CK443,$CK$9:$CK$508,1),COUNT($CK$9:$CK$508)+1)))</f>
        <v/>
      </c>
      <c r="CM443" s="97" t="str">
        <f aca="false">IF($BZ443&lt;&gt;Constants!$B$8,"",IF(AND(NOT($AL443),NOT($AT443),$AJ443,$AK443,$AR443,$AS443),"",IF($BM443="-&gt;",$BX443,$BL443)))</f>
        <v/>
      </c>
      <c r="CN443" s="93" t="str">
        <f aca="false">IF(ISBLANK($C443),"",IF($BZ443&lt;&gt;Constants!$B$8,$BZ443,IF(ISNUMBER($CM443),RANK($CM443,$CM$9:$CM$508,1),COUNT($CM$9:$CM$508)+1)))</f>
        <v/>
      </c>
      <c r="CO443" s="93" t="str">
        <f aca="false">IF(ISBLANK($C443),"",IF($BZ443&lt;&gt;Constants!$B$8,$BZ443,COUNTIFS($CF$9:$CF$508,"&lt;"&amp;$CF443)+COUNTIFS($CF$9:$CF$508,$CF443,$CH$9:$CH$508,"&lt;"&amp;$CH443)+COUNTIFS($CF$9:$CF$508,$CF443,$CH$9:$CH$508,$CH443,$CJ$9:$CJ$508,"&lt;"&amp;$CJ443)+COUNTIFS($CF$9:$CF$508,$CF443,$CH$9:$CH$508,$CH443,$CJ$9:$CJ$508,$CJ443,$CL$9:$CL$508,"&lt;"&amp;$CL443)+COUNTIFS($CF$9:$CF$508,$CF443,$CH$9:$CH$508,$CH443,$CJ$9:$CJ$508,$CJ443,$CL$9:$CL$508,$CL443,$CN$9:$CN$508,"&lt;"&amp;$CN443)+1))</f>
        <v/>
      </c>
      <c r="CP443" s="93" t="str">
        <f aca="false">IF(ISBLANK($C443),"",IF($BZ443&lt;&gt;Constants!$B$8,$BZ443,$CF443-$CO443))</f>
        <v/>
      </c>
      <c r="CQ443" s="100"/>
      <c r="CR443" s="101"/>
      <c r="CS443" s="102" t="str">
        <f aca="false">IF(ISBLANK($C443),"",IF($BZ443=Constants!$B$12,$BY443,""))</f>
        <v/>
      </c>
      <c r="CT443" s="101" t="str">
        <f aca="false">IF(ISBLANK($C443),"",IF($BZ443&lt;&gt;Constants!$B$8,"",IF($BM443="-&gt;",2,1)))</f>
        <v/>
      </c>
      <c r="CU443" s="103" t="str">
        <f aca="false">IF(ISBLANK($C443),"",IF($BZ443&lt;&gt;Constants!$B$8,"",IF($BM443="-&gt;",$BO443,$BC443)))</f>
        <v/>
      </c>
      <c r="CV443" s="103" t="str">
        <f aca="false">IF(ISBLANK($C443),"",IF($BZ443&lt;&gt;Constants!$B$8,"",IF($BM443="-&gt;",$BP443,$BD443)))</f>
        <v/>
      </c>
      <c r="CW443" s="103" t="str">
        <f aca="false">IF(ISBLANK($C443),"",IF($BZ443&lt;&gt;Constants!$B$8,"",IF($BM443="-&gt;",$BQ443+$BR443,$BE443+$BF443)+$CD443))</f>
        <v/>
      </c>
      <c r="CX443" s="103" t="str">
        <f aca="false">IF(ISBLANK($C443),"",IF($BZ443&lt;&gt;Constants!$B$8,"",IF($BM443="-&gt;",$BS443,$BG443)+$CC443))</f>
        <v/>
      </c>
      <c r="CY443" s="104" t="str">
        <f aca="false">IF(ISBLANK($C443),"",IF($BZ443&lt;&gt;Constants!$B$8,$BZ443,$CE443))</f>
        <v/>
      </c>
      <c r="CZ443" s="105" t="str">
        <f aca="false">IF(ISBLANK($C443),"",$CA443)</f>
        <v/>
      </c>
      <c r="DA443" s="106" t="str">
        <f aca="false">IF(ISBLANK($C443),"",$CP443)</f>
        <v/>
      </c>
      <c r="DB443" s="106" t="str">
        <f aca="false">IF(ISBLANK($C443),"",$CO443)</f>
        <v/>
      </c>
      <c r="DC443" s="107" t="str">
        <f aca="false">IF(ISBLANK($C443),"",IFERROR(_xlfn.SWITCH($DB443,Constants!$B$11,COUNTA($C$9:$C$508)+2,Constants!$B$10,COUNTA($C$9:$C$508)+1,Constants!$B$9,COUNTA($C$9:$C$508)),$DB443))</f>
        <v/>
      </c>
      <c r="DD443" s="9"/>
      <c r="DE443" s="108" t="n">
        <f aca="false">IF(OR(ISNUMBER($DB443),$DB443=Constants!$B$11,$DB443=Constants!$B$9,$DB443=Constants!$B$10),1,0)</f>
        <v>0</v>
      </c>
      <c r="DF443" s="108" t="n">
        <v>435</v>
      </c>
      <c r="DG443" s="108" t="str">
        <f aca="false">IF(ISBLANK($C443),"",IF(ISNUMBER($DC443),$DC443+ROW($B443)/1000,""))</f>
        <v/>
      </c>
      <c r="DH443" s="108" t="str">
        <f aca="false">IF(ISNUMBER($DG443),RANK($DG443,$DG$9:$DG$508,1),"")</f>
        <v/>
      </c>
      <c r="DI443" s="108" t="str">
        <f aca="false">IF(ISBLANK($C443),"",$B443)</f>
        <v/>
      </c>
      <c r="DJ443" s="108" t="str">
        <f aca="false">IF(ISBLANK($C443),"",$C443)</f>
        <v/>
      </c>
      <c r="DK443" s="108" t="str">
        <f aca="false">IF(ISBLANK($C443),"",$D443)</f>
        <v/>
      </c>
      <c r="DL443" s="109" t="str">
        <f aca="false">$CZ443</f>
        <v/>
      </c>
      <c r="DM443" s="110" t="str">
        <f aca="false">$CY443</f>
        <v/>
      </c>
      <c r="DN443" s="108" t="str">
        <f aca="false">IF(ISBLANK($C443),"",$DB443)</f>
        <v/>
      </c>
      <c r="DO443" s="111" t="str">
        <f aca="false">IF($DF443&gt;$DE$8,"",VLOOKUP($DF443,$DH$9:$DN$508,7,FALSE()))</f>
        <v/>
      </c>
      <c r="DP443" s="112" t="str">
        <f aca="false">IF($DF443&gt;$DE$8,"",VLOOKUP($DF443,$DH$9:$DN$508,2,FALSE()))</f>
        <v/>
      </c>
      <c r="DQ443" s="112" t="str">
        <f aca="false">IF($DF443&gt;$DE$8,"",VLOOKUP($DF443,$DH$9:$DN$508,3,FALSE()))</f>
        <v/>
      </c>
      <c r="DR443" s="112" t="str">
        <f aca="false">IF($DF443&gt;$DE$8,"",VLOOKUP($DF443,$DH$9:$DN$508,4,FALSE()))</f>
        <v/>
      </c>
      <c r="DS443" s="112" t="str">
        <f aca="false">IF($DF443&gt;$DE$8,"",VLOOKUP($DF443,$DH$9:$DN$508,5,FALSE()))</f>
        <v/>
      </c>
      <c r="DT443" s="113" t="str">
        <f aca="false">IF($DF443&gt;$DE$8,"",VLOOKUP($DF443,$DH$9:$DN$508,6,FALSE()))</f>
        <v/>
      </c>
      <c r="DU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IF(ISBLANK($C444),"",IF(E444=Constants!$B$3,TRUE(),IF(E444=Constants!$B$4,FALSE(),TRUE())))</f>
        <v/>
      </c>
      <c r="AG444" s="135" t="str">
        <f aca="false">IF(ISBLANK($C444),"",IF(F444=Constants!$B$3,TRUE(),IF(F444=Constants!$B$4,FALSE(),TRUE())))</f>
        <v/>
      </c>
      <c r="AH444" s="135" t="str">
        <f aca="false">IF(ISBLANK($C444),"",IF(G444=Constants!$B$3,TRUE(),IF(G444=Constants!$B$4,FALSE(),TRUE())))</f>
        <v/>
      </c>
      <c r="AI444" s="135" t="str">
        <f aca="false">IF(ISBLANK($C444),"",IF(AND(ISNUMBER(H444),H444&gt;=0),H444,Constants!$B$29))</f>
        <v/>
      </c>
      <c r="AJ444" s="135" t="str">
        <f aca="false">IF(ISBLANK($C444),"",IF(I444=Constants!$B$3,TRUE(),IF(I444=Constants!$B$4,FALSE(),TRUE())))</f>
        <v/>
      </c>
      <c r="AK444" s="135" t="str">
        <f aca="false">IF(ISBLANK($C444),"",IF(J444=Constants!$B$3,TRUE(),IF(J444=Constants!$B$4,FALSE(),TRUE())))</f>
        <v/>
      </c>
      <c r="AL444" s="135" t="str">
        <f aca="false">IF(ISBLANK($C444),"",IF(K444=Constants!$B$5,TRUE(),IF(K444=Constants!$B$6,FALSE(),COUNTA(L444:P444)&gt;0)))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IF(ISBLANK($C444),"",IF(N444=Constants!$B$3,TRUE(),IF(N444=Constants!$B$4,FALSE(),TRUE())))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IF(ISBLANK($C444),"",IF(P444=Constants!$B$3,TRUE(),IF(P444=Constants!$B$4,FALSE(),FALSE())))</f>
        <v/>
      </c>
      <c r="AR444" s="135" t="str">
        <f aca="false">IF(ISBLANK($C444),"",IF(Q444=Constants!$B$3,TRUE(),IF(Q444=Constants!$B$4,FALSE(),TRUE())))</f>
        <v/>
      </c>
      <c r="AS444" s="135" t="str">
        <f aca="false">IF(ISBLANK($C444),"",IF(R444=Constants!$B$3,TRUE(),IF(R444=Constants!$B$4,FALSE(),TRUE())))</f>
        <v/>
      </c>
      <c r="AT444" s="135" t="str">
        <f aca="false">IF(ISBLANK($C444),"",IF(S444=Constants!$B$5,TRUE(),IF(S444=Constants!$B$6,FALSE(),COUNTA(T444:X444)&gt;0)))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IF(ISBLANK($C444),"",IF(V444=Constants!$B$3,TRUE(),IF(V444=Constants!$B$4,FALSE(),TRUE())))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IF(ISBLANK($C444),"",IF(X444=Constants!$B$3,TRUE(),IF(X444=Constants!$B$4,FALSE(),FALSE())))</f>
        <v/>
      </c>
      <c r="AZ444" s="135" t="str">
        <f aca="false">IF(ISBLANK($C444),"",MIN(Constants!$B$31,MAX(0,IF(ISNUMBER(Y444),Y444*60,0)+IF(ISNUMBER(Z444),Z444,0))))</f>
        <v/>
      </c>
      <c r="BA444" s="135" t="str">
        <f aca="false">IF(ISBLANK($C444),"",IF(AA444=Constants!$B$3,TRUE(),IF(AA444=Constants!$B$4,FALSE(),FALSE())))</f>
        <v/>
      </c>
      <c r="BB444" s="134" t="str">
        <f aca="false">IF(ISBLANK($C444),"",AND($AL444,OR($AM444="",$AN444="",AND($AO444,$AP444=""))))</f>
        <v/>
      </c>
      <c r="BC444" s="137" t="str">
        <f aca="false">IF($BZ444&lt;&gt;Constants!$B$8,"",IF($AL444,Constants!$B$21*$AN444+Constants!$B$22*IF($AO444,$AP444,Constants!$B$23),Constants!$B$24))</f>
        <v/>
      </c>
      <c r="BD444" s="138" t="str">
        <f aca="false">IF($BZ444&lt;&gt;Constants!$B$8,"",Constants!$B$25*ABS($AD$9-IF($AL444,$AM444,0)))</f>
        <v/>
      </c>
      <c r="BE444" s="138" t="str">
        <f aca="false">IF($BZ444&lt;&gt;Constants!$B$8,"",IF(AND($AL444,$AQ444,$AO444),Constants!$B$27,0))</f>
        <v/>
      </c>
      <c r="BF444" s="138" t="str">
        <f aca="false">IF($BZ444&lt;&gt;Constants!$B$8,"",IF($AL444,($AI444-Constants!$B$29)*Constants!$B$28,0))</f>
        <v/>
      </c>
      <c r="BG444" s="138" t="str">
        <f aca="false">IF($BZ444&lt;&gt;Constants!$B$8,"",IF($AK444,0,Constants!$B$15)+IF($AJ444,0,Constants!$B$16)+IF($AH444,0,Constants!$B$17))</f>
        <v/>
      </c>
      <c r="BH444" s="139" t="str">
        <f aca="false">IF($BZ444&lt;&gt;Constants!$B$8,"",Constants!$B$20+SUM($BC444:$BG444))</f>
        <v/>
      </c>
      <c r="BI444" s="138" t="str">
        <f aca="false">IF($BZ444&lt;&gt;Constants!$B$8,"",$BC444)</f>
        <v/>
      </c>
      <c r="BJ444" s="138" t="str">
        <f aca="false">IF($BZ444&lt;&gt;Constants!$B$8,"",$BD444)</f>
        <v/>
      </c>
      <c r="BK444" s="138" t="str">
        <f aca="false">IF($BZ444&lt;&gt;Constants!$B$8,"",IF($AL444,$AN444,""))</f>
        <v/>
      </c>
      <c r="BL444" s="140" t="str">
        <f aca="false">IF($BZ444&lt;&gt;Constants!$B$8,"",$AI444)</f>
        <v/>
      </c>
      <c r="BM444" s="135" t="str">
        <f aca="false">IF($BZ444&lt;&gt;Constants!$B$8,"",IF(OR($BT444&lt;$BH444,AND($BT444=$BH444,OR($BU444&lt;$BI444,AND($BU444=$BI444,OR($BV444&lt;$BJ444,AND($BV444=$BJ444,OR(AND(ISNUMBER($BW444),OR(NOT(ISNUMBER($BK444)),$BW444&lt;$BK444)),AND(OR(AND($BW444="",$BK444=""),AND(ISNUMBER($BW444),ISNUMBER($BK444),$BW444=$BK444)),$BX444&lt;$BL444)))))))),"-&gt;","&lt;-"))</f>
        <v/>
      </c>
      <c r="BN444" s="134" t="str">
        <f aca="false">IF(ISBLANK($C444),"",AND($AT444,OR($AU444="",$AV444="",AND($AW444,$AX444=""))))</f>
        <v/>
      </c>
      <c r="BO444" s="137" t="str">
        <f aca="false">IF($BZ444&lt;&gt;Constants!$B$8,"",IF($AT444,Constants!$B$21*$AV444+Constants!$B$22*IF($AW444,$AX444,Constants!$B$23),Constants!$B$24))</f>
        <v/>
      </c>
      <c r="BP444" s="138" t="str">
        <f aca="false">IF($BZ444&lt;&gt;Constants!$B$8,"",Constants!$B$25*ABS($AD$9-IF($AT444,$AU444,0)))</f>
        <v/>
      </c>
      <c r="BQ444" s="138" t="str">
        <f aca="false">IF($BZ444&lt;&gt;Constants!$B$8,"",IF(AND($AT444,$AY444,$AW444),Constants!$B$27,0))</f>
        <v/>
      </c>
      <c r="BR444" s="138" t="str">
        <f aca="false">IF($BZ444&lt;&gt;Constants!$B$8,"",IF($AT444,($AI444-Constants!$B$29)*Constants!$B$28,0))</f>
        <v/>
      </c>
      <c r="BS444" s="138" t="str">
        <f aca="false">IF($BZ444&lt;&gt;Constants!$B$8,"",IF($AS444,0,Constants!$B$15)+IF($AR444,0,Constants!$B$16)+IF($AH444,0,Constants!$B$17))</f>
        <v/>
      </c>
      <c r="BT444" s="139" t="str">
        <f aca="false">IF($BZ444&lt;&gt;Constants!$B$8,"",Constants!$B$20+SUM($BO444:$BS444))</f>
        <v/>
      </c>
      <c r="BU444" s="138" t="str">
        <f aca="false">IF($BZ444&lt;&gt;Constants!$B$8,"",$BO444)</f>
        <v/>
      </c>
      <c r="BV444" s="138" t="str">
        <f aca="false">IF($BZ444&lt;&gt;Constants!$B$8,"",$BP444)</f>
        <v/>
      </c>
      <c r="BW444" s="138" t="str">
        <f aca="false">IF($BZ444&lt;&gt;Constants!$B$8,"",IF($AT444,$AV444,""))</f>
        <v/>
      </c>
      <c r="BX444" s="140" t="str">
        <f aca="false">IF($BZ444&lt;&gt;Constants!$B$8,"",$AI444)</f>
        <v/>
      </c>
      <c r="BY444" s="135" t="str">
        <f aca="false">IF(ISBLANK($C444),"",IF(ISBLANK($D$7),$BY$5,IF(NOT(ISNUMBER($D$7)),$BY$6,"")))</f>
        <v/>
      </c>
      <c r="BZ444" s="135" t="str">
        <f aca="false">IF(ISBLANK($C444),"",IF($BA444,Constants!$B$11,IF(COUNTA($E444:$AA444)=0,Constants!$B$10,IF(NOT($AG444),Constants!$B$9,IF(OR($BY444&lt;&gt;"",$BB444,$BN444),Constants!$B$12,Constants!$B$8)))))</f>
        <v/>
      </c>
      <c r="CA444" s="135" t="str">
        <f aca="false">IF(ISBLANK($C444),"",IF($BZ444&lt;&gt;Constants!$B$8,$BZ444,Constants!$B$13))</f>
        <v/>
      </c>
      <c r="CB444" s="138" t="str">
        <f aca="false">IF($BZ444&lt;&gt;Constants!$B$8,"",IF($BM444="-&gt;",$BT444,$BH444))</f>
        <v/>
      </c>
      <c r="CC444" s="138" t="str">
        <f aca="false">IF($BZ444&lt;&gt;Constants!$B$8,"",IF($AF444,0,Constants!$B$18))</f>
        <v/>
      </c>
      <c r="CD444" s="138" t="str">
        <f aca="false">IF($BZ444&lt;&gt;Constants!$B$8,"",((Constants!$B$31-$AZ444)-Constants!$B$31)/Constants!$B$32)</f>
        <v/>
      </c>
      <c r="CE444" s="138" t="str">
        <f aca="false">IF(ISBLANK($C444),"",IF($BZ444&lt;&gt;Constants!$B$8,$BZ444,SUM($CB444:$CD444)))</f>
        <v/>
      </c>
      <c r="CF444" s="135" t="str">
        <f aca="false">IF(ISBLANK($C444),"",IF($BZ444&lt;&gt;Constants!$B$8,$BZ444,RANK($CE444,$CE$9:$CE$508,1)))</f>
        <v/>
      </c>
      <c r="CG444" s="138" t="str">
        <f aca="false">IF($BZ444&lt;&gt;Constants!$B$8,"",IF($BM444="-&gt;",$BU444,$BI444))</f>
        <v/>
      </c>
      <c r="CH444" s="135" t="str">
        <f aca="false">IF(ISBLANK($C444),"",IF($BZ444&lt;&gt;Constants!$B$8,$BZ444,IF(ISNUMBER($CG444),RANK($CG444,$CG$9:$CG$508,1),COUNT($CG$9:$CG$508)+1)))</f>
        <v/>
      </c>
      <c r="CI444" s="138" t="str">
        <f aca="false">IF($BZ444&lt;&gt;Constants!$B$8,"",IF($BM444="-&gt;",$BV444,$BJ444))</f>
        <v/>
      </c>
      <c r="CJ444" s="135" t="str">
        <f aca="false">IF(ISBLANK($C444),"",IF($BZ444&lt;&gt;Constants!$B$8,$BZ444,IF(ISNUMBER($CI444),RANK($CI444,$CI$9:$CI$508,1),COUNT($CI$9:$CI$508)+1)))</f>
        <v/>
      </c>
      <c r="CK444" s="138" t="str">
        <f aca="false">IF($BZ444&lt;&gt;Constants!$B$8,"",IF($BM444="-&gt;",$BW444,$BK444))</f>
        <v/>
      </c>
      <c r="CL444" s="135" t="str">
        <f aca="false">IF(ISBLANK($C444),"",IF($BZ444&lt;&gt;Constants!$B$8,$BZ444,IF(ISNUMBER($CK444),RANK($CK444,$CK$9:$CK$508,1),COUNT($CK$9:$CK$508)+1)))</f>
        <v/>
      </c>
      <c r="CM444" s="138" t="str">
        <f aca="false">IF($BZ444&lt;&gt;Constants!$B$8,"",IF(AND(NOT($AL444),NOT($AT444),$AJ444,$AK444,$AR444,$AS444),"",IF($BM444="-&gt;",$BX444,$BL444)))</f>
        <v/>
      </c>
      <c r="CN444" s="135" t="str">
        <f aca="false">IF(ISBLANK($C444),"",IF($BZ444&lt;&gt;Constants!$B$8,$BZ444,IF(ISNUMBER($CM444),RANK($CM444,$CM$9:$CM$508,1),COUNT($CM$9:$CM$508)+1)))</f>
        <v/>
      </c>
      <c r="CO444" s="135" t="str">
        <f aca="false">IF(ISBLANK($C444),"",IF($BZ444&lt;&gt;Constants!$B$8,$BZ444,COUNTIFS($CF$9:$CF$508,"&lt;"&amp;$CF444)+COUNTIFS($CF$9:$CF$508,$CF444,$CH$9:$CH$508,"&lt;"&amp;$CH444)+COUNTIFS($CF$9:$CF$508,$CF444,$CH$9:$CH$508,$CH444,$CJ$9:$CJ$508,"&lt;"&amp;$CJ444)+COUNTIFS($CF$9:$CF$508,$CF444,$CH$9:$CH$508,$CH444,$CJ$9:$CJ$508,$CJ444,$CL$9:$CL$508,"&lt;"&amp;$CL444)+COUNTIFS($CF$9:$CF$508,$CF444,$CH$9:$CH$508,$CH444,$CJ$9:$CJ$508,$CJ444,$CL$9:$CL$508,$CL444,$CN$9:$CN$508,"&lt;"&amp;$CN444)+1))</f>
        <v/>
      </c>
      <c r="CP444" s="135" t="str">
        <f aca="false">IF(ISBLANK($C444),"",IF($BZ444&lt;&gt;Constants!$B$8,$BZ444,$CF444-$CO444))</f>
        <v/>
      </c>
      <c r="CQ444" s="141"/>
      <c r="CR444" s="142"/>
      <c r="CS444" s="143" t="str">
        <f aca="false">IF(ISBLANK($C444),"",IF($BZ444=Constants!$B$12,$BY444,""))</f>
        <v/>
      </c>
      <c r="CT444" s="142" t="str">
        <f aca="false">IF(ISBLANK($C444),"",IF($BZ444&lt;&gt;Constants!$B$8,"",IF($BM444="-&gt;",2,1)))</f>
        <v/>
      </c>
      <c r="CU444" s="144" t="str">
        <f aca="false">IF(ISBLANK($C444),"",IF($BZ444&lt;&gt;Constants!$B$8,"",IF($BM444="-&gt;",$BO444,$BC444)))</f>
        <v/>
      </c>
      <c r="CV444" s="144" t="str">
        <f aca="false">IF(ISBLANK($C444),"",IF($BZ444&lt;&gt;Constants!$B$8,"",IF($BM444="-&gt;",$BP444,$BD444)))</f>
        <v/>
      </c>
      <c r="CW444" s="144" t="str">
        <f aca="false">IF(ISBLANK($C444),"",IF($BZ444&lt;&gt;Constants!$B$8,"",IF($BM444="-&gt;",$BQ444+$BR444,$BE444+$BF444)+$CD444))</f>
        <v/>
      </c>
      <c r="CX444" s="144" t="str">
        <f aca="false">IF(ISBLANK($C444),"",IF($BZ444&lt;&gt;Constants!$B$8,"",IF($BM444="-&gt;",$BS444,$BG444)+$CC444))</f>
        <v/>
      </c>
      <c r="CY444" s="145" t="str">
        <f aca="false">IF(ISBLANK($C444),"",IF($BZ444&lt;&gt;Constants!$B$8,$BZ444,$CE444))</f>
        <v/>
      </c>
      <c r="CZ444" s="146" t="str">
        <f aca="false">IF(ISBLANK($C444),"",$CA444)</f>
        <v/>
      </c>
      <c r="DA444" s="147" t="str">
        <f aca="false">IF(ISBLANK($C444),"",$CP444)</f>
        <v/>
      </c>
      <c r="DB444" s="147" t="str">
        <f aca="false">IF(ISBLANK($C444),"",$CO444)</f>
        <v/>
      </c>
      <c r="DC444" s="148" t="str">
        <f aca="false">IF(ISBLANK($C444),"",IFERROR(_xlfn.SWITCH($DB444,Constants!$B$11,COUNTA($C$9:$C$508)+2,Constants!$B$10,COUNTA($C$9:$C$508)+1,Constants!$B$9,COUNTA($C$9:$C$508)),$DB444))</f>
        <v/>
      </c>
      <c r="DD444" s="9"/>
      <c r="DE444" s="149" t="n">
        <f aca="false">IF(OR(ISNUMBER($DB444),$DB444=Constants!$B$11,$DB444=Constants!$B$9,$DB444=Constants!$B$10),1,0)</f>
        <v>0</v>
      </c>
      <c r="DF444" s="149" t="n">
        <v>436</v>
      </c>
      <c r="DG444" s="149" t="str">
        <f aca="false">IF(ISBLANK($C444),"",IF(ISNUMBER($DC444),$DC444+ROW($B444)/1000,""))</f>
        <v/>
      </c>
      <c r="DH444" s="149" t="str">
        <f aca="false">IF(ISNUMBER($DG444),RANK($DG444,$DG$9:$DG$508,1),"")</f>
        <v/>
      </c>
      <c r="DI444" s="149" t="str">
        <f aca="false">IF(ISBLANK($C444),"",$B444)</f>
        <v/>
      </c>
      <c r="DJ444" s="149" t="str">
        <f aca="false">IF(ISBLANK($C444),"",$C444)</f>
        <v/>
      </c>
      <c r="DK444" s="149" t="str">
        <f aca="false">IF(ISBLANK($C444),"",$D444)</f>
        <v/>
      </c>
      <c r="DL444" s="150" t="str">
        <f aca="false">$CZ444</f>
        <v/>
      </c>
      <c r="DM444" s="151" t="str">
        <f aca="false">$CY444</f>
        <v/>
      </c>
      <c r="DN444" s="149" t="str">
        <f aca="false">IF(ISBLANK($C444),"",$DB444)</f>
        <v/>
      </c>
      <c r="DO444" s="152" t="str">
        <f aca="false">IF($DF444&gt;$DE$8,"",VLOOKUP($DF444,$DH$9:$DN$508,7,FALSE()))</f>
        <v/>
      </c>
      <c r="DP444" s="153" t="str">
        <f aca="false">IF($DF444&gt;$DE$8,"",VLOOKUP($DF444,$DH$9:$DN$508,2,FALSE()))</f>
        <v/>
      </c>
      <c r="DQ444" s="153" t="str">
        <f aca="false">IF($DF444&gt;$DE$8,"",VLOOKUP($DF444,$DH$9:$DN$508,3,FALSE()))</f>
        <v/>
      </c>
      <c r="DR444" s="153" t="str">
        <f aca="false">IF($DF444&gt;$DE$8,"",VLOOKUP($DF444,$DH$9:$DN$508,4,FALSE()))</f>
        <v/>
      </c>
      <c r="DS444" s="153" t="str">
        <f aca="false">IF($DF444&gt;$DE$8,"",VLOOKUP($DF444,$DH$9:$DN$508,5,FALSE()))</f>
        <v/>
      </c>
      <c r="DT444" s="154" t="str">
        <f aca="false">IF($DF444&gt;$DE$8,"",VLOOKUP($DF444,$DH$9:$DN$508,6,FALSE()))</f>
        <v/>
      </c>
      <c r="DU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IF(ISBLANK($C445),"",IF(E445=Constants!$B$3,TRUE(),IF(E445=Constants!$B$4,FALSE(),TRUE())))</f>
        <v/>
      </c>
      <c r="AG445" s="135" t="str">
        <f aca="false">IF(ISBLANK($C445),"",IF(F445=Constants!$B$3,TRUE(),IF(F445=Constants!$B$4,FALSE(),TRUE())))</f>
        <v/>
      </c>
      <c r="AH445" s="135" t="str">
        <f aca="false">IF(ISBLANK($C445),"",IF(G445=Constants!$B$3,TRUE(),IF(G445=Constants!$B$4,FALSE(),TRUE())))</f>
        <v/>
      </c>
      <c r="AI445" s="135" t="str">
        <f aca="false">IF(ISBLANK($C445),"",IF(AND(ISNUMBER(H445),H445&gt;=0),H445,Constants!$B$29))</f>
        <v/>
      </c>
      <c r="AJ445" s="135" t="str">
        <f aca="false">IF(ISBLANK($C445),"",IF(I445=Constants!$B$3,TRUE(),IF(I445=Constants!$B$4,FALSE(),TRUE())))</f>
        <v/>
      </c>
      <c r="AK445" s="135" t="str">
        <f aca="false">IF(ISBLANK($C445),"",IF(J445=Constants!$B$3,TRUE(),IF(J445=Constants!$B$4,FALSE(),TRUE())))</f>
        <v/>
      </c>
      <c r="AL445" s="135" t="str">
        <f aca="false">IF(ISBLANK($C445),"",IF(K445=Constants!$B$5,TRUE(),IF(K445=Constants!$B$6,FALSE(),COUNTA(L445:P445)&gt;0)))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IF(ISBLANK($C445),"",IF(N445=Constants!$B$3,TRUE(),IF(N445=Constants!$B$4,FALSE(),TRUE())))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IF(ISBLANK($C445),"",IF(P445=Constants!$B$3,TRUE(),IF(P445=Constants!$B$4,FALSE(),FALSE())))</f>
        <v/>
      </c>
      <c r="AR445" s="135" t="str">
        <f aca="false">IF(ISBLANK($C445),"",IF(Q445=Constants!$B$3,TRUE(),IF(Q445=Constants!$B$4,FALSE(),TRUE())))</f>
        <v/>
      </c>
      <c r="AS445" s="135" t="str">
        <f aca="false">IF(ISBLANK($C445),"",IF(R445=Constants!$B$3,TRUE(),IF(R445=Constants!$B$4,FALSE(),TRUE())))</f>
        <v/>
      </c>
      <c r="AT445" s="135" t="str">
        <f aca="false">IF(ISBLANK($C445),"",IF(S445=Constants!$B$5,TRUE(),IF(S445=Constants!$B$6,FALSE(),COUNTA(T445:X445)&gt;0)))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IF(ISBLANK($C445),"",IF(V445=Constants!$B$3,TRUE(),IF(V445=Constants!$B$4,FALSE(),TRUE())))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IF(ISBLANK($C445),"",IF(X445=Constants!$B$3,TRUE(),IF(X445=Constants!$B$4,FALSE(),FALSE())))</f>
        <v/>
      </c>
      <c r="AZ445" s="135" t="str">
        <f aca="false">IF(ISBLANK($C445),"",MIN(Constants!$B$31,MAX(0,IF(ISNUMBER(Y445),Y445*60,0)+IF(ISNUMBER(Z445),Z445,0))))</f>
        <v/>
      </c>
      <c r="BA445" s="135" t="str">
        <f aca="false">IF(ISBLANK($C445),"",IF(AA445=Constants!$B$3,TRUE(),IF(AA445=Constants!$B$4,FALSE(),FALSE())))</f>
        <v/>
      </c>
      <c r="BB445" s="134" t="str">
        <f aca="false">IF(ISBLANK($C445),"",AND($AL445,OR($AM445="",$AN445="",AND($AO445,$AP445=""))))</f>
        <v/>
      </c>
      <c r="BC445" s="137" t="str">
        <f aca="false">IF($BZ445&lt;&gt;Constants!$B$8,"",IF($AL445,Constants!$B$21*$AN445+Constants!$B$22*IF($AO445,$AP445,Constants!$B$23),Constants!$B$24))</f>
        <v/>
      </c>
      <c r="BD445" s="138" t="str">
        <f aca="false">IF($BZ445&lt;&gt;Constants!$B$8,"",Constants!$B$25*ABS($AD$9-IF($AL445,$AM445,0)))</f>
        <v/>
      </c>
      <c r="BE445" s="138" t="str">
        <f aca="false">IF($BZ445&lt;&gt;Constants!$B$8,"",IF(AND($AL445,$AQ445,$AO445),Constants!$B$27,0))</f>
        <v/>
      </c>
      <c r="BF445" s="138" t="str">
        <f aca="false">IF($BZ445&lt;&gt;Constants!$B$8,"",IF($AL445,($AI445-Constants!$B$29)*Constants!$B$28,0))</f>
        <v/>
      </c>
      <c r="BG445" s="138" t="str">
        <f aca="false">IF($BZ445&lt;&gt;Constants!$B$8,"",IF($AK445,0,Constants!$B$15)+IF($AJ445,0,Constants!$B$16)+IF($AH445,0,Constants!$B$17))</f>
        <v/>
      </c>
      <c r="BH445" s="139" t="str">
        <f aca="false">IF($BZ445&lt;&gt;Constants!$B$8,"",Constants!$B$20+SUM($BC445:$BG445))</f>
        <v/>
      </c>
      <c r="BI445" s="138" t="str">
        <f aca="false">IF($BZ445&lt;&gt;Constants!$B$8,"",$BC445)</f>
        <v/>
      </c>
      <c r="BJ445" s="138" t="str">
        <f aca="false">IF($BZ445&lt;&gt;Constants!$B$8,"",$BD445)</f>
        <v/>
      </c>
      <c r="BK445" s="138" t="str">
        <f aca="false">IF($BZ445&lt;&gt;Constants!$B$8,"",IF($AL445,$AN445,""))</f>
        <v/>
      </c>
      <c r="BL445" s="140" t="str">
        <f aca="false">IF($BZ445&lt;&gt;Constants!$B$8,"",$AI445)</f>
        <v/>
      </c>
      <c r="BM445" s="135" t="str">
        <f aca="false">IF($BZ445&lt;&gt;Constants!$B$8,"",IF(OR($BT445&lt;$BH445,AND($BT445=$BH445,OR($BU445&lt;$BI445,AND($BU445=$BI445,OR($BV445&lt;$BJ445,AND($BV445=$BJ445,OR(AND(ISNUMBER($BW445),OR(NOT(ISNUMBER($BK445)),$BW445&lt;$BK445)),AND(OR(AND($BW445="",$BK445=""),AND(ISNUMBER($BW445),ISNUMBER($BK445),$BW445=$BK445)),$BX445&lt;$BL445)))))))),"-&gt;","&lt;-"))</f>
        <v/>
      </c>
      <c r="BN445" s="134" t="str">
        <f aca="false">IF(ISBLANK($C445),"",AND($AT445,OR($AU445="",$AV445="",AND($AW445,$AX445=""))))</f>
        <v/>
      </c>
      <c r="BO445" s="137" t="str">
        <f aca="false">IF($BZ445&lt;&gt;Constants!$B$8,"",IF($AT445,Constants!$B$21*$AV445+Constants!$B$22*IF($AW445,$AX445,Constants!$B$23),Constants!$B$24))</f>
        <v/>
      </c>
      <c r="BP445" s="138" t="str">
        <f aca="false">IF($BZ445&lt;&gt;Constants!$B$8,"",Constants!$B$25*ABS($AD$9-IF($AT445,$AU445,0)))</f>
        <v/>
      </c>
      <c r="BQ445" s="138" t="str">
        <f aca="false">IF($BZ445&lt;&gt;Constants!$B$8,"",IF(AND($AT445,$AY445,$AW445),Constants!$B$27,0))</f>
        <v/>
      </c>
      <c r="BR445" s="138" t="str">
        <f aca="false">IF($BZ445&lt;&gt;Constants!$B$8,"",IF($AT445,($AI445-Constants!$B$29)*Constants!$B$28,0))</f>
        <v/>
      </c>
      <c r="BS445" s="138" t="str">
        <f aca="false">IF($BZ445&lt;&gt;Constants!$B$8,"",IF($AS445,0,Constants!$B$15)+IF($AR445,0,Constants!$B$16)+IF($AH445,0,Constants!$B$17))</f>
        <v/>
      </c>
      <c r="BT445" s="139" t="str">
        <f aca="false">IF($BZ445&lt;&gt;Constants!$B$8,"",Constants!$B$20+SUM($BO445:$BS445))</f>
        <v/>
      </c>
      <c r="BU445" s="138" t="str">
        <f aca="false">IF($BZ445&lt;&gt;Constants!$B$8,"",$BO445)</f>
        <v/>
      </c>
      <c r="BV445" s="138" t="str">
        <f aca="false">IF($BZ445&lt;&gt;Constants!$B$8,"",$BP445)</f>
        <v/>
      </c>
      <c r="BW445" s="138" t="str">
        <f aca="false">IF($BZ445&lt;&gt;Constants!$B$8,"",IF($AT445,$AV445,""))</f>
        <v/>
      </c>
      <c r="BX445" s="140" t="str">
        <f aca="false">IF($BZ445&lt;&gt;Constants!$B$8,"",$AI445)</f>
        <v/>
      </c>
      <c r="BY445" s="135" t="str">
        <f aca="false">IF(ISBLANK($C445),"",IF(ISBLANK($D$7),$BY$5,IF(NOT(ISNUMBER($D$7)),$BY$6,"")))</f>
        <v/>
      </c>
      <c r="BZ445" s="135" t="str">
        <f aca="false">IF(ISBLANK($C445),"",IF($BA445,Constants!$B$11,IF(COUNTA($E445:$AA445)=0,Constants!$B$10,IF(NOT($AG445),Constants!$B$9,IF(OR($BY445&lt;&gt;"",$BB445,$BN445),Constants!$B$12,Constants!$B$8)))))</f>
        <v/>
      </c>
      <c r="CA445" s="135" t="str">
        <f aca="false">IF(ISBLANK($C445),"",IF($BZ445&lt;&gt;Constants!$B$8,$BZ445,Constants!$B$13))</f>
        <v/>
      </c>
      <c r="CB445" s="138" t="str">
        <f aca="false">IF($BZ445&lt;&gt;Constants!$B$8,"",IF($BM445="-&gt;",$BT445,$BH445))</f>
        <v/>
      </c>
      <c r="CC445" s="138" t="str">
        <f aca="false">IF($BZ445&lt;&gt;Constants!$B$8,"",IF($AF445,0,Constants!$B$18))</f>
        <v/>
      </c>
      <c r="CD445" s="138" t="str">
        <f aca="false">IF($BZ445&lt;&gt;Constants!$B$8,"",((Constants!$B$31-$AZ445)-Constants!$B$31)/Constants!$B$32)</f>
        <v/>
      </c>
      <c r="CE445" s="138" t="str">
        <f aca="false">IF(ISBLANK($C445),"",IF($BZ445&lt;&gt;Constants!$B$8,$BZ445,SUM($CB445:$CD445)))</f>
        <v/>
      </c>
      <c r="CF445" s="135" t="str">
        <f aca="false">IF(ISBLANK($C445),"",IF($BZ445&lt;&gt;Constants!$B$8,$BZ445,RANK($CE445,$CE$9:$CE$508,1)))</f>
        <v/>
      </c>
      <c r="CG445" s="138" t="str">
        <f aca="false">IF($BZ445&lt;&gt;Constants!$B$8,"",IF($BM445="-&gt;",$BU445,$BI445))</f>
        <v/>
      </c>
      <c r="CH445" s="135" t="str">
        <f aca="false">IF(ISBLANK($C445),"",IF($BZ445&lt;&gt;Constants!$B$8,$BZ445,IF(ISNUMBER($CG445),RANK($CG445,$CG$9:$CG$508,1),COUNT($CG$9:$CG$508)+1)))</f>
        <v/>
      </c>
      <c r="CI445" s="138" t="str">
        <f aca="false">IF($BZ445&lt;&gt;Constants!$B$8,"",IF($BM445="-&gt;",$BV445,$BJ445))</f>
        <v/>
      </c>
      <c r="CJ445" s="135" t="str">
        <f aca="false">IF(ISBLANK($C445),"",IF($BZ445&lt;&gt;Constants!$B$8,$BZ445,IF(ISNUMBER($CI445),RANK($CI445,$CI$9:$CI$508,1),COUNT($CI$9:$CI$508)+1)))</f>
        <v/>
      </c>
      <c r="CK445" s="138" t="str">
        <f aca="false">IF($BZ445&lt;&gt;Constants!$B$8,"",IF($BM445="-&gt;",$BW445,$BK445))</f>
        <v/>
      </c>
      <c r="CL445" s="135" t="str">
        <f aca="false">IF(ISBLANK($C445),"",IF($BZ445&lt;&gt;Constants!$B$8,$BZ445,IF(ISNUMBER($CK445),RANK($CK445,$CK$9:$CK$508,1),COUNT($CK$9:$CK$508)+1)))</f>
        <v/>
      </c>
      <c r="CM445" s="138" t="str">
        <f aca="false">IF($BZ445&lt;&gt;Constants!$B$8,"",IF(AND(NOT($AL445),NOT($AT445),$AJ445,$AK445,$AR445,$AS445),"",IF($BM445="-&gt;",$BX445,$BL445)))</f>
        <v/>
      </c>
      <c r="CN445" s="135" t="str">
        <f aca="false">IF(ISBLANK($C445),"",IF($BZ445&lt;&gt;Constants!$B$8,$BZ445,IF(ISNUMBER($CM445),RANK($CM445,$CM$9:$CM$508,1),COUNT($CM$9:$CM$508)+1)))</f>
        <v/>
      </c>
      <c r="CO445" s="135" t="str">
        <f aca="false">IF(ISBLANK($C445),"",IF($BZ445&lt;&gt;Constants!$B$8,$BZ445,COUNTIFS($CF$9:$CF$508,"&lt;"&amp;$CF445)+COUNTIFS($CF$9:$CF$508,$CF445,$CH$9:$CH$508,"&lt;"&amp;$CH445)+COUNTIFS($CF$9:$CF$508,$CF445,$CH$9:$CH$508,$CH445,$CJ$9:$CJ$508,"&lt;"&amp;$CJ445)+COUNTIFS($CF$9:$CF$508,$CF445,$CH$9:$CH$508,$CH445,$CJ$9:$CJ$508,$CJ445,$CL$9:$CL$508,"&lt;"&amp;$CL445)+COUNTIFS($CF$9:$CF$508,$CF445,$CH$9:$CH$508,$CH445,$CJ$9:$CJ$508,$CJ445,$CL$9:$CL$508,$CL445,$CN$9:$CN$508,"&lt;"&amp;$CN445)+1))</f>
        <v/>
      </c>
      <c r="CP445" s="135" t="str">
        <f aca="false">IF(ISBLANK($C445),"",IF($BZ445&lt;&gt;Constants!$B$8,$BZ445,$CF445-$CO445))</f>
        <v/>
      </c>
      <c r="CQ445" s="141"/>
      <c r="CR445" s="142"/>
      <c r="CS445" s="143" t="str">
        <f aca="false">IF(ISBLANK($C445),"",IF($BZ445=Constants!$B$12,$BY445,""))</f>
        <v/>
      </c>
      <c r="CT445" s="142" t="str">
        <f aca="false">IF(ISBLANK($C445),"",IF($BZ445&lt;&gt;Constants!$B$8,"",IF($BM445="-&gt;",2,1)))</f>
        <v/>
      </c>
      <c r="CU445" s="144" t="str">
        <f aca="false">IF(ISBLANK($C445),"",IF($BZ445&lt;&gt;Constants!$B$8,"",IF($BM445="-&gt;",$BO445,$BC445)))</f>
        <v/>
      </c>
      <c r="CV445" s="144" t="str">
        <f aca="false">IF(ISBLANK($C445),"",IF($BZ445&lt;&gt;Constants!$B$8,"",IF($BM445="-&gt;",$BP445,$BD445)))</f>
        <v/>
      </c>
      <c r="CW445" s="144" t="str">
        <f aca="false">IF(ISBLANK($C445),"",IF($BZ445&lt;&gt;Constants!$B$8,"",IF($BM445="-&gt;",$BQ445+$BR445,$BE445+$BF445)+$CD445))</f>
        <v/>
      </c>
      <c r="CX445" s="144" t="str">
        <f aca="false">IF(ISBLANK($C445),"",IF($BZ445&lt;&gt;Constants!$B$8,"",IF($BM445="-&gt;",$BS445,$BG445)+$CC445))</f>
        <v/>
      </c>
      <c r="CY445" s="145" t="str">
        <f aca="false">IF(ISBLANK($C445),"",IF($BZ445&lt;&gt;Constants!$B$8,$BZ445,$CE445))</f>
        <v/>
      </c>
      <c r="CZ445" s="146" t="str">
        <f aca="false">IF(ISBLANK($C445),"",$CA445)</f>
        <v/>
      </c>
      <c r="DA445" s="147" t="str">
        <f aca="false">IF(ISBLANK($C445),"",$CP445)</f>
        <v/>
      </c>
      <c r="DB445" s="147" t="str">
        <f aca="false">IF(ISBLANK($C445),"",$CO445)</f>
        <v/>
      </c>
      <c r="DC445" s="148" t="str">
        <f aca="false">IF(ISBLANK($C445),"",IFERROR(_xlfn.SWITCH($DB445,Constants!$B$11,COUNTA($C$9:$C$508)+2,Constants!$B$10,COUNTA($C$9:$C$508)+1,Constants!$B$9,COUNTA($C$9:$C$508)),$DB445))</f>
        <v/>
      </c>
      <c r="DD445" s="9"/>
      <c r="DE445" s="149" t="n">
        <f aca="false">IF(OR(ISNUMBER($DB445),$DB445=Constants!$B$11,$DB445=Constants!$B$9,$DB445=Constants!$B$10),1,0)</f>
        <v>0</v>
      </c>
      <c r="DF445" s="149" t="n">
        <v>437</v>
      </c>
      <c r="DG445" s="149" t="str">
        <f aca="false">IF(ISBLANK($C445),"",IF(ISNUMBER($DC445),$DC445+ROW($B445)/1000,""))</f>
        <v/>
      </c>
      <c r="DH445" s="149" t="str">
        <f aca="false">IF(ISNUMBER($DG445),RANK($DG445,$DG$9:$DG$508,1),"")</f>
        <v/>
      </c>
      <c r="DI445" s="149" t="str">
        <f aca="false">IF(ISBLANK($C445),"",$B445)</f>
        <v/>
      </c>
      <c r="DJ445" s="149" t="str">
        <f aca="false">IF(ISBLANK($C445),"",$C445)</f>
        <v/>
      </c>
      <c r="DK445" s="149" t="str">
        <f aca="false">IF(ISBLANK($C445),"",$D445)</f>
        <v/>
      </c>
      <c r="DL445" s="150" t="str">
        <f aca="false">$CZ445</f>
        <v/>
      </c>
      <c r="DM445" s="151" t="str">
        <f aca="false">$CY445</f>
        <v/>
      </c>
      <c r="DN445" s="149" t="str">
        <f aca="false">IF(ISBLANK($C445),"",$DB445)</f>
        <v/>
      </c>
      <c r="DO445" s="152" t="str">
        <f aca="false">IF($DF445&gt;$DE$8,"",VLOOKUP($DF445,$DH$9:$DN$508,7,FALSE()))</f>
        <v/>
      </c>
      <c r="DP445" s="153" t="str">
        <f aca="false">IF($DF445&gt;$DE$8,"",VLOOKUP($DF445,$DH$9:$DN$508,2,FALSE()))</f>
        <v/>
      </c>
      <c r="DQ445" s="153" t="str">
        <f aca="false">IF($DF445&gt;$DE$8,"",VLOOKUP($DF445,$DH$9:$DN$508,3,FALSE()))</f>
        <v/>
      </c>
      <c r="DR445" s="153" t="str">
        <f aca="false">IF($DF445&gt;$DE$8,"",VLOOKUP($DF445,$DH$9:$DN$508,4,FALSE()))</f>
        <v/>
      </c>
      <c r="DS445" s="153" t="str">
        <f aca="false">IF($DF445&gt;$DE$8,"",VLOOKUP($DF445,$DH$9:$DN$508,5,FALSE()))</f>
        <v/>
      </c>
      <c r="DT445" s="154" t="str">
        <f aca="false">IF($DF445&gt;$DE$8,"",VLOOKUP($DF445,$DH$9:$DN$508,6,FALSE()))</f>
        <v/>
      </c>
      <c r="DU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IF(ISBLANK($C446),"",IF(E446=Constants!$B$3,TRUE(),IF(E446=Constants!$B$4,FALSE(),TRUE())))</f>
        <v/>
      </c>
      <c r="AG446" s="135" t="str">
        <f aca="false">IF(ISBLANK($C446),"",IF(F446=Constants!$B$3,TRUE(),IF(F446=Constants!$B$4,FALSE(),TRUE())))</f>
        <v/>
      </c>
      <c r="AH446" s="135" t="str">
        <f aca="false">IF(ISBLANK($C446),"",IF(G446=Constants!$B$3,TRUE(),IF(G446=Constants!$B$4,FALSE(),TRUE())))</f>
        <v/>
      </c>
      <c r="AI446" s="135" t="str">
        <f aca="false">IF(ISBLANK($C446),"",IF(AND(ISNUMBER(H446),H446&gt;=0),H446,Constants!$B$29))</f>
        <v/>
      </c>
      <c r="AJ446" s="135" t="str">
        <f aca="false">IF(ISBLANK($C446),"",IF(I446=Constants!$B$3,TRUE(),IF(I446=Constants!$B$4,FALSE(),TRUE())))</f>
        <v/>
      </c>
      <c r="AK446" s="135" t="str">
        <f aca="false">IF(ISBLANK($C446),"",IF(J446=Constants!$B$3,TRUE(),IF(J446=Constants!$B$4,FALSE(),TRUE())))</f>
        <v/>
      </c>
      <c r="AL446" s="135" t="str">
        <f aca="false">IF(ISBLANK($C446),"",IF(K446=Constants!$B$5,TRUE(),IF(K446=Constants!$B$6,FALSE(),COUNTA(L446:P446)&gt;0)))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IF(ISBLANK($C446),"",IF(N446=Constants!$B$3,TRUE(),IF(N446=Constants!$B$4,FALSE(),TRUE())))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IF(ISBLANK($C446),"",IF(P446=Constants!$B$3,TRUE(),IF(P446=Constants!$B$4,FALSE(),FALSE())))</f>
        <v/>
      </c>
      <c r="AR446" s="135" t="str">
        <f aca="false">IF(ISBLANK($C446),"",IF(Q446=Constants!$B$3,TRUE(),IF(Q446=Constants!$B$4,FALSE(),TRUE())))</f>
        <v/>
      </c>
      <c r="AS446" s="135" t="str">
        <f aca="false">IF(ISBLANK($C446),"",IF(R446=Constants!$B$3,TRUE(),IF(R446=Constants!$B$4,FALSE(),TRUE())))</f>
        <v/>
      </c>
      <c r="AT446" s="135" t="str">
        <f aca="false">IF(ISBLANK($C446),"",IF(S446=Constants!$B$5,TRUE(),IF(S446=Constants!$B$6,FALSE(),COUNTA(T446:X446)&gt;0)))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IF(ISBLANK($C446),"",IF(V446=Constants!$B$3,TRUE(),IF(V446=Constants!$B$4,FALSE(),TRUE())))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IF(ISBLANK($C446),"",IF(X446=Constants!$B$3,TRUE(),IF(X446=Constants!$B$4,FALSE(),FALSE())))</f>
        <v/>
      </c>
      <c r="AZ446" s="135" t="str">
        <f aca="false">IF(ISBLANK($C446),"",MIN(Constants!$B$31,MAX(0,IF(ISNUMBER(Y446),Y446*60,0)+IF(ISNUMBER(Z446),Z446,0))))</f>
        <v/>
      </c>
      <c r="BA446" s="135" t="str">
        <f aca="false">IF(ISBLANK($C446),"",IF(AA446=Constants!$B$3,TRUE(),IF(AA446=Constants!$B$4,FALSE(),FALSE())))</f>
        <v/>
      </c>
      <c r="BB446" s="134" t="str">
        <f aca="false">IF(ISBLANK($C446),"",AND($AL446,OR($AM446="",$AN446="",AND($AO446,$AP446=""))))</f>
        <v/>
      </c>
      <c r="BC446" s="137" t="str">
        <f aca="false">IF($BZ446&lt;&gt;Constants!$B$8,"",IF($AL446,Constants!$B$21*$AN446+Constants!$B$22*IF($AO446,$AP446,Constants!$B$23),Constants!$B$24))</f>
        <v/>
      </c>
      <c r="BD446" s="138" t="str">
        <f aca="false">IF($BZ446&lt;&gt;Constants!$B$8,"",Constants!$B$25*ABS($AD$9-IF($AL446,$AM446,0)))</f>
        <v/>
      </c>
      <c r="BE446" s="138" t="str">
        <f aca="false">IF($BZ446&lt;&gt;Constants!$B$8,"",IF(AND($AL446,$AQ446,$AO446),Constants!$B$27,0))</f>
        <v/>
      </c>
      <c r="BF446" s="138" t="str">
        <f aca="false">IF($BZ446&lt;&gt;Constants!$B$8,"",IF($AL446,($AI446-Constants!$B$29)*Constants!$B$28,0))</f>
        <v/>
      </c>
      <c r="BG446" s="138" t="str">
        <f aca="false">IF($BZ446&lt;&gt;Constants!$B$8,"",IF($AK446,0,Constants!$B$15)+IF($AJ446,0,Constants!$B$16)+IF($AH446,0,Constants!$B$17))</f>
        <v/>
      </c>
      <c r="BH446" s="139" t="str">
        <f aca="false">IF($BZ446&lt;&gt;Constants!$B$8,"",Constants!$B$20+SUM($BC446:$BG446))</f>
        <v/>
      </c>
      <c r="BI446" s="138" t="str">
        <f aca="false">IF($BZ446&lt;&gt;Constants!$B$8,"",$BC446)</f>
        <v/>
      </c>
      <c r="BJ446" s="138" t="str">
        <f aca="false">IF($BZ446&lt;&gt;Constants!$B$8,"",$BD446)</f>
        <v/>
      </c>
      <c r="BK446" s="138" t="str">
        <f aca="false">IF($BZ446&lt;&gt;Constants!$B$8,"",IF($AL446,$AN446,""))</f>
        <v/>
      </c>
      <c r="BL446" s="140" t="str">
        <f aca="false">IF($BZ446&lt;&gt;Constants!$B$8,"",$AI446)</f>
        <v/>
      </c>
      <c r="BM446" s="135" t="str">
        <f aca="false">IF($BZ446&lt;&gt;Constants!$B$8,"",IF(OR($BT446&lt;$BH446,AND($BT446=$BH446,OR($BU446&lt;$BI446,AND($BU446=$BI446,OR($BV446&lt;$BJ446,AND($BV446=$BJ446,OR(AND(ISNUMBER($BW446),OR(NOT(ISNUMBER($BK446)),$BW446&lt;$BK446)),AND(OR(AND($BW446="",$BK446=""),AND(ISNUMBER($BW446),ISNUMBER($BK446),$BW446=$BK446)),$BX446&lt;$BL446)))))))),"-&gt;","&lt;-"))</f>
        <v/>
      </c>
      <c r="BN446" s="134" t="str">
        <f aca="false">IF(ISBLANK($C446),"",AND($AT446,OR($AU446="",$AV446="",AND($AW446,$AX446=""))))</f>
        <v/>
      </c>
      <c r="BO446" s="137" t="str">
        <f aca="false">IF($BZ446&lt;&gt;Constants!$B$8,"",IF($AT446,Constants!$B$21*$AV446+Constants!$B$22*IF($AW446,$AX446,Constants!$B$23),Constants!$B$24))</f>
        <v/>
      </c>
      <c r="BP446" s="138" t="str">
        <f aca="false">IF($BZ446&lt;&gt;Constants!$B$8,"",Constants!$B$25*ABS($AD$9-IF($AT446,$AU446,0)))</f>
        <v/>
      </c>
      <c r="BQ446" s="138" t="str">
        <f aca="false">IF($BZ446&lt;&gt;Constants!$B$8,"",IF(AND($AT446,$AY446,$AW446),Constants!$B$27,0))</f>
        <v/>
      </c>
      <c r="BR446" s="138" t="str">
        <f aca="false">IF($BZ446&lt;&gt;Constants!$B$8,"",IF($AT446,($AI446-Constants!$B$29)*Constants!$B$28,0))</f>
        <v/>
      </c>
      <c r="BS446" s="138" t="str">
        <f aca="false">IF($BZ446&lt;&gt;Constants!$B$8,"",IF($AS446,0,Constants!$B$15)+IF($AR446,0,Constants!$B$16)+IF($AH446,0,Constants!$B$17))</f>
        <v/>
      </c>
      <c r="BT446" s="139" t="str">
        <f aca="false">IF($BZ446&lt;&gt;Constants!$B$8,"",Constants!$B$20+SUM($BO446:$BS446))</f>
        <v/>
      </c>
      <c r="BU446" s="138" t="str">
        <f aca="false">IF($BZ446&lt;&gt;Constants!$B$8,"",$BO446)</f>
        <v/>
      </c>
      <c r="BV446" s="138" t="str">
        <f aca="false">IF($BZ446&lt;&gt;Constants!$B$8,"",$BP446)</f>
        <v/>
      </c>
      <c r="BW446" s="138" t="str">
        <f aca="false">IF($BZ446&lt;&gt;Constants!$B$8,"",IF($AT446,$AV446,""))</f>
        <v/>
      </c>
      <c r="BX446" s="140" t="str">
        <f aca="false">IF($BZ446&lt;&gt;Constants!$B$8,"",$AI446)</f>
        <v/>
      </c>
      <c r="BY446" s="135" t="str">
        <f aca="false">IF(ISBLANK($C446),"",IF(ISBLANK($D$7),$BY$5,IF(NOT(ISNUMBER($D$7)),$BY$6,"")))</f>
        <v/>
      </c>
      <c r="BZ446" s="135" t="str">
        <f aca="false">IF(ISBLANK($C446),"",IF($BA446,Constants!$B$11,IF(COUNTA($E446:$AA446)=0,Constants!$B$10,IF(NOT($AG446),Constants!$B$9,IF(OR($BY446&lt;&gt;"",$BB446,$BN446),Constants!$B$12,Constants!$B$8)))))</f>
        <v/>
      </c>
      <c r="CA446" s="135" t="str">
        <f aca="false">IF(ISBLANK($C446),"",IF($BZ446&lt;&gt;Constants!$B$8,$BZ446,Constants!$B$13))</f>
        <v/>
      </c>
      <c r="CB446" s="138" t="str">
        <f aca="false">IF($BZ446&lt;&gt;Constants!$B$8,"",IF($BM446="-&gt;",$BT446,$BH446))</f>
        <v/>
      </c>
      <c r="CC446" s="138" t="str">
        <f aca="false">IF($BZ446&lt;&gt;Constants!$B$8,"",IF($AF446,0,Constants!$B$18))</f>
        <v/>
      </c>
      <c r="CD446" s="138" t="str">
        <f aca="false">IF($BZ446&lt;&gt;Constants!$B$8,"",((Constants!$B$31-$AZ446)-Constants!$B$31)/Constants!$B$32)</f>
        <v/>
      </c>
      <c r="CE446" s="138" t="str">
        <f aca="false">IF(ISBLANK($C446),"",IF($BZ446&lt;&gt;Constants!$B$8,$BZ446,SUM($CB446:$CD446)))</f>
        <v/>
      </c>
      <c r="CF446" s="135" t="str">
        <f aca="false">IF(ISBLANK($C446),"",IF($BZ446&lt;&gt;Constants!$B$8,$BZ446,RANK($CE446,$CE$9:$CE$508,1)))</f>
        <v/>
      </c>
      <c r="CG446" s="138" t="str">
        <f aca="false">IF($BZ446&lt;&gt;Constants!$B$8,"",IF($BM446="-&gt;",$BU446,$BI446))</f>
        <v/>
      </c>
      <c r="CH446" s="135" t="str">
        <f aca="false">IF(ISBLANK($C446),"",IF($BZ446&lt;&gt;Constants!$B$8,$BZ446,IF(ISNUMBER($CG446),RANK($CG446,$CG$9:$CG$508,1),COUNT($CG$9:$CG$508)+1)))</f>
        <v/>
      </c>
      <c r="CI446" s="138" t="str">
        <f aca="false">IF($BZ446&lt;&gt;Constants!$B$8,"",IF($BM446="-&gt;",$BV446,$BJ446))</f>
        <v/>
      </c>
      <c r="CJ446" s="135" t="str">
        <f aca="false">IF(ISBLANK($C446),"",IF($BZ446&lt;&gt;Constants!$B$8,$BZ446,IF(ISNUMBER($CI446),RANK($CI446,$CI$9:$CI$508,1),COUNT($CI$9:$CI$508)+1)))</f>
        <v/>
      </c>
      <c r="CK446" s="138" t="str">
        <f aca="false">IF($BZ446&lt;&gt;Constants!$B$8,"",IF($BM446="-&gt;",$BW446,$BK446))</f>
        <v/>
      </c>
      <c r="CL446" s="135" t="str">
        <f aca="false">IF(ISBLANK($C446),"",IF($BZ446&lt;&gt;Constants!$B$8,$BZ446,IF(ISNUMBER($CK446),RANK($CK446,$CK$9:$CK$508,1),COUNT($CK$9:$CK$508)+1)))</f>
        <v/>
      </c>
      <c r="CM446" s="138" t="str">
        <f aca="false">IF($BZ446&lt;&gt;Constants!$B$8,"",IF(AND(NOT($AL446),NOT($AT446),$AJ446,$AK446,$AR446,$AS446),"",IF($BM446="-&gt;",$BX446,$BL446)))</f>
        <v/>
      </c>
      <c r="CN446" s="135" t="str">
        <f aca="false">IF(ISBLANK($C446),"",IF($BZ446&lt;&gt;Constants!$B$8,$BZ446,IF(ISNUMBER($CM446),RANK($CM446,$CM$9:$CM$508,1),COUNT($CM$9:$CM$508)+1)))</f>
        <v/>
      </c>
      <c r="CO446" s="135" t="str">
        <f aca="false">IF(ISBLANK($C446),"",IF($BZ446&lt;&gt;Constants!$B$8,$BZ446,COUNTIFS($CF$9:$CF$508,"&lt;"&amp;$CF446)+COUNTIFS($CF$9:$CF$508,$CF446,$CH$9:$CH$508,"&lt;"&amp;$CH446)+COUNTIFS($CF$9:$CF$508,$CF446,$CH$9:$CH$508,$CH446,$CJ$9:$CJ$508,"&lt;"&amp;$CJ446)+COUNTIFS($CF$9:$CF$508,$CF446,$CH$9:$CH$508,$CH446,$CJ$9:$CJ$508,$CJ446,$CL$9:$CL$508,"&lt;"&amp;$CL446)+COUNTIFS($CF$9:$CF$508,$CF446,$CH$9:$CH$508,$CH446,$CJ$9:$CJ$508,$CJ446,$CL$9:$CL$508,$CL446,$CN$9:$CN$508,"&lt;"&amp;$CN446)+1))</f>
        <v/>
      </c>
      <c r="CP446" s="135" t="str">
        <f aca="false">IF(ISBLANK($C446),"",IF($BZ446&lt;&gt;Constants!$B$8,$BZ446,$CF446-$CO446))</f>
        <v/>
      </c>
      <c r="CQ446" s="141"/>
      <c r="CR446" s="142"/>
      <c r="CS446" s="143" t="str">
        <f aca="false">IF(ISBLANK($C446),"",IF($BZ446=Constants!$B$12,$BY446,""))</f>
        <v/>
      </c>
      <c r="CT446" s="142" t="str">
        <f aca="false">IF(ISBLANK($C446),"",IF($BZ446&lt;&gt;Constants!$B$8,"",IF($BM446="-&gt;",2,1)))</f>
        <v/>
      </c>
      <c r="CU446" s="144" t="str">
        <f aca="false">IF(ISBLANK($C446),"",IF($BZ446&lt;&gt;Constants!$B$8,"",IF($BM446="-&gt;",$BO446,$BC446)))</f>
        <v/>
      </c>
      <c r="CV446" s="144" t="str">
        <f aca="false">IF(ISBLANK($C446),"",IF($BZ446&lt;&gt;Constants!$B$8,"",IF($BM446="-&gt;",$BP446,$BD446)))</f>
        <v/>
      </c>
      <c r="CW446" s="144" t="str">
        <f aca="false">IF(ISBLANK($C446),"",IF($BZ446&lt;&gt;Constants!$B$8,"",IF($BM446="-&gt;",$BQ446+$BR446,$BE446+$BF446)+$CD446))</f>
        <v/>
      </c>
      <c r="CX446" s="144" t="str">
        <f aca="false">IF(ISBLANK($C446),"",IF($BZ446&lt;&gt;Constants!$B$8,"",IF($BM446="-&gt;",$BS446,$BG446)+$CC446))</f>
        <v/>
      </c>
      <c r="CY446" s="145" t="str">
        <f aca="false">IF(ISBLANK($C446),"",IF($BZ446&lt;&gt;Constants!$B$8,$BZ446,$CE446))</f>
        <v/>
      </c>
      <c r="CZ446" s="146" t="str">
        <f aca="false">IF(ISBLANK($C446),"",$CA446)</f>
        <v/>
      </c>
      <c r="DA446" s="147" t="str">
        <f aca="false">IF(ISBLANK($C446),"",$CP446)</f>
        <v/>
      </c>
      <c r="DB446" s="147" t="str">
        <f aca="false">IF(ISBLANK($C446),"",$CO446)</f>
        <v/>
      </c>
      <c r="DC446" s="148" t="str">
        <f aca="false">IF(ISBLANK($C446),"",IFERROR(_xlfn.SWITCH($DB446,Constants!$B$11,COUNTA($C$9:$C$508)+2,Constants!$B$10,COUNTA($C$9:$C$508)+1,Constants!$B$9,COUNTA($C$9:$C$508)),$DB446))</f>
        <v/>
      </c>
      <c r="DD446" s="9"/>
      <c r="DE446" s="149" t="n">
        <f aca="false">IF(OR(ISNUMBER($DB446),$DB446=Constants!$B$11,$DB446=Constants!$B$9,$DB446=Constants!$B$10),1,0)</f>
        <v>0</v>
      </c>
      <c r="DF446" s="149" t="n">
        <v>438</v>
      </c>
      <c r="DG446" s="149" t="str">
        <f aca="false">IF(ISBLANK($C446),"",IF(ISNUMBER($DC446),$DC446+ROW($B446)/1000,""))</f>
        <v/>
      </c>
      <c r="DH446" s="149" t="str">
        <f aca="false">IF(ISNUMBER($DG446),RANK($DG446,$DG$9:$DG$508,1),"")</f>
        <v/>
      </c>
      <c r="DI446" s="149" t="str">
        <f aca="false">IF(ISBLANK($C446),"",$B446)</f>
        <v/>
      </c>
      <c r="DJ446" s="149" t="str">
        <f aca="false">IF(ISBLANK($C446),"",$C446)</f>
        <v/>
      </c>
      <c r="DK446" s="149" t="str">
        <f aca="false">IF(ISBLANK($C446),"",$D446)</f>
        <v/>
      </c>
      <c r="DL446" s="150" t="str">
        <f aca="false">$CZ446</f>
        <v/>
      </c>
      <c r="DM446" s="151" t="str">
        <f aca="false">$CY446</f>
        <v/>
      </c>
      <c r="DN446" s="149" t="str">
        <f aca="false">IF(ISBLANK($C446),"",$DB446)</f>
        <v/>
      </c>
      <c r="DO446" s="152" t="str">
        <f aca="false">IF($DF446&gt;$DE$8,"",VLOOKUP($DF446,$DH$9:$DN$508,7,FALSE()))</f>
        <v/>
      </c>
      <c r="DP446" s="153" t="str">
        <f aca="false">IF($DF446&gt;$DE$8,"",VLOOKUP($DF446,$DH$9:$DN$508,2,FALSE()))</f>
        <v/>
      </c>
      <c r="DQ446" s="153" t="str">
        <f aca="false">IF($DF446&gt;$DE$8,"",VLOOKUP($DF446,$DH$9:$DN$508,3,FALSE()))</f>
        <v/>
      </c>
      <c r="DR446" s="153" t="str">
        <f aca="false">IF($DF446&gt;$DE$8,"",VLOOKUP($DF446,$DH$9:$DN$508,4,FALSE()))</f>
        <v/>
      </c>
      <c r="DS446" s="153" t="str">
        <f aca="false">IF($DF446&gt;$DE$8,"",VLOOKUP($DF446,$DH$9:$DN$508,5,FALSE()))</f>
        <v/>
      </c>
      <c r="DT446" s="154" t="str">
        <f aca="false">IF($DF446&gt;$DE$8,"",VLOOKUP($DF446,$DH$9:$DN$508,6,FALSE()))</f>
        <v/>
      </c>
      <c r="DU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IF(ISBLANK($C447),"",IF(E447=Constants!$B$3,TRUE(),IF(E447=Constants!$B$4,FALSE(),TRUE())))</f>
        <v/>
      </c>
      <c r="AG447" s="93" t="str">
        <f aca="false">IF(ISBLANK($C447),"",IF(F447=Constants!$B$3,TRUE(),IF(F447=Constants!$B$4,FALSE(),TRUE())))</f>
        <v/>
      </c>
      <c r="AH447" s="93" t="str">
        <f aca="false">IF(ISBLANK($C447),"",IF(G447=Constants!$B$3,TRUE(),IF(G447=Constants!$B$4,FALSE(),TRUE())))</f>
        <v/>
      </c>
      <c r="AI447" s="93" t="str">
        <f aca="false">IF(ISBLANK($C447),"",IF(AND(ISNUMBER(H447),H447&gt;=0),H447,Constants!$B$29))</f>
        <v/>
      </c>
      <c r="AJ447" s="93" t="str">
        <f aca="false">IF(ISBLANK($C447),"",IF(I447=Constants!$B$3,TRUE(),IF(I447=Constants!$B$4,FALSE(),TRUE())))</f>
        <v/>
      </c>
      <c r="AK447" s="93" t="str">
        <f aca="false">IF(ISBLANK($C447),"",IF(J447=Constants!$B$3,TRUE(),IF(J447=Constants!$B$4,FALSE(),TRUE())))</f>
        <v/>
      </c>
      <c r="AL447" s="93" t="str">
        <f aca="false">IF(ISBLANK($C447),"",IF(K447=Constants!$B$5,TRUE(),IF(K447=Constants!$B$6,FALSE(),COUNTA(L447:P447)&gt;0)))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IF(ISBLANK($C447),"",IF(N447=Constants!$B$3,TRUE(),IF(N447=Constants!$B$4,FALSE(),TRUE())))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IF(ISBLANK($C447),"",IF(P447=Constants!$B$3,TRUE(),IF(P447=Constants!$B$4,FALSE(),FALSE())))</f>
        <v/>
      </c>
      <c r="AR447" s="93" t="str">
        <f aca="false">IF(ISBLANK($C447),"",IF(Q447=Constants!$B$3,TRUE(),IF(Q447=Constants!$B$4,FALSE(),TRUE())))</f>
        <v/>
      </c>
      <c r="AS447" s="93" t="str">
        <f aca="false">IF(ISBLANK($C447),"",IF(R447=Constants!$B$3,TRUE(),IF(R447=Constants!$B$4,FALSE(),TRUE())))</f>
        <v/>
      </c>
      <c r="AT447" s="93" t="str">
        <f aca="false">IF(ISBLANK($C447),"",IF(S447=Constants!$B$5,TRUE(),IF(S447=Constants!$B$6,FALSE(),COUNTA(T447:X447)&gt;0)))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IF(ISBLANK($C447),"",IF(V447=Constants!$B$3,TRUE(),IF(V447=Constants!$B$4,FALSE(),TRUE())))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IF(ISBLANK($C447),"",IF(X447=Constants!$B$3,TRUE(),IF(X447=Constants!$B$4,FALSE(),FALSE())))</f>
        <v/>
      </c>
      <c r="AZ447" s="93" t="str">
        <f aca="false">IF(ISBLANK($C447),"",MIN(Constants!$B$31,MAX(0,IF(ISNUMBER(Y447),Y447*60,0)+IF(ISNUMBER(Z447),Z447,0))))</f>
        <v/>
      </c>
      <c r="BA447" s="93" t="str">
        <f aca="false">IF(ISBLANK($C447),"",IF(AA447=Constants!$B$3,TRUE(),IF(AA447=Constants!$B$4,FALSE(),FALSE())))</f>
        <v/>
      </c>
      <c r="BB447" s="92" t="str">
        <f aca="false">IF(ISBLANK($C447),"",AND($AL447,OR($AM447="",$AN447="",AND($AO447,$AP447=""))))</f>
        <v/>
      </c>
      <c r="BC447" s="94" t="str">
        <f aca="false">IF($BZ447&lt;&gt;Constants!$B$8,"",IF($AL447,Constants!$B$21*$AN447+Constants!$B$22*IF($AO447,$AP447,Constants!$B$23),Constants!$B$24))</f>
        <v/>
      </c>
      <c r="BD447" s="97" t="str">
        <f aca="false">IF($BZ447&lt;&gt;Constants!$B$8,"",Constants!$B$25*ABS($AD$9-IF($AL447,$AM447,0)))</f>
        <v/>
      </c>
      <c r="BE447" s="97" t="str">
        <f aca="false">IF($BZ447&lt;&gt;Constants!$B$8,"",IF(AND($AL447,$AQ447,$AO447),Constants!$B$27,0))</f>
        <v/>
      </c>
      <c r="BF447" s="97" t="str">
        <f aca="false">IF($BZ447&lt;&gt;Constants!$B$8,"",IF($AL447,($AI447-Constants!$B$29)*Constants!$B$28,0))</f>
        <v/>
      </c>
      <c r="BG447" s="97" t="str">
        <f aca="false">IF($BZ447&lt;&gt;Constants!$B$8,"",IF($AK447,0,Constants!$B$15)+IF($AJ447,0,Constants!$B$16)+IF($AH447,0,Constants!$B$17))</f>
        <v/>
      </c>
      <c r="BH447" s="98" t="str">
        <f aca="false">IF($BZ447&lt;&gt;Constants!$B$8,"",Constants!$B$20+SUM($BC447:$BG447))</f>
        <v/>
      </c>
      <c r="BI447" s="97" t="str">
        <f aca="false">IF($BZ447&lt;&gt;Constants!$B$8,"",$BC447)</f>
        <v/>
      </c>
      <c r="BJ447" s="97" t="str">
        <f aca="false">IF($BZ447&lt;&gt;Constants!$B$8,"",$BD447)</f>
        <v/>
      </c>
      <c r="BK447" s="97" t="str">
        <f aca="false">IF($BZ447&lt;&gt;Constants!$B$8,"",IF($AL447,$AN447,""))</f>
        <v/>
      </c>
      <c r="BL447" s="99" t="str">
        <f aca="false">IF($BZ447&lt;&gt;Constants!$B$8,"",$AI447)</f>
        <v/>
      </c>
      <c r="BM447" s="93" t="str">
        <f aca="false">IF($BZ447&lt;&gt;Constants!$B$8,"",IF(OR($BT447&lt;$BH447,AND($BT447=$BH447,OR($BU447&lt;$BI447,AND($BU447=$BI447,OR($BV447&lt;$BJ447,AND($BV447=$BJ447,OR(AND(ISNUMBER($BW447),OR(NOT(ISNUMBER($BK447)),$BW447&lt;$BK447)),AND(OR(AND($BW447="",$BK447=""),AND(ISNUMBER($BW447),ISNUMBER($BK447),$BW447=$BK447)),$BX447&lt;$BL447)))))))),"-&gt;","&lt;-"))</f>
        <v/>
      </c>
      <c r="BN447" s="92" t="str">
        <f aca="false">IF(ISBLANK($C447),"",AND($AT447,OR($AU447="",$AV447="",AND($AW447,$AX447=""))))</f>
        <v/>
      </c>
      <c r="BO447" s="94" t="str">
        <f aca="false">IF($BZ447&lt;&gt;Constants!$B$8,"",IF($AT447,Constants!$B$21*$AV447+Constants!$B$22*IF($AW447,$AX447,Constants!$B$23),Constants!$B$24))</f>
        <v/>
      </c>
      <c r="BP447" s="97" t="str">
        <f aca="false">IF($BZ447&lt;&gt;Constants!$B$8,"",Constants!$B$25*ABS($AD$9-IF($AT447,$AU447,0)))</f>
        <v/>
      </c>
      <c r="BQ447" s="97" t="str">
        <f aca="false">IF($BZ447&lt;&gt;Constants!$B$8,"",IF(AND($AT447,$AY447,$AW447),Constants!$B$27,0))</f>
        <v/>
      </c>
      <c r="BR447" s="97" t="str">
        <f aca="false">IF($BZ447&lt;&gt;Constants!$B$8,"",IF($AT447,($AI447-Constants!$B$29)*Constants!$B$28,0))</f>
        <v/>
      </c>
      <c r="BS447" s="97" t="str">
        <f aca="false">IF($BZ447&lt;&gt;Constants!$B$8,"",IF($AS447,0,Constants!$B$15)+IF($AR447,0,Constants!$B$16)+IF($AH447,0,Constants!$B$17))</f>
        <v/>
      </c>
      <c r="BT447" s="98" t="str">
        <f aca="false">IF($BZ447&lt;&gt;Constants!$B$8,"",Constants!$B$20+SUM($BO447:$BS447))</f>
        <v/>
      </c>
      <c r="BU447" s="97" t="str">
        <f aca="false">IF($BZ447&lt;&gt;Constants!$B$8,"",$BO447)</f>
        <v/>
      </c>
      <c r="BV447" s="97" t="str">
        <f aca="false">IF($BZ447&lt;&gt;Constants!$B$8,"",$BP447)</f>
        <v/>
      </c>
      <c r="BW447" s="97" t="str">
        <f aca="false">IF($BZ447&lt;&gt;Constants!$B$8,"",IF($AT447,$AV447,""))</f>
        <v/>
      </c>
      <c r="BX447" s="99" t="str">
        <f aca="false">IF($BZ447&lt;&gt;Constants!$B$8,"",$AI447)</f>
        <v/>
      </c>
      <c r="BY447" s="93" t="str">
        <f aca="false">IF(ISBLANK($C447),"",IF(ISBLANK($D$7),$BY$5,IF(NOT(ISNUMBER($D$7)),$BY$6,"")))</f>
        <v/>
      </c>
      <c r="BZ447" s="93" t="str">
        <f aca="false">IF(ISBLANK($C447),"",IF($BA447,Constants!$B$11,IF(COUNTA($E447:$AA447)=0,Constants!$B$10,IF(NOT($AG447),Constants!$B$9,IF(OR($BY447&lt;&gt;"",$BB447,$BN447),Constants!$B$12,Constants!$B$8)))))</f>
        <v/>
      </c>
      <c r="CA447" s="93" t="str">
        <f aca="false">IF(ISBLANK($C447),"",IF($BZ447&lt;&gt;Constants!$B$8,$BZ447,Constants!$B$13))</f>
        <v/>
      </c>
      <c r="CB447" s="97" t="str">
        <f aca="false">IF($BZ447&lt;&gt;Constants!$B$8,"",IF($BM447="-&gt;",$BT447,$BH447))</f>
        <v/>
      </c>
      <c r="CC447" s="97" t="str">
        <f aca="false">IF($BZ447&lt;&gt;Constants!$B$8,"",IF($AF447,0,Constants!$B$18))</f>
        <v/>
      </c>
      <c r="CD447" s="97" t="str">
        <f aca="false">IF($BZ447&lt;&gt;Constants!$B$8,"",((Constants!$B$31-$AZ447)-Constants!$B$31)/Constants!$B$32)</f>
        <v/>
      </c>
      <c r="CE447" s="97" t="str">
        <f aca="false">IF(ISBLANK($C447),"",IF($BZ447&lt;&gt;Constants!$B$8,$BZ447,SUM($CB447:$CD447)))</f>
        <v/>
      </c>
      <c r="CF447" s="93" t="str">
        <f aca="false">IF(ISBLANK($C447),"",IF($BZ447&lt;&gt;Constants!$B$8,$BZ447,RANK($CE447,$CE$9:$CE$508,1)))</f>
        <v/>
      </c>
      <c r="CG447" s="97" t="str">
        <f aca="false">IF($BZ447&lt;&gt;Constants!$B$8,"",IF($BM447="-&gt;",$BU447,$BI447))</f>
        <v/>
      </c>
      <c r="CH447" s="93" t="str">
        <f aca="false">IF(ISBLANK($C447),"",IF($BZ447&lt;&gt;Constants!$B$8,$BZ447,IF(ISNUMBER($CG447),RANK($CG447,$CG$9:$CG$508,1),COUNT($CG$9:$CG$508)+1)))</f>
        <v/>
      </c>
      <c r="CI447" s="97" t="str">
        <f aca="false">IF($BZ447&lt;&gt;Constants!$B$8,"",IF($BM447="-&gt;",$BV447,$BJ447))</f>
        <v/>
      </c>
      <c r="CJ447" s="93" t="str">
        <f aca="false">IF(ISBLANK($C447),"",IF($BZ447&lt;&gt;Constants!$B$8,$BZ447,IF(ISNUMBER($CI447),RANK($CI447,$CI$9:$CI$508,1),COUNT($CI$9:$CI$508)+1)))</f>
        <v/>
      </c>
      <c r="CK447" s="97" t="str">
        <f aca="false">IF($BZ447&lt;&gt;Constants!$B$8,"",IF($BM447="-&gt;",$BW447,$BK447))</f>
        <v/>
      </c>
      <c r="CL447" s="93" t="str">
        <f aca="false">IF(ISBLANK($C447),"",IF($BZ447&lt;&gt;Constants!$B$8,$BZ447,IF(ISNUMBER($CK447),RANK($CK447,$CK$9:$CK$508,1),COUNT($CK$9:$CK$508)+1)))</f>
        <v/>
      </c>
      <c r="CM447" s="97" t="str">
        <f aca="false">IF($BZ447&lt;&gt;Constants!$B$8,"",IF(AND(NOT($AL447),NOT($AT447),$AJ447,$AK447,$AR447,$AS447),"",IF($BM447="-&gt;",$BX447,$BL447)))</f>
        <v/>
      </c>
      <c r="CN447" s="93" t="str">
        <f aca="false">IF(ISBLANK($C447),"",IF($BZ447&lt;&gt;Constants!$B$8,$BZ447,IF(ISNUMBER($CM447),RANK($CM447,$CM$9:$CM$508,1),COUNT($CM$9:$CM$508)+1)))</f>
        <v/>
      </c>
      <c r="CO447" s="93" t="str">
        <f aca="false">IF(ISBLANK($C447),"",IF($BZ447&lt;&gt;Constants!$B$8,$BZ447,COUNTIFS($CF$9:$CF$508,"&lt;"&amp;$CF447)+COUNTIFS($CF$9:$CF$508,$CF447,$CH$9:$CH$508,"&lt;"&amp;$CH447)+COUNTIFS($CF$9:$CF$508,$CF447,$CH$9:$CH$508,$CH447,$CJ$9:$CJ$508,"&lt;"&amp;$CJ447)+COUNTIFS($CF$9:$CF$508,$CF447,$CH$9:$CH$508,$CH447,$CJ$9:$CJ$508,$CJ447,$CL$9:$CL$508,"&lt;"&amp;$CL447)+COUNTIFS($CF$9:$CF$508,$CF447,$CH$9:$CH$508,$CH447,$CJ$9:$CJ$508,$CJ447,$CL$9:$CL$508,$CL447,$CN$9:$CN$508,"&lt;"&amp;$CN447)+1))</f>
        <v/>
      </c>
      <c r="CP447" s="93" t="str">
        <f aca="false">IF(ISBLANK($C447),"",IF($BZ447&lt;&gt;Constants!$B$8,$BZ447,$CF447-$CO447))</f>
        <v/>
      </c>
      <c r="CQ447" s="100"/>
      <c r="CR447" s="101"/>
      <c r="CS447" s="102" t="str">
        <f aca="false">IF(ISBLANK($C447),"",IF($BZ447=Constants!$B$12,$BY447,""))</f>
        <v/>
      </c>
      <c r="CT447" s="101" t="str">
        <f aca="false">IF(ISBLANK($C447),"",IF($BZ447&lt;&gt;Constants!$B$8,"",IF($BM447="-&gt;",2,1)))</f>
        <v/>
      </c>
      <c r="CU447" s="103" t="str">
        <f aca="false">IF(ISBLANK($C447),"",IF($BZ447&lt;&gt;Constants!$B$8,"",IF($BM447="-&gt;",$BO447,$BC447)))</f>
        <v/>
      </c>
      <c r="CV447" s="103" t="str">
        <f aca="false">IF(ISBLANK($C447),"",IF($BZ447&lt;&gt;Constants!$B$8,"",IF($BM447="-&gt;",$BP447,$BD447)))</f>
        <v/>
      </c>
      <c r="CW447" s="103" t="str">
        <f aca="false">IF(ISBLANK($C447),"",IF($BZ447&lt;&gt;Constants!$B$8,"",IF($BM447="-&gt;",$BQ447+$BR447,$BE447+$BF447)+$CD447))</f>
        <v/>
      </c>
      <c r="CX447" s="103" t="str">
        <f aca="false">IF(ISBLANK($C447),"",IF($BZ447&lt;&gt;Constants!$B$8,"",IF($BM447="-&gt;",$BS447,$BG447)+$CC447))</f>
        <v/>
      </c>
      <c r="CY447" s="104" t="str">
        <f aca="false">IF(ISBLANK($C447),"",IF($BZ447&lt;&gt;Constants!$B$8,$BZ447,$CE447))</f>
        <v/>
      </c>
      <c r="CZ447" s="105" t="str">
        <f aca="false">IF(ISBLANK($C447),"",$CA447)</f>
        <v/>
      </c>
      <c r="DA447" s="106" t="str">
        <f aca="false">IF(ISBLANK($C447),"",$CP447)</f>
        <v/>
      </c>
      <c r="DB447" s="106" t="str">
        <f aca="false">IF(ISBLANK($C447),"",$CO447)</f>
        <v/>
      </c>
      <c r="DC447" s="107" t="str">
        <f aca="false">IF(ISBLANK($C447),"",IFERROR(_xlfn.SWITCH($DB447,Constants!$B$11,COUNTA($C$9:$C$508)+2,Constants!$B$10,COUNTA($C$9:$C$508)+1,Constants!$B$9,COUNTA($C$9:$C$508)),$DB447))</f>
        <v/>
      </c>
      <c r="DD447" s="9"/>
      <c r="DE447" s="108" t="n">
        <f aca="false">IF(OR(ISNUMBER($DB447),$DB447=Constants!$B$11,$DB447=Constants!$B$9,$DB447=Constants!$B$10),1,0)</f>
        <v>0</v>
      </c>
      <c r="DF447" s="108" t="n">
        <v>439</v>
      </c>
      <c r="DG447" s="108" t="str">
        <f aca="false">IF(ISBLANK($C447),"",IF(ISNUMBER($DC447),$DC447+ROW($B447)/1000,""))</f>
        <v/>
      </c>
      <c r="DH447" s="108" t="str">
        <f aca="false">IF(ISNUMBER($DG447),RANK($DG447,$DG$9:$DG$508,1),"")</f>
        <v/>
      </c>
      <c r="DI447" s="108" t="str">
        <f aca="false">IF(ISBLANK($C447),"",$B447)</f>
        <v/>
      </c>
      <c r="DJ447" s="108" t="str">
        <f aca="false">IF(ISBLANK($C447),"",$C447)</f>
        <v/>
      </c>
      <c r="DK447" s="108" t="str">
        <f aca="false">IF(ISBLANK($C447),"",$D447)</f>
        <v/>
      </c>
      <c r="DL447" s="109" t="str">
        <f aca="false">$CZ447</f>
        <v/>
      </c>
      <c r="DM447" s="110" t="str">
        <f aca="false">$CY447</f>
        <v/>
      </c>
      <c r="DN447" s="108" t="str">
        <f aca="false">IF(ISBLANK($C447),"",$DB447)</f>
        <v/>
      </c>
      <c r="DO447" s="111" t="str">
        <f aca="false">IF($DF447&gt;$DE$8,"",VLOOKUP($DF447,$DH$9:$DN$508,7,FALSE()))</f>
        <v/>
      </c>
      <c r="DP447" s="112" t="str">
        <f aca="false">IF($DF447&gt;$DE$8,"",VLOOKUP($DF447,$DH$9:$DN$508,2,FALSE()))</f>
        <v/>
      </c>
      <c r="DQ447" s="112" t="str">
        <f aca="false">IF($DF447&gt;$DE$8,"",VLOOKUP($DF447,$DH$9:$DN$508,3,FALSE()))</f>
        <v/>
      </c>
      <c r="DR447" s="112" t="str">
        <f aca="false">IF($DF447&gt;$DE$8,"",VLOOKUP($DF447,$DH$9:$DN$508,4,FALSE()))</f>
        <v/>
      </c>
      <c r="DS447" s="112" t="str">
        <f aca="false">IF($DF447&gt;$DE$8,"",VLOOKUP($DF447,$DH$9:$DN$508,5,FALSE()))</f>
        <v/>
      </c>
      <c r="DT447" s="113" t="str">
        <f aca="false">IF($DF447&gt;$DE$8,"",VLOOKUP($DF447,$DH$9:$DN$508,6,FALSE()))</f>
        <v/>
      </c>
      <c r="DU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IF(ISBLANK($C448),"",IF(E448=Constants!$B$3,TRUE(),IF(E448=Constants!$B$4,FALSE(),TRUE())))</f>
        <v/>
      </c>
      <c r="AG448" s="93" t="str">
        <f aca="false">IF(ISBLANK($C448),"",IF(F448=Constants!$B$3,TRUE(),IF(F448=Constants!$B$4,FALSE(),TRUE())))</f>
        <v/>
      </c>
      <c r="AH448" s="93" t="str">
        <f aca="false">IF(ISBLANK($C448),"",IF(G448=Constants!$B$3,TRUE(),IF(G448=Constants!$B$4,FALSE(),TRUE())))</f>
        <v/>
      </c>
      <c r="AI448" s="93" t="str">
        <f aca="false">IF(ISBLANK($C448),"",IF(AND(ISNUMBER(H448),H448&gt;=0),H448,Constants!$B$29))</f>
        <v/>
      </c>
      <c r="AJ448" s="93" t="str">
        <f aca="false">IF(ISBLANK($C448),"",IF(I448=Constants!$B$3,TRUE(),IF(I448=Constants!$B$4,FALSE(),TRUE())))</f>
        <v/>
      </c>
      <c r="AK448" s="93" t="str">
        <f aca="false">IF(ISBLANK($C448),"",IF(J448=Constants!$B$3,TRUE(),IF(J448=Constants!$B$4,FALSE(),TRUE())))</f>
        <v/>
      </c>
      <c r="AL448" s="93" t="str">
        <f aca="false">IF(ISBLANK($C448),"",IF(K448=Constants!$B$5,TRUE(),IF(K448=Constants!$B$6,FALSE(),COUNTA(L448:P448)&gt;0)))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IF(ISBLANK($C448),"",IF(N448=Constants!$B$3,TRUE(),IF(N448=Constants!$B$4,FALSE(),TRUE())))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IF(ISBLANK($C448),"",IF(P448=Constants!$B$3,TRUE(),IF(P448=Constants!$B$4,FALSE(),FALSE())))</f>
        <v/>
      </c>
      <c r="AR448" s="93" t="str">
        <f aca="false">IF(ISBLANK($C448),"",IF(Q448=Constants!$B$3,TRUE(),IF(Q448=Constants!$B$4,FALSE(),TRUE())))</f>
        <v/>
      </c>
      <c r="AS448" s="93" t="str">
        <f aca="false">IF(ISBLANK($C448),"",IF(R448=Constants!$B$3,TRUE(),IF(R448=Constants!$B$4,FALSE(),TRUE())))</f>
        <v/>
      </c>
      <c r="AT448" s="93" t="str">
        <f aca="false">IF(ISBLANK($C448),"",IF(S448=Constants!$B$5,TRUE(),IF(S448=Constants!$B$6,FALSE(),COUNTA(T448:X448)&gt;0)))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IF(ISBLANK($C448),"",IF(V448=Constants!$B$3,TRUE(),IF(V448=Constants!$B$4,FALSE(),TRUE())))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IF(ISBLANK($C448),"",IF(X448=Constants!$B$3,TRUE(),IF(X448=Constants!$B$4,FALSE(),FALSE())))</f>
        <v/>
      </c>
      <c r="AZ448" s="93" t="str">
        <f aca="false">IF(ISBLANK($C448),"",MIN(Constants!$B$31,MAX(0,IF(ISNUMBER(Y448),Y448*60,0)+IF(ISNUMBER(Z448),Z448,0))))</f>
        <v/>
      </c>
      <c r="BA448" s="93" t="str">
        <f aca="false">IF(ISBLANK($C448),"",IF(AA448=Constants!$B$3,TRUE(),IF(AA448=Constants!$B$4,FALSE(),FALSE())))</f>
        <v/>
      </c>
      <c r="BB448" s="92" t="str">
        <f aca="false">IF(ISBLANK($C448),"",AND($AL448,OR($AM448="",$AN448="",AND($AO448,$AP448=""))))</f>
        <v/>
      </c>
      <c r="BC448" s="94" t="str">
        <f aca="false">IF($BZ448&lt;&gt;Constants!$B$8,"",IF($AL448,Constants!$B$21*$AN448+Constants!$B$22*IF($AO448,$AP448,Constants!$B$23),Constants!$B$24))</f>
        <v/>
      </c>
      <c r="BD448" s="97" t="str">
        <f aca="false">IF($BZ448&lt;&gt;Constants!$B$8,"",Constants!$B$25*ABS($AD$9-IF($AL448,$AM448,0)))</f>
        <v/>
      </c>
      <c r="BE448" s="97" t="str">
        <f aca="false">IF($BZ448&lt;&gt;Constants!$B$8,"",IF(AND($AL448,$AQ448,$AO448),Constants!$B$27,0))</f>
        <v/>
      </c>
      <c r="BF448" s="97" t="str">
        <f aca="false">IF($BZ448&lt;&gt;Constants!$B$8,"",IF($AL448,($AI448-Constants!$B$29)*Constants!$B$28,0))</f>
        <v/>
      </c>
      <c r="BG448" s="97" t="str">
        <f aca="false">IF($BZ448&lt;&gt;Constants!$B$8,"",IF($AK448,0,Constants!$B$15)+IF($AJ448,0,Constants!$B$16)+IF($AH448,0,Constants!$B$17))</f>
        <v/>
      </c>
      <c r="BH448" s="98" t="str">
        <f aca="false">IF($BZ448&lt;&gt;Constants!$B$8,"",Constants!$B$20+SUM($BC448:$BG448))</f>
        <v/>
      </c>
      <c r="BI448" s="97" t="str">
        <f aca="false">IF($BZ448&lt;&gt;Constants!$B$8,"",$BC448)</f>
        <v/>
      </c>
      <c r="BJ448" s="97" t="str">
        <f aca="false">IF($BZ448&lt;&gt;Constants!$B$8,"",$BD448)</f>
        <v/>
      </c>
      <c r="BK448" s="97" t="str">
        <f aca="false">IF($BZ448&lt;&gt;Constants!$B$8,"",IF($AL448,$AN448,""))</f>
        <v/>
      </c>
      <c r="BL448" s="99" t="str">
        <f aca="false">IF($BZ448&lt;&gt;Constants!$B$8,"",$AI448)</f>
        <v/>
      </c>
      <c r="BM448" s="93" t="str">
        <f aca="false">IF($BZ448&lt;&gt;Constants!$B$8,"",IF(OR($BT448&lt;$BH448,AND($BT448=$BH448,OR($BU448&lt;$BI448,AND($BU448=$BI448,OR($BV448&lt;$BJ448,AND($BV448=$BJ448,OR(AND(ISNUMBER($BW448),OR(NOT(ISNUMBER($BK448)),$BW448&lt;$BK448)),AND(OR(AND($BW448="",$BK448=""),AND(ISNUMBER($BW448),ISNUMBER($BK448),$BW448=$BK448)),$BX448&lt;$BL448)))))))),"-&gt;","&lt;-"))</f>
        <v/>
      </c>
      <c r="BN448" s="92" t="str">
        <f aca="false">IF(ISBLANK($C448),"",AND($AT448,OR($AU448="",$AV448="",AND($AW448,$AX448=""))))</f>
        <v/>
      </c>
      <c r="BO448" s="94" t="str">
        <f aca="false">IF($BZ448&lt;&gt;Constants!$B$8,"",IF($AT448,Constants!$B$21*$AV448+Constants!$B$22*IF($AW448,$AX448,Constants!$B$23),Constants!$B$24))</f>
        <v/>
      </c>
      <c r="BP448" s="97" t="str">
        <f aca="false">IF($BZ448&lt;&gt;Constants!$B$8,"",Constants!$B$25*ABS($AD$9-IF($AT448,$AU448,0)))</f>
        <v/>
      </c>
      <c r="BQ448" s="97" t="str">
        <f aca="false">IF($BZ448&lt;&gt;Constants!$B$8,"",IF(AND($AT448,$AY448,$AW448),Constants!$B$27,0))</f>
        <v/>
      </c>
      <c r="BR448" s="97" t="str">
        <f aca="false">IF($BZ448&lt;&gt;Constants!$B$8,"",IF($AT448,($AI448-Constants!$B$29)*Constants!$B$28,0))</f>
        <v/>
      </c>
      <c r="BS448" s="97" t="str">
        <f aca="false">IF($BZ448&lt;&gt;Constants!$B$8,"",IF($AS448,0,Constants!$B$15)+IF($AR448,0,Constants!$B$16)+IF($AH448,0,Constants!$B$17))</f>
        <v/>
      </c>
      <c r="BT448" s="98" t="str">
        <f aca="false">IF($BZ448&lt;&gt;Constants!$B$8,"",Constants!$B$20+SUM($BO448:$BS448))</f>
        <v/>
      </c>
      <c r="BU448" s="97" t="str">
        <f aca="false">IF($BZ448&lt;&gt;Constants!$B$8,"",$BO448)</f>
        <v/>
      </c>
      <c r="BV448" s="97" t="str">
        <f aca="false">IF($BZ448&lt;&gt;Constants!$B$8,"",$BP448)</f>
        <v/>
      </c>
      <c r="BW448" s="97" t="str">
        <f aca="false">IF($BZ448&lt;&gt;Constants!$B$8,"",IF($AT448,$AV448,""))</f>
        <v/>
      </c>
      <c r="BX448" s="99" t="str">
        <f aca="false">IF($BZ448&lt;&gt;Constants!$B$8,"",$AI448)</f>
        <v/>
      </c>
      <c r="BY448" s="93" t="str">
        <f aca="false">IF(ISBLANK($C448),"",IF(ISBLANK($D$7),$BY$5,IF(NOT(ISNUMBER($D$7)),$BY$6,"")))</f>
        <v/>
      </c>
      <c r="BZ448" s="93" t="str">
        <f aca="false">IF(ISBLANK($C448),"",IF($BA448,Constants!$B$11,IF(COUNTA($E448:$AA448)=0,Constants!$B$10,IF(NOT($AG448),Constants!$B$9,IF(OR($BY448&lt;&gt;"",$BB448,$BN448),Constants!$B$12,Constants!$B$8)))))</f>
        <v/>
      </c>
      <c r="CA448" s="93" t="str">
        <f aca="false">IF(ISBLANK($C448),"",IF($BZ448&lt;&gt;Constants!$B$8,$BZ448,Constants!$B$13))</f>
        <v/>
      </c>
      <c r="CB448" s="97" t="str">
        <f aca="false">IF($BZ448&lt;&gt;Constants!$B$8,"",IF($BM448="-&gt;",$BT448,$BH448))</f>
        <v/>
      </c>
      <c r="CC448" s="97" t="str">
        <f aca="false">IF($BZ448&lt;&gt;Constants!$B$8,"",IF($AF448,0,Constants!$B$18))</f>
        <v/>
      </c>
      <c r="CD448" s="97" t="str">
        <f aca="false">IF($BZ448&lt;&gt;Constants!$B$8,"",((Constants!$B$31-$AZ448)-Constants!$B$31)/Constants!$B$32)</f>
        <v/>
      </c>
      <c r="CE448" s="97" t="str">
        <f aca="false">IF(ISBLANK($C448),"",IF($BZ448&lt;&gt;Constants!$B$8,$BZ448,SUM($CB448:$CD448)))</f>
        <v/>
      </c>
      <c r="CF448" s="93" t="str">
        <f aca="false">IF(ISBLANK($C448),"",IF($BZ448&lt;&gt;Constants!$B$8,$BZ448,RANK($CE448,$CE$9:$CE$508,1)))</f>
        <v/>
      </c>
      <c r="CG448" s="97" t="str">
        <f aca="false">IF($BZ448&lt;&gt;Constants!$B$8,"",IF($BM448="-&gt;",$BU448,$BI448))</f>
        <v/>
      </c>
      <c r="CH448" s="93" t="str">
        <f aca="false">IF(ISBLANK($C448),"",IF($BZ448&lt;&gt;Constants!$B$8,$BZ448,IF(ISNUMBER($CG448),RANK($CG448,$CG$9:$CG$508,1),COUNT($CG$9:$CG$508)+1)))</f>
        <v/>
      </c>
      <c r="CI448" s="97" t="str">
        <f aca="false">IF($BZ448&lt;&gt;Constants!$B$8,"",IF($BM448="-&gt;",$BV448,$BJ448))</f>
        <v/>
      </c>
      <c r="CJ448" s="93" t="str">
        <f aca="false">IF(ISBLANK($C448),"",IF($BZ448&lt;&gt;Constants!$B$8,$BZ448,IF(ISNUMBER($CI448),RANK($CI448,$CI$9:$CI$508,1),COUNT($CI$9:$CI$508)+1)))</f>
        <v/>
      </c>
      <c r="CK448" s="97" t="str">
        <f aca="false">IF($BZ448&lt;&gt;Constants!$B$8,"",IF($BM448="-&gt;",$BW448,$BK448))</f>
        <v/>
      </c>
      <c r="CL448" s="93" t="str">
        <f aca="false">IF(ISBLANK($C448),"",IF($BZ448&lt;&gt;Constants!$B$8,$BZ448,IF(ISNUMBER($CK448),RANK($CK448,$CK$9:$CK$508,1),COUNT($CK$9:$CK$508)+1)))</f>
        <v/>
      </c>
      <c r="CM448" s="97" t="str">
        <f aca="false">IF($BZ448&lt;&gt;Constants!$B$8,"",IF(AND(NOT($AL448),NOT($AT448),$AJ448,$AK448,$AR448,$AS448),"",IF($BM448="-&gt;",$BX448,$BL448)))</f>
        <v/>
      </c>
      <c r="CN448" s="93" t="str">
        <f aca="false">IF(ISBLANK($C448),"",IF($BZ448&lt;&gt;Constants!$B$8,$BZ448,IF(ISNUMBER($CM448),RANK($CM448,$CM$9:$CM$508,1),COUNT($CM$9:$CM$508)+1)))</f>
        <v/>
      </c>
      <c r="CO448" s="93" t="str">
        <f aca="false">IF(ISBLANK($C448),"",IF($BZ448&lt;&gt;Constants!$B$8,$BZ448,COUNTIFS($CF$9:$CF$508,"&lt;"&amp;$CF448)+COUNTIFS($CF$9:$CF$508,$CF448,$CH$9:$CH$508,"&lt;"&amp;$CH448)+COUNTIFS($CF$9:$CF$508,$CF448,$CH$9:$CH$508,$CH448,$CJ$9:$CJ$508,"&lt;"&amp;$CJ448)+COUNTIFS($CF$9:$CF$508,$CF448,$CH$9:$CH$508,$CH448,$CJ$9:$CJ$508,$CJ448,$CL$9:$CL$508,"&lt;"&amp;$CL448)+COUNTIFS($CF$9:$CF$508,$CF448,$CH$9:$CH$508,$CH448,$CJ$9:$CJ$508,$CJ448,$CL$9:$CL$508,$CL448,$CN$9:$CN$508,"&lt;"&amp;$CN448)+1))</f>
        <v/>
      </c>
      <c r="CP448" s="93" t="str">
        <f aca="false">IF(ISBLANK($C448),"",IF($BZ448&lt;&gt;Constants!$B$8,$BZ448,$CF448-$CO448))</f>
        <v/>
      </c>
      <c r="CQ448" s="100"/>
      <c r="CR448" s="101"/>
      <c r="CS448" s="102" t="str">
        <f aca="false">IF(ISBLANK($C448),"",IF($BZ448=Constants!$B$12,$BY448,""))</f>
        <v/>
      </c>
      <c r="CT448" s="101" t="str">
        <f aca="false">IF(ISBLANK($C448),"",IF($BZ448&lt;&gt;Constants!$B$8,"",IF($BM448="-&gt;",2,1)))</f>
        <v/>
      </c>
      <c r="CU448" s="103" t="str">
        <f aca="false">IF(ISBLANK($C448),"",IF($BZ448&lt;&gt;Constants!$B$8,"",IF($BM448="-&gt;",$BO448,$BC448)))</f>
        <v/>
      </c>
      <c r="CV448" s="103" t="str">
        <f aca="false">IF(ISBLANK($C448),"",IF($BZ448&lt;&gt;Constants!$B$8,"",IF($BM448="-&gt;",$BP448,$BD448)))</f>
        <v/>
      </c>
      <c r="CW448" s="103" t="str">
        <f aca="false">IF(ISBLANK($C448),"",IF($BZ448&lt;&gt;Constants!$B$8,"",IF($BM448="-&gt;",$BQ448+$BR448,$BE448+$BF448)+$CD448))</f>
        <v/>
      </c>
      <c r="CX448" s="103" t="str">
        <f aca="false">IF(ISBLANK($C448),"",IF($BZ448&lt;&gt;Constants!$B$8,"",IF($BM448="-&gt;",$BS448,$BG448)+$CC448))</f>
        <v/>
      </c>
      <c r="CY448" s="104" t="str">
        <f aca="false">IF(ISBLANK($C448),"",IF($BZ448&lt;&gt;Constants!$B$8,$BZ448,$CE448))</f>
        <v/>
      </c>
      <c r="CZ448" s="105" t="str">
        <f aca="false">IF(ISBLANK($C448),"",$CA448)</f>
        <v/>
      </c>
      <c r="DA448" s="106" t="str">
        <f aca="false">IF(ISBLANK($C448),"",$CP448)</f>
        <v/>
      </c>
      <c r="DB448" s="106" t="str">
        <f aca="false">IF(ISBLANK($C448),"",$CO448)</f>
        <v/>
      </c>
      <c r="DC448" s="107" t="str">
        <f aca="false">IF(ISBLANK($C448),"",IFERROR(_xlfn.SWITCH($DB448,Constants!$B$11,COUNTA($C$9:$C$508)+2,Constants!$B$10,COUNTA($C$9:$C$508)+1,Constants!$B$9,COUNTA($C$9:$C$508)),$DB448))</f>
        <v/>
      </c>
      <c r="DD448" s="9"/>
      <c r="DE448" s="108" t="n">
        <f aca="false">IF(OR(ISNUMBER($DB448),$DB448=Constants!$B$11,$DB448=Constants!$B$9,$DB448=Constants!$B$10),1,0)</f>
        <v>0</v>
      </c>
      <c r="DF448" s="108" t="n">
        <v>440</v>
      </c>
      <c r="DG448" s="108" t="str">
        <f aca="false">IF(ISBLANK($C448),"",IF(ISNUMBER($DC448),$DC448+ROW($B448)/1000,""))</f>
        <v/>
      </c>
      <c r="DH448" s="108" t="str">
        <f aca="false">IF(ISNUMBER($DG448),RANK($DG448,$DG$9:$DG$508,1),"")</f>
        <v/>
      </c>
      <c r="DI448" s="108" t="str">
        <f aca="false">IF(ISBLANK($C448),"",$B448)</f>
        <v/>
      </c>
      <c r="DJ448" s="108" t="str">
        <f aca="false">IF(ISBLANK($C448),"",$C448)</f>
        <v/>
      </c>
      <c r="DK448" s="108" t="str">
        <f aca="false">IF(ISBLANK($C448),"",$D448)</f>
        <v/>
      </c>
      <c r="DL448" s="109" t="str">
        <f aca="false">$CZ448</f>
        <v/>
      </c>
      <c r="DM448" s="110" t="str">
        <f aca="false">$CY448</f>
        <v/>
      </c>
      <c r="DN448" s="108" t="str">
        <f aca="false">IF(ISBLANK($C448),"",$DB448)</f>
        <v/>
      </c>
      <c r="DO448" s="111" t="str">
        <f aca="false">IF($DF448&gt;$DE$8,"",VLOOKUP($DF448,$DH$9:$DN$508,7,FALSE()))</f>
        <v/>
      </c>
      <c r="DP448" s="112" t="str">
        <f aca="false">IF($DF448&gt;$DE$8,"",VLOOKUP($DF448,$DH$9:$DN$508,2,FALSE()))</f>
        <v/>
      </c>
      <c r="DQ448" s="112" t="str">
        <f aca="false">IF($DF448&gt;$DE$8,"",VLOOKUP($DF448,$DH$9:$DN$508,3,FALSE()))</f>
        <v/>
      </c>
      <c r="DR448" s="112" t="str">
        <f aca="false">IF($DF448&gt;$DE$8,"",VLOOKUP($DF448,$DH$9:$DN$508,4,FALSE()))</f>
        <v/>
      </c>
      <c r="DS448" s="112" t="str">
        <f aca="false">IF($DF448&gt;$DE$8,"",VLOOKUP($DF448,$DH$9:$DN$508,5,FALSE()))</f>
        <v/>
      </c>
      <c r="DT448" s="113" t="str">
        <f aca="false">IF($DF448&gt;$DE$8,"",VLOOKUP($DF448,$DH$9:$DN$508,6,FALSE()))</f>
        <v/>
      </c>
      <c r="DU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IF(ISBLANK($C449),"",IF(E449=Constants!$B$3,TRUE(),IF(E449=Constants!$B$4,FALSE(),TRUE())))</f>
        <v/>
      </c>
      <c r="AG449" s="93" t="str">
        <f aca="false">IF(ISBLANK($C449),"",IF(F449=Constants!$B$3,TRUE(),IF(F449=Constants!$B$4,FALSE(),TRUE())))</f>
        <v/>
      </c>
      <c r="AH449" s="93" t="str">
        <f aca="false">IF(ISBLANK($C449),"",IF(G449=Constants!$B$3,TRUE(),IF(G449=Constants!$B$4,FALSE(),TRUE())))</f>
        <v/>
      </c>
      <c r="AI449" s="93" t="str">
        <f aca="false">IF(ISBLANK($C449),"",IF(AND(ISNUMBER(H449),H449&gt;=0),H449,Constants!$B$29))</f>
        <v/>
      </c>
      <c r="AJ449" s="93" t="str">
        <f aca="false">IF(ISBLANK($C449),"",IF(I449=Constants!$B$3,TRUE(),IF(I449=Constants!$B$4,FALSE(),TRUE())))</f>
        <v/>
      </c>
      <c r="AK449" s="93" t="str">
        <f aca="false">IF(ISBLANK($C449),"",IF(J449=Constants!$B$3,TRUE(),IF(J449=Constants!$B$4,FALSE(),TRUE())))</f>
        <v/>
      </c>
      <c r="AL449" s="93" t="str">
        <f aca="false">IF(ISBLANK($C449),"",IF(K449=Constants!$B$5,TRUE(),IF(K449=Constants!$B$6,FALSE(),COUNTA(L449:P449)&gt;0)))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IF(ISBLANK($C449),"",IF(N449=Constants!$B$3,TRUE(),IF(N449=Constants!$B$4,FALSE(),TRUE())))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IF(ISBLANK($C449),"",IF(P449=Constants!$B$3,TRUE(),IF(P449=Constants!$B$4,FALSE(),FALSE())))</f>
        <v/>
      </c>
      <c r="AR449" s="93" t="str">
        <f aca="false">IF(ISBLANK($C449),"",IF(Q449=Constants!$B$3,TRUE(),IF(Q449=Constants!$B$4,FALSE(),TRUE())))</f>
        <v/>
      </c>
      <c r="AS449" s="93" t="str">
        <f aca="false">IF(ISBLANK($C449),"",IF(R449=Constants!$B$3,TRUE(),IF(R449=Constants!$B$4,FALSE(),TRUE())))</f>
        <v/>
      </c>
      <c r="AT449" s="93" t="str">
        <f aca="false">IF(ISBLANK($C449),"",IF(S449=Constants!$B$5,TRUE(),IF(S449=Constants!$B$6,FALSE(),COUNTA(T449:X449)&gt;0)))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IF(ISBLANK($C449),"",IF(V449=Constants!$B$3,TRUE(),IF(V449=Constants!$B$4,FALSE(),TRUE())))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IF(ISBLANK($C449),"",IF(X449=Constants!$B$3,TRUE(),IF(X449=Constants!$B$4,FALSE(),FALSE())))</f>
        <v/>
      </c>
      <c r="AZ449" s="93" t="str">
        <f aca="false">IF(ISBLANK($C449),"",MIN(Constants!$B$31,MAX(0,IF(ISNUMBER(Y449),Y449*60,0)+IF(ISNUMBER(Z449),Z449,0))))</f>
        <v/>
      </c>
      <c r="BA449" s="93" t="str">
        <f aca="false">IF(ISBLANK($C449),"",IF(AA449=Constants!$B$3,TRUE(),IF(AA449=Constants!$B$4,FALSE(),FALSE())))</f>
        <v/>
      </c>
      <c r="BB449" s="92" t="str">
        <f aca="false">IF(ISBLANK($C449),"",AND($AL449,OR($AM449="",$AN449="",AND($AO449,$AP449=""))))</f>
        <v/>
      </c>
      <c r="BC449" s="94" t="str">
        <f aca="false">IF($BZ449&lt;&gt;Constants!$B$8,"",IF($AL449,Constants!$B$21*$AN449+Constants!$B$22*IF($AO449,$AP449,Constants!$B$23),Constants!$B$24))</f>
        <v/>
      </c>
      <c r="BD449" s="97" t="str">
        <f aca="false">IF($BZ449&lt;&gt;Constants!$B$8,"",Constants!$B$25*ABS($AD$9-IF($AL449,$AM449,0)))</f>
        <v/>
      </c>
      <c r="BE449" s="97" t="str">
        <f aca="false">IF($BZ449&lt;&gt;Constants!$B$8,"",IF(AND($AL449,$AQ449,$AO449),Constants!$B$27,0))</f>
        <v/>
      </c>
      <c r="BF449" s="97" t="str">
        <f aca="false">IF($BZ449&lt;&gt;Constants!$B$8,"",IF($AL449,($AI449-Constants!$B$29)*Constants!$B$28,0))</f>
        <v/>
      </c>
      <c r="BG449" s="97" t="str">
        <f aca="false">IF($BZ449&lt;&gt;Constants!$B$8,"",IF($AK449,0,Constants!$B$15)+IF($AJ449,0,Constants!$B$16)+IF($AH449,0,Constants!$B$17))</f>
        <v/>
      </c>
      <c r="BH449" s="98" t="str">
        <f aca="false">IF($BZ449&lt;&gt;Constants!$B$8,"",Constants!$B$20+SUM($BC449:$BG449))</f>
        <v/>
      </c>
      <c r="BI449" s="97" t="str">
        <f aca="false">IF($BZ449&lt;&gt;Constants!$B$8,"",$BC449)</f>
        <v/>
      </c>
      <c r="BJ449" s="97" t="str">
        <f aca="false">IF($BZ449&lt;&gt;Constants!$B$8,"",$BD449)</f>
        <v/>
      </c>
      <c r="BK449" s="97" t="str">
        <f aca="false">IF($BZ449&lt;&gt;Constants!$B$8,"",IF($AL449,$AN449,""))</f>
        <v/>
      </c>
      <c r="BL449" s="99" t="str">
        <f aca="false">IF($BZ449&lt;&gt;Constants!$B$8,"",$AI449)</f>
        <v/>
      </c>
      <c r="BM449" s="93" t="str">
        <f aca="false">IF($BZ449&lt;&gt;Constants!$B$8,"",IF(OR($BT449&lt;$BH449,AND($BT449=$BH449,OR($BU449&lt;$BI449,AND($BU449=$BI449,OR($BV449&lt;$BJ449,AND($BV449=$BJ449,OR(AND(ISNUMBER($BW449),OR(NOT(ISNUMBER($BK449)),$BW449&lt;$BK449)),AND(OR(AND($BW449="",$BK449=""),AND(ISNUMBER($BW449),ISNUMBER($BK449),$BW449=$BK449)),$BX449&lt;$BL449)))))))),"-&gt;","&lt;-"))</f>
        <v/>
      </c>
      <c r="BN449" s="92" t="str">
        <f aca="false">IF(ISBLANK($C449),"",AND($AT449,OR($AU449="",$AV449="",AND($AW449,$AX449=""))))</f>
        <v/>
      </c>
      <c r="BO449" s="94" t="str">
        <f aca="false">IF($BZ449&lt;&gt;Constants!$B$8,"",IF($AT449,Constants!$B$21*$AV449+Constants!$B$22*IF($AW449,$AX449,Constants!$B$23),Constants!$B$24))</f>
        <v/>
      </c>
      <c r="BP449" s="97" t="str">
        <f aca="false">IF($BZ449&lt;&gt;Constants!$B$8,"",Constants!$B$25*ABS($AD$9-IF($AT449,$AU449,0)))</f>
        <v/>
      </c>
      <c r="BQ449" s="97" t="str">
        <f aca="false">IF($BZ449&lt;&gt;Constants!$B$8,"",IF(AND($AT449,$AY449,$AW449),Constants!$B$27,0))</f>
        <v/>
      </c>
      <c r="BR449" s="97" t="str">
        <f aca="false">IF($BZ449&lt;&gt;Constants!$B$8,"",IF($AT449,($AI449-Constants!$B$29)*Constants!$B$28,0))</f>
        <v/>
      </c>
      <c r="BS449" s="97" t="str">
        <f aca="false">IF($BZ449&lt;&gt;Constants!$B$8,"",IF($AS449,0,Constants!$B$15)+IF($AR449,0,Constants!$B$16)+IF($AH449,0,Constants!$B$17))</f>
        <v/>
      </c>
      <c r="BT449" s="98" t="str">
        <f aca="false">IF($BZ449&lt;&gt;Constants!$B$8,"",Constants!$B$20+SUM($BO449:$BS449))</f>
        <v/>
      </c>
      <c r="BU449" s="97" t="str">
        <f aca="false">IF($BZ449&lt;&gt;Constants!$B$8,"",$BO449)</f>
        <v/>
      </c>
      <c r="BV449" s="97" t="str">
        <f aca="false">IF($BZ449&lt;&gt;Constants!$B$8,"",$BP449)</f>
        <v/>
      </c>
      <c r="BW449" s="97" t="str">
        <f aca="false">IF($BZ449&lt;&gt;Constants!$B$8,"",IF($AT449,$AV449,""))</f>
        <v/>
      </c>
      <c r="BX449" s="99" t="str">
        <f aca="false">IF($BZ449&lt;&gt;Constants!$B$8,"",$AI449)</f>
        <v/>
      </c>
      <c r="BY449" s="93" t="str">
        <f aca="false">IF(ISBLANK($C449),"",IF(ISBLANK($D$7),$BY$5,IF(NOT(ISNUMBER($D$7)),$BY$6,"")))</f>
        <v/>
      </c>
      <c r="BZ449" s="93" t="str">
        <f aca="false">IF(ISBLANK($C449),"",IF($BA449,Constants!$B$11,IF(COUNTA($E449:$AA449)=0,Constants!$B$10,IF(NOT($AG449),Constants!$B$9,IF(OR($BY449&lt;&gt;"",$BB449,$BN449),Constants!$B$12,Constants!$B$8)))))</f>
        <v/>
      </c>
      <c r="CA449" s="93" t="str">
        <f aca="false">IF(ISBLANK($C449),"",IF($BZ449&lt;&gt;Constants!$B$8,$BZ449,Constants!$B$13))</f>
        <v/>
      </c>
      <c r="CB449" s="97" t="str">
        <f aca="false">IF($BZ449&lt;&gt;Constants!$B$8,"",IF($BM449="-&gt;",$BT449,$BH449))</f>
        <v/>
      </c>
      <c r="CC449" s="97" t="str">
        <f aca="false">IF($BZ449&lt;&gt;Constants!$B$8,"",IF($AF449,0,Constants!$B$18))</f>
        <v/>
      </c>
      <c r="CD449" s="97" t="str">
        <f aca="false">IF($BZ449&lt;&gt;Constants!$B$8,"",((Constants!$B$31-$AZ449)-Constants!$B$31)/Constants!$B$32)</f>
        <v/>
      </c>
      <c r="CE449" s="97" t="str">
        <f aca="false">IF(ISBLANK($C449),"",IF($BZ449&lt;&gt;Constants!$B$8,$BZ449,SUM($CB449:$CD449)))</f>
        <v/>
      </c>
      <c r="CF449" s="93" t="str">
        <f aca="false">IF(ISBLANK($C449),"",IF($BZ449&lt;&gt;Constants!$B$8,$BZ449,RANK($CE449,$CE$9:$CE$508,1)))</f>
        <v/>
      </c>
      <c r="CG449" s="97" t="str">
        <f aca="false">IF($BZ449&lt;&gt;Constants!$B$8,"",IF($BM449="-&gt;",$BU449,$BI449))</f>
        <v/>
      </c>
      <c r="CH449" s="93" t="str">
        <f aca="false">IF(ISBLANK($C449),"",IF($BZ449&lt;&gt;Constants!$B$8,$BZ449,IF(ISNUMBER($CG449),RANK($CG449,$CG$9:$CG$508,1),COUNT($CG$9:$CG$508)+1)))</f>
        <v/>
      </c>
      <c r="CI449" s="97" t="str">
        <f aca="false">IF($BZ449&lt;&gt;Constants!$B$8,"",IF($BM449="-&gt;",$BV449,$BJ449))</f>
        <v/>
      </c>
      <c r="CJ449" s="93" t="str">
        <f aca="false">IF(ISBLANK($C449),"",IF($BZ449&lt;&gt;Constants!$B$8,$BZ449,IF(ISNUMBER($CI449),RANK($CI449,$CI$9:$CI$508,1),COUNT($CI$9:$CI$508)+1)))</f>
        <v/>
      </c>
      <c r="CK449" s="97" t="str">
        <f aca="false">IF($BZ449&lt;&gt;Constants!$B$8,"",IF($BM449="-&gt;",$BW449,$BK449))</f>
        <v/>
      </c>
      <c r="CL449" s="93" t="str">
        <f aca="false">IF(ISBLANK($C449),"",IF($BZ449&lt;&gt;Constants!$B$8,$BZ449,IF(ISNUMBER($CK449),RANK($CK449,$CK$9:$CK$508,1),COUNT($CK$9:$CK$508)+1)))</f>
        <v/>
      </c>
      <c r="CM449" s="97" t="str">
        <f aca="false">IF($BZ449&lt;&gt;Constants!$B$8,"",IF(AND(NOT($AL449),NOT($AT449),$AJ449,$AK449,$AR449,$AS449),"",IF($BM449="-&gt;",$BX449,$BL449)))</f>
        <v/>
      </c>
      <c r="CN449" s="93" t="str">
        <f aca="false">IF(ISBLANK($C449),"",IF($BZ449&lt;&gt;Constants!$B$8,$BZ449,IF(ISNUMBER($CM449),RANK($CM449,$CM$9:$CM$508,1),COUNT($CM$9:$CM$508)+1)))</f>
        <v/>
      </c>
      <c r="CO449" s="93" t="str">
        <f aca="false">IF(ISBLANK($C449),"",IF($BZ449&lt;&gt;Constants!$B$8,$BZ449,COUNTIFS($CF$9:$CF$508,"&lt;"&amp;$CF449)+COUNTIFS($CF$9:$CF$508,$CF449,$CH$9:$CH$508,"&lt;"&amp;$CH449)+COUNTIFS($CF$9:$CF$508,$CF449,$CH$9:$CH$508,$CH449,$CJ$9:$CJ$508,"&lt;"&amp;$CJ449)+COUNTIFS($CF$9:$CF$508,$CF449,$CH$9:$CH$508,$CH449,$CJ$9:$CJ$508,$CJ449,$CL$9:$CL$508,"&lt;"&amp;$CL449)+COUNTIFS($CF$9:$CF$508,$CF449,$CH$9:$CH$508,$CH449,$CJ$9:$CJ$508,$CJ449,$CL$9:$CL$508,$CL449,$CN$9:$CN$508,"&lt;"&amp;$CN449)+1))</f>
        <v/>
      </c>
      <c r="CP449" s="93" t="str">
        <f aca="false">IF(ISBLANK($C449),"",IF($BZ449&lt;&gt;Constants!$B$8,$BZ449,$CF449-$CO449))</f>
        <v/>
      </c>
      <c r="CQ449" s="100"/>
      <c r="CR449" s="101"/>
      <c r="CS449" s="102" t="str">
        <f aca="false">IF(ISBLANK($C449),"",IF($BZ449=Constants!$B$12,$BY449,""))</f>
        <v/>
      </c>
      <c r="CT449" s="101" t="str">
        <f aca="false">IF(ISBLANK($C449),"",IF($BZ449&lt;&gt;Constants!$B$8,"",IF($BM449="-&gt;",2,1)))</f>
        <v/>
      </c>
      <c r="CU449" s="103" t="str">
        <f aca="false">IF(ISBLANK($C449),"",IF($BZ449&lt;&gt;Constants!$B$8,"",IF($BM449="-&gt;",$BO449,$BC449)))</f>
        <v/>
      </c>
      <c r="CV449" s="103" t="str">
        <f aca="false">IF(ISBLANK($C449),"",IF($BZ449&lt;&gt;Constants!$B$8,"",IF($BM449="-&gt;",$BP449,$BD449)))</f>
        <v/>
      </c>
      <c r="CW449" s="103" t="str">
        <f aca="false">IF(ISBLANK($C449),"",IF($BZ449&lt;&gt;Constants!$B$8,"",IF($BM449="-&gt;",$BQ449+$BR449,$BE449+$BF449)+$CD449))</f>
        <v/>
      </c>
      <c r="CX449" s="103" t="str">
        <f aca="false">IF(ISBLANK($C449),"",IF($BZ449&lt;&gt;Constants!$B$8,"",IF($BM449="-&gt;",$BS449,$BG449)+$CC449))</f>
        <v/>
      </c>
      <c r="CY449" s="104" t="str">
        <f aca="false">IF(ISBLANK($C449),"",IF($BZ449&lt;&gt;Constants!$B$8,$BZ449,$CE449))</f>
        <v/>
      </c>
      <c r="CZ449" s="105" t="str">
        <f aca="false">IF(ISBLANK($C449),"",$CA449)</f>
        <v/>
      </c>
      <c r="DA449" s="106" t="str">
        <f aca="false">IF(ISBLANK($C449),"",$CP449)</f>
        <v/>
      </c>
      <c r="DB449" s="106" t="str">
        <f aca="false">IF(ISBLANK($C449),"",$CO449)</f>
        <v/>
      </c>
      <c r="DC449" s="107" t="str">
        <f aca="false">IF(ISBLANK($C449),"",IFERROR(_xlfn.SWITCH($DB449,Constants!$B$11,COUNTA($C$9:$C$508)+2,Constants!$B$10,COUNTA($C$9:$C$508)+1,Constants!$B$9,COUNTA($C$9:$C$508)),$DB449))</f>
        <v/>
      </c>
      <c r="DD449" s="9"/>
      <c r="DE449" s="108" t="n">
        <f aca="false">IF(OR(ISNUMBER($DB449),$DB449=Constants!$B$11,$DB449=Constants!$B$9,$DB449=Constants!$B$10),1,0)</f>
        <v>0</v>
      </c>
      <c r="DF449" s="108" t="n">
        <v>441</v>
      </c>
      <c r="DG449" s="108" t="str">
        <f aca="false">IF(ISBLANK($C449),"",IF(ISNUMBER($DC449),$DC449+ROW($B449)/1000,""))</f>
        <v/>
      </c>
      <c r="DH449" s="108" t="str">
        <f aca="false">IF(ISNUMBER($DG449),RANK($DG449,$DG$9:$DG$508,1),"")</f>
        <v/>
      </c>
      <c r="DI449" s="108" t="str">
        <f aca="false">IF(ISBLANK($C449),"",$B449)</f>
        <v/>
      </c>
      <c r="DJ449" s="108" t="str">
        <f aca="false">IF(ISBLANK($C449),"",$C449)</f>
        <v/>
      </c>
      <c r="DK449" s="108" t="str">
        <f aca="false">IF(ISBLANK($C449),"",$D449)</f>
        <v/>
      </c>
      <c r="DL449" s="109" t="str">
        <f aca="false">$CZ449</f>
        <v/>
      </c>
      <c r="DM449" s="110" t="str">
        <f aca="false">$CY449</f>
        <v/>
      </c>
      <c r="DN449" s="108" t="str">
        <f aca="false">IF(ISBLANK($C449),"",$DB449)</f>
        <v/>
      </c>
      <c r="DO449" s="111" t="str">
        <f aca="false">IF($DF449&gt;$DE$8,"",VLOOKUP($DF449,$DH$9:$DN$508,7,FALSE()))</f>
        <v/>
      </c>
      <c r="DP449" s="112" t="str">
        <f aca="false">IF($DF449&gt;$DE$8,"",VLOOKUP($DF449,$DH$9:$DN$508,2,FALSE()))</f>
        <v/>
      </c>
      <c r="DQ449" s="112" t="str">
        <f aca="false">IF($DF449&gt;$DE$8,"",VLOOKUP($DF449,$DH$9:$DN$508,3,FALSE()))</f>
        <v/>
      </c>
      <c r="DR449" s="112" t="str">
        <f aca="false">IF($DF449&gt;$DE$8,"",VLOOKUP($DF449,$DH$9:$DN$508,4,FALSE()))</f>
        <v/>
      </c>
      <c r="DS449" s="112" t="str">
        <f aca="false">IF($DF449&gt;$DE$8,"",VLOOKUP($DF449,$DH$9:$DN$508,5,FALSE()))</f>
        <v/>
      </c>
      <c r="DT449" s="113" t="str">
        <f aca="false">IF($DF449&gt;$DE$8,"",VLOOKUP($DF449,$DH$9:$DN$508,6,FALSE()))</f>
        <v/>
      </c>
      <c r="DU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IF(ISBLANK($C450),"",IF(E450=Constants!$B$3,TRUE(),IF(E450=Constants!$B$4,FALSE(),TRUE())))</f>
        <v/>
      </c>
      <c r="AG450" s="135" t="str">
        <f aca="false">IF(ISBLANK($C450),"",IF(F450=Constants!$B$3,TRUE(),IF(F450=Constants!$B$4,FALSE(),TRUE())))</f>
        <v/>
      </c>
      <c r="AH450" s="135" t="str">
        <f aca="false">IF(ISBLANK($C450),"",IF(G450=Constants!$B$3,TRUE(),IF(G450=Constants!$B$4,FALSE(),TRUE())))</f>
        <v/>
      </c>
      <c r="AI450" s="135" t="str">
        <f aca="false">IF(ISBLANK($C450),"",IF(AND(ISNUMBER(H450),H450&gt;=0),H450,Constants!$B$29))</f>
        <v/>
      </c>
      <c r="AJ450" s="135" t="str">
        <f aca="false">IF(ISBLANK($C450),"",IF(I450=Constants!$B$3,TRUE(),IF(I450=Constants!$B$4,FALSE(),TRUE())))</f>
        <v/>
      </c>
      <c r="AK450" s="135" t="str">
        <f aca="false">IF(ISBLANK($C450),"",IF(J450=Constants!$B$3,TRUE(),IF(J450=Constants!$B$4,FALSE(),TRUE())))</f>
        <v/>
      </c>
      <c r="AL450" s="135" t="str">
        <f aca="false">IF(ISBLANK($C450),"",IF(K450=Constants!$B$5,TRUE(),IF(K450=Constants!$B$6,FALSE(),COUNTA(L450:P450)&gt;0)))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IF(ISBLANK($C450),"",IF(N450=Constants!$B$3,TRUE(),IF(N450=Constants!$B$4,FALSE(),TRUE())))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IF(ISBLANK($C450),"",IF(P450=Constants!$B$3,TRUE(),IF(P450=Constants!$B$4,FALSE(),FALSE())))</f>
        <v/>
      </c>
      <c r="AR450" s="135" t="str">
        <f aca="false">IF(ISBLANK($C450),"",IF(Q450=Constants!$B$3,TRUE(),IF(Q450=Constants!$B$4,FALSE(),TRUE())))</f>
        <v/>
      </c>
      <c r="AS450" s="135" t="str">
        <f aca="false">IF(ISBLANK($C450),"",IF(R450=Constants!$B$3,TRUE(),IF(R450=Constants!$B$4,FALSE(),TRUE())))</f>
        <v/>
      </c>
      <c r="AT450" s="135" t="str">
        <f aca="false">IF(ISBLANK($C450),"",IF(S450=Constants!$B$5,TRUE(),IF(S450=Constants!$B$6,FALSE(),COUNTA(T450:X450)&gt;0)))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IF(ISBLANK($C450),"",IF(V450=Constants!$B$3,TRUE(),IF(V450=Constants!$B$4,FALSE(),TRUE())))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IF(ISBLANK($C450),"",IF(X450=Constants!$B$3,TRUE(),IF(X450=Constants!$B$4,FALSE(),FALSE())))</f>
        <v/>
      </c>
      <c r="AZ450" s="135" t="str">
        <f aca="false">IF(ISBLANK($C450),"",MIN(Constants!$B$31,MAX(0,IF(ISNUMBER(Y450),Y450*60,0)+IF(ISNUMBER(Z450),Z450,0))))</f>
        <v/>
      </c>
      <c r="BA450" s="135" t="str">
        <f aca="false">IF(ISBLANK($C450),"",IF(AA450=Constants!$B$3,TRUE(),IF(AA450=Constants!$B$4,FALSE(),FALSE())))</f>
        <v/>
      </c>
      <c r="BB450" s="134" t="str">
        <f aca="false">IF(ISBLANK($C450),"",AND($AL450,OR($AM450="",$AN450="",AND($AO450,$AP450=""))))</f>
        <v/>
      </c>
      <c r="BC450" s="137" t="str">
        <f aca="false">IF($BZ450&lt;&gt;Constants!$B$8,"",IF($AL450,Constants!$B$21*$AN450+Constants!$B$22*IF($AO450,$AP450,Constants!$B$23),Constants!$B$24))</f>
        <v/>
      </c>
      <c r="BD450" s="138" t="str">
        <f aca="false">IF($BZ450&lt;&gt;Constants!$B$8,"",Constants!$B$25*ABS($AD$9-IF($AL450,$AM450,0)))</f>
        <v/>
      </c>
      <c r="BE450" s="138" t="str">
        <f aca="false">IF($BZ450&lt;&gt;Constants!$B$8,"",IF(AND($AL450,$AQ450,$AO450),Constants!$B$27,0))</f>
        <v/>
      </c>
      <c r="BF450" s="138" t="str">
        <f aca="false">IF($BZ450&lt;&gt;Constants!$B$8,"",IF($AL450,($AI450-Constants!$B$29)*Constants!$B$28,0))</f>
        <v/>
      </c>
      <c r="BG450" s="138" t="str">
        <f aca="false">IF($BZ450&lt;&gt;Constants!$B$8,"",IF($AK450,0,Constants!$B$15)+IF($AJ450,0,Constants!$B$16)+IF($AH450,0,Constants!$B$17))</f>
        <v/>
      </c>
      <c r="BH450" s="139" t="str">
        <f aca="false">IF($BZ450&lt;&gt;Constants!$B$8,"",Constants!$B$20+SUM($BC450:$BG450))</f>
        <v/>
      </c>
      <c r="BI450" s="138" t="str">
        <f aca="false">IF($BZ450&lt;&gt;Constants!$B$8,"",$BC450)</f>
        <v/>
      </c>
      <c r="BJ450" s="138" t="str">
        <f aca="false">IF($BZ450&lt;&gt;Constants!$B$8,"",$BD450)</f>
        <v/>
      </c>
      <c r="BK450" s="138" t="str">
        <f aca="false">IF($BZ450&lt;&gt;Constants!$B$8,"",IF($AL450,$AN450,""))</f>
        <v/>
      </c>
      <c r="BL450" s="140" t="str">
        <f aca="false">IF($BZ450&lt;&gt;Constants!$B$8,"",$AI450)</f>
        <v/>
      </c>
      <c r="BM450" s="135" t="str">
        <f aca="false">IF($BZ450&lt;&gt;Constants!$B$8,"",IF(OR($BT450&lt;$BH450,AND($BT450=$BH450,OR($BU450&lt;$BI450,AND($BU450=$BI450,OR($BV450&lt;$BJ450,AND($BV450=$BJ450,OR(AND(ISNUMBER($BW450),OR(NOT(ISNUMBER($BK450)),$BW450&lt;$BK450)),AND(OR(AND($BW450="",$BK450=""),AND(ISNUMBER($BW450),ISNUMBER($BK450),$BW450=$BK450)),$BX450&lt;$BL450)))))))),"-&gt;","&lt;-"))</f>
        <v/>
      </c>
      <c r="BN450" s="134" t="str">
        <f aca="false">IF(ISBLANK($C450),"",AND($AT450,OR($AU450="",$AV450="",AND($AW450,$AX450=""))))</f>
        <v/>
      </c>
      <c r="BO450" s="137" t="str">
        <f aca="false">IF($BZ450&lt;&gt;Constants!$B$8,"",IF($AT450,Constants!$B$21*$AV450+Constants!$B$22*IF($AW450,$AX450,Constants!$B$23),Constants!$B$24))</f>
        <v/>
      </c>
      <c r="BP450" s="138" t="str">
        <f aca="false">IF($BZ450&lt;&gt;Constants!$B$8,"",Constants!$B$25*ABS($AD$9-IF($AT450,$AU450,0)))</f>
        <v/>
      </c>
      <c r="BQ450" s="138" t="str">
        <f aca="false">IF($BZ450&lt;&gt;Constants!$B$8,"",IF(AND($AT450,$AY450,$AW450),Constants!$B$27,0))</f>
        <v/>
      </c>
      <c r="BR450" s="138" t="str">
        <f aca="false">IF($BZ450&lt;&gt;Constants!$B$8,"",IF($AT450,($AI450-Constants!$B$29)*Constants!$B$28,0))</f>
        <v/>
      </c>
      <c r="BS450" s="138" t="str">
        <f aca="false">IF($BZ450&lt;&gt;Constants!$B$8,"",IF($AS450,0,Constants!$B$15)+IF($AR450,0,Constants!$B$16)+IF($AH450,0,Constants!$B$17))</f>
        <v/>
      </c>
      <c r="BT450" s="139" t="str">
        <f aca="false">IF($BZ450&lt;&gt;Constants!$B$8,"",Constants!$B$20+SUM($BO450:$BS450))</f>
        <v/>
      </c>
      <c r="BU450" s="138" t="str">
        <f aca="false">IF($BZ450&lt;&gt;Constants!$B$8,"",$BO450)</f>
        <v/>
      </c>
      <c r="BV450" s="138" t="str">
        <f aca="false">IF($BZ450&lt;&gt;Constants!$B$8,"",$BP450)</f>
        <v/>
      </c>
      <c r="BW450" s="138" t="str">
        <f aca="false">IF($BZ450&lt;&gt;Constants!$B$8,"",IF($AT450,$AV450,""))</f>
        <v/>
      </c>
      <c r="BX450" s="140" t="str">
        <f aca="false">IF($BZ450&lt;&gt;Constants!$B$8,"",$AI450)</f>
        <v/>
      </c>
      <c r="BY450" s="135" t="str">
        <f aca="false">IF(ISBLANK($C450),"",IF(ISBLANK($D$7),$BY$5,IF(NOT(ISNUMBER($D$7)),$BY$6,"")))</f>
        <v/>
      </c>
      <c r="BZ450" s="135" t="str">
        <f aca="false">IF(ISBLANK($C450),"",IF($BA450,Constants!$B$11,IF(COUNTA($E450:$AA450)=0,Constants!$B$10,IF(NOT($AG450),Constants!$B$9,IF(OR($BY450&lt;&gt;"",$BB450,$BN450),Constants!$B$12,Constants!$B$8)))))</f>
        <v/>
      </c>
      <c r="CA450" s="135" t="str">
        <f aca="false">IF(ISBLANK($C450),"",IF($BZ450&lt;&gt;Constants!$B$8,$BZ450,Constants!$B$13))</f>
        <v/>
      </c>
      <c r="CB450" s="138" t="str">
        <f aca="false">IF($BZ450&lt;&gt;Constants!$B$8,"",IF($BM450="-&gt;",$BT450,$BH450))</f>
        <v/>
      </c>
      <c r="CC450" s="138" t="str">
        <f aca="false">IF($BZ450&lt;&gt;Constants!$B$8,"",IF($AF450,0,Constants!$B$18))</f>
        <v/>
      </c>
      <c r="CD450" s="138" t="str">
        <f aca="false">IF($BZ450&lt;&gt;Constants!$B$8,"",((Constants!$B$31-$AZ450)-Constants!$B$31)/Constants!$B$32)</f>
        <v/>
      </c>
      <c r="CE450" s="138" t="str">
        <f aca="false">IF(ISBLANK($C450),"",IF($BZ450&lt;&gt;Constants!$B$8,$BZ450,SUM($CB450:$CD450)))</f>
        <v/>
      </c>
      <c r="CF450" s="135" t="str">
        <f aca="false">IF(ISBLANK($C450),"",IF($BZ450&lt;&gt;Constants!$B$8,$BZ450,RANK($CE450,$CE$9:$CE$508,1)))</f>
        <v/>
      </c>
      <c r="CG450" s="138" t="str">
        <f aca="false">IF($BZ450&lt;&gt;Constants!$B$8,"",IF($BM450="-&gt;",$BU450,$BI450))</f>
        <v/>
      </c>
      <c r="CH450" s="135" t="str">
        <f aca="false">IF(ISBLANK($C450),"",IF($BZ450&lt;&gt;Constants!$B$8,$BZ450,IF(ISNUMBER($CG450),RANK($CG450,$CG$9:$CG$508,1),COUNT($CG$9:$CG$508)+1)))</f>
        <v/>
      </c>
      <c r="CI450" s="138" t="str">
        <f aca="false">IF($BZ450&lt;&gt;Constants!$B$8,"",IF($BM450="-&gt;",$BV450,$BJ450))</f>
        <v/>
      </c>
      <c r="CJ450" s="135" t="str">
        <f aca="false">IF(ISBLANK($C450),"",IF($BZ450&lt;&gt;Constants!$B$8,$BZ450,IF(ISNUMBER($CI450),RANK($CI450,$CI$9:$CI$508,1),COUNT($CI$9:$CI$508)+1)))</f>
        <v/>
      </c>
      <c r="CK450" s="138" t="str">
        <f aca="false">IF($BZ450&lt;&gt;Constants!$B$8,"",IF($BM450="-&gt;",$BW450,$BK450))</f>
        <v/>
      </c>
      <c r="CL450" s="135" t="str">
        <f aca="false">IF(ISBLANK($C450),"",IF($BZ450&lt;&gt;Constants!$B$8,$BZ450,IF(ISNUMBER($CK450),RANK($CK450,$CK$9:$CK$508,1),COUNT($CK$9:$CK$508)+1)))</f>
        <v/>
      </c>
      <c r="CM450" s="138" t="str">
        <f aca="false">IF($BZ450&lt;&gt;Constants!$B$8,"",IF(AND(NOT($AL450),NOT($AT450),$AJ450,$AK450,$AR450,$AS450),"",IF($BM450="-&gt;",$BX450,$BL450)))</f>
        <v/>
      </c>
      <c r="CN450" s="135" t="str">
        <f aca="false">IF(ISBLANK($C450),"",IF($BZ450&lt;&gt;Constants!$B$8,$BZ450,IF(ISNUMBER($CM450),RANK($CM450,$CM$9:$CM$508,1),COUNT($CM$9:$CM$508)+1)))</f>
        <v/>
      </c>
      <c r="CO450" s="135" t="str">
        <f aca="false">IF(ISBLANK($C450),"",IF($BZ450&lt;&gt;Constants!$B$8,$BZ450,COUNTIFS($CF$9:$CF$508,"&lt;"&amp;$CF450)+COUNTIFS($CF$9:$CF$508,$CF450,$CH$9:$CH$508,"&lt;"&amp;$CH450)+COUNTIFS($CF$9:$CF$508,$CF450,$CH$9:$CH$508,$CH450,$CJ$9:$CJ$508,"&lt;"&amp;$CJ450)+COUNTIFS($CF$9:$CF$508,$CF450,$CH$9:$CH$508,$CH450,$CJ$9:$CJ$508,$CJ450,$CL$9:$CL$508,"&lt;"&amp;$CL450)+COUNTIFS($CF$9:$CF$508,$CF450,$CH$9:$CH$508,$CH450,$CJ$9:$CJ$508,$CJ450,$CL$9:$CL$508,$CL450,$CN$9:$CN$508,"&lt;"&amp;$CN450)+1))</f>
        <v/>
      </c>
      <c r="CP450" s="135" t="str">
        <f aca="false">IF(ISBLANK($C450),"",IF($BZ450&lt;&gt;Constants!$B$8,$BZ450,$CF450-$CO450))</f>
        <v/>
      </c>
      <c r="CQ450" s="141"/>
      <c r="CR450" s="142"/>
      <c r="CS450" s="143" t="str">
        <f aca="false">IF(ISBLANK($C450),"",IF($BZ450=Constants!$B$12,$BY450,""))</f>
        <v/>
      </c>
      <c r="CT450" s="142" t="str">
        <f aca="false">IF(ISBLANK($C450),"",IF($BZ450&lt;&gt;Constants!$B$8,"",IF($BM450="-&gt;",2,1)))</f>
        <v/>
      </c>
      <c r="CU450" s="144" t="str">
        <f aca="false">IF(ISBLANK($C450),"",IF($BZ450&lt;&gt;Constants!$B$8,"",IF($BM450="-&gt;",$BO450,$BC450)))</f>
        <v/>
      </c>
      <c r="CV450" s="144" t="str">
        <f aca="false">IF(ISBLANK($C450),"",IF($BZ450&lt;&gt;Constants!$B$8,"",IF($BM450="-&gt;",$BP450,$BD450)))</f>
        <v/>
      </c>
      <c r="CW450" s="144" t="str">
        <f aca="false">IF(ISBLANK($C450),"",IF($BZ450&lt;&gt;Constants!$B$8,"",IF($BM450="-&gt;",$BQ450+$BR450,$BE450+$BF450)+$CD450))</f>
        <v/>
      </c>
      <c r="CX450" s="144" t="str">
        <f aca="false">IF(ISBLANK($C450),"",IF($BZ450&lt;&gt;Constants!$B$8,"",IF($BM450="-&gt;",$BS450,$BG450)+$CC450))</f>
        <v/>
      </c>
      <c r="CY450" s="145" t="str">
        <f aca="false">IF(ISBLANK($C450),"",IF($BZ450&lt;&gt;Constants!$B$8,$BZ450,$CE450))</f>
        <v/>
      </c>
      <c r="CZ450" s="146" t="str">
        <f aca="false">IF(ISBLANK($C450),"",$CA450)</f>
        <v/>
      </c>
      <c r="DA450" s="147" t="str">
        <f aca="false">IF(ISBLANK($C450),"",$CP450)</f>
        <v/>
      </c>
      <c r="DB450" s="147" t="str">
        <f aca="false">IF(ISBLANK($C450),"",$CO450)</f>
        <v/>
      </c>
      <c r="DC450" s="148" t="str">
        <f aca="false">IF(ISBLANK($C450),"",IFERROR(_xlfn.SWITCH($DB450,Constants!$B$11,COUNTA($C$9:$C$508)+2,Constants!$B$10,COUNTA($C$9:$C$508)+1,Constants!$B$9,COUNTA($C$9:$C$508)),$DB450))</f>
        <v/>
      </c>
      <c r="DD450" s="9"/>
      <c r="DE450" s="149" t="n">
        <f aca="false">IF(OR(ISNUMBER($DB450),$DB450=Constants!$B$11,$DB450=Constants!$B$9,$DB450=Constants!$B$10),1,0)</f>
        <v>0</v>
      </c>
      <c r="DF450" s="149" t="n">
        <v>442</v>
      </c>
      <c r="DG450" s="149" t="str">
        <f aca="false">IF(ISBLANK($C450),"",IF(ISNUMBER($DC450),$DC450+ROW($B450)/1000,""))</f>
        <v/>
      </c>
      <c r="DH450" s="149" t="str">
        <f aca="false">IF(ISNUMBER($DG450),RANK($DG450,$DG$9:$DG$508,1),"")</f>
        <v/>
      </c>
      <c r="DI450" s="149" t="str">
        <f aca="false">IF(ISBLANK($C450),"",$B450)</f>
        <v/>
      </c>
      <c r="DJ450" s="149" t="str">
        <f aca="false">IF(ISBLANK($C450),"",$C450)</f>
        <v/>
      </c>
      <c r="DK450" s="149" t="str">
        <f aca="false">IF(ISBLANK($C450),"",$D450)</f>
        <v/>
      </c>
      <c r="DL450" s="150" t="str">
        <f aca="false">$CZ450</f>
        <v/>
      </c>
      <c r="DM450" s="151" t="str">
        <f aca="false">$CY450</f>
        <v/>
      </c>
      <c r="DN450" s="149" t="str">
        <f aca="false">IF(ISBLANK($C450),"",$DB450)</f>
        <v/>
      </c>
      <c r="DO450" s="152" t="str">
        <f aca="false">IF($DF450&gt;$DE$8,"",VLOOKUP($DF450,$DH$9:$DN$508,7,FALSE()))</f>
        <v/>
      </c>
      <c r="DP450" s="153" t="str">
        <f aca="false">IF($DF450&gt;$DE$8,"",VLOOKUP($DF450,$DH$9:$DN$508,2,FALSE()))</f>
        <v/>
      </c>
      <c r="DQ450" s="153" t="str">
        <f aca="false">IF($DF450&gt;$DE$8,"",VLOOKUP($DF450,$DH$9:$DN$508,3,FALSE()))</f>
        <v/>
      </c>
      <c r="DR450" s="153" t="str">
        <f aca="false">IF($DF450&gt;$DE$8,"",VLOOKUP($DF450,$DH$9:$DN$508,4,FALSE()))</f>
        <v/>
      </c>
      <c r="DS450" s="153" t="str">
        <f aca="false">IF($DF450&gt;$DE$8,"",VLOOKUP($DF450,$DH$9:$DN$508,5,FALSE()))</f>
        <v/>
      </c>
      <c r="DT450" s="154" t="str">
        <f aca="false">IF($DF450&gt;$DE$8,"",VLOOKUP($DF450,$DH$9:$DN$508,6,FALSE()))</f>
        <v/>
      </c>
      <c r="DU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IF(ISBLANK($C451),"",IF(E451=Constants!$B$3,TRUE(),IF(E451=Constants!$B$4,FALSE(),TRUE())))</f>
        <v/>
      </c>
      <c r="AG451" s="135" t="str">
        <f aca="false">IF(ISBLANK($C451),"",IF(F451=Constants!$B$3,TRUE(),IF(F451=Constants!$B$4,FALSE(),TRUE())))</f>
        <v/>
      </c>
      <c r="AH451" s="135" t="str">
        <f aca="false">IF(ISBLANK($C451),"",IF(G451=Constants!$B$3,TRUE(),IF(G451=Constants!$B$4,FALSE(),TRUE())))</f>
        <v/>
      </c>
      <c r="AI451" s="135" t="str">
        <f aca="false">IF(ISBLANK($C451),"",IF(AND(ISNUMBER(H451),H451&gt;=0),H451,Constants!$B$29))</f>
        <v/>
      </c>
      <c r="AJ451" s="135" t="str">
        <f aca="false">IF(ISBLANK($C451),"",IF(I451=Constants!$B$3,TRUE(),IF(I451=Constants!$B$4,FALSE(),TRUE())))</f>
        <v/>
      </c>
      <c r="AK451" s="135" t="str">
        <f aca="false">IF(ISBLANK($C451),"",IF(J451=Constants!$B$3,TRUE(),IF(J451=Constants!$B$4,FALSE(),TRUE())))</f>
        <v/>
      </c>
      <c r="AL451" s="135" t="str">
        <f aca="false">IF(ISBLANK($C451),"",IF(K451=Constants!$B$5,TRUE(),IF(K451=Constants!$B$6,FALSE(),COUNTA(L451:P451)&gt;0)))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IF(ISBLANK($C451),"",IF(N451=Constants!$B$3,TRUE(),IF(N451=Constants!$B$4,FALSE(),TRUE())))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IF(ISBLANK($C451),"",IF(P451=Constants!$B$3,TRUE(),IF(P451=Constants!$B$4,FALSE(),FALSE())))</f>
        <v/>
      </c>
      <c r="AR451" s="135" t="str">
        <f aca="false">IF(ISBLANK($C451),"",IF(Q451=Constants!$B$3,TRUE(),IF(Q451=Constants!$B$4,FALSE(),TRUE())))</f>
        <v/>
      </c>
      <c r="AS451" s="135" t="str">
        <f aca="false">IF(ISBLANK($C451),"",IF(R451=Constants!$B$3,TRUE(),IF(R451=Constants!$B$4,FALSE(),TRUE())))</f>
        <v/>
      </c>
      <c r="AT451" s="135" t="str">
        <f aca="false">IF(ISBLANK($C451),"",IF(S451=Constants!$B$5,TRUE(),IF(S451=Constants!$B$6,FALSE(),COUNTA(T451:X451)&gt;0)))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IF(ISBLANK($C451),"",IF(V451=Constants!$B$3,TRUE(),IF(V451=Constants!$B$4,FALSE(),TRUE())))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IF(ISBLANK($C451),"",IF(X451=Constants!$B$3,TRUE(),IF(X451=Constants!$B$4,FALSE(),FALSE())))</f>
        <v/>
      </c>
      <c r="AZ451" s="135" t="str">
        <f aca="false">IF(ISBLANK($C451),"",MIN(Constants!$B$31,MAX(0,IF(ISNUMBER(Y451),Y451*60,0)+IF(ISNUMBER(Z451),Z451,0))))</f>
        <v/>
      </c>
      <c r="BA451" s="135" t="str">
        <f aca="false">IF(ISBLANK($C451),"",IF(AA451=Constants!$B$3,TRUE(),IF(AA451=Constants!$B$4,FALSE(),FALSE())))</f>
        <v/>
      </c>
      <c r="BB451" s="134" t="str">
        <f aca="false">IF(ISBLANK($C451),"",AND($AL451,OR($AM451="",$AN451="",AND($AO451,$AP451=""))))</f>
        <v/>
      </c>
      <c r="BC451" s="137" t="str">
        <f aca="false">IF($BZ451&lt;&gt;Constants!$B$8,"",IF($AL451,Constants!$B$21*$AN451+Constants!$B$22*IF($AO451,$AP451,Constants!$B$23),Constants!$B$24))</f>
        <v/>
      </c>
      <c r="BD451" s="138" t="str">
        <f aca="false">IF($BZ451&lt;&gt;Constants!$B$8,"",Constants!$B$25*ABS($AD$9-IF($AL451,$AM451,0)))</f>
        <v/>
      </c>
      <c r="BE451" s="138" t="str">
        <f aca="false">IF($BZ451&lt;&gt;Constants!$B$8,"",IF(AND($AL451,$AQ451,$AO451),Constants!$B$27,0))</f>
        <v/>
      </c>
      <c r="BF451" s="138" t="str">
        <f aca="false">IF($BZ451&lt;&gt;Constants!$B$8,"",IF($AL451,($AI451-Constants!$B$29)*Constants!$B$28,0))</f>
        <v/>
      </c>
      <c r="BG451" s="138" t="str">
        <f aca="false">IF($BZ451&lt;&gt;Constants!$B$8,"",IF($AK451,0,Constants!$B$15)+IF($AJ451,0,Constants!$B$16)+IF($AH451,0,Constants!$B$17))</f>
        <v/>
      </c>
      <c r="BH451" s="139" t="str">
        <f aca="false">IF($BZ451&lt;&gt;Constants!$B$8,"",Constants!$B$20+SUM($BC451:$BG451))</f>
        <v/>
      </c>
      <c r="BI451" s="138" t="str">
        <f aca="false">IF($BZ451&lt;&gt;Constants!$B$8,"",$BC451)</f>
        <v/>
      </c>
      <c r="BJ451" s="138" t="str">
        <f aca="false">IF($BZ451&lt;&gt;Constants!$B$8,"",$BD451)</f>
        <v/>
      </c>
      <c r="BK451" s="138" t="str">
        <f aca="false">IF($BZ451&lt;&gt;Constants!$B$8,"",IF($AL451,$AN451,""))</f>
        <v/>
      </c>
      <c r="BL451" s="140" t="str">
        <f aca="false">IF($BZ451&lt;&gt;Constants!$B$8,"",$AI451)</f>
        <v/>
      </c>
      <c r="BM451" s="135" t="str">
        <f aca="false">IF($BZ451&lt;&gt;Constants!$B$8,"",IF(OR($BT451&lt;$BH451,AND($BT451=$BH451,OR($BU451&lt;$BI451,AND($BU451=$BI451,OR($BV451&lt;$BJ451,AND($BV451=$BJ451,OR(AND(ISNUMBER($BW451),OR(NOT(ISNUMBER($BK451)),$BW451&lt;$BK451)),AND(OR(AND($BW451="",$BK451=""),AND(ISNUMBER($BW451),ISNUMBER($BK451),$BW451=$BK451)),$BX451&lt;$BL451)))))))),"-&gt;","&lt;-"))</f>
        <v/>
      </c>
      <c r="BN451" s="134" t="str">
        <f aca="false">IF(ISBLANK($C451),"",AND($AT451,OR($AU451="",$AV451="",AND($AW451,$AX451=""))))</f>
        <v/>
      </c>
      <c r="BO451" s="137" t="str">
        <f aca="false">IF($BZ451&lt;&gt;Constants!$B$8,"",IF($AT451,Constants!$B$21*$AV451+Constants!$B$22*IF($AW451,$AX451,Constants!$B$23),Constants!$B$24))</f>
        <v/>
      </c>
      <c r="BP451" s="138" t="str">
        <f aca="false">IF($BZ451&lt;&gt;Constants!$B$8,"",Constants!$B$25*ABS($AD$9-IF($AT451,$AU451,0)))</f>
        <v/>
      </c>
      <c r="BQ451" s="138" t="str">
        <f aca="false">IF($BZ451&lt;&gt;Constants!$B$8,"",IF(AND($AT451,$AY451,$AW451),Constants!$B$27,0))</f>
        <v/>
      </c>
      <c r="BR451" s="138" t="str">
        <f aca="false">IF($BZ451&lt;&gt;Constants!$B$8,"",IF($AT451,($AI451-Constants!$B$29)*Constants!$B$28,0))</f>
        <v/>
      </c>
      <c r="BS451" s="138" t="str">
        <f aca="false">IF($BZ451&lt;&gt;Constants!$B$8,"",IF($AS451,0,Constants!$B$15)+IF($AR451,0,Constants!$B$16)+IF($AH451,0,Constants!$B$17))</f>
        <v/>
      </c>
      <c r="BT451" s="139" t="str">
        <f aca="false">IF($BZ451&lt;&gt;Constants!$B$8,"",Constants!$B$20+SUM($BO451:$BS451))</f>
        <v/>
      </c>
      <c r="BU451" s="138" t="str">
        <f aca="false">IF($BZ451&lt;&gt;Constants!$B$8,"",$BO451)</f>
        <v/>
      </c>
      <c r="BV451" s="138" t="str">
        <f aca="false">IF($BZ451&lt;&gt;Constants!$B$8,"",$BP451)</f>
        <v/>
      </c>
      <c r="BW451" s="138" t="str">
        <f aca="false">IF($BZ451&lt;&gt;Constants!$B$8,"",IF($AT451,$AV451,""))</f>
        <v/>
      </c>
      <c r="BX451" s="140" t="str">
        <f aca="false">IF($BZ451&lt;&gt;Constants!$B$8,"",$AI451)</f>
        <v/>
      </c>
      <c r="BY451" s="135" t="str">
        <f aca="false">IF(ISBLANK($C451),"",IF(ISBLANK($D$7),$BY$5,IF(NOT(ISNUMBER($D$7)),$BY$6,"")))</f>
        <v/>
      </c>
      <c r="BZ451" s="135" t="str">
        <f aca="false">IF(ISBLANK($C451),"",IF($BA451,Constants!$B$11,IF(COUNTA($E451:$AA451)=0,Constants!$B$10,IF(NOT($AG451),Constants!$B$9,IF(OR($BY451&lt;&gt;"",$BB451,$BN451),Constants!$B$12,Constants!$B$8)))))</f>
        <v/>
      </c>
      <c r="CA451" s="135" t="str">
        <f aca="false">IF(ISBLANK($C451),"",IF($BZ451&lt;&gt;Constants!$B$8,$BZ451,Constants!$B$13))</f>
        <v/>
      </c>
      <c r="CB451" s="138" t="str">
        <f aca="false">IF($BZ451&lt;&gt;Constants!$B$8,"",IF($BM451="-&gt;",$BT451,$BH451))</f>
        <v/>
      </c>
      <c r="CC451" s="138" t="str">
        <f aca="false">IF($BZ451&lt;&gt;Constants!$B$8,"",IF($AF451,0,Constants!$B$18))</f>
        <v/>
      </c>
      <c r="CD451" s="138" t="str">
        <f aca="false">IF($BZ451&lt;&gt;Constants!$B$8,"",((Constants!$B$31-$AZ451)-Constants!$B$31)/Constants!$B$32)</f>
        <v/>
      </c>
      <c r="CE451" s="138" t="str">
        <f aca="false">IF(ISBLANK($C451),"",IF($BZ451&lt;&gt;Constants!$B$8,$BZ451,SUM($CB451:$CD451)))</f>
        <v/>
      </c>
      <c r="CF451" s="135" t="str">
        <f aca="false">IF(ISBLANK($C451),"",IF($BZ451&lt;&gt;Constants!$B$8,$BZ451,RANK($CE451,$CE$9:$CE$508,1)))</f>
        <v/>
      </c>
      <c r="CG451" s="138" t="str">
        <f aca="false">IF($BZ451&lt;&gt;Constants!$B$8,"",IF($BM451="-&gt;",$BU451,$BI451))</f>
        <v/>
      </c>
      <c r="CH451" s="135" t="str">
        <f aca="false">IF(ISBLANK($C451),"",IF($BZ451&lt;&gt;Constants!$B$8,$BZ451,IF(ISNUMBER($CG451),RANK($CG451,$CG$9:$CG$508,1),COUNT($CG$9:$CG$508)+1)))</f>
        <v/>
      </c>
      <c r="CI451" s="138" t="str">
        <f aca="false">IF($BZ451&lt;&gt;Constants!$B$8,"",IF($BM451="-&gt;",$BV451,$BJ451))</f>
        <v/>
      </c>
      <c r="CJ451" s="135" t="str">
        <f aca="false">IF(ISBLANK($C451),"",IF($BZ451&lt;&gt;Constants!$B$8,$BZ451,IF(ISNUMBER($CI451),RANK($CI451,$CI$9:$CI$508,1),COUNT($CI$9:$CI$508)+1)))</f>
        <v/>
      </c>
      <c r="CK451" s="138" t="str">
        <f aca="false">IF($BZ451&lt;&gt;Constants!$B$8,"",IF($BM451="-&gt;",$BW451,$BK451))</f>
        <v/>
      </c>
      <c r="CL451" s="135" t="str">
        <f aca="false">IF(ISBLANK($C451),"",IF($BZ451&lt;&gt;Constants!$B$8,$BZ451,IF(ISNUMBER($CK451),RANK($CK451,$CK$9:$CK$508,1),COUNT($CK$9:$CK$508)+1)))</f>
        <v/>
      </c>
      <c r="CM451" s="138" t="str">
        <f aca="false">IF($BZ451&lt;&gt;Constants!$B$8,"",IF(AND(NOT($AL451),NOT($AT451),$AJ451,$AK451,$AR451,$AS451),"",IF($BM451="-&gt;",$BX451,$BL451)))</f>
        <v/>
      </c>
      <c r="CN451" s="135" t="str">
        <f aca="false">IF(ISBLANK($C451),"",IF($BZ451&lt;&gt;Constants!$B$8,$BZ451,IF(ISNUMBER($CM451),RANK($CM451,$CM$9:$CM$508,1),COUNT($CM$9:$CM$508)+1)))</f>
        <v/>
      </c>
      <c r="CO451" s="135" t="str">
        <f aca="false">IF(ISBLANK($C451),"",IF($BZ451&lt;&gt;Constants!$B$8,$BZ451,COUNTIFS($CF$9:$CF$508,"&lt;"&amp;$CF451)+COUNTIFS($CF$9:$CF$508,$CF451,$CH$9:$CH$508,"&lt;"&amp;$CH451)+COUNTIFS($CF$9:$CF$508,$CF451,$CH$9:$CH$508,$CH451,$CJ$9:$CJ$508,"&lt;"&amp;$CJ451)+COUNTIFS($CF$9:$CF$508,$CF451,$CH$9:$CH$508,$CH451,$CJ$9:$CJ$508,$CJ451,$CL$9:$CL$508,"&lt;"&amp;$CL451)+COUNTIFS($CF$9:$CF$508,$CF451,$CH$9:$CH$508,$CH451,$CJ$9:$CJ$508,$CJ451,$CL$9:$CL$508,$CL451,$CN$9:$CN$508,"&lt;"&amp;$CN451)+1))</f>
        <v/>
      </c>
      <c r="CP451" s="135" t="str">
        <f aca="false">IF(ISBLANK($C451),"",IF($BZ451&lt;&gt;Constants!$B$8,$BZ451,$CF451-$CO451))</f>
        <v/>
      </c>
      <c r="CQ451" s="141"/>
      <c r="CR451" s="142"/>
      <c r="CS451" s="143" t="str">
        <f aca="false">IF(ISBLANK($C451),"",IF($BZ451=Constants!$B$12,$BY451,""))</f>
        <v/>
      </c>
      <c r="CT451" s="142" t="str">
        <f aca="false">IF(ISBLANK($C451),"",IF($BZ451&lt;&gt;Constants!$B$8,"",IF($BM451="-&gt;",2,1)))</f>
        <v/>
      </c>
      <c r="CU451" s="144" t="str">
        <f aca="false">IF(ISBLANK($C451),"",IF($BZ451&lt;&gt;Constants!$B$8,"",IF($BM451="-&gt;",$BO451,$BC451)))</f>
        <v/>
      </c>
      <c r="CV451" s="144" t="str">
        <f aca="false">IF(ISBLANK($C451),"",IF($BZ451&lt;&gt;Constants!$B$8,"",IF($BM451="-&gt;",$BP451,$BD451)))</f>
        <v/>
      </c>
      <c r="CW451" s="144" t="str">
        <f aca="false">IF(ISBLANK($C451),"",IF($BZ451&lt;&gt;Constants!$B$8,"",IF($BM451="-&gt;",$BQ451+$BR451,$BE451+$BF451)+$CD451))</f>
        <v/>
      </c>
      <c r="CX451" s="144" t="str">
        <f aca="false">IF(ISBLANK($C451),"",IF($BZ451&lt;&gt;Constants!$B$8,"",IF($BM451="-&gt;",$BS451,$BG451)+$CC451))</f>
        <v/>
      </c>
      <c r="CY451" s="145" t="str">
        <f aca="false">IF(ISBLANK($C451),"",IF($BZ451&lt;&gt;Constants!$B$8,$BZ451,$CE451))</f>
        <v/>
      </c>
      <c r="CZ451" s="146" t="str">
        <f aca="false">IF(ISBLANK($C451),"",$CA451)</f>
        <v/>
      </c>
      <c r="DA451" s="147" t="str">
        <f aca="false">IF(ISBLANK($C451),"",$CP451)</f>
        <v/>
      </c>
      <c r="DB451" s="147" t="str">
        <f aca="false">IF(ISBLANK($C451),"",$CO451)</f>
        <v/>
      </c>
      <c r="DC451" s="148" t="str">
        <f aca="false">IF(ISBLANK($C451),"",IFERROR(_xlfn.SWITCH($DB451,Constants!$B$11,COUNTA($C$9:$C$508)+2,Constants!$B$10,COUNTA($C$9:$C$508)+1,Constants!$B$9,COUNTA($C$9:$C$508)),$DB451))</f>
        <v/>
      </c>
      <c r="DD451" s="9"/>
      <c r="DE451" s="149" t="n">
        <f aca="false">IF(OR(ISNUMBER($DB451),$DB451=Constants!$B$11,$DB451=Constants!$B$9,$DB451=Constants!$B$10),1,0)</f>
        <v>0</v>
      </c>
      <c r="DF451" s="149" t="n">
        <v>443</v>
      </c>
      <c r="DG451" s="149" t="str">
        <f aca="false">IF(ISBLANK($C451),"",IF(ISNUMBER($DC451),$DC451+ROW($B451)/1000,""))</f>
        <v/>
      </c>
      <c r="DH451" s="149" t="str">
        <f aca="false">IF(ISNUMBER($DG451),RANK($DG451,$DG$9:$DG$508,1),"")</f>
        <v/>
      </c>
      <c r="DI451" s="149" t="str">
        <f aca="false">IF(ISBLANK($C451),"",$B451)</f>
        <v/>
      </c>
      <c r="DJ451" s="149" t="str">
        <f aca="false">IF(ISBLANK($C451),"",$C451)</f>
        <v/>
      </c>
      <c r="DK451" s="149" t="str">
        <f aca="false">IF(ISBLANK($C451),"",$D451)</f>
        <v/>
      </c>
      <c r="DL451" s="150" t="str">
        <f aca="false">$CZ451</f>
        <v/>
      </c>
      <c r="DM451" s="151" t="str">
        <f aca="false">$CY451</f>
        <v/>
      </c>
      <c r="DN451" s="149" t="str">
        <f aca="false">IF(ISBLANK($C451),"",$DB451)</f>
        <v/>
      </c>
      <c r="DO451" s="152" t="str">
        <f aca="false">IF($DF451&gt;$DE$8,"",VLOOKUP($DF451,$DH$9:$DN$508,7,FALSE()))</f>
        <v/>
      </c>
      <c r="DP451" s="153" t="str">
        <f aca="false">IF($DF451&gt;$DE$8,"",VLOOKUP($DF451,$DH$9:$DN$508,2,FALSE()))</f>
        <v/>
      </c>
      <c r="DQ451" s="153" t="str">
        <f aca="false">IF($DF451&gt;$DE$8,"",VLOOKUP($DF451,$DH$9:$DN$508,3,FALSE()))</f>
        <v/>
      </c>
      <c r="DR451" s="153" t="str">
        <f aca="false">IF($DF451&gt;$DE$8,"",VLOOKUP($DF451,$DH$9:$DN$508,4,FALSE()))</f>
        <v/>
      </c>
      <c r="DS451" s="153" t="str">
        <f aca="false">IF($DF451&gt;$DE$8,"",VLOOKUP($DF451,$DH$9:$DN$508,5,FALSE()))</f>
        <v/>
      </c>
      <c r="DT451" s="154" t="str">
        <f aca="false">IF($DF451&gt;$DE$8,"",VLOOKUP($DF451,$DH$9:$DN$508,6,FALSE()))</f>
        <v/>
      </c>
      <c r="DU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IF(ISBLANK($C452),"",IF(E452=Constants!$B$3,TRUE(),IF(E452=Constants!$B$4,FALSE(),TRUE())))</f>
        <v/>
      </c>
      <c r="AG452" s="135" t="str">
        <f aca="false">IF(ISBLANK($C452),"",IF(F452=Constants!$B$3,TRUE(),IF(F452=Constants!$B$4,FALSE(),TRUE())))</f>
        <v/>
      </c>
      <c r="AH452" s="135" t="str">
        <f aca="false">IF(ISBLANK($C452),"",IF(G452=Constants!$B$3,TRUE(),IF(G452=Constants!$B$4,FALSE(),TRUE())))</f>
        <v/>
      </c>
      <c r="AI452" s="135" t="str">
        <f aca="false">IF(ISBLANK($C452),"",IF(AND(ISNUMBER(H452),H452&gt;=0),H452,Constants!$B$29))</f>
        <v/>
      </c>
      <c r="AJ452" s="135" t="str">
        <f aca="false">IF(ISBLANK($C452),"",IF(I452=Constants!$B$3,TRUE(),IF(I452=Constants!$B$4,FALSE(),TRUE())))</f>
        <v/>
      </c>
      <c r="AK452" s="135" t="str">
        <f aca="false">IF(ISBLANK($C452),"",IF(J452=Constants!$B$3,TRUE(),IF(J452=Constants!$B$4,FALSE(),TRUE())))</f>
        <v/>
      </c>
      <c r="AL452" s="135" t="str">
        <f aca="false">IF(ISBLANK($C452),"",IF(K452=Constants!$B$5,TRUE(),IF(K452=Constants!$B$6,FALSE(),COUNTA(L452:P452)&gt;0)))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IF(ISBLANK($C452),"",IF(N452=Constants!$B$3,TRUE(),IF(N452=Constants!$B$4,FALSE(),TRUE())))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IF(ISBLANK($C452),"",IF(P452=Constants!$B$3,TRUE(),IF(P452=Constants!$B$4,FALSE(),FALSE())))</f>
        <v/>
      </c>
      <c r="AR452" s="135" t="str">
        <f aca="false">IF(ISBLANK($C452),"",IF(Q452=Constants!$B$3,TRUE(),IF(Q452=Constants!$B$4,FALSE(),TRUE())))</f>
        <v/>
      </c>
      <c r="AS452" s="135" t="str">
        <f aca="false">IF(ISBLANK($C452),"",IF(R452=Constants!$B$3,TRUE(),IF(R452=Constants!$B$4,FALSE(),TRUE())))</f>
        <v/>
      </c>
      <c r="AT452" s="135" t="str">
        <f aca="false">IF(ISBLANK($C452),"",IF(S452=Constants!$B$5,TRUE(),IF(S452=Constants!$B$6,FALSE(),COUNTA(T452:X452)&gt;0)))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IF(ISBLANK($C452),"",IF(V452=Constants!$B$3,TRUE(),IF(V452=Constants!$B$4,FALSE(),TRUE())))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IF(ISBLANK($C452),"",IF(X452=Constants!$B$3,TRUE(),IF(X452=Constants!$B$4,FALSE(),FALSE())))</f>
        <v/>
      </c>
      <c r="AZ452" s="135" t="str">
        <f aca="false">IF(ISBLANK($C452),"",MIN(Constants!$B$31,MAX(0,IF(ISNUMBER(Y452),Y452*60,0)+IF(ISNUMBER(Z452),Z452,0))))</f>
        <v/>
      </c>
      <c r="BA452" s="135" t="str">
        <f aca="false">IF(ISBLANK($C452),"",IF(AA452=Constants!$B$3,TRUE(),IF(AA452=Constants!$B$4,FALSE(),FALSE())))</f>
        <v/>
      </c>
      <c r="BB452" s="134" t="str">
        <f aca="false">IF(ISBLANK($C452),"",AND($AL452,OR($AM452="",$AN452="",AND($AO452,$AP452=""))))</f>
        <v/>
      </c>
      <c r="BC452" s="137" t="str">
        <f aca="false">IF($BZ452&lt;&gt;Constants!$B$8,"",IF($AL452,Constants!$B$21*$AN452+Constants!$B$22*IF($AO452,$AP452,Constants!$B$23),Constants!$B$24))</f>
        <v/>
      </c>
      <c r="BD452" s="138" t="str">
        <f aca="false">IF($BZ452&lt;&gt;Constants!$B$8,"",Constants!$B$25*ABS($AD$9-IF($AL452,$AM452,0)))</f>
        <v/>
      </c>
      <c r="BE452" s="138" t="str">
        <f aca="false">IF($BZ452&lt;&gt;Constants!$B$8,"",IF(AND($AL452,$AQ452,$AO452),Constants!$B$27,0))</f>
        <v/>
      </c>
      <c r="BF452" s="138" t="str">
        <f aca="false">IF($BZ452&lt;&gt;Constants!$B$8,"",IF($AL452,($AI452-Constants!$B$29)*Constants!$B$28,0))</f>
        <v/>
      </c>
      <c r="BG452" s="138" t="str">
        <f aca="false">IF($BZ452&lt;&gt;Constants!$B$8,"",IF($AK452,0,Constants!$B$15)+IF($AJ452,0,Constants!$B$16)+IF($AH452,0,Constants!$B$17))</f>
        <v/>
      </c>
      <c r="BH452" s="139" t="str">
        <f aca="false">IF($BZ452&lt;&gt;Constants!$B$8,"",Constants!$B$20+SUM($BC452:$BG452))</f>
        <v/>
      </c>
      <c r="BI452" s="138" t="str">
        <f aca="false">IF($BZ452&lt;&gt;Constants!$B$8,"",$BC452)</f>
        <v/>
      </c>
      <c r="BJ452" s="138" t="str">
        <f aca="false">IF($BZ452&lt;&gt;Constants!$B$8,"",$BD452)</f>
        <v/>
      </c>
      <c r="BK452" s="138" t="str">
        <f aca="false">IF($BZ452&lt;&gt;Constants!$B$8,"",IF($AL452,$AN452,""))</f>
        <v/>
      </c>
      <c r="BL452" s="140" t="str">
        <f aca="false">IF($BZ452&lt;&gt;Constants!$B$8,"",$AI452)</f>
        <v/>
      </c>
      <c r="BM452" s="135" t="str">
        <f aca="false">IF($BZ452&lt;&gt;Constants!$B$8,"",IF(OR($BT452&lt;$BH452,AND($BT452=$BH452,OR($BU452&lt;$BI452,AND($BU452=$BI452,OR($BV452&lt;$BJ452,AND($BV452=$BJ452,OR(AND(ISNUMBER($BW452),OR(NOT(ISNUMBER($BK452)),$BW452&lt;$BK452)),AND(OR(AND($BW452="",$BK452=""),AND(ISNUMBER($BW452),ISNUMBER($BK452),$BW452=$BK452)),$BX452&lt;$BL452)))))))),"-&gt;","&lt;-"))</f>
        <v/>
      </c>
      <c r="BN452" s="134" t="str">
        <f aca="false">IF(ISBLANK($C452),"",AND($AT452,OR($AU452="",$AV452="",AND($AW452,$AX452=""))))</f>
        <v/>
      </c>
      <c r="BO452" s="137" t="str">
        <f aca="false">IF($BZ452&lt;&gt;Constants!$B$8,"",IF($AT452,Constants!$B$21*$AV452+Constants!$B$22*IF($AW452,$AX452,Constants!$B$23),Constants!$B$24))</f>
        <v/>
      </c>
      <c r="BP452" s="138" t="str">
        <f aca="false">IF($BZ452&lt;&gt;Constants!$B$8,"",Constants!$B$25*ABS($AD$9-IF($AT452,$AU452,0)))</f>
        <v/>
      </c>
      <c r="BQ452" s="138" t="str">
        <f aca="false">IF($BZ452&lt;&gt;Constants!$B$8,"",IF(AND($AT452,$AY452,$AW452),Constants!$B$27,0))</f>
        <v/>
      </c>
      <c r="BR452" s="138" t="str">
        <f aca="false">IF($BZ452&lt;&gt;Constants!$B$8,"",IF($AT452,($AI452-Constants!$B$29)*Constants!$B$28,0))</f>
        <v/>
      </c>
      <c r="BS452" s="138" t="str">
        <f aca="false">IF($BZ452&lt;&gt;Constants!$B$8,"",IF($AS452,0,Constants!$B$15)+IF($AR452,0,Constants!$B$16)+IF($AH452,0,Constants!$B$17))</f>
        <v/>
      </c>
      <c r="BT452" s="139" t="str">
        <f aca="false">IF($BZ452&lt;&gt;Constants!$B$8,"",Constants!$B$20+SUM($BO452:$BS452))</f>
        <v/>
      </c>
      <c r="BU452" s="138" t="str">
        <f aca="false">IF($BZ452&lt;&gt;Constants!$B$8,"",$BO452)</f>
        <v/>
      </c>
      <c r="BV452" s="138" t="str">
        <f aca="false">IF($BZ452&lt;&gt;Constants!$B$8,"",$BP452)</f>
        <v/>
      </c>
      <c r="BW452" s="138" t="str">
        <f aca="false">IF($BZ452&lt;&gt;Constants!$B$8,"",IF($AT452,$AV452,""))</f>
        <v/>
      </c>
      <c r="BX452" s="140" t="str">
        <f aca="false">IF($BZ452&lt;&gt;Constants!$B$8,"",$AI452)</f>
        <v/>
      </c>
      <c r="BY452" s="135" t="str">
        <f aca="false">IF(ISBLANK($C452),"",IF(ISBLANK($D$7),$BY$5,IF(NOT(ISNUMBER($D$7)),$BY$6,"")))</f>
        <v/>
      </c>
      <c r="BZ452" s="135" t="str">
        <f aca="false">IF(ISBLANK($C452),"",IF($BA452,Constants!$B$11,IF(COUNTA($E452:$AA452)=0,Constants!$B$10,IF(NOT($AG452),Constants!$B$9,IF(OR($BY452&lt;&gt;"",$BB452,$BN452),Constants!$B$12,Constants!$B$8)))))</f>
        <v/>
      </c>
      <c r="CA452" s="135" t="str">
        <f aca="false">IF(ISBLANK($C452),"",IF($BZ452&lt;&gt;Constants!$B$8,$BZ452,Constants!$B$13))</f>
        <v/>
      </c>
      <c r="CB452" s="138" t="str">
        <f aca="false">IF($BZ452&lt;&gt;Constants!$B$8,"",IF($BM452="-&gt;",$BT452,$BH452))</f>
        <v/>
      </c>
      <c r="CC452" s="138" t="str">
        <f aca="false">IF($BZ452&lt;&gt;Constants!$B$8,"",IF($AF452,0,Constants!$B$18))</f>
        <v/>
      </c>
      <c r="CD452" s="138" t="str">
        <f aca="false">IF($BZ452&lt;&gt;Constants!$B$8,"",((Constants!$B$31-$AZ452)-Constants!$B$31)/Constants!$B$32)</f>
        <v/>
      </c>
      <c r="CE452" s="138" t="str">
        <f aca="false">IF(ISBLANK($C452),"",IF($BZ452&lt;&gt;Constants!$B$8,$BZ452,SUM($CB452:$CD452)))</f>
        <v/>
      </c>
      <c r="CF452" s="135" t="str">
        <f aca="false">IF(ISBLANK($C452),"",IF($BZ452&lt;&gt;Constants!$B$8,$BZ452,RANK($CE452,$CE$9:$CE$508,1)))</f>
        <v/>
      </c>
      <c r="CG452" s="138" t="str">
        <f aca="false">IF($BZ452&lt;&gt;Constants!$B$8,"",IF($BM452="-&gt;",$BU452,$BI452))</f>
        <v/>
      </c>
      <c r="CH452" s="135" t="str">
        <f aca="false">IF(ISBLANK($C452),"",IF($BZ452&lt;&gt;Constants!$B$8,$BZ452,IF(ISNUMBER($CG452),RANK($CG452,$CG$9:$CG$508,1),COUNT($CG$9:$CG$508)+1)))</f>
        <v/>
      </c>
      <c r="CI452" s="138" t="str">
        <f aca="false">IF($BZ452&lt;&gt;Constants!$B$8,"",IF($BM452="-&gt;",$BV452,$BJ452))</f>
        <v/>
      </c>
      <c r="CJ452" s="135" t="str">
        <f aca="false">IF(ISBLANK($C452),"",IF($BZ452&lt;&gt;Constants!$B$8,$BZ452,IF(ISNUMBER($CI452),RANK($CI452,$CI$9:$CI$508,1),COUNT($CI$9:$CI$508)+1)))</f>
        <v/>
      </c>
      <c r="CK452" s="138" t="str">
        <f aca="false">IF($BZ452&lt;&gt;Constants!$B$8,"",IF($BM452="-&gt;",$BW452,$BK452))</f>
        <v/>
      </c>
      <c r="CL452" s="135" t="str">
        <f aca="false">IF(ISBLANK($C452),"",IF($BZ452&lt;&gt;Constants!$B$8,$BZ452,IF(ISNUMBER($CK452),RANK($CK452,$CK$9:$CK$508,1),COUNT($CK$9:$CK$508)+1)))</f>
        <v/>
      </c>
      <c r="CM452" s="138" t="str">
        <f aca="false">IF($BZ452&lt;&gt;Constants!$B$8,"",IF(AND(NOT($AL452),NOT($AT452),$AJ452,$AK452,$AR452,$AS452),"",IF($BM452="-&gt;",$BX452,$BL452)))</f>
        <v/>
      </c>
      <c r="CN452" s="135" t="str">
        <f aca="false">IF(ISBLANK($C452),"",IF($BZ452&lt;&gt;Constants!$B$8,$BZ452,IF(ISNUMBER($CM452),RANK($CM452,$CM$9:$CM$508,1),COUNT($CM$9:$CM$508)+1)))</f>
        <v/>
      </c>
      <c r="CO452" s="135" t="str">
        <f aca="false">IF(ISBLANK($C452),"",IF($BZ452&lt;&gt;Constants!$B$8,$BZ452,COUNTIFS($CF$9:$CF$508,"&lt;"&amp;$CF452)+COUNTIFS($CF$9:$CF$508,$CF452,$CH$9:$CH$508,"&lt;"&amp;$CH452)+COUNTIFS($CF$9:$CF$508,$CF452,$CH$9:$CH$508,$CH452,$CJ$9:$CJ$508,"&lt;"&amp;$CJ452)+COUNTIFS($CF$9:$CF$508,$CF452,$CH$9:$CH$508,$CH452,$CJ$9:$CJ$508,$CJ452,$CL$9:$CL$508,"&lt;"&amp;$CL452)+COUNTIFS($CF$9:$CF$508,$CF452,$CH$9:$CH$508,$CH452,$CJ$9:$CJ$508,$CJ452,$CL$9:$CL$508,$CL452,$CN$9:$CN$508,"&lt;"&amp;$CN452)+1))</f>
        <v/>
      </c>
      <c r="CP452" s="135" t="str">
        <f aca="false">IF(ISBLANK($C452),"",IF($BZ452&lt;&gt;Constants!$B$8,$BZ452,$CF452-$CO452))</f>
        <v/>
      </c>
      <c r="CQ452" s="141"/>
      <c r="CR452" s="142"/>
      <c r="CS452" s="143" t="str">
        <f aca="false">IF(ISBLANK($C452),"",IF($BZ452=Constants!$B$12,$BY452,""))</f>
        <v/>
      </c>
      <c r="CT452" s="142" t="str">
        <f aca="false">IF(ISBLANK($C452),"",IF($BZ452&lt;&gt;Constants!$B$8,"",IF($BM452="-&gt;",2,1)))</f>
        <v/>
      </c>
      <c r="CU452" s="144" t="str">
        <f aca="false">IF(ISBLANK($C452),"",IF($BZ452&lt;&gt;Constants!$B$8,"",IF($BM452="-&gt;",$BO452,$BC452)))</f>
        <v/>
      </c>
      <c r="CV452" s="144" t="str">
        <f aca="false">IF(ISBLANK($C452),"",IF($BZ452&lt;&gt;Constants!$B$8,"",IF($BM452="-&gt;",$BP452,$BD452)))</f>
        <v/>
      </c>
      <c r="CW452" s="144" t="str">
        <f aca="false">IF(ISBLANK($C452),"",IF($BZ452&lt;&gt;Constants!$B$8,"",IF($BM452="-&gt;",$BQ452+$BR452,$BE452+$BF452)+$CD452))</f>
        <v/>
      </c>
      <c r="CX452" s="144" t="str">
        <f aca="false">IF(ISBLANK($C452),"",IF($BZ452&lt;&gt;Constants!$B$8,"",IF($BM452="-&gt;",$BS452,$BG452)+$CC452))</f>
        <v/>
      </c>
      <c r="CY452" s="145" t="str">
        <f aca="false">IF(ISBLANK($C452),"",IF($BZ452&lt;&gt;Constants!$B$8,$BZ452,$CE452))</f>
        <v/>
      </c>
      <c r="CZ452" s="146" t="str">
        <f aca="false">IF(ISBLANK($C452),"",$CA452)</f>
        <v/>
      </c>
      <c r="DA452" s="147" t="str">
        <f aca="false">IF(ISBLANK($C452),"",$CP452)</f>
        <v/>
      </c>
      <c r="DB452" s="147" t="str">
        <f aca="false">IF(ISBLANK($C452),"",$CO452)</f>
        <v/>
      </c>
      <c r="DC452" s="148" t="str">
        <f aca="false">IF(ISBLANK($C452),"",IFERROR(_xlfn.SWITCH($DB452,Constants!$B$11,COUNTA($C$9:$C$508)+2,Constants!$B$10,COUNTA($C$9:$C$508)+1,Constants!$B$9,COUNTA($C$9:$C$508)),$DB452))</f>
        <v/>
      </c>
      <c r="DD452" s="9"/>
      <c r="DE452" s="149" t="n">
        <f aca="false">IF(OR(ISNUMBER($DB452),$DB452=Constants!$B$11,$DB452=Constants!$B$9,$DB452=Constants!$B$10),1,0)</f>
        <v>0</v>
      </c>
      <c r="DF452" s="149" t="n">
        <v>444</v>
      </c>
      <c r="DG452" s="149" t="str">
        <f aca="false">IF(ISBLANK($C452),"",IF(ISNUMBER($DC452),$DC452+ROW($B452)/1000,""))</f>
        <v/>
      </c>
      <c r="DH452" s="149" t="str">
        <f aca="false">IF(ISNUMBER($DG452),RANK($DG452,$DG$9:$DG$508,1),"")</f>
        <v/>
      </c>
      <c r="DI452" s="149" t="str">
        <f aca="false">IF(ISBLANK($C452),"",$B452)</f>
        <v/>
      </c>
      <c r="DJ452" s="149" t="str">
        <f aca="false">IF(ISBLANK($C452),"",$C452)</f>
        <v/>
      </c>
      <c r="DK452" s="149" t="str">
        <f aca="false">IF(ISBLANK($C452),"",$D452)</f>
        <v/>
      </c>
      <c r="DL452" s="150" t="str">
        <f aca="false">$CZ452</f>
        <v/>
      </c>
      <c r="DM452" s="151" t="str">
        <f aca="false">$CY452</f>
        <v/>
      </c>
      <c r="DN452" s="149" t="str">
        <f aca="false">IF(ISBLANK($C452),"",$DB452)</f>
        <v/>
      </c>
      <c r="DO452" s="152" t="str">
        <f aca="false">IF($DF452&gt;$DE$8,"",VLOOKUP($DF452,$DH$9:$DN$508,7,FALSE()))</f>
        <v/>
      </c>
      <c r="DP452" s="153" t="str">
        <f aca="false">IF($DF452&gt;$DE$8,"",VLOOKUP($DF452,$DH$9:$DN$508,2,FALSE()))</f>
        <v/>
      </c>
      <c r="DQ452" s="153" t="str">
        <f aca="false">IF($DF452&gt;$DE$8,"",VLOOKUP($DF452,$DH$9:$DN$508,3,FALSE()))</f>
        <v/>
      </c>
      <c r="DR452" s="153" t="str">
        <f aca="false">IF($DF452&gt;$DE$8,"",VLOOKUP($DF452,$DH$9:$DN$508,4,FALSE()))</f>
        <v/>
      </c>
      <c r="DS452" s="153" t="str">
        <f aca="false">IF($DF452&gt;$DE$8,"",VLOOKUP($DF452,$DH$9:$DN$508,5,FALSE()))</f>
        <v/>
      </c>
      <c r="DT452" s="154" t="str">
        <f aca="false">IF($DF452&gt;$DE$8,"",VLOOKUP($DF452,$DH$9:$DN$508,6,FALSE()))</f>
        <v/>
      </c>
      <c r="DU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IF(ISBLANK($C453),"",IF(E453=Constants!$B$3,TRUE(),IF(E453=Constants!$B$4,FALSE(),TRUE())))</f>
        <v/>
      </c>
      <c r="AG453" s="93" t="str">
        <f aca="false">IF(ISBLANK($C453),"",IF(F453=Constants!$B$3,TRUE(),IF(F453=Constants!$B$4,FALSE(),TRUE())))</f>
        <v/>
      </c>
      <c r="AH453" s="93" t="str">
        <f aca="false">IF(ISBLANK($C453),"",IF(G453=Constants!$B$3,TRUE(),IF(G453=Constants!$B$4,FALSE(),TRUE())))</f>
        <v/>
      </c>
      <c r="AI453" s="93" t="str">
        <f aca="false">IF(ISBLANK($C453),"",IF(AND(ISNUMBER(H453),H453&gt;=0),H453,Constants!$B$29))</f>
        <v/>
      </c>
      <c r="AJ453" s="93" t="str">
        <f aca="false">IF(ISBLANK($C453),"",IF(I453=Constants!$B$3,TRUE(),IF(I453=Constants!$B$4,FALSE(),TRUE())))</f>
        <v/>
      </c>
      <c r="AK453" s="93" t="str">
        <f aca="false">IF(ISBLANK($C453),"",IF(J453=Constants!$B$3,TRUE(),IF(J453=Constants!$B$4,FALSE(),TRUE())))</f>
        <v/>
      </c>
      <c r="AL453" s="93" t="str">
        <f aca="false">IF(ISBLANK($C453),"",IF(K453=Constants!$B$5,TRUE(),IF(K453=Constants!$B$6,FALSE(),COUNTA(L453:P453)&gt;0)))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IF(ISBLANK($C453),"",IF(N453=Constants!$B$3,TRUE(),IF(N453=Constants!$B$4,FALSE(),TRUE())))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IF(ISBLANK($C453),"",IF(P453=Constants!$B$3,TRUE(),IF(P453=Constants!$B$4,FALSE(),FALSE())))</f>
        <v/>
      </c>
      <c r="AR453" s="93" t="str">
        <f aca="false">IF(ISBLANK($C453),"",IF(Q453=Constants!$B$3,TRUE(),IF(Q453=Constants!$B$4,FALSE(),TRUE())))</f>
        <v/>
      </c>
      <c r="AS453" s="93" t="str">
        <f aca="false">IF(ISBLANK($C453),"",IF(R453=Constants!$B$3,TRUE(),IF(R453=Constants!$B$4,FALSE(),TRUE())))</f>
        <v/>
      </c>
      <c r="AT453" s="93" t="str">
        <f aca="false">IF(ISBLANK($C453),"",IF(S453=Constants!$B$5,TRUE(),IF(S453=Constants!$B$6,FALSE(),COUNTA(T453:X453)&gt;0)))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IF(ISBLANK($C453),"",IF(V453=Constants!$B$3,TRUE(),IF(V453=Constants!$B$4,FALSE(),TRUE())))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IF(ISBLANK($C453),"",IF(X453=Constants!$B$3,TRUE(),IF(X453=Constants!$B$4,FALSE(),FALSE())))</f>
        <v/>
      </c>
      <c r="AZ453" s="93" t="str">
        <f aca="false">IF(ISBLANK($C453),"",MIN(Constants!$B$31,MAX(0,IF(ISNUMBER(Y453),Y453*60,0)+IF(ISNUMBER(Z453),Z453,0))))</f>
        <v/>
      </c>
      <c r="BA453" s="93" t="str">
        <f aca="false">IF(ISBLANK($C453),"",IF(AA453=Constants!$B$3,TRUE(),IF(AA453=Constants!$B$4,FALSE(),FALSE())))</f>
        <v/>
      </c>
      <c r="BB453" s="92" t="str">
        <f aca="false">IF(ISBLANK($C453),"",AND($AL453,OR($AM453="",$AN453="",AND($AO453,$AP453=""))))</f>
        <v/>
      </c>
      <c r="BC453" s="94" t="str">
        <f aca="false">IF($BZ453&lt;&gt;Constants!$B$8,"",IF($AL453,Constants!$B$21*$AN453+Constants!$B$22*IF($AO453,$AP453,Constants!$B$23),Constants!$B$24))</f>
        <v/>
      </c>
      <c r="BD453" s="97" t="str">
        <f aca="false">IF($BZ453&lt;&gt;Constants!$B$8,"",Constants!$B$25*ABS($AD$9-IF($AL453,$AM453,0)))</f>
        <v/>
      </c>
      <c r="BE453" s="97" t="str">
        <f aca="false">IF($BZ453&lt;&gt;Constants!$B$8,"",IF(AND($AL453,$AQ453,$AO453),Constants!$B$27,0))</f>
        <v/>
      </c>
      <c r="BF453" s="97" t="str">
        <f aca="false">IF($BZ453&lt;&gt;Constants!$B$8,"",IF($AL453,($AI453-Constants!$B$29)*Constants!$B$28,0))</f>
        <v/>
      </c>
      <c r="BG453" s="97" t="str">
        <f aca="false">IF($BZ453&lt;&gt;Constants!$B$8,"",IF($AK453,0,Constants!$B$15)+IF($AJ453,0,Constants!$B$16)+IF($AH453,0,Constants!$B$17))</f>
        <v/>
      </c>
      <c r="BH453" s="98" t="str">
        <f aca="false">IF($BZ453&lt;&gt;Constants!$B$8,"",Constants!$B$20+SUM($BC453:$BG453))</f>
        <v/>
      </c>
      <c r="BI453" s="97" t="str">
        <f aca="false">IF($BZ453&lt;&gt;Constants!$B$8,"",$BC453)</f>
        <v/>
      </c>
      <c r="BJ453" s="97" t="str">
        <f aca="false">IF($BZ453&lt;&gt;Constants!$B$8,"",$BD453)</f>
        <v/>
      </c>
      <c r="BK453" s="97" t="str">
        <f aca="false">IF($BZ453&lt;&gt;Constants!$B$8,"",IF($AL453,$AN453,""))</f>
        <v/>
      </c>
      <c r="BL453" s="99" t="str">
        <f aca="false">IF($BZ453&lt;&gt;Constants!$B$8,"",$AI453)</f>
        <v/>
      </c>
      <c r="BM453" s="93" t="str">
        <f aca="false">IF($BZ453&lt;&gt;Constants!$B$8,"",IF(OR($BT453&lt;$BH453,AND($BT453=$BH453,OR($BU453&lt;$BI453,AND($BU453=$BI453,OR($BV453&lt;$BJ453,AND($BV453=$BJ453,OR(AND(ISNUMBER($BW453),OR(NOT(ISNUMBER($BK453)),$BW453&lt;$BK453)),AND(OR(AND($BW453="",$BK453=""),AND(ISNUMBER($BW453),ISNUMBER($BK453),$BW453=$BK453)),$BX453&lt;$BL453)))))))),"-&gt;","&lt;-"))</f>
        <v/>
      </c>
      <c r="BN453" s="92" t="str">
        <f aca="false">IF(ISBLANK($C453),"",AND($AT453,OR($AU453="",$AV453="",AND($AW453,$AX453=""))))</f>
        <v/>
      </c>
      <c r="BO453" s="94" t="str">
        <f aca="false">IF($BZ453&lt;&gt;Constants!$B$8,"",IF($AT453,Constants!$B$21*$AV453+Constants!$B$22*IF($AW453,$AX453,Constants!$B$23),Constants!$B$24))</f>
        <v/>
      </c>
      <c r="BP453" s="97" t="str">
        <f aca="false">IF($BZ453&lt;&gt;Constants!$B$8,"",Constants!$B$25*ABS($AD$9-IF($AT453,$AU453,0)))</f>
        <v/>
      </c>
      <c r="BQ453" s="97" t="str">
        <f aca="false">IF($BZ453&lt;&gt;Constants!$B$8,"",IF(AND($AT453,$AY453,$AW453),Constants!$B$27,0))</f>
        <v/>
      </c>
      <c r="BR453" s="97" t="str">
        <f aca="false">IF($BZ453&lt;&gt;Constants!$B$8,"",IF($AT453,($AI453-Constants!$B$29)*Constants!$B$28,0))</f>
        <v/>
      </c>
      <c r="BS453" s="97" t="str">
        <f aca="false">IF($BZ453&lt;&gt;Constants!$B$8,"",IF($AS453,0,Constants!$B$15)+IF($AR453,0,Constants!$B$16)+IF($AH453,0,Constants!$B$17))</f>
        <v/>
      </c>
      <c r="BT453" s="98" t="str">
        <f aca="false">IF($BZ453&lt;&gt;Constants!$B$8,"",Constants!$B$20+SUM($BO453:$BS453))</f>
        <v/>
      </c>
      <c r="BU453" s="97" t="str">
        <f aca="false">IF($BZ453&lt;&gt;Constants!$B$8,"",$BO453)</f>
        <v/>
      </c>
      <c r="BV453" s="97" t="str">
        <f aca="false">IF($BZ453&lt;&gt;Constants!$B$8,"",$BP453)</f>
        <v/>
      </c>
      <c r="BW453" s="97" t="str">
        <f aca="false">IF($BZ453&lt;&gt;Constants!$B$8,"",IF($AT453,$AV453,""))</f>
        <v/>
      </c>
      <c r="BX453" s="99" t="str">
        <f aca="false">IF($BZ453&lt;&gt;Constants!$B$8,"",$AI453)</f>
        <v/>
      </c>
      <c r="BY453" s="93" t="str">
        <f aca="false">IF(ISBLANK($C453),"",IF(ISBLANK($D$7),$BY$5,IF(NOT(ISNUMBER($D$7)),$BY$6,"")))</f>
        <v/>
      </c>
      <c r="BZ453" s="93" t="str">
        <f aca="false">IF(ISBLANK($C453),"",IF($BA453,Constants!$B$11,IF(COUNTA($E453:$AA453)=0,Constants!$B$10,IF(NOT($AG453),Constants!$B$9,IF(OR($BY453&lt;&gt;"",$BB453,$BN453),Constants!$B$12,Constants!$B$8)))))</f>
        <v/>
      </c>
      <c r="CA453" s="93" t="str">
        <f aca="false">IF(ISBLANK($C453),"",IF($BZ453&lt;&gt;Constants!$B$8,$BZ453,Constants!$B$13))</f>
        <v/>
      </c>
      <c r="CB453" s="97" t="str">
        <f aca="false">IF($BZ453&lt;&gt;Constants!$B$8,"",IF($BM453="-&gt;",$BT453,$BH453))</f>
        <v/>
      </c>
      <c r="CC453" s="97" t="str">
        <f aca="false">IF($BZ453&lt;&gt;Constants!$B$8,"",IF($AF453,0,Constants!$B$18))</f>
        <v/>
      </c>
      <c r="CD453" s="97" t="str">
        <f aca="false">IF($BZ453&lt;&gt;Constants!$B$8,"",((Constants!$B$31-$AZ453)-Constants!$B$31)/Constants!$B$32)</f>
        <v/>
      </c>
      <c r="CE453" s="97" t="str">
        <f aca="false">IF(ISBLANK($C453),"",IF($BZ453&lt;&gt;Constants!$B$8,$BZ453,SUM($CB453:$CD453)))</f>
        <v/>
      </c>
      <c r="CF453" s="93" t="str">
        <f aca="false">IF(ISBLANK($C453),"",IF($BZ453&lt;&gt;Constants!$B$8,$BZ453,RANK($CE453,$CE$9:$CE$508,1)))</f>
        <v/>
      </c>
      <c r="CG453" s="97" t="str">
        <f aca="false">IF($BZ453&lt;&gt;Constants!$B$8,"",IF($BM453="-&gt;",$BU453,$BI453))</f>
        <v/>
      </c>
      <c r="CH453" s="93" t="str">
        <f aca="false">IF(ISBLANK($C453),"",IF($BZ453&lt;&gt;Constants!$B$8,$BZ453,IF(ISNUMBER($CG453),RANK($CG453,$CG$9:$CG$508,1),COUNT($CG$9:$CG$508)+1)))</f>
        <v/>
      </c>
      <c r="CI453" s="97" t="str">
        <f aca="false">IF($BZ453&lt;&gt;Constants!$B$8,"",IF($BM453="-&gt;",$BV453,$BJ453))</f>
        <v/>
      </c>
      <c r="CJ453" s="93" t="str">
        <f aca="false">IF(ISBLANK($C453),"",IF($BZ453&lt;&gt;Constants!$B$8,$BZ453,IF(ISNUMBER($CI453),RANK($CI453,$CI$9:$CI$508,1),COUNT($CI$9:$CI$508)+1)))</f>
        <v/>
      </c>
      <c r="CK453" s="97" t="str">
        <f aca="false">IF($BZ453&lt;&gt;Constants!$B$8,"",IF($BM453="-&gt;",$BW453,$BK453))</f>
        <v/>
      </c>
      <c r="CL453" s="93" t="str">
        <f aca="false">IF(ISBLANK($C453),"",IF($BZ453&lt;&gt;Constants!$B$8,$BZ453,IF(ISNUMBER($CK453),RANK($CK453,$CK$9:$CK$508,1),COUNT($CK$9:$CK$508)+1)))</f>
        <v/>
      </c>
      <c r="CM453" s="97" t="str">
        <f aca="false">IF($BZ453&lt;&gt;Constants!$B$8,"",IF(AND(NOT($AL453),NOT($AT453),$AJ453,$AK453,$AR453,$AS453),"",IF($BM453="-&gt;",$BX453,$BL453)))</f>
        <v/>
      </c>
      <c r="CN453" s="93" t="str">
        <f aca="false">IF(ISBLANK($C453),"",IF($BZ453&lt;&gt;Constants!$B$8,$BZ453,IF(ISNUMBER($CM453),RANK($CM453,$CM$9:$CM$508,1),COUNT($CM$9:$CM$508)+1)))</f>
        <v/>
      </c>
      <c r="CO453" s="93" t="str">
        <f aca="false">IF(ISBLANK($C453),"",IF($BZ453&lt;&gt;Constants!$B$8,$BZ453,COUNTIFS($CF$9:$CF$508,"&lt;"&amp;$CF453)+COUNTIFS($CF$9:$CF$508,$CF453,$CH$9:$CH$508,"&lt;"&amp;$CH453)+COUNTIFS($CF$9:$CF$508,$CF453,$CH$9:$CH$508,$CH453,$CJ$9:$CJ$508,"&lt;"&amp;$CJ453)+COUNTIFS($CF$9:$CF$508,$CF453,$CH$9:$CH$508,$CH453,$CJ$9:$CJ$508,$CJ453,$CL$9:$CL$508,"&lt;"&amp;$CL453)+COUNTIFS($CF$9:$CF$508,$CF453,$CH$9:$CH$508,$CH453,$CJ$9:$CJ$508,$CJ453,$CL$9:$CL$508,$CL453,$CN$9:$CN$508,"&lt;"&amp;$CN453)+1))</f>
        <v/>
      </c>
      <c r="CP453" s="93" t="str">
        <f aca="false">IF(ISBLANK($C453),"",IF($BZ453&lt;&gt;Constants!$B$8,$BZ453,$CF453-$CO453))</f>
        <v/>
      </c>
      <c r="CQ453" s="100"/>
      <c r="CR453" s="101"/>
      <c r="CS453" s="102" t="str">
        <f aca="false">IF(ISBLANK($C453),"",IF($BZ453=Constants!$B$12,$BY453,""))</f>
        <v/>
      </c>
      <c r="CT453" s="101" t="str">
        <f aca="false">IF(ISBLANK($C453),"",IF($BZ453&lt;&gt;Constants!$B$8,"",IF($BM453="-&gt;",2,1)))</f>
        <v/>
      </c>
      <c r="CU453" s="103" t="str">
        <f aca="false">IF(ISBLANK($C453),"",IF($BZ453&lt;&gt;Constants!$B$8,"",IF($BM453="-&gt;",$BO453,$BC453)))</f>
        <v/>
      </c>
      <c r="CV453" s="103" t="str">
        <f aca="false">IF(ISBLANK($C453),"",IF($BZ453&lt;&gt;Constants!$B$8,"",IF($BM453="-&gt;",$BP453,$BD453)))</f>
        <v/>
      </c>
      <c r="CW453" s="103" t="str">
        <f aca="false">IF(ISBLANK($C453),"",IF($BZ453&lt;&gt;Constants!$B$8,"",IF($BM453="-&gt;",$BQ453+$BR453,$BE453+$BF453)+$CD453))</f>
        <v/>
      </c>
      <c r="CX453" s="103" t="str">
        <f aca="false">IF(ISBLANK($C453),"",IF($BZ453&lt;&gt;Constants!$B$8,"",IF($BM453="-&gt;",$BS453,$BG453)+$CC453))</f>
        <v/>
      </c>
      <c r="CY453" s="104" t="str">
        <f aca="false">IF(ISBLANK($C453),"",IF($BZ453&lt;&gt;Constants!$B$8,$BZ453,$CE453))</f>
        <v/>
      </c>
      <c r="CZ453" s="105" t="str">
        <f aca="false">IF(ISBLANK($C453),"",$CA453)</f>
        <v/>
      </c>
      <c r="DA453" s="106" t="str">
        <f aca="false">IF(ISBLANK($C453),"",$CP453)</f>
        <v/>
      </c>
      <c r="DB453" s="106" t="str">
        <f aca="false">IF(ISBLANK($C453),"",$CO453)</f>
        <v/>
      </c>
      <c r="DC453" s="107" t="str">
        <f aca="false">IF(ISBLANK($C453),"",IFERROR(_xlfn.SWITCH($DB453,Constants!$B$11,COUNTA($C$9:$C$508)+2,Constants!$B$10,COUNTA($C$9:$C$508)+1,Constants!$B$9,COUNTA($C$9:$C$508)),$DB453))</f>
        <v/>
      </c>
      <c r="DD453" s="9"/>
      <c r="DE453" s="108" t="n">
        <f aca="false">IF(OR(ISNUMBER($DB453),$DB453=Constants!$B$11,$DB453=Constants!$B$9,$DB453=Constants!$B$10),1,0)</f>
        <v>0</v>
      </c>
      <c r="DF453" s="108" t="n">
        <v>445</v>
      </c>
      <c r="DG453" s="108" t="str">
        <f aca="false">IF(ISBLANK($C453),"",IF(ISNUMBER($DC453),$DC453+ROW($B453)/1000,""))</f>
        <v/>
      </c>
      <c r="DH453" s="108" t="str">
        <f aca="false">IF(ISNUMBER($DG453),RANK($DG453,$DG$9:$DG$508,1),"")</f>
        <v/>
      </c>
      <c r="DI453" s="108" t="str">
        <f aca="false">IF(ISBLANK($C453),"",$B453)</f>
        <v/>
      </c>
      <c r="DJ453" s="108" t="str">
        <f aca="false">IF(ISBLANK($C453),"",$C453)</f>
        <v/>
      </c>
      <c r="DK453" s="108" t="str">
        <f aca="false">IF(ISBLANK($C453),"",$D453)</f>
        <v/>
      </c>
      <c r="DL453" s="109" t="str">
        <f aca="false">$CZ453</f>
        <v/>
      </c>
      <c r="DM453" s="110" t="str">
        <f aca="false">$CY453</f>
        <v/>
      </c>
      <c r="DN453" s="108" t="str">
        <f aca="false">IF(ISBLANK($C453),"",$DB453)</f>
        <v/>
      </c>
      <c r="DO453" s="111" t="str">
        <f aca="false">IF($DF453&gt;$DE$8,"",VLOOKUP($DF453,$DH$9:$DN$508,7,FALSE()))</f>
        <v/>
      </c>
      <c r="DP453" s="112" t="str">
        <f aca="false">IF($DF453&gt;$DE$8,"",VLOOKUP($DF453,$DH$9:$DN$508,2,FALSE()))</f>
        <v/>
      </c>
      <c r="DQ453" s="112" t="str">
        <f aca="false">IF($DF453&gt;$DE$8,"",VLOOKUP($DF453,$DH$9:$DN$508,3,FALSE()))</f>
        <v/>
      </c>
      <c r="DR453" s="112" t="str">
        <f aca="false">IF($DF453&gt;$DE$8,"",VLOOKUP($DF453,$DH$9:$DN$508,4,FALSE()))</f>
        <v/>
      </c>
      <c r="DS453" s="112" t="str">
        <f aca="false">IF($DF453&gt;$DE$8,"",VLOOKUP($DF453,$DH$9:$DN$508,5,FALSE()))</f>
        <v/>
      </c>
      <c r="DT453" s="113" t="str">
        <f aca="false">IF($DF453&gt;$DE$8,"",VLOOKUP($DF453,$DH$9:$DN$508,6,FALSE()))</f>
        <v/>
      </c>
      <c r="DU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IF(ISBLANK($C454),"",IF(E454=Constants!$B$3,TRUE(),IF(E454=Constants!$B$4,FALSE(),TRUE())))</f>
        <v/>
      </c>
      <c r="AG454" s="93" t="str">
        <f aca="false">IF(ISBLANK($C454),"",IF(F454=Constants!$B$3,TRUE(),IF(F454=Constants!$B$4,FALSE(),TRUE())))</f>
        <v/>
      </c>
      <c r="AH454" s="93" t="str">
        <f aca="false">IF(ISBLANK($C454),"",IF(G454=Constants!$B$3,TRUE(),IF(G454=Constants!$B$4,FALSE(),TRUE())))</f>
        <v/>
      </c>
      <c r="AI454" s="93" t="str">
        <f aca="false">IF(ISBLANK($C454),"",IF(AND(ISNUMBER(H454),H454&gt;=0),H454,Constants!$B$29))</f>
        <v/>
      </c>
      <c r="AJ454" s="93" t="str">
        <f aca="false">IF(ISBLANK($C454),"",IF(I454=Constants!$B$3,TRUE(),IF(I454=Constants!$B$4,FALSE(),TRUE())))</f>
        <v/>
      </c>
      <c r="AK454" s="93" t="str">
        <f aca="false">IF(ISBLANK($C454),"",IF(J454=Constants!$B$3,TRUE(),IF(J454=Constants!$B$4,FALSE(),TRUE())))</f>
        <v/>
      </c>
      <c r="AL454" s="93" t="str">
        <f aca="false">IF(ISBLANK($C454),"",IF(K454=Constants!$B$5,TRUE(),IF(K454=Constants!$B$6,FALSE(),COUNTA(L454:P454)&gt;0)))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IF(ISBLANK($C454),"",IF(N454=Constants!$B$3,TRUE(),IF(N454=Constants!$B$4,FALSE(),TRUE())))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IF(ISBLANK($C454),"",IF(P454=Constants!$B$3,TRUE(),IF(P454=Constants!$B$4,FALSE(),FALSE())))</f>
        <v/>
      </c>
      <c r="AR454" s="93" t="str">
        <f aca="false">IF(ISBLANK($C454),"",IF(Q454=Constants!$B$3,TRUE(),IF(Q454=Constants!$B$4,FALSE(),TRUE())))</f>
        <v/>
      </c>
      <c r="AS454" s="93" t="str">
        <f aca="false">IF(ISBLANK($C454),"",IF(R454=Constants!$B$3,TRUE(),IF(R454=Constants!$B$4,FALSE(),TRUE())))</f>
        <v/>
      </c>
      <c r="AT454" s="93" t="str">
        <f aca="false">IF(ISBLANK($C454),"",IF(S454=Constants!$B$5,TRUE(),IF(S454=Constants!$B$6,FALSE(),COUNTA(T454:X454)&gt;0)))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IF(ISBLANK($C454),"",IF(V454=Constants!$B$3,TRUE(),IF(V454=Constants!$B$4,FALSE(),TRUE())))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IF(ISBLANK($C454),"",IF(X454=Constants!$B$3,TRUE(),IF(X454=Constants!$B$4,FALSE(),FALSE())))</f>
        <v/>
      </c>
      <c r="AZ454" s="93" t="str">
        <f aca="false">IF(ISBLANK($C454),"",MIN(Constants!$B$31,MAX(0,IF(ISNUMBER(Y454),Y454*60,0)+IF(ISNUMBER(Z454),Z454,0))))</f>
        <v/>
      </c>
      <c r="BA454" s="93" t="str">
        <f aca="false">IF(ISBLANK($C454),"",IF(AA454=Constants!$B$3,TRUE(),IF(AA454=Constants!$B$4,FALSE(),FALSE())))</f>
        <v/>
      </c>
      <c r="BB454" s="92" t="str">
        <f aca="false">IF(ISBLANK($C454),"",AND($AL454,OR($AM454="",$AN454="",AND($AO454,$AP454=""))))</f>
        <v/>
      </c>
      <c r="BC454" s="94" t="str">
        <f aca="false">IF($BZ454&lt;&gt;Constants!$B$8,"",IF($AL454,Constants!$B$21*$AN454+Constants!$B$22*IF($AO454,$AP454,Constants!$B$23),Constants!$B$24))</f>
        <v/>
      </c>
      <c r="BD454" s="97" t="str">
        <f aca="false">IF($BZ454&lt;&gt;Constants!$B$8,"",Constants!$B$25*ABS($AD$9-IF($AL454,$AM454,0)))</f>
        <v/>
      </c>
      <c r="BE454" s="97" t="str">
        <f aca="false">IF($BZ454&lt;&gt;Constants!$B$8,"",IF(AND($AL454,$AQ454,$AO454),Constants!$B$27,0))</f>
        <v/>
      </c>
      <c r="BF454" s="97" t="str">
        <f aca="false">IF($BZ454&lt;&gt;Constants!$B$8,"",IF($AL454,($AI454-Constants!$B$29)*Constants!$B$28,0))</f>
        <v/>
      </c>
      <c r="BG454" s="97" t="str">
        <f aca="false">IF($BZ454&lt;&gt;Constants!$B$8,"",IF($AK454,0,Constants!$B$15)+IF($AJ454,0,Constants!$B$16)+IF($AH454,0,Constants!$B$17))</f>
        <v/>
      </c>
      <c r="BH454" s="98" t="str">
        <f aca="false">IF($BZ454&lt;&gt;Constants!$B$8,"",Constants!$B$20+SUM($BC454:$BG454))</f>
        <v/>
      </c>
      <c r="BI454" s="97" t="str">
        <f aca="false">IF($BZ454&lt;&gt;Constants!$B$8,"",$BC454)</f>
        <v/>
      </c>
      <c r="BJ454" s="97" t="str">
        <f aca="false">IF($BZ454&lt;&gt;Constants!$B$8,"",$BD454)</f>
        <v/>
      </c>
      <c r="BK454" s="97" t="str">
        <f aca="false">IF($BZ454&lt;&gt;Constants!$B$8,"",IF($AL454,$AN454,""))</f>
        <v/>
      </c>
      <c r="BL454" s="99" t="str">
        <f aca="false">IF($BZ454&lt;&gt;Constants!$B$8,"",$AI454)</f>
        <v/>
      </c>
      <c r="BM454" s="93" t="str">
        <f aca="false">IF($BZ454&lt;&gt;Constants!$B$8,"",IF(OR($BT454&lt;$BH454,AND($BT454=$BH454,OR($BU454&lt;$BI454,AND($BU454=$BI454,OR($BV454&lt;$BJ454,AND($BV454=$BJ454,OR(AND(ISNUMBER($BW454),OR(NOT(ISNUMBER($BK454)),$BW454&lt;$BK454)),AND(OR(AND($BW454="",$BK454=""),AND(ISNUMBER($BW454),ISNUMBER($BK454),$BW454=$BK454)),$BX454&lt;$BL454)))))))),"-&gt;","&lt;-"))</f>
        <v/>
      </c>
      <c r="BN454" s="92" t="str">
        <f aca="false">IF(ISBLANK($C454),"",AND($AT454,OR($AU454="",$AV454="",AND($AW454,$AX454=""))))</f>
        <v/>
      </c>
      <c r="BO454" s="94" t="str">
        <f aca="false">IF($BZ454&lt;&gt;Constants!$B$8,"",IF($AT454,Constants!$B$21*$AV454+Constants!$B$22*IF($AW454,$AX454,Constants!$B$23),Constants!$B$24))</f>
        <v/>
      </c>
      <c r="BP454" s="97" t="str">
        <f aca="false">IF($BZ454&lt;&gt;Constants!$B$8,"",Constants!$B$25*ABS($AD$9-IF($AT454,$AU454,0)))</f>
        <v/>
      </c>
      <c r="BQ454" s="97" t="str">
        <f aca="false">IF($BZ454&lt;&gt;Constants!$B$8,"",IF(AND($AT454,$AY454,$AW454),Constants!$B$27,0))</f>
        <v/>
      </c>
      <c r="BR454" s="97" t="str">
        <f aca="false">IF($BZ454&lt;&gt;Constants!$B$8,"",IF($AT454,($AI454-Constants!$B$29)*Constants!$B$28,0))</f>
        <v/>
      </c>
      <c r="BS454" s="97" t="str">
        <f aca="false">IF($BZ454&lt;&gt;Constants!$B$8,"",IF($AS454,0,Constants!$B$15)+IF($AR454,0,Constants!$B$16)+IF($AH454,0,Constants!$B$17))</f>
        <v/>
      </c>
      <c r="BT454" s="98" t="str">
        <f aca="false">IF($BZ454&lt;&gt;Constants!$B$8,"",Constants!$B$20+SUM($BO454:$BS454))</f>
        <v/>
      </c>
      <c r="BU454" s="97" t="str">
        <f aca="false">IF($BZ454&lt;&gt;Constants!$B$8,"",$BO454)</f>
        <v/>
      </c>
      <c r="BV454" s="97" t="str">
        <f aca="false">IF($BZ454&lt;&gt;Constants!$B$8,"",$BP454)</f>
        <v/>
      </c>
      <c r="BW454" s="97" t="str">
        <f aca="false">IF($BZ454&lt;&gt;Constants!$B$8,"",IF($AT454,$AV454,""))</f>
        <v/>
      </c>
      <c r="BX454" s="99" t="str">
        <f aca="false">IF($BZ454&lt;&gt;Constants!$B$8,"",$AI454)</f>
        <v/>
      </c>
      <c r="BY454" s="93" t="str">
        <f aca="false">IF(ISBLANK($C454),"",IF(ISBLANK($D$7),$BY$5,IF(NOT(ISNUMBER($D$7)),$BY$6,"")))</f>
        <v/>
      </c>
      <c r="BZ454" s="93" t="str">
        <f aca="false">IF(ISBLANK($C454),"",IF($BA454,Constants!$B$11,IF(COUNTA($E454:$AA454)=0,Constants!$B$10,IF(NOT($AG454),Constants!$B$9,IF(OR($BY454&lt;&gt;"",$BB454,$BN454),Constants!$B$12,Constants!$B$8)))))</f>
        <v/>
      </c>
      <c r="CA454" s="93" t="str">
        <f aca="false">IF(ISBLANK($C454),"",IF($BZ454&lt;&gt;Constants!$B$8,$BZ454,Constants!$B$13))</f>
        <v/>
      </c>
      <c r="CB454" s="97" t="str">
        <f aca="false">IF($BZ454&lt;&gt;Constants!$B$8,"",IF($BM454="-&gt;",$BT454,$BH454))</f>
        <v/>
      </c>
      <c r="CC454" s="97" t="str">
        <f aca="false">IF($BZ454&lt;&gt;Constants!$B$8,"",IF($AF454,0,Constants!$B$18))</f>
        <v/>
      </c>
      <c r="CD454" s="97" t="str">
        <f aca="false">IF($BZ454&lt;&gt;Constants!$B$8,"",((Constants!$B$31-$AZ454)-Constants!$B$31)/Constants!$B$32)</f>
        <v/>
      </c>
      <c r="CE454" s="97" t="str">
        <f aca="false">IF(ISBLANK($C454),"",IF($BZ454&lt;&gt;Constants!$B$8,$BZ454,SUM($CB454:$CD454)))</f>
        <v/>
      </c>
      <c r="CF454" s="93" t="str">
        <f aca="false">IF(ISBLANK($C454),"",IF($BZ454&lt;&gt;Constants!$B$8,$BZ454,RANK($CE454,$CE$9:$CE$508,1)))</f>
        <v/>
      </c>
      <c r="CG454" s="97" t="str">
        <f aca="false">IF($BZ454&lt;&gt;Constants!$B$8,"",IF($BM454="-&gt;",$BU454,$BI454))</f>
        <v/>
      </c>
      <c r="CH454" s="93" t="str">
        <f aca="false">IF(ISBLANK($C454),"",IF($BZ454&lt;&gt;Constants!$B$8,$BZ454,IF(ISNUMBER($CG454),RANK($CG454,$CG$9:$CG$508,1),COUNT($CG$9:$CG$508)+1)))</f>
        <v/>
      </c>
      <c r="CI454" s="97" t="str">
        <f aca="false">IF($BZ454&lt;&gt;Constants!$B$8,"",IF($BM454="-&gt;",$BV454,$BJ454))</f>
        <v/>
      </c>
      <c r="CJ454" s="93" t="str">
        <f aca="false">IF(ISBLANK($C454),"",IF($BZ454&lt;&gt;Constants!$B$8,$BZ454,IF(ISNUMBER($CI454),RANK($CI454,$CI$9:$CI$508,1),COUNT($CI$9:$CI$508)+1)))</f>
        <v/>
      </c>
      <c r="CK454" s="97" t="str">
        <f aca="false">IF($BZ454&lt;&gt;Constants!$B$8,"",IF($BM454="-&gt;",$BW454,$BK454))</f>
        <v/>
      </c>
      <c r="CL454" s="93" t="str">
        <f aca="false">IF(ISBLANK($C454),"",IF($BZ454&lt;&gt;Constants!$B$8,$BZ454,IF(ISNUMBER($CK454),RANK($CK454,$CK$9:$CK$508,1),COUNT($CK$9:$CK$508)+1)))</f>
        <v/>
      </c>
      <c r="CM454" s="97" t="str">
        <f aca="false">IF($BZ454&lt;&gt;Constants!$B$8,"",IF(AND(NOT($AL454),NOT($AT454),$AJ454,$AK454,$AR454,$AS454),"",IF($BM454="-&gt;",$BX454,$BL454)))</f>
        <v/>
      </c>
      <c r="CN454" s="93" t="str">
        <f aca="false">IF(ISBLANK($C454),"",IF($BZ454&lt;&gt;Constants!$B$8,$BZ454,IF(ISNUMBER($CM454),RANK($CM454,$CM$9:$CM$508,1),COUNT($CM$9:$CM$508)+1)))</f>
        <v/>
      </c>
      <c r="CO454" s="93" t="str">
        <f aca="false">IF(ISBLANK($C454),"",IF($BZ454&lt;&gt;Constants!$B$8,$BZ454,COUNTIFS($CF$9:$CF$508,"&lt;"&amp;$CF454)+COUNTIFS($CF$9:$CF$508,$CF454,$CH$9:$CH$508,"&lt;"&amp;$CH454)+COUNTIFS($CF$9:$CF$508,$CF454,$CH$9:$CH$508,$CH454,$CJ$9:$CJ$508,"&lt;"&amp;$CJ454)+COUNTIFS($CF$9:$CF$508,$CF454,$CH$9:$CH$508,$CH454,$CJ$9:$CJ$508,$CJ454,$CL$9:$CL$508,"&lt;"&amp;$CL454)+COUNTIFS($CF$9:$CF$508,$CF454,$CH$9:$CH$508,$CH454,$CJ$9:$CJ$508,$CJ454,$CL$9:$CL$508,$CL454,$CN$9:$CN$508,"&lt;"&amp;$CN454)+1))</f>
        <v/>
      </c>
      <c r="CP454" s="93" t="str">
        <f aca="false">IF(ISBLANK($C454),"",IF($BZ454&lt;&gt;Constants!$B$8,$BZ454,$CF454-$CO454))</f>
        <v/>
      </c>
      <c r="CQ454" s="100"/>
      <c r="CR454" s="101"/>
      <c r="CS454" s="102" t="str">
        <f aca="false">IF(ISBLANK($C454),"",IF($BZ454=Constants!$B$12,$BY454,""))</f>
        <v/>
      </c>
      <c r="CT454" s="101" t="str">
        <f aca="false">IF(ISBLANK($C454),"",IF($BZ454&lt;&gt;Constants!$B$8,"",IF($BM454="-&gt;",2,1)))</f>
        <v/>
      </c>
      <c r="CU454" s="103" t="str">
        <f aca="false">IF(ISBLANK($C454),"",IF($BZ454&lt;&gt;Constants!$B$8,"",IF($BM454="-&gt;",$BO454,$BC454)))</f>
        <v/>
      </c>
      <c r="CV454" s="103" t="str">
        <f aca="false">IF(ISBLANK($C454),"",IF($BZ454&lt;&gt;Constants!$B$8,"",IF($BM454="-&gt;",$BP454,$BD454)))</f>
        <v/>
      </c>
      <c r="CW454" s="103" t="str">
        <f aca="false">IF(ISBLANK($C454),"",IF($BZ454&lt;&gt;Constants!$B$8,"",IF($BM454="-&gt;",$BQ454+$BR454,$BE454+$BF454)+$CD454))</f>
        <v/>
      </c>
      <c r="CX454" s="103" t="str">
        <f aca="false">IF(ISBLANK($C454),"",IF($BZ454&lt;&gt;Constants!$B$8,"",IF($BM454="-&gt;",$BS454,$BG454)+$CC454))</f>
        <v/>
      </c>
      <c r="CY454" s="104" t="str">
        <f aca="false">IF(ISBLANK($C454),"",IF($BZ454&lt;&gt;Constants!$B$8,$BZ454,$CE454))</f>
        <v/>
      </c>
      <c r="CZ454" s="105" t="str">
        <f aca="false">IF(ISBLANK($C454),"",$CA454)</f>
        <v/>
      </c>
      <c r="DA454" s="106" t="str">
        <f aca="false">IF(ISBLANK($C454),"",$CP454)</f>
        <v/>
      </c>
      <c r="DB454" s="106" t="str">
        <f aca="false">IF(ISBLANK($C454),"",$CO454)</f>
        <v/>
      </c>
      <c r="DC454" s="107" t="str">
        <f aca="false">IF(ISBLANK($C454),"",IFERROR(_xlfn.SWITCH($DB454,Constants!$B$11,COUNTA($C$9:$C$508)+2,Constants!$B$10,COUNTA($C$9:$C$508)+1,Constants!$B$9,COUNTA($C$9:$C$508)),$DB454))</f>
        <v/>
      </c>
      <c r="DD454" s="9"/>
      <c r="DE454" s="108" t="n">
        <f aca="false">IF(OR(ISNUMBER($DB454),$DB454=Constants!$B$11,$DB454=Constants!$B$9,$DB454=Constants!$B$10),1,0)</f>
        <v>0</v>
      </c>
      <c r="DF454" s="108" t="n">
        <v>446</v>
      </c>
      <c r="DG454" s="108" t="str">
        <f aca="false">IF(ISBLANK($C454),"",IF(ISNUMBER($DC454),$DC454+ROW($B454)/1000,""))</f>
        <v/>
      </c>
      <c r="DH454" s="108" t="str">
        <f aca="false">IF(ISNUMBER($DG454),RANK($DG454,$DG$9:$DG$508,1),"")</f>
        <v/>
      </c>
      <c r="DI454" s="108" t="str">
        <f aca="false">IF(ISBLANK($C454),"",$B454)</f>
        <v/>
      </c>
      <c r="DJ454" s="108" t="str">
        <f aca="false">IF(ISBLANK($C454),"",$C454)</f>
        <v/>
      </c>
      <c r="DK454" s="108" t="str">
        <f aca="false">IF(ISBLANK($C454),"",$D454)</f>
        <v/>
      </c>
      <c r="DL454" s="109" t="str">
        <f aca="false">$CZ454</f>
        <v/>
      </c>
      <c r="DM454" s="110" t="str">
        <f aca="false">$CY454</f>
        <v/>
      </c>
      <c r="DN454" s="108" t="str">
        <f aca="false">IF(ISBLANK($C454),"",$DB454)</f>
        <v/>
      </c>
      <c r="DO454" s="111" t="str">
        <f aca="false">IF($DF454&gt;$DE$8,"",VLOOKUP($DF454,$DH$9:$DN$508,7,FALSE()))</f>
        <v/>
      </c>
      <c r="DP454" s="112" t="str">
        <f aca="false">IF($DF454&gt;$DE$8,"",VLOOKUP($DF454,$DH$9:$DN$508,2,FALSE()))</f>
        <v/>
      </c>
      <c r="DQ454" s="112" t="str">
        <f aca="false">IF($DF454&gt;$DE$8,"",VLOOKUP($DF454,$DH$9:$DN$508,3,FALSE()))</f>
        <v/>
      </c>
      <c r="DR454" s="112" t="str">
        <f aca="false">IF($DF454&gt;$DE$8,"",VLOOKUP($DF454,$DH$9:$DN$508,4,FALSE()))</f>
        <v/>
      </c>
      <c r="DS454" s="112" t="str">
        <f aca="false">IF($DF454&gt;$DE$8,"",VLOOKUP($DF454,$DH$9:$DN$508,5,FALSE()))</f>
        <v/>
      </c>
      <c r="DT454" s="113" t="str">
        <f aca="false">IF($DF454&gt;$DE$8,"",VLOOKUP($DF454,$DH$9:$DN$508,6,FALSE()))</f>
        <v/>
      </c>
      <c r="DU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IF(ISBLANK($C455),"",IF(E455=Constants!$B$3,TRUE(),IF(E455=Constants!$B$4,FALSE(),TRUE())))</f>
        <v/>
      </c>
      <c r="AG455" s="93" t="str">
        <f aca="false">IF(ISBLANK($C455),"",IF(F455=Constants!$B$3,TRUE(),IF(F455=Constants!$B$4,FALSE(),TRUE())))</f>
        <v/>
      </c>
      <c r="AH455" s="93" t="str">
        <f aca="false">IF(ISBLANK($C455),"",IF(G455=Constants!$B$3,TRUE(),IF(G455=Constants!$B$4,FALSE(),TRUE())))</f>
        <v/>
      </c>
      <c r="AI455" s="93" t="str">
        <f aca="false">IF(ISBLANK($C455),"",IF(AND(ISNUMBER(H455),H455&gt;=0),H455,Constants!$B$29))</f>
        <v/>
      </c>
      <c r="AJ455" s="93" t="str">
        <f aca="false">IF(ISBLANK($C455),"",IF(I455=Constants!$B$3,TRUE(),IF(I455=Constants!$B$4,FALSE(),TRUE())))</f>
        <v/>
      </c>
      <c r="AK455" s="93" t="str">
        <f aca="false">IF(ISBLANK($C455),"",IF(J455=Constants!$B$3,TRUE(),IF(J455=Constants!$B$4,FALSE(),TRUE())))</f>
        <v/>
      </c>
      <c r="AL455" s="93" t="str">
        <f aca="false">IF(ISBLANK($C455),"",IF(K455=Constants!$B$5,TRUE(),IF(K455=Constants!$B$6,FALSE(),COUNTA(L455:P455)&gt;0)))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IF(ISBLANK($C455),"",IF(N455=Constants!$B$3,TRUE(),IF(N455=Constants!$B$4,FALSE(),TRUE())))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IF(ISBLANK($C455),"",IF(P455=Constants!$B$3,TRUE(),IF(P455=Constants!$B$4,FALSE(),FALSE())))</f>
        <v/>
      </c>
      <c r="AR455" s="93" t="str">
        <f aca="false">IF(ISBLANK($C455),"",IF(Q455=Constants!$B$3,TRUE(),IF(Q455=Constants!$B$4,FALSE(),TRUE())))</f>
        <v/>
      </c>
      <c r="AS455" s="93" t="str">
        <f aca="false">IF(ISBLANK($C455),"",IF(R455=Constants!$B$3,TRUE(),IF(R455=Constants!$B$4,FALSE(),TRUE())))</f>
        <v/>
      </c>
      <c r="AT455" s="93" t="str">
        <f aca="false">IF(ISBLANK($C455),"",IF(S455=Constants!$B$5,TRUE(),IF(S455=Constants!$B$6,FALSE(),COUNTA(T455:X455)&gt;0)))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IF(ISBLANK($C455),"",IF(V455=Constants!$B$3,TRUE(),IF(V455=Constants!$B$4,FALSE(),TRUE())))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IF(ISBLANK($C455),"",IF(X455=Constants!$B$3,TRUE(),IF(X455=Constants!$B$4,FALSE(),FALSE())))</f>
        <v/>
      </c>
      <c r="AZ455" s="93" t="str">
        <f aca="false">IF(ISBLANK($C455),"",MIN(Constants!$B$31,MAX(0,IF(ISNUMBER(Y455),Y455*60,0)+IF(ISNUMBER(Z455),Z455,0))))</f>
        <v/>
      </c>
      <c r="BA455" s="93" t="str">
        <f aca="false">IF(ISBLANK($C455),"",IF(AA455=Constants!$B$3,TRUE(),IF(AA455=Constants!$B$4,FALSE(),FALSE())))</f>
        <v/>
      </c>
      <c r="BB455" s="92" t="str">
        <f aca="false">IF(ISBLANK($C455),"",AND($AL455,OR($AM455="",$AN455="",AND($AO455,$AP455=""))))</f>
        <v/>
      </c>
      <c r="BC455" s="94" t="str">
        <f aca="false">IF($BZ455&lt;&gt;Constants!$B$8,"",IF($AL455,Constants!$B$21*$AN455+Constants!$B$22*IF($AO455,$AP455,Constants!$B$23),Constants!$B$24))</f>
        <v/>
      </c>
      <c r="BD455" s="97" t="str">
        <f aca="false">IF($BZ455&lt;&gt;Constants!$B$8,"",Constants!$B$25*ABS($AD$9-IF($AL455,$AM455,0)))</f>
        <v/>
      </c>
      <c r="BE455" s="97" t="str">
        <f aca="false">IF($BZ455&lt;&gt;Constants!$B$8,"",IF(AND($AL455,$AQ455,$AO455),Constants!$B$27,0))</f>
        <v/>
      </c>
      <c r="BF455" s="97" t="str">
        <f aca="false">IF($BZ455&lt;&gt;Constants!$B$8,"",IF($AL455,($AI455-Constants!$B$29)*Constants!$B$28,0))</f>
        <v/>
      </c>
      <c r="BG455" s="97" t="str">
        <f aca="false">IF($BZ455&lt;&gt;Constants!$B$8,"",IF($AK455,0,Constants!$B$15)+IF($AJ455,0,Constants!$B$16)+IF($AH455,0,Constants!$B$17))</f>
        <v/>
      </c>
      <c r="BH455" s="98" t="str">
        <f aca="false">IF($BZ455&lt;&gt;Constants!$B$8,"",Constants!$B$20+SUM($BC455:$BG455))</f>
        <v/>
      </c>
      <c r="BI455" s="97" t="str">
        <f aca="false">IF($BZ455&lt;&gt;Constants!$B$8,"",$BC455)</f>
        <v/>
      </c>
      <c r="BJ455" s="97" t="str">
        <f aca="false">IF($BZ455&lt;&gt;Constants!$B$8,"",$BD455)</f>
        <v/>
      </c>
      <c r="BK455" s="97" t="str">
        <f aca="false">IF($BZ455&lt;&gt;Constants!$B$8,"",IF($AL455,$AN455,""))</f>
        <v/>
      </c>
      <c r="BL455" s="99" t="str">
        <f aca="false">IF($BZ455&lt;&gt;Constants!$B$8,"",$AI455)</f>
        <v/>
      </c>
      <c r="BM455" s="93" t="str">
        <f aca="false">IF($BZ455&lt;&gt;Constants!$B$8,"",IF(OR($BT455&lt;$BH455,AND($BT455=$BH455,OR($BU455&lt;$BI455,AND($BU455=$BI455,OR($BV455&lt;$BJ455,AND($BV455=$BJ455,OR(AND(ISNUMBER($BW455),OR(NOT(ISNUMBER($BK455)),$BW455&lt;$BK455)),AND(OR(AND($BW455="",$BK455=""),AND(ISNUMBER($BW455),ISNUMBER($BK455),$BW455=$BK455)),$BX455&lt;$BL455)))))))),"-&gt;","&lt;-"))</f>
        <v/>
      </c>
      <c r="BN455" s="92" t="str">
        <f aca="false">IF(ISBLANK($C455),"",AND($AT455,OR($AU455="",$AV455="",AND($AW455,$AX455=""))))</f>
        <v/>
      </c>
      <c r="BO455" s="94" t="str">
        <f aca="false">IF($BZ455&lt;&gt;Constants!$B$8,"",IF($AT455,Constants!$B$21*$AV455+Constants!$B$22*IF($AW455,$AX455,Constants!$B$23),Constants!$B$24))</f>
        <v/>
      </c>
      <c r="BP455" s="97" t="str">
        <f aca="false">IF($BZ455&lt;&gt;Constants!$B$8,"",Constants!$B$25*ABS($AD$9-IF($AT455,$AU455,0)))</f>
        <v/>
      </c>
      <c r="BQ455" s="97" t="str">
        <f aca="false">IF($BZ455&lt;&gt;Constants!$B$8,"",IF(AND($AT455,$AY455,$AW455),Constants!$B$27,0))</f>
        <v/>
      </c>
      <c r="BR455" s="97" t="str">
        <f aca="false">IF($BZ455&lt;&gt;Constants!$B$8,"",IF($AT455,($AI455-Constants!$B$29)*Constants!$B$28,0))</f>
        <v/>
      </c>
      <c r="BS455" s="97" t="str">
        <f aca="false">IF($BZ455&lt;&gt;Constants!$B$8,"",IF($AS455,0,Constants!$B$15)+IF($AR455,0,Constants!$B$16)+IF($AH455,0,Constants!$B$17))</f>
        <v/>
      </c>
      <c r="BT455" s="98" t="str">
        <f aca="false">IF($BZ455&lt;&gt;Constants!$B$8,"",Constants!$B$20+SUM($BO455:$BS455))</f>
        <v/>
      </c>
      <c r="BU455" s="97" t="str">
        <f aca="false">IF($BZ455&lt;&gt;Constants!$B$8,"",$BO455)</f>
        <v/>
      </c>
      <c r="BV455" s="97" t="str">
        <f aca="false">IF($BZ455&lt;&gt;Constants!$B$8,"",$BP455)</f>
        <v/>
      </c>
      <c r="BW455" s="97" t="str">
        <f aca="false">IF($BZ455&lt;&gt;Constants!$B$8,"",IF($AT455,$AV455,""))</f>
        <v/>
      </c>
      <c r="BX455" s="99" t="str">
        <f aca="false">IF($BZ455&lt;&gt;Constants!$B$8,"",$AI455)</f>
        <v/>
      </c>
      <c r="BY455" s="93" t="str">
        <f aca="false">IF(ISBLANK($C455),"",IF(ISBLANK($D$7),$BY$5,IF(NOT(ISNUMBER($D$7)),$BY$6,"")))</f>
        <v/>
      </c>
      <c r="BZ455" s="93" t="str">
        <f aca="false">IF(ISBLANK($C455),"",IF($BA455,Constants!$B$11,IF(COUNTA($E455:$AA455)=0,Constants!$B$10,IF(NOT($AG455),Constants!$B$9,IF(OR($BY455&lt;&gt;"",$BB455,$BN455),Constants!$B$12,Constants!$B$8)))))</f>
        <v/>
      </c>
      <c r="CA455" s="93" t="str">
        <f aca="false">IF(ISBLANK($C455),"",IF($BZ455&lt;&gt;Constants!$B$8,$BZ455,Constants!$B$13))</f>
        <v/>
      </c>
      <c r="CB455" s="97" t="str">
        <f aca="false">IF($BZ455&lt;&gt;Constants!$B$8,"",IF($BM455="-&gt;",$BT455,$BH455))</f>
        <v/>
      </c>
      <c r="CC455" s="97" t="str">
        <f aca="false">IF($BZ455&lt;&gt;Constants!$B$8,"",IF($AF455,0,Constants!$B$18))</f>
        <v/>
      </c>
      <c r="CD455" s="97" t="str">
        <f aca="false">IF($BZ455&lt;&gt;Constants!$B$8,"",((Constants!$B$31-$AZ455)-Constants!$B$31)/Constants!$B$32)</f>
        <v/>
      </c>
      <c r="CE455" s="97" t="str">
        <f aca="false">IF(ISBLANK($C455),"",IF($BZ455&lt;&gt;Constants!$B$8,$BZ455,SUM($CB455:$CD455)))</f>
        <v/>
      </c>
      <c r="CF455" s="93" t="str">
        <f aca="false">IF(ISBLANK($C455),"",IF($BZ455&lt;&gt;Constants!$B$8,$BZ455,RANK($CE455,$CE$9:$CE$508,1)))</f>
        <v/>
      </c>
      <c r="CG455" s="97" t="str">
        <f aca="false">IF($BZ455&lt;&gt;Constants!$B$8,"",IF($BM455="-&gt;",$BU455,$BI455))</f>
        <v/>
      </c>
      <c r="CH455" s="93" t="str">
        <f aca="false">IF(ISBLANK($C455),"",IF($BZ455&lt;&gt;Constants!$B$8,$BZ455,IF(ISNUMBER($CG455),RANK($CG455,$CG$9:$CG$508,1),COUNT($CG$9:$CG$508)+1)))</f>
        <v/>
      </c>
      <c r="CI455" s="97" t="str">
        <f aca="false">IF($BZ455&lt;&gt;Constants!$B$8,"",IF($BM455="-&gt;",$BV455,$BJ455))</f>
        <v/>
      </c>
      <c r="CJ455" s="93" t="str">
        <f aca="false">IF(ISBLANK($C455),"",IF($BZ455&lt;&gt;Constants!$B$8,$BZ455,IF(ISNUMBER($CI455),RANK($CI455,$CI$9:$CI$508,1),COUNT($CI$9:$CI$508)+1)))</f>
        <v/>
      </c>
      <c r="CK455" s="97" t="str">
        <f aca="false">IF($BZ455&lt;&gt;Constants!$B$8,"",IF($BM455="-&gt;",$BW455,$BK455))</f>
        <v/>
      </c>
      <c r="CL455" s="93" t="str">
        <f aca="false">IF(ISBLANK($C455),"",IF($BZ455&lt;&gt;Constants!$B$8,$BZ455,IF(ISNUMBER($CK455),RANK($CK455,$CK$9:$CK$508,1),COUNT($CK$9:$CK$508)+1)))</f>
        <v/>
      </c>
      <c r="CM455" s="97" t="str">
        <f aca="false">IF($BZ455&lt;&gt;Constants!$B$8,"",IF(AND(NOT($AL455),NOT($AT455),$AJ455,$AK455,$AR455,$AS455),"",IF($BM455="-&gt;",$BX455,$BL455)))</f>
        <v/>
      </c>
      <c r="CN455" s="93" t="str">
        <f aca="false">IF(ISBLANK($C455),"",IF($BZ455&lt;&gt;Constants!$B$8,$BZ455,IF(ISNUMBER($CM455),RANK($CM455,$CM$9:$CM$508,1),COUNT($CM$9:$CM$508)+1)))</f>
        <v/>
      </c>
      <c r="CO455" s="93" t="str">
        <f aca="false">IF(ISBLANK($C455),"",IF($BZ455&lt;&gt;Constants!$B$8,$BZ455,COUNTIFS($CF$9:$CF$508,"&lt;"&amp;$CF455)+COUNTIFS($CF$9:$CF$508,$CF455,$CH$9:$CH$508,"&lt;"&amp;$CH455)+COUNTIFS($CF$9:$CF$508,$CF455,$CH$9:$CH$508,$CH455,$CJ$9:$CJ$508,"&lt;"&amp;$CJ455)+COUNTIFS($CF$9:$CF$508,$CF455,$CH$9:$CH$508,$CH455,$CJ$9:$CJ$508,$CJ455,$CL$9:$CL$508,"&lt;"&amp;$CL455)+COUNTIFS($CF$9:$CF$508,$CF455,$CH$9:$CH$508,$CH455,$CJ$9:$CJ$508,$CJ455,$CL$9:$CL$508,$CL455,$CN$9:$CN$508,"&lt;"&amp;$CN455)+1))</f>
        <v/>
      </c>
      <c r="CP455" s="93" t="str">
        <f aca="false">IF(ISBLANK($C455),"",IF($BZ455&lt;&gt;Constants!$B$8,$BZ455,$CF455-$CO455))</f>
        <v/>
      </c>
      <c r="CQ455" s="100"/>
      <c r="CR455" s="101"/>
      <c r="CS455" s="102" t="str">
        <f aca="false">IF(ISBLANK($C455),"",IF($BZ455=Constants!$B$12,$BY455,""))</f>
        <v/>
      </c>
      <c r="CT455" s="101" t="str">
        <f aca="false">IF(ISBLANK($C455),"",IF($BZ455&lt;&gt;Constants!$B$8,"",IF($BM455="-&gt;",2,1)))</f>
        <v/>
      </c>
      <c r="CU455" s="103" t="str">
        <f aca="false">IF(ISBLANK($C455),"",IF($BZ455&lt;&gt;Constants!$B$8,"",IF($BM455="-&gt;",$BO455,$BC455)))</f>
        <v/>
      </c>
      <c r="CV455" s="103" t="str">
        <f aca="false">IF(ISBLANK($C455),"",IF($BZ455&lt;&gt;Constants!$B$8,"",IF($BM455="-&gt;",$BP455,$BD455)))</f>
        <v/>
      </c>
      <c r="CW455" s="103" t="str">
        <f aca="false">IF(ISBLANK($C455),"",IF($BZ455&lt;&gt;Constants!$B$8,"",IF($BM455="-&gt;",$BQ455+$BR455,$BE455+$BF455)+$CD455))</f>
        <v/>
      </c>
      <c r="CX455" s="103" t="str">
        <f aca="false">IF(ISBLANK($C455),"",IF($BZ455&lt;&gt;Constants!$B$8,"",IF($BM455="-&gt;",$BS455,$BG455)+$CC455))</f>
        <v/>
      </c>
      <c r="CY455" s="104" t="str">
        <f aca="false">IF(ISBLANK($C455),"",IF($BZ455&lt;&gt;Constants!$B$8,$BZ455,$CE455))</f>
        <v/>
      </c>
      <c r="CZ455" s="105" t="str">
        <f aca="false">IF(ISBLANK($C455),"",$CA455)</f>
        <v/>
      </c>
      <c r="DA455" s="106" t="str">
        <f aca="false">IF(ISBLANK($C455),"",$CP455)</f>
        <v/>
      </c>
      <c r="DB455" s="106" t="str">
        <f aca="false">IF(ISBLANK($C455),"",$CO455)</f>
        <v/>
      </c>
      <c r="DC455" s="107" t="str">
        <f aca="false">IF(ISBLANK($C455),"",IFERROR(_xlfn.SWITCH($DB455,Constants!$B$11,COUNTA($C$9:$C$508)+2,Constants!$B$10,COUNTA($C$9:$C$508)+1,Constants!$B$9,COUNTA($C$9:$C$508)),$DB455))</f>
        <v/>
      </c>
      <c r="DD455" s="9"/>
      <c r="DE455" s="108" t="n">
        <f aca="false">IF(OR(ISNUMBER($DB455),$DB455=Constants!$B$11,$DB455=Constants!$B$9,$DB455=Constants!$B$10),1,0)</f>
        <v>0</v>
      </c>
      <c r="DF455" s="108" t="n">
        <v>447</v>
      </c>
      <c r="DG455" s="108" t="str">
        <f aca="false">IF(ISBLANK($C455),"",IF(ISNUMBER($DC455),$DC455+ROW($B455)/1000,""))</f>
        <v/>
      </c>
      <c r="DH455" s="108" t="str">
        <f aca="false">IF(ISNUMBER($DG455),RANK($DG455,$DG$9:$DG$508,1),"")</f>
        <v/>
      </c>
      <c r="DI455" s="108" t="str">
        <f aca="false">IF(ISBLANK($C455),"",$B455)</f>
        <v/>
      </c>
      <c r="DJ455" s="108" t="str">
        <f aca="false">IF(ISBLANK($C455),"",$C455)</f>
        <v/>
      </c>
      <c r="DK455" s="108" t="str">
        <f aca="false">IF(ISBLANK($C455),"",$D455)</f>
        <v/>
      </c>
      <c r="DL455" s="109" t="str">
        <f aca="false">$CZ455</f>
        <v/>
      </c>
      <c r="DM455" s="110" t="str">
        <f aca="false">$CY455</f>
        <v/>
      </c>
      <c r="DN455" s="108" t="str">
        <f aca="false">IF(ISBLANK($C455),"",$DB455)</f>
        <v/>
      </c>
      <c r="DO455" s="111" t="str">
        <f aca="false">IF($DF455&gt;$DE$8,"",VLOOKUP($DF455,$DH$9:$DN$508,7,FALSE()))</f>
        <v/>
      </c>
      <c r="DP455" s="112" t="str">
        <f aca="false">IF($DF455&gt;$DE$8,"",VLOOKUP($DF455,$DH$9:$DN$508,2,FALSE()))</f>
        <v/>
      </c>
      <c r="DQ455" s="112" t="str">
        <f aca="false">IF($DF455&gt;$DE$8,"",VLOOKUP($DF455,$DH$9:$DN$508,3,FALSE()))</f>
        <v/>
      </c>
      <c r="DR455" s="112" t="str">
        <f aca="false">IF($DF455&gt;$DE$8,"",VLOOKUP($DF455,$DH$9:$DN$508,4,FALSE()))</f>
        <v/>
      </c>
      <c r="DS455" s="112" t="str">
        <f aca="false">IF($DF455&gt;$DE$8,"",VLOOKUP($DF455,$DH$9:$DN$508,5,FALSE()))</f>
        <v/>
      </c>
      <c r="DT455" s="113" t="str">
        <f aca="false">IF($DF455&gt;$DE$8,"",VLOOKUP($DF455,$DH$9:$DN$508,6,FALSE()))</f>
        <v/>
      </c>
      <c r="DU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IF(ISBLANK($C456),"",IF(E456=Constants!$B$3,TRUE(),IF(E456=Constants!$B$4,FALSE(),TRUE())))</f>
        <v/>
      </c>
      <c r="AG456" s="135" t="str">
        <f aca="false">IF(ISBLANK($C456),"",IF(F456=Constants!$B$3,TRUE(),IF(F456=Constants!$B$4,FALSE(),TRUE())))</f>
        <v/>
      </c>
      <c r="AH456" s="135" t="str">
        <f aca="false">IF(ISBLANK($C456),"",IF(G456=Constants!$B$3,TRUE(),IF(G456=Constants!$B$4,FALSE(),TRUE())))</f>
        <v/>
      </c>
      <c r="AI456" s="135" t="str">
        <f aca="false">IF(ISBLANK($C456),"",IF(AND(ISNUMBER(H456),H456&gt;=0),H456,Constants!$B$29))</f>
        <v/>
      </c>
      <c r="AJ456" s="135" t="str">
        <f aca="false">IF(ISBLANK($C456),"",IF(I456=Constants!$B$3,TRUE(),IF(I456=Constants!$B$4,FALSE(),TRUE())))</f>
        <v/>
      </c>
      <c r="AK456" s="135" t="str">
        <f aca="false">IF(ISBLANK($C456),"",IF(J456=Constants!$B$3,TRUE(),IF(J456=Constants!$B$4,FALSE(),TRUE())))</f>
        <v/>
      </c>
      <c r="AL456" s="135" t="str">
        <f aca="false">IF(ISBLANK($C456),"",IF(K456=Constants!$B$5,TRUE(),IF(K456=Constants!$B$6,FALSE(),COUNTA(L456:P456)&gt;0)))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IF(ISBLANK($C456),"",IF(N456=Constants!$B$3,TRUE(),IF(N456=Constants!$B$4,FALSE(),TRUE())))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IF(ISBLANK($C456),"",IF(P456=Constants!$B$3,TRUE(),IF(P456=Constants!$B$4,FALSE(),FALSE())))</f>
        <v/>
      </c>
      <c r="AR456" s="135" t="str">
        <f aca="false">IF(ISBLANK($C456),"",IF(Q456=Constants!$B$3,TRUE(),IF(Q456=Constants!$B$4,FALSE(),TRUE())))</f>
        <v/>
      </c>
      <c r="AS456" s="135" t="str">
        <f aca="false">IF(ISBLANK($C456),"",IF(R456=Constants!$B$3,TRUE(),IF(R456=Constants!$B$4,FALSE(),TRUE())))</f>
        <v/>
      </c>
      <c r="AT456" s="135" t="str">
        <f aca="false">IF(ISBLANK($C456),"",IF(S456=Constants!$B$5,TRUE(),IF(S456=Constants!$B$6,FALSE(),COUNTA(T456:X456)&gt;0)))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IF(ISBLANK($C456),"",IF(V456=Constants!$B$3,TRUE(),IF(V456=Constants!$B$4,FALSE(),TRUE())))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IF(ISBLANK($C456),"",IF(X456=Constants!$B$3,TRUE(),IF(X456=Constants!$B$4,FALSE(),FALSE())))</f>
        <v/>
      </c>
      <c r="AZ456" s="135" t="str">
        <f aca="false">IF(ISBLANK($C456),"",MIN(Constants!$B$31,MAX(0,IF(ISNUMBER(Y456),Y456*60,0)+IF(ISNUMBER(Z456),Z456,0))))</f>
        <v/>
      </c>
      <c r="BA456" s="135" t="str">
        <f aca="false">IF(ISBLANK($C456),"",IF(AA456=Constants!$B$3,TRUE(),IF(AA456=Constants!$B$4,FALSE(),FALSE())))</f>
        <v/>
      </c>
      <c r="BB456" s="134" t="str">
        <f aca="false">IF(ISBLANK($C456),"",AND($AL456,OR($AM456="",$AN456="",AND($AO456,$AP456=""))))</f>
        <v/>
      </c>
      <c r="BC456" s="137" t="str">
        <f aca="false">IF($BZ456&lt;&gt;Constants!$B$8,"",IF($AL456,Constants!$B$21*$AN456+Constants!$B$22*IF($AO456,$AP456,Constants!$B$23),Constants!$B$24))</f>
        <v/>
      </c>
      <c r="BD456" s="138" t="str">
        <f aca="false">IF($BZ456&lt;&gt;Constants!$B$8,"",Constants!$B$25*ABS($AD$9-IF($AL456,$AM456,0)))</f>
        <v/>
      </c>
      <c r="BE456" s="138" t="str">
        <f aca="false">IF($BZ456&lt;&gt;Constants!$B$8,"",IF(AND($AL456,$AQ456,$AO456),Constants!$B$27,0))</f>
        <v/>
      </c>
      <c r="BF456" s="138" t="str">
        <f aca="false">IF($BZ456&lt;&gt;Constants!$B$8,"",IF($AL456,($AI456-Constants!$B$29)*Constants!$B$28,0))</f>
        <v/>
      </c>
      <c r="BG456" s="138" t="str">
        <f aca="false">IF($BZ456&lt;&gt;Constants!$B$8,"",IF($AK456,0,Constants!$B$15)+IF($AJ456,0,Constants!$B$16)+IF($AH456,0,Constants!$B$17))</f>
        <v/>
      </c>
      <c r="BH456" s="139" t="str">
        <f aca="false">IF($BZ456&lt;&gt;Constants!$B$8,"",Constants!$B$20+SUM($BC456:$BG456))</f>
        <v/>
      </c>
      <c r="BI456" s="138" t="str">
        <f aca="false">IF($BZ456&lt;&gt;Constants!$B$8,"",$BC456)</f>
        <v/>
      </c>
      <c r="BJ456" s="138" t="str">
        <f aca="false">IF($BZ456&lt;&gt;Constants!$B$8,"",$BD456)</f>
        <v/>
      </c>
      <c r="BK456" s="138" t="str">
        <f aca="false">IF($BZ456&lt;&gt;Constants!$B$8,"",IF($AL456,$AN456,""))</f>
        <v/>
      </c>
      <c r="BL456" s="140" t="str">
        <f aca="false">IF($BZ456&lt;&gt;Constants!$B$8,"",$AI456)</f>
        <v/>
      </c>
      <c r="BM456" s="135" t="str">
        <f aca="false">IF($BZ456&lt;&gt;Constants!$B$8,"",IF(OR($BT456&lt;$BH456,AND($BT456=$BH456,OR($BU456&lt;$BI456,AND($BU456=$BI456,OR($BV456&lt;$BJ456,AND($BV456=$BJ456,OR(AND(ISNUMBER($BW456),OR(NOT(ISNUMBER($BK456)),$BW456&lt;$BK456)),AND(OR(AND($BW456="",$BK456=""),AND(ISNUMBER($BW456),ISNUMBER($BK456),$BW456=$BK456)),$BX456&lt;$BL456)))))))),"-&gt;","&lt;-"))</f>
        <v/>
      </c>
      <c r="BN456" s="134" t="str">
        <f aca="false">IF(ISBLANK($C456),"",AND($AT456,OR($AU456="",$AV456="",AND($AW456,$AX456=""))))</f>
        <v/>
      </c>
      <c r="BO456" s="137" t="str">
        <f aca="false">IF($BZ456&lt;&gt;Constants!$B$8,"",IF($AT456,Constants!$B$21*$AV456+Constants!$B$22*IF($AW456,$AX456,Constants!$B$23),Constants!$B$24))</f>
        <v/>
      </c>
      <c r="BP456" s="138" t="str">
        <f aca="false">IF($BZ456&lt;&gt;Constants!$B$8,"",Constants!$B$25*ABS($AD$9-IF($AT456,$AU456,0)))</f>
        <v/>
      </c>
      <c r="BQ456" s="138" t="str">
        <f aca="false">IF($BZ456&lt;&gt;Constants!$B$8,"",IF(AND($AT456,$AY456,$AW456),Constants!$B$27,0))</f>
        <v/>
      </c>
      <c r="BR456" s="138" t="str">
        <f aca="false">IF($BZ456&lt;&gt;Constants!$B$8,"",IF($AT456,($AI456-Constants!$B$29)*Constants!$B$28,0))</f>
        <v/>
      </c>
      <c r="BS456" s="138" t="str">
        <f aca="false">IF($BZ456&lt;&gt;Constants!$B$8,"",IF($AS456,0,Constants!$B$15)+IF($AR456,0,Constants!$B$16)+IF($AH456,0,Constants!$B$17))</f>
        <v/>
      </c>
      <c r="BT456" s="139" t="str">
        <f aca="false">IF($BZ456&lt;&gt;Constants!$B$8,"",Constants!$B$20+SUM($BO456:$BS456))</f>
        <v/>
      </c>
      <c r="BU456" s="138" t="str">
        <f aca="false">IF($BZ456&lt;&gt;Constants!$B$8,"",$BO456)</f>
        <v/>
      </c>
      <c r="BV456" s="138" t="str">
        <f aca="false">IF($BZ456&lt;&gt;Constants!$B$8,"",$BP456)</f>
        <v/>
      </c>
      <c r="BW456" s="138" t="str">
        <f aca="false">IF($BZ456&lt;&gt;Constants!$B$8,"",IF($AT456,$AV456,""))</f>
        <v/>
      </c>
      <c r="BX456" s="140" t="str">
        <f aca="false">IF($BZ456&lt;&gt;Constants!$B$8,"",$AI456)</f>
        <v/>
      </c>
      <c r="BY456" s="135" t="str">
        <f aca="false">IF(ISBLANK($C456),"",IF(ISBLANK($D$7),$BY$5,IF(NOT(ISNUMBER($D$7)),$BY$6,"")))</f>
        <v/>
      </c>
      <c r="BZ456" s="135" t="str">
        <f aca="false">IF(ISBLANK($C456),"",IF($BA456,Constants!$B$11,IF(COUNTA($E456:$AA456)=0,Constants!$B$10,IF(NOT($AG456),Constants!$B$9,IF(OR($BY456&lt;&gt;"",$BB456,$BN456),Constants!$B$12,Constants!$B$8)))))</f>
        <v/>
      </c>
      <c r="CA456" s="135" t="str">
        <f aca="false">IF(ISBLANK($C456),"",IF($BZ456&lt;&gt;Constants!$B$8,$BZ456,Constants!$B$13))</f>
        <v/>
      </c>
      <c r="CB456" s="138" t="str">
        <f aca="false">IF($BZ456&lt;&gt;Constants!$B$8,"",IF($BM456="-&gt;",$BT456,$BH456))</f>
        <v/>
      </c>
      <c r="CC456" s="138" t="str">
        <f aca="false">IF($BZ456&lt;&gt;Constants!$B$8,"",IF($AF456,0,Constants!$B$18))</f>
        <v/>
      </c>
      <c r="CD456" s="138" t="str">
        <f aca="false">IF($BZ456&lt;&gt;Constants!$B$8,"",((Constants!$B$31-$AZ456)-Constants!$B$31)/Constants!$B$32)</f>
        <v/>
      </c>
      <c r="CE456" s="138" t="str">
        <f aca="false">IF(ISBLANK($C456),"",IF($BZ456&lt;&gt;Constants!$B$8,$BZ456,SUM($CB456:$CD456)))</f>
        <v/>
      </c>
      <c r="CF456" s="135" t="str">
        <f aca="false">IF(ISBLANK($C456),"",IF($BZ456&lt;&gt;Constants!$B$8,$BZ456,RANK($CE456,$CE$9:$CE$508,1)))</f>
        <v/>
      </c>
      <c r="CG456" s="138" t="str">
        <f aca="false">IF($BZ456&lt;&gt;Constants!$B$8,"",IF($BM456="-&gt;",$BU456,$BI456))</f>
        <v/>
      </c>
      <c r="CH456" s="135" t="str">
        <f aca="false">IF(ISBLANK($C456),"",IF($BZ456&lt;&gt;Constants!$B$8,$BZ456,IF(ISNUMBER($CG456),RANK($CG456,$CG$9:$CG$508,1),COUNT($CG$9:$CG$508)+1)))</f>
        <v/>
      </c>
      <c r="CI456" s="138" t="str">
        <f aca="false">IF($BZ456&lt;&gt;Constants!$B$8,"",IF($BM456="-&gt;",$BV456,$BJ456))</f>
        <v/>
      </c>
      <c r="CJ456" s="135" t="str">
        <f aca="false">IF(ISBLANK($C456),"",IF($BZ456&lt;&gt;Constants!$B$8,$BZ456,IF(ISNUMBER($CI456),RANK($CI456,$CI$9:$CI$508,1),COUNT($CI$9:$CI$508)+1)))</f>
        <v/>
      </c>
      <c r="CK456" s="138" t="str">
        <f aca="false">IF($BZ456&lt;&gt;Constants!$B$8,"",IF($BM456="-&gt;",$BW456,$BK456))</f>
        <v/>
      </c>
      <c r="CL456" s="135" t="str">
        <f aca="false">IF(ISBLANK($C456),"",IF($BZ456&lt;&gt;Constants!$B$8,$BZ456,IF(ISNUMBER($CK456),RANK($CK456,$CK$9:$CK$508,1),COUNT($CK$9:$CK$508)+1)))</f>
        <v/>
      </c>
      <c r="CM456" s="138" t="str">
        <f aca="false">IF($BZ456&lt;&gt;Constants!$B$8,"",IF(AND(NOT($AL456),NOT($AT456),$AJ456,$AK456,$AR456,$AS456),"",IF($BM456="-&gt;",$BX456,$BL456)))</f>
        <v/>
      </c>
      <c r="CN456" s="135" t="str">
        <f aca="false">IF(ISBLANK($C456),"",IF($BZ456&lt;&gt;Constants!$B$8,$BZ456,IF(ISNUMBER($CM456),RANK($CM456,$CM$9:$CM$508,1),COUNT($CM$9:$CM$508)+1)))</f>
        <v/>
      </c>
      <c r="CO456" s="135" t="str">
        <f aca="false">IF(ISBLANK($C456),"",IF($BZ456&lt;&gt;Constants!$B$8,$BZ456,COUNTIFS($CF$9:$CF$508,"&lt;"&amp;$CF456)+COUNTIFS($CF$9:$CF$508,$CF456,$CH$9:$CH$508,"&lt;"&amp;$CH456)+COUNTIFS($CF$9:$CF$508,$CF456,$CH$9:$CH$508,$CH456,$CJ$9:$CJ$508,"&lt;"&amp;$CJ456)+COUNTIFS($CF$9:$CF$508,$CF456,$CH$9:$CH$508,$CH456,$CJ$9:$CJ$508,$CJ456,$CL$9:$CL$508,"&lt;"&amp;$CL456)+COUNTIFS($CF$9:$CF$508,$CF456,$CH$9:$CH$508,$CH456,$CJ$9:$CJ$508,$CJ456,$CL$9:$CL$508,$CL456,$CN$9:$CN$508,"&lt;"&amp;$CN456)+1))</f>
        <v/>
      </c>
      <c r="CP456" s="135" t="str">
        <f aca="false">IF(ISBLANK($C456),"",IF($BZ456&lt;&gt;Constants!$B$8,$BZ456,$CF456-$CO456))</f>
        <v/>
      </c>
      <c r="CQ456" s="141"/>
      <c r="CR456" s="142"/>
      <c r="CS456" s="143" t="str">
        <f aca="false">IF(ISBLANK($C456),"",IF($BZ456=Constants!$B$12,$BY456,""))</f>
        <v/>
      </c>
      <c r="CT456" s="142" t="str">
        <f aca="false">IF(ISBLANK($C456),"",IF($BZ456&lt;&gt;Constants!$B$8,"",IF($BM456="-&gt;",2,1)))</f>
        <v/>
      </c>
      <c r="CU456" s="144" t="str">
        <f aca="false">IF(ISBLANK($C456),"",IF($BZ456&lt;&gt;Constants!$B$8,"",IF($BM456="-&gt;",$BO456,$BC456)))</f>
        <v/>
      </c>
      <c r="CV456" s="144" t="str">
        <f aca="false">IF(ISBLANK($C456),"",IF($BZ456&lt;&gt;Constants!$B$8,"",IF($BM456="-&gt;",$BP456,$BD456)))</f>
        <v/>
      </c>
      <c r="CW456" s="144" t="str">
        <f aca="false">IF(ISBLANK($C456),"",IF($BZ456&lt;&gt;Constants!$B$8,"",IF($BM456="-&gt;",$BQ456+$BR456,$BE456+$BF456)+$CD456))</f>
        <v/>
      </c>
      <c r="CX456" s="144" t="str">
        <f aca="false">IF(ISBLANK($C456),"",IF($BZ456&lt;&gt;Constants!$B$8,"",IF($BM456="-&gt;",$BS456,$BG456)+$CC456))</f>
        <v/>
      </c>
      <c r="CY456" s="145" t="str">
        <f aca="false">IF(ISBLANK($C456),"",IF($BZ456&lt;&gt;Constants!$B$8,$BZ456,$CE456))</f>
        <v/>
      </c>
      <c r="CZ456" s="146" t="str">
        <f aca="false">IF(ISBLANK($C456),"",$CA456)</f>
        <v/>
      </c>
      <c r="DA456" s="147" t="str">
        <f aca="false">IF(ISBLANK($C456),"",$CP456)</f>
        <v/>
      </c>
      <c r="DB456" s="147" t="str">
        <f aca="false">IF(ISBLANK($C456),"",$CO456)</f>
        <v/>
      </c>
      <c r="DC456" s="148" t="str">
        <f aca="false">IF(ISBLANK($C456),"",IFERROR(_xlfn.SWITCH($DB456,Constants!$B$11,COUNTA($C$9:$C$508)+2,Constants!$B$10,COUNTA($C$9:$C$508)+1,Constants!$B$9,COUNTA($C$9:$C$508)),$DB456))</f>
        <v/>
      </c>
      <c r="DD456" s="9"/>
      <c r="DE456" s="149" t="n">
        <f aca="false">IF(OR(ISNUMBER($DB456),$DB456=Constants!$B$11,$DB456=Constants!$B$9,$DB456=Constants!$B$10),1,0)</f>
        <v>0</v>
      </c>
      <c r="DF456" s="149" t="n">
        <v>448</v>
      </c>
      <c r="DG456" s="149" t="str">
        <f aca="false">IF(ISBLANK($C456),"",IF(ISNUMBER($DC456),$DC456+ROW($B456)/1000,""))</f>
        <v/>
      </c>
      <c r="DH456" s="149" t="str">
        <f aca="false">IF(ISNUMBER($DG456),RANK($DG456,$DG$9:$DG$508,1),"")</f>
        <v/>
      </c>
      <c r="DI456" s="149" t="str">
        <f aca="false">IF(ISBLANK($C456),"",$B456)</f>
        <v/>
      </c>
      <c r="DJ456" s="149" t="str">
        <f aca="false">IF(ISBLANK($C456),"",$C456)</f>
        <v/>
      </c>
      <c r="DK456" s="149" t="str">
        <f aca="false">IF(ISBLANK($C456),"",$D456)</f>
        <v/>
      </c>
      <c r="DL456" s="150" t="str">
        <f aca="false">$CZ456</f>
        <v/>
      </c>
      <c r="DM456" s="151" t="str">
        <f aca="false">$CY456</f>
        <v/>
      </c>
      <c r="DN456" s="149" t="str">
        <f aca="false">IF(ISBLANK($C456),"",$DB456)</f>
        <v/>
      </c>
      <c r="DO456" s="152" t="str">
        <f aca="false">IF($DF456&gt;$DE$8,"",VLOOKUP($DF456,$DH$9:$DN$508,7,FALSE()))</f>
        <v/>
      </c>
      <c r="DP456" s="153" t="str">
        <f aca="false">IF($DF456&gt;$DE$8,"",VLOOKUP($DF456,$DH$9:$DN$508,2,FALSE()))</f>
        <v/>
      </c>
      <c r="DQ456" s="153" t="str">
        <f aca="false">IF($DF456&gt;$DE$8,"",VLOOKUP($DF456,$DH$9:$DN$508,3,FALSE()))</f>
        <v/>
      </c>
      <c r="DR456" s="153" t="str">
        <f aca="false">IF($DF456&gt;$DE$8,"",VLOOKUP($DF456,$DH$9:$DN$508,4,FALSE()))</f>
        <v/>
      </c>
      <c r="DS456" s="153" t="str">
        <f aca="false">IF($DF456&gt;$DE$8,"",VLOOKUP($DF456,$DH$9:$DN$508,5,FALSE()))</f>
        <v/>
      </c>
      <c r="DT456" s="154" t="str">
        <f aca="false">IF($DF456&gt;$DE$8,"",VLOOKUP($DF456,$DH$9:$DN$508,6,FALSE()))</f>
        <v/>
      </c>
      <c r="DU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IF(ISBLANK($C457),"",IF(E457=Constants!$B$3,TRUE(),IF(E457=Constants!$B$4,FALSE(),TRUE())))</f>
        <v/>
      </c>
      <c r="AG457" s="135" t="str">
        <f aca="false">IF(ISBLANK($C457),"",IF(F457=Constants!$B$3,TRUE(),IF(F457=Constants!$B$4,FALSE(),TRUE())))</f>
        <v/>
      </c>
      <c r="AH457" s="135" t="str">
        <f aca="false">IF(ISBLANK($C457),"",IF(G457=Constants!$B$3,TRUE(),IF(G457=Constants!$B$4,FALSE(),TRUE())))</f>
        <v/>
      </c>
      <c r="AI457" s="135" t="str">
        <f aca="false">IF(ISBLANK($C457),"",IF(AND(ISNUMBER(H457),H457&gt;=0),H457,Constants!$B$29))</f>
        <v/>
      </c>
      <c r="AJ457" s="135" t="str">
        <f aca="false">IF(ISBLANK($C457),"",IF(I457=Constants!$B$3,TRUE(),IF(I457=Constants!$B$4,FALSE(),TRUE())))</f>
        <v/>
      </c>
      <c r="AK457" s="135" t="str">
        <f aca="false">IF(ISBLANK($C457),"",IF(J457=Constants!$B$3,TRUE(),IF(J457=Constants!$B$4,FALSE(),TRUE())))</f>
        <v/>
      </c>
      <c r="AL457" s="135" t="str">
        <f aca="false">IF(ISBLANK($C457),"",IF(K457=Constants!$B$5,TRUE(),IF(K457=Constants!$B$6,FALSE(),COUNTA(L457:P457)&gt;0)))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IF(ISBLANK($C457),"",IF(N457=Constants!$B$3,TRUE(),IF(N457=Constants!$B$4,FALSE(),TRUE())))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IF(ISBLANK($C457),"",IF(P457=Constants!$B$3,TRUE(),IF(P457=Constants!$B$4,FALSE(),FALSE())))</f>
        <v/>
      </c>
      <c r="AR457" s="135" t="str">
        <f aca="false">IF(ISBLANK($C457),"",IF(Q457=Constants!$B$3,TRUE(),IF(Q457=Constants!$B$4,FALSE(),TRUE())))</f>
        <v/>
      </c>
      <c r="AS457" s="135" t="str">
        <f aca="false">IF(ISBLANK($C457),"",IF(R457=Constants!$B$3,TRUE(),IF(R457=Constants!$B$4,FALSE(),TRUE())))</f>
        <v/>
      </c>
      <c r="AT457" s="135" t="str">
        <f aca="false">IF(ISBLANK($C457),"",IF(S457=Constants!$B$5,TRUE(),IF(S457=Constants!$B$6,FALSE(),COUNTA(T457:X457)&gt;0)))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IF(ISBLANK($C457),"",IF(V457=Constants!$B$3,TRUE(),IF(V457=Constants!$B$4,FALSE(),TRUE())))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IF(ISBLANK($C457),"",IF(X457=Constants!$B$3,TRUE(),IF(X457=Constants!$B$4,FALSE(),FALSE())))</f>
        <v/>
      </c>
      <c r="AZ457" s="135" t="str">
        <f aca="false">IF(ISBLANK($C457),"",MIN(Constants!$B$31,MAX(0,IF(ISNUMBER(Y457),Y457*60,0)+IF(ISNUMBER(Z457),Z457,0))))</f>
        <v/>
      </c>
      <c r="BA457" s="135" t="str">
        <f aca="false">IF(ISBLANK($C457),"",IF(AA457=Constants!$B$3,TRUE(),IF(AA457=Constants!$B$4,FALSE(),FALSE())))</f>
        <v/>
      </c>
      <c r="BB457" s="134" t="str">
        <f aca="false">IF(ISBLANK($C457),"",AND($AL457,OR($AM457="",$AN457="",AND($AO457,$AP457=""))))</f>
        <v/>
      </c>
      <c r="BC457" s="137" t="str">
        <f aca="false">IF($BZ457&lt;&gt;Constants!$B$8,"",IF($AL457,Constants!$B$21*$AN457+Constants!$B$22*IF($AO457,$AP457,Constants!$B$23),Constants!$B$24))</f>
        <v/>
      </c>
      <c r="BD457" s="138" t="str">
        <f aca="false">IF($BZ457&lt;&gt;Constants!$B$8,"",Constants!$B$25*ABS($AD$9-IF($AL457,$AM457,0)))</f>
        <v/>
      </c>
      <c r="BE457" s="138" t="str">
        <f aca="false">IF($BZ457&lt;&gt;Constants!$B$8,"",IF(AND($AL457,$AQ457,$AO457),Constants!$B$27,0))</f>
        <v/>
      </c>
      <c r="BF457" s="138" t="str">
        <f aca="false">IF($BZ457&lt;&gt;Constants!$B$8,"",IF($AL457,($AI457-Constants!$B$29)*Constants!$B$28,0))</f>
        <v/>
      </c>
      <c r="BG457" s="138" t="str">
        <f aca="false">IF($BZ457&lt;&gt;Constants!$B$8,"",IF($AK457,0,Constants!$B$15)+IF($AJ457,0,Constants!$B$16)+IF($AH457,0,Constants!$B$17))</f>
        <v/>
      </c>
      <c r="BH457" s="139" t="str">
        <f aca="false">IF($BZ457&lt;&gt;Constants!$B$8,"",Constants!$B$20+SUM($BC457:$BG457))</f>
        <v/>
      </c>
      <c r="BI457" s="138" t="str">
        <f aca="false">IF($BZ457&lt;&gt;Constants!$B$8,"",$BC457)</f>
        <v/>
      </c>
      <c r="BJ457" s="138" t="str">
        <f aca="false">IF($BZ457&lt;&gt;Constants!$B$8,"",$BD457)</f>
        <v/>
      </c>
      <c r="BK457" s="138" t="str">
        <f aca="false">IF($BZ457&lt;&gt;Constants!$B$8,"",IF($AL457,$AN457,""))</f>
        <v/>
      </c>
      <c r="BL457" s="140" t="str">
        <f aca="false">IF($BZ457&lt;&gt;Constants!$B$8,"",$AI457)</f>
        <v/>
      </c>
      <c r="BM457" s="135" t="str">
        <f aca="false">IF($BZ457&lt;&gt;Constants!$B$8,"",IF(OR($BT457&lt;$BH457,AND($BT457=$BH457,OR($BU457&lt;$BI457,AND($BU457=$BI457,OR($BV457&lt;$BJ457,AND($BV457=$BJ457,OR(AND(ISNUMBER($BW457),OR(NOT(ISNUMBER($BK457)),$BW457&lt;$BK457)),AND(OR(AND($BW457="",$BK457=""),AND(ISNUMBER($BW457),ISNUMBER($BK457),$BW457=$BK457)),$BX457&lt;$BL457)))))))),"-&gt;","&lt;-"))</f>
        <v/>
      </c>
      <c r="BN457" s="134" t="str">
        <f aca="false">IF(ISBLANK($C457),"",AND($AT457,OR($AU457="",$AV457="",AND($AW457,$AX457=""))))</f>
        <v/>
      </c>
      <c r="BO457" s="137" t="str">
        <f aca="false">IF($BZ457&lt;&gt;Constants!$B$8,"",IF($AT457,Constants!$B$21*$AV457+Constants!$B$22*IF($AW457,$AX457,Constants!$B$23),Constants!$B$24))</f>
        <v/>
      </c>
      <c r="BP457" s="138" t="str">
        <f aca="false">IF($BZ457&lt;&gt;Constants!$B$8,"",Constants!$B$25*ABS($AD$9-IF($AT457,$AU457,0)))</f>
        <v/>
      </c>
      <c r="BQ457" s="138" t="str">
        <f aca="false">IF($BZ457&lt;&gt;Constants!$B$8,"",IF(AND($AT457,$AY457,$AW457),Constants!$B$27,0))</f>
        <v/>
      </c>
      <c r="BR457" s="138" t="str">
        <f aca="false">IF($BZ457&lt;&gt;Constants!$B$8,"",IF($AT457,($AI457-Constants!$B$29)*Constants!$B$28,0))</f>
        <v/>
      </c>
      <c r="BS457" s="138" t="str">
        <f aca="false">IF($BZ457&lt;&gt;Constants!$B$8,"",IF($AS457,0,Constants!$B$15)+IF($AR457,0,Constants!$B$16)+IF($AH457,0,Constants!$B$17))</f>
        <v/>
      </c>
      <c r="BT457" s="139" t="str">
        <f aca="false">IF($BZ457&lt;&gt;Constants!$B$8,"",Constants!$B$20+SUM($BO457:$BS457))</f>
        <v/>
      </c>
      <c r="BU457" s="138" t="str">
        <f aca="false">IF($BZ457&lt;&gt;Constants!$B$8,"",$BO457)</f>
        <v/>
      </c>
      <c r="BV457" s="138" t="str">
        <f aca="false">IF($BZ457&lt;&gt;Constants!$B$8,"",$BP457)</f>
        <v/>
      </c>
      <c r="BW457" s="138" t="str">
        <f aca="false">IF($BZ457&lt;&gt;Constants!$B$8,"",IF($AT457,$AV457,""))</f>
        <v/>
      </c>
      <c r="BX457" s="140" t="str">
        <f aca="false">IF($BZ457&lt;&gt;Constants!$B$8,"",$AI457)</f>
        <v/>
      </c>
      <c r="BY457" s="135" t="str">
        <f aca="false">IF(ISBLANK($C457),"",IF(ISBLANK($D$7),$BY$5,IF(NOT(ISNUMBER($D$7)),$BY$6,"")))</f>
        <v/>
      </c>
      <c r="BZ457" s="135" t="str">
        <f aca="false">IF(ISBLANK($C457),"",IF($BA457,Constants!$B$11,IF(COUNTA($E457:$AA457)=0,Constants!$B$10,IF(NOT($AG457),Constants!$B$9,IF(OR($BY457&lt;&gt;"",$BB457,$BN457),Constants!$B$12,Constants!$B$8)))))</f>
        <v/>
      </c>
      <c r="CA457" s="135" t="str">
        <f aca="false">IF(ISBLANK($C457),"",IF($BZ457&lt;&gt;Constants!$B$8,$BZ457,Constants!$B$13))</f>
        <v/>
      </c>
      <c r="CB457" s="138" t="str">
        <f aca="false">IF($BZ457&lt;&gt;Constants!$B$8,"",IF($BM457="-&gt;",$BT457,$BH457))</f>
        <v/>
      </c>
      <c r="CC457" s="138" t="str">
        <f aca="false">IF($BZ457&lt;&gt;Constants!$B$8,"",IF($AF457,0,Constants!$B$18))</f>
        <v/>
      </c>
      <c r="CD457" s="138" t="str">
        <f aca="false">IF($BZ457&lt;&gt;Constants!$B$8,"",((Constants!$B$31-$AZ457)-Constants!$B$31)/Constants!$B$32)</f>
        <v/>
      </c>
      <c r="CE457" s="138" t="str">
        <f aca="false">IF(ISBLANK($C457),"",IF($BZ457&lt;&gt;Constants!$B$8,$BZ457,SUM($CB457:$CD457)))</f>
        <v/>
      </c>
      <c r="CF457" s="135" t="str">
        <f aca="false">IF(ISBLANK($C457),"",IF($BZ457&lt;&gt;Constants!$B$8,$BZ457,RANK($CE457,$CE$9:$CE$508,1)))</f>
        <v/>
      </c>
      <c r="CG457" s="138" t="str">
        <f aca="false">IF($BZ457&lt;&gt;Constants!$B$8,"",IF($BM457="-&gt;",$BU457,$BI457))</f>
        <v/>
      </c>
      <c r="CH457" s="135" t="str">
        <f aca="false">IF(ISBLANK($C457),"",IF($BZ457&lt;&gt;Constants!$B$8,$BZ457,IF(ISNUMBER($CG457),RANK($CG457,$CG$9:$CG$508,1),COUNT($CG$9:$CG$508)+1)))</f>
        <v/>
      </c>
      <c r="CI457" s="138" t="str">
        <f aca="false">IF($BZ457&lt;&gt;Constants!$B$8,"",IF($BM457="-&gt;",$BV457,$BJ457))</f>
        <v/>
      </c>
      <c r="CJ457" s="135" t="str">
        <f aca="false">IF(ISBLANK($C457),"",IF($BZ457&lt;&gt;Constants!$B$8,$BZ457,IF(ISNUMBER($CI457),RANK($CI457,$CI$9:$CI$508,1),COUNT($CI$9:$CI$508)+1)))</f>
        <v/>
      </c>
      <c r="CK457" s="138" t="str">
        <f aca="false">IF($BZ457&lt;&gt;Constants!$B$8,"",IF($BM457="-&gt;",$BW457,$BK457))</f>
        <v/>
      </c>
      <c r="CL457" s="135" t="str">
        <f aca="false">IF(ISBLANK($C457),"",IF($BZ457&lt;&gt;Constants!$B$8,$BZ457,IF(ISNUMBER($CK457),RANK($CK457,$CK$9:$CK$508,1),COUNT($CK$9:$CK$508)+1)))</f>
        <v/>
      </c>
      <c r="CM457" s="138" t="str">
        <f aca="false">IF($BZ457&lt;&gt;Constants!$B$8,"",IF(AND(NOT($AL457),NOT($AT457),$AJ457,$AK457,$AR457,$AS457),"",IF($BM457="-&gt;",$BX457,$BL457)))</f>
        <v/>
      </c>
      <c r="CN457" s="135" t="str">
        <f aca="false">IF(ISBLANK($C457),"",IF($BZ457&lt;&gt;Constants!$B$8,$BZ457,IF(ISNUMBER($CM457),RANK($CM457,$CM$9:$CM$508,1),COUNT($CM$9:$CM$508)+1)))</f>
        <v/>
      </c>
      <c r="CO457" s="135" t="str">
        <f aca="false">IF(ISBLANK($C457),"",IF($BZ457&lt;&gt;Constants!$B$8,$BZ457,COUNTIFS($CF$9:$CF$508,"&lt;"&amp;$CF457)+COUNTIFS($CF$9:$CF$508,$CF457,$CH$9:$CH$508,"&lt;"&amp;$CH457)+COUNTIFS($CF$9:$CF$508,$CF457,$CH$9:$CH$508,$CH457,$CJ$9:$CJ$508,"&lt;"&amp;$CJ457)+COUNTIFS($CF$9:$CF$508,$CF457,$CH$9:$CH$508,$CH457,$CJ$9:$CJ$508,$CJ457,$CL$9:$CL$508,"&lt;"&amp;$CL457)+COUNTIFS($CF$9:$CF$508,$CF457,$CH$9:$CH$508,$CH457,$CJ$9:$CJ$508,$CJ457,$CL$9:$CL$508,$CL457,$CN$9:$CN$508,"&lt;"&amp;$CN457)+1))</f>
        <v/>
      </c>
      <c r="CP457" s="135" t="str">
        <f aca="false">IF(ISBLANK($C457),"",IF($BZ457&lt;&gt;Constants!$B$8,$BZ457,$CF457-$CO457))</f>
        <v/>
      </c>
      <c r="CQ457" s="141"/>
      <c r="CR457" s="142"/>
      <c r="CS457" s="143" t="str">
        <f aca="false">IF(ISBLANK($C457),"",IF($BZ457=Constants!$B$12,$BY457,""))</f>
        <v/>
      </c>
      <c r="CT457" s="142" t="str">
        <f aca="false">IF(ISBLANK($C457),"",IF($BZ457&lt;&gt;Constants!$B$8,"",IF($BM457="-&gt;",2,1)))</f>
        <v/>
      </c>
      <c r="CU457" s="144" t="str">
        <f aca="false">IF(ISBLANK($C457),"",IF($BZ457&lt;&gt;Constants!$B$8,"",IF($BM457="-&gt;",$BO457,$BC457)))</f>
        <v/>
      </c>
      <c r="CV457" s="144" t="str">
        <f aca="false">IF(ISBLANK($C457),"",IF($BZ457&lt;&gt;Constants!$B$8,"",IF($BM457="-&gt;",$BP457,$BD457)))</f>
        <v/>
      </c>
      <c r="CW457" s="144" t="str">
        <f aca="false">IF(ISBLANK($C457),"",IF($BZ457&lt;&gt;Constants!$B$8,"",IF($BM457="-&gt;",$BQ457+$BR457,$BE457+$BF457)+$CD457))</f>
        <v/>
      </c>
      <c r="CX457" s="144" t="str">
        <f aca="false">IF(ISBLANK($C457),"",IF($BZ457&lt;&gt;Constants!$B$8,"",IF($BM457="-&gt;",$BS457,$BG457)+$CC457))</f>
        <v/>
      </c>
      <c r="CY457" s="145" t="str">
        <f aca="false">IF(ISBLANK($C457),"",IF($BZ457&lt;&gt;Constants!$B$8,$BZ457,$CE457))</f>
        <v/>
      </c>
      <c r="CZ457" s="146" t="str">
        <f aca="false">IF(ISBLANK($C457),"",$CA457)</f>
        <v/>
      </c>
      <c r="DA457" s="147" t="str">
        <f aca="false">IF(ISBLANK($C457),"",$CP457)</f>
        <v/>
      </c>
      <c r="DB457" s="147" t="str">
        <f aca="false">IF(ISBLANK($C457),"",$CO457)</f>
        <v/>
      </c>
      <c r="DC457" s="148" t="str">
        <f aca="false">IF(ISBLANK($C457),"",IFERROR(_xlfn.SWITCH($DB457,Constants!$B$11,COUNTA($C$9:$C$508)+2,Constants!$B$10,COUNTA($C$9:$C$508)+1,Constants!$B$9,COUNTA($C$9:$C$508)),$DB457))</f>
        <v/>
      </c>
      <c r="DD457" s="9"/>
      <c r="DE457" s="149" t="n">
        <f aca="false">IF(OR(ISNUMBER($DB457),$DB457=Constants!$B$11,$DB457=Constants!$B$9,$DB457=Constants!$B$10),1,0)</f>
        <v>0</v>
      </c>
      <c r="DF457" s="149" t="n">
        <v>449</v>
      </c>
      <c r="DG457" s="149" t="str">
        <f aca="false">IF(ISBLANK($C457),"",IF(ISNUMBER($DC457),$DC457+ROW($B457)/1000,""))</f>
        <v/>
      </c>
      <c r="DH457" s="149" t="str">
        <f aca="false">IF(ISNUMBER($DG457),RANK($DG457,$DG$9:$DG$508,1),"")</f>
        <v/>
      </c>
      <c r="DI457" s="149" t="str">
        <f aca="false">IF(ISBLANK($C457),"",$B457)</f>
        <v/>
      </c>
      <c r="DJ457" s="149" t="str">
        <f aca="false">IF(ISBLANK($C457),"",$C457)</f>
        <v/>
      </c>
      <c r="DK457" s="149" t="str">
        <f aca="false">IF(ISBLANK($C457),"",$D457)</f>
        <v/>
      </c>
      <c r="DL457" s="150" t="str">
        <f aca="false">$CZ457</f>
        <v/>
      </c>
      <c r="DM457" s="151" t="str">
        <f aca="false">$CY457</f>
        <v/>
      </c>
      <c r="DN457" s="149" t="str">
        <f aca="false">IF(ISBLANK($C457),"",$DB457)</f>
        <v/>
      </c>
      <c r="DO457" s="152" t="str">
        <f aca="false">IF($DF457&gt;$DE$8,"",VLOOKUP($DF457,$DH$9:$DN$508,7,FALSE()))</f>
        <v/>
      </c>
      <c r="DP457" s="153" t="str">
        <f aca="false">IF($DF457&gt;$DE$8,"",VLOOKUP($DF457,$DH$9:$DN$508,2,FALSE()))</f>
        <v/>
      </c>
      <c r="DQ457" s="153" t="str">
        <f aca="false">IF($DF457&gt;$DE$8,"",VLOOKUP($DF457,$DH$9:$DN$508,3,FALSE()))</f>
        <v/>
      </c>
      <c r="DR457" s="153" t="str">
        <f aca="false">IF($DF457&gt;$DE$8,"",VLOOKUP($DF457,$DH$9:$DN$508,4,FALSE()))</f>
        <v/>
      </c>
      <c r="DS457" s="153" t="str">
        <f aca="false">IF($DF457&gt;$DE$8,"",VLOOKUP($DF457,$DH$9:$DN$508,5,FALSE()))</f>
        <v/>
      </c>
      <c r="DT457" s="154" t="str">
        <f aca="false">IF($DF457&gt;$DE$8,"",VLOOKUP($DF457,$DH$9:$DN$508,6,FALSE()))</f>
        <v/>
      </c>
      <c r="DU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IF(ISBLANK($C458),"",IF(E458=Constants!$B$3,TRUE(),IF(E458=Constants!$B$4,FALSE(),TRUE())))</f>
        <v/>
      </c>
      <c r="AG458" s="135" t="str">
        <f aca="false">IF(ISBLANK($C458),"",IF(F458=Constants!$B$3,TRUE(),IF(F458=Constants!$B$4,FALSE(),TRUE())))</f>
        <v/>
      </c>
      <c r="AH458" s="135" t="str">
        <f aca="false">IF(ISBLANK($C458),"",IF(G458=Constants!$B$3,TRUE(),IF(G458=Constants!$B$4,FALSE(),TRUE())))</f>
        <v/>
      </c>
      <c r="AI458" s="135" t="str">
        <f aca="false">IF(ISBLANK($C458),"",IF(AND(ISNUMBER(H458),H458&gt;=0),H458,Constants!$B$29))</f>
        <v/>
      </c>
      <c r="AJ458" s="135" t="str">
        <f aca="false">IF(ISBLANK($C458),"",IF(I458=Constants!$B$3,TRUE(),IF(I458=Constants!$B$4,FALSE(),TRUE())))</f>
        <v/>
      </c>
      <c r="AK458" s="135" t="str">
        <f aca="false">IF(ISBLANK($C458),"",IF(J458=Constants!$B$3,TRUE(),IF(J458=Constants!$B$4,FALSE(),TRUE())))</f>
        <v/>
      </c>
      <c r="AL458" s="135" t="str">
        <f aca="false">IF(ISBLANK($C458),"",IF(K458=Constants!$B$5,TRUE(),IF(K458=Constants!$B$6,FALSE(),COUNTA(L458:P458)&gt;0)))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IF(ISBLANK($C458),"",IF(N458=Constants!$B$3,TRUE(),IF(N458=Constants!$B$4,FALSE(),TRUE())))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IF(ISBLANK($C458),"",IF(P458=Constants!$B$3,TRUE(),IF(P458=Constants!$B$4,FALSE(),FALSE())))</f>
        <v/>
      </c>
      <c r="AR458" s="135" t="str">
        <f aca="false">IF(ISBLANK($C458),"",IF(Q458=Constants!$B$3,TRUE(),IF(Q458=Constants!$B$4,FALSE(),TRUE())))</f>
        <v/>
      </c>
      <c r="AS458" s="135" t="str">
        <f aca="false">IF(ISBLANK($C458),"",IF(R458=Constants!$B$3,TRUE(),IF(R458=Constants!$B$4,FALSE(),TRUE())))</f>
        <v/>
      </c>
      <c r="AT458" s="135" t="str">
        <f aca="false">IF(ISBLANK($C458),"",IF(S458=Constants!$B$5,TRUE(),IF(S458=Constants!$B$6,FALSE(),COUNTA(T458:X458)&gt;0)))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IF(ISBLANK($C458),"",IF(V458=Constants!$B$3,TRUE(),IF(V458=Constants!$B$4,FALSE(),TRUE())))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IF(ISBLANK($C458),"",IF(X458=Constants!$B$3,TRUE(),IF(X458=Constants!$B$4,FALSE(),FALSE())))</f>
        <v/>
      </c>
      <c r="AZ458" s="135" t="str">
        <f aca="false">IF(ISBLANK($C458),"",MIN(Constants!$B$31,MAX(0,IF(ISNUMBER(Y458),Y458*60,0)+IF(ISNUMBER(Z458),Z458,0))))</f>
        <v/>
      </c>
      <c r="BA458" s="135" t="str">
        <f aca="false">IF(ISBLANK($C458),"",IF(AA458=Constants!$B$3,TRUE(),IF(AA458=Constants!$B$4,FALSE(),FALSE())))</f>
        <v/>
      </c>
      <c r="BB458" s="134" t="str">
        <f aca="false">IF(ISBLANK($C458),"",AND($AL458,OR($AM458="",$AN458="",AND($AO458,$AP458=""))))</f>
        <v/>
      </c>
      <c r="BC458" s="137" t="str">
        <f aca="false">IF($BZ458&lt;&gt;Constants!$B$8,"",IF($AL458,Constants!$B$21*$AN458+Constants!$B$22*IF($AO458,$AP458,Constants!$B$23),Constants!$B$24))</f>
        <v/>
      </c>
      <c r="BD458" s="138" t="str">
        <f aca="false">IF($BZ458&lt;&gt;Constants!$B$8,"",Constants!$B$25*ABS($AD$9-IF($AL458,$AM458,0)))</f>
        <v/>
      </c>
      <c r="BE458" s="138" t="str">
        <f aca="false">IF($BZ458&lt;&gt;Constants!$B$8,"",IF(AND($AL458,$AQ458,$AO458),Constants!$B$27,0))</f>
        <v/>
      </c>
      <c r="BF458" s="138" t="str">
        <f aca="false">IF($BZ458&lt;&gt;Constants!$B$8,"",IF($AL458,($AI458-Constants!$B$29)*Constants!$B$28,0))</f>
        <v/>
      </c>
      <c r="BG458" s="138" t="str">
        <f aca="false">IF($BZ458&lt;&gt;Constants!$B$8,"",IF($AK458,0,Constants!$B$15)+IF($AJ458,0,Constants!$B$16)+IF($AH458,0,Constants!$B$17))</f>
        <v/>
      </c>
      <c r="BH458" s="139" t="str">
        <f aca="false">IF($BZ458&lt;&gt;Constants!$B$8,"",Constants!$B$20+SUM($BC458:$BG458))</f>
        <v/>
      </c>
      <c r="BI458" s="138" t="str">
        <f aca="false">IF($BZ458&lt;&gt;Constants!$B$8,"",$BC458)</f>
        <v/>
      </c>
      <c r="BJ458" s="138" t="str">
        <f aca="false">IF($BZ458&lt;&gt;Constants!$B$8,"",$BD458)</f>
        <v/>
      </c>
      <c r="BK458" s="138" t="str">
        <f aca="false">IF($BZ458&lt;&gt;Constants!$B$8,"",IF($AL458,$AN458,""))</f>
        <v/>
      </c>
      <c r="BL458" s="140" t="str">
        <f aca="false">IF($BZ458&lt;&gt;Constants!$B$8,"",$AI458)</f>
        <v/>
      </c>
      <c r="BM458" s="135" t="str">
        <f aca="false">IF($BZ458&lt;&gt;Constants!$B$8,"",IF(OR($BT458&lt;$BH458,AND($BT458=$BH458,OR($BU458&lt;$BI458,AND($BU458=$BI458,OR($BV458&lt;$BJ458,AND($BV458=$BJ458,OR(AND(ISNUMBER($BW458),OR(NOT(ISNUMBER($BK458)),$BW458&lt;$BK458)),AND(OR(AND($BW458="",$BK458=""),AND(ISNUMBER($BW458),ISNUMBER($BK458),$BW458=$BK458)),$BX458&lt;$BL458)))))))),"-&gt;","&lt;-"))</f>
        <v/>
      </c>
      <c r="BN458" s="134" t="str">
        <f aca="false">IF(ISBLANK($C458),"",AND($AT458,OR($AU458="",$AV458="",AND($AW458,$AX458=""))))</f>
        <v/>
      </c>
      <c r="BO458" s="137" t="str">
        <f aca="false">IF($BZ458&lt;&gt;Constants!$B$8,"",IF($AT458,Constants!$B$21*$AV458+Constants!$B$22*IF($AW458,$AX458,Constants!$B$23),Constants!$B$24))</f>
        <v/>
      </c>
      <c r="BP458" s="138" t="str">
        <f aca="false">IF($BZ458&lt;&gt;Constants!$B$8,"",Constants!$B$25*ABS($AD$9-IF($AT458,$AU458,0)))</f>
        <v/>
      </c>
      <c r="BQ458" s="138" t="str">
        <f aca="false">IF($BZ458&lt;&gt;Constants!$B$8,"",IF(AND($AT458,$AY458,$AW458),Constants!$B$27,0))</f>
        <v/>
      </c>
      <c r="BR458" s="138" t="str">
        <f aca="false">IF($BZ458&lt;&gt;Constants!$B$8,"",IF($AT458,($AI458-Constants!$B$29)*Constants!$B$28,0))</f>
        <v/>
      </c>
      <c r="BS458" s="138" t="str">
        <f aca="false">IF($BZ458&lt;&gt;Constants!$B$8,"",IF($AS458,0,Constants!$B$15)+IF($AR458,0,Constants!$B$16)+IF($AH458,0,Constants!$B$17))</f>
        <v/>
      </c>
      <c r="BT458" s="139" t="str">
        <f aca="false">IF($BZ458&lt;&gt;Constants!$B$8,"",Constants!$B$20+SUM($BO458:$BS458))</f>
        <v/>
      </c>
      <c r="BU458" s="138" t="str">
        <f aca="false">IF($BZ458&lt;&gt;Constants!$B$8,"",$BO458)</f>
        <v/>
      </c>
      <c r="BV458" s="138" t="str">
        <f aca="false">IF($BZ458&lt;&gt;Constants!$B$8,"",$BP458)</f>
        <v/>
      </c>
      <c r="BW458" s="138" t="str">
        <f aca="false">IF($BZ458&lt;&gt;Constants!$B$8,"",IF($AT458,$AV458,""))</f>
        <v/>
      </c>
      <c r="BX458" s="140" t="str">
        <f aca="false">IF($BZ458&lt;&gt;Constants!$B$8,"",$AI458)</f>
        <v/>
      </c>
      <c r="BY458" s="135" t="str">
        <f aca="false">IF(ISBLANK($C458),"",IF(ISBLANK($D$7),$BY$5,IF(NOT(ISNUMBER($D$7)),$BY$6,"")))</f>
        <v/>
      </c>
      <c r="BZ458" s="135" t="str">
        <f aca="false">IF(ISBLANK($C458),"",IF($BA458,Constants!$B$11,IF(COUNTA($E458:$AA458)=0,Constants!$B$10,IF(NOT($AG458),Constants!$B$9,IF(OR($BY458&lt;&gt;"",$BB458,$BN458),Constants!$B$12,Constants!$B$8)))))</f>
        <v/>
      </c>
      <c r="CA458" s="135" t="str">
        <f aca="false">IF(ISBLANK($C458),"",IF($BZ458&lt;&gt;Constants!$B$8,$BZ458,Constants!$B$13))</f>
        <v/>
      </c>
      <c r="CB458" s="138" t="str">
        <f aca="false">IF($BZ458&lt;&gt;Constants!$B$8,"",IF($BM458="-&gt;",$BT458,$BH458))</f>
        <v/>
      </c>
      <c r="CC458" s="138" t="str">
        <f aca="false">IF($BZ458&lt;&gt;Constants!$B$8,"",IF($AF458,0,Constants!$B$18))</f>
        <v/>
      </c>
      <c r="CD458" s="138" t="str">
        <f aca="false">IF($BZ458&lt;&gt;Constants!$B$8,"",((Constants!$B$31-$AZ458)-Constants!$B$31)/Constants!$B$32)</f>
        <v/>
      </c>
      <c r="CE458" s="138" t="str">
        <f aca="false">IF(ISBLANK($C458),"",IF($BZ458&lt;&gt;Constants!$B$8,$BZ458,SUM($CB458:$CD458)))</f>
        <v/>
      </c>
      <c r="CF458" s="135" t="str">
        <f aca="false">IF(ISBLANK($C458),"",IF($BZ458&lt;&gt;Constants!$B$8,$BZ458,RANK($CE458,$CE$9:$CE$508,1)))</f>
        <v/>
      </c>
      <c r="CG458" s="138" t="str">
        <f aca="false">IF($BZ458&lt;&gt;Constants!$B$8,"",IF($BM458="-&gt;",$BU458,$BI458))</f>
        <v/>
      </c>
      <c r="CH458" s="135" t="str">
        <f aca="false">IF(ISBLANK($C458),"",IF($BZ458&lt;&gt;Constants!$B$8,$BZ458,IF(ISNUMBER($CG458),RANK($CG458,$CG$9:$CG$508,1),COUNT($CG$9:$CG$508)+1)))</f>
        <v/>
      </c>
      <c r="CI458" s="138" t="str">
        <f aca="false">IF($BZ458&lt;&gt;Constants!$B$8,"",IF($BM458="-&gt;",$BV458,$BJ458))</f>
        <v/>
      </c>
      <c r="CJ458" s="135" t="str">
        <f aca="false">IF(ISBLANK($C458),"",IF($BZ458&lt;&gt;Constants!$B$8,$BZ458,IF(ISNUMBER($CI458),RANK($CI458,$CI$9:$CI$508,1),COUNT($CI$9:$CI$508)+1)))</f>
        <v/>
      </c>
      <c r="CK458" s="138" t="str">
        <f aca="false">IF($BZ458&lt;&gt;Constants!$B$8,"",IF($BM458="-&gt;",$BW458,$BK458))</f>
        <v/>
      </c>
      <c r="CL458" s="135" t="str">
        <f aca="false">IF(ISBLANK($C458),"",IF($BZ458&lt;&gt;Constants!$B$8,$BZ458,IF(ISNUMBER($CK458),RANK($CK458,$CK$9:$CK$508,1),COUNT($CK$9:$CK$508)+1)))</f>
        <v/>
      </c>
      <c r="CM458" s="138" t="str">
        <f aca="false">IF($BZ458&lt;&gt;Constants!$B$8,"",IF(AND(NOT($AL458),NOT($AT458),$AJ458,$AK458,$AR458,$AS458),"",IF($BM458="-&gt;",$BX458,$BL458)))</f>
        <v/>
      </c>
      <c r="CN458" s="135" t="str">
        <f aca="false">IF(ISBLANK($C458),"",IF($BZ458&lt;&gt;Constants!$B$8,$BZ458,IF(ISNUMBER($CM458),RANK($CM458,$CM$9:$CM$508,1),COUNT($CM$9:$CM$508)+1)))</f>
        <v/>
      </c>
      <c r="CO458" s="135" t="str">
        <f aca="false">IF(ISBLANK($C458),"",IF($BZ458&lt;&gt;Constants!$B$8,$BZ458,COUNTIFS($CF$9:$CF$508,"&lt;"&amp;$CF458)+COUNTIFS($CF$9:$CF$508,$CF458,$CH$9:$CH$508,"&lt;"&amp;$CH458)+COUNTIFS($CF$9:$CF$508,$CF458,$CH$9:$CH$508,$CH458,$CJ$9:$CJ$508,"&lt;"&amp;$CJ458)+COUNTIFS($CF$9:$CF$508,$CF458,$CH$9:$CH$508,$CH458,$CJ$9:$CJ$508,$CJ458,$CL$9:$CL$508,"&lt;"&amp;$CL458)+COUNTIFS($CF$9:$CF$508,$CF458,$CH$9:$CH$508,$CH458,$CJ$9:$CJ$508,$CJ458,$CL$9:$CL$508,$CL458,$CN$9:$CN$508,"&lt;"&amp;$CN458)+1))</f>
        <v/>
      </c>
      <c r="CP458" s="135" t="str">
        <f aca="false">IF(ISBLANK($C458),"",IF($BZ458&lt;&gt;Constants!$B$8,$BZ458,$CF458-$CO458))</f>
        <v/>
      </c>
      <c r="CQ458" s="141"/>
      <c r="CR458" s="142"/>
      <c r="CS458" s="143" t="str">
        <f aca="false">IF(ISBLANK($C458),"",IF($BZ458=Constants!$B$12,$BY458,""))</f>
        <v/>
      </c>
      <c r="CT458" s="142" t="str">
        <f aca="false">IF(ISBLANK($C458),"",IF($BZ458&lt;&gt;Constants!$B$8,"",IF($BM458="-&gt;",2,1)))</f>
        <v/>
      </c>
      <c r="CU458" s="144" t="str">
        <f aca="false">IF(ISBLANK($C458),"",IF($BZ458&lt;&gt;Constants!$B$8,"",IF($BM458="-&gt;",$BO458,$BC458)))</f>
        <v/>
      </c>
      <c r="CV458" s="144" t="str">
        <f aca="false">IF(ISBLANK($C458),"",IF($BZ458&lt;&gt;Constants!$B$8,"",IF($BM458="-&gt;",$BP458,$BD458)))</f>
        <v/>
      </c>
      <c r="CW458" s="144" t="str">
        <f aca="false">IF(ISBLANK($C458),"",IF($BZ458&lt;&gt;Constants!$B$8,"",IF($BM458="-&gt;",$BQ458+$BR458,$BE458+$BF458)+$CD458))</f>
        <v/>
      </c>
      <c r="CX458" s="144" t="str">
        <f aca="false">IF(ISBLANK($C458),"",IF($BZ458&lt;&gt;Constants!$B$8,"",IF($BM458="-&gt;",$BS458,$BG458)+$CC458))</f>
        <v/>
      </c>
      <c r="CY458" s="145" t="str">
        <f aca="false">IF(ISBLANK($C458),"",IF($BZ458&lt;&gt;Constants!$B$8,$BZ458,$CE458))</f>
        <v/>
      </c>
      <c r="CZ458" s="146" t="str">
        <f aca="false">IF(ISBLANK($C458),"",$CA458)</f>
        <v/>
      </c>
      <c r="DA458" s="147" t="str">
        <f aca="false">IF(ISBLANK($C458),"",$CP458)</f>
        <v/>
      </c>
      <c r="DB458" s="147" t="str">
        <f aca="false">IF(ISBLANK($C458),"",$CO458)</f>
        <v/>
      </c>
      <c r="DC458" s="148" t="str">
        <f aca="false">IF(ISBLANK($C458),"",IFERROR(_xlfn.SWITCH($DB458,Constants!$B$11,COUNTA($C$9:$C$508)+2,Constants!$B$10,COUNTA($C$9:$C$508)+1,Constants!$B$9,COUNTA($C$9:$C$508)),$DB458))</f>
        <v/>
      </c>
      <c r="DD458" s="9"/>
      <c r="DE458" s="149" t="n">
        <f aca="false">IF(OR(ISNUMBER($DB458),$DB458=Constants!$B$11,$DB458=Constants!$B$9,$DB458=Constants!$B$10),1,0)</f>
        <v>0</v>
      </c>
      <c r="DF458" s="149" t="n">
        <v>450</v>
      </c>
      <c r="DG458" s="149" t="str">
        <f aca="false">IF(ISBLANK($C458),"",IF(ISNUMBER($DC458),$DC458+ROW($B458)/1000,""))</f>
        <v/>
      </c>
      <c r="DH458" s="149" t="str">
        <f aca="false">IF(ISNUMBER($DG458),RANK($DG458,$DG$9:$DG$508,1),"")</f>
        <v/>
      </c>
      <c r="DI458" s="149" t="str">
        <f aca="false">IF(ISBLANK($C458),"",$B458)</f>
        <v/>
      </c>
      <c r="DJ458" s="149" t="str">
        <f aca="false">IF(ISBLANK($C458),"",$C458)</f>
        <v/>
      </c>
      <c r="DK458" s="149" t="str">
        <f aca="false">IF(ISBLANK($C458),"",$D458)</f>
        <v/>
      </c>
      <c r="DL458" s="150" t="str">
        <f aca="false">$CZ458</f>
        <v/>
      </c>
      <c r="DM458" s="151" t="str">
        <f aca="false">$CY458</f>
        <v/>
      </c>
      <c r="DN458" s="149" t="str">
        <f aca="false">IF(ISBLANK($C458),"",$DB458)</f>
        <v/>
      </c>
      <c r="DO458" s="152" t="str">
        <f aca="false">IF($DF458&gt;$DE$8,"",VLOOKUP($DF458,$DH$9:$DN$508,7,FALSE()))</f>
        <v/>
      </c>
      <c r="DP458" s="153" t="str">
        <f aca="false">IF($DF458&gt;$DE$8,"",VLOOKUP($DF458,$DH$9:$DN$508,2,FALSE()))</f>
        <v/>
      </c>
      <c r="DQ458" s="153" t="str">
        <f aca="false">IF($DF458&gt;$DE$8,"",VLOOKUP($DF458,$DH$9:$DN$508,3,FALSE()))</f>
        <v/>
      </c>
      <c r="DR458" s="153" t="str">
        <f aca="false">IF($DF458&gt;$DE$8,"",VLOOKUP($DF458,$DH$9:$DN$508,4,FALSE()))</f>
        <v/>
      </c>
      <c r="DS458" s="153" t="str">
        <f aca="false">IF($DF458&gt;$DE$8,"",VLOOKUP($DF458,$DH$9:$DN$508,5,FALSE()))</f>
        <v/>
      </c>
      <c r="DT458" s="154" t="str">
        <f aca="false">IF($DF458&gt;$DE$8,"",VLOOKUP($DF458,$DH$9:$DN$508,6,FALSE()))</f>
        <v/>
      </c>
      <c r="DU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IF(ISBLANK($C459),"",IF(E459=Constants!$B$3,TRUE(),IF(E459=Constants!$B$4,FALSE(),TRUE())))</f>
        <v/>
      </c>
      <c r="AG459" s="93" t="str">
        <f aca="false">IF(ISBLANK($C459),"",IF(F459=Constants!$B$3,TRUE(),IF(F459=Constants!$B$4,FALSE(),TRUE())))</f>
        <v/>
      </c>
      <c r="AH459" s="93" t="str">
        <f aca="false">IF(ISBLANK($C459),"",IF(G459=Constants!$B$3,TRUE(),IF(G459=Constants!$B$4,FALSE(),TRUE())))</f>
        <v/>
      </c>
      <c r="AI459" s="93" t="str">
        <f aca="false">IF(ISBLANK($C459),"",IF(AND(ISNUMBER(H459),H459&gt;=0),H459,Constants!$B$29))</f>
        <v/>
      </c>
      <c r="AJ459" s="93" t="str">
        <f aca="false">IF(ISBLANK($C459),"",IF(I459=Constants!$B$3,TRUE(),IF(I459=Constants!$B$4,FALSE(),TRUE())))</f>
        <v/>
      </c>
      <c r="AK459" s="93" t="str">
        <f aca="false">IF(ISBLANK($C459),"",IF(J459=Constants!$B$3,TRUE(),IF(J459=Constants!$B$4,FALSE(),TRUE())))</f>
        <v/>
      </c>
      <c r="AL459" s="93" t="str">
        <f aca="false">IF(ISBLANK($C459),"",IF(K459=Constants!$B$5,TRUE(),IF(K459=Constants!$B$6,FALSE(),COUNTA(L459:P459)&gt;0)))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IF(ISBLANK($C459),"",IF(N459=Constants!$B$3,TRUE(),IF(N459=Constants!$B$4,FALSE(),TRUE())))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IF(ISBLANK($C459),"",IF(P459=Constants!$B$3,TRUE(),IF(P459=Constants!$B$4,FALSE(),FALSE())))</f>
        <v/>
      </c>
      <c r="AR459" s="93" t="str">
        <f aca="false">IF(ISBLANK($C459),"",IF(Q459=Constants!$B$3,TRUE(),IF(Q459=Constants!$B$4,FALSE(),TRUE())))</f>
        <v/>
      </c>
      <c r="AS459" s="93" t="str">
        <f aca="false">IF(ISBLANK($C459),"",IF(R459=Constants!$B$3,TRUE(),IF(R459=Constants!$B$4,FALSE(),TRUE())))</f>
        <v/>
      </c>
      <c r="AT459" s="93" t="str">
        <f aca="false">IF(ISBLANK($C459),"",IF(S459=Constants!$B$5,TRUE(),IF(S459=Constants!$B$6,FALSE(),COUNTA(T459:X459)&gt;0)))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IF(ISBLANK($C459),"",IF(V459=Constants!$B$3,TRUE(),IF(V459=Constants!$B$4,FALSE(),TRUE())))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IF(ISBLANK($C459),"",IF(X459=Constants!$B$3,TRUE(),IF(X459=Constants!$B$4,FALSE(),FALSE())))</f>
        <v/>
      </c>
      <c r="AZ459" s="93" t="str">
        <f aca="false">IF(ISBLANK($C459),"",MIN(Constants!$B$31,MAX(0,IF(ISNUMBER(Y459),Y459*60,0)+IF(ISNUMBER(Z459),Z459,0))))</f>
        <v/>
      </c>
      <c r="BA459" s="93" t="str">
        <f aca="false">IF(ISBLANK($C459),"",IF(AA459=Constants!$B$3,TRUE(),IF(AA459=Constants!$B$4,FALSE(),FALSE())))</f>
        <v/>
      </c>
      <c r="BB459" s="92" t="str">
        <f aca="false">IF(ISBLANK($C459),"",AND($AL459,OR($AM459="",$AN459="",AND($AO459,$AP459=""))))</f>
        <v/>
      </c>
      <c r="BC459" s="94" t="str">
        <f aca="false">IF($BZ459&lt;&gt;Constants!$B$8,"",IF($AL459,Constants!$B$21*$AN459+Constants!$B$22*IF($AO459,$AP459,Constants!$B$23),Constants!$B$24))</f>
        <v/>
      </c>
      <c r="BD459" s="97" t="str">
        <f aca="false">IF($BZ459&lt;&gt;Constants!$B$8,"",Constants!$B$25*ABS($AD$9-IF($AL459,$AM459,0)))</f>
        <v/>
      </c>
      <c r="BE459" s="97" t="str">
        <f aca="false">IF($BZ459&lt;&gt;Constants!$B$8,"",IF(AND($AL459,$AQ459,$AO459),Constants!$B$27,0))</f>
        <v/>
      </c>
      <c r="BF459" s="97" t="str">
        <f aca="false">IF($BZ459&lt;&gt;Constants!$B$8,"",IF($AL459,($AI459-Constants!$B$29)*Constants!$B$28,0))</f>
        <v/>
      </c>
      <c r="BG459" s="97" t="str">
        <f aca="false">IF($BZ459&lt;&gt;Constants!$B$8,"",IF($AK459,0,Constants!$B$15)+IF($AJ459,0,Constants!$B$16)+IF($AH459,0,Constants!$B$17))</f>
        <v/>
      </c>
      <c r="BH459" s="98" t="str">
        <f aca="false">IF($BZ459&lt;&gt;Constants!$B$8,"",Constants!$B$20+SUM($BC459:$BG459))</f>
        <v/>
      </c>
      <c r="BI459" s="97" t="str">
        <f aca="false">IF($BZ459&lt;&gt;Constants!$B$8,"",$BC459)</f>
        <v/>
      </c>
      <c r="BJ459" s="97" t="str">
        <f aca="false">IF($BZ459&lt;&gt;Constants!$B$8,"",$BD459)</f>
        <v/>
      </c>
      <c r="BK459" s="97" t="str">
        <f aca="false">IF($BZ459&lt;&gt;Constants!$B$8,"",IF($AL459,$AN459,""))</f>
        <v/>
      </c>
      <c r="BL459" s="99" t="str">
        <f aca="false">IF($BZ459&lt;&gt;Constants!$B$8,"",$AI459)</f>
        <v/>
      </c>
      <c r="BM459" s="93" t="str">
        <f aca="false">IF($BZ459&lt;&gt;Constants!$B$8,"",IF(OR($BT459&lt;$BH459,AND($BT459=$BH459,OR($BU459&lt;$BI459,AND($BU459=$BI459,OR($BV459&lt;$BJ459,AND($BV459=$BJ459,OR(AND(ISNUMBER($BW459),OR(NOT(ISNUMBER($BK459)),$BW459&lt;$BK459)),AND(OR(AND($BW459="",$BK459=""),AND(ISNUMBER($BW459),ISNUMBER($BK459),$BW459=$BK459)),$BX459&lt;$BL459)))))))),"-&gt;","&lt;-"))</f>
        <v/>
      </c>
      <c r="BN459" s="92" t="str">
        <f aca="false">IF(ISBLANK($C459),"",AND($AT459,OR($AU459="",$AV459="",AND($AW459,$AX459=""))))</f>
        <v/>
      </c>
      <c r="BO459" s="94" t="str">
        <f aca="false">IF($BZ459&lt;&gt;Constants!$B$8,"",IF($AT459,Constants!$B$21*$AV459+Constants!$B$22*IF($AW459,$AX459,Constants!$B$23),Constants!$B$24))</f>
        <v/>
      </c>
      <c r="BP459" s="97" t="str">
        <f aca="false">IF($BZ459&lt;&gt;Constants!$B$8,"",Constants!$B$25*ABS($AD$9-IF($AT459,$AU459,0)))</f>
        <v/>
      </c>
      <c r="BQ459" s="97" t="str">
        <f aca="false">IF($BZ459&lt;&gt;Constants!$B$8,"",IF(AND($AT459,$AY459,$AW459),Constants!$B$27,0))</f>
        <v/>
      </c>
      <c r="BR459" s="97" t="str">
        <f aca="false">IF($BZ459&lt;&gt;Constants!$B$8,"",IF($AT459,($AI459-Constants!$B$29)*Constants!$B$28,0))</f>
        <v/>
      </c>
      <c r="BS459" s="97" t="str">
        <f aca="false">IF($BZ459&lt;&gt;Constants!$B$8,"",IF($AS459,0,Constants!$B$15)+IF($AR459,0,Constants!$B$16)+IF($AH459,0,Constants!$B$17))</f>
        <v/>
      </c>
      <c r="BT459" s="98" t="str">
        <f aca="false">IF($BZ459&lt;&gt;Constants!$B$8,"",Constants!$B$20+SUM($BO459:$BS459))</f>
        <v/>
      </c>
      <c r="BU459" s="97" t="str">
        <f aca="false">IF($BZ459&lt;&gt;Constants!$B$8,"",$BO459)</f>
        <v/>
      </c>
      <c r="BV459" s="97" t="str">
        <f aca="false">IF($BZ459&lt;&gt;Constants!$B$8,"",$BP459)</f>
        <v/>
      </c>
      <c r="BW459" s="97" t="str">
        <f aca="false">IF($BZ459&lt;&gt;Constants!$B$8,"",IF($AT459,$AV459,""))</f>
        <v/>
      </c>
      <c r="BX459" s="99" t="str">
        <f aca="false">IF($BZ459&lt;&gt;Constants!$B$8,"",$AI459)</f>
        <v/>
      </c>
      <c r="BY459" s="93" t="str">
        <f aca="false">IF(ISBLANK($C459),"",IF(ISBLANK($D$7),$BY$5,IF(NOT(ISNUMBER($D$7)),$BY$6,"")))</f>
        <v/>
      </c>
      <c r="BZ459" s="93" t="str">
        <f aca="false">IF(ISBLANK($C459),"",IF($BA459,Constants!$B$11,IF(COUNTA($E459:$AA459)=0,Constants!$B$10,IF(NOT($AG459),Constants!$B$9,IF(OR($BY459&lt;&gt;"",$BB459,$BN459),Constants!$B$12,Constants!$B$8)))))</f>
        <v/>
      </c>
      <c r="CA459" s="93" t="str">
        <f aca="false">IF(ISBLANK($C459),"",IF($BZ459&lt;&gt;Constants!$B$8,$BZ459,Constants!$B$13))</f>
        <v/>
      </c>
      <c r="CB459" s="97" t="str">
        <f aca="false">IF($BZ459&lt;&gt;Constants!$B$8,"",IF($BM459="-&gt;",$BT459,$BH459))</f>
        <v/>
      </c>
      <c r="CC459" s="97" t="str">
        <f aca="false">IF($BZ459&lt;&gt;Constants!$B$8,"",IF($AF459,0,Constants!$B$18))</f>
        <v/>
      </c>
      <c r="CD459" s="97" t="str">
        <f aca="false">IF($BZ459&lt;&gt;Constants!$B$8,"",((Constants!$B$31-$AZ459)-Constants!$B$31)/Constants!$B$32)</f>
        <v/>
      </c>
      <c r="CE459" s="97" t="str">
        <f aca="false">IF(ISBLANK($C459),"",IF($BZ459&lt;&gt;Constants!$B$8,$BZ459,SUM($CB459:$CD459)))</f>
        <v/>
      </c>
      <c r="CF459" s="93" t="str">
        <f aca="false">IF(ISBLANK($C459),"",IF($BZ459&lt;&gt;Constants!$B$8,$BZ459,RANK($CE459,$CE$9:$CE$508,1)))</f>
        <v/>
      </c>
      <c r="CG459" s="97" t="str">
        <f aca="false">IF($BZ459&lt;&gt;Constants!$B$8,"",IF($BM459="-&gt;",$BU459,$BI459))</f>
        <v/>
      </c>
      <c r="CH459" s="93" t="str">
        <f aca="false">IF(ISBLANK($C459),"",IF($BZ459&lt;&gt;Constants!$B$8,$BZ459,IF(ISNUMBER($CG459),RANK($CG459,$CG$9:$CG$508,1),COUNT($CG$9:$CG$508)+1)))</f>
        <v/>
      </c>
      <c r="CI459" s="97" t="str">
        <f aca="false">IF($BZ459&lt;&gt;Constants!$B$8,"",IF($BM459="-&gt;",$BV459,$BJ459))</f>
        <v/>
      </c>
      <c r="CJ459" s="93" t="str">
        <f aca="false">IF(ISBLANK($C459),"",IF($BZ459&lt;&gt;Constants!$B$8,$BZ459,IF(ISNUMBER($CI459),RANK($CI459,$CI$9:$CI$508,1),COUNT($CI$9:$CI$508)+1)))</f>
        <v/>
      </c>
      <c r="CK459" s="97" t="str">
        <f aca="false">IF($BZ459&lt;&gt;Constants!$B$8,"",IF($BM459="-&gt;",$BW459,$BK459))</f>
        <v/>
      </c>
      <c r="CL459" s="93" t="str">
        <f aca="false">IF(ISBLANK($C459),"",IF($BZ459&lt;&gt;Constants!$B$8,$BZ459,IF(ISNUMBER($CK459),RANK($CK459,$CK$9:$CK$508,1),COUNT($CK$9:$CK$508)+1)))</f>
        <v/>
      </c>
      <c r="CM459" s="97" t="str">
        <f aca="false">IF($BZ459&lt;&gt;Constants!$B$8,"",IF(AND(NOT($AL459),NOT($AT459),$AJ459,$AK459,$AR459,$AS459),"",IF($BM459="-&gt;",$BX459,$BL459)))</f>
        <v/>
      </c>
      <c r="CN459" s="93" t="str">
        <f aca="false">IF(ISBLANK($C459),"",IF($BZ459&lt;&gt;Constants!$B$8,$BZ459,IF(ISNUMBER($CM459),RANK($CM459,$CM$9:$CM$508,1),COUNT($CM$9:$CM$508)+1)))</f>
        <v/>
      </c>
      <c r="CO459" s="93" t="str">
        <f aca="false">IF(ISBLANK($C459),"",IF($BZ459&lt;&gt;Constants!$B$8,$BZ459,COUNTIFS($CF$9:$CF$508,"&lt;"&amp;$CF459)+COUNTIFS($CF$9:$CF$508,$CF459,$CH$9:$CH$508,"&lt;"&amp;$CH459)+COUNTIFS($CF$9:$CF$508,$CF459,$CH$9:$CH$508,$CH459,$CJ$9:$CJ$508,"&lt;"&amp;$CJ459)+COUNTIFS($CF$9:$CF$508,$CF459,$CH$9:$CH$508,$CH459,$CJ$9:$CJ$508,$CJ459,$CL$9:$CL$508,"&lt;"&amp;$CL459)+COUNTIFS($CF$9:$CF$508,$CF459,$CH$9:$CH$508,$CH459,$CJ$9:$CJ$508,$CJ459,$CL$9:$CL$508,$CL459,$CN$9:$CN$508,"&lt;"&amp;$CN459)+1))</f>
        <v/>
      </c>
      <c r="CP459" s="93" t="str">
        <f aca="false">IF(ISBLANK($C459),"",IF($BZ459&lt;&gt;Constants!$B$8,$BZ459,$CF459-$CO459))</f>
        <v/>
      </c>
      <c r="CQ459" s="100"/>
      <c r="CR459" s="101"/>
      <c r="CS459" s="102" t="str">
        <f aca="false">IF(ISBLANK($C459),"",IF($BZ459=Constants!$B$12,$BY459,""))</f>
        <v/>
      </c>
      <c r="CT459" s="101" t="str">
        <f aca="false">IF(ISBLANK($C459),"",IF($BZ459&lt;&gt;Constants!$B$8,"",IF($BM459="-&gt;",2,1)))</f>
        <v/>
      </c>
      <c r="CU459" s="103" t="str">
        <f aca="false">IF(ISBLANK($C459),"",IF($BZ459&lt;&gt;Constants!$B$8,"",IF($BM459="-&gt;",$BO459,$BC459)))</f>
        <v/>
      </c>
      <c r="CV459" s="103" t="str">
        <f aca="false">IF(ISBLANK($C459),"",IF($BZ459&lt;&gt;Constants!$B$8,"",IF($BM459="-&gt;",$BP459,$BD459)))</f>
        <v/>
      </c>
      <c r="CW459" s="103" t="str">
        <f aca="false">IF(ISBLANK($C459),"",IF($BZ459&lt;&gt;Constants!$B$8,"",IF($BM459="-&gt;",$BQ459+$BR459,$BE459+$BF459)+$CD459))</f>
        <v/>
      </c>
      <c r="CX459" s="103" t="str">
        <f aca="false">IF(ISBLANK($C459),"",IF($BZ459&lt;&gt;Constants!$B$8,"",IF($BM459="-&gt;",$BS459,$BG459)+$CC459))</f>
        <v/>
      </c>
      <c r="CY459" s="104" t="str">
        <f aca="false">IF(ISBLANK($C459),"",IF($BZ459&lt;&gt;Constants!$B$8,$BZ459,$CE459))</f>
        <v/>
      </c>
      <c r="CZ459" s="105" t="str">
        <f aca="false">IF(ISBLANK($C459),"",$CA459)</f>
        <v/>
      </c>
      <c r="DA459" s="106" t="str">
        <f aca="false">IF(ISBLANK($C459),"",$CP459)</f>
        <v/>
      </c>
      <c r="DB459" s="106" t="str">
        <f aca="false">IF(ISBLANK($C459),"",$CO459)</f>
        <v/>
      </c>
      <c r="DC459" s="107" t="str">
        <f aca="false">IF(ISBLANK($C459),"",IFERROR(_xlfn.SWITCH($DB459,Constants!$B$11,COUNTA($C$9:$C$508)+2,Constants!$B$10,COUNTA($C$9:$C$508)+1,Constants!$B$9,COUNTA($C$9:$C$508)),$DB459))</f>
        <v/>
      </c>
      <c r="DD459" s="9"/>
      <c r="DE459" s="108" t="n">
        <f aca="false">IF(OR(ISNUMBER($DB459),$DB459=Constants!$B$11,$DB459=Constants!$B$9,$DB459=Constants!$B$10),1,0)</f>
        <v>0</v>
      </c>
      <c r="DF459" s="108" t="n">
        <v>451</v>
      </c>
      <c r="DG459" s="108" t="str">
        <f aca="false">IF(ISBLANK($C459),"",IF(ISNUMBER($DC459),$DC459+ROW($B459)/1000,""))</f>
        <v/>
      </c>
      <c r="DH459" s="108" t="str">
        <f aca="false">IF(ISNUMBER($DG459),RANK($DG459,$DG$9:$DG$508,1),"")</f>
        <v/>
      </c>
      <c r="DI459" s="108" t="str">
        <f aca="false">IF(ISBLANK($C459),"",$B459)</f>
        <v/>
      </c>
      <c r="DJ459" s="108" t="str">
        <f aca="false">IF(ISBLANK($C459),"",$C459)</f>
        <v/>
      </c>
      <c r="DK459" s="108" t="str">
        <f aca="false">IF(ISBLANK($C459),"",$D459)</f>
        <v/>
      </c>
      <c r="DL459" s="109" t="str">
        <f aca="false">$CZ459</f>
        <v/>
      </c>
      <c r="DM459" s="110" t="str">
        <f aca="false">$CY459</f>
        <v/>
      </c>
      <c r="DN459" s="108" t="str">
        <f aca="false">IF(ISBLANK($C459),"",$DB459)</f>
        <v/>
      </c>
      <c r="DO459" s="111" t="str">
        <f aca="false">IF($DF459&gt;$DE$8,"",VLOOKUP($DF459,$DH$9:$DN$508,7,FALSE()))</f>
        <v/>
      </c>
      <c r="DP459" s="112" t="str">
        <f aca="false">IF($DF459&gt;$DE$8,"",VLOOKUP($DF459,$DH$9:$DN$508,2,FALSE()))</f>
        <v/>
      </c>
      <c r="DQ459" s="112" t="str">
        <f aca="false">IF($DF459&gt;$DE$8,"",VLOOKUP($DF459,$DH$9:$DN$508,3,FALSE()))</f>
        <v/>
      </c>
      <c r="DR459" s="112" t="str">
        <f aca="false">IF($DF459&gt;$DE$8,"",VLOOKUP($DF459,$DH$9:$DN$508,4,FALSE()))</f>
        <v/>
      </c>
      <c r="DS459" s="112" t="str">
        <f aca="false">IF($DF459&gt;$DE$8,"",VLOOKUP($DF459,$DH$9:$DN$508,5,FALSE()))</f>
        <v/>
      </c>
      <c r="DT459" s="113" t="str">
        <f aca="false">IF($DF459&gt;$DE$8,"",VLOOKUP($DF459,$DH$9:$DN$508,6,FALSE()))</f>
        <v/>
      </c>
      <c r="DU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IF(ISBLANK($C460),"",IF(E460=Constants!$B$3,TRUE(),IF(E460=Constants!$B$4,FALSE(),TRUE())))</f>
        <v/>
      </c>
      <c r="AG460" s="93" t="str">
        <f aca="false">IF(ISBLANK($C460),"",IF(F460=Constants!$B$3,TRUE(),IF(F460=Constants!$B$4,FALSE(),TRUE())))</f>
        <v/>
      </c>
      <c r="AH460" s="93" t="str">
        <f aca="false">IF(ISBLANK($C460),"",IF(G460=Constants!$B$3,TRUE(),IF(G460=Constants!$B$4,FALSE(),TRUE())))</f>
        <v/>
      </c>
      <c r="AI460" s="93" t="str">
        <f aca="false">IF(ISBLANK($C460),"",IF(AND(ISNUMBER(H460),H460&gt;=0),H460,Constants!$B$29))</f>
        <v/>
      </c>
      <c r="AJ460" s="93" t="str">
        <f aca="false">IF(ISBLANK($C460),"",IF(I460=Constants!$B$3,TRUE(),IF(I460=Constants!$B$4,FALSE(),TRUE())))</f>
        <v/>
      </c>
      <c r="AK460" s="93" t="str">
        <f aca="false">IF(ISBLANK($C460),"",IF(J460=Constants!$B$3,TRUE(),IF(J460=Constants!$B$4,FALSE(),TRUE())))</f>
        <v/>
      </c>
      <c r="AL460" s="93" t="str">
        <f aca="false">IF(ISBLANK($C460),"",IF(K460=Constants!$B$5,TRUE(),IF(K460=Constants!$B$6,FALSE(),COUNTA(L460:P460)&gt;0)))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IF(ISBLANK($C460),"",IF(N460=Constants!$B$3,TRUE(),IF(N460=Constants!$B$4,FALSE(),TRUE())))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IF(ISBLANK($C460),"",IF(P460=Constants!$B$3,TRUE(),IF(P460=Constants!$B$4,FALSE(),FALSE())))</f>
        <v/>
      </c>
      <c r="AR460" s="93" t="str">
        <f aca="false">IF(ISBLANK($C460),"",IF(Q460=Constants!$B$3,TRUE(),IF(Q460=Constants!$B$4,FALSE(),TRUE())))</f>
        <v/>
      </c>
      <c r="AS460" s="93" t="str">
        <f aca="false">IF(ISBLANK($C460),"",IF(R460=Constants!$B$3,TRUE(),IF(R460=Constants!$B$4,FALSE(),TRUE())))</f>
        <v/>
      </c>
      <c r="AT460" s="93" t="str">
        <f aca="false">IF(ISBLANK($C460),"",IF(S460=Constants!$B$5,TRUE(),IF(S460=Constants!$B$6,FALSE(),COUNTA(T460:X460)&gt;0)))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IF(ISBLANK($C460),"",IF(V460=Constants!$B$3,TRUE(),IF(V460=Constants!$B$4,FALSE(),TRUE())))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IF(ISBLANK($C460),"",IF(X460=Constants!$B$3,TRUE(),IF(X460=Constants!$B$4,FALSE(),FALSE())))</f>
        <v/>
      </c>
      <c r="AZ460" s="93" t="str">
        <f aca="false">IF(ISBLANK($C460),"",MIN(Constants!$B$31,MAX(0,IF(ISNUMBER(Y460),Y460*60,0)+IF(ISNUMBER(Z460),Z460,0))))</f>
        <v/>
      </c>
      <c r="BA460" s="93" t="str">
        <f aca="false">IF(ISBLANK($C460),"",IF(AA460=Constants!$B$3,TRUE(),IF(AA460=Constants!$B$4,FALSE(),FALSE())))</f>
        <v/>
      </c>
      <c r="BB460" s="92" t="str">
        <f aca="false">IF(ISBLANK($C460),"",AND($AL460,OR($AM460="",$AN460="",AND($AO460,$AP460=""))))</f>
        <v/>
      </c>
      <c r="BC460" s="94" t="str">
        <f aca="false">IF($BZ460&lt;&gt;Constants!$B$8,"",IF($AL460,Constants!$B$21*$AN460+Constants!$B$22*IF($AO460,$AP460,Constants!$B$23),Constants!$B$24))</f>
        <v/>
      </c>
      <c r="BD460" s="97" t="str">
        <f aca="false">IF($BZ460&lt;&gt;Constants!$B$8,"",Constants!$B$25*ABS($AD$9-IF($AL460,$AM460,0)))</f>
        <v/>
      </c>
      <c r="BE460" s="97" t="str">
        <f aca="false">IF($BZ460&lt;&gt;Constants!$B$8,"",IF(AND($AL460,$AQ460,$AO460),Constants!$B$27,0))</f>
        <v/>
      </c>
      <c r="BF460" s="97" t="str">
        <f aca="false">IF($BZ460&lt;&gt;Constants!$B$8,"",IF($AL460,($AI460-Constants!$B$29)*Constants!$B$28,0))</f>
        <v/>
      </c>
      <c r="BG460" s="97" t="str">
        <f aca="false">IF($BZ460&lt;&gt;Constants!$B$8,"",IF($AK460,0,Constants!$B$15)+IF($AJ460,0,Constants!$B$16)+IF($AH460,0,Constants!$B$17))</f>
        <v/>
      </c>
      <c r="BH460" s="98" t="str">
        <f aca="false">IF($BZ460&lt;&gt;Constants!$B$8,"",Constants!$B$20+SUM($BC460:$BG460))</f>
        <v/>
      </c>
      <c r="BI460" s="97" t="str">
        <f aca="false">IF($BZ460&lt;&gt;Constants!$B$8,"",$BC460)</f>
        <v/>
      </c>
      <c r="BJ460" s="97" t="str">
        <f aca="false">IF($BZ460&lt;&gt;Constants!$B$8,"",$BD460)</f>
        <v/>
      </c>
      <c r="BK460" s="97" t="str">
        <f aca="false">IF($BZ460&lt;&gt;Constants!$B$8,"",IF($AL460,$AN460,""))</f>
        <v/>
      </c>
      <c r="BL460" s="99" t="str">
        <f aca="false">IF($BZ460&lt;&gt;Constants!$B$8,"",$AI460)</f>
        <v/>
      </c>
      <c r="BM460" s="93" t="str">
        <f aca="false">IF($BZ460&lt;&gt;Constants!$B$8,"",IF(OR($BT460&lt;$BH460,AND($BT460=$BH460,OR($BU460&lt;$BI460,AND($BU460=$BI460,OR($BV460&lt;$BJ460,AND($BV460=$BJ460,OR(AND(ISNUMBER($BW460),OR(NOT(ISNUMBER($BK460)),$BW460&lt;$BK460)),AND(OR(AND($BW460="",$BK460=""),AND(ISNUMBER($BW460),ISNUMBER($BK460),$BW460=$BK460)),$BX460&lt;$BL460)))))))),"-&gt;","&lt;-"))</f>
        <v/>
      </c>
      <c r="BN460" s="92" t="str">
        <f aca="false">IF(ISBLANK($C460),"",AND($AT460,OR($AU460="",$AV460="",AND($AW460,$AX460=""))))</f>
        <v/>
      </c>
      <c r="BO460" s="94" t="str">
        <f aca="false">IF($BZ460&lt;&gt;Constants!$B$8,"",IF($AT460,Constants!$B$21*$AV460+Constants!$B$22*IF($AW460,$AX460,Constants!$B$23),Constants!$B$24))</f>
        <v/>
      </c>
      <c r="BP460" s="97" t="str">
        <f aca="false">IF($BZ460&lt;&gt;Constants!$B$8,"",Constants!$B$25*ABS($AD$9-IF($AT460,$AU460,0)))</f>
        <v/>
      </c>
      <c r="BQ460" s="97" t="str">
        <f aca="false">IF($BZ460&lt;&gt;Constants!$B$8,"",IF(AND($AT460,$AY460,$AW460),Constants!$B$27,0))</f>
        <v/>
      </c>
      <c r="BR460" s="97" t="str">
        <f aca="false">IF($BZ460&lt;&gt;Constants!$B$8,"",IF($AT460,($AI460-Constants!$B$29)*Constants!$B$28,0))</f>
        <v/>
      </c>
      <c r="BS460" s="97" t="str">
        <f aca="false">IF($BZ460&lt;&gt;Constants!$B$8,"",IF($AS460,0,Constants!$B$15)+IF($AR460,0,Constants!$B$16)+IF($AH460,0,Constants!$B$17))</f>
        <v/>
      </c>
      <c r="BT460" s="98" t="str">
        <f aca="false">IF($BZ460&lt;&gt;Constants!$B$8,"",Constants!$B$20+SUM($BO460:$BS460))</f>
        <v/>
      </c>
      <c r="BU460" s="97" t="str">
        <f aca="false">IF($BZ460&lt;&gt;Constants!$B$8,"",$BO460)</f>
        <v/>
      </c>
      <c r="BV460" s="97" t="str">
        <f aca="false">IF($BZ460&lt;&gt;Constants!$B$8,"",$BP460)</f>
        <v/>
      </c>
      <c r="BW460" s="97" t="str">
        <f aca="false">IF($BZ460&lt;&gt;Constants!$B$8,"",IF($AT460,$AV460,""))</f>
        <v/>
      </c>
      <c r="BX460" s="99" t="str">
        <f aca="false">IF($BZ460&lt;&gt;Constants!$B$8,"",$AI460)</f>
        <v/>
      </c>
      <c r="BY460" s="93" t="str">
        <f aca="false">IF(ISBLANK($C460),"",IF(ISBLANK($D$7),$BY$5,IF(NOT(ISNUMBER($D$7)),$BY$6,"")))</f>
        <v/>
      </c>
      <c r="BZ460" s="93" t="str">
        <f aca="false">IF(ISBLANK($C460),"",IF($BA460,Constants!$B$11,IF(COUNTA($E460:$AA460)=0,Constants!$B$10,IF(NOT($AG460),Constants!$B$9,IF(OR($BY460&lt;&gt;"",$BB460,$BN460),Constants!$B$12,Constants!$B$8)))))</f>
        <v/>
      </c>
      <c r="CA460" s="93" t="str">
        <f aca="false">IF(ISBLANK($C460),"",IF($BZ460&lt;&gt;Constants!$B$8,$BZ460,Constants!$B$13))</f>
        <v/>
      </c>
      <c r="CB460" s="97" t="str">
        <f aca="false">IF($BZ460&lt;&gt;Constants!$B$8,"",IF($BM460="-&gt;",$BT460,$BH460))</f>
        <v/>
      </c>
      <c r="CC460" s="97" t="str">
        <f aca="false">IF($BZ460&lt;&gt;Constants!$B$8,"",IF($AF460,0,Constants!$B$18))</f>
        <v/>
      </c>
      <c r="CD460" s="97" t="str">
        <f aca="false">IF($BZ460&lt;&gt;Constants!$B$8,"",((Constants!$B$31-$AZ460)-Constants!$B$31)/Constants!$B$32)</f>
        <v/>
      </c>
      <c r="CE460" s="97" t="str">
        <f aca="false">IF(ISBLANK($C460),"",IF($BZ460&lt;&gt;Constants!$B$8,$BZ460,SUM($CB460:$CD460)))</f>
        <v/>
      </c>
      <c r="CF460" s="93" t="str">
        <f aca="false">IF(ISBLANK($C460),"",IF($BZ460&lt;&gt;Constants!$B$8,$BZ460,RANK($CE460,$CE$9:$CE$508,1)))</f>
        <v/>
      </c>
      <c r="CG460" s="97" t="str">
        <f aca="false">IF($BZ460&lt;&gt;Constants!$B$8,"",IF($BM460="-&gt;",$BU460,$BI460))</f>
        <v/>
      </c>
      <c r="CH460" s="93" t="str">
        <f aca="false">IF(ISBLANK($C460),"",IF($BZ460&lt;&gt;Constants!$B$8,$BZ460,IF(ISNUMBER($CG460),RANK($CG460,$CG$9:$CG$508,1),COUNT($CG$9:$CG$508)+1)))</f>
        <v/>
      </c>
      <c r="CI460" s="97" t="str">
        <f aca="false">IF($BZ460&lt;&gt;Constants!$B$8,"",IF($BM460="-&gt;",$BV460,$BJ460))</f>
        <v/>
      </c>
      <c r="CJ460" s="93" t="str">
        <f aca="false">IF(ISBLANK($C460),"",IF($BZ460&lt;&gt;Constants!$B$8,$BZ460,IF(ISNUMBER($CI460),RANK($CI460,$CI$9:$CI$508,1),COUNT($CI$9:$CI$508)+1)))</f>
        <v/>
      </c>
      <c r="CK460" s="97" t="str">
        <f aca="false">IF($BZ460&lt;&gt;Constants!$B$8,"",IF($BM460="-&gt;",$BW460,$BK460))</f>
        <v/>
      </c>
      <c r="CL460" s="93" t="str">
        <f aca="false">IF(ISBLANK($C460),"",IF($BZ460&lt;&gt;Constants!$B$8,$BZ460,IF(ISNUMBER($CK460),RANK($CK460,$CK$9:$CK$508,1),COUNT($CK$9:$CK$508)+1)))</f>
        <v/>
      </c>
      <c r="CM460" s="97" t="str">
        <f aca="false">IF($BZ460&lt;&gt;Constants!$B$8,"",IF(AND(NOT($AL460),NOT($AT460),$AJ460,$AK460,$AR460,$AS460),"",IF($BM460="-&gt;",$BX460,$BL460)))</f>
        <v/>
      </c>
      <c r="CN460" s="93" t="str">
        <f aca="false">IF(ISBLANK($C460),"",IF($BZ460&lt;&gt;Constants!$B$8,$BZ460,IF(ISNUMBER($CM460),RANK($CM460,$CM$9:$CM$508,1),COUNT($CM$9:$CM$508)+1)))</f>
        <v/>
      </c>
      <c r="CO460" s="93" t="str">
        <f aca="false">IF(ISBLANK($C460),"",IF($BZ460&lt;&gt;Constants!$B$8,$BZ460,COUNTIFS($CF$9:$CF$508,"&lt;"&amp;$CF460)+COUNTIFS($CF$9:$CF$508,$CF460,$CH$9:$CH$508,"&lt;"&amp;$CH460)+COUNTIFS($CF$9:$CF$508,$CF460,$CH$9:$CH$508,$CH460,$CJ$9:$CJ$508,"&lt;"&amp;$CJ460)+COUNTIFS($CF$9:$CF$508,$CF460,$CH$9:$CH$508,$CH460,$CJ$9:$CJ$508,$CJ460,$CL$9:$CL$508,"&lt;"&amp;$CL460)+COUNTIFS($CF$9:$CF$508,$CF460,$CH$9:$CH$508,$CH460,$CJ$9:$CJ$508,$CJ460,$CL$9:$CL$508,$CL460,$CN$9:$CN$508,"&lt;"&amp;$CN460)+1))</f>
        <v/>
      </c>
      <c r="CP460" s="93" t="str">
        <f aca="false">IF(ISBLANK($C460),"",IF($BZ460&lt;&gt;Constants!$B$8,$BZ460,$CF460-$CO460))</f>
        <v/>
      </c>
      <c r="CQ460" s="100"/>
      <c r="CR460" s="101"/>
      <c r="CS460" s="102" t="str">
        <f aca="false">IF(ISBLANK($C460),"",IF($BZ460=Constants!$B$12,$BY460,""))</f>
        <v/>
      </c>
      <c r="CT460" s="101" t="str">
        <f aca="false">IF(ISBLANK($C460),"",IF($BZ460&lt;&gt;Constants!$B$8,"",IF($BM460="-&gt;",2,1)))</f>
        <v/>
      </c>
      <c r="CU460" s="103" t="str">
        <f aca="false">IF(ISBLANK($C460),"",IF($BZ460&lt;&gt;Constants!$B$8,"",IF($BM460="-&gt;",$BO460,$BC460)))</f>
        <v/>
      </c>
      <c r="CV460" s="103" t="str">
        <f aca="false">IF(ISBLANK($C460),"",IF($BZ460&lt;&gt;Constants!$B$8,"",IF($BM460="-&gt;",$BP460,$BD460)))</f>
        <v/>
      </c>
      <c r="CW460" s="103" t="str">
        <f aca="false">IF(ISBLANK($C460),"",IF($BZ460&lt;&gt;Constants!$B$8,"",IF($BM460="-&gt;",$BQ460+$BR460,$BE460+$BF460)+$CD460))</f>
        <v/>
      </c>
      <c r="CX460" s="103" t="str">
        <f aca="false">IF(ISBLANK($C460),"",IF($BZ460&lt;&gt;Constants!$B$8,"",IF($BM460="-&gt;",$BS460,$BG460)+$CC460))</f>
        <v/>
      </c>
      <c r="CY460" s="104" t="str">
        <f aca="false">IF(ISBLANK($C460),"",IF($BZ460&lt;&gt;Constants!$B$8,$BZ460,$CE460))</f>
        <v/>
      </c>
      <c r="CZ460" s="105" t="str">
        <f aca="false">IF(ISBLANK($C460),"",$CA460)</f>
        <v/>
      </c>
      <c r="DA460" s="106" t="str">
        <f aca="false">IF(ISBLANK($C460),"",$CP460)</f>
        <v/>
      </c>
      <c r="DB460" s="106" t="str">
        <f aca="false">IF(ISBLANK($C460),"",$CO460)</f>
        <v/>
      </c>
      <c r="DC460" s="107" t="str">
        <f aca="false">IF(ISBLANK($C460),"",IFERROR(_xlfn.SWITCH($DB460,Constants!$B$11,COUNTA($C$9:$C$508)+2,Constants!$B$10,COUNTA($C$9:$C$508)+1,Constants!$B$9,COUNTA($C$9:$C$508)),$DB460))</f>
        <v/>
      </c>
      <c r="DD460" s="9"/>
      <c r="DE460" s="108" t="n">
        <f aca="false">IF(OR(ISNUMBER($DB460),$DB460=Constants!$B$11,$DB460=Constants!$B$9,$DB460=Constants!$B$10),1,0)</f>
        <v>0</v>
      </c>
      <c r="DF460" s="108" t="n">
        <v>452</v>
      </c>
      <c r="DG460" s="108" t="str">
        <f aca="false">IF(ISBLANK($C460),"",IF(ISNUMBER($DC460),$DC460+ROW($B460)/1000,""))</f>
        <v/>
      </c>
      <c r="DH460" s="108" t="str">
        <f aca="false">IF(ISNUMBER($DG460),RANK($DG460,$DG$9:$DG$508,1),"")</f>
        <v/>
      </c>
      <c r="DI460" s="108" t="str">
        <f aca="false">IF(ISBLANK($C460),"",$B460)</f>
        <v/>
      </c>
      <c r="DJ460" s="108" t="str">
        <f aca="false">IF(ISBLANK($C460),"",$C460)</f>
        <v/>
      </c>
      <c r="DK460" s="108" t="str">
        <f aca="false">IF(ISBLANK($C460),"",$D460)</f>
        <v/>
      </c>
      <c r="DL460" s="109" t="str">
        <f aca="false">$CZ460</f>
        <v/>
      </c>
      <c r="DM460" s="110" t="str">
        <f aca="false">$CY460</f>
        <v/>
      </c>
      <c r="DN460" s="108" t="str">
        <f aca="false">IF(ISBLANK($C460),"",$DB460)</f>
        <v/>
      </c>
      <c r="DO460" s="111" t="str">
        <f aca="false">IF($DF460&gt;$DE$8,"",VLOOKUP($DF460,$DH$9:$DN$508,7,FALSE()))</f>
        <v/>
      </c>
      <c r="DP460" s="112" t="str">
        <f aca="false">IF($DF460&gt;$DE$8,"",VLOOKUP($DF460,$DH$9:$DN$508,2,FALSE()))</f>
        <v/>
      </c>
      <c r="DQ460" s="112" t="str">
        <f aca="false">IF($DF460&gt;$DE$8,"",VLOOKUP($DF460,$DH$9:$DN$508,3,FALSE()))</f>
        <v/>
      </c>
      <c r="DR460" s="112" t="str">
        <f aca="false">IF($DF460&gt;$DE$8,"",VLOOKUP($DF460,$DH$9:$DN$508,4,FALSE()))</f>
        <v/>
      </c>
      <c r="DS460" s="112" t="str">
        <f aca="false">IF($DF460&gt;$DE$8,"",VLOOKUP($DF460,$DH$9:$DN$508,5,FALSE()))</f>
        <v/>
      </c>
      <c r="DT460" s="113" t="str">
        <f aca="false">IF($DF460&gt;$DE$8,"",VLOOKUP($DF460,$DH$9:$DN$508,6,FALSE()))</f>
        <v/>
      </c>
      <c r="DU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IF(ISBLANK($C461),"",IF(E461=Constants!$B$3,TRUE(),IF(E461=Constants!$B$4,FALSE(),TRUE())))</f>
        <v/>
      </c>
      <c r="AG461" s="93" t="str">
        <f aca="false">IF(ISBLANK($C461),"",IF(F461=Constants!$B$3,TRUE(),IF(F461=Constants!$B$4,FALSE(),TRUE())))</f>
        <v/>
      </c>
      <c r="AH461" s="93" t="str">
        <f aca="false">IF(ISBLANK($C461),"",IF(G461=Constants!$B$3,TRUE(),IF(G461=Constants!$B$4,FALSE(),TRUE())))</f>
        <v/>
      </c>
      <c r="AI461" s="93" t="str">
        <f aca="false">IF(ISBLANK($C461),"",IF(AND(ISNUMBER(H461),H461&gt;=0),H461,Constants!$B$29))</f>
        <v/>
      </c>
      <c r="AJ461" s="93" t="str">
        <f aca="false">IF(ISBLANK($C461),"",IF(I461=Constants!$B$3,TRUE(),IF(I461=Constants!$B$4,FALSE(),TRUE())))</f>
        <v/>
      </c>
      <c r="AK461" s="93" t="str">
        <f aca="false">IF(ISBLANK($C461),"",IF(J461=Constants!$B$3,TRUE(),IF(J461=Constants!$B$4,FALSE(),TRUE())))</f>
        <v/>
      </c>
      <c r="AL461" s="93" t="str">
        <f aca="false">IF(ISBLANK($C461),"",IF(K461=Constants!$B$5,TRUE(),IF(K461=Constants!$B$6,FALSE(),COUNTA(L461:P461)&gt;0)))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IF(ISBLANK($C461),"",IF(N461=Constants!$B$3,TRUE(),IF(N461=Constants!$B$4,FALSE(),TRUE())))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IF(ISBLANK($C461),"",IF(P461=Constants!$B$3,TRUE(),IF(P461=Constants!$B$4,FALSE(),FALSE())))</f>
        <v/>
      </c>
      <c r="AR461" s="93" t="str">
        <f aca="false">IF(ISBLANK($C461),"",IF(Q461=Constants!$B$3,TRUE(),IF(Q461=Constants!$B$4,FALSE(),TRUE())))</f>
        <v/>
      </c>
      <c r="AS461" s="93" t="str">
        <f aca="false">IF(ISBLANK($C461),"",IF(R461=Constants!$B$3,TRUE(),IF(R461=Constants!$B$4,FALSE(),TRUE())))</f>
        <v/>
      </c>
      <c r="AT461" s="93" t="str">
        <f aca="false">IF(ISBLANK($C461),"",IF(S461=Constants!$B$5,TRUE(),IF(S461=Constants!$B$6,FALSE(),COUNTA(T461:X461)&gt;0)))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IF(ISBLANK($C461),"",IF(V461=Constants!$B$3,TRUE(),IF(V461=Constants!$B$4,FALSE(),TRUE())))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IF(ISBLANK($C461),"",IF(X461=Constants!$B$3,TRUE(),IF(X461=Constants!$B$4,FALSE(),FALSE())))</f>
        <v/>
      </c>
      <c r="AZ461" s="93" t="str">
        <f aca="false">IF(ISBLANK($C461),"",MIN(Constants!$B$31,MAX(0,IF(ISNUMBER(Y461),Y461*60,0)+IF(ISNUMBER(Z461),Z461,0))))</f>
        <v/>
      </c>
      <c r="BA461" s="93" t="str">
        <f aca="false">IF(ISBLANK($C461),"",IF(AA461=Constants!$B$3,TRUE(),IF(AA461=Constants!$B$4,FALSE(),FALSE())))</f>
        <v/>
      </c>
      <c r="BB461" s="92" t="str">
        <f aca="false">IF(ISBLANK($C461),"",AND($AL461,OR($AM461="",$AN461="",AND($AO461,$AP461=""))))</f>
        <v/>
      </c>
      <c r="BC461" s="94" t="str">
        <f aca="false">IF($BZ461&lt;&gt;Constants!$B$8,"",IF($AL461,Constants!$B$21*$AN461+Constants!$B$22*IF($AO461,$AP461,Constants!$B$23),Constants!$B$24))</f>
        <v/>
      </c>
      <c r="BD461" s="97" t="str">
        <f aca="false">IF($BZ461&lt;&gt;Constants!$B$8,"",Constants!$B$25*ABS($AD$9-IF($AL461,$AM461,0)))</f>
        <v/>
      </c>
      <c r="BE461" s="97" t="str">
        <f aca="false">IF($BZ461&lt;&gt;Constants!$B$8,"",IF(AND($AL461,$AQ461,$AO461),Constants!$B$27,0))</f>
        <v/>
      </c>
      <c r="BF461" s="97" t="str">
        <f aca="false">IF($BZ461&lt;&gt;Constants!$B$8,"",IF($AL461,($AI461-Constants!$B$29)*Constants!$B$28,0))</f>
        <v/>
      </c>
      <c r="BG461" s="97" t="str">
        <f aca="false">IF($BZ461&lt;&gt;Constants!$B$8,"",IF($AK461,0,Constants!$B$15)+IF($AJ461,0,Constants!$B$16)+IF($AH461,0,Constants!$B$17))</f>
        <v/>
      </c>
      <c r="BH461" s="98" t="str">
        <f aca="false">IF($BZ461&lt;&gt;Constants!$B$8,"",Constants!$B$20+SUM($BC461:$BG461))</f>
        <v/>
      </c>
      <c r="BI461" s="97" t="str">
        <f aca="false">IF($BZ461&lt;&gt;Constants!$B$8,"",$BC461)</f>
        <v/>
      </c>
      <c r="BJ461" s="97" t="str">
        <f aca="false">IF($BZ461&lt;&gt;Constants!$B$8,"",$BD461)</f>
        <v/>
      </c>
      <c r="BK461" s="97" t="str">
        <f aca="false">IF($BZ461&lt;&gt;Constants!$B$8,"",IF($AL461,$AN461,""))</f>
        <v/>
      </c>
      <c r="BL461" s="99" t="str">
        <f aca="false">IF($BZ461&lt;&gt;Constants!$B$8,"",$AI461)</f>
        <v/>
      </c>
      <c r="BM461" s="93" t="str">
        <f aca="false">IF($BZ461&lt;&gt;Constants!$B$8,"",IF(OR($BT461&lt;$BH461,AND($BT461=$BH461,OR($BU461&lt;$BI461,AND($BU461=$BI461,OR($BV461&lt;$BJ461,AND($BV461=$BJ461,OR(AND(ISNUMBER($BW461),OR(NOT(ISNUMBER($BK461)),$BW461&lt;$BK461)),AND(OR(AND($BW461="",$BK461=""),AND(ISNUMBER($BW461),ISNUMBER($BK461),$BW461=$BK461)),$BX461&lt;$BL461)))))))),"-&gt;","&lt;-"))</f>
        <v/>
      </c>
      <c r="BN461" s="92" t="str">
        <f aca="false">IF(ISBLANK($C461),"",AND($AT461,OR($AU461="",$AV461="",AND($AW461,$AX461=""))))</f>
        <v/>
      </c>
      <c r="BO461" s="94" t="str">
        <f aca="false">IF($BZ461&lt;&gt;Constants!$B$8,"",IF($AT461,Constants!$B$21*$AV461+Constants!$B$22*IF($AW461,$AX461,Constants!$B$23),Constants!$B$24))</f>
        <v/>
      </c>
      <c r="BP461" s="97" t="str">
        <f aca="false">IF($BZ461&lt;&gt;Constants!$B$8,"",Constants!$B$25*ABS($AD$9-IF($AT461,$AU461,0)))</f>
        <v/>
      </c>
      <c r="BQ461" s="97" t="str">
        <f aca="false">IF($BZ461&lt;&gt;Constants!$B$8,"",IF(AND($AT461,$AY461,$AW461),Constants!$B$27,0))</f>
        <v/>
      </c>
      <c r="BR461" s="97" t="str">
        <f aca="false">IF($BZ461&lt;&gt;Constants!$B$8,"",IF($AT461,($AI461-Constants!$B$29)*Constants!$B$28,0))</f>
        <v/>
      </c>
      <c r="BS461" s="97" t="str">
        <f aca="false">IF($BZ461&lt;&gt;Constants!$B$8,"",IF($AS461,0,Constants!$B$15)+IF($AR461,0,Constants!$B$16)+IF($AH461,0,Constants!$B$17))</f>
        <v/>
      </c>
      <c r="BT461" s="98" t="str">
        <f aca="false">IF($BZ461&lt;&gt;Constants!$B$8,"",Constants!$B$20+SUM($BO461:$BS461))</f>
        <v/>
      </c>
      <c r="BU461" s="97" t="str">
        <f aca="false">IF($BZ461&lt;&gt;Constants!$B$8,"",$BO461)</f>
        <v/>
      </c>
      <c r="BV461" s="97" t="str">
        <f aca="false">IF($BZ461&lt;&gt;Constants!$B$8,"",$BP461)</f>
        <v/>
      </c>
      <c r="BW461" s="97" t="str">
        <f aca="false">IF($BZ461&lt;&gt;Constants!$B$8,"",IF($AT461,$AV461,""))</f>
        <v/>
      </c>
      <c r="BX461" s="99" t="str">
        <f aca="false">IF($BZ461&lt;&gt;Constants!$B$8,"",$AI461)</f>
        <v/>
      </c>
      <c r="BY461" s="93" t="str">
        <f aca="false">IF(ISBLANK($C461),"",IF(ISBLANK($D$7),$BY$5,IF(NOT(ISNUMBER($D$7)),$BY$6,"")))</f>
        <v/>
      </c>
      <c r="BZ461" s="93" t="str">
        <f aca="false">IF(ISBLANK($C461),"",IF($BA461,Constants!$B$11,IF(COUNTA($E461:$AA461)=0,Constants!$B$10,IF(NOT($AG461),Constants!$B$9,IF(OR($BY461&lt;&gt;"",$BB461,$BN461),Constants!$B$12,Constants!$B$8)))))</f>
        <v/>
      </c>
      <c r="CA461" s="93" t="str">
        <f aca="false">IF(ISBLANK($C461),"",IF($BZ461&lt;&gt;Constants!$B$8,$BZ461,Constants!$B$13))</f>
        <v/>
      </c>
      <c r="CB461" s="97" t="str">
        <f aca="false">IF($BZ461&lt;&gt;Constants!$B$8,"",IF($BM461="-&gt;",$BT461,$BH461))</f>
        <v/>
      </c>
      <c r="CC461" s="97" t="str">
        <f aca="false">IF($BZ461&lt;&gt;Constants!$B$8,"",IF($AF461,0,Constants!$B$18))</f>
        <v/>
      </c>
      <c r="CD461" s="97" t="str">
        <f aca="false">IF($BZ461&lt;&gt;Constants!$B$8,"",((Constants!$B$31-$AZ461)-Constants!$B$31)/Constants!$B$32)</f>
        <v/>
      </c>
      <c r="CE461" s="97" t="str">
        <f aca="false">IF(ISBLANK($C461),"",IF($BZ461&lt;&gt;Constants!$B$8,$BZ461,SUM($CB461:$CD461)))</f>
        <v/>
      </c>
      <c r="CF461" s="93" t="str">
        <f aca="false">IF(ISBLANK($C461),"",IF($BZ461&lt;&gt;Constants!$B$8,$BZ461,RANK($CE461,$CE$9:$CE$508,1)))</f>
        <v/>
      </c>
      <c r="CG461" s="97" t="str">
        <f aca="false">IF($BZ461&lt;&gt;Constants!$B$8,"",IF($BM461="-&gt;",$BU461,$BI461))</f>
        <v/>
      </c>
      <c r="CH461" s="93" t="str">
        <f aca="false">IF(ISBLANK($C461),"",IF($BZ461&lt;&gt;Constants!$B$8,$BZ461,IF(ISNUMBER($CG461),RANK($CG461,$CG$9:$CG$508,1),COUNT($CG$9:$CG$508)+1)))</f>
        <v/>
      </c>
      <c r="CI461" s="97" t="str">
        <f aca="false">IF($BZ461&lt;&gt;Constants!$B$8,"",IF($BM461="-&gt;",$BV461,$BJ461))</f>
        <v/>
      </c>
      <c r="CJ461" s="93" t="str">
        <f aca="false">IF(ISBLANK($C461),"",IF($BZ461&lt;&gt;Constants!$B$8,$BZ461,IF(ISNUMBER($CI461),RANK($CI461,$CI$9:$CI$508,1),COUNT($CI$9:$CI$508)+1)))</f>
        <v/>
      </c>
      <c r="CK461" s="97" t="str">
        <f aca="false">IF($BZ461&lt;&gt;Constants!$B$8,"",IF($BM461="-&gt;",$BW461,$BK461))</f>
        <v/>
      </c>
      <c r="CL461" s="93" t="str">
        <f aca="false">IF(ISBLANK($C461),"",IF($BZ461&lt;&gt;Constants!$B$8,$BZ461,IF(ISNUMBER($CK461),RANK($CK461,$CK$9:$CK$508,1),COUNT($CK$9:$CK$508)+1)))</f>
        <v/>
      </c>
      <c r="CM461" s="97" t="str">
        <f aca="false">IF($BZ461&lt;&gt;Constants!$B$8,"",IF(AND(NOT($AL461),NOT($AT461),$AJ461,$AK461,$AR461,$AS461),"",IF($BM461="-&gt;",$BX461,$BL461)))</f>
        <v/>
      </c>
      <c r="CN461" s="93" t="str">
        <f aca="false">IF(ISBLANK($C461),"",IF($BZ461&lt;&gt;Constants!$B$8,$BZ461,IF(ISNUMBER($CM461),RANK($CM461,$CM$9:$CM$508,1),COUNT($CM$9:$CM$508)+1)))</f>
        <v/>
      </c>
      <c r="CO461" s="93" t="str">
        <f aca="false">IF(ISBLANK($C461),"",IF($BZ461&lt;&gt;Constants!$B$8,$BZ461,COUNTIFS($CF$9:$CF$508,"&lt;"&amp;$CF461)+COUNTIFS($CF$9:$CF$508,$CF461,$CH$9:$CH$508,"&lt;"&amp;$CH461)+COUNTIFS($CF$9:$CF$508,$CF461,$CH$9:$CH$508,$CH461,$CJ$9:$CJ$508,"&lt;"&amp;$CJ461)+COUNTIFS($CF$9:$CF$508,$CF461,$CH$9:$CH$508,$CH461,$CJ$9:$CJ$508,$CJ461,$CL$9:$CL$508,"&lt;"&amp;$CL461)+COUNTIFS($CF$9:$CF$508,$CF461,$CH$9:$CH$508,$CH461,$CJ$9:$CJ$508,$CJ461,$CL$9:$CL$508,$CL461,$CN$9:$CN$508,"&lt;"&amp;$CN461)+1))</f>
        <v/>
      </c>
      <c r="CP461" s="93" t="str">
        <f aca="false">IF(ISBLANK($C461),"",IF($BZ461&lt;&gt;Constants!$B$8,$BZ461,$CF461-$CO461))</f>
        <v/>
      </c>
      <c r="CQ461" s="100"/>
      <c r="CR461" s="101"/>
      <c r="CS461" s="102" t="str">
        <f aca="false">IF(ISBLANK($C461),"",IF($BZ461=Constants!$B$12,$BY461,""))</f>
        <v/>
      </c>
      <c r="CT461" s="101" t="str">
        <f aca="false">IF(ISBLANK($C461),"",IF($BZ461&lt;&gt;Constants!$B$8,"",IF($BM461="-&gt;",2,1)))</f>
        <v/>
      </c>
      <c r="CU461" s="103" t="str">
        <f aca="false">IF(ISBLANK($C461),"",IF($BZ461&lt;&gt;Constants!$B$8,"",IF($BM461="-&gt;",$BO461,$BC461)))</f>
        <v/>
      </c>
      <c r="CV461" s="103" t="str">
        <f aca="false">IF(ISBLANK($C461),"",IF($BZ461&lt;&gt;Constants!$B$8,"",IF($BM461="-&gt;",$BP461,$BD461)))</f>
        <v/>
      </c>
      <c r="CW461" s="103" t="str">
        <f aca="false">IF(ISBLANK($C461),"",IF($BZ461&lt;&gt;Constants!$B$8,"",IF($BM461="-&gt;",$BQ461+$BR461,$BE461+$BF461)+$CD461))</f>
        <v/>
      </c>
      <c r="CX461" s="103" t="str">
        <f aca="false">IF(ISBLANK($C461),"",IF($BZ461&lt;&gt;Constants!$B$8,"",IF($BM461="-&gt;",$BS461,$BG461)+$CC461))</f>
        <v/>
      </c>
      <c r="CY461" s="104" t="str">
        <f aca="false">IF(ISBLANK($C461),"",IF($BZ461&lt;&gt;Constants!$B$8,$BZ461,$CE461))</f>
        <v/>
      </c>
      <c r="CZ461" s="105" t="str">
        <f aca="false">IF(ISBLANK($C461),"",$CA461)</f>
        <v/>
      </c>
      <c r="DA461" s="106" t="str">
        <f aca="false">IF(ISBLANK($C461),"",$CP461)</f>
        <v/>
      </c>
      <c r="DB461" s="106" t="str">
        <f aca="false">IF(ISBLANK($C461),"",$CO461)</f>
        <v/>
      </c>
      <c r="DC461" s="107" t="str">
        <f aca="false">IF(ISBLANK($C461),"",IFERROR(_xlfn.SWITCH($DB461,Constants!$B$11,COUNTA($C$9:$C$508)+2,Constants!$B$10,COUNTA($C$9:$C$508)+1,Constants!$B$9,COUNTA($C$9:$C$508)),$DB461))</f>
        <v/>
      </c>
      <c r="DD461" s="9"/>
      <c r="DE461" s="108" t="n">
        <f aca="false">IF(OR(ISNUMBER($DB461),$DB461=Constants!$B$11,$DB461=Constants!$B$9,$DB461=Constants!$B$10),1,0)</f>
        <v>0</v>
      </c>
      <c r="DF461" s="108" t="n">
        <v>453</v>
      </c>
      <c r="DG461" s="108" t="str">
        <f aca="false">IF(ISBLANK($C461),"",IF(ISNUMBER($DC461),$DC461+ROW($B461)/1000,""))</f>
        <v/>
      </c>
      <c r="DH461" s="108" t="str">
        <f aca="false">IF(ISNUMBER($DG461),RANK($DG461,$DG$9:$DG$508,1),"")</f>
        <v/>
      </c>
      <c r="DI461" s="108" t="str">
        <f aca="false">IF(ISBLANK($C461),"",$B461)</f>
        <v/>
      </c>
      <c r="DJ461" s="108" t="str">
        <f aca="false">IF(ISBLANK($C461),"",$C461)</f>
        <v/>
      </c>
      <c r="DK461" s="108" t="str">
        <f aca="false">IF(ISBLANK($C461),"",$D461)</f>
        <v/>
      </c>
      <c r="DL461" s="109" t="str">
        <f aca="false">$CZ461</f>
        <v/>
      </c>
      <c r="DM461" s="110" t="str">
        <f aca="false">$CY461</f>
        <v/>
      </c>
      <c r="DN461" s="108" t="str">
        <f aca="false">IF(ISBLANK($C461),"",$DB461)</f>
        <v/>
      </c>
      <c r="DO461" s="111" t="str">
        <f aca="false">IF($DF461&gt;$DE$8,"",VLOOKUP($DF461,$DH$9:$DN$508,7,FALSE()))</f>
        <v/>
      </c>
      <c r="DP461" s="112" t="str">
        <f aca="false">IF($DF461&gt;$DE$8,"",VLOOKUP($DF461,$DH$9:$DN$508,2,FALSE()))</f>
        <v/>
      </c>
      <c r="DQ461" s="112" t="str">
        <f aca="false">IF($DF461&gt;$DE$8,"",VLOOKUP($DF461,$DH$9:$DN$508,3,FALSE()))</f>
        <v/>
      </c>
      <c r="DR461" s="112" t="str">
        <f aca="false">IF($DF461&gt;$DE$8,"",VLOOKUP($DF461,$DH$9:$DN$508,4,FALSE()))</f>
        <v/>
      </c>
      <c r="DS461" s="112" t="str">
        <f aca="false">IF($DF461&gt;$DE$8,"",VLOOKUP($DF461,$DH$9:$DN$508,5,FALSE()))</f>
        <v/>
      </c>
      <c r="DT461" s="113" t="str">
        <f aca="false">IF($DF461&gt;$DE$8,"",VLOOKUP($DF461,$DH$9:$DN$508,6,FALSE()))</f>
        <v/>
      </c>
      <c r="DU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IF(ISBLANK($C462),"",IF(E462=Constants!$B$3,TRUE(),IF(E462=Constants!$B$4,FALSE(),TRUE())))</f>
        <v/>
      </c>
      <c r="AG462" s="135" t="str">
        <f aca="false">IF(ISBLANK($C462),"",IF(F462=Constants!$B$3,TRUE(),IF(F462=Constants!$B$4,FALSE(),TRUE())))</f>
        <v/>
      </c>
      <c r="AH462" s="135" t="str">
        <f aca="false">IF(ISBLANK($C462),"",IF(G462=Constants!$B$3,TRUE(),IF(G462=Constants!$B$4,FALSE(),TRUE())))</f>
        <v/>
      </c>
      <c r="AI462" s="135" t="str">
        <f aca="false">IF(ISBLANK($C462),"",IF(AND(ISNUMBER(H462),H462&gt;=0),H462,Constants!$B$29))</f>
        <v/>
      </c>
      <c r="AJ462" s="135" t="str">
        <f aca="false">IF(ISBLANK($C462),"",IF(I462=Constants!$B$3,TRUE(),IF(I462=Constants!$B$4,FALSE(),TRUE())))</f>
        <v/>
      </c>
      <c r="AK462" s="135" t="str">
        <f aca="false">IF(ISBLANK($C462),"",IF(J462=Constants!$B$3,TRUE(),IF(J462=Constants!$B$4,FALSE(),TRUE())))</f>
        <v/>
      </c>
      <c r="AL462" s="135" t="str">
        <f aca="false">IF(ISBLANK($C462),"",IF(K462=Constants!$B$5,TRUE(),IF(K462=Constants!$B$6,FALSE(),COUNTA(L462:P462)&gt;0)))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IF(ISBLANK($C462),"",IF(N462=Constants!$B$3,TRUE(),IF(N462=Constants!$B$4,FALSE(),TRUE())))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IF(ISBLANK($C462),"",IF(P462=Constants!$B$3,TRUE(),IF(P462=Constants!$B$4,FALSE(),FALSE())))</f>
        <v/>
      </c>
      <c r="AR462" s="135" t="str">
        <f aca="false">IF(ISBLANK($C462),"",IF(Q462=Constants!$B$3,TRUE(),IF(Q462=Constants!$B$4,FALSE(),TRUE())))</f>
        <v/>
      </c>
      <c r="AS462" s="135" t="str">
        <f aca="false">IF(ISBLANK($C462),"",IF(R462=Constants!$B$3,TRUE(),IF(R462=Constants!$B$4,FALSE(),TRUE())))</f>
        <v/>
      </c>
      <c r="AT462" s="135" t="str">
        <f aca="false">IF(ISBLANK($C462),"",IF(S462=Constants!$B$5,TRUE(),IF(S462=Constants!$B$6,FALSE(),COUNTA(T462:X462)&gt;0)))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IF(ISBLANK($C462),"",IF(V462=Constants!$B$3,TRUE(),IF(V462=Constants!$B$4,FALSE(),TRUE())))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IF(ISBLANK($C462),"",IF(X462=Constants!$B$3,TRUE(),IF(X462=Constants!$B$4,FALSE(),FALSE())))</f>
        <v/>
      </c>
      <c r="AZ462" s="135" t="str">
        <f aca="false">IF(ISBLANK($C462),"",MIN(Constants!$B$31,MAX(0,IF(ISNUMBER(Y462),Y462*60,0)+IF(ISNUMBER(Z462),Z462,0))))</f>
        <v/>
      </c>
      <c r="BA462" s="135" t="str">
        <f aca="false">IF(ISBLANK($C462),"",IF(AA462=Constants!$B$3,TRUE(),IF(AA462=Constants!$B$4,FALSE(),FALSE())))</f>
        <v/>
      </c>
      <c r="BB462" s="134" t="str">
        <f aca="false">IF(ISBLANK($C462),"",AND($AL462,OR($AM462="",$AN462="",AND($AO462,$AP462=""))))</f>
        <v/>
      </c>
      <c r="BC462" s="137" t="str">
        <f aca="false">IF($BZ462&lt;&gt;Constants!$B$8,"",IF($AL462,Constants!$B$21*$AN462+Constants!$B$22*IF($AO462,$AP462,Constants!$B$23),Constants!$B$24))</f>
        <v/>
      </c>
      <c r="BD462" s="138" t="str">
        <f aca="false">IF($BZ462&lt;&gt;Constants!$B$8,"",Constants!$B$25*ABS($AD$9-IF($AL462,$AM462,0)))</f>
        <v/>
      </c>
      <c r="BE462" s="138" t="str">
        <f aca="false">IF($BZ462&lt;&gt;Constants!$B$8,"",IF(AND($AL462,$AQ462,$AO462),Constants!$B$27,0))</f>
        <v/>
      </c>
      <c r="BF462" s="138" t="str">
        <f aca="false">IF($BZ462&lt;&gt;Constants!$B$8,"",IF($AL462,($AI462-Constants!$B$29)*Constants!$B$28,0))</f>
        <v/>
      </c>
      <c r="BG462" s="138" t="str">
        <f aca="false">IF($BZ462&lt;&gt;Constants!$B$8,"",IF($AK462,0,Constants!$B$15)+IF($AJ462,0,Constants!$B$16)+IF($AH462,0,Constants!$B$17))</f>
        <v/>
      </c>
      <c r="BH462" s="139" t="str">
        <f aca="false">IF($BZ462&lt;&gt;Constants!$B$8,"",Constants!$B$20+SUM($BC462:$BG462))</f>
        <v/>
      </c>
      <c r="BI462" s="138" t="str">
        <f aca="false">IF($BZ462&lt;&gt;Constants!$B$8,"",$BC462)</f>
        <v/>
      </c>
      <c r="BJ462" s="138" t="str">
        <f aca="false">IF($BZ462&lt;&gt;Constants!$B$8,"",$BD462)</f>
        <v/>
      </c>
      <c r="BK462" s="138" t="str">
        <f aca="false">IF($BZ462&lt;&gt;Constants!$B$8,"",IF($AL462,$AN462,""))</f>
        <v/>
      </c>
      <c r="BL462" s="140" t="str">
        <f aca="false">IF($BZ462&lt;&gt;Constants!$B$8,"",$AI462)</f>
        <v/>
      </c>
      <c r="BM462" s="135" t="str">
        <f aca="false">IF($BZ462&lt;&gt;Constants!$B$8,"",IF(OR($BT462&lt;$BH462,AND($BT462=$BH462,OR($BU462&lt;$BI462,AND($BU462=$BI462,OR($BV462&lt;$BJ462,AND($BV462=$BJ462,OR(AND(ISNUMBER($BW462),OR(NOT(ISNUMBER($BK462)),$BW462&lt;$BK462)),AND(OR(AND($BW462="",$BK462=""),AND(ISNUMBER($BW462),ISNUMBER($BK462),$BW462=$BK462)),$BX462&lt;$BL462)))))))),"-&gt;","&lt;-"))</f>
        <v/>
      </c>
      <c r="BN462" s="134" t="str">
        <f aca="false">IF(ISBLANK($C462),"",AND($AT462,OR($AU462="",$AV462="",AND($AW462,$AX462=""))))</f>
        <v/>
      </c>
      <c r="BO462" s="137" t="str">
        <f aca="false">IF($BZ462&lt;&gt;Constants!$B$8,"",IF($AT462,Constants!$B$21*$AV462+Constants!$B$22*IF($AW462,$AX462,Constants!$B$23),Constants!$B$24))</f>
        <v/>
      </c>
      <c r="BP462" s="138" t="str">
        <f aca="false">IF($BZ462&lt;&gt;Constants!$B$8,"",Constants!$B$25*ABS($AD$9-IF($AT462,$AU462,0)))</f>
        <v/>
      </c>
      <c r="BQ462" s="138" t="str">
        <f aca="false">IF($BZ462&lt;&gt;Constants!$B$8,"",IF(AND($AT462,$AY462,$AW462),Constants!$B$27,0))</f>
        <v/>
      </c>
      <c r="BR462" s="138" t="str">
        <f aca="false">IF($BZ462&lt;&gt;Constants!$B$8,"",IF($AT462,($AI462-Constants!$B$29)*Constants!$B$28,0))</f>
        <v/>
      </c>
      <c r="BS462" s="138" t="str">
        <f aca="false">IF($BZ462&lt;&gt;Constants!$B$8,"",IF($AS462,0,Constants!$B$15)+IF($AR462,0,Constants!$B$16)+IF($AH462,0,Constants!$B$17))</f>
        <v/>
      </c>
      <c r="BT462" s="139" t="str">
        <f aca="false">IF($BZ462&lt;&gt;Constants!$B$8,"",Constants!$B$20+SUM($BO462:$BS462))</f>
        <v/>
      </c>
      <c r="BU462" s="138" t="str">
        <f aca="false">IF($BZ462&lt;&gt;Constants!$B$8,"",$BO462)</f>
        <v/>
      </c>
      <c r="BV462" s="138" t="str">
        <f aca="false">IF($BZ462&lt;&gt;Constants!$B$8,"",$BP462)</f>
        <v/>
      </c>
      <c r="BW462" s="138" t="str">
        <f aca="false">IF($BZ462&lt;&gt;Constants!$B$8,"",IF($AT462,$AV462,""))</f>
        <v/>
      </c>
      <c r="BX462" s="140" t="str">
        <f aca="false">IF($BZ462&lt;&gt;Constants!$B$8,"",$AI462)</f>
        <v/>
      </c>
      <c r="BY462" s="135" t="str">
        <f aca="false">IF(ISBLANK($C462),"",IF(ISBLANK($D$7),$BY$5,IF(NOT(ISNUMBER($D$7)),$BY$6,"")))</f>
        <v/>
      </c>
      <c r="BZ462" s="135" t="str">
        <f aca="false">IF(ISBLANK($C462),"",IF($BA462,Constants!$B$11,IF(COUNTA($E462:$AA462)=0,Constants!$B$10,IF(NOT($AG462),Constants!$B$9,IF(OR($BY462&lt;&gt;"",$BB462,$BN462),Constants!$B$12,Constants!$B$8)))))</f>
        <v/>
      </c>
      <c r="CA462" s="135" t="str">
        <f aca="false">IF(ISBLANK($C462),"",IF($BZ462&lt;&gt;Constants!$B$8,$BZ462,Constants!$B$13))</f>
        <v/>
      </c>
      <c r="CB462" s="138" t="str">
        <f aca="false">IF($BZ462&lt;&gt;Constants!$B$8,"",IF($BM462="-&gt;",$BT462,$BH462))</f>
        <v/>
      </c>
      <c r="CC462" s="138" t="str">
        <f aca="false">IF($BZ462&lt;&gt;Constants!$B$8,"",IF($AF462,0,Constants!$B$18))</f>
        <v/>
      </c>
      <c r="CD462" s="138" t="str">
        <f aca="false">IF($BZ462&lt;&gt;Constants!$B$8,"",((Constants!$B$31-$AZ462)-Constants!$B$31)/Constants!$B$32)</f>
        <v/>
      </c>
      <c r="CE462" s="138" t="str">
        <f aca="false">IF(ISBLANK($C462),"",IF($BZ462&lt;&gt;Constants!$B$8,$BZ462,SUM($CB462:$CD462)))</f>
        <v/>
      </c>
      <c r="CF462" s="135" t="str">
        <f aca="false">IF(ISBLANK($C462),"",IF($BZ462&lt;&gt;Constants!$B$8,$BZ462,RANK($CE462,$CE$9:$CE$508,1)))</f>
        <v/>
      </c>
      <c r="CG462" s="138" t="str">
        <f aca="false">IF($BZ462&lt;&gt;Constants!$B$8,"",IF($BM462="-&gt;",$BU462,$BI462))</f>
        <v/>
      </c>
      <c r="CH462" s="135" t="str">
        <f aca="false">IF(ISBLANK($C462),"",IF($BZ462&lt;&gt;Constants!$B$8,$BZ462,IF(ISNUMBER($CG462),RANK($CG462,$CG$9:$CG$508,1),COUNT($CG$9:$CG$508)+1)))</f>
        <v/>
      </c>
      <c r="CI462" s="138" t="str">
        <f aca="false">IF($BZ462&lt;&gt;Constants!$B$8,"",IF($BM462="-&gt;",$BV462,$BJ462))</f>
        <v/>
      </c>
      <c r="CJ462" s="135" t="str">
        <f aca="false">IF(ISBLANK($C462),"",IF($BZ462&lt;&gt;Constants!$B$8,$BZ462,IF(ISNUMBER($CI462),RANK($CI462,$CI$9:$CI$508,1),COUNT($CI$9:$CI$508)+1)))</f>
        <v/>
      </c>
      <c r="CK462" s="138" t="str">
        <f aca="false">IF($BZ462&lt;&gt;Constants!$B$8,"",IF($BM462="-&gt;",$BW462,$BK462))</f>
        <v/>
      </c>
      <c r="CL462" s="135" t="str">
        <f aca="false">IF(ISBLANK($C462),"",IF($BZ462&lt;&gt;Constants!$B$8,$BZ462,IF(ISNUMBER($CK462),RANK($CK462,$CK$9:$CK$508,1),COUNT($CK$9:$CK$508)+1)))</f>
        <v/>
      </c>
      <c r="CM462" s="138" t="str">
        <f aca="false">IF($BZ462&lt;&gt;Constants!$B$8,"",IF(AND(NOT($AL462),NOT($AT462),$AJ462,$AK462,$AR462,$AS462),"",IF($BM462="-&gt;",$BX462,$BL462)))</f>
        <v/>
      </c>
      <c r="CN462" s="135" t="str">
        <f aca="false">IF(ISBLANK($C462),"",IF($BZ462&lt;&gt;Constants!$B$8,$BZ462,IF(ISNUMBER($CM462),RANK($CM462,$CM$9:$CM$508,1),COUNT($CM$9:$CM$508)+1)))</f>
        <v/>
      </c>
      <c r="CO462" s="135" t="str">
        <f aca="false">IF(ISBLANK($C462),"",IF($BZ462&lt;&gt;Constants!$B$8,$BZ462,COUNTIFS($CF$9:$CF$508,"&lt;"&amp;$CF462)+COUNTIFS($CF$9:$CF$508,$CF462,$CH$9:$CH$508,"&lt;"&amp;$CH462)+COUNTIFS($CF$9:$CF$508,$CF462,$CH$9:$CH$508,$CH462,$CJ$9:$CJ$508,"&lt;"&amp;$CJ462)+COUNTIFS($CF$9:$CF$508,$CF462,$CH$9:$CH$508,$CH462,$CJ$9:$CJ$508,$CJ462,$CL$9:$CL$508,"&lt;"&amp;$CL462)+COUNTIFS($CF$9:$CF$508,$CF462,$CH$9:$CH$508,$CH462,$CJ$9:$CJ$508,$CJ462,$CL$9:$CL$508,$CL462,$CN$9:$CN$508,"&lt;"&amp;$CN462)+1))</f>
        <v/>
      </c>
      <c r="CP462" s="135" t="str">
        <f aca="false">IF(ISBLANK($C462),"",IF($BZ462&lt;&gt;Constants!$B$8,$BZ462,$CF462-$CO462))</f>
        <v/>
      </c>
      <c r="CQ462" s="141"/>
      <c r="CR462" s="142"/>
      <c r="CS462" s="143" t="str">
        <f aca="false">IF(ISBLANK($C462),"",IF($BZ462=Constants!$B$12,$BY462,""))</f>
        <v/>
      </c>
      <c r="CT462" s="142" t="str">
        <f aca="false">IF(ISBLANK($C462),"",IF($BZ462&lt;&gt;Constants!$B$8,"",IF($BM462="-&gt;",2,1)))</f>
        <v/>
      </c>
      <c r="CU462" s="144" t="str">
        <f aca="false">IF(ISBLANK($C462),"",IF($BZ462&lt;&gt;Constants!$B$8,"",IF($BM462="-&gt;",$BO462,$BC462)))</f>
        <v/>
      </c>
      <c r="CV462" s="144" t="str">
        <f aca="false">IF(ISBLANK($C462),"",IF($BZ462&lt;&gt;Constants!$B$8,"",IF($BM462="-&gt;",$BP462,$BD462)))</f>
        <v/>
      </c>
      <c r="CW462" s="144" t="str">
        <f aca="false">IF(ISBLANK($C462),"",IF($BZ462&lt;&gt;Constants!$B$8,"",IF($BM462="-&gt;",$BQ462+$BR462,$BE462+$BF462)+$CD462))</f>
        <v/>
      </c>
      <c r="CX462" s="144" t="str">
        <f aca="false">IF(ISBLANK($C462),"",IF($BZ462&lt;&gt;Constants!$B$8,"",IF($BM462="-&gt;",$BS462,$BG462)+$CC462))</f>
        <v/>
      </c>
      <c r="CY462" s="145" t="str">
        <f aca="false">IF(ISBLANK($C462),"",IF($BZ462&lt;&gt;Constants!$B$8,$BZ462,$CE462))</f>
        <v/>
      </c>
      <c r="CZ462" s="146" t="str">
        <f aca="false">IF(ISBLANK($C462),"",$CA462)</f>
        <v/>
      </c>
      <c r="DA462" s="147" t="str">
        <f aca="false">IF(ISBLANK($C462),"",$CP462)</f>
        <v/>
      </c>
      <c r="DB462" s="147" t="str">
        <f aca="false">IF(ISBLANK($C462),"",$CO462)</f>
        <v/>
      </c>
      <c r="DC462" s="148" t="str">
        <f aca="false">IF(ISBLANK($C462),"",IFERROR(_xlfn.SWITCH($DB462,Constants!$B$11,COUNTA($C$9:$C$508)+2,Constants!$B$10,COUNTA($C$9:$C$508)+1,Constants!$B$9,COUNTA($C$9:$C$508)),$DB462))</f>
        <v/>
      </c>
      <c r="DD462" s="9"/>
      <c r="DE462" s="149" t="n">
        <f aca="false">IF(OR(ISNUMBER($DB462),$DB462=Constants!$B$11,$DB462=Constants!$B$9,$DB462=Constants!$B$10),1,0)</f>
        <v>0</v>
      </c>
      <c r="DF462" s="149" t="n">
        <v>454</v>
      </c>
      <c r="DG462" s="149" t="str">
        <f aca="false">IF(ISBLANK($C462),"",IF(ISNUMBER($DC462),$DC462+ROW($B462)/1000,""))</f>
        <v/>
      </c>
      <c r="DH462" s="149" t="str">
        <f aca="false">IF(ISNUMBER($DG462),RANK($DG462,$DG$9:$DG$508,1),"")</f>
        <v/>
      </c>
      <c r="DI462" s="149" t="str">
        <f aca="false">IF(ISBLANK($C462),"",$B462)</f>
        <v/>
      </c>
      <c r="DJ462" s="149" t="str">
        <f aca="false">IF(ISBLANK($C462),"",$C462)</f>
        <v/>
      </c>
      <c r="DK462" s="149" t="str">
        <f aca="false">IF(ISBLANK($C462),"",$D462)</f>
        <v/>
      </c>
      <c r="DL462" s="150" t="str">
        <f aca="false">$CZ462</f>
        <v/>
      </c>
      <c r="DM462" s="151" t="str">
        <f aca="false">$CY462</f>
        <v/>
      </c>
      <c r="DN462" s="149" t="str">
        <f aca="false">IF(ISBLANK($C462),"",$DB462)</f>
        <v/>
      </c>
      <c r="DO462" s="152" t="str">
        <f aca="false">IF($DF462&gt;$DE$8,"",VLOOKUP($DF462,$DH$9:$DN$508,7,FALSE()))</f>
        <v/>
      </c>
      <c r="DP462" s="153" t="str">
        <f aca="false">IF($DF462&gt;$DE$8,"",VLOOKUP($DF462,$DH$9:$DN$508,2,FALSE()))</f>
        <v/>
      </c>
      <c r="DQ462" s="153" t="str">
        <f aca="false">IF($DF462&gt;$DE$8,"",VLOOKUP($DF462,$DH$9:$DN$508,3,FALSE()))</f>
        <v/>
      </c>
      <c r="DR462" s="153" t="str">
        <f aca="false">IF($DF462&gt;$DE$8,"",VLOOKUP($DF462,$DH$9:$DN$508,4,FALSE()))</f>
        <v/>
      </c>
      <c r="DS462" s="153" t="str">
        <f aca="false">IF($DF462&gt;$DE$8,"",VLOOKUP($DF462,$DH$9:$DN$508,5,FALSE()))</f>
        <v/>
      </c>
      <c r="DT462" s="154" t="str">
        <f aca="false">IF($DF462&gt;$DE$8,"",VLOOKUP($DF462,$DH$9:$DN$508,6,FALSE()))</f>
        <v/>
      </c>
      <c r="DU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IF(ISBLANK($C463),"",IF(E463=Constants!$B$3,TRUE(),IF(E463=Constants!$B$4,FALSE(),TRUE())))</f>
        <v/>
      </c>
      <c r="AG463" s="135" t="str">
        <f aca="false">IF(ISBLANK($C463),"",IF(F463=Constants!$B$3,TRUE(),IF(F463=Constants!$B$4,FALSE(),TRUE())))</f>
        <v/>
      </c>
      <c r="AH463" s="135" t="str">
        <f aca="false">IF(ISBLANK($C463),"",IF(G463=Constants!$B$3,TRUE(),IF(G463=Constants!$B$4,FALSE(),TRUE())))</f>
        <v/>
      </c>
      <c r="AI463" s="135" t="str">
        <f aca="false">IF(ISBLANK($C463),"",IF(AND(ISNUMBER(H463),H463&gt;=0),H463,Constants!$B$29))</f>
        <v/>
      </c>
      <c r="AJ463" s="135" t="str">
        <f aca="false">IF(ISBLANK($C463),"",IF(I463=Constants!$B$3,TRUE(),IF(I463=Constants!$B$4,FALSE(),TRUE())))</f>
        <v/>
      </c>
      <c r="AK463" s="135" t="str">
        <f aca="false">IF(ISBLANK($C463),"",IF(J463=Constants!$B$3,TRUE(),IF(J463=Constants!$B$4,FALSE(),TRUE())))</f>
        <v/>
      </c>
      <c r="AL463" s="135" t="str">
        <f aca="false">IF(ISBLANK($C463),"",IF(K463=Constants!$B$5,TRUE(),IF(K463=Constants!$B$6,FALSE(),COUNTA(L463:P463)&gt;0)))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IF(ISBLANK($C463),"",IF(N463=Constants!$B$3,TRUE(),IF(N463=Constants!$B$4,FALSE(),TRUE())))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IF(ISBLANK($C463),"",IF(P463=Constants!$B$3,TRUE(),IF(P463=Constants!$B$4,FALSE(),FALSE())))</f>
        <v/>
      </c>
      <c r="AR463" s="135" t="str">
        <f aca="false">IF(ISBLANK($C463),"",IF(Q463=Constants!$B$3,TRUE(),IF(Q463=Constants!$B$4,FALSE(),TRUE())))</f>
        <v/>
      </c>
      <c r="AS463" s="135" t="str">
        <f aca="false">IF(ISBLANK($C463),"",IF(R463=Constants!$B$3,TRUE(),IF(R463=Constants!$B$4,FALSE(),TRUE())))</f>
        <v/>
      </c>
      <c r="AT463" s="135" t="str">
        <f aca="false">IF(ISBLANK($C463),"",IF(S463=Constants!$B$5,TRUE(),IF(S463=Constants!$B$6,FALSE(),COUNTA(T463:X463)&gt;0)))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IF(ISBLANK($C463),"",IF(V463=Constants!$B$3,TRUE(),IF(V463=Constants!$B$4,FALSE(),TRUE())))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IF(ISBLANK($C463),"",IF(X463=Constants!$B$3,TRUE(),IF(X463=Constants!$B$4,FALSE(),FALSE())))</f>
        <v/>
      </c>
      <c r="AZ463" s="135" t="str">
        <f aca="false">IF(ISBLANK($C463),"",MIN(Constants!$B$31,MAX(0,IF(ISNUMBER(Y463),Y463*60,0)+IF(ISNUMBER(Z463),Z463,0))))</f>
        <v/>
      </c>
      <c r="BA463" s="135" t="str">
        <f aca="false">IF(ISBLANK($C463),"",IF(AA463=Constants!$B$3,TRUE(),IF(AA463=Constants!$B$4,FALSE(),FALSE())))</f>
        <v/>
      </c>
      <c r="BB463" s="134" t="str">
        <f aca="false">IF(ISBLANK($C463),"",AND($AL463,OR($AM463="",$AN463="",AND($AO463,$AP463=""))))</f>
        <v/>
      </c>
      <c r="BC463" s="137" t="str">
        <f aca="false">IF($BZ463&lt;&gt;Constants!$B$8,"",IF($AL463,Constants!$B$21*$AN463+Constants!$B$22*IF($AO463,$AP463,Constants!$B$23),Constants!$B$24))</f>
        <v/>
      </c>
      <c r="BD463" s="138" t="str">
        <f aca="false">IF($BZ463&lt;&gt;Constants!$B$8,"",Constants!$B$25*ABS($AD$9-IF($AL463,$AM463,0)))</f>
        <v/>
      </c>
      <c r="BE463" s="138" t="str">
        <f aca="false">IF($BZ463&lt;&gt;Constants!$B$8,"",IF(AND($AL463,$AQ463,$AO463),Constants!$B$27,0))</f>
        <v/>
      </c>
      <c r="BF463" s="138" t="str">
        <f aca="false">IF($BZ463&lt;&gt;Constants!$B$8,"",IF($AL463,($AI463-Constants!$B$29)*Constants!$B$28,0))</f>
        <v/>
      </c>
      <c r="BG463" s="138" t="str">
        <f aca="false">IF($BZ463&lt;&gt;Constants!$B$8,"",IF($AK463,0,Constants!$B$15)+IF($AJ463,0,Constants!$B$16)+IF($AH463,0,Constants!$B$17))</f>
        <v/>
      </c>
      <c r="BH463" s="139" t="str">
        <f aca="false">IF($BZ463&lt;&gt;Constants!$B$8,"",Constants!$B$20+SUM($BC463:$BG463))</f>
        <v/>
      </c>
      <c r="BI463" s="138" t="str">
        <f aca="false">IF($BZ463&lt;&gt;Constants!$B$8,"",$BC463)</f>
        <v/>
      </c>
      <c r="BJ463" s="138" t="str">
        <f aca="false">IF($BZ463&lt;&gt;Constants!$B$8,"",$BD463)</f>
        <v/>
      </c>
      <c r="BK463" s="138" t="str">
        <f aca="false">IF($BZ463&lt;&gt;Constants!$B$8,"",IF($AL463,$AN463,""))</f>
        <v/>
      </c>
      <c r="BL463" s="140" t="str">
        <f aca="false">IF($BZ463&lt;&gt;Constants!$B$8,"",$AI463)</f>
        <v/>
      </c>
      <c r="BM463" s="135" t="str">
        <f aca="false">IF($BZ463&lt;&gt;Constants!$B$8,"",IF(OR($BT463&lt;$BH463,AND($BT463=$BH463,OR($BU463&lt;$BI463,AND($BU463=$BI463,OR($BV463&lt;$BJ463,AND($BV463=$BJ463,OR(AND(ISNUMBER($BW463),OR(NOT(ISNUMBER($BK463)),$BW463&lt;$BK463)),AND(OR(AND($BW463="",$BK463=""),AND(ISNUMBER($BW463),ISNUMBER($BK463),$BW463=$BK463)),$BX463&lt;$BL463)))))))),"-&gt;","&lt;-"))</f>
        <v/>
      </c>
      <c r="BN463" s="134" t="str">
        <f aca="false">IF(ISBLANK($C463),"",AND($AT463,OR($AU463="",$AV463="",AND($AW463,$AX463=""))))</f>
        <v/>
      </c>
      <c r="BO463" s="137" t="str">
        <f aca="false">IF($BZ463&lt;&gt;Constants!$B$8,"",IF($AT463,Constants!$B$21*$AV463+Constants!$B$22*IF($AW463,$AX463,Constants!$B$23),Constants!$B$24))</f>
        <v/>
      </c>
      <c r="BP463" s="138" t="str">
        <f aca="false">IF($BZ463&lt;&gt;Constants!$B$8,"",Constants!$B$25*ABS($AD$9-IF($AT463,$AU463,0)))</f>
        <v/>
      </c>
      <c r="BQ463" s="138" t="str">
        <f aca="false">IF($BZ463&lt;&gt;Constants!$B$8,"",IF(AND($AT463,$AY463,$AW463),Constants!$B$27,0))</f>
        <v/>
      </c>
      <c r="BR463" s="138" t="str">
        <f aca="false">IF($BZ463&lt;&gt;Constants!$B$8,"",IF($AT463,($AI463-Constants!$B$29)*Constants!$B$28,0))</f>
        <v/>
      </c>
      <c r="BS463" s="138" t="str">
        <f aca="false">IF($BZ463&lt;&gt;Constants!$B$8,"",IF($AS463,0,Constants!$B$15)+IF($AR463,0,Constants!$B$16)+IF($AH463,0,Constants!$B$17))</f>
        <v/>
      </c>
      <c r="BT463" s="139" t="str">
        <f aca="false">IF($BZ463&lt;&gt;Constants!$B$8,"",Constants!$B$20+SUM($BO463:$BS463))</f>
        <v/>
      </c>
      <c r="BU463" s="138" t="str">
        <f aca="false">IF($BZ463&lt;&gt;Constants!$B$8,"",$BO463)</f>
        <v/>
      </c>
      <c r="BV463" s="138" t="str">
        <f aca="false">IF($BZ463&lt;&gt;Constants!$B$8,"",$BP463)</f>
        <v/>
      </c>
      <c r="BW463" s="138" t="str">
        <f aca="false">IF($BZ463&lt;&gt;Constants!$B$8,"",IF($AT463,$AV463,""))</f>
        <v/>
      </c>
      <c r="BX463" s="140" t="str">
        <f aca="false">IF($BZ463&lt;&gt;Constants!$B$8,"",$AI463)</f>
        <v/>
      </c>
      <c r="BY463" s="135" t="str">
        <f aca="false">IF(ISBLANK($C463),"",IF(ISBLANK($D$7),$BY$5,IF(NOT(ISNUMBER($D$7)),$BY$6,"")))</f>
        <v/>
      </c>
      <c r="BZ463" s="135" t="str">
        <f aca="false">IF(ISBLANK($C463),"",IF($BA463,Constants!$B$11,IF(COUNTA($E463:$AA463)=0,Constants!$B$10,IF(NOT($AG463),Constants!$B$9,IF(OR($BY463&lt;&gt;"",$BB463,$BN463),Constants!$B$12,Constants!$B$8)))))</f>
        <v/>
      </c>
      <c r="CA463" s="135" t="str">
        <f aca="false">IF(ISBLANK($C463),"",IF($BZ463&lt;&gt;Constants!$B$8,$BZ463,Constants!$B$13))</f>
        <v/>
      </c>
      <c r="CB463" s="138" t="str">
        <f aca="false">IF($BZ463&lt;&gt;Constants!$B$8,"",IF($BM463="-&gt;",$BT463,$BH463))</f>
        <v/>
      </c>
      <c r="CC463" s="138" t="str">
        <f aca="false">IF($BZ463&lt;&gt;Constants!$B$8,"",IF($AF463,0,Constants!$B$18))</f>
        <v/>
      </c>
      <c r="CD463" s="138" t="str">
        <f aca="false">IF($BZ463&lt;&gt;Constants!$B$8,"",((Constants!$B$31-$AZ463)-Constants!$B$31)/Constants!$B$32)</f>
        <v/>
      </c>
      <c r="CE463" s="138" t="str">
        <f aca="false">IF(ISBLANK($C463),"",IF($BZ463&lt;&gt;Constants!$B$8,$BZ463,SUM($CB463:$CD463)))</f>
        <v/>
      </c>
      <c r="CF463" s="135" t="str">
        <f aca="false">IF(ISBLANK($C463),"",IF($BZ463&lt;&gt;Constants!$B$8,$BZ463,RANK($CE463,$CE$9:$CE$508,1)))</f>
        <v/>
      </c>
      <c r="CG463" s="138" t="str">
        <f aca="false">IF($BZ463&lt;&gt;Constants!$B$8,"",IF($BM463="-&gt;",$BU463,$BI463))</f>
        <v/>
      </c>
      <c r="CH463" s="135" t="str">
        <f aca="false">IF(ISBLANK($C463),"",IF($BZ463&lt;&gt;Constants!$B$8,$BZ463,IF(ISNUMBER($CG463),RANK($CG463,$CG$9:$CG$508,1),COUNT($CG$9:$CG$508)+1)))</f>
        <v/>
      </c>
      <c r="CI463" s="138" t="str">
        <f aca="false">IF($BZ463&lt;&gt;Constants!$B$8,"",IF($BM463="-&gt;",$BV463,$BJ463))</f>
        <v/>
      </c>
      <c r="CJ463" s="135" t="str">
        <f aca="false">IF(ISBLANK($C463),"",IF($BZ463&lt;&gt;Constants!$B$8,$BZ463,IF(ISNUMBER($CI463),RANK($CI463,$CI$9:$CI$508,1),COUNT($CI$9:$CI$508)+1)))</f>
        <v/>
      </c>
      <c r="CK463" s="138" t="str">
        <f aca="false">IF($BZ463&lt;&gt;Constants!$B$8,"",IF($BM463="-&gt;",$BW463,$BK463))</f>
        <v/>
      </c>
      <c r="CL463" s="135" t="str">
        <f aca="false">IF(ISBLANK($C463),"",IF($BZ463&lt;&gt;Constants!$B$8,$BZ463,IF(ISNUMBER($CK463),RANK($CK463,$CK$9:$CK$508,1),COUNT($CK$9:$CK$508)+1)))</f>
        <v/>
      </c>
      <c r="CM463" s="138" t="str">
        <f aca="false">IF($BZ463&lt;&gt;Constants!$B$8,"",IF(AND(NOT($AL463),NOT($AT463),$AJ463,$AK463,$AR463,$AS463),"",IF($BM463="-&gt;",$BX463,$BL463)))</f>
        <v/>
      </c>
      <c r="CN463" s="135" t="str">
        <f aca="false">IF(ISBLANK($C463),"",IF($BZ463&lt;&gt;Constants!$B$8,$BZ463,IF(ISNUMBER($CM463),RANK($CM463,$CM$9:$CM$508,1),COUNT($CM$9:$CM$508)+1)))</f>
        <v/>
      </c>
      <c r="CO463" s="135" t="str">
        <f aca="false">IF(ISBLANK($C463),"",IF($BZ463&lt;&gt;Constants!$B$8,$BZ463,COUNTIFS($CF$9:$CF$508,"&lt;"&amp;$CF463)+COUNTIFS($CF$9:$CF$508,$CF463,$CH$9:$CH$508,"&lt;"&amp;$CH463)+COUNTIFS($CF$9:$CF$508,$CF463,$CH$9:$CH$508,$CH463,$CJ$9:$CJ$508,"&lt;"&amp;$CJ463)+COUNTIFS($CF$9:$CF$508,$CF463,$CH$9:$CH$508,$CH463,$CJ$9:$CJ$508,$CJ463,$CL$9:$CL$508,"&lt;"&amp;$CL463)+COUNTIFS($CF$9:$CF$508,$CF463,$CH$9:$CH$508,$CH463,$CJ$9:$CJ$508,$CJ463,$CL$9:$CL$508,$CL463,$CN$9:$CN$508,"&lt;"&amp;$CN463)+1))</f>
        <v/>
      </c>
      <c r="CP463" s="135" t="str">
        <f aca="false">IF(ISBLANK($C463),"",IF($BZ463&lt;&gt;Constants!$B$8,$BZ463,$CF463-$CO463))</f>
        <v/>
      </c>
      <c r="CQ463" s="141"/>
      <c r="CR463" s="142"/>
      <c r="CS463" s="143" t="str">
        <f aca="false">IF(ISBLANK($C463),"",IF($BZ463=Constants!$B$12,$BY463,""))</f>
        <v/>
      </c>
      <c r="CT463" s="142" t="str">
        <f aca="false">IF(ISBLANK($C463),"",IF($BZ463&lt;&gt;Constants!$B$8,"",IF($BM463="-&gt;",2,1)))</f>
        <v/>
      </c>
      <c r="CU463" s="144" t="str">
        <f aca="false">IF(ISBLANK($C463),"",IF($BZ463&lt;&gt;Constants!$B$8,"",IF($BM463="-&gt;",$BO463,$BC463)))</f>
        <v/>
      </c>
      <c r="CV463" s="144" t="str">
        <f aca="false">IF(ISBLANK($C463),"",IF($BZ463&lt;&gt;Constants!$B$8,"",IF($BM463="-&gt;",$BP463,$BD463)))</f>
        <v/>
      </c>
      <c r="CW463" s="144" t="str">
        <f aca="false">IF(ISBLANK($C463),"",IF($BZ463&lt;&gt;Constants!$B$8,"",IF($BM463="-&gt;",$BQ463+$BR463,$BE463+$BF463)+$CD463))</f>
        <v/>
      </c>
      <c r="CX463" s="144" t="str">
        <f aca="false">IF(ISBLANK($C463),"",IF($BZ463&lt;&gt;Constants!$B$8,"",IF($BM463="-&gt;",$BS463,$BG463)+$CC463))</f>
        <v/>
      </c>
      <c r="CY463" s="145" t="str">
        <f aca="false">IF(ISBLANK($C463),"",IF($BZ463&lt;&gt;Constants!$B$8,$BZ463,$CE463))</f>
        <v/>
      </c>
      <c r="CZ463" s="146" t="str">
        <f aca="false">IF(ISBLANK($C463),"",$CA463)</f>
        <v/>
      </c>
      <c r="DA463" s="147" t="str">
        <f aca="false">IF(ISBLANK($C463),"",$CP463)</f>
        <v/>
      </c>
      <c r="DB463" s="147" t="str">
        <f aca="false">IF(ISBLANK($C463),"",$CO463)</f>
        <v/>
      </c>
      <c r="DC463" s="148" t="str">
        <f aca="false">IF(ISBLANK($C463),"",IFERROR(_xlfn.SWITCH($DB463,Constants!$B$11,COUNTA($C$9:$C$508)+2,Constants!$B$10,COUNTA($C$9:$C$508)+1,Constants!$B$9,COUNTA($C$9:$C$508)),$DB463))</f>
        <v/>
      </c>
      <c r="DD463" s="9"/>
      <c r="DE463" s="149" t="n">
        <f aca="false">IF(OR(ISNUMBER($DB463),$DB463=Constants!$B$11,$DB463=Constants!$B$9,$DB463=Constants!$B$10),1,0)</f>
        <v>0</v>
      </c>
      <c r="DF463" s="149" t="n">
        <v>455</v>
      </c>
      <c r="DG463" s="149" t="str">
        <f aca="false">IF(ISBLANK($C463),"",IF(ISNUMBER($DC463),$DC463+ROW($B463)/1000,""))</f>
        <v/>
      </c>
      <c r="DH463" s="149" t="str">
        <f aca="false">IF(ISNUMBER($DG463),RANK($DG463,$DG$9:$DG$508,1),"")</f>
        <v/>
      </c>
      <c r="DI463" s="149" t="str">
        <f aca="false">IF(ISBLANK($C463),"",$B463)</f>
        <v/>
      </c>
      <c r="DJ463" s="149" t="str">
        <f aca="false">IF(ISBLANK($C463),"",$C463)</f>
        <v/>
      </c>
      <c r="DK463" s="149" t="str">
        <f aca="false">IF(ISBLANK($C463),"",$D463)</f>
        <v/>
      </c>
      <c r="DL463" s="150" t="str">
        <f aca="false">$CZ463</f>
        <v/>
      </c>
      <c r="DM463" s="151" t="str">
        <f aca="false">$CY463</f>
        <v/>
      </c>
      <c r="DN463" s="149" t="str">
        <f aca="false">IF(ISBLANK($C463),"",$DB463)</f>
        <v/>
      </c>
      <c r="DO463" s="152" t="str">
        <f aca="false">IF($DF463&gt;$DE$8,"",VLOOKUP($DF463,$DH$9:$DN$508,7,FALSE()))</f>
        <v/>
      </c>
      <c r="DP463" s="153" t="str">
        <f aca="false">IF($DF463&gt;$DE$8,"",VLOOKUP($DF463,$DH$9:$DN$508,2,FALSE()))</f>
        <v/>
      </c>
      <c r="DQ463" s="153" t="str">
        <f aca="false">IF($DF463&gt;$DE$8,"",VLOOKUP($DF463,$DH$9:$DN$508,3,FALSE()))</f>
        <v/>
      </c>
      <c r="DR463" s="153" t="str">
        <f aca="false">IF($DF463&gt;$DE$8,"",VLOOKUP($DF463,$DH$9:$DN$508,4,FALSE()))</f>
        <v/>
      </c>
      <c r="DS463" s="153" t="str">
        <f aca="false">IF($DF463&gt;$DE$8,"",VLOOKUP($DF463,$DH$9:$DN$508,5,FALSE()))</f>
        <v/>
      </c>
      <c r="DT463" s="154" t="str">
        <f aca="false">IF($DF463&gt;$DE$8,"",VLOOKUP($DF463,$DH$9:$DN$508,6,FALSE()))</f>
        <v/>
      </c>
      <c r="DU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IF(ISBLANK($C464),"",IF(E464=Constants!$B$3,TRUE(),IF(E464=Constants!$B$4,FALSE(),TRUE())))</f>
        <v/>
      </c>
      <c r="AG464" s="135" t="str">
        <f aca="false">IF(ISBLANK($C464),"",IF(F464=Constants!$B$3,TRUE(),IF(F464=Constants!$B$4,FALSE(),TRUE())))</f>
        <v/>
      </c>
      <c r="AH464" s="135" t="str">
        <f aca="false">IF(ISBLANK($C464),"",IF(G464=Constants!$B$3,TRUE(),IF(G464=Constants!$B$4,FALSE(),TRUE())))</f>
        <v/>
      </c>
      <c r="AI464" s="135" t="str">
        <f aca="false">IF(ISBLANK($C464),"",IF(AND(ISNUMBER(H464),H464&gt;=0),H464,Constants!$B$29))</f>
        <v/>
      </c>
      <c r="AJ464" s="135" t="str">
        <f aca="false">IF(ISBLANK($C464),"",IF(I464=Constants!$B$3,TRUE(),IF(I464=Constants!$B$4,FALSE(),TRUE())))</f>
        <v/>
      </c>
      <c r="AK464" s="135" t="str">
        <f aca="false">IF(ISBLANK($C464),"",IF(J464=Constants!$B$3,TRUE(),IF(J464=Constants!$B$4,FALSE(),TRUE())))</f>
        <v/>
      </c>
      <c r="AL464" s="135" t="str">
        <f aca="false">IF(ISBLANK($C464),"",IF(K464=Constants!$B$5,TRUE(),IF(K464=Constants!$B$6,FALSE(),COUNTA(L464:P464)&gt;0)))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IF(ISBLANK($C464),"",IF(N464=Constants!$B$3,TRUE(),IF(N464=Constants!$B$4,FALSE(),TRUE())))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IF(ISBLANK($C464),"",IF(P464=Constants!$B$3,TRUE(),IF(P464=Constants!$B$4,FALSE(),FALSE())))</f>
        <v/>
      </c>
      <c r="AR464" s="135" t="str">
        <f aca="false">IF(ISBLANK($C464),"",IF(Q464=Constants!$B$3,TRUE(),IF(Q464=Constants!$B$4,FALSE(),TRUE())))</f>
        <v/>
      </c>
      <c r="AS464" s="135" t="str">
        <f aca="false">IF(ISBLANK($C464),"",IF(R464=Constants!$B$3,TRUE(),IF(R464=Constants!$B$4,FALSE(),TRUE())))</f>
        <v/>
      </c>
      <c r="AT464" s="135" t="str">
        <f aca="false">IF(ISBLANK($C464),"",IF(S464=Constants!$B$5,TRUE(),IF(S464=Constants!$B$6,FALSE(),COUNTA(T464:X464)&gt;0)))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IF(ISBLANK($C464),"",IF(V464=Constants!$B$3,TRUE(),IF(V464=Constants!$B$4,FALSE(),TRUE())))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IF(ISBLANK($C464),"",IF(X464=Constants!$B$3,TRUE(),IF(X464=Constants!$B$4,FALSE(),FALSE())))</f>
        <v/>
      </c>
      <c r="AZ464" s="135" t="str">
        <f aca="false">IF(ISBLANK($C464),"",MIN(Constants!$B$31,MAX(0,IF(ISNUMBER(Y464),Y464*60,0)+IF(ISNUMBER(Z464),Z464,0))))</f>
        <v/>
      </c>
      <c r="BA464" s="135" t="str">
        <f aca="false">IF(ISBLANK($C464),"",IF(AA464=Constants!$B$3,TRUE(),IF(AA464=Constants!$B$4,FALSE(),FALSE())))</f>
        <v/>
      </c>
      <c r="BB464" s="134" t="str">
        <f aca="false">IF(ISBLANK($C464),"",AND($AL464,OR($AM464="",$AN464="",AND($AO464,$AP464=""))))</f>
        <v/>
      </c>
      <c r="BC464" s="137" t="str">
        <f aca="false">IF($BZ464&lt;&gt;Constants!$B$8,"",IF($AL464,Constants!$B$21*$AN464+Constants!$B$22*IF($AO464,$AP464,Constants!$B$23),Constants!$B$24))</f>
        <v/>
      </c>
      <c r="BD464" s="138" t="str">
        <f aca="false">IF($BZ464&lt;&gt;Constants!$B$8,"",Constants!$B$25*ABS($AD$9-IF($AL464,$AM464,0)))</f>
        <v/>
      </c>
      <c r="BE464" s="138" t="str">
        <f aca="false">IF($BZ464&lt;&gt;Constants!$B$8,"",IF(AND($AL464,$AQ464,$AO464),Constants!$B$27,0))</f>
        <v/>
      </c>
      <c r="BF464" s="138" t="str">
        <f aca="false">IF($BZ464&lt;&gt;Constants!$B$8,"",IF($AL464,($AI464-Constants!$B$29)*Constants!$B$28,0))</f>
        <v/>
      </c>
      <c r="BG464" s="138" t="str">
        <f aca="false">IF($BZ464&lt;&gt;Constants!$B$8,"",IF($AK464,0,Constants!$B$15)+IF($AJ464,0,Constants!$B$16)+IF($AH464,0,Constants!$B$17))</f>
        <v/>
      </c>
      <c r="BH464" s="139" t="str">
        <f aca="false">IF($BZ464&lt;&gt;Constants!$B$8,"",Constants!$B$20+SUM($BC464:$BG464))</f>
        <v/>
      </c>
      <c r="BI464" s="138" t="str">
        <f aca="false">IF($BZ464&lt;&gt;Constants!$B$8,"",$BC464)</f>
        <v/>
      </c>
      <c r="BJ464" s="138" t="str">
        <f aca="false">IF($BZ464&lt;&gt;Constants!$B$8,"",$BD464)</f>
        <v/>
      </c>
      <c r="BK464" s="138" t="str">
        <f aca="false">IF($BZ464&lt;&gt;Constants!$B$8,"",IF($AL464,$AN464,""))</f>
        <v/>
      </c>
      <c r="BL464" s="140" t="str">
        <f aca="false">IF($BZ464&lt;&gt;Constants!$B$8,"",$AI464)</f>
        <v/>
      </c>
      <c r="BM464" s="135" t="str">
        <f aca="false">IF($BZ464&lt;&gt;Constants!$B$8,"",IF(OR($BT464&lt;$BH464,AND($BT464=$BH464,OR($BU464&lt;$BI464,AND($BU464=$BI464,OR($BV464&lt;$BJ464,AND($BV464=$BJ464,OR(AND(ISNUMBER($BW464),OR(NOT(ISNUMBER($BK464)),$BW464&lt;$BK464)),AND(OR(AND($BW464="",$BK464=""),AND(ISNUMBER($BW464),ISNUMBER($BK464),$BW464=$BK464)),$BX464&lt;$BL464)))))))),"-&gt;","&lt;-"))</f>
        <v/>
      </c>
      <c r="BN464" s="134" t="str">
        <f aca="false">IF(ISBLANK($C464),"",AND($AT464,OR($AU464="",$AV464="",AND($AW464,$AX464=""))))</f>
        <v/>
      </c>
      <c r="BO464" s="137" t="str">
        <f aca="false">IF($BZ464&lt;&gt;Constants!$B$8,"",IF($AT464,Constants!$B$21*$AV464+Constants!$B$22*IF($AW464,$AX464,Constants!$B$23),Constants!$B$24))</f>
        <v/>
      </c>
      <c r="BP464" s="138" t="str">
        <f aca="false">IF($BZ464&lt;&gt;Constants!$B$8,"",Constants!$B$25*ABS($AD$9-IF($AT464,$AU464,0)))</f>
        <v/>
      </c>
      <c r="BQ464" s="138" t="str">
        <f aca="false">IF($BZ464&lt;&gt;Constants!$B$8,"",IF(AND($AT464,$AY464,$AW464),Constants!$B$27,0))</f>
        <v/>
      </c>
      <c r="BR464" s="138" t="str">
        <f aca="false">IF($BZ464&lt;&gt;Constants!$B$8,"",IF($AT464,($AI464-Constants!$B$29)*Constants!$B$28,0))</f>
        <v/>
      </c>
      <c r="BS464" s="138" t="str">
        <f aca="false">IF($BZ464&lt;&gt;Constants!$B$8,"",IF($AS464,0,Constants!$B$15)+IF($AR464,0,Constants!$B$16)+IF($AH464,0,Constants!$B$17))</f>
        <v/>
      </c>
      <c r="BT464" s="139" t="str">
        <f aca="false">IF($BZ464&lt;&gt;Constants!$B$8,"",Constants!$B$20+SUM($BO464:$BS464))</f>
        <v/>
      </c>
      <c r="BU464" s="138" t="str">
        <f aca="false">IF($BZ464&lt;&gt;Constants!$B$8,"",$BO464)</f>
        <v/>
      </c>
      <c r="BV464" s="138" t="str">
        <f aca="false">IF($BZ464&lt;&gt;Constants!$B$8,"",$BP464)</f>
        <v/>
      </c>
      <c r="BW464" s="138" t="str">
        <f aca="false">IF($BZ464&lt;&gt;Constants!$B$8,"",IF($AT464,$AV464,""))</f>
        <v/>
      </c>
      <c r="BX464" s="140" t="str">
        <f aca="false">IF($BZ464&lt;&gt;Constants!$B$8,"",$AI464)</f>
        <v/>
      </c>
      <c r="BY464" s="135" t="str">
        <f aca="false">IF(ISBLANK($C464),"",IF(ISBLANK($D$7),$BY$5,IF(NOT(ISNUMBER($D$7)),$BY$6,"")))</f>
        <v/>
      </c>
      <c r="BZ464" s="135" t="str">
        <f aca="false">IF(ISBLANK($C464),"",IF($BA464,Constants!$B$11,IF(COUNTA($E464:$AA464)=0,Constants!$B$10,IF(NOT($AG464),Constants!$B$9,IF(OR($BY464&lt;&gt;"",$BB464,$BN464),Constants!$B$12,Constants!$B$8)))))</f>
        <v/>
      </c>
      <c r="CA464" s="135" t="str">
        <f aca="false">IF(ISBLANK($C464),"",IF($BZ464&lt;&gt;Constants!$B$8,$BZ464,Constants!$B$13))</f>
        <v/>
      </c>
      <c r="CB464" s="138" t="str">
        <f aca="false">IF($BZ464&lt;&gt;Constants!$B$8,"",IF($BM464="-&gt;",$BT464,$BH464))</f>
        <v/>
      </c>
      <c r="CC464" s="138" t="str">
        <f aca="false">IF($BZ464&lt;&gt;Constants!$B$8,"",IF($AF464,0,Constants!$B$18))</f>
        <v/>
      </c>
      <c r="CD464" s="138" t="str">
        <f aca="false">IF($BZ464&lt;&gt;Constants!$B$8,"",((Constants!$B$31-$AZ464)-Constants!$B$31)/Constants!$B$32)</f>
        <v/>
      </c>
      <c r="CE464" s="138" t="str">
        <f aca="false">IF(ISBLANK($C464),"",IF($BZ464&lt;&gt;Constants!$B$8,$BZ464,SUM($CB464:$CD464)))</f>
        <v/>
      </c>
      <c r="CF464" s="135" t="str">
        <f aca="false">IF(ISBLANK($C464),"",IF($BZ464&lt;&gt;Constants!$B$8,$BZ464,RANK($CE464,$CE$9:$CE$508,1)))</f>
        <v/>
      </c>
      <c r="CG464" s="138" t="str">
        <f aca="false">IF($BZ464&lt;&gt;Constants!$B$8,"",IF($BM464="-&gt;",$BU464,$BI464))</f>
        <v/>
      </c>
      <c r="CH464" s="135" t="str">
        <f aca="false">IF(ISBLANK($C464),"",IF($BZ464&lt;&gt;Constants!$B$8,$BZ464,IF(ISNUMBER($CG464),RANK($CG464,$CG$9:$CG$508,1),COUNT($CG$9:$CG$508)+1)))</f>
        <v/>
      </c>
      <c r="CI464" s="138" t="str">
        <f aca="false">IF($BZ464&lt;&gt;Constants!$B$8,"",IF($BM464="-&gt;",$BV464,$BJ464))</f>
        <v/>
      </c>
      <c r="CJ464" s="135" t="str">
        <f aca="false">IF(ISBLANK($C464),"",IF($BZ464&lt;&gt;Constants!$B$8,$BZ464,IF(ISNUMBER($CI464),RANK($CI464,$CI$9:$CI$508,1),COUNT($CI$9:$CI$508)+1)))</f>
        <v/>
      </c>
      <c r="CK464" s="138" t="str">
        <f aca="false">IF($BZ464&lt;&gt;Constants!$B$8,"",IF($BM464="-&gt;",$BW464,$BK464))</f>
        <v/>
      </c>
      <c r="CL464" s="135" t="str">
        <f aca="false">IF(ISBLANK($C464),"",IF($BZ464&lt;&gt;Constants!$B$8,$BZ464,IF(ISNUMBER($CK464),RANK($CK464,$CK$9:$CK$508,1),COUNT($CK$9:$CK$508)+1)))</f>
        <v/>
      </c>
      <c r="CM464" s="138" t="str">
        <f aca="false">IF($BZ464&lt;&gt;Constants!$B$8,"",IF(AND(NOT($AL464),NOT($AT464),$AJ464,$AK464,$AR464,$AS464),"",IF($BM464="-&gt;",$BX464,$BL464)))</f>
        <v/>
      </c>
      <c r="CN464" s="135" t="str">
        <f aca="false">IF(ISBLANK($C464),"",IF($BZ464&lt;&gt;Constants!$B$8,$BZ464,IF(ISNUMBER($CM464),RANK($CM464,$CM$9:$CM$508,1),COUNT($CM$9:$CM$508)+1)))</f>
        <v/>
      </c>
      <c r="CO464" s="135" t="str">
        <f aca="false">IF(ISBLANK($C464),"",IF($BZ464&lt;&gt;Constants!$B$8,$BZ464,COUNTIFS($CF$9:$CF$508,"&lt;"&amp;$CF464)+COUNTIFS($CF$9:$CF$508,$CF464,$CH$9:$CH$508,"&lt;"&amp;$CH464)+COUNTIFS($CF$9:$CF$508,$CF464,$CH$9:$CH$508,$CH464,$CJ$9:$CJ$508,"&lt;"&amp;$CJ464)+COUNTIFS($CF$9:$CF$508,$CF464,$CH$9:$CH$508,$CH464,$CJ$9:$CJ$508,$CJ464,$CL$9:$CL$508,"&lt;"&amp;$CL464)+COUNTIFS($CF$9:$CF$508,$CF464,$CH$9:$CH$508,$CH464,$CJ$9:$CJ$508,$CJ464,$CL$9:$CL$508,$CL464,$CN$9:$CN$508,"&lt;"&amp;$CN464)+1))</f>
        <v/>
      </c>
      <c r="CP464" s="135" t="str">
        <f aca="false">IF(ISBLANK($C464),"",IF($BZ464&lt;&gt;Constants!$B$8,$BZ464,$CF464-$CO464))</f>
        <v/>
      </c>
      <c r="CQ464" s="141"/>
      <c r="CR464" s="142"/>
      <c r="CS464" s="143" t="str">
        <f aca="false">IF(ISBLANK($C464),"",IF($BZ464=Constants!$B$12,$BY464,""))</f>
        <v/>
      </c>
      <c r="CT464" s="142" t="str">
        <f aca="false">IF(ISBLANK($C464),"",IF($BZ464&lt;&gt;Constants!$B$8,"",IF($BM464="-&gt;",2,1)))</f>
        <v/>
      </c>
      <c r="CU464" s="144" t="str">
        <f aca="false">IF(ISBLANK($C464),"",IF($BZ464&lt;&gt;Constants!$B$8,"",IF($BM464="-&gt;",$BO464,$BC464)))</f>
        <v/>
      </c>
      <c r="CV464" s="144" t="str">
        <f aca="false">IF(ISBLANK($C464),"",IF($BZ464&lt;&gt;Constants!$B$8,"",IF($BM464="-&gt;",$BP464,$BD464)))</f>
        <v/>
      </c>
      <c r="CW464" s="144" t="str">
        <f aca="false">IF(ISBLANK($C464),"",IF($BZ464&lt;&gt;Constants!$B$8,"",IF($BM464="-&gt;",$BQ464+$BR464,$BE464+$BF464)+$CD464))</f>
        <v/>
      </c>
      <c r="CX464" s="144" t="str">
        <f aca="false">IF(ISBLANK($C464),"",IF($BZ464&lt;&gt;Constants!$B$8,"",IF($BM464="-&gt;",$BS464,$BG464)+$CC464))</f>
        <v/>
      </c>
      <c r="CY464" s="145" t="str">
        <f aca="false">IF(ISBLANK($C464),"",IF($BZ464&lt;&gt;Constants!$B$8,$BZ464,$CE464))</f>
        <v/>
      </c>
      <c r="CZ464" s="146" t="str">
        <f aca="false">IF(ISBLANK($C464),"",$CA464)</f>
        <v/>
      </c>
      <c r="DA464" s="147" t="str">
        <f aca="false">IF(ISBLANK($C464),"",$CP464)</f>
        <v/>
      </c>
      <c r="DB464" s="147" t="str">
        <f aca="false">IF(ISBLANK($C464),"",$CO464)</f>
        <v/>
      </c>
      <c r="DC464" s="148" t="str">
        <f aca="false">IF(ISBLANK($C464),"",IFERROR(_xlfn.SWITCH($DB464,Constants!$B$11,COUNTA($C$9:$C$508)+2,Constants!$B$10,COUNTA($C$9:$C$508)+1,Constants!$B$9,COUNTA($C$9:$C$508)),$DB464))</f>
        <v/>
      </c>
      <c r="DD464" s="9"/>
      <c r="DE464" s="149" t="n">
        <f aca="false">IF(OR(ISNUMBER($DB464),$DB464=Constants!$B$11,$DB464=Constants!$B$9,$DB464=Constants!$B$10),1,0)</f>
        <v>0</v>
      </c>
      <c r="DF464" s="149" t="n">
        <v>456</v>
      </c>
      <c r="DG464" s="149" t="str">
        <f aca="false">IF(ISBLANK($C464),"",IF(ISNUMBER($DC464),$DC464+ROW($B464)/1000,""))</f>
        <v/>
      </c>
      <c r="DH464" s="149" t="str">
        <f aca="false">IF(ISNUMBER($DG464),RANK($DG464,$DG$9:$DG$508,1),"")</f>
        <v/>
      </c>
      <c r="DI464" s="149" t="str">
        <f aca="false">IF(ISBLANK($C464),"",$B464)</f>
        <v/>
      </c>
      <c r="DJ464" s="149" t="str">
        <f aca="false">IF(ISBLANK($C464),"",$C464)</f>
        <v/>
      </c>
      <c r="DK464" s="149" t="str">
        <f aca="false">IF(ISBLANK($C464),"",$D464)</f>
        <v/>
      </c>
      <c r="DL464" s="150" t="str">
        <f aca="false">$CZ464</f>
        <v/>
      </c>
      <c r="DM464" s="151" t="str">
        <f aca="false">$CY464</f>
        <v/>
      </c>
      <c r="DN464" s="149" t="str">
        <f aca="false">IF(ISBLANK($C464),"",$DB464)</f>
        <v/>
      </c>
      <c r="DO464" s="152" t="str">
        <f aca="false">IF($DF464&gt;$DE$8,"",VLOOKUP($DF464,$DH$9:$DN$508,7,FALSE()))</f>
        <v/>
      </c>
      <c r="DP464" s="153" t="str">
        <f aca="false">IF($DF464&gt;$DE$8,"",VLOOKUP($DF464,$DH$9:$DN$508,2,FALSE()))</f>
        <v/>
      </c>
      <c r="DQ464" s="153" t="str">
        <f aca="false">IF($DF464&gt;$DE$8,"",VLOOKUP($DF464,$DH$9:$DN$508,3,FALSE()))</f>
        <v/>
      </c>
      <c r="DR464" s="153" t="str">
        <f aca="false">IF($DF464&gt;$DE$8,"",VLOOKUP($DF464,$DH$9:$DN$508,4,FALSE()))</f>
        <v/>
      </c>
      <c r="DS464" s="153" t="str">
        <f aca="false">IF($DF464&gt;$DE$8,"",VLOOKUP($DF464,$DH$9:$DN$508,5,FALSE()))</f>
        <v/>
      </c>
      <c r="DT464" s="154" t="str">
        <f aca="false">IF($DF464&gt;$DE$8,"",VLOOKUP($DF464,$DH$9:$DN$508,6,FALSE()))</f>
        <v/>
      </c>
      <c r="DU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IF(ISBLANK($C465),"",IF(E465=Constants!$B$3,TRUE(),IF(E465=Constants!$B$4,FALSE(),TRUE())))</f>
        <v/>
      </c>
      <c r="AG465" s="93" t="str">
        <f aca="false">IF(ISBLANK($C465),"",IF(F465=Constants!$B$3,TRUE(),IF(F465=Constants!$B$4,FALSE(),TRUE())))</f>
        <v/>
      </c>
      <c r="AH465" s="93" t="str">
        <f aca="false">IF(ISBLANK($C465),"",IF(G465=Constants!$B$3,TRUE(),IF(G465=Constants!$B$4,FALSE(),TRUE())))</f>
        <v/>
      </c>
      <c r="AI465" s="93" t="str">
        <f aca="false">IF(ISBLANK($C465),"",IF(AND(ISNUMBER(H465),H465&gt;=0),H465,Constants!$B$29))</f>
        <v/>
      </c>
      <c r="AJ465" s="93" t="str">
        <f aca="false">IF(ISBLANK($C465),"",IF(I465=Constants!$B$3,TRUE(),IF(I465=Constants!$B$4,FALSE(),TRUE())))</f>
        <v/>
      </c>
      <c r="AK465" s="93" t="str">
        <f aca="false">IF(ISBLANK($C465),"",IF(J465=Constants!$B$3,TRUE(),IF(J465=Constants!$B$4,FALSE(),TRUE())))</f>
        <v/>
      </c>
      <c r="AL465" s="93" t="str">
        <f aca="false">IF(ISBLANK($C465),"",IF(K465=Constants!$B$5,TRUE(),IF(K465=Constants!$B$6,FALSE(),COUNTA(L465:P465)&gt;0)))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IF(ISBLANK($C465),"",IF(N465=Constants!$B$3,TRUE(),IF(N465=Constants!$B$4,FALSE(),TRUE())))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IF(ISBLANK($C465),"",IF(P465=Constants!$B$3,TRUE(),IF(P465=Constants!$B$4,FALSE(),FALSE())))</f>
        <v/>
      </c>
      <c r="AR465" s="93" t="str">
        <f aca="false">IF(ISBLANK($C465),"",IF(Q465=Constants!$B$3,TRUE(),IF(Q465=Constants!$B$4,FALSE(),TRUE())))</f>
        <v/>
      </c>
      <c r="AS465" s="93" t="str">
        <f aca="false">IF(ISBLANK($C465),"",IF(R465=Constants!$B$3,TRUE(),IF(R465=Constants!$B$4,FALSE(),TRUE())))</f>
        <v/>
      </c>
      <c r="AT465" s="93" t="str">
        <f aca="false">IF(ISBLANK($C465),"",IF(S465=Constants!$B$5,TRUE(),IF(S465=Constants!$B$6,FALSE(),COUNTA(T465:X465)&gt;0)))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IF(ISBLANK($C465),"",IF(V465=Constants!$B$3,TRUE(),IF(V465=Constants!$B$4,FALSE(),TRUE())))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IF(ISBLANK($C465),"",IF(X465=Constants!$B$3,TRUE(),IF(X465=Constants!$B$4,FALSE(),FALSE())))</f>
        <v/>
      </c>
      <c r="AZ465" s="93" t="str">
        <f aca="false">IF(ISBLANK($C465),"",MIN(Constants!$B$31,MAX(0,IF(ISNUMBER(Y465),Y465*60,0)+IF(ISNUMBER(Z465),Z465,0))))</f>
        <v/>
      </c>
      <c r="BA465" s="93" t="str">
        <f aca="false">IF(ISBLANK($C465),"",IF(AA465=Constants!$B$3,TRUE(),IF(AA465=Constants!$B$4,FALSE(),FALSE())))</f>
        <v/>
      </c>
      <c r="BB465" s="92" t="str">
        <f aca="false">IF(ISBLANK($C465),"",AND($AL465,OR($AM465="",$AN465="",AND($AO465,$AP465=""))))</f>
        <v/>
      </c>
      <c r="BC465" s="94" t="str">
        <f aca="false">IF($BZ465&lt;&gt;Constants!$B$8,"",IF($AL465,Constants!$B$21*$AN465+Constants!$B$22*IF($AO465,$AP465,Constants!$B$23),Constants!$B$24))</f>
        <v/>
      </c>
      <c r="BD465" s="97" t="str">
        <f aca="false">IF($BZ465&lt;&gt;Constants!$B$8,"",Constants!$B$25*ABS($AD$9-IF($AL465,$AM465,0)))</f>
        <v/>
      </c>
      <c r="BE465" s="97" t="str">
        <f aca="false">IF($BZ465&lt;&gt;Constants!$B$8,"",IF(AND($AL465,$AQ465,$AO465),Constants!$B$27,0))</f>
        <v/>
      </c>
      <c r="BF465" s="97" t="str">
        <f aca="false">IF($BZ465&lt;&gt;Constants!$B$8,"",IF($AL465,($AI465-Constants!$B$29)*Constants!$B$28,0))</f>
        <v/>
      </c>
      <c r="BG465" s="97" t="str">
        <f aca="false">IF($BZ465&lt;&gt;Constants!$B$8,"",IF($AK465,0,Constants!$B$15)+IF($AJ465,0,Constants!$B$16)+IF($AH465,0,Constants!$B$17))</f>
        <v/>
      </c>
      <c r="BH465" s="98" t="str">
        <f aca="false">IF($BZ465&lt;&gt;Constants!$B$8,"",Constants!$B$20+SUM($BC465:$BG465))</f>
        <v/>
      </c>
      <c r="BI465" s="97" t="str">
        <f aca="false">IF($BZ465&lt;&gt;Constants!$B$8,"",$BC465)</f>
        <v/>
      </c>
      <c r="BJ465" s="97" t="str">
        <f aca="false">IF($BZ465&lt;&gt;Constants!$B$8,"",$BD465)</f>
        <v/>
      </c>
      <c r="BK465" s="97" t="str">
        <f aca="false">IF($BZ465&lt;&gt;Constants!$B$8,"",IF($AL465,$AN465,""))</f>
        <v/>
      </c>
      <c r="BL465" s="99" t="str">
        <f aca="false">IF($BZ465&lt;&gt;Constants!$B$8,"",$AI465)</f>
        <v/>
      </c>
      <c r="BM465" s="93" t="str">
        <f aca="false">IF($BZ465&lt;&gt;Constants!$B$8,"",IF(OR($BT465&lt;$BH465,AND($BT465=$BH465,OR($BU465&lt;$BI465,AND($BU465=$BI465,OR($BV465&lt;$BJ465,AND($BV465=$BJ465,OR(AND(ISNUMBER($BW465),OR(NOT(ISNUMBER($BK465)),$BW465&lt;$BK465)),AND(OR(AND($BW465="",$BK465=""),AND(ISNUMBER($BW465),ISNUMBER($BK465),$BW465=$BK465)),$BX465&lt;$BL465)))))))),"-&gt;","&lt;-"))</f>
        <v/>
      </c>
      <c r="BN465" s="92" t="str">
        <f aca="false">IF(ISBLANK($C465),"",AND($AT465,OR($AU465="",$AV465="",AND($AW465,$AX465=""))))</f>
        <v/>
      </c>
      <c r="BO465" s="94" t="str">
        <f aca="false">IF($BZ465&lt;&gt;Constants!$B$8,"",IF($AT465,Constants!$B$21*$AV465+Constants!$B$22*IF($AW465,$AX465,Constants!$B$23),Constants!$B$24))</f>
        <v/>
      </c>
      <c r="BP465" s="97" t="str">
        <f aca="false">IF($BZ465&lt;&gt;Constants!$B$8,"",Constants!$B$25*ABS($AD$9-IF($AT465,$AU465,0)))</f>
        <v/>
      </c>
      <c r="BQ465" s="97" t="str">
        <f aca="false">IF($BZ465&lt;&gt;Constants!$B$8,"",IF(AND($AT465,$AY465,$AW465),Constants!$B$27,0))</f>
        <v/>
      </c>
      <c r="BR465" s="97" t="str">
        <f aca="false">IF($BZ465&lt;&gt;Constants!$B$8,"",IF($AT465,($AI465-Constants!$B$29)*Constants!$B$28,0))</f>
        <v/>
      </c>
      <c r="BS465" s="97" t="str">
        <f aca="false">IF($BZ465&lt;&gt;Constants!$B$8,"",IF($AS465,0,Constants!$B$15)+IF($AR465,0,Constants!$B$16)+IF($AH465,0,Constants!$B$17))</f>
        <v/>
      </c>
      <c r="BT465" s="98" t="str">
        <f aca="false">IF($BZ465&lt;&gt;Constants!$B$8,"",Constants!$B$20+SUM($BO465:$BS465))</f>
        <v/>
      </c>
      <c r="BU465" s="97" t="str">
        <f aca="false">IF($BZ465&lt;&gt;Constants!$B$8,"",$BO465)</f>
        <v/>
      </c>
      <c r="BV465" s="97" t="str">
        <f aca="false">IF($BZ465&lt;&gt;Constants!$B$8,"",$BP465)</f>
        <v/>
      </c>
      <c r="BW465" s="97" t="str">
        <f aca="false">IF($BZ465&lt;&gt;Constants!$B$8,"",IF($AT465,$AV465,""))</f>
        <v/>
      </c>
      <c r="BX465" s="99" t="str">
        <f aca="false">IF($BZ465&lt;&gt;Constants!$B$8,"",$AI465)</f>
        <v/>
      </c>
      <c r="BY465" s="93" t="str">
        <f aca="false">IF(ISBLANK($C465),"",IF(ISBLANK($D$7),$BY$5,IF(NOT(ISNUMBER($D$7)),$BY$6,"")))</f>
        <v/>
      </c>
      <c r="BZ465" s="93" t="str">
        <f aca="false">IF(ISBLANK($C465),"",IF($BA465,Constants!$B$11,IF(COUNTA($E465:$AA465)=0,Constants!$B$10,IF(NOT($AG465),Constants!$B$9,IF(OR($BY465&lt;&gt;"",$BB465,$BN465),Constants!$B$12,Constants!$B$8)))))</f>
        <v/>
      </c>
      <c r="CA465" s="93" t="str">
        <f aca="false">IF(ISBLANK($C465),"",IF($BZ465&lt;&gt;Constants!$B$8,$BZ465,Constants!$B$13))</f>
        <v/>
      </c>
      <c r="CB465" s="97" t="str">
        <f aca="false">IF($BZ465&lt;&gt;Constants!$B$8,"",IF($BM465="-&gt;",$BT465,$BH465))</f>
        <v/>
      </c>
      <c r="CC465" s="97" t="str">
        <f aca="false">IF($BZ465&lt;&gt;Constants!$B$8,"",IF($AF465,0,Constants!$B$18))</f>
        <v/>
      </c>
      <c r="CD465" s="97" t="str">
        <f aca="false">IF($BZ465&lt;&gt;Constants!$B$8,"",((Constants!$B$31-$AZ465)-Constants!$B$31)/Constants!$B$32)</f>
        <v/>
      </c>
      <c r="CE465" s="97" t="str">
        <f aca="false">IF(ISBLANK($C465),"",IF($BZ465&lt;&gt;Constants!$B$8,$BZ465,SUM($CB465:$CD465)))</f>
        <v/>
      </c>
      <c r="CF465" s="93" t="str">
        <f aca="false">IF(ISBLANK($C465),"",IF($BZ465&lt;&gt;Constants!$B$8,$BZ465,RANK($CE465,$CE$9:$CE$508,1)))</f>
        <v/>
      </c>
      <c r="CG465" s="97" t="str">
        <f aca="false">IF($BZ465&lt;&gt;Constants!$B$8,"",IF($BM465="-&gt;",$BU465,$BI465))</f>
        <v/>
      </c>
      <c r="CH465" s="93" t="str">
        <f aca="false">IF(ISBLANK($C465),"",IF($BZ465&lt;&gt;Constants!$B$8,$BZ465,IF(ISNUMBER($CG465),RANK($CG465,$CG$9:$CG$508,1),COUNT($CG$9:$CG$508)+1)))</f>
        <v/>
      </c>
      <c r="CI465" s="97" t="str">
        <f aca="false">IF($BZ465&lt;&gt;Constants!$B$8,"",IF($BM465="-&gt;",$BV465,$BJ465))</f>
        <v/>
      </c>
      <c r="CJ465" s="93" t="str">
        <f aca="false">IF(ISBLANK($C465),"",IF($BZ465&lt;&gt;Constants!$B$8,$BZ465,IF(ISNUMBER($CI465),RANK($CI465,$CI$9:$CI$508,1),COUNT($CI$9:$CI$508)+1)))</f>
        <v/>
      </c>
      <c r="CK465" s="97" t="str">
        <f aca="false">IF($BZ465&lt;&gt;Constants!$B$8,"",IF($BM465="-&gt;",$BW465,$BK465))</f>
        <v/>
      </c>
      <c r="CL465" s="93" t="str">
        <f aca="false">IF(ISBLANK($C465),"",IF($BZ465&lt;&gt;Constants!$B$8,$BZ465,IF(ISNUMBER($CK465),RANK($CK465,$CK$9:$CK$508,1),COUNT($CK$9:$CK$508)+1)))</f>
        <v/>
      </c>
      <c r="CM465" s="97" t="str">
        <f aca="false">IF($BZ465&lt;&gt;Constants!$B$8,"",IF(AND(NOT($AL465),NOT($AT465),$AJ465,$AK465,$AR465,$AS465),"",IF($BM465="-&gt;",$BX465,$BL465)))</f>
        <v/>
      </c>
      <c r="CN465" s="93" t="str">
        <f aca="false">IF(ISBLANK($C465),"",IF($BZ465&lt;&gt;Constants!$B$8,$BZ465,IF(ISNUMBER($CM465),RANK($CM465,$CM$9:$CM$508,1),COUNT($CM$9:$CM$508)+1)))</f>
        <v/>
      </c>
      <c r="CO465" s="93" t="str">
        <f aca="false">IF(ISBLANK($C465),"",IF($BZ465&lt;&gt;Constants!$B$8,$BZ465,COUNTIFS($CF$9:$CF$508,"&lt;"&amp;$CF465)+COUNTIFS($CF$9:$CF$508,$CF465,$CH$9:$CH$508,"&lt;"&amp;$CH465)+COUNTIFS($CF$9:$CF$508,$CF465,$CH$9:$CH$508,$CH465,$CJ$9:$CJ$508,"&lt;"&amp;$CJ465)+COUNTIFS($CF$9:$CF$508,$CF465,$CH$9:$CH$508,$CH465,$CJ$9:$CJ$508,$CJ465,$CL$9:$CL$508,"&lt;"&amp;$CL465)+COUNTIFS($CF$9:$CF$508,$CF465,$CH$9:$CH$508,$CH465,$CJ$9:$CJ$508,$CJ465,$CL$9:$CL$508,$CL465,$CN$9:$CN$508,"&lt;"&amp;$CN465)+1))</f>
        <v/>
      </c>
      <c r="CP465" s="93" t="str">
        <f aca="false">IF(ISBLANK($C465),"",IF($BZ465&lt;&gt;Constants!$B$8,$BZ465,$CF465-$CO465))</f>
        <v/>
      </c>
      <c r="CQ465" s="100"/>
      <c r="CR465" s="101"/>
      <c r="CS465" s="102" t="str">
        <f aca="false">IF(ISBLANK($C465),"",IF($BZ465=Constants!$B$12,$BY465,""))</f>
        <v/>
      </c>
      <c r="CT465" s="101" t="str">
        <f aca="false">IF(ISBLANK($C465),"",IF($BZ465&lt;&gt;Constants!$B$8,"",IF($BM465="-&gt;",2,1)))</f>
        <v/>
      </c>
      <c r="CU465" s="103" t="str">
        <f aca="false">IF(ISBLANK($C465),"",IF($BZ465&lt;&gt;Constants!$B$8,"",IF($BM465="-&gt;",$BO465,$BC465)))</f>
        <v/>
      </c>
      <c r="CV465" s="103" t="str">
        <f aca="false">IF(ISBLANK($C465),"",IF($BZ465&lt;&gt;Constants!$B$8,"",IF($BM465="-&gt;",$BP465,$BD465)))</f>
        <v/>
      </c>
      <c r="CW465" s="103" t="str">
        <f aca="false">IF(ISBLANK($C465),"",IF($BZ465&lt;&gt;Constants!$B$8,"",IF($BM465="-&gt;",$BQ465+$BR465,$BE465+$BF465)+$CD465))</f>
        <v/>
      </c>
      <c r="CX465" s="103" t="str">
        <f aca="false">IF(ISBLANK($C465),"",IF($BZ465&lt;&gt;Constants!$B$8,"",IF($BM465="-&gt;",$BS465,$BG465)+$CC465))</f>
        <v/>
      </c>
      <c r="CY465" s="104" t="str">
        <f aca="false">IF(ISBLANK($C465),"",IF($BZ465&lt;&gt;Constants!$B$8,$BZ465,$CE465))</f>
        <v/>
      </c>
      <c r="CZ465" s="105" t="str">
        <f aca="false">IF(ISBLANK($C465),"",$CA465)</f>
        <v/>
      </c>
      <c r="DA465" s="106" t="str">
        <f aca="false">IF(ISBLANK($C465),"",$CP465)</f>
        <v/>
      </c>
      <c r="DB465" s="106" t="str">
        <f aca="false">IF(ISBLANK($C465),"",$CO465)</f>
        <v/>
      </c>
      <c r="DC465" s="107" t="str">
        <f aca="false">IF(ISBLANK($C465),"",IFERROR(_xlfn.SWITCH($DB465,Constants!$B$11,COUNTA($C$9:$C$508)+2,Constants!$B$10,COUNTA($C$9:$C$508)+1,Constants!$B$9,COUNTA($C$9:$C$508)),$DB465))</f>
        <v/>
      </c>
      <c r="DD465" s="9"/>
      <c r="DE465" s="108" t="n">
        <f aca="false">IF(OR(ISNUMBER($DB465),$DB465=Constants!$B$11,$DB465=Constants!$B$9,$DB465=Constants!$B$10),1,0)</f>
        <v>0</v>
      </c>
      <c r="DF465" s="108" t="n">
        <v>457</v>
      </c>
      <c r="DG465" s="108" t="str">
        <f aca="false">IF(ISBLANK($C465),"",IF(ISNUMBER($DC465),$DC465+ROW($B465)/1000,""))</f>
        <v/>
      </c>
      <c r="DH465" s="108" t="str">
        <f aca="false">IF(ISNUMBER($DG465),RANK($DG465,$DG$9:$DG$508,1),"")</f>
        <v/>
      </c>
      <c r="DI465" s="108" t="str">
        <f aca="false">IF(ISBLANK($C465),"",$B465)</f>
        <v/>
      </c>
      <c r="DJ465" s="108" t="str">
        <f aca="false">IF(ISBLANK($C465),"",$C465)</f>
        <v/>
      </c>
      <c r="DK465" s="108" t="str">
        <f aca="false">IF(ISBLANK($C465),"",$D465)</f>
        <v/>
      </c>
      <c r="DL465" s="109" t="str">
        <f aca="false">$CZ465</f>
        <v/>
      </c>
      <c r="DM465" s="110" t="str">
        <f aca="false">$CY465</f>
        <v/>
      </c>
      <c r="DN465" s="108" t="str">
        <f aca="false">IF(ISBLANK($C465),"",$DB465)</f>
        <v/>
      </c>
      <c r="DO465" s="111" t="str">
        <f aca="false">IF($DF465&gt;$DE$8,"",VLOOKUP($DF465,$DH$9:$DN$508,7,FALSE()))</f>
        <v/>
      </c>
      <c r="DP465" s="112" t="str">
        <f aca="false">IF($DF465&gt;$DE$8,"",VLOOKUP($DF465,$DH$9:$DN$508,2,FALSE()))</f>
        <v/>
      </c>
      <c r="DQ465" s="112" t="str">
        <f aca="false">IF($DF465&gt;$DE$8,"",VLOOKUP($DF465,$DH$9:$DN$508,3,FALSE()))</f>
        <v/>
      </c>
      <c r="DR465" s="112" t="str">
        <f aca="false">IF($DF465&gt;$DE$8,"",VLOOKUP($DF465,$DH$9:$DN$508,4,FALSE()))</f>
        <v/>
      </c>
      <c r="DS465" s="112" t="str">
        <f aca="false">IF($DF465&gt;$DE$8,"",VLOOKUP($DF465,$DH$9:$DN$508,5,FALSE()))</f>
        <v/>
      </c>
      <c r="DT465" s="113" t="str">
        <f aca="false">IF($DF465&gt;$DE$8,"",VLOOKUP($DF465,$DH$9:$DN$508,6,FALSE()))</f>
        <v/>
      </c>
      <c r="DU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IF(ISBLANK($C466),"",IF(E466=Constants!$B$3,TRUE(),IF(E466=Constants!$B$4,FALSE(),TRUE())))</f>
        <v/>
      </c>
      <c r="AG466" s="93" t="str">
        <f aca="false">IF(ISBLANK($C466),"",IF(F466=Constants!$B$3,TRUE(),IF(F466=Constants!$B$4,FALSE(),TRUE())))</f>
        <v/>
      </c>
      <c r="AH466" s="93" t="str">
        <f aca="false">IF(ISBLANK($C466),"",IF(G466=Constants!$B$3,TRUE(),IF(G466=Constants!$B$4,FALSE(),TRUE())))</f>
        <v/>
      </c>
      <c r="AI466" s="93" t="str">
        <f aca="false">IF(ISBLANK($C466),"",IF(AND(ISNUMBER(H466),H466&gt;=0),H466,Constants!$B$29))</f>
        <v/>
      </c>
      <c r="AJ466" s="93" t="str">
        <f aca="false">IF(ISBLANK($C466),"",IF(I466=Constants!$B$3,TRUE(),IF(I466=Constants!$B$4,FALSE(),TRUE())))</f>
        <v/>
      </c>
      <c r="AK466" s="93" t="str">
        <f aca="false">IF(ISBLANK($C466),"",IF(J466=Constants!$B$3,TRUE(),IF(J466=Constants!$B$4,FALSE(),TRUE())))</f>
        <v/>
      </c>
      <c r="AL466" s="93" t="str">
        <f aca="false">IF(ISBLANK($C466),"",IF(K466=Constants!$B$5,TRUE(),IF(K466=Constants!$B$6,FALSE(),COUNTA(L466:P466)&gt;0)))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IF(ISBLANK($C466),"",IF(N466=Constants!$B$3,TRUE(),IF(N466=Constants!$B$4,FALSE(),TRUE())))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IF(ISBLANK($C466),"",IF(P466=Constants!$B$3,TRUE(),IF(P466=Constants!$B$4,FALSE(),FALSE())))</f>
        <v/>
      </c>
      <c r="AR466" s="93" t="str">
        <f aca="false">IF(ISBLANK($C466),"",IF(Q466=Constants!$B$3,TRUE(),IF(Q466=Constants!$B$4,FALSE(),TRUE())))</f>
        <v/>
      </c>
      <c r="AS466" s="93" t="str">
        <f aca="false">IF(ISBLANK($C466),"",IF(R466=Constants!$B$3,TRUE(),IF(R466=Constants!$B$4,FALSE(),TRUE())))</f>
        <v/>
      </c>
      <c r="AT466" s="93" t="str">
        <f aca="false">IF(ISBLANK($C466),"",IF(S466=Constants!$B$5,TRUE(),IF(S466=Constants!$B$6,FALSE(),COUNTA(T466:X466)&gt;0)))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IF(ISBLANK($C466),"",IF(V466=Constants!$B$3,TRUE(),IF(V466=Constants!$B$4,FALSE(),TRUE())))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IF(ISBLANK($C466),"",IF(X466=Constants!$B$3,TRUE(),IF(X466=Constants!$B$4,FALSE(),FALSE())))</f>
        <v/>
      </c>
      <c r="AZ466" s="93" t="str">
        <f aca="false">IF(ISBLANK($C466),"",MIN(Constants!$B$31,MAX(0,IF(ISNUMBER(Y466),Y466*60,0)+IF(ISNUMBER(Z466),Z466,0))))</f>
        <v/>
      </c>
      <c r="BA466" s="93" t="str">
        <f aca="false">IF(ISBLANK($C466),"",IF(AA466=Constants!$B$3,TRUE(),IF(AA466=Constants!$B$4,FALSE(),FALSE())))</f>
        <v/>
      </c>
      <c r="BB466" s="92" t="str">
        <f aca="false">IF(ISBLANK($C466),"",AND($AL466,OR($AM466="",$AN466="",AND($AO466,$AP466=""))))</f>
        <v/>
      </c>
      <c r="BC466" s="94" t="str">
        <f aca="false">IF($BZ466&lt;&gt;Constants!$B$8,"",IF($AL466,Constants!$B$21*$AN466+Constants!$B$22*IF($AO466,$AP466,Constants!$B$23),Constants!$B$24))</f>
        <v/>
      </c>
      <c r="BD466" s="97" t="str">
        <f aca="false">IF($BZ466&lt;&gt;Constants!$B$8,"",Constants!$B$25*ABS($AD$9-IF($AL466,$AM466,0)))</f>
        <v/>
      </c>
      <c r="BE466" s="97" t="str">
        <f aca="false">IF($BZ466&lt;&gt;Constants!$B$8,"",IF(AND($AL466,$AQ466,$AO466),Constants!$B$27,0))</f>
        <v/>
      </c>
      <c r="BF466" s="97" t="str">
        <f aca="false">IF($BZ466&lt;&gt;Constants!$B$8,"",IF($AL466,($AI466-Constants!$B$29)*Constants!$B$28,0))</f>
        <v/>
      </c>
      <c r="BG466" s="97" t="str">
        <f aca="false">IF($BZ466&lt;&gt;Constants!$B$8,"",IF($AK466,0,Constants!$B$15)+IF($AJ466,0,Constants!$B$16)+IF($AH466,0,Constants!$B$17))</f>
        <v/>
      </c>
      <c r="BH466" s="98" t="str">
        <f aca="false">IF($BZ466&lt;&gt;Constants!$B$8,"",Constants!$B$20+SUM($BC466:$BG466))</f>
        <v/>
      </c>
      <c r="BI466" s="97" t="str">
        <f aca="false">IF($BZ466&lt;&gt;Constants!$B$8,"",$BC466)</f>
        <v/>
      </c>
      <c r="BJ466" s="97" t="str">
        <f aca="false">IF($BZ466&lt;&gt;Constants!$B$8,"",$BD466)</f>
        <v/>
      </c>
      <c r="BK466" s="97" t="str">
        <f aca="false">IF($BZ466&lt;&gt;Constants!$B$8,"",IF($AL466,$AN466,""))</f>
        <v/>
      </c>
      <c r="BL466" s="99" t="str">
        <f aca="false">IF($BZ466&lt;&gt;Constants!$B$8,"",$AI466)</f>
        <v/>
      </c>
      <c r="BM466" s="93" t="str">
        <f aca="false">IF($BZ466&lt;&gt;Constants!$B$8,"",IF(OR($BT466&lt;$BH466,AND($BT466=$BH466,OR($BU466&lt;$BI466,AND($BU466=$BI466,OR($BV466&lt;$BJ466,AND($BV466=$BJ466,OR(AND(ISNUMBER($BW466),OR(NOT(ISNUMBER($BK466)),$BW466&lt;$BK466)),AND(OR(AND($BW466="",$BK466=""),AND(ISNUMBER($BW466),ISNUMBER($BK466),$BW466=$BK466)),$BX466&lt;$BL466)))))))),"-&gt;","&lt;-"))</f>
        <v/>
      </c>
      <c r="BN466" s="92" t="str">
        <f aca="false">IF(ISBLANK($C466),"",AND($AT466,OR($AU466="",$AV466="",AND($AW466,$AX466=""))))</f>
        <v/>
      </c>
      <c r="BO466" s="94" t="str">
        <f aca="false">IF($BZ466&lt;&gt;Constants!$B$8,"",IF($AT466,Constants!$B$21*$AV466+Constants!$B$22*IF($AW466,$AX466,Constants!$B$23),Constants!$B$24))</f>
        <v/>
      </c>
      <c r="BP466" s="97" t="str">
        <f aca="false">IF($BZ466&lt;&gt;Constants!$B$8,"",Constants!$B$25*ABS($AD$9-IF($AT466,$AU466,0)))</f>
        <v/>
      </c>
      <c r="BQ466" s="97" t="str">
        <f aca="false">IF($BZ466&lt;&gt;Constants!$B$8,"",IF(AND($AT466,$AY466,$AW466),Constants!$B$27,0))</f>
        <v/>
      </c>
      <c r="BR466" s="97" t="str">
        <f aca="false">IF($BZ466&lt;&gt;Constants!$B$8,"",IF($AT466,($AI466-Constants!$B$29)*Constants!$B$28,0))</f>
        <v/>
      </c>
      <c r="BS466" s="97" t="str">
        <f aca="false">IF($BZ466&lt;&gt;Constants!$B$8,"",IF($AS466,0,Constants!$B$15)+IF($AR466,0,Constants!$B$16)+IF($AH466,0,Constants!$B$17))</f>
        <v/>
      </c>
      <c r="BT466" s="98" t="str">
        <f aca="false">IF($BZ466&lt;&gt;Constants!$B$8,"",Constants!$B$20+SUM($BO466:$BS466))</f>
        <v/>
      </c>
      <c r="BU466" s="97" t="str">
        <f aca="false">IF($BZ466&lt;&gt;Constants!$B$8,"",$BO466)</f>
        <v/>
      </c>
      <c r="BV466" s="97" t="str">
        <f aca="false">IF($BZ466&lt;&gt;Constants!$B$8,"",$BP466)</f>
        <v/>
      </c>
      <c r="BW466" s="97" t="str">
        <f aca="false">IF($BZ466&lt;&gt;Constants!$B$8,"",IF($AT466,$AV466,""))</f>
        <v/>
      </c>
      <c r="BX466" s="99" t="str">
        <f aca="false">IF($BZ466&lt;&gt;Constants!$B$8,"",$AI466)</f>
        <v/>
      </c>
      <c r="BY466" s="93" t="str">
        <f aca="false">IF(ISBLANK($C466),"",IF(ISBLANK($D$7),$BY$5,IF(NOT(ISNUMBER($D$7)),$BY$6,"")))</f>
        <v/>
      </c>
      <c r="BZ466" s="93" t="str">
        <f aca="false">IF(ISBLANK($C466),"",IF($BA466,Constants!$B$11,IF(COUNTA($E466:$AA466)=0,Constants!$B$10,IF(NOT($AG466),Constants!$B$9,IF(OR($BY466&lt;&gt;"",$BB466,$BN466),Constants!$B$12,Constants!$B$8)))))</f>
        <v/>
      </c>
      <c r="CA466" s="93" t="str">
        <f aca="false">IF(ISBLANK($C466),"",IF($BZ466&lt;&gt;Constants!$B$8,$BZ466,Constants!$B$13))</f>
        <v/>
      </c>
      <c r="CB466" s="97" t="str">
        <f aca="false">IF($BZ466&lt;&gt;Constants!$B$8,"",IF($BM466="-&gt;",$BT466,$BH466))</f>
        <v/>
      </c>
      <c r="CC466" s="97" t="str">
        <f aca="false">IF($BZ466&lt;&gt;Constants!$B$8,"",IF($AF466,0,Constants!$B$18))</f>
        <v/>
      </c>
      <c r="CD466" s="97" t="str">
        <f aca="false">IF($BZ466&lt;&gt;Constants!$B$8,"",((Constants!$B$31-$AZ466)-Constants!$B$31)/Constants!$B$32)</f>
        <v/>
      </c>
      <c r="CE466" s="97" t="str">
        <f aca="false">IF(ISBLANK($C466),"",IF($BZ466&lt;&gt;Constants!$B$8,$BZ466,SUM($CB466:$CD466)))</f>
        <v/>
      </c>
      <c r="CF466" s="93" t="str">
        <f aca="false">IF(ISBLANK($C466),"",IF($BZ466&lt;&gt;Constants!$B$8,$BZ466,RANK($CE466,$CE$9:$CE$508,1)))</f>
        <v/>
      </c>
      <c r="CG466" s="97" t="str">
        <f aca="false">IF($BZ466&lt;&gt;Constants!$B$8,"",IF($BM466="-&gt;",$BU466,$BI466))</f>
        <v/>
      </c>
      <c r="CH466" s="93" t="str">
        <f aca="false">IF(ISBLANK($C466),"",IF($BZ466&lt;&gt;Constants!$B$8,$BZ466,IF(ISNUMBER($CG466),RANK($CG466,$CG$9:$CG$508,1),COUNT($CG$9:$CG$508)+1)))</f>
        <v/>
      </c>
      <c r="CI466" s="97" t="str">
        <f aca="false">IF($BZ466&lt;&gt;Constants!$B$8,"",IF($BM466="-&gt;",$BV466,$BJ466))</f>
        <v/>
      </c>
      <c r="CJ466" s="93" t="str">
        <f aca="false">IF(ISBLANK($C466),"",IF($BZ466&lt;&gt;Constants!$B$8,$BZ466,IF(ISNUMBER($CI466),RANK($CI466,$CI$9:$CI$508,1),COUNT($CI$9:$CI$508)+1)))</f>
        <v/>
      </c>
      <c r="CK466" s="97" t="str">
        <f aca="false">IF($BZ466&lt;&gt;Constants!$B$8,"",IF($BM466="-&gt;",$BW466,$BK466))</f>
        <v/>
      </c>
      <c r="CL466" s="93" t="str">
        <f aca="false">IF(ISBLANK($C466),"",IF($BZ466&lt;&gt;Constants!$B$8,$BZ466,IF(ISNUMBER($CK466),RANK($CK466,$CK$9:$CK$508,1),COUNT($CK$9:$CK$508)+1)))</f>
        <v/>
      </c>
      <c r="CM466" s="97" t="str">
        <f aca="false">IF($BZ466&lt;&gt;Constants!$B$8,"",IF(AND(NOT($AL466),NOT($AT466),$AJ466,$AK466,$AR466,$AS466),"",IF($BM466="-&gt;",$BX466,$BL466)))</f>
        <v/>
      </c>
      <c r="CN466" s="93" t="str">
        <f aca="false">IF(ISBLANK($C466),"",IF($BZ466&lt;&gt;Constants!$B$8,$BZ466,IF(ISNUMBER($CM466),RANK($CM466,$CM$9:$CM$508,1),COUNT($CM$9:$CM$508)+1)))</f>
        <v/>
      </c>
      <c r="CO466" s="93" t="str">
        <f aca="false">IF(ISBLANK($C466),"",IF($BZ466&lt;&gt;Constants!$B$8,$BZ466,COUNTIFS($CF$9:$CF$508,"&lt;"&amp;$CF466)+COUNTIFS($CF$9:$CF$508,$CF466,$CH$9:$CH$508,"&lt;"&amp;$CH466)+COUNTIFS($CF$9:$CF$508,$CF466,$CH$9:$CH$508,$CH466,$CJ$9:$CJ$508,"&lt;"&amp;$CJ466)+COUNTIFS($CF$9:$CF$508,$CF466,$CH$9:$CH$508,$CH466,$CJ$9:$CJ$508,$CJ466,$CL$9:$CL$508,"&lt;"&amp;$CL466)+COUNTIFS($CF$9:$CF$508,$CF466,$CH$9:$CH$508,$CH466,$CJ$9:$CJ$508,$CJ466,$CL$9:$CL$508,$CL466,$CN$9:$CN$508,"&lt;"&amp;$CN466)+1))</f>
        <v/>
      </c>
      <c r="CP466" s="93" t="str">
        <f aca="false">IF(ISBLANK($C466),"",IF($BZ466&lt;&gt;Constants!$B$8,$BZ466,$CF466-$CO466))</f>
        <v/>
      </c>
      <c r="CQ466" s="100"/>
      <c r="CR466" s="101"/>
      <c r="CS466" s="102" t="str">
        <f aca="false">IF(ISBLANK($C466),"",IF($BZ466=Constants!$B$12,$BY466,""))</f>
        <v/>
      </c>
      <c r="CT466" s="101" t="str">
        <f aca="false">IF(ISBLANK($C466),"",IF($BZ466&lt;&gt;Constants!$B$8,"",IF($BM466="-&gt;",2,1)))</f>
        <v/>
      </c>
      <c r="CU466" s="103" t="str">
        <f aca="false">IF(ISBLANK($C466),"",IF($BZ466&lt;&gt;Constants!$B$8,"",IF($BM466="-&gt;",$BO466,$BC466)))</f>
        <v/>
      </c>
      <c r="CV466" s="103" t="str">
        <f aca="false">IF(ISBLANK($C466),"",IF($BZ466&lt;&gt;Constants!$B$8,"",IF($BM466="-&gt;",$BP466,$BD466)))</f>
        <v/>
      </c>
      <c r="CW466" s="103" t="str">
        <f aca="false">IF(ISBLANK($C466),"",IF($BZ466&lt;&gt;Constants!$B$8,"",IF($BM466="-&gt;",$BQ466+$BR466,$BE466+$BF466)+$CD466))</f>
        <v/>
      </c>
      <c r="CX466" s="103" t="str">
        <f aca="false">IF(ISBLANK($C466),"",IF($BZ466&lt;&gt;Constants!$B$8,"",IF($BM466="-&gt;",$BS466,$BG466)+$CC466))</f>
        <v/>
      </c>
      <c r="CY466" s="104" t="str">
        <f aca="false">IF(ISBLANK($C466),"",IF($BZ466&lt;&gt;Constants!$B$8,$BZ466,$CE466))</f>
        <v/>
      </c>
      <c r="CZ466" s="105" t="str">
        <f aca="false">IF(ISBLANK($C466),"",$CA466)</f>
        <v/>
      </c>
      <c r="DA466" s="106" t="str">
        <f aca="false">IF(ISBLANK($C466),"",$CP466)</f>
        <v/>
      </c>
      <c r="DB466" s="106" t="str">
        <f aca="false">IF(ISBLANK($C466),"",$CO466)</f>
        <v/>
      </c>
      <c r="DC466" s="107" t="str">
        <f aca="false">IF(ISBLANK($C466),"",IFERROR(_xlfn.SWITCH($DB466,Constants!$B$11,COUNTA($C$9:$C$508)+2,Constants!$B$10,COUNTA($C$9:$C$508)+1,Constants!$B$9,COUNTA($C$9:$C$508)),$DB466))</f>
        <v/>
      </c>
      <c r="DD466" s="9"/>
      <c r="DE466" s="108" t="n">
        <f aca="false">IF(OR(ISNUMBER($DB466),$DB466=Constants!$B$11,$DB466=Constants!$B$9,$DB466=Constants!$B$10),1,0)</f>
        <v>0</v>
      </c>
      <c r="DF466" s="108" t="n">
        <v>458</v>
      </c>
      <c r="DG466" s="108" t="str">
        <f aca="false">IF(ISBLANK($C466),"",IF(ISNUMBER($DC466),$DC466+ROW($B466)/1000,""))</f>
        <v/>
      </c>
      <c r="DH466" s="108" t="str">
        <f aca="false">IF(ISNUMBER($DG466),RANK($DG466,$DG$9:$DG$508,1),"")</f>
        <v/>
      </c>
      <c r="DI466" s="108" t="str">
        <f aca="false">IF(ISBLANK($C466),"",$B466)</f>
        <v/>
      </c>
      <c r="DJ466" s="108" t="str">
        <f aca="false">IF(ISBLANK($C466),"",$C466)</f>
        <v/>
      </c>
      <c r="DK466" s="108" t="str">
        <f aca="false">IF(ISBLANK($C466),"",$D466)</f>
        <v/>
      </c>
      <c r="DL466" s="109" t="str">
        <f aca="false">$CZ466</f>
        <v/>
      </c>
      <c r="DM466" s="110" t="str">
        <f aca="false">$CY466</f>
        <v/>
      </c>
      <c r="DN466" s="108" t="str">
        <f aca="false">IF(ISBLANK($C466),"",$DB466)</f>
        <v/>
      </c>
      <c r="DO466" s="111" t="str">
        <f aca="false">IF($DF466&gt;$DE$8,"",VLOOKUP($DF466,$DH$9:$DN$508,7,FALSE()))</f>
        <v/>
      </c>
      <c r="DP466" s="112" t="str">
        <f aca="false">IF($DF466&gt;$DE$8,"",VLOOKUP($DF466,$DH$9:$DN$508,2,FALSE()))</f>
        <v/>
      </c>
      <c r="DQ466" s="112" t="str">
        <f aca="false">IF($DF466&gt;$DE$8,"",VLOOKUP($DF466,$DH$9:$DN$508,3,FALSE()))</f>
        <v/>
      </c>
      <c r="DR466" s="112" t="str">
        <f aca="false">IF($DF466&gt;$DE$8,"",VLOOKUP($DF466,$DH$9:$DN$508,4,FALSE()))</f>
        <v/>
      </c>
      <c r="DS466" s="112" t="str">
        <f aca="false">IF($DF466&gt;$DE$8,"",VLOOKUP($DF466,$DH$9:$DN$508,5,FALSE()))</f>
        <v/>
      </c>
      <c r="DT466" s="113" t="str">
        <f aca="false">IF($DF466&gt;$DE$8,"",VLOOKUP($DF466,$DH$9:$DN$508,6,FALSE()))</f>
        <v/>
      </c>
      <c r="DU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IF(ISBLANK($C467),"",IF(E467=Constants!$B$3,TRUE(),IF(E467=Constants!$B$4,FALSE(),TRUE())))</f>
        <v/>
      </c>
      <c r="AG467" s="93" t="str">
        <f aca="false">IF(ISBLANK($C467),"",IF(F467=Constants!$B$3,TRUE(),IF(F467=Constants!$B$4,FALSE(),TRUE())))</f>
        <v/>
      </c>
      <c r="AH467" s="93" t="str">
        <f aca="false">IF(ISBLANK($C467),"",IF(G467=Constants!$B$3,TRUE(),IF(G467=Constants!$B$4,FALSE(),TRUE())))</f>
        <v/>
      </c>
      <c r="AI467" s="93" t="str">
        <f aca="false">IF(ISBLANK($C467),"",IF(AND(ISNUMBER(H467),H467&gt;=0),H467,Constants!$B$29))</f>
        <v/>
      </c>
      <c r="AJ467" s="93" t="str">
        <f aca="false">IF(ISBLANK($C467),"",IF(I467=Constants!$B$3,TRUE(),IF(I467=Constants!$B$4,FALSE(),TRUE())))</f>
        <v/>
      </c>
      <c r="AK467" s="93" t="str">
        <f aca="false">IF(ISBLANK($C467),"",IF(J467=Constants!$B$3,TRUE(),IF(J467=Constants!$B$4,FALSE(),TRUE())))</f>
        <v/>
      </c>
      <c r="AL467" s="93" t="str">
        <f aca="false">IF(ISBLANK($C467),"",IF(K467=Constants!$B$5,TRUE(),IF(K467=Constants!$B$6,FALSE(),COUNTA(L467:P467)&gt;0)))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IF(ISBLANK($C467),"",IF(N467=Constants!$B$3,TRUE(),IF(N467=Constants!$B$4,FALSE(),TRUE())))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IF(ISBLANK($C467),"",IF(P467=Constants!$B$3,TRUE(),IF(P467=Constants!$B$4,FALSE(),FALSE())))</f>
        <v/>
      </c>
      <c r="AR467" s="93" t="str">
        <f aca="false">IF(ISBLANK($C467),"",IF(Q467=Constants!$B$3,TRUE(),IF(Q467=Constants!$B$4,FALSE(),TRUE())))</f>
        <v/>
      </c>
      <c r="AS467" s="93" t="str">
        <f aca="false">IF(ISBLANK($C467),"",IF(R467=Constants!$B$3,TRUE(),IF(R467=Constants!$B$4,FALSE(),TRUE())))</f>
        <v/>
      </c>
      <c r="AT467" s="93" t="str">
        <f aca="false">IF(ISBLANK($C467),"",IF(S467=Constants!$B$5,TRUE(),IF(S467=Constants!$B$6,FALSE(),COUNTA(T467:X467)&gt;0)))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IF(ISBLANK($C467),"",IF(V467=Constants!$B$3,TRUE(),IF(V467=Constants!$B$4,FALSE(),TRUE())))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IF(ISBLANK($C467),"",IF(X467=Constants!$B$3,TRUE(),IF(X467=Constants!$B$4,FALSE(),FALSE())))</f>
        <v/>
      </c>
      <c r="AZ467" s="93" t="str">
        <f aca="false">IF(ISBLANK($C467),"",MIN(Constants!$B$31,MAX(0,IF(ISNUMBER(Y467),Y467*60,0)+IF(ISNUMBER(Z467),Z467,0))))</f>
        <v/>
      </c>
      <c r="BA467" s="93" t="str">
        <f aca="false">IF(ISBLANK($C467),"",IF(AA467=Constants!$B$3,TRUE(),IF(AA467=Constants!$B$4,FALSE(),FALSE())))</f>
        <v/>
      </c>
      <c r="BB467" s="92" t="str">
        <f aca="false">IF(ISBLANK($C467),"",AND($AL467,OR($AM467="",$AN467="",AND($AO467,$AP467=""))))</f>
        <v/>
      </c>
      <c r="BC467" s="94" t="str">
        <f aca="false">IF($BZ467&lt;&gt;Constants!$B$8,"",IF($AL467,Constants!$B$21*$AN467+Constants!$B$22*IF($AO467,$AP467,Constants!$B$23),Constants!$B$24))</f>
        <v/>
      </c>
      <c r="BD467" s="97" t="str">
        <f aca="false">IF($BZ467&lt;&gt;Constants!$B$8,"",Constants!$B$25*ABS($AD$9-IF($AL467,$AM467,0)))</f>
        <v/>
      </c>
      <c r="BE467" s="97" t="str">
        <f aca="false">IF($BZ467&lt;&gt;Constants!$B$8,"",IF(AND($AL467,$AQ467,$AO467),Constants!$B$27,0))</f>
        <v/>
      </c>
      <c r="BF467" s="97" t="str">
        <f aca="false">IF($BZ467&lt;&gt;Constants!$B$8,"",IF($AL467,($AI467-Constants!$B$29)*Constants!$B$28,0))</f>
        <v/>
      </c>
      <c r="BG467" s="97" t="str">
        <f aca="false">IF($BZ467&lt;&gt;Constants!$B$8,"",IF($AK467,0,Constants!$B$15)+IF($AJ467,0,Constants!$B$16)+IF($AH467,0,Constants!$B$17))</f>
        <v/>
      </c>
      <c r="BH467" s="98" t="str">
        <f aca="false">IF($BZ467&lt;&gt;Constants!$B$8,"",Constants!$B$20+SUM($BC467:$BG467))</f>
        <v/>
      </c>
      <c r="BI467" s="97" t="str">
        <f aca="false">IF($BZ467&lt;&gt;Constants!$B$8,"",$BC467)</f>
        <v/>
      </c>
      <c r="BJ467" s="97" t="str">
        <f aca="false">IF($BZ467&lt;&gt;Constants!$B$8,"",$BD467)</f>
        <v/>
      </c>
      <c r="BK467" s="97" t="str">
        <f aca="false">IF($BZ467&lt;&gt;Constants!$B$8,"",IF($AL467,$AN467,""))</f>
        <v/>
      </c>
      <c r="BL467" s="99" t="str">
        <f aca="false">IF($BZ467&lt;&gt;Constants!$B$8,"",$AI467)</f>
        <v/>
      </c>
      <c r="BM467" s="93" t="str">
        <f aca="false">IF($BZ467&lt;&gt;Constants!$B$8,"",IF(OR($BT467&lt;$BH467,AND($BT467=$BH467,OR($BU467&lt;$BI467,AND($BU467=$BI467,OR($BV467&lt;$BJ467,AND($BV467=$BJ467,OR(AND(ISNUMBER($BW467),OR(NOT(ISNUMBER($BK467)),$BW467&lt;$BK467)),AND(OR(AND($BW467="",$BK467=""),AND(ISNUMBER($BW467),ISNUMBER($BK467),$BW467=$BK467)),$BX467&lt;$BL467)))))))),"-&gt;","&lt;-"))</f>
        <v/>
      </c>
      <c r="BN467" s="92" t="str">
        <f aca="false">IF(ISBLANK($C467),"",AND($AT467,OR($AU467="",$AV467="",AND($AW467,$AX467=""))))</f>
        <v/>
      </c>
      <c r="BO467" s="94" t="str">
        <f aca="false">IF($BZ467&lt;&gt;Constants!$B$8,"",IF($AT467,Constants!$B$21*$AV467+Constants!$B$22*IF($AW467,$AX467,Constants!$B$23),Constants!$B$24))</f>
        <v/>
      </c>
      <c r="BP467" s="97" t="str">
        <f aca="false">IF($BZ467&lt;&gt;Constants!$B$8,"",Constants!$B$25*ABS($AD$9-IF($AT467,$AU467,0)))</f>
        <v/>
      </c>
      <c r="BQ467" s="97" t="str">
        <f aca="false">IF($BZ467&lt;&gt;Constants!$B$8,"",IF(AND($AT467,$AY467,$AW467),Constants!$B$27,0))</f>
        <v/>
      </c>
      <c r="BR467" s="97" t="str">
        <f aca="false">IF($BZ467&lt;&gt;Constants!$B$8,"",IF($AT467,($AI467-Constants!$B$29)*Constants!$B$28,0))</f>
        <v/>
      </c>
      <c r="BS467" s="97" t="str">
        <f aca="false">IF($BZ467&lt;&gt;Constants!$B$8,"",IF($AS467,0,Constants!$B$15)+IF($AR467,0,Constants!$B$16)+IF($AH467,0,Constants!$B$17))</f>
        <v/>
      </c>
      <c r="BT467" s="98" t="str">
        <f aca="false">IF($BZ467&lt;&gt;Constants!$B$8,"",Constants!$B$20+SUM($BO467:$BS467))</f>
        <v/>
      </c>
      <c r="BU467" s="97" t="str">
        <f aca="false">IF($BZ467&lt;&gt;Constants!$B$8,"",$BO467)</f>
        <v/>
      </c>
      <c r="BV467" s="97" t="str">
        <f aca="false">IF($BZ467&lt;&gt;Constants!$B$8,"",$BP467)</f>
        <v/>
      </c>
      <c r="BW467" s="97" t="str">
        <f aca="false">IF($BZ467&lt;&gt;Constants!$B$8,"",IF($AT467,$AV467,""))</f>
        <v/>
      </c>
      <c r="BX467" s="99" t="str">
        <f aca="false">IF($BZ467&lt;&gt;Constants!$B$8,"",$AI467)</f>
        <v/>
      </c>
      <c r="BY467" s="93" t="str">
        <f aca="false">IF(ISBLANK($C467),"",IF(ISBLANK($D$7),$BY$5,IF(NOT(ISNUMBER($D$7)),$BY$6,"")))</f>
        <v/>
      </c>
      <c r="BZ467" s="93" t="str">
        <f aca="false">IF(ISBLANK($C467),"",IF($BA467,Constants!$B$11,IF(COUNTA($E467:$AA467)=0,Constants!$B$10,IF(NOT($AG467),Constants!$B$9,IF(OR($BY467&lt;&gt;"",$BB467,$BN467),Constants!$B$12,Constants!$B$8)))))</f>
        <v/>
      </c>
      <c r="CA467" s="93" t="str">
        <f aca="false">IF(ISBLANK($C467),"",IF($BZ467&lt;&gt;Constants!$B$8,$BZ467,Constants!$B$13))</f>
        <v/>
      </c>
      <c r="CB467" s="97" t="str">
        <f aca="false">IF($BZ467&lt;&gt;Constants!$B$8,"",IF($BM467="-&gt;",$BT467,$BH467))</f>
        <v/>
      </c>
      <c r="CC467" s="97" t="str">
        <f aca="false">IF($BZ467&lt;&gt;Constants!$B$8,"",IF($AF467,0,Constants!$B$18))</f>
        <v/>
      </c>
      <c r="CD467" s="97" t="str">
        <f aca="false">IF($BZ467&lt;&gt;Constants!$B$8,"",((Constants!$B$31-$AZ467)-Constants!$B$31)/Constants!$B$32)</f>
        <v/>
      </c>
      <c r="CE467" s="97" t="str">
        <f aca="false">IF(ISBLANK($C467),"",IF($BZ467&lt;&gt;Constants!$B$8,$BZ467,SUM($CB467:$CD467)))</f>
        <v/>
      </c>
      <c r="CF467" s="93" t="str">
        <f aca="false">IF(ISBLANK($C467),"",IF($BZ467&lt;&gt;Constants!$B$8,$BZ467,RANK($CE467,$CE$9:$CE$508,1)))</f>
        <v/>
      </c>
      <c r="CG467" s="97" t="str">
        <f aca="false">IF($BZ467&lt;&gt;Constants!$B$8,"",IF($BM467="-&gt;",$BU467,$BI467))</f>
        <v/>
      </c>
      <c r="CH467" s="93" t="str">
        <f aca="false">IF(ISBLANK($C467),"",IF($BZ467&lt;&gt;Constants!$B$8,$BZ467,IF(ISNUMBER($CG467),RANK($CG467,$CG$9:$CG$508,1),COUNT($CG$9:$CG$508)+1)))</f>
        <v/>
      </c>
      <c r="CI467" s="97" t="str">
        <f aca="false">IF($BZ467&lt;&gt;Constants!$B$8,"",IF($BM467="-&gt;",$BV467,$BJ467))</f>
        <v/>
      </c>
      <c r="CJ467" s="93" t="str">
        <f aca="false">IF(ISBLANK($C467),"",IF($BZ467&lt;&gt;Constants!$B$8,$BZ467,IF(ISNUMBER($CI467),RANK($CI467,$CI$9:$CI$508,1),COUNT($CI$9:$CI$508)+1)))</f>
        <v/>
      </c>
      <c r="CK467" s="97" t="str">
        <f aca="false">IF($BZ467&lt;&gt;Constants!$B$8,"",IF($BM467="-&gt;",$BW467,$BK467))</f>
        <v/>
      </c>
      <c r="CL467" s="93" t="str">
        <f aca="false">IF(ISBLANK($C467),"",IF($BZ467&lt;&gt;Constants!$B$8,$BZ467,IF(ISNUMBER($CK467),RANK($CK467,$CK$9:$CK$508,1),COUNT($CK$9:$CK$508)+1)))</f>
        <v/>
      </c>
      <c r="CM467" s="97" t="str">
        <f aca="false">IF($BZ467&lt;&gt;Constants!$B$8,"",IF(AND(NOT($AL467),NOT($AT467),$AJ467,$AK467,$AR467,$AS467),"",IF($BM467="-&gt;",$BX467,$BL467)))</f>
        <v/>
      </c>
      <c r="CN467" s="93" t="str">
        <f aca="false">IF(ISBLANK($C467),"",IF($BZ467&lt;&gt;Constants!$B$8,$BZ467,IF(ISNUMBER($CM467),RANK($CM467,$CM$9:$CM$508,1),COUNT($CM$9:$CM$508)+1)))</f>
        <v/>
      </c>
      <c r="CO467" s="93" t="str">
        <f aca="false">IF(ISBLANK($C467),"",IF($BZ467&lt;&gt;Constants!$B$8,$BZ467,COUNTIFS($CF$9:$CF$508,"&lt;"&amp;$CF467)+COUNTIFS($CF$9:$CF$508,$CF467,$CH$9:$CH$508,"&lt;"&amp;$CH467)+COUNTIFS($CF$9:$CF$508,$CF467,$CH$9:$CH$508,$CH467,$CJ$9:$CJ$508,"&lt;"&amp;$CJ467)+COUNTIFS($CF$9:$CF$508,$CF467,$CH$9:$CH$508,$CH467,$CJ$9:$CJ$508,$CJ467,$CL$9:$CL$508,"&lt;"&amp;$CL467)+COUNTIFS($CF$9:$CF$508,$CF467,$CH$9:$CH$508,$CH467,$CJ$9:$CJ$508,$CJ467,$CL$9:$CL$508,$CL467,$CN$9:$CN$508,"&lt;"&amp;$CN467)+1))</f>
        <v/>
      </c>
      <c r="CP467" s="93" t="str">
        <f aca="false">IF(ISBLANK($C467),"",IF($BZ467&lt;&gt;Constants!$B$8,$BZ467,$CF467-$CO467))</f>
        <v/>
      </c>
      <c r="CQ467" s="100"/>
      <c r="CR467" s="101"/>
      <c r="CS467" s="102" t="str">
        <f aca="false">IF(ISBLANK($C467),"",IF($BZ467=Constants!$B$12,$BY467,""))</f>
        <v/>
      </c>
      <c r="CT467" s="101" t="str">
        <f aca="false">IF(ISBLANK($C467),"",IF($BZ467&lt;&gt;Constants!$B$8,"",IF($BM467="-&gt;",2,1)))</f>
        <v/>
      </c>
      <c r="CU467" s="103" t="str">
        <f aca="false">IF(ISBLANK($C467),"",IF($BZ467&lt;&gt;Constants!$B$8,"",IF($BM467="-&gt;",$BO467,$BC467)))</f>
        <v/>
      </c>
      <c r="CV467" s="103" t="str">
        <f aca="false">IF(ISBLANK($C467),"",IF($BZ467&lt;&gt;Constants!$B$8,"",IF($BM467="-&gt;",$BP467,$BD467)))</f>
        <v/>
      </c>
      <c r="CW467" s="103" t="str">
        <f aca="false">IF(ISBLANK($C467),"",IF($BZ467&lt;&gt;Constants!$B$8,"",IF($BM467="-&gt;",$BQ467+$BR467,$BE467+$BF467)+$CD467))</f>
        <v/>
      </c>
      <c r="CX467" s="103" t="str">
        <f aca="false">IF(ISBLANK($C467),"",IF($BZ467&lt;&gt;Constants!$B$8,"",IF($BM467="-&gt;",$BS467,$BG467)+$CC467))</f>
        <v/>
      </c>
      <c r="CY467" s="104" t="str">
        <f aca="false">IF(ISBLANK($C467),"",IF($BZ467&lt;&gt;Constants!$B$8,$BZ467,$CE467))</f>
        <v/>
      </c>
      <c r="CZ467" s="105" t="str">
        <f aca="false">IF(ISBLANK($C467),"",$CA467)</f>
        <v/>
      </c>
      <c r="DA467" s="106" t="str">
        <f aca="false">IF(ISBLANK($C467),"",$CP467)</f>
        <v/>
      </c>
      <c r="DB467" s="106" t="str">
        <f aca="false">IF(ISBLANK($C467),"",$CO467)</f>
        <v/>
      </c>
      <c r="DC467" s="107" t="str">
        <f aca="false">IF(ISBLANK($C467),"",IFERROR(_xlfn.SWITCH($DB467,Constants!$B$11,COUNTA($C$9:$C$508)+2,Constants!$B$10,COUNTA($C$9:$C$508)+1,Constants!$B$9,COUNTA($C$9:$C$508)),$DB467))</f>
        <v/>
      </c>
      <c r="DD467" s="9"/>
      <c r="DE467" s="108" t="n">
        <f aca="false">IF(OR(ISNUMBER($DB467),$DB467=Constants!$B$11,$DB467=Constants!$B$9,$DB467=Constants!$B$10),1,0)</f>
        <v>0</v>
      </c>
      <c r="DF467" s="108" t="n">
        <v>459</v>
      </c>
      <c r="DG467" s="108" t="str">
        <f aca="false">IF(ISBLANK($C467),"",IF(ISNUMBER($DC467),$DC467+ROW($B467)/1000,""))</f>
        <v/>
      </c>
      <c r="DH467" s="108" t="str">
        <f aca="false">IF(ISNUMBER($DG467),RANK($DG467,$DG$9:$DG$508,1),"")</f>
        <v/>
      </c>
      <c r="DI467" s="108" t="str">
        <f aca="false">IF(ISBLANK($C467),"",$B467)</f>
        <v/>
      </c>
      <c r="DJ467" s="108" t="str">
        <f aca="false">IF(ISBLANK($C467),"",$C467)</f>
        <v/>
      </c>
      <c r="DK467" s="108" t="str">
        <f aca="false">IF(ISBLANK($C467),"",$D467)</f>
        <v/>
      </c>
      <c r="DL467" s="109" t="str">
        <f aca="false">$CZ467</f>
        <v/>
      </c>
      <c r="DM467" s="110" t="str">
        <f aca="false">$CY467</f>
        <v/>
      </c>
      <c r="DN467" s="108" t="str">
        <f aca="false">IF(ISBLANK($C467),"",$DB467)</f>
        <v/>
      </c>
      <c r="DO467" s="111" t="str">
        <f aca="false">IF($DF467&gt;$DE$8,"",VLOOKUP($DF467,$DH$9:$DN$508,7,FALSE()))</f>
        <v/>
      </c>
      <c r="DP467" s="112" t="str">
        <f aca="false">IF($DF467&gt;$DE$8,"",VLOOKUP($DF467,$DH$9:$DN$508,2,FALSE()))</f>
        <v/>
      </c>
      <c r="DQ467" s="112" t="str">
        <f aca="false">IF($DF467&gt;$DE$8,"",VLOOKUP($DF467,$DH$9:$DN$508,3,FALSE()))</f>
        <v/>
      </c>
      <c r="DR467" s="112" t="str">
        <f aca="false">IF($DF467&gt;$DE$8,"",VLOOKUP($DF467,$DH$9:$DN$508,4,FALSE()))</f>
        <v/>
      </c>
      <c r="DS467" s="112" t="str">
        <f aca="false">IF($DF467&gt;$DE$8,"",VLOOKUP($DF467,$DH$9:$DN$508,5,FALSE()))</f>
        <v/>
      </c>
      <c r="DT467" s="113" t="str">
        <f aca="false">IF($DF467&gt;$DE$8,"",VLOOKUP($DF467,$DH$9:$DN$508,6,FALSE()))</f>
        <v/>
      </c>
      <c r="DU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IF(ISBLANK($C468),"",IF(E468=Constants!$B$3,TRUE(),IF(E468=Constants!$B$4,FALSE(),TRUE())))</f>
        <v/>
      </c>
      <c r="AG468" s="135" t="str">
        <f aca="false">IF(ISBLANK($C468),"",IF(F468=Constants!$B$3,TRUE(),IF(F468=Constants!$B$4,FALSE(),TRUE())))</f>
        <v/>
      </c>
      <c r="AH468" s="135" t="str">
        <f aca="false">IF(ISBLANK($C468),"",IF(G468=Constants!$B$3,TRUE(),IF(G468=Constants!$B$4,FALSE(),TRUE())))</f>
        <v/>
      </c>
      <c r="AI468" s="135" t="str">
        <f aca="false">IF(ISBLANK($C468),"",IF(AND(ISNUMBER(H468),H468&gt;=0),H468,Constants!$B$29))</f>
        <v/>
      </c>
      <c r="AJ468" s="135" t="str">
        <f aca="false">IF(ISBLANK($C468),"",IF(I468=Constants!$B$3,TRUE(),IF(I468=Constants!$B$4,FALSE(),TRUE())))</f>
        <v/>
      </c>
      <c r="AK468" s="135" t="str">
        <f aca="false">IF(ISBLANK($C468),"",IF(J468=Constants!$B$3,TRUE(),IF(J468=Constants!$B$4,FALSE(),TRUE())))</f>
        <v/>
      </c>
      <c r="AL468" s="135" t="str">
        <f aca="false">IF(ISBLANK($C468),"",IF(K468=Constants!$B$5,TRUE(),IF(K468=Constants!$B$6,FALSE(),COUNTA(L468:P468)&gt;0)))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IF(ISBLANK($C468),"",IF(N468=Constants!$B$3,TRUE(),IF(N468=Constants!$B$4,FALSE(),TRUE())))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IF(ISBLANK($C468),"",IF(P468=Constants!$B$3,TRUE(),IF(P468=Constants!$B$4,FALSE(),FALSE())))</f>
        <v/>
      </c>
      <c r="AR468" s="135" t="str">
        <f aca="false">IF(ISBLANK($C468),"",IF(Q468=Constants!$B$3,TRUE(),IF(Q468=Constants!$B$4,FALSE(),TRUE())))</f>
        <v/>
      </c>
      <c r="AS468" s="135" t="str">
        <f aca="false">IF(ISBLANK($C468),"",IF(R468=Constants!$B$3,TRUE(),IF(R468=Constants!$B$4,FALSE(),TRUE())))</f>
        <v/>
      </c>
      <c r="AT468" s="135" t="str">
        <f aca="false">IF(ISBLANK($C468),"",IF(S468=Constants!$B$5,TRUE(),IF(S468=Constants!$B$6,FALSE(),COUNTA(T468:X468)&gt;0)))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IF(ISBLANK($C468),"",IF(V468=Constants!$B$3,TRUE(),IF(V468=Constants!$B$4,FALSE(),TRUE())))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IF(ISBLANK($C468),"",IF(X468=Constants!$B$3,TRUE(),IF(X468=Constants!$B$4,FALSE(),FALSE())))</f>
        <v/>
      </c>
      <c r="AZ468" s="135" t="str">
        <f aca="false">IF(ISBLANK($C468),"",MIN(Constants!$B$31,MAX(0,IF(ISNUMBER(Y468),Y468*60,0)+IF(ISNUMBER(Z468),Z468,0))))</f>
        <v/>
      </c>
      <c r="BA468" s="135" t="str">
        <f aca="false">IF(ISBLANK($C468),"",IF(AA468=Constants!$B$3,TRUE(),IF(AA468=Constants!$B$4,FALSE(),FALSE())))</f>
        <v/>
      </c>
      <c r="BB468" s="134" t="str">
        <f aca="false">IF(ISBLANK($C468),"",AND($AL468,OR($AM468="",$AN468="",AND($AO468,$AP468=""))))</f>
        <v/>
      </c>
      <c r="BC468" s="137" t="str">
        <f aca="false">IF($BZ468&lt;&gt;Constants!$B$8,"",IF($AL468,Constants!$B$21*$AN468+Constants!$B$22*IF($AO468,$AP468,Constants!$B$23),Constants!$B$24))</f>
        <v/>
      </c>
      <c r="BD468" s="138" t="str">
        <f aca="false">IF($BZ468&lt;&gt;Constants!$B$8,"",Constants!$B$25*ABS($AD$9-IF($AL468,$AM468,0)))</f>
        <v/>
      </c>
      <c r="BE468" s="138" t="str">
        <f aca="false">IF($BZ468&lt;&gt;Constants!$B$8,"",IF(AND($AL468,$AQ468,$AO468),Constants!$B$27,0))</f>
        <v/>
      </c>
      <c r="BF468" s="138" t="str">
        <f aca="false">IF($BZ468&lt;&gt;Constants!$B$8,"",IF($AL468,($AI468-Constants!$B$29)*Constants!$B$28,0))</f>
        <v/>
      </c>
      <c r="BG468" s="138" t="str">
        <f aca="false">IF($BZ468&lt;&gt;Constants!$B$8,"",IF($AK468,0,Constants!$B$15)+IF($AJ468,0,Constants!$B$16)+IF($AH468,0,Constants!$B$17))</f>
        <v/>
      </c>
      <c r="BH468" s="139" t="str">
        <f aca="false">IF($BZ468&lt;&gt;Constants!$B$8,"",Constants!$B$20+SUM($BC468:$BG468))</f>
        <v/>
      </c>
      <c r="BI468" s="138" t="str">
        <f aca="false">IF($BZ468&lt;&gt;Constants!$B$8,"",$BC468)</f>
        <v/>
      </c>
      <c r="BJ468" s="138" t="str">
        <f aca="false">IF($BZ468&lt;&gt;Constants!$B$8,"",$BD468)</f>
        <v/>
      </c>
      <c r="BK468" s="138" t="str">
        <f aca="false">IF($BZ468&lt;&gt;Constants!$B$8,"",IF($AL468,$AN468,""))</f>
        <v/>
      </c>
      <c r="BL468" s="140" t="str">
        <f aca="false">IF($BZ468&lt;&gt;Constants!$B$8,"",$AI468)</f>
        <v/>
      </c>
      <c r="BM468" s="135" t="str">
        <f aca="false">IF($BZ468&lt;&gt;Constants!$B$8,"",IF(OR($BT468&lt;$BH468,AND($BT468=$BH468,OR($BU468&lt;$BI468,AND($BU468=$BI468,OR($BV468&lt;$BJ468,AND($BV468=$BJ468,OR(AND(ISNUMBER($BW468),OR(NOT(ISNUMBER($BK468)),$BW468&lt;$BK468)),AND(OR(AND($BW468="",$BK468=""),AND(ISNUMBER($BW468),ISNUMBER($BK468),$BW468=$BK468)),$BX468&lt;$BL468)))))))),"-&gt;","&lt;-"))</f>
        <v/>
      </c>
      <c r="BN468" s="134" t="str">
        <f aca="false">IF(ISBLANK($C468),"",AND($AT468,OR($AU468="",$AV468="",AND($AW468,$AX468=""))))</f>
        <v/>
      </c>
      <c r="BO468" s="137" t="str">
        <f aca="false">IF($BZ468&lt;&gt;Constants!$B$8,"",IF($AT468,Constants!$B$21*$AV468+Constants!$B$22*IF($AW468,$AX468,Constants!$B$23),Constants!$B$24))</f>
        <v/>
      </c>
      <c r="BP468" s="138" t="str">
        <f aca="false">IF($BZ468&lt;&gt;Constants!$B$8,"",Constants!$B$25*ABS($AD$9-IF($AT468,$AU468,0)))</f>
        <v/>
      </c>
      <c r="BQ468" s="138" t="str">
        <f aca="false">IF($BZ468&lt;&gt;Constants!$B$8,"",IF(AND($AT468,$AY468,$AW468),Constants!$B$27,0))</f>
        <v/>
      </c>
      <c r="BR468" s="138" t="str">
        <f aca="false">IF($BZ468&lt;&gt;Constants!$B$8,"",IF($AT468,($AI468-Constants!$B$29)*Constants!$B$28,0))</f>
        <v/>
      </c>
      <c r="BS468" s="138" t="str">
        <f aca="false">IF($BZ468&lt;&gt;Constants!$B$8,"",IF($AS468,0,Constants!$B$15)+IF($AR468,0,Constants!$B$16)+IF($AH468,0,Constants!$B$17))</f>
        <v/>
      </c>
      <c r="BT468" s="139" t="str">
        <f aca="false">IF($BZ468&lt;&gt;Constants!$B$8,"",Constants!$B$20+SUM($BO468:$BS468))</f>
        <v/>
      </c>
      <c r="BU468" s="138" t="str">
        <f aca="false">IF($BZ468&lt;&gt;Constants!$B$8,"",$BO468)</f>
        <v/>
      </c>
      <c r="BV468" s="138" t="str">
        <f aca="false">IF($BZ468&lt;&gt;Constants!$B$8,"",$BP468)</f>
        <v/>
      </c>
      <c r="BW468" s="138" t="str">
        <f aca="false">IF($BZ468&lt;&gt;Constants!$B$8,"",IF($AT468,$AV468,""))</f>
        <v/>
      </c>
      <c r="BX468" s="140" t="str">
        <f aca="false">IF($BZ468&lt;&gt;Constants!$B$8,"",$AI468)</f>
        <v/>
      </c>
      <c r="BY468" s="135" t="str">
        <f aca="false">IF(ISBLANK($C468),"",IF(ISBLANK($D$7),$BY$5,IF(NOT(ISNUMBER($D$7)),$BY$6,"")))</f>
        <v/>
      </c>
      <c r="BZ468" s="135" t="str">
        <f aca="false">IF(ISBLANK($C468),"",IF($BA468,Constants!$B$11,IF(COUNTA($E468:$AA468)=0,Constants!$B$10,IF(NOT($AG468),Constants!$B$9,IF(OR($BY468&lt;&gt;"",$BB468,$BN468),Constants!$B$12,Constants!$B$8)))))</f>
        <v/>
      </c>
      <c r="CA468" s="135" t="str">
        <f aca="false">IF(ISBLANK($C468),"",IF($BZ468&lt;&gt;Constants!$B$8,$BZ468,Constants!$B$13))</f>
        <v/>
      </c>
      <c r="CB468" s="138" t="str">
        <f aca="false">IF($BZ468&lt;&gt;Constants!$B$8,"",IF($BM468="-&gt;",$BT468,$BH468))</f>
        <v/>
      </c>
      <c r="CC468" s="138" t="str">
        <f aca="false">IF($BZ468&lt;&gt;Constants!$B$8,"",IF($AF468,0,Constants!$B$18))</f>
        <v/>
      </c>
      <c r="CD468" s="138" t="str">
        <f aca="false">IF($BZ468&lt;&gt;Constants!$B$8,"",((Constants!$B$31-$AZ468)-Constants!$B$31)/Constants!$B$32)</f>
        <v/>
      </c>
      <c r="CE468" s="138" t="str">
        <f aca="false">IF(ISBLANK($C468),"",IF($BZ468&lt;&gt;Constants!$B$8,$BZ468,SUM($CB468:$CD468)))</f>
        <v/>
      </c>
      <c r="CF468" s="135" t="str">
        <f aca="false">IF(ISBLANK($C468),"",IF($BZ468&lt;&gt;Constants!$B$8,$BZ468,RANK($CE468,$CE$9:$CE$508,1)))</f>
        <v/>
      </c>
      <c r="CG468" s="138" t="str">
        <f aca="false">IF($BZ468&lt;&gt;Constants!$B$8,"",IF($BM468="-&gt;",$BU468,$BI468))</f>
        <v/>
      </c>
      <c r="CH468" s="135" t="str">
        <f aca="false">IF(ISBLANK($C468),"",IF($BZ468&lt;&gt;Constants!$B$8,$BZ468,IF(ISNUMBER($CG468),RANK($CG468,$CG$9:$CG$508,1),COUNT($CG$9:$CG$508)+1)))</f>
        <v/>
      </c>
      <c r="CI468" s="138" t="str">
        <f aca="false">IF($BZ468&lt;&gt;Constants!$B$8,"",IF($BM468="-&gt;",$BV468,$BJ468))</f>
        <v/>
      </c>
      <c r="CJ468" s="135" t="str">
        <f aca="false">IF(ISBLANK($C468),"",IF($BZ468&lt;&gt;Constants!$B$8,$BZ468,IF(ISNUMBER($CI468),RANK($CI468,$CI$9:$CI$508,1),COUNT($CI$9:$CI$508)+1)))</f>
        <v/>
      </c>
      <c r="CK468" s="138" t="str">
        <f aca="false">IF($BZ468&lt;&gt;Constants!$B$8,"",IF($BM468="-&gt;",$BW468,$BK468))</f>
        <v/>
      </c>
      <c r="CL468" s="135" t="str">
        <f aca="false">IF(ISBLANK($C468),"",IF($BZ468&lt;&gt;Constants!$B$8,$BZ468,IF(ISNUMBER($CK468),RANK($CK468,$CK$9:$CK$508,1),COUNT($CK$9:$CK$508)+1)))</f>
        <v/>
      </c>
      <c r="CM468" s="138" t="str">
        <f aca="false">IF($BZ468&lt;&gt;Constants!$B$8,"",IF(AND(NOT($AL468),NOT($AT468),$AJ468,$AK468,$AR468,$AS468),"",IF($BM468="-&gt;",$BX468,$BL468)))</f>
        <v/>
      </c>
      <c r="CN468" s="135" t="str">
        <f aca="false">IF(ISBLANK($C468),"",IF($BZ468&lt;&gt;Constants!$B$8,$BZ468,IF(ISNUMBER($CM468),RANK($CM468,$CM$9:$CM$508,1),COUNT($CM$9:$CM$508)+1)))</f>
        <v/>
      </c>
      <c r="CO468" s="135" t="str">
        <f aca="false">IF(ISBLANK($C468),"",IF($BZ468&lt;&gt;Constants!$B$8,$BZ468,COUNTIFS($CF$9:$CF$508,"&lt;"&amp;$CF468)+COUNTIFS($CF$9:$CF$508,$CF468,$CH$9:$CH$508,"&lt;"&amp;$CH468)+COUNTIFS($CF$9:$CF$508,$CF468,$CH$9:$CH$508,$CH468,$CJ$9:$CJ$508,"&lt;"&amp;$CJ468)+COUNTIFS($CF$9:$CF$508,$CF468,$CH$9:$CH$508,$CH468,$CJ$9:$CJ$508,$CJ468,$CL$9:$CL$508,"&lt;"&amp;$CL468)+COUNTIFS($CF$9:$CF$508,$CF468,$CH$9:$CH$508,$CH468,$CJ$9:$CJ$508,$CJ468,$CL$9:$CL$508,$CL468,$CN$9:$CN$508,"&lt;"&amp;$CN468)+1))</f>
        <v/>
      </c>
      <c r="CP468" s="135" t="str">
        <f aca="false">IF(ISBLANK($C468),"",IF($BZ468&lt;&gt;Constants!$B$8,$BZ468,$CF468-$CO468))</f>
        <v/>
      </c>
      <c r="CQ468" s="141"/>
      <c r="CR468" s="142"/>
      <c r="CS468" s="143" t="str">
        <f aca="false">IF(ISBLANK($C468),"",IF($BZ468=Constants!$B$12,$BY468,""))</f>
        <v/>
      </c>
      <c r="CT468" s="142" t="str">
        <f aca="false">IF(ISBLANK($C468),"",IF($BZ468&lt;&gt;Constants!$B$8,"",IF($BM468="-&gt;",2,1)))</f>
        <v/>
      </c>
      <c r="CU468" s="144" t="str">
        <f aca="false">IF(ISBLANK($C468),"",IF($BZ468&lt;&gt;Constants!$B$8,"",IF($BM468="-&gt;",$BO468,$BC468)))</f>
        <v/>
      </c>
      <c r="CV468" s="144" t="str">
        <f aca="false">IF(ISBLANK($C468),"",IF($BZ468&lt;&gt;Constants!$B$8,"",IF($BM468="-&gt;",$BP468,$BD468)))</f>
        <v/>
      </c>
      <c r="CW468" s="144" t="str">
        <f aca="false">IF(ISBLANK($C468),"",IF($BZ468&lt;&gt;Constants!$B$8,"",IF($BM468="-&gt;",$BQ468+$BR468,$BE468+$BF468)+$CD468))</f>
        <v/>
      </c>
      <c r="CX468" s="144" t="str">
        <f aca="false">IF(ISBLANK($C468),"",IF($BZ468&lt;&gt;Constants!$B$8,"",IF($BM468="-&gt;",$BS468,$BG468)+$CC468))</f>
        <v/>
      </c>
      <c r="CY468" s="145" t="str">
        <f aca="false">IF(ISBLANK($C468),"",IF($BZ468&lt;&gt;Constants!$B$8,$BZ468,$CE468))</f>
        <v/>
      </c>
      <c r="CZ468" s="146" t="str">
        <f aca="false">IF(ISBLANK($C468),"",$CA468)</f>
        <v/>
      </c>
      <c r="DA468" s="147" t="str">
        <f aca="false">IF(ISBLANK($C468),"",$CP468)</f>
        <v/>
      </c>
      <c r="DB468" s="147" t="str">
        <f aca="false">IF(ISBLANK($C468),"",$CO468)</f>
        <v/>
      </c>
      <c r="DC468" s="148" t="str">
        <f aca="false">IF(ISBLANK($C468),"",IFERROR(_xlfn.SWITCH($DB468,Constants!$B$11,COUNTA($C$9:$C$508)+2,Constants!$B$10,COUNTA($C$9:$C$508)+1,Constants!$B$9,COUNTA($C$9:$C$508)),$DB468))</f>
        <v/>
      </c>
      <c r="DD468" s="9"/>
      <c r="DE468" s="149" t="n">
        <f aca="false">IF(OR(ISNUMBER($DB468),$DB468=Constants!$B$11,$DB468=Constants!$B$9,$DB468=Constants!$B$10),1,0)</f>
        <v>0</v>
      </c>
      <c r="DF468" s="149" t="n">
        <v>460</v>
      </c>
      <c r="DG468" s="149" t="str">
        <f aca="false">IF(ISBLANK($C468),"",IF(ISNUMBER($DC468),$DC468+ROW($B468)/1000,""))</f>
        <v/>
      </c>
      <c r="DH468" s="149" t="str">
        <f aca="false">IF(ISNUMBER($DG468),RANK($DG468,$DG$9:$DG$508,1),"")</f>
        <v/>
      </c>
      <c r="DI468" s="149" t="str">
        <f aca="false">IF(ISBLANK($C468),"",$B468)</f>
        <v/>
      </c>
      <c r="DJ468" s="149" t="str">
        <f aca="false">IF(ISBLANK($C468),"",$C468)</f>
        <v/>
      </c>
      <c r="DK468" s="149" t="str">
        <f aca="false">IF(ISBLANK($C468),"",$D468)</f>
        <v/>
      </c>
      <c r="DL468" s="150" t="str">
        <f aca="false">$CZ468</f>
        <v/>
      </c>
      <c r="DM468" s="151" t="str">
        <f aca="false">$CY468</f>
        <v/>
      </c>
      <c r="DN468" s="149" t="str">
        <f aca="false">IF(ISBLANK($C468),"",$DB468)</f>
        <v/>
      </c>
      <c r="DO468" s="152" t="str">
        <f aca="false">IF($DF468&gt;$DE$8,"",VLOOKUP($DF468,$DH$9:$DN$508,7,FALSE()))</f>
        <v/>
      </c>
      <c r="DP468" s="153" t="str">
        <f aca="false">IF($DF468&gt;$DE$8,"",VLOOKUP($DF468,$DH$9:$DN$508,2,FALSE()))</f>
        <v/>
      </c>
      <c r="DQ468" s="153" t="str">
        <f aca="false">IF($DF468&gt;$DE$8,"",VLOOKUP($DF468,$DH$9:$DN$508,3,FALSE()))</f>
        <v/>
      </c>
      <c r="DR468" s="153" t="str">
        <f aca="false">IF($DF468&gt;$DE$8,"",VLOOKUP($DF468,$DH$9:$DN$508,4,FALSE()))</f>
        <v/>
      </c>
      <c r="DS468" s="153" t="str">
        <f aca="false">IF($DF468&gt;$DE$8,"",VLOOKUP($DF468,$DH$9:$DN$508,5,FALSE()))</f>
        <v/>
      </c>
      <c r="DT468" s="154" t="str">
        <f aca="false">IF($DF468&gt;$DE$8,"",VLOOKUP($DF468,$DH$9:$DN$508,6,FALSE()))</f>
        <v/>
      </c>
      <c r="DU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IF(ISBLANK($C469),"",IF(E469=Constants!$B$3,TRUE(),IF(E469=Constants!$B$4,FALSE(),TRUE())))</f>
        <v/>
      </c>
      <c r="AG469" s="135" t="str">
        <f aca="false">IF(ISBLANK($C469),"",IF(F469=Constants!$B$3,TRUE(),IF(F469=Constants!$B$4,FALSE(),TRUE())))</f>
        <v/>
      </c>
      <c r="AH469" s="135" t="str">
        <f aca="false">IF(ISBLANK($C469),"",IF(G469=Constants!$B$3,TRUE(),IF(G469=Constants!$B$4,FALSE(),TRUE())))</f>
        <v/>
      </c>
      <c r="AI469" s="135" t="str">
        <f aca="false">IF(ISBLANK($C469),"",IF(AND(ISNUMBER(H469),H469&gt;=0),H469,Constants!$B$29))</f>
        <v/>
      </c>
      <c r="AJ469" s="135" t="str">
        <f aca="false">IF(ISBLANK($C469),"",IF(I469=Constants!$B$3,TRUE(),IF(I469=Constants!$B$4,FALSE(),TRUE())))</f>
        <v/>
      </c>
      <c r="AK469" s="135" t="str">
        <f aca="false">IF(ISBLANK($C469),"",IF(J469=Constants!$B$3,TRUE(),IF(J469=Constants!$B$4,FALSE(),TRUE())))</f>
        <v/>
      </c>
      <c r="AL469" s="135" t="str">
        <f aca="false">IF(ISBLANK($C469),"",IF(K469=Constants!$B$5,TRUE(),IF(K469=Constants!$B$6,FALSE(),COUNTA(L469:P469)&gt;0)))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IF(ISBLANK($C469),"",IF(N469=Constants!$B$3,TRUE(),IF(N469=Constants!$B$4,FALSE(),TRUE())))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IF(ISBLANK($C469),"",IF(P469=Constants!$B$3,TRUE(),IF(P469=Constants!$B$4,FALSE(),FALSE())))</f>
        <v/>
      </c>
      <c r="AR469" s="135" t="str">
        <f aca="false">IF(ISBLANK($C469),"",IF(Q469=Constants!$B$3,TRUE(),IF(Q469=Constants!$B$4,FALSE(),TRUE())))</f>
        <v/>
      </c>
      <c r="AS469" s="135" t="str">
        <f aca="false">IF(ISBLANK($C469),"",IF(R469=Constants!$B$3,TRUE(),IF(R469=Constants!$B$4,FALSE(),TRUE())))</f>
        <v/>
      </c>
      <c r="AT469" s="135" t="str">
        <f aca="false">IF(ISBLANK($C469),"",IF(S469=Constants!$B$5,TRUE(),IF(S469=Constants!$B$6,FALSE(),COUNTA(T469:X469)&gt;0)))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IF(ISBLANK($C469),"",IF(V469=Constants!$B$3,TRUE(),IF(V469=Constants!$B$4,FALSE(),TRUE())))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IF(ISBLANK($C469),"",IF(X469=Constants!$B$3,TRUE(),IF(X469=Constants!$B$4,FALSE(),FALSE())))</f>
        <v/>
      </c>
      <c r="AZ469" s="135" t="str">
        <f aca="false">IF(ISBLANK($C469),"",MIN(Constants!$B$31,MAX(0,IF(ISNUMBER(Y469),Y469*60,0)+IF(ISNUMBER(Z469),Z469,0))))</f>
        <v/>
      </c>
      <c r="BA469" s="135" t="str">
        <f aca="false">IF(ISBLANK($C469),"",IF(AA469=Constants!$B$3,TRUE(),IF(AA469=Constants!$B$4,FALSE(),FALSE())))</f>
        <v/>
      </c>
      <c r="BB469" s="134" t="str">
        <f aca="false">IF(ISBLANK($C469),"",AND($AL469,OR($AM469="",$AN469="",AND($AO469,$AP469=""))))</f>
        <v/>
      </c>
      <c r="BC469" s="137" t="str">
        <f aca="false">IF($BZ469&lt;&gt;Constants!$B$8,"",IF($AL469,Constants!$B$21*$AN469+Constants!$B$22*IF($AO469,$AP469,Constants!$B$23),Constants!$B$24))</f>
        <v/>
      </c>
      <c r="BD469" s="138" t="str">
        <f aca="false">IF($BZ469&lt;&gt;Constants!$B$8,"",Constants!$B$25*ABS($AD$9-IF($AL469,$AM469,0)))</f>
        <v/>
      </c>
      <c r="BE469" s="138" t="str">
        <f aca="false">IF($BZ469&lt;&gt;Constants!$B$8,"",IF(AND($AL469,$AQ469,$AO469),Constants!$B$27,0))</f>
        <v/>
      </c>
      <c r="BF469" s="138" t="str">
        <f aca="false">IF($BZ469&lt;&gt;Constants!$B$8,"",IF($AL469,($AI469-Constants!$B$29)*Constants!$B$28,0))</f>
        <v/>
      </c>
      <c r="BG469" s="138" t="str">
        <f aca="false">IF($BZ469&lt;&gt;Constants!$B$8,"",IF($AK469,0,Constants!$B$15)+IF($AJ469,0,Constants!$B$16)+IF($AH469,0,Constants!$B$17))</f>
        <v/>
      </c>
      <c r="BH469" s="139" t="str">
        <f aca="false">IF($BZ469&lt;&gt;Constants!$B$8,"",Constants!$B$20+SUM($BC469:$BG469))</f>
        <v/>
      </c>
      <c r="BI469" s="138" t="str">
        <f aca="false">IF($BZ469&lt;&gt;Constants!$B$8,"",$BC469)</f>
        <v/>
      </c>
      <c r="BJ469" s="138" t="str">
        <f aca="false">IF($BZ469&lt;&gt;Constants!$B$8,"",$BD469)</f>
        <v/>
      </c>
      <c r="BK469" s="138" t="str">
        <f aca="false">IF($BZ469&lt;&gt;Constants!$B$8,"",IF($AL469,$AN469,""))</f>
        <v/>
      </c>
      <c r="BL469" s="140" t="str">
        <f aca="false">IF($BZ469&lt;&gt;Constants!$B$8,"",$AI469)</f>
        <v/>
      </c>
      <c r="BM469" s="135" t="str">
        <f aca="false">IF($BZ469&lt;&gt;Constants!$B$8,"",IF(OR($BT469&lt;$BH469,AND($BT469=$BH469,OR($BU469&lt;$BI469,AND($BU469=$BI469,OR($BV469&lt;$BJ469,AND($BV469=$BJ469,OR(AND(ISNUMBER($BW469),OR(NOT(ISNUMBER($BK469)),$BW469&lt;$BK469)),AND(OR(AND($BW469="",$BK469=""),AND(ISNUMBER($BW469),ISNUMBER($BK469),$BW469=$BK469)),$BX469&lt;$BL469)))))))),"-&gt;","&lt;-"))</f>
        <v/>
      </c>
      <c r="BN469" s="134" t="str">
        <f aca="false">IF(ISBLANK($C469),"",AND($AT469,OR($AU469="",$AV469="",AND($AW469,$AX469=""))))</f>
        <v/>
      </c>
      <c r="BO469" s="137" t="str">
        <f aca="false">IF($BZ469&lt;&gt;Constants!$B$8,"",IF($AT469,Constants!$B$21*$AV469+Constants!$B$22*IF($AW469,$AX469,Constants!$B$23),Constants!$B$24))</f>
        <v/>
      </c>
      <c r="BP469" s="138" t="str">
        <f aca="false">IF($BZ469&lt;&gt;Constants!$B$8,"",Constants!$B$25*ABS($AD$9-IF($AT469,$AU469,0)))</f>
        <v/>
      </c>
      <c r="BQ469" s="138" t="str">
        <f aca="false">IF($BZ469&lt;&gt;Constants!$B$8,"",IF(AND($AT469,$AY469,$AW469),Constants!$B$27,0))</f>
        <v/>
      </c>
      <c r="BR469" s="138" t="str">
        <f aca="false">IF($BZ469&lt;&gt;Constants!$B$8,"",IF($AT469,($AI469-Constants!$B$29)*Constants!$B$28,0))</f>
        <v/>
      </c>
      <c r="BS469" s="138" t="str">
        <f aca="false">IF($BZ469&lt;&gt;Constants!$B$8,"",IF($AS469,0,Constants!$B$15)+IF($AR469,0,Constants!$B$16)+IF($AH469,0,Constants!$B$17))</f>
        <v/>
      </c>
      <c r="BT469" s="139" t="str">
        <f aca="false">IF($BZ469&lt;&gt;Constants!$B$8,"",Constants!$B$20+SUM($BO469:$BS469))</f>
        <v/>
      </c>
      <c r="BU469" s="138" t="str">
        <f aca="false">IF($BZ469&lt;&gt;Constants!$B$8,"",$BO469)</f>
        <v/>
      </c>
      <c r="BV469" s="138" t="str">
        <f aca="false">IF($BZ469&lt;&gt;Constants!$B$8,"",$BP469)</f>
        <v/>
      </c>
      <c r="BW469" s="138" t="str">
        <f aca="false">IF($BZ469&lt;&gt;Constants!$B$8,"",IF($AT469,$AV469,""))</f>
        <v/>
      </c>
      <c r="BX469" s="140" t="str">
        <f aca="false">IF($BZ469&lt;&gt;Constants!$B$8,"",$AI469)</f>
        <v/>
      </c>
      <c r="BY469" s="135" t="str">
        <f aca="false">IF(ISBLANK($C469),"",IF(ISBLANK($D$7),$BY$5,IF(NOT(ISNUMBER($D$7)),$BY$6,"")))</f>
        <v/>
      </c>
      <c r="BZ469" s="135" t="str">
        <f aca="false">IF(ISBLANK($C469),"",IF($BA469,Constants!$B$11,IF(COUNTA($E469:$AA469)=0,Constants!$B$10,IF(NOT($AG469),Constants!$B$9,IF(OR($BY469&lt;&gt;"",$BB469,$BN469),Constants!$B$12,Constants!$B$8)))))</f>
        <v/>
      </c>
      <c r="CA469" s="135" t="str">
        <f aca="false">IF(ISBLANK($C469),"",IF($BZ469&lt;&gt;Constants!$B$8,$BZ469,Constants!$B$13))</f>
        <v/>
      </c>
      <c r="CB469" s="138" t="str">
        <f aca="false">IF($BZ469&lt;&gt;Constants!$B$8,"",IF($BM469="-&gt;",$BT469,$BH469))</f>
        <v/>
      </c>
      <c r="CC469" s="138" t="str">
        <f aca="false">IF($BZ469&lt;&gt;Constants!$B$8,"",IF($AF469,0,Constants!$B$18))</f>
        <v/>
      </c>
      <c r="CD469" s="138" t="str">
        <f aca="false">IF($BZ469&lt;&gt;Constants!$B$8,"",((Constants!$B$31-$AZ469)-Constants!$B$31)/Constants!$B$32)</f>
        <v/>
      </c>
      <c r="CE469" s="138" t="str">
        <f aca="false">IF(ISBLANK($C469),"",IF($BZ469&lt;&gt;Constants!$B$8,$BZ469,SUM($CB469:$CD469)))</f>
        <v/>
      </c>
      <c r="CF469" s="135" t="str">
        <f aca="false">IF(ISBLANK($C469),"",IF($BZ469&lt;&gt;Constants!$B$8,$BZ469,RANK($CE469,$CE$9:$CE$508,1)))</f>
        <v/>
      </c>
      <c r="CG469" s="138" t="str">
        <f aca="false">IF($BZ469&lt;&gt;Constants!$B$8,"",IF($BM469="-&gt;",$BU469,$BI469))</f>
        <v/>
      </c>
      <c r="CH469" s="135" t="str">
        <f aca="false">IF(ISBLANK($C469),"",IF($BZ469&lt;&gt;Constants!$B$8,$BZ469,IF(ISNUMBER($CG469),RANK($CG469,$CG$9:$CG$508,1),COUNT($CG$9:$CG$508)+1)))</f>
        <v/>
      </c>
      <c r="CI469" s="138" t="str">
        <f aca="false">IF($BZ469&lt;&gt;Constants!$B$8,"",IF($BM469="-&gt;",$BV469,$BJ469))</f>
        <v/>
      </c>
      <c r="CJ469" s="135" t="str">
        <f aca="false">IF(ISBLANK($C469),"",IF($BZ469&lt;&gt;Constants!$B$8,$BZ469,IF(ISNUMBER($CI469),RANK($CI469,$CI$9:$CI$508,1),COUNT($CI$9:$CI$508)+1)))</f>
        <v/>
      </c>
      <c r="CK469" s="138" t="str">
        <f aca="false">IF($BZ469&lt;&gt;Constants!$B$8,"",IF($BM469="-&gt;",$BW469,$BK469))</f>
        <v/>
      </c>
      <c r="CL469" s="135" t="str">
        <f aca="false">IF(ISBLANK($C469),"",IF($BZ469&lt;&gt;Constants!$B$8,$BZ469,IF(ISNUMBER($CK469),RANK($CK469,$CK$9:$CK$508,1),COUNT($CK$9:$CK$508)+1)))</f>
        <v/>
      </c>
      <c r="CM469" s="138" t="str">
        <f aca="false">IF($BZ469&lt;&gt;Constants!$B$8,"",IF(AND(NOT($AL469),NOT($AT469),$AJ469,$AK469,$AR469,$AS469),"",IF($BM469="-&gt;",$BX469,$BL469)))</f>
        <v/>
      </c>
      <c r="CN469" s="135" t="str">
        <f aca="false">IF(ISBLANK($C469),"",IF($BZ469&lt;&gt;Constants!$B$8,$BZ469,IF(ISNUMBER($CM469),RANK($CM469,$CM$9:$CM$508,1),COUNT($CM$9:$CM$508)+1)))</f>
        <v/>
      </c>
      <c r="CO469" s="135" t="str">
        <f aca="false">IF(ISBLANK($C469),"",IF($BZ469&lt;&gt;Constants!$B$8,$BZ469,COUNTIFS($CF$9:$CF$508,"&lt;"&amp;$CF469)+COUNTIFS($CF$9:$CF$508,$CF469,$CH$9:$CH$508,"&lt;"&amp;$CH469)+COUNTIFS($CF$9:$CF$508,$CF469,$CH$9:$CH$508,$CH469,$CJ$9:$CJ$508,"&lt;"&amp;$CJ469)+COUNTIFS($CF$9:$CF$508,$CF469,$CH$9:$CH$508,$CH469,$CJ$9:$CJ$508,$CJ469,$CL$9:$CL$508,"&lt;"&amp;$CL469)+COUNTIFS($CF$9:$CF$508,$CF469,$CH$9:$CH$508,$CH469,$CJ$9:$CJ$508,$CJ469,$CL$9:$CL$508,$CL469,$CN$9:$CN$508,"&lt;"&amp;$CN469)+1))</f>
        <v/>
      </c>
      <c r="CP469" s="135" t="str">
        <f aca="false">IF(ISBLANK($C469),"",IF($BZ469&lt;&gt;Constants!$B$8,$BZ469,$CF469-$CO469))</f>
        <v/>
      </c>
      <c r="CQ469" s="141"/>
      <c r="CR469" s="142"/>
      <c r="CS469" s="143" t="str">
        <f aca="false">IF(ISBLANK($C469),"",IF($BZ469=Constants!$B$12,$BY469,""))</f>
        <v/>
      </c>
      <c r="CT469" s="142" t="str">
        <f aca="false">IF(ISBLANK($C469),"",IF($BZ469&lt;&gt;Constants!$B$8,"",IF($BM469="-&gt;",2,1)))</f>
        <v/>
      </c>
      <c r="CU469" s="144" t="str">
        <f aca="false">IF(ISBLANK($C469),"",IF($BZ469&lt;&gt;Constants!$B$8,"",IF($BM469="-&gt;",$BO469,$BC469)))</f>
        <v/>
      </c>
      <c r="CV469" s="144" t="str">
        <f aca="false">IF(ISBLANK($C469),"",IF($BZ469&lt;&gt;Constants!$B$8,"",IF($BM469="-&gt;",$BP469,$BD469)))</f>
        <v/>
      </c>
      <c r="CW469" s="144" t="str">
        <f aca="false">IF(ISBLANK($C469),"",IF($BZ469&lt;&gt;Constants!$B$8,"",IF($BM469="-&gt;",$BQ469+$BR469,$BE469+$BF469)+$CD469))</f>
        <v/>
      </c>
      <c r="CX469" s="144" t="str">
        <f aca="false">IF(ISBLANK($C469),"",IF($BZ469&lt;&gt;Constants!$B$8,"",IF($BM469="-&gt;",$BS469,$BG469)+$CC469))</f>
        <v/>
      </c>
      <c r="CY469" s="145" t="str">
        <f aca="false">IF(ISBLANK($C469),"",IF($BZ469&lt;&gt;Constants!$B$8,$BZ469,$CE469))</f>
        <v/>
      </c>
      <c r="CZ469" s="146" t="str">
        <f aca="false">IF(ISBLANK($C469),"",$CA469)</f>
        <v/>
      </c>
      <c r="DA469" s="147" t="str">
        <f aca="false">IF(ISBLANK($C469),"",$CP469)</f>
        <v/>
      </c>
      <c r="DB469" s="147" t="str">
        <f aca="false">IF(ISBLANK($C469),"",$CO469)</f>
        <v/>
      </c>
      <c r="DC469" s="148" t="str">
        <f aca="false">IF(ISBLANK($C469),"",IFERROR(_xlfn.SWITCH($DB469,Constants!$B$11,COUNTA($C$9:$C$508)+2,Constants!$B$10,COUNTA($C$9:$C$508)+1,Constants!$B$9,COUNTA($C$9:$C$508)),$DB469))</f>
        <v/>
      </c>
      <c r="DD469" s="9"/>
      <c r="DE469" s="149" t="n">
        <f aca="false">IF(OR(ISNUMBER($DB469),$DB469=Constants!$B$11,$DB469=Constants!$B$9,$DB469=Constants!$B$10),1,0)</f>
        <v>0</v>
      </c>
      <c r="DF469" s="149" t="n">
        <v>461</v>
      </c>
      <c r="DG469" s="149" t="str">
        <f aca="false">IF(ISBLANK($C469),"",IF(ISNUMBER($DC469),$DC469+ROW($B469)/1000,""))</f>
        <v/>
      </c>
      <c r="DH469" s="149" t="str">
        <f aca="false">IF(ISNUMBER($DG469),RANK($DG469,$DG$9:$DG$508,1),"")</f>
        <v/>
      </c>
      <c r="DI469" s="149" t="str">
        <f aca="false">IF(ISBLANK($C469),"",$B469)</f>
        <v/>
      </c>
      <c r="DJ469" s="149" t="str">
        <f aca="false">IF(ISBLANK($C469),"",$C469)</f>
        <v/>
      </c>
      <c r="DK469" s="149" t="str">
        <f aca="false">IF(ISBLANK($C469),"",$D469)</f>
        <v/>
      </c>
      <c r="DL469" s="150" t="str">
        <f aca="false">$CZ469</f>
        <v/>
      </c>
      <c r="DM469" s="151" t="str">
        <f aca="false">$CY469</f>
        <v/>
      </c>
      <c r="DN469" s="149" t="str">
        <f aca="false">IF(ISBLANK($C469),"",$DB469)</f>
        <v/>
      </c>
      <c r="DO469" s="152" t="str">
        <f aca="false">IF($DF469&gt;$DE$8,"",VLOOKUP($DF469,$DH$9:$DN$508,7,FALSE()))</f>
        <v/>
      </c>
      <c r="DP469" s="153" t="str">
        <f aca="false">IF($DF469&gt;$DE$8,"",VLOOKUP($DF469,$DH$9:$DN$508,2,FALSE()))</f>
        <v/>
      </c>
      <c r="DQ469" s="153" t="str">
        <f aca="false">IF($DF469&gt;$DE$8,"",VLOOKUP($DF469,$DH$9:$DN$508,3,FALSE()))</f>
        <v/>
      </c>
      <c r="DR469" s="153" t="str">
        <f aca="false">IF($DF469&gt;$DE$8,"",VLOOKUP($DF469,$DH$9:$DN$508,4,FALSE()))</f>
        <v/>
      </c>
      <c r="DS469" s="153" t="str">
        <f aca="false">IF($DF469&gt;$DE$8,"",VLOOKUP($DF469,$DH$9:$DN$508,5,FALSE()))</f>
        <v/>
      </c>
      <c r="DT469" s="154" t="str">
        <f aca="false">IF($DF469&gt;$DE$8,"",VLOOKUP($DF469,$DH$9:$DN$508,6,FALSE()))</f>
        <v/>
      </c>
      <c r="DU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IF(ISBLANK($C470),"",IF(E470=Constants!$B$3,TRUE(),IF(E470=Constants!$B$4,FALSE(),TRUE())))</f>
        <v/>
      </c>
      <c r="AG470" s="135" t="str">
        <f aca="false">IF(ISBLANK($C470),"",IF(F470=Constants!$B$3,TRUE(),IF(F470=Constants!$B$4,FALSE(),TRUE())))</f>
        <v/>
      </c>
      <c r="AH470" s="135" t="str">
        <f aca="false">IF(ISBLANK($C470),"",IF(G470=Constants!$B$3,TRUE(),IF(G470=Constants!$B$4,FALSE(),TRUE())))</f>
        <v/>
      </c>
      <c r="AI470" s="135" t="str">
        <f aca="false">IF(ISBLANK($C470),"",IF(AND(ISNUMBER(H470),H470&gt;=0),H470,Constants!$B$29))</f>
        <v/>
      </c>
      <c r="AJ470" s="135" t="str">
        <f aca="false">IF(ISBLANK($C470),"",IF(I470=Constants!$B$3,TRUE(),IF(I470=Constants!$B$4,FALSE(),TRUE())))</f>
        <v/>
      </c>
      <c r="AK470" s="135" t="str">
        <f aca="false">IF(ISBLANK($C470),"",IF(J470=Constants!$B$3,TRUE(),IF(J470=Constants!$B$4,FALSE(),TRUE())))</f>
        <v/>
      </c>
      <c r="AL470" s="135" t="str">
        <f aca="false">IF(ISBLANK($C470),"",IF(K470=Constants!$B$5,TRUE(),IF(K470=Constants!$B$6,FALSE(),COUNTA(L470:P470)&gt;0)))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IF(ISBLANK($C470),"",IF(N470=Constants!$B$3,TRUE(),IF(N470=Constants!$B$4,FALSE(),TRUE())))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IF(ISBLANK($C470),"",IF(P470=Constants!$B$3,TRUE(),IF(P470=Constants!$B$4,FALSE(),FALSE())))</f>
        <v/>
      </c>
      <c r="AR470" s="135" t="str">
        <f aca="false">IF(ISBLANK($C470),"",IF(Q470=Constants!$B$3,TRUE(),IF(Q470=Constants!$B$4,FALSE(),TRUE())))</f>
        <v/>
      </c>
      <c r="AS470" s="135" t="str">
        <f aca="false">IF(ISBLANK($C470),"",IF(R470=Constants!$B$3,TRUE(),IF(R470=Constants!$B$4,FALSE(),TRUE())))</f>
        <v/>
      </c>
      <c r="AT470" s="135" t="str">
        <f aca="false">IF(ISBLANK($C470),"",IF(S470=Constants!$B$5,TRUE(),IF(S470=Constants!$B$6,FALSE(),COUNTA(T470:X470)&gt;0)))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IF(ISBLANK($C470),"",IF(V470=Constants!$B$3,TRUE(),IF(V470=Constants!$B$4,FALSE(),TRUE())))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IF(ISBLANK($C470),"",IF(X470=Constants!$B$3,TRUE(),IF(X470=Constants!$B$4,FALSE(),FALSE())))</f>
        <v/>
      </c>
      <c r="AZ470" s="135" t="str">
        <f aca="false">IF(ISBLANK($C470),"",MIN(Constants!$B$31,MAX(0,IF(ISNUMBER(Y470),Y470*60,0)+IF(ISNUMBER(Z470),Z470,0))))</f>
        <v/>
      </c>
      <c r="BA470" s="135" t="str">
        <f aca="false">IF(ISBLANK($C470),"",IF(AA470=Constants!$B$3,TRUE(),IF(AA470=Constants!$B$4,FALSE(),FALSE())))</f>
        <v/>
      </c>
      <c r="BB470" s="134" t="str">
        <f aca="false">IF(ISBLANK($C470),"",AND($AL470,OR($AM470="",$AN470="",AND($AO470,$AP470=""))))</f>
        <v/>
      </c>
      <c r="BC470" s="137" t="str">
        <f aca="false">IF($BZ470&lt;&gt;Constants!$B$8,"",IF($AL470,Constants!$B$21*$AN470+Constants!$B$22*IF($AO470,$AP470,Constants!$B$23),Constants!$B$24))</f>
        <v/>
      </c>
      <c r="BD470" s="138" t="str">
        <f aca="false">IF($BZ470&lt;&gt;Constants!$B$8,"",Constants!$B$25*ABS($AD$9-IF($AL470,$AM470,0)))</f>
        <v/>
      </c>
      <c r="BE470" s="138" t="str">
        <f aca="false">IF($BZ470&lt;&gt;Constants!$B$8,"",IF(AND($AL470,$AQ470,$AO470),Constants!$B$27,0))</f>
        <v/>
      </c>
      <c r="BF470" s="138" t="str">
        <f aca="false">IF($BZ470&lt;&gt;Constants!$B$8,"",IF($AL470,($AI470-Constants!$B$29)*Constants!$B$28,0))</f>
        <v/>
      </c>
      <c r="BG470" s="138" t="str">
        <f aca="false">IF($BZ470&lt;&gt;Constants!$B$8,"",IF($AK470,0,Constants!$B$15)+IF($AJ470,0,Constants!$B$16)+IF($AH470,0,Constants!$B$17))</f>
        <v/>
      </c>
      <c r="BH470" s="139" t="str">
        <f aca="false">IF($BZ470&lt;&gt;Constants!$B$8,"",Constants!$B$20+SUM($BC470:$BG470))</f>
        <v/>
      </c>
      <c r="BI470" s="138" t="str">
        <f aca="false">IF($BZ470&lt;&gt;Constants!$B$8,"",$BC470)</f>
        <v/>
      </c>
      <c r="BJ470" s="138" t="str">
        <f aca="false">IF($BZ470&lt;&gt;Constants!$B$8,"",$BD470)</f>
        <v/>
      </c>
      <c r="BK470" s="138" t="str">
        <f aca="false">IF($BZ470&lt;&gt;Constants!$B$8,"",IF($AL470,$AN470,""))</f>
        <v/>
      </c>
      <c r="BL470" s="140" t="str">
        <f aca="false">IF($BZ470&lt;&gt;Constants!$B$8,"",$AI470)</f>
        <v/>
      </c>
      <c r="BM470" s="135" t="str">
        <f aca="false">IF($BZ470&lt;&gt;Constants!$B$8,"",IF(OR($BT470&lt;$BH470,AND($BT470=$BH470,OR($BU470&lt;$BI470,AND($BU470=$BI470,OR($BV470&lt;$BJ470,AND($BV470=$BJ470,OR(AND(ISNUMBER($BW470),OR(NOT(ISNUMBER($BK470)),$BW470&lt;$BK470)),AND(OR(AND($BW470="",$BK470=""),AND(ISNUMBER($BW470),ISNUMBER($BK470),$BW470=$BK470)),$BX470&lt;$BL470)))))))),"-&gt;","&lt;-"))</f>
        <v/>
      </c>
      <c r="BN470" s="134" t="str">
        <f aca="false">IF(ISBLANK($C470),"",AND($AT470,OR($AU470="",$AV470="",AND($AW470,$AX470=""))))</f>
        <v/>
      </c>
      <c r="BO470" s="137" t="str">
        <f aca="false">IF($BZ470&lt;&gt;Constants!$B$8,"",IF($AT470,Constants!$B$21*$AV470+Constants!$B$22*IF($AW470,$AX470,Constants!$B$23),Constants!$B$24))</f>
        <v/>
      </c>
      <c r="BP470" s="138" t="str">
        <f aca="false">IF($BZ470&lt;&gt;Constants!$B$8,"",Constants!$B$25*ABS($AD$9-IF($AT470,$AU470,0)))</f>
        <v/>
      </c>
      <c r="BQ470" s="138" t="str">
        <f aca="false">IF($BZ470&lt;&gt;Constants!$B$8,"",IF(AND($AT470,$AY470,$AW470),Constants!$B$27,0))</f>
        <v/>
      </c>
      <c r="BR470" s="138" t="str">
        <f aca="false">IF($BZ470&lt;&gt;Constants!$B$8,"",IF($AT470,($AI470-Constants!$B$29)*Constants!$B$28,0))</f>
        <v/>
      </c>
      <c r="BS470" s="138" t="str">
        <f aca="false">IF($BZ470&lt;&gt;Constants!$B$8,"",IF($AS470,0,Constants!$B$15)+IF($AR470,0,Constants!$B$16)+IF($AH470,0,Constants!$B$17))</f>
        <v/>
      </c>
      <c r="BT470" s="139" t="str">
        <f aca="false">IF($BZ470&lt;&gt;Constants!$B$8,"",Constants!$B$20+SUM($BO470:$BS470))</f>
        <v/>
      </c>
      <c r="BU470" s="138" t="str">
        <f aca="false">IF($BZ470&lt;&gt;Constants!$B$8,"",$BO470)</f>
        <v/>
      </c>
      <c r="BV470" s="138" t="str">
        <f aca="false">IF($BZ470&lt;&gt;Constants!$B$8,"",$BP470)</f>
        <v/>
      </c>
      <c r="BW470" s="138" t="str">
        <f aca="false">IF($BZ470&lt;&gt;Constants!$B$8,"",IF($AT470,$AV470,""))</f>
        <v/>
      </c>
      <c r="BX470" s="140" t="str">
        <f aca="false">IF($BZ470&lt;&gt;Constants!$B$8,"",$AI470)</f>
        <v/>
      </c>
      <c r="BY470" s="135" t="str">
        <f aca="false">IF(ISBLANK($C470),"",IF(ISBLANK($D$7),$BY$5,IF(NOT(ISNUMBER($D$7)),$BY$6,"")))</f>
        <v/>
      </c>
      <c r="BZ470" s="135" t="str">
        <f aca="false">IF(ISBLANK($C470),"",IF($BA470,Constants!$B$11,IF(COUNTA($E470:$AA470)=0,Constants!$B$10,IF(NOT($AG470),Constants!$B$9,IF(OR($BY470&lt;&gt;"",$BB470,$BN470),Constants!$B$12,Constants!$B$8)))))</f>
        <v/>
      </c>
      <c r="CA470" s="135" t="str">
        <f aca="false">IF(ISBLANK($C470),"",IF($BZ470&lt;&gt;Constants!$B$8,$BZ470,Constants!$B$13))</f>
        <v/>
      </c>
      <c r="CB470" s="138" t="str">
        <f aca="false">IF($BZ470&lt;&gt;Constants!$B$8,"",IF($BM470="-&gt;",$BT470,$BH470))</f>
        <v/>
      </c>
      <c r="CC470" s="138" t="str">
        <f aca="false">IF($BZ470&lt;&gt;Constants!$B$8,"",IF($AF470,0,Constants!$B$18))</f>
        <v/>
      </c>
      <c r="CD470" s="138" t="str">
        <f aca="false">IF($BZ470&lt;&gt;Constants!$B$8,"",((Constants!$B$31-$AZ470)-Constants!$B$31)/Constants!$B$32)</f>
        <v/>
      </c>
      <c r="CE470" s="138" t="str">
        <f aca="false">IF(ISBLANK($C470),"",IF($BZ470&lt;&gt;Constants!$B$8,$BZ470,SUM($CB470:$CD470)))</f>
        <v/>
      </c>
      <c r="CF470" s="135" t="str">
        <f aca="false">IF(ISBLANK($C470),"",IF($BZ470&lt;&gt;Constants!$B$8,$BZ470,RANK($CE470,$CE$9:$CE$508,1)))</f>
        <v/>
      </c>
      <c r="CG470" s="138" t="str">
        <f aca="false">IF($BZ470&lt;&gt;Constants!$B$8,"",IF($BM470="-&gt;",$BU470,$BI470))</f>
        <v/>
      </c>
      <c r="CH470" s="135" t="str">
        <f aca="false">IF(ISBLANK($C470),"",IF($BZ470&lt;&gt;Constants!$B$8,$BZ470,IF(ISNUMBER($CG470),RANK($CG470,$CG$9:$CG$508,1),COUNT($CG$9:$CG$508)+1)))</f>
        <v/>
      </c>
      <c r="CI470" s="138" t="str">
        <f aca="false">IF($BZ470&lt;&gt;Constants!$B$8,"",IF($BM470="-&gt;",$BV470,$BJ470))</f>
        <v/>
      </c>
      <c r="CJ470" s="135" t="str">
        <f aca="false">IF(ISBLANK($C470),"",IF($BZ470&lt;&gt;Constants!$B$8,$BZ470,IF(ISNUMBER($CI470),RANK($CI470,$CI$9:$CI$508,1),COUNT($CI$9:$CI$508)+1)))</f>
        <v/>
      </c>
      <c r="CK470" s="138" t="str">
        <f aca="false">IF($BZ470&lt;&gt;Constants!$B$8,"",IF($BM470="-&gt;",$BW470,$BK470))</f>
        <v/>
      </c>
      <c r="CL470" s="135" t="str">
        <f aca="false">IF(ISBLANK($C470),"",IF($BZ470&lt;&gt;Constants!$B$8,$BZ470,IF(ISNUMBER($CK470),RANK($CK470,$CK$9:$CK$508,1),COUNT($CK$9:$CK$508)+1)))</f>
        <v/>
      </c>
      <c r="CM470" s="138" t="str">
        <f aca="false">IF($BZ470&lt;&gt;Constants!$B$8,"",IF(AND(NOT($AL470),NOT($AT470),$AJ470,$AK470,$AR470,$AS470),"",IF($BM470="-&gt;",$BX470,$BL470)))</f>
        <v/>
      </c>
      <c r="CN470" s="135" t="str">
        <f aca="false">IF(ISBLANK($C470),"",IF($BZ470&lt;&gt;Constants!$B$8,$BZ470,IF(ISNUMBER($CM470),RANK($CM470,$CM$9:$CM$508,1),COUNT($CM$9:$CM$508)+1)))</f>
        <v/>
      </c>
      <c r="CO470" s="135" t="str">
        <f aca="false">IF(ISBLANK($C470),"",IF($BZ470&lt;&gt;Constants!$B$8,$BZ470,COUNTIFS($CF$9:$CF$508,"&lt;"&amp;$CF470)+COUNTIFS($CF$9:$CF$508,$CF470,$CH$9:$CH$508,"&lt;"&amp;$CH470)+COUNTIFS($CF$9:$CF$508,$CF470,$CH$9:$CH$508,$CH470,$CJ$9:$CJ$508,"&lt;"&amp;$CJ470)+COUNTIFS($CF$9:$CF$508,$CF470,$CH$9:$CH$508,$CH470,$CJ$9:$CJ$508,$CJ470,$CL$9:$CL$508,"&lt;"&amp;$CL470)+COUNTIFS($CF$9:$CF$508,$CF470,$CH$9:$CH$508,$CH470,$CJ$9:$CJ$508,$CJ470,$CL$9:$CL$508,$CL470,$CN$9:$CN$508,"&lt;"&amp;$CN470)+1))</f>
        <v/>
      </c>
      <c r="CP470" s="135" t="str">
        <f aca="false">IF(ISBLANK($C470),"",IF($BZ470&lt;&gt;Constants!$B$8,$BZ470,$CF470-$CO470))</f>
        <v/>
      </c>
      <c r="CQ470" s="141"/>
      <c r="CR470" s="142"/>
      <c r="CS470" s="143" t="str">
        <f aca="false">IF(ISBLANK($C470),"",IF($BZ470=Constants!$B$12,$BY470,""))</f>
        <v/>
      </c>
      <c r="CT470" s="142" t="str">
        <f aca="false">IF(ISBLANK($C470),"",IF($BZ470&lt;&gt;Constants!$B$8,"",IF($BM470="-&gt;",2,1)))</f>
        <v/>
      </c>
      <c r="CU470" s="144" t="str">
        <f aca="false">IF(ISBLANK($C470),"",IF($BZ470&lt;&gt;Constants!$B$8,"",IF($BM470="-&gt;",$BO470,$BC470)))</f>
        <v/>
      </c>
      <c r="CV470" s="144" t="str">
        <f aca="false">IF(ISBLANK($C470),"",IF($BZ470&lt;&gt;Constants!$B$8,"",IF($BM470="-&gt;",$BP470,$BD470)))</f>
        <v/>
      </c>
      <c r="CW470" s="144" t="str">
        <f aca="false">IF(ISBLANK($C470),"",IF($BZ470&lt;&gt;Constants!$B$8,"",IF($BM470="-&gt;",$BQ470+$BR470,$BE470+$BF470)+$CD470))</f>
        <v/>
      </c>
      <c r="CX470" s="144" t="str">
        <f aca="false">IF(ISBLANK($C470),"",IF($BZ470&lt;&gt;Constants!$B$8,"",IF($BM470="-&gt;",$BS470,$BG470)+$CC470))</f>
        <v/>
      </c>
      <c r="CY470" s="145" t="str">
        <f aca="false">IF(ISBLANK($C470),"",IF($BZ470&lt;&gt;Constants!$B$8,$BZ470,$CE470))</f>
        <v/>
      </c>
      <c r="CZ470" s="146" t="str">
        <f aca="false">IF(ISBLANK($C470),"",$CA470)</f>
        <v/>
      </c>
      <c r="DA470" s="147" t="str">
        <f aca="false">IF(ISBLANK($C470),"",$CP470)</f>
        <v/>
      </c>
      <c r="DB470" s="147" t="str">
        <f aca="false">IF(ISBLANK($C470),"",$CO470)</f>
        <v/>
      </c>
      <c r="DC470" s="148" t="str">
        <f aca="false">IF(ISBLANK($C470),"",IFERROR(_xlfn.SWITCH($DB470,Constants!$B$11,COUNTA($C$9:$C$508)+2,Constants!$B$10,COUNTA($C$9:$C$508)+1,Constants!$B$9,COUNTA($C$9:$C$508)),$DB470))</f>
        <v/>
      </c>
      <c r="DD470" s="9"/>
      <c r="DE470" s="149" t="n">
        <f aca="false">IF(OR(ISNUMBER($DB470),$DB470=Constants!$B$11,$DB470=Constants!$B$9,$DB470=Constants!$B$10),1,0)</f>
        <v>0</v>
      </c>
      <c r="DF470" s="149" t="n">
        <v>462</v>
      </c>
      <c r="DG470" s="149" t="str">
        <f aca="false">IF(ISBLANK($C470),"",IF(ISNUMBER($DC470),$DC470+ROW($B470)/1000,""))</f>
        <v/>
      </c>
      <c r="DH470" s="149" t="str">
        <f aca="false">IF(ISNUMBER($DG470),RANK($DG470,$DG$9:$DG$508,1),"")</f>
        <v/>
      </c>
      <c r="DI470" s="149" t="str">
        <f aca="false">IF(ISBLANK($C470),"",$B470)</f>
        <v/>
      </c>
      <c r="DJ470" s="149" t="str">
        <f aca="false">IF(ISBLANK($C470),"",$C470)</f>
        <v/>
      </c>
      <c r="DK470" s="149" t="str">
        <f aca="false">IF(ISBLANK($C470),"",$D470)</f>
        <v/>
      </c>
      <c r="DL470" s="150" t="str">
        <f aca="false">$CZ470</f>
        <v/>
      </c>
      <c r="DM470" s="151" t="str">
        <f aca="false">$CY470</f>
        <v/>
      </c>
      <c r="DN470" s="149" t="str">
        <f aca="false">IF(ISBLANK($C470),"",$DB470)</f>
        <v/>
      </c>
      <c r="DO470" s="152" t="str">
        <f aca="false">IF($DF470&gt;$DE$8,"",VLOOKUP($DF470,$DH$9:$DN$508,7,FALSE()))</f>
        <v/>
      </c>
      <c r="DP470" s="153" t="str">
        <f aca="false">IF($DF470&gt;$DE$8,"",VLOOKUP($DF470,$DH$9:$DN$508,2,FALSE()))</f>
        <v/>
      </c>
      <c r="DQ470" s="153" t="str">
        <f aca="false">IF($DF470&gt;$DE$8,"",VLOOKUP($DF470,$DH$9:$DN$508,3,FALSE()))</f>
        <v/>
      </c>
      <c r="DR470" s="153" t="str">
        <f aca="false">IF($DF470&gt;$DE$8,"",VLOOKUP($DF470,$DH$9:$DN$508,4,FALSE()))</f>
        <v/>
      </c>
      <c r="DS470" s="153" t="str">
        <f aca="false">IF($DF470&gt;$DE$8,"",VLOOKUP($DF470,$DH$9:$DN$508,5,FALSE()))</f>
        <v/>
      </c>
      <c r="DT470" s="154" t="str">
        <f aca="false">IF($DF470&gt;$DE$8,"",VLOOKUP($DF470,$DH$9:$DN$508,6,FALSE()))</f>
        <v/>
      </c>
      <c r="DU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IF(ISBLANK($C471),"",IF(E471=Constants!$B$3,TRUE(),IF(E471=Constants!$B$4,FALSE(),TRUE())))</f>
        <v/>
      </c>
      <c r="AG471" s="93" t="str">
        <f aca="false">IF(ISBLANK($C471),"",IF(F471=Constants!$B$3,TRUE(),IF(F471=Constants!$B$4,FALSE(),TRUE())))</f>
        <v/>
      </c>
      <c r="AH471" s="93" t="str">
        <f aca="false">IF(ISBLANK($C471),"",IF(G471=Constants!$B$3,TRUE(),IF(G471=Constants!$B$4,FALSE(),TRUE())))</f>
        <v/>
      </c>
      <c r="AI471" s="93" t="str">
        <f aca="false">IF(ISBLANK($C471),"",IF(AND(ISNUMBER(H471),H471&gt;=0),H471,Constants!$B$29))</f>
        <v/>
      </c>
      <c r="AJ471" s="93" t="str">
        <f aca="false">IF(ISBLANK($C471),"",IF(I471=Constants!$B$3,TRUE(),IF(I471=Constants!$B$4,FALSE(),TRUE())))</f>
        <v/>
      </c>
      <c r="AK471" s="93" t="str">
        <f aca="false">IF(ISBLANK($C471),"",IF(J471=Constants!$B$3,TRUE(),IF(J471=Constants!$B$4,FALSE(),TRUE())))</f>
        <v/>
      </c>
      <c r="AL471" s="93" t="str">
        <f aca="false">IF(ISBLANK($C471),"",IF(K471=Constants!$B$5,TRUE(),IF(K471=Constants!$B$6,FALSE(),COUNTA(L471:P471)&gt;0)))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IF(ISBLANK($C471),"",IF(N471=Constants!$B$3,TRUE(),IF(N471=Constants!$B$4,FALSE(),TRUE())))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IF(ISBLANK($C471),"",IF(P471=Constants!$B$3,TRUE(),IF(P471=Constants!$B$4,FALSE(),FALSE())))</f>
        <v/>
      </c>
      <c r="AR471" s="93" t="str">
        <f aca="false">IF(ISBLANK($C471),"",IF(Q471=Constants!$B$3,TRUE(),IF(Q471=Constants!$B$4,FALSE(),TRUE())))</f>
        <v/>
      </c>
      <c r="AS471" s="93" t="str">
        <f aca="false">IF(ISBLANK($C471),"",IF(R471=Constants!$B$3,TRUE(),IF(R471=Constants!$B$4,FALSE(),TRUE())))</f>
        <v/>
      </c>
      <c r="AT471" s="93" t="str">
        <f aca="false">IF(ISBLANK($C471),"",IF(S471=Constants!$B$5,TRUE(),IF(S471=Constants!$B$6,FALSE(),COUNTA(T471:X471)&gt;0)))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IF(ISBLANK($C471),"",IF(V471=Constants!$B$3,TRUE(),IF(V471=Constants!$B$4,FALSE(),TRUE())))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IF(ISBLANK($C471),"",IF(X471=Constants!$B$3,TRUE(),IF(X471=Constants!$B$4,FALSE(),FALSE())))</f>
        <v/>
      </c>
      <c r="AZ471" s="93" t="str">
        <f aca="false">IF(ISBLANK($C471),"",MIN(Constants!$B$31,MAX(0,IF(ISNUMBER(Y471),Y471*60,0)+IF(ISNUMBER(Z471),Z471,0))))</f>
        <v/>
      </c>
      <c r="BA471" s="93" t="str">
        <f aca="false">IF(ISBLANK($C471),"",IF(AA471=Constants!$B$3,TRUE(),IF(AA471=Constants!$B$4,FALSE(),FALSE())))</f>
        <v/>
      </c>
      <c r="BB471" s="92" t="str">
        <f aca="false">IF(ISBLANK($C471),"",AND($AL471,OR($AM471="",$AN471="",AND($AO471,$AP471=""))))</f>
        <v/>
      </c>
      <c r="BC471" s="94" t="str">
        <f aca="false">IF($BZ471&lt;&gt;Constants!$B$8,"",IF($AL471,Constants!$B$21*$AN471+Constants!$B$22*IF($AO471,$AP471,Constants!$B$23),Constants!$B$24))</f>
        <v/>
      </c>
      <c r="BD471" s="97" t="str">
        <f aca="false">IF($BZ471&lt;&gt;Constants!$B$8,"",Constants!$B$25*ABS($AD$9-IF($AL471,$AM471,0)))</f>
        <v/>
      </c>
      <c r="BE471" s="97" t="str">
        <f aca="false">IF($BZ471&lt;&gt;Constants!$B$8,"",IF(AND($AL471,$AQ471,$AO471),Constants!$B$27,0))</f>
        <v/>
      </c>
      <c r="BF471" s="97" t="str">
        <f aca="false">IF($BZ471&lt;&gt;Constants!$B$8,"",IF($AL471,($AI471-Constants!$B$29)*Constants!$B$28,0))</f>
        <v/>
      </c>
      <c r="BG471" s="97" t="str">
        <f aca="false">IF($BZ471&lt;&gt;Constants!$B$8,"",IF($AK471,0,Constants!$B$15)+IF($AJ471,0,Constants!$B$16)+IF($AH471,0,Constants!$B$17))</f>
        <v/>
      </c>
      <c r="BH471" s="98" t="str">
        <f aca="false">IF($BZ471&lt;&gt;Constants!$B$8,"",Constants!$B$20+SUM($BC471:$BG471))</f>
        <v/>
      </c>
      <c r="BI471" s="97" t="str">
        <f aca="false">IF($BZ471&lt;&gt;Constants!$B$8,"",$BC471)</f>
        <v/>
      </c>
      <c r="BJ471" s="97" t="str">
        <f aca="false">IF($BZ471&lt;&gt;Constants!$B$8,"",$BD471)</f>
        <v/>
      </c>
      <c r="BK471" s="97" t="str">
        <f aca="false">IF($BZ471&lt;&gt;Constants!$B$8,"",IF($AL471,$AN471,""))</f>
        <v/>
      </c>
      <c r="BL471" s="99" t="str">
        <f aca="false">IF($BZ471&lt;&gt;Constants!$B$8,"",$AI471)</f>
        <v/>
      </c>
      <c r="BM471" s="93" t="str">
        <f aca="false">IF($BZ471&lt;&gt;Constants!$B$8,"",IF(OR($BT471&lt;$BH471,AND($BT471=$BH471,OR($BU471&lt;$BI471,AND($BU471=$BI471,OR($BV471&lt;$BJ471,AND($BV471=$BJ471,OR(AND(ISNUMBER($BW471),OR(NOT(ISNUMBER($BK471)),$BW471&lt;$BK471)),AND(OR(AND($BW471="",$BK471=""),AND(ISNUMBER($BW471),ISNUMBER($BK471),$BW471=$BK471)),$BX471&lt;$BL471)))))))),"-&gt;","&lt;-"))</f>
        <v/>
      </c>
      <c r="BN471" s="92" t="str">
        <f aca="false">IF(ISBLANK($C471),"",AND($AT471,OR($AU471="",$AV471="",AND($AW471,$AX471=""))))</f>
        <v/>
      </c>
      <c r="BO471" s="94" t="str">
        <f aca="false">IF($BZ471&lt;&gt;Constants!$B$8,"",IF($AT471,Constants!$B$21*$AV471+Constants!$B$22*IF($AW471,$AX471,Constants!$B$23),Constants!$B$24))</f>
        <v/>
      </c>
      <c r="BP471" s="97" t="str">
        <f aca="false">IF($BZ471&lt;&gt;Constants!$B$8,"",Constants!$B$25*ABS($AD$9-IF($AT471,$AU471,0)))</f>
        <v/>
      </c>
      <c r="BQ471" s="97" t="str">
        <f aca="false">IF($BZ471&lt;&gt;Constants!$B$8,"",IF(AND($AT471,$AY471,$AW471),Constants!$B$27,0))</f>
        <v/>
      </c>
      <c r="BR471" s="97" t="str">
        <f aca="false">IF($BZ471&lt;&gt;Constants!$B$8,"",IF($AT471,($AI471-Constants!$B$29)*Constants!$B$28,0))</f>
        <v/>
      </c>
      <c r="BS471" s="97" t="str">
        <f aca="false">IF($BZ471&lt;&gt;Constants!$B$8,"",IF($AS471,0,Constants!$B$15)+IF($AR471,0,Constants!$B$16)+IF($AH471,0,Constants!$B$17))</f>
        <v/>
      </c>
      <c r="BT471" s="98" t="str">
        <f aca="false">IF($BZ471&lt;&gt;Constants!$B$8,"",Constants!$B$20+SUM($BO471:$BS471))</f>
        <v/>
      </c>
      <c r="BU471" s="97" t="str">
        <f aca="false">IF($BZ471&lt;&gt;Constants!$B$8,"",$BO471)</f>
        <v/>
      </c>
      <c r="BV471" s="97" t="str">
        <f aca="false">IF($BZ471&lt;&gt;Constants!$B$8,"",$BP471)</f>
        <v/>
      </c>
      <c r="BW471" s="97" t="str">
        <f aca="false">IF($BZ471&lt;&gt;Constants!$B$8,"",IF($AT471,$AV471,""))</f>
        <v/>
      </c>
      <c r="BX471" s="99" t="str">
        <f aca="false">IF($BZ471&lt;&gt;Constants!$B$8,"",$AI471)</f>
        <v/>
      </c>
      <c r="BY471" s="93" t="str">
        <f aca="false">IF(ISBLANK($C471),"",IF(ISBLANK($D$7),$BY$5,IF(NOT(ISNUMBER($D$7)),$BY$6,"")))</f>
        <v/>
      </c>
      <c r="BZ471" s="93" t="str">
        <f aca="false">IF(ISBLANK($C471),"",IF($BA471,Constants!$B$11,IF(COUNTA($E471:$AA471)=0,Constants!$B$10,IF(NOT($AG471),Constants!$B$9,IF(OR($BY471&lt;&gt;"",$BB471,$BN471),Constants!$B$12,Constants!$B$8)))))</f>
        <v/>
      </c>
      <c r="CA471" s="93" t="str">
        <f aca="false">IF(ISBLANK($C471),"",IF($BZ471&lt;&gt;Constants!$B$8,$BZ471,Constants!$B$13))</f>
        <v/>
      </c>
      <c r="CB471" s="97" t="str">
        <f aca="false">IF($BZ471&lt;&gt;Constants!$B$8,"",IF($BM471="-&gt;",$BT471,$BH471))</f>
        <v/>
      </c>
      <c r="CC471" s="97" t="str">
        <f aca="false">IF($BZ471&lt;&gt;Constants!$B$8,"",IF($AF471,0,Constants!$B$18))</f>
        <v/>
      </c>
      <c r="CD471" s="97" t="str">
        <f aca="false">IF($BZ471&lt;&gt;Constants!$B$8,"",((Constants!$B$31-$AZ471)-Constants!$B$31)/Constants!$B$32)</f>
        <v/>
      </c>
      <c r="CE471" s="97" t="str">
        <f aca="false">IF(ISBLANK($C471),"",IF($BZ471&lt;&gt;Constants!$B$8,$BZ471,SUM($CB471:$CD471)))</f>
        <v/>
      </c>
      <c r="CF471" s="93" t="str">
        <f aca="false">IF(ISBLANK($C471),"",IF($BZ471&lt;&gt;Constants!$B$8,$BZ471,RANK($CE471,$CE$9:$CE$508,1)))</f>
        <v/>
      </c>
      <c r="CG471" s="97" t="str">
        <f aca="false">IF($BZ471&lt;&gt;Constants!$B$8,"",IF($BM471="-&gt;",$BU471,$BI471))</f>
        <v/>
      </c>
      <c r="CH471" s="93" t="str">
        <f aca="false">IF(ISBLANK($C471),"",IF($BZ471&lt;&gt;Constants!$B$8,$BZ471,IF(ISNUMBER($CG471),RANK($CG471,$CG$9:$CG$508,1),COUNT($CG$9:$CG$508)+1)))</f>
        <v/>
      </c>
      <c r="CI471" s="97" t="str">
        <f aca="false">IF($BZ471&lt;&gt;Constants!$B$8,"",IF($BM471="-&gt;",$BV471,$BJ471))</f>
        <v/>
      </c>
      <c r="CJ471" s="93" t="str">
        <f aca="false">IF(ISBLANK($C471),"",IF($BZ471&lt;&gt;Constants!$B$8,$BZ471,IF(ISNUMBER($CI471),RANK($CI471,$CI$9:$CI$508,1),COUNT($CI$9:$CI$508)+1)))</f>
        <v/>
      </c>
      <c r="CK471" s="97" t="str">
        <f aca="false">IF($BZ471&lt;&gt;Constants!$B$8,"",IF($BM471="-&gt;",$BW471,$BK471))</f>
        <v/>
      </c>
      <c r="CL471" s="93" t="str">
        <f aca="false">IF(ISBLANK($C471),"",IF($BZ471&lt;&gt;Constants!$B$8,$BZ471,IF(ISNUMBER($CK471),RANK($CK471,$CK$9:$CK$508,1),COUNT($CK$9:$CK$508)+1)))</f>
        <v/>
      </c>
      <c r="CM471" s="97" t="str">
        <f aca="false">IF($BZ471&lt;&gt;Constants!$B$8,"",IF(AND(NOT($AL471),NOT($AT471),$AJ471,$AK471,$AR471,$AS471),"",IF($BM471="-&gt;",$BX471,$BL471)))</f>
        <v/>
      </c>
      <c r="CN471" s="93" t="str">
        <f aca="false">IF(ISBLANK($C471),"",IF($BZ471&lt;&gt;Constants!$B$8,$BZ471,IF(ISNUMBER($CM471),RANK($CM471,$CM$9:$CM$508,1),COUNT($CM$9:$CM$508)+1)))</f>
        <v/>
      </c>
      <c r="CO471" s="93" t="str">
        <f aca="false">IF(ISBLANK($C471),"",IF($BZ471&lt;&gt;Constants!$B$8,$BZ471,COUNTIFS($CF$9:$CF$508,"&lt;"&amp;$CF471)+COUNTIFS($CF$9:$CF$508,$CF471,$CH$9:$CH$508,"&lt;"&amp;$CH471)+COUNTIFS($CF$9:$CF$508,$CF471,$CH$9:$CH$508,$CH471,$CJ$9:$CJ$508,"&lt;"&amp;$CJ471)+COUNTIFS($CF$9:$CF$508,$CF471,$CH$9:$CH$508,$CH471,$CJ$9:$CJ$508,$CJ471,$CL$9:$CL$508,"&lt;"&amp;$CL471)+COUNTIFS($CF$9:$CF$508,$CF471,$CH$9:$CH$508,$CH471,$CJ$9:$CJ$508,$CJ471,$CL$9:$CL$508,$CL471,$CN$9:$CN$508,"&lt;"&amp;$CN471)+1))</f>
        <v/>
      </c>
      <c r="CP471" s="93" t="str">
        <f aca="false">IF(ISBLANK($C471),"",IF($BZ471&lt;&gt;Constants!$B$8,$BZ471,$CF471-$CO471))</f>
        <v/>
      </c>
      <c r="CQ471" s="100"/>
      <c r="CR471" s="101"/>
      <c r="CS471" s="102" t="str">
        <f aca="false">IF(ISBLANK($C471),"",IF($BZ471=Constants!$B$12,$BY471,""))</f>
        <v/>
      </c>
      <c r="CT471" s="101" t="str">
        <f aca="false">IF(ISBLANK($C471),"",IF($BZ471&lt;&gt;Constants!$B$8,"",IF($BM471="-&gt;",2,1)))</f>
        <v/>
      </c>
      <c r="CU471" s="103" t="str">
        <f aca="false">IF(ISBLANK($C471),"",IF($BZ471&lt;&gt;Constants!$B$8,"",IF($BM471="-&gt;",$BO471,$BC471)))</f>
        <v/>
      </c>
      <c r="CV471" s="103" t="str">
        <f aca="false">IF(ISBLANK($C471),"",IF($BZ471&lt;&gt;Constants!$B$8,"",IF($BM471="-&gt;",$BP471,$BD471)))</f>
        <v/>
      </c>
      <c r="CW471" s="103" t="str">
        <f aca="false">IF(ISBLANK($C471),"",IF($BZ471&lt;&gt;Constants!$B$8,"",IF($BM471="-&gt;",$BQ471+$BR471,$BE471+$BF471)+$CD471))</f>
        <v/>
      </c>
      <c r="CX471" s="103" t="str">
        <f aca="false">IF(ISBLANK($C471),"",IF($BZ471&lt;&gt;Constants!$B$8,"",IF($BM471="-&gt;",$BS471,$BG471)+$CC471))</f>
        <v/>
      </c>
      <c r="CY471" s="104" t="str">
        <f aca="false">IF(ISBLANK($C471),"",IF($BZ471&lt;&gt;Constants!$B$8,$BZ471,$CE471))</f>
        <v/>
      </c>
      <c r="CZ471" s="105" t="str">
        <f aca="false">IF(ISBLANK($C471),"",$CA471)</f>
        <v/>
      </c>
      <c r="DA471" s="106" t="str">
        <f aca="false">IF(ISBLANK($C471),"",$CP471)</f>
        <v/>
      </c>
      <c r="DB471" s="106" t="str">
        <f aca="false">IF(ISBLANK($C471),"",$CO471)</f>
        <v/>
      </c>
      <c r="DC471" s="107" t="str">
        <f aca="false">IF(ISBLANK($C471),"",IFERROR(_xlfn.SWITCH($DB471,Constants!$B$11,COUNTA($C$9:$C$508)+2,Constants!$B$10,COUNTA($C$9:$C$508)+1,Constants!$B$9,COUNTA($C$9:$C$508)),$DB471))</f>
        <v/>
      </c>
      <c r="DD471" s="9"/>
      <c r="DE471" s="108" t="n">
        <f aca="false">IF(OR(ISNUMBER($DB471),$DB471=Constants!$B$11,$DB471=Constants!$B$9,$DB471=Constants!$B$10),1,0)</f>
        <v>0</v>
      </c>
      <c r="DF471" s="108" t="n">
        <v>463</v>
      </c>
      <c r="DG471" s="108" t="str">
        <f aca="false">IF(ISBLANK($C471),"",IF(ISNUMBER($DC471),$DC471+ROW($B471)/1000,""))</f>
        <v/>
      </c>
      <c r="DH471" s="108" t="str">
        <f aca="false">IF(ISNUMBER($DG471),RANK($DG471,$DG$9:$DG$508,1),"")</f>
        <v/>
      </c>
      <c r="DI471" s="108" t="str">
        <f aca="false">IF(ISBLANK($C471),"",$B471)</f>
        <v/>
      </c>
      <c r="DJ471" s="108" t="str">
        <f aca="false">IF(ISBLANK($C471),"",$C471)</f>
        <v/>
      </c>
      <c r="DK471" s="108" t="str">
        <f aca="false">IF(ISBLANK($C471),"",$D471)</f>
        <v/>
      </c>
      <c r="DL471" s="109" t="str">
        <f aca="false">$CZ471</f>
        <v/>
      </c>
      <c r="DM471" s="110" t="str">
        <f aca="false">$CY471</f>
        <v/>
      </c>
      <c r="DN471" s="108" t="str">
        <f aca="false">IF(ISBLANK($C471),"",$DB471)</f>
        <v/>
      </c>
      <c r="DO471" s="111" t="str">
        <f aca="false">IF($DF471&gt;$DE$8,"",VLOOKUP($DF471,$DH$9:$DN$508,7,FALSE()))</f>
        <v/>
      </c>
      <c r="DP471" s="112" t="str">
        <f aca="false">IF($DF471&gt;$DE$8,"",VLOOKUP($DF471,$DH$9:$DN$508,2,FALSE()))</f>
        <v/>
      </c>
      <c r="DQ471" s="112" t="str">
        <f aca="false">IF($DF471&gt;$DE$8,"",VLOOKUP($DF471,$DH$9:$DN$508,3,FALSE()))</f>
        <v/>
      </c>
      <c r="DR471" s="112" t="str">
        <f aca="false">IF($DF471&gt;$DE$8,"",VLOOKUP($DF471,$DH$9:$DN$508,4,FALSE()))</f>
        <v/>
      </c>
      <c r="DS471" s="112" t="str">
        <f aca="false">IF($DF471&gt;$DE$8,"",VLOOKUP($DF471,$DH$9:$DN$508,5,FALSE()))</f>
        <v/>
      </c>
      <c r="DT471" s="113" t="str">
        <f aca="false">IF($DF471&gt;$DE$8,"",VLOOKUP($DF471,$DH$9:$DN$508,6,FALSE()))</f>
        <v/>
      </c>
      <c r="DU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IF(ISBLANK($C472),"",IF(E472=Constants!$B$3,TRUE(),IF(E472=Constants!$B$4,FALSE(),TRUE())))</f>
        <v/>
      </c>
      <c r="AG472" s="93" t="str">
        <f aca="false">IF(ISBLANK($C472),"",IF(F472=Constants!$B$3,TRUE(),IF(F472=Constants!$B$4,FALSE(),TRUE())))</f>
        <v/>
      </c>
      <c r="AH472" s="93" t="str">
        <f aca="false">IF(ISBLANK($C472),"",IF(G472=Constants!$B$3,TRUE(),IF(G472=Constants!$B$4,FALSE(),TRUE())))</f>
        <v/>
      </c>
      <c r="AI472" s="93" t="str">
        <f aca="false">IF(ISBLANK($C472),"",IF(AND(ISNUMBER(H472),H472&gt;=0),H472,Constants!$B$29))</f>
        <v/>
      </c>
      <c r="AJ472" s="93" t="str">
        <f aca="false">IF(ISBLANK($C472),"",IF(I472=Constants!$B$3,TRUE(),IF(I472=Constants!$B$4,FALSE(),TRUE())))</f>
        <v/>
      </c>
      <c r="AK472" s="93" t="str">
        <f aca="false">IF(ISBLANK($C472),"",IF(J472=Constants!$B$3,TRUE(),IF(J472=Constants!$B$4,FALSE(),TRUE())))</f>
        <v/>
      </c>
      <c r="AL472" s="93" t="str">
        <f aca="false">IF(ISBLANK($C472),"",IF(K472=Constants!$B$5,TRUE(),IF(K472=Constants!$B$6,FALSE(),COUNTA(L472:P472)&gt;0)))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IF(ISBLANK($C472),"",IF(N472=Constants!$B$3,TRUE(),IF(N472=Constants!$B$4,FALSE(),TRUE())))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IF(ISBLANK($C472),"",IF(P472=Constants!$B$3,TRUE(),IF(P472=Constants!$B$4,FALSE(),FALSE())))</f>
        <v/>
      </c>
      <c r="AR472" s="93" t="str">
        <f aca="false">IF(ISBLANK($C472),"",IF(Q472=Constants!$B$3,TRUE(),IF(Q472=Constants!$B$4,FALSE(),TRUE())))</f>
        <v/>
      </c>
      <c r="AS472" s="93" t="str">
        <f aca="false">IF(ISBLANK($C472),"",IF(R472=Constants!$B$3,TRUE(),IF(R472=Constants!$B$4,FALSE(),TRUE())))</f>
        <v/>
      </c>
      <c r="AT472" s="93" t="str">
        <f aca="false">IF(ISBLANK($C472),"",IF(S472=Constants!$B$5,TRUE(),IF(S472=Constants!$B$6,FALSE(),COUNTA(T472:X472)&gt;0)))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IF(ISBLANK($C472),"",IF(V472=Constants!$B$3,TRUE(),IF(V472=Constants!$B$4,FALSE(),TRUE())))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IF(ISBLANK($C472),"",IF(X472=Constants!$B$3,TRUE(),IF(X472=Constants!$B$4,FALSE(),FALSE())))</f>
        <v/>
      </c>
      <c r="AZ472" s="93" t="str">
        <f aca="false">IF(ISBLANK($C472),"",MIN(Constants!$B$31,MAX(0,IF(ISNUMBER(Y472),Y472*60,0)+IF(ISNUMBER(Z472),Z472,0))))</f>
        <v/>
      </c>
      <c r="BA472" s="93" t="str">
        <f aca="false">IF(ISBLANK($C472),"",IF(AA472=Constants!$B$3,TRUE(),IF(AA472=Constants!$B$4,FALSE(),FALSE())))</f>
        <v/>
      </c>
      <c r="BB472" s="92" t="str">
        <f aca="false">IF(ISBLANK($C472),"",AND($AL472,OR($AM472="",$AN472="",AND($AO472,$AP472=""))))</f>
        <v/>
      </c>
      <c r="BC472" s="94" t="str">
        <f aca="false">IF($BZ472&lt;&gt;Constants!$B$8,"",IF($AL472,Constants!$B$21*$AN472+Constants!$B$22*IF($AO472,$AP472,Constants!$B$23),Constants!$B$24))</f>
        <v/>
      </c>
      <c r="BD472" s="97" t="str">
        <f aca="false">IF($BZ472&lt;&gt;Constants!$B$8,"",Constants!$B$25*ABS($AD$9-IF($AL472,$AM472,0)))</f>
        <v/>
      </c>
      <c r="BE472" s="97" t="str">
        <f aca="false">IF($BZ472&lt;&gt;Constants!$B$8,"",IF(AND($AL472,$AQ472,$AO472),Constants!$B$27,0))</f>
        <v/>
      </c>
      <c r="BF472" s="97" t="str">
        <f aca="false">IF($BZ472&lt;&gt;Constants!$B$8,"",IF($AL472,($AI472-Constants!$B$29)*Constants!$B$28,0))</f>
        <v/>
      </c>
      <c r="BG472" s="97" t="str">
        <f aca="false">IF($BZ472&lt;&gt;Constants!$B$8,"",IF($AK472,0,Constants!$B$15)+IF($AJ472,0,Constants!$B$16)+IF($AH472,0,Constants!$B$17))</f>
        <v/>
      </c>
      <c r="BH472" s="98" t="str">
        <f aca="false">IF($BZ472&lt;&gt;Constants!$B$8,"",Constants!$B$20+SUM($BC472:$BG472))</f>
        <v/>
      </c>
      <c r="BI472" s="97" t="str">
        <f aca="false">IF($BZ472&lt;&gt;Constants!$B$8,"",$BC472)</f>
        <v/>
      </c>
      <c r="BJ472" s="97" t="str">
        <f aca="false">IF($BZ472&lt;&gt;Constants!$B$8,"",$BD472)</f>
        <v/>
      </c>
      <c r="BK472" s="97" t="str">
        <f aca="false">IF($BZ472&lt;&gt;Constants!$B$8,"",IF($AL472,$AN472,""))</f>
        <v/>
      </c>
      <c r="BL472" s="99" t="str">
        <f aca="false">IF($BZ472&lt;&gt;Constants!$B$8,"",$AI472)</f>
        <v/>
      </c>
      <c r="BM472" s="93" t="str">
        <f aca="false">IF($BZ472&lt;&gt;Constants!$B$8,"",IF(OR($BT472&lt;$BH472,AND($BT472=$BH472,OR($BU472&lt;$BI472,AND($BU472=$BI472,OR($BV472&lt;$BJ472,AND($BV472=$BJ472,OR(AND(ISNUMBER($BW472),OR(NOT(ISNUMBER($BK472)),$BW472&lt;$BK472)),AND(OR(AND($BW472="",$BK472=""),AND(ISNUMBER($BW472),ISNUMBER($BK472),$BW472=$BK472)),$BX472&lt;$BL472)))))))),"-&gt;","&lt;-"))</f>
        <v/>
      </c>
      <c r="BN472" s="92" t="str">
        <f aca="false">IF(ISBLANK($C472),"",AND($AT472,OR($AU472="",$AV472="",AND($AW472,$AX472=""))))</f>
        <v/>
      </c>
      <c r="BO472" s="94" t="str">
        <f aca="false">IF($BZ472&lt;&gt;Constants!$B$8,"",IF($AT472,Constants!$B$21*$AV472+Constants!$B$22*IF($AW472,$AX472,Constants!$B$23),Constants!$B$24))</f>
        <v/>
      </c>
      <c r="BP472" s="97" t="str">
        <f aca="false">IF($BZ472&lt;&gt;Constants!$B$8,"",Constants!$B$25*ABS($AD$9-IF($AT472,$AU472,0)))</f>
        <v/>
      </c>
      <c r="BQ472" s="97" t="str">
        <f aca="false">IF($BZ472&lt;&gt;Constants!$B$8,"",IF(AND($AT472,$AY472,$AW472),Constants!$B$27,0))</f>
        <v/>
      </c>
      <c r="BR472" s="97" t="str">
        <f aca="false">IF($BZ472&lt;&gt;Constants!$B$8,"",IF($AT472,($AI472-Constants!$B$29)*Constants!$B$28,0))</f>
        <v/>
      </c>
      <c r="BS472" s="97" t="str">
        <f aca="false">IF($BZ472&lt;&gt;Constants!$B$8,"",IF($AS472,0,Constants!$B$15)+IF($AR472,0,Constants!$B$16)+IF($AH472,0,Constants!$B$17))</f>
        <v/>
      </c>
      <c r="BT472" s="98" t="str">
        <f aca="false">IF($BZ472&lt;&gt;Constants!$B$8,"",Constants!$B$20+SUM($BO472:$BS472))</f>
        <v/>
      </c>
      <c r="BU472" s="97" t="str">
        <f aca="false">IF($BZ472&lt;&gt;Constants!$B$8,"",$BO472)</f>
        <v/>
      </c>
      <c r="BV472" s="97" t="str">
        <f aca="false">IF($BZ472&lt;&gt;Constants!$B$8,"",$BP472)</f>
        <v/>
      </c>
      <c r="BW472" s="97" t="str">
        <f aca="false">IF($BZ472&lt;&gt;Constants!$B$8,"",IF($AT472,$AV472,""))</f>
        <v/>
      </c>
      <c r="BX472" s="99" t="str">
        <f aca="false">IF($BZ472&lt;&gt;Constants!$B$8,"",$AI472)</f>
        <v/>
      </c>
      <c r="BY472" s="93" t="str">
        <f aca="false">IF(ISBLANK($C472),"",IF(ISBLANK($D$7),$BY$5,IF(NOT(ISNUMBER($D$7)),$BY$6,"")))</f>
        <v/>
      </c>
      <c r="BZ472" s="93" t="str">
        <f aca="false">IF(ISBLANK($C472),"",IF($BA472,Constants!$B$11,IF(COUNTA($E472:$AA472)=0,Constants!$B$10,IF(NOT($AG472),Constants!$B$9,IF(OR($BY472&lt;&gt;"",$BB472,$BN472),Constants!$B$12,Constants!$B$8)))))</f>
        <v/>
      </c>
      <c r="CA472" s="93" t="str">
        <f aca="false">IF(ISBLANK($C472),"",IF($BZ472&lt;&gt;Constants!$B$8,$BZ472,Constants!$B$13))</f>
        <v/>
      </c>
      <c r="CB472" s="97" t="str">
        <f aca="false">IF($BZ472&lt;&gt;Constants!$B$8,"",IF($BM472="-&gt;",$BT472,$BH472))</f>
        <v/>
      </c>
      <c r="CC472" s="97" t="str">
        <f aca="false">IF($BZ472&lt;&gt;Constants!$B$8,"",IF($AF472,0,Constants!$B$18))</f>
        <v/>
      </c>
      <c r="CD472" s="97" t="str">
        <f aca="false">IF($BZ472&lt;&gt;Constants!$B$8,"",((Constants!$B$31-$AZ472)-Constants!$B$31)/Constants!$B$32)</f>
        <v/>
      </c>
      <c r="CE472" s="97" t="str">
        <f aca="false">IF(ISBLANK($C472),"",IF($BZ472&lt;&gt;Constants!$B$8,$BZ472,SUM($CB472:$CD472)))</f>
        <v/>
      </c>
      <c r="CF472" s="93" t="str">
        <f aca="false">IF(ISBLANK($C472),"",IF($BZ472&lt;&gt;Constants!$B$8,$BZ472,RANK($CE472,$CE$9:$CE$508,1)))</f>
        <v/>
      </c>
      <c r="CG472" s="97" t="str">
        <f aca="false">IF($BZ472&lt;&gt;Constants!$B$8,"",IF($BM472="-&gt;",$BU472,$BI472))</f>
        <v/>
      </c>
      <c r="CH472" s="93" t="str">
        <f aca="false">IF(ISBLANK($C472),"",IF($BZ472&lt;&gt;Constants!$B$8,$BZ472,IF(ISNUMBER($CG472),RANK($CG472,$CG$9:$CG$508,1),COUNT($CG$9:$CG$508)+1)))</f>
        <v/>
      </c>
      <c r="CI472" s="97" t="str">
        <f aca="false">IF($BZ472&lt;&gt;Constants!$B$8,"",IF($BM472="-&gt;",$BV472,$BJ472))</f>
        <v/>
      </c>
      <c r="CJ472" s="93" t="str">
        <f aca="false">IF(ISBLANK($C472),"",IF($BZ472&lt;&gt;Constants!$B$8,$BZ472,IF(ISNUMBER($CI472),RANK($CI472,$CI$9:$CI$508,1),COUNT($CI$9:$CI$508)+1)))</f>
        <v/>
      </c>
      <c r="CK472" s="97" t="str">
        <f aca="false">IF($BZ472&lt;&gt;Constants!$B$8,"",IF($BM472="-&gt;",$BW472,$BK472))</f>
        <v/>
      </c>
      <c r="CL472" s="93" t="str">
        <f aca="false">IF(ISBLANK($C472),"",IF($BZ472&lt;&gt;Constants!$B$8,$BZ472,IF(ISNUMBER($CK472),RANK($CK472,$CK$9:$CK$508,1),COUNT($CK$9:$CK$508)+1)))</f>
        <v/>
      </c>
      <c r="CM472" s="97" t="str">
        <f aca="false">IF($BZ472&lt;&gt;Constants!$B$8,"",IF(AND(NOT($AL472),NOT($AT472),$AJ472,$AK472,$AR472,$AS472),"",IF($BM472="-&gt;",$BX472,$BL472)))</f>
        <v/>
      </c>
      <c r="CN472" s="93" t="str">
        <f aca="false">IF(ISBLANK($C472),"",IF($BZ472&lt;&gt;Constants!$B$8,$BZ472,IF(ISNUMBER($CM472),RANK($CM472,$CM$9:$CM$508,1),COUNT($CM$9:$CM$508)+1)))</f>
        <v/>
      </c>
      <c r="CO472" s="93" t="str">
        <f aca="false">IF(ISBLANK($C472),"",IF($BZ472&lt;&gt;Constants!$B$8,$BZ472,COUNTIFS($CF$9:$CF$508,"&lt;"&amp;$CF472)+COUNTIFS($CF$9:$CF$508,$CF472,$CH$9:$CH$508,"&lt;"&amp;$CH472)+COUNTIFS($CF$9:$CF$508,$CF472,$CH$9:$CH$508,$CH472,$CJ$9:$CJ$508,"&lt;"&amp;$CJ472)+COUNTIFS($CF$9:$CF$508,$CF472,$CH$9:$CH$508,$CH472,$CJ$9:$CJ$508,$CJ472,$CL$9:$CL$508,"&lt;"&amp;$CL472)+COUNTIFS($CF$9:$CF$508,$CF472,$CH$9:$CH$508,$CH472,$CJ$9:$CJ$508,$CJ472,$CL$9:$CL$508,$CL472,$CN$9:$CN$508,"&lt;"&amp;$CN472)+1))</f>
        <v/>
      </c>
      <c r="CP472" s="93" t="str">
        <f aca="false">IF(ISBLANK($C472),"",IF($BZ472&lt;&gt;Constants!$B$8,$BZ472,$CF472-$CO472))</f>
        <v/>
      </c>
      <c r="CQ472" s="100"/>
      <c r="CR472" s="101"/>
      <c r="CS472" s="102" t="str">
        <f aca="false">IF(ISBLANK($C472),"",IF($BZ472=Constants!$B$12,$BY472,""))</f>
        <v/>
      </c>
      <c r="CT472" s="101" t="str">
        <f aca="false">IF(ISBLANK($C472),"",IF($BZ472&lt;&gt;Constants!$B$8,"",IF($BM472="-&gt;",2,1)))</f>
        <v/>
      </c>
      <c r="CU472" s="103" t="str">
        <f aca="false">IF(ISBLANK($C472),"",IF($BZ472&lt;&gt;Constants!$B$8,"",IF($BM472="-&gt;",$BO472,$BC472)))</f>
        <v/>
      </c>
      <c r="CV472" s="103" t="str">
        <f aca="false">IF(ISBLANK($C472),"",IF($BZ472&lt;&gt;Constants!$B$8,"",IF($BM472="-&gt;",$BP472,$BD472)))</f>
        <v/>
      </c>
      <c r="CW472" s="103" t="str">
        <f aca="false">IF(ISBLANK($C472),"",IF($BZ472&lt;&gt;Constants!$B$8,"",IF($BM472="-&gt;",$BQ472+$BR472,$BE472+$BF472)+$CD472))</f>
        <v/>
      </c>
      <c r="CX472" s="103" t="str">
        <f aca="false">IF(ISBLANK($C472),"",IF($BZ472&lt;&gt;Constants!$B$8,"",IF($BM472="-&gt;",$BS472,$BG472)+$CC472))</f>
        <v/>
      </c>
      <c r="CY472" s="104" t="str">
        <f aca="false">IF(ISBLANK($C472),"",IF($BZ472&lt;&gt;Constants!$B$8,$BZ472,$CE472))</f>
        <v/>
      </c>
      <c r="CZ472" s="105" t="str">
        <f aca="false">IF(ISBLANK($C472),"",$CA472)</f>
        <v/>
      </c>
      <c r="DA472" s="106" t="str">
        <f aca="false">IF(ISBLANK($C472),"",$CP472)</f>
        <v/>
      </c>
      <c r="DB472" s="106" t="str">
        <f aca="false">IF(ISBLANK($C472),"",$CO472)</f>
        <v/>
      </c>
      <c r="DC472" s="107" t="str">
        <f aca="false">IF(ISBLANK($C472),"",IFERROR(_xlfn.SWITCH($DB472,Constants!$B$11,COUNTA($C$9:$C$508)+2,Constants!$B$10,COUNTA($C$9:$C$508)+1,Constants!$B$9,COUNTA($C$9:$C$508)),$DB472))</f>
        <v/>
      </c>
      <c r="DD472" s="9"/>
      <c r="DE472" s="108" t="n">
        <f aca="false">IF(OR(ISNUMBER($DB472),$DB472=Constants!$B$11,$DB472=Constants!$B$9,$DB472=Constants!$B$10),1,0)</f>
        <v>0</v>
      </c>
      <c r="DF472" s="108" t="n">
        <v>464</v>
      </c>
      <c r="DG472" s="108" t="str">
        <f aca="false">IF(ISBLANK($C472),"",IF(ISNUMBER($DC472),$DC472+ROW($B472)/1000,""))</f>
        <v/>
      </c>
      <c r="DH472" s="108" t="str">
        <f aca="false">IF(ISNUMBER($DG472),RANK($DG472,$DG$9:$DG$508,1),"")</f>
        <v/>
      </c>
      <c r="DI472" s="108" t="str">
        <f aca="false">IF(ISBLANK($C472),"",$B472)</f>
        <v/>
      </c>
      <c r="DJ472" s="108" t="str">
        <f aca="false">IF(ISBLANK($C472),"",$C472)</f>
        <v/>
      </c>
      <c r="DK472" s="108" t="str">
        <f aca="false">IF(ISBLANK($C472),"",$D472)</f>
        <v/>
      </c>
      <c r="DL472" s="109" t="str">
        <f aca="false">$CZ472</f>
        <v/>
      </c>
      <c r="DM472" s="110" t="str">
        <f aca="false">$CY472</f>
        <v/>
      </c>
      <c r="DN472" s="108" t="str">
        <f aca="false">IF(ISBLANK($C472),"",$DB472)</f>
        <v/>
      </c>
      <c r="DO472" s="111" t="str">
        <f aca="false">IF($DF472&gt;$DE$8,"",VLOOKUP($DF472,$DH$9:$DN$508,7,FALSE()))</f>
        <v/>
      </c>
      <c r="DP472" s="112" t="str">
        <f aca="false">IF($DF472&gt;$DE$8,"",VLOOKUP($DF472,$DH$9:$DN$508,2,FALSE()))</f>
        <v/>
      </c>
      <c r="DQ472" s="112" t="str">
        <f aca="false">IF($DF472&gt;$DE$8,"",VLOOKUP($DF472,$DH$9:$DN$508,3,FALSE()))</f>
        <v/>
      </c>
      <c r="DR472" s="112" t="str">
        <f aca="false">IF($DF472&gt;$DE$8,"",VLOOKUP($DF472,$DH$9:$DN$508,4,FALSE()))</f>
        <v/>
      </c>
      <c r="DS472" s="112" t="str">
        <f aca="false">IF($DF472&gt;$DE$8,"",VLOOKUP($DF472,$DH$9:$DN$508,5,FALSE()))</f>
        <v/>
      </c>
      <c r="DT472" s="113" t="str">
        <f aca="false">IF($DF472&gt;$DE$8,"",VLOOKUP($DF472,$DH$9:$DN$508,6,FALSE()))</f>
        <v/>
      </c>
      <c r="DU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IF(ISBLANK($C473),"",IF(E473=Constants!$B$3,TRUE(),IF(E473=Constants!$B$4,FALSE(),TRUE())))</f>
        <v/>
      </c>
      <c r="AG473" s="93" t="str">
        <f aca="false">IF(ISBLANK($C473),"",IF(F473=Constants!$B$3,TRUE(),IF(F473=Constants!$B$4,FALSE(),TRUE())))</f>
        <v/>
      </c>
      <c r="AH473" s="93" t="str">
        <f aca="false">IF(ISBLANK($C473),"",IF(G473=Constants!$B$3,TRUE(),IF(G473=Constants!$B$4,FALSE(),TRUE())))</f>
        <v/>
      </c>
      <c r="AI473" s="93" t="str">
        <f aca="false">IF(ISBLANK($C473),"",IF(AND(ISNUMBER(H473),H473&gt;=0),H473,Constants!$B$29))</f>
        <v/>
      </c>
      <c r="AJ473" s="93" t="str">
        <f aca="false">IF(ISBLANK($C473),"",IF(I473=Constants!$B$3,TRUE(),IF(I473=Constants!$B$4,FALSE(),TRUE())))</f>
        <v/>
      </c>
      <c r="AK473" s="93" t="str">
        <f aca="false">IF(ISBLANK($C473),"",IF(J473=Constants!$B$3,TRUE(),IF(J473=Constants!$B$4,FALSE(),TRUE())))</f>
        <v/>
      </c>
      <c r="AL473" s="93" t="str">
        <f aca="false">IF(ISBLANK($C473),"",IF(K473=Constants!$B$5,TRUE(),IF(K473=Constants!$B$6,FALSE(),COUNTA(L473:P473)&gt;0)))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IF(ISBLANK($C473),"",IF(N473=Constants!$B$3,TRUE(),IF(N473=Constants!$B$4,FALSE(),TRUE())))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IF(ISBLANK($C473),"",IF(P473=Constants!$B$3,TRUE(),IF(P473=Constants!$B$4,FALSE(),FALSE())))</f>
        <v/>
      </c>
      <c r="AR473" s="93" t="str">
        <f aca="false">IF(ISBLANK($C473),"",IF(Q473=Constants!$B$3,TRUE(),IF(Q473=Constants!$B$4,FALSE(),TRUE())))</f>
        <v/>
      </c>
      <c r="AS473" s="93" t="str">
        <f aca="false">IF(ISBLANK($C473),"",IF(R473=Constants!$B$3,TRUE(),IF(R473=Constants!$B$4,FALSE(),TRUE())))</f>
        <v/>
      </c>
      <c r="AT473" s="93" t="str">
        <f aca="false">IF(ISBLANK($C473),"",IF(S473=Constants!$B$5,TRUE(),IF(S473=Constants!$B$6,FALSE(),COUNTA(T473:X473)&gt;0)))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IF(ISBLANK($C473),"",IF(V473=Constants!$B$3,TRUE(),IF(V473=Constants!$B$4,FALSE(),TRUE())))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IF(ISBLANK($C473),"",IF(X473=Constants!$B$3,TRUE(),IF(X473=Constants!$B$4,FALSE(),FALSE())))</f>
        <v/>
      </c>
      <c r="AZ473" s="93" t="str">
        <f aca="false">IF(ISBLANK($C473),"",MIN(Constants!$B$31,MAX(0,IF(ISNUMBER(Y473),Y473*60,0)+IF(ISNUMBER(Z473),Z473,0))))</f>
        <v/>
      </c>
      <c r="BA473" s="93" t="str">
        <f aca="false">IF(ISBLANK($C473),"",IF(AA473=Constants!$B$3,TRUE(),IF(AA473=Constants!$B$4,FALSE(),FALSE())))</f>
        <v/>
      </c>
      <c r="BB473" s="92" t="str">
        <f aca="false">IF(ISBLANK($C473),"",AND($AL473,OR($AM473="",$AN473="",AND($AO473,$AP473=""))))</f>
        <v/>
      </c>
      <c r="BC473" s="94" t="str">
        <f aca="false">IF($BZ473&lt;&gt;Constants!$B$8,"",IF($AL473,Constants!$B$21*$AN473+Constants!$B$22*IF($AO473,$AP473,Constants!$B$23),Constants!$B$24))</f>
        <v/>
      </c>
      <c r="BD473" s="97" t="str">
        <f aca="false">IF($BZ473&lt;&gt;Constants!$B$8,"",Constants!$B$25*ABS($AD$9-IF($AL473,$AM473,0)))</f>
        <v/>
      </c>
      <c r="BE473" s="97" t="str">
        <f aca="false">IF($BZ473&lt;&gt;Constants!$B$8,"",IF(AND($AL473,$AQ473,$AO473),Constants!$B$27,0))</f>
        <v/>
      </c>
      <c r="BF473" s="97" t="str">
        <f aca="false">IF($BZ473&lt;&gt;Constants!$B$8,"",IF($AL473,($AI473-Constants!$B$29)*Constants!$B$28,0))</f>
        <v/>
      </c>
      <c r="BG473" s="97" t="str">
        <f aca="false">IF($BZ473&lt;&gt;Constants!$B$8,"",IF($AK473,0,Constants!$B$15)+IF($AJ473,0,Constants!$B$16)+IF($AH473,0,Constants!$B$17))</f>
        <v/>
      </c>
      <c r="BH473" s="98" t="str">
        <f aca="false">IF($BZ473&lt;&gt;Constants!$B$8,"",Constants!$B$20+SUM($BC473:$BG473))</f>
        <v/>
      </c>
      <c r="BI473" s="97" t="str">
        <f aca="false">IF($BZ473&lt;&gt;Constants!$B$8,"",$BC473)</f>
        <v/>
      </c>
      <c r="BJ473" s="97" t="str">
        <f aca="false">IF($BZ473&lt;&gt;Constants!$B$8,"",$BD473)</f>
        <v/>
      </c>
      <c r="BK473" s="97" t="str">
        <f aca="false">IF($BZ473&lt;&gt;Constants!$B$8,"",IF($AL473,$AN473,""))</f>
        <v/>
      </c>
      <c r="BL473" s="99" t="str">
        <f aca="false">IF($BZ473&lt;&gt;Constants!$B$8,"",$AI473)</f>
        <v/>
      </c>
      <c r="BM473" s="93" t="str">
        <f aca="false">IF($BZ473&lt;&gt;Constants!$B$8,"",IF(OR($BT473&lt;$BH473,AND($BT473=$BH473,OR($BU473&lt;$BI473,AND($BU473=$BI473,OR($BV473&lt;$BJ473,AND($BV473=$BJ473,OR(AND(ISNUMBER($BW473),OR(NOT(ISNUMBER($BK473)),$BW473&lt;$BK473)),AND(OR(AND($BW473="",$BK473=""),AND(ISNUMBER($BW473),ISNUMBER($BK473),$BW473=$BK473)),$BX473&lt;$BL473)))))))),"-&gt;","&lt;-"))</f>
        <v/>
      </c>
      <c r="BN473" s="92" t="str">
        <f aca="false">IF(ISBLANK($C473),"",AND($AT473,OR($AU473="",$AV473="",AND($AW473,$AX473=""))))</f>
        <v/>
      </c>
      <c r="BO473" s="94" t="str">
        <f aca="false">IF($BZ473&lt;&gt;Constants!$B$8,"",IF($AT473,Constants!$B$21*$AV473+Constants!$B$22*IF($AW473,$AX473,Constants!$B$23),Constants!$B$24))</f>
        <v/>
      </c>
      <c r="BP473" s="97" t="str">
        <f aca="false">IF($BZ473&lt;&gt;Constants!$B$8,"",Constants!$B$25*ABS($AD$9-IF($AT473,$AU473,0)))</f>
        <v/>
      </c>
      <c r="BQ473" s="97" t="str">
        <f aca="false">IF($BZ473&lt;&gt;Constants!$B$8,"",IF(AND($AT473,$AY473,$AW473),Constants!$B$27,0))</f>
        <v/>
      </c>
      <c r="BR473" s="97" t="str">
        <f aca="false">IF($BZ473&lt;&gt;Constants!$B$8,"",IF($AT473,($AI473-Constants!$B$29)*Constants!$B$28,0))</f>
        <v/>
      </c>
      <c r="BS473" s="97" t="str">
        <f aca="false">IF($BZ473&lt;&gt;Constants!$B$8,"",IF($AS473,0,Constants!$B$15)+IF($AR473,0,Constants!$B$16)+IF($AH473,0,Constants!$B$17))</f>
        <v/>
      </c>
      <c r="BT473" s="98" t="str">
        <f aca="false">IF($BZ473&lt;&gt;Constants!$B$8,"",Constants!$B$20+SUM($BO473:$BS473))</f>
        <v/>
      </c>
      <c r="BU473" s="97" t="str">
        <f aca="false">IF($BZ473&lt;&gt;Constants!$B$8,"",$BO473)</f>
        <v/>
      </c>
      <c r="BV473" s="97" t="str">
        <f aca="false">IF($BZ473&lt;&gt;Constants!$B$8,"",$BP473)</f>
        <v/>
      </c>
      <c r="BW473" s="97" t="str">
        <f aca="false">IF($BZ473&lt;&gt;Constants!$B$8,"",IF($AT473,$AV473,""))</f>
        <v/>
      </c>
      <c r="BX473" s="99" t="str">
        <f aca="false">IF($BZ473&lt;&gt;Constants!$B$8,"",$AI473)</f>
        <v/>
      </c>
      <c r="BY473" s="93" t="str">
        <f aca="false">IF(ISBLANK($C473),"",IF(ISBLANK($D$7),$BY$5,IF(NOT(ISNUMBER($D$7)),$BY$6,"")))</f>
        <v/>
      </c>
      <c r="BZ473" s="93" t="str">
        <f aca="false">IF(ISBLANK($C473),"",IF($BA473,Constants!$B$11,IF(COUNTA($E473:$AA473)=0,Constants!$B$10,IF(NOT($AG473),Constants!$B$9,IF(OR($BY473&lt;&gt;"",$BB473,$BN473),Constants!$B$12,Constants!$B$8)))))</f>
        <v/>
      </c>
      <c r="CA473" s="93" t="str">
        <f aca="false">IF(ISBLANK($C473),"",IF($BZ473&lt;&gt;Constants!$B$8,$BZ473,Constants!$B$13))</f>
        <v/>
      </c>
      <c r="CB473" s="97" t="str">
        <f aca="false">IF($BZ473&lt;&gt;Constants!$B$8,"",IF($BM473="-&gt;",$BT473,$BH473))</f>
        <v/>
      </c>
      <c r="CC473" s="97" t="str">
        <f aca="false">IF($BZ473&lt;&gt;Constants!$B$8,"",IF($AF473,0,Constants!$B$18))</f>
        <v/>
      </c>
      <c r="CD473" s="97" t="str">
        <f aca="false">IF($BZ473&lt;&gt;Constants!$B$8,"",((Constants!$B$31-$AZ473)-Constants!$B$31)/Constants!$B$32)</f>
        <v/>
      </c>
      <c r="CE473" s="97" t="str">
        <f aca="false">IF(ISBLANK($C473),"",IF($BZ473&lt;&gt;Constants!$B$8,$BZ473,SUM($CB473:$CD473)))</f>
        <v/>
      </c>
      <c r="CF473" s="93" t="str">
        <f aca="false">IF(ISBLANK($C473),"",IF($BZ473&lt;&gt;Constants!$B$8,$BZ473,RANK($CE473,$CE$9:$CE$508,1)))</f>
        <v/>
      </c>
      <c r="CG473" s="97" t="str">
        <f aca="false">IF($BZ473&lt;&gt;Constants!$B$8,"",IF($BM473="-&gt;",$BU473,$BI473))</f>
        <v/>
      </c>
      <c r="CH473" s="93" t="str">
        <f aca="false">IF(ISBLANK($C473),"",IF($BZ473&lt;&gt;Constants!$B$8,$BZ473,IF(ISNUMBER($CG473),RANK($CG473,$CG$9:$CG$508,1),COUNT($CG$9:$CG$508)+1)))</f>
        <v/>
      </c>
      <c r="CI473" s="97" t="str">
        <f aca="false">IF($BZ473&lt;&gt;Constants!$B$8,"",IF($BM473="-&gt;",$BV473,$BJ473))</f>
        <v/>
      </c>
      <c r="CJ473" s="93" t="str">
        <f aca="false">IF(ISBLANK($C473),"",IF($BZ473&lt;&gt;Constants!$B$8,$BZ473,IF(ISNUMBER($CI473),RANK($CI473,$CI$9:$CI$508,1),COUNT($CI$9:$CI$508)+1)))</f>
        <v/>
      </c>
      <c r="CK473" s="97" t="str">
        <f aca="false">IF($BZ473&lt;&gt;Constants!$B$8,"",IF($BM473="-&gt;",$BW473,$BK473))</f>
        <v/>
      </c>
      <c r="CL473" s="93" t="str">
        <f aca="false">IF(ISBLANK($C473),"",IF($BZ473&lt;&gt;Constants!$B$8,$BZ473,IF(ISNUMBER($CK473),RANK($CK473,$CK$9:$CK$508,1),COUNT($CK$9:$CK$508)+1)))</f>
        <v/>
      </c>
      <c r="CM473" s="97" t="str">
        <f aca="false">IF($BZ473&lt;&gt;Constants!$B$8,"",IF(AND(NOT($AL473),NOT($AT473),$AJ473,$AK473,$AR473,$AS473),"",IF($BM473="-&gt;",$BX473,$BL473)))</f>
        <v/>
      </c>
      <c r="CN473" s="93" t="str">
        <f aca="false">IF(ISBLANK($C473),"",IF($BZ473&lt;&gt;Constants!$B$8,$BZ473,IF(ISNUMBER($CM473),RANK($CM473,$CM$9:$CM$508,1),COUNT($CM$9:$CM$508)+1)))</f>
        <v/>
      </c>
      <c r="CO473" s="93" t="str">
        <f aca="false">IF(ISBLANK($C473),"",IF($BZ473&lt;&gt;Constants!$B$8,$BZ473,COUNTIFS($CF$9:$CF$508,"&lt;"&amp;$CF473)+COUNTIFS($CF$9:$CF$508,$CF473,$CH$9:$CH$508,"&lt;"&amp;$CH473)+COUNTIFS($CF$9:$CF$508,$CF473,$CH$9:$CH$508,$CH473,$CJ$9:$CJ$508,"&lt;"&amp;$CJ473)+COUNTIFS($CF$9:$CF$508,$CF473,$CH$9:$CH$508,$CH473,$CJ$9:$CJ$508,$CJ473,$CL$9:$CL$508,"&lt;"&amp;$CL473)+COUNTIFS($CF$9:$CF$508,$CF473,$CH$9:$CH$508,$CH473,$CJ$9:$CJ$508,$CJ473,$CL$9:$CL$508,$CL473,$CN$9:$CN$508,"&lt;"&amp;$CN473)+1))</f>
        <v/>
      </c>
      <c r="CP473" s="93" t="str">
        <f aca="false">IF(ISBLANK($C473),"",IF($BZ473&lt;&gt;Constants!$B$8,$BZ473,$CF473-$CO473))</f>
        <v/>
      </c>
      <c r="CQ473" s="100"/>
      <c r="CR473" s="101"/>
      <c r="CS473" s="102" t="str">
        <f aca="false">IF(ISBLANK($C473),"",IF($BZ473=Constants!$B$12,$BY473,""))</f>
        <v/>
      </c>
      <c r="CT473" s="101" t="str">
        <f aca="false">IF(ISBLANK($C473),"",IF($BZ473&lt;&gt;Constants!$B$8,"",IF($BM473="-&gt;",2,1)))</f>
        <v/>
      </c>
      <c r="CU473" s="103" t="str">
        <f aca="false">IF(ISBLANK($C473),"",IF($BZ473&lt;&gt;Constants!$B$8,"",IF($BM473="-&gt;",$BO473,$BC473)))</f>
        <v/>
      </c>
      <c r="CV473" s="103" t="str">
        <f aca="false">IF(ISBLANK($C473),"",IF($BZ473&lt;&gt;Constants!$B$8,"",IF($BM473="-&gt;",$BP473,$BD473)))</f>
        <v/>
      </c>
      <c r="CW473" s="103" t="str">
        <f aca="false">IF(ISBLANK($C473),"",IF($BZ473&lt;&gt;Constants!$B$8,"",IF($BM473="-&gt;",$BQ473+$BR473,$BE473+$BF473)+$CD473))</f>
        <v/>
      </c>
      <c r="CX473" s="103" t="str">
        <f aca="false">IF(ISBLANK($C473),"",IF($BZ473&lt;&gt;Constants!$B$8,"",IF($BM473="-&gt;",$BS473,$BG473)+$CC473))</f>
        <v/>
      </c>
      <c r="CY473" s="104" t="str">
        <f aca="false">IF(ISBLANK($C473),"",IF($BZ473&lt;&gt;Constants!$B$8,$BZ473,$CE473))</f>
        <v/>
      </c>
      <c r="CZ473" s="105" t="str">
        <f aca="false">IF(ISBLANK($C473),"",$CA473)</f>
        <v/>
      </c>
      <c r="DA473" s="106" t="str">
        <f aca="false">IF(ISBLANK($C473),"",$CP473)</f>
        <v/>
      </c>
      <c r="DB473" s="106" t="str">
        <f aca="false">IF(ISBLANK($C473),"",$CO473)</f>
        <v/>
      </c>
      <c r="DC473" s="107" t="str">
        <f aca="false">IF(ISBLANK($C473),"",IFERROR(_xlfn.SWITCH($DB473,Constants!$B$11,COUNTA($C$9:$C$508)+2,Constants!$B$10,COUNTA($C$9:$C$508)+1,Constants!$B$9,COUNTA($C$9:$C$508)),$DB473))</f>
        <v/>
      </c>
      <c r="DD473" s="9"/>
      <c r="DE473" s="108" t="n">
        <f aca="false">IF(OR(ISNUMBER($DB473),$DB473=Constants!$B$11,$DB473=Constants!$B$9,$DB473=Constants!$B$10),1,0)</f>
        <v>0</v>
      </c>
      <c r="DF473" s="108" t="n">
        <v>465</v>
      </c>
      <c r="DG473" s="108" t="str">
        <f aca="false">IF(ISBLANK($C473),"",IF(ISNUMBER($DC473),$DC473+ROW($B473)/1000,""))</f>
        <v/>
      </c>
      <c r="DH473" s="108" t="str">
        <f aca="false">IF(ISNUMBER($DG473),RANK($DG473,$DG$9:$DG$508,1),"")</f>
        <v/>
      </c>
      <c r="DI473" s="108" t="str">
        <f aca="false">IF(ISBLANK($C473),"",$B473)</f>
        <v/>
      </c>
      <c r="DJ473" s="108" t="str">
        <f aca="false">IF(ISBLANK($C473),"",$C473)</f>
        <v/>
      </c>
      <c r="DK473" s="108" t="str">
        <f aca="false">IF(ISBLANK($C473),"",$D473)</f>
        <v/>
      </c>
      <c r="DL473" s="109" t="str">
        <f aca="false">$CZ473</f>
        <v/>
      </c>
      <c r="DM473" s="110" t="str">
        <f aca="false">$CY473</f>
        <v/>
      </c>
      <c r="DN473" s="108" t="str">
        <f aca="false">IF(ISBLANK($C473),"",$DB473)</f>
        <v/>
      </c>
      <c r="DO473" s="111" t="str">
        <f aca="false">IF($DF473&gt;$DE$8,"",VLOOKUP($DF473,$DH$9:$DN$508,7,FALSE()))</f>
        <v/>
      </c>
      <c r="DP473" s="112" t="str">
        <f aca="false">IF($DF473&gt;$DE$8,"",VLOOKUP($DF473,$DH$9:$DN$508,2,FALSE()))</f>
        <v/>
      </c>
      <c r="DQ473" s="112" t="str">
        <f aca="false">IF($DF473&gt;$DE$8,"",VLOOKUP($DF473,$DH$9:$DN$508,3,FALSE()))</f>
        <v/>
      </c>
      <c r="DR473" s="112" t="str">
        <f aca="false">IF($DF473&gt;$DE$8,"",VLOOKUP($DF473,$DH$9:$DN$508,4,FALSE()))</f>
        <v/>
      </c>
      <c r="DS473" s="112" t="str">
        <f aca="false">IF($DF473&gt;$DE$8,"",VLOOKUP($DF473,$DH$9:$DN$508,5,FALSE()))</f>
        <v/>
      </c>
      <c r="DT473" s="113" t="str">
        <f aca="false">IF($DF473&gt;$DE$8,"",VLOOKUP($DF473,$DH$9:$DN$508,6,FALSE()))</f>
        <v/>
      </c>
      <c r="DU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IF(ISBLANK($C474),"",IF(E474=Constants!$B$3,TRUE(),IF(E474=Constants!$B$4,FALSE(),TRUE())))</f>
        <v/>
      </c>
      <c r="AG474" s="135" t="str">
        <f aca="false">IF(ISBLANK($C474),"",IF(F474=Constants!$B$3,TRUE(),IF(F474=Constants!$B$4,FALSE(),TRUE())))</f>
        <v/>
      </c>
      <c r="AH474" s="135" t="str">
        <f aca="false">IF(ISBLANK($C474),"",IF(G474=Constants!$B$3,TRUE(),IF(G474=Constants!$B$4,FALSE(),TRUE())))</f>
        <v/>
      </c>
      <c r="AI474" s="135" t="str">
        <f aca="false">IF(ISBLANK($C474),"",IF(AND(ISNUMBER(H474),H474&gt;=0),H474,Constants!$B$29))</f>
        <v/>
      </c>
      <c r="AJ474" s="135" t="str">
        <f aca="false">IF(ISBLANK($C474),"",IF(I474=Constants!$B$3,TRUE(),IF(I474=Constants!$B$4,FALSE(),TRUE())))</f>
        <v/>
      </c>
      <c r="AK474" s="135" t="str">
        <f aca="false">IF(ISBLANK($C474),"",IF(J474=Constants!$B$3,TRUE(),IF(J474=Constants!$B$4,FALSE(),TRUE())))</f>
        <v/>
      </c>
      <c r="AL474" s="135" t="str">
        <f aca="false">IF(ISBLANK($C474),"",IF(K474=Constants!$B$5,TRUE(),IF(K474=Constants!$B$6,FALSE(),COUNTA(L474:P474)&gt;0)))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IF(ISBLANK($C474),"",IF(N474=Constants!$B$3,TRUE(),IF(N474=Constants!$B$4,FALSE(),TRUE())))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IF(ISBLANK($C474),"",IF(P474=Constants!$B$3,TRUE(),IF(P474=Constants!$B$4,FALSE(),FALSE())))</f>
        <v/>
      </c>
      <c r="AR474" s="135" t="str">
        <f aca="false">IF(ISBLANK($C474),"",IF(Q474=Constants!$B$3,TRUE(),IF(Q474=Constants!$B$4,FALSE(),TRUE())))</f>
        <v/>
      </c>
      <c r="AS474" s="135" t="str">
        <f aca="false">IF(ISBLANK($C474),"",IF(R474=Constants!$B$3,TRUE(),IF(R474=Constants!$B$4,FALSE(),TRUE())))</f>
        <v/>
      </c>
      <c r="AT474" s="135" t="str">
        <f aca="false">IF(ISBLANK($C474),"",IF(S474=Constants!$B$5,TRUE(),IF(S474=Constants!$B$6,FALSE(),COUNTA(T474:X474)&gt;0)))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IF(ISBLANK($C474),"",IF(V474=Constants!$B$3,TRUE(),IF(V474=Constants!$B$4,FALSE(),TRUE())))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IF(ISBLANK($C474),"",IF(X474=Constants!$B$3,TRUE(),IF(X474=Constants!$B$4,FALSE(),FALSE())))</f>
        <v/>
      </c>
      <c r="AZ474" s="135" t="str">
        <f aca="false">IF(ISBLANK($C474),"",MIN(Constants!$B$31,MAX(0,IF(ISNUMBER(Y474),Y474*60,0)+IF(ISNUMBER(Z474),Z474,0))))</f>
        <v/>
      </c>
      <c r="BA474" s="135" t="str">
        <f aca="false">IF(ISBLANK($C474),"",IF(AA474=Constants!$B$3,TRUE(),IF(AA474=Constants!$B$4,FALSE(),FALSE())))</f>
        <v/>
      </c>
      <c r="BB474" s="134" t="str">
        <f aca="false">IF(ISBLANK($C474),"",AND($AL474,OR($AM474="",$AN474="",AND($AO474,$AP474=""))))</f>
        <v/>
      </c>
      <c r="BC474" s="137" t="str">
        <f aca="false">IF($BZ474&lt;&gt;Constants!$B$8,"",IF($AL474,Constants!$B$21*$AN474+Constants!$B$22*IF($AO474,$AP474,Constants!$B$23),Constants!$B$24))</f>
        <v/>
      </c>
      <c r="BD474" s="138" t="str">
        <f aca="false">IF($BZ474&lt;&gt;Constants!$B$8,"",Constants!$B$25*ABS($AD$9-IF($AL474,$AM474,0)))</f>
        <v/>
      </c>
      <c r="BE474" s="138" t="str">
        <f aca="false">IF($BZ474&lt;&gt;Constants!$B$8,"",IF(AND($AL474,$AQ474,$AO474),Constants!$B$27,0))</f>
        <v/>
      </c>
      <c r="BF474" s="138" t="str">
        <f aca="false">IF($BZ474&lt;&gt;Constants!$B$8,"",IF($AL474,($AI474-Constants!$B$29)*Constants!$B$28,0))</f>
        <v/>
      </c>
      <c r="BG474" s="138" t="str">
        <f aca="false">IF($BZ474&lt;&gt;Constants!$B$8,"",IF($AK474,0,Constants!$B$15)+IF($AJ474,0,Constants!$B$16)+IF($AH474,0,Constants!$B$17))</f>
        <v/>
      </c>
      <c r="BH474" s="139" t="str">
        <f aca="false">IF($BZ474&lt;&gt;Constants!$B$8,"",Constants!$B$20+SUM($BC474:$BG474))</f>
        <v/>
      </c>
      <c r="BI474" s="138" t="str">
        <f aca="false">IF($BZ474&lt;&gt;Constants!$B$8,"",$BC474)</f>
        <v/>
      </c>
      <c r="BJ474" s="138" t="str">
        <f aca="false">IF($BZ474&lt;&gt;Constants!$B$8,"",$BD474)</f>
        <v/>
      </c>
      <c r="BK474" s="138" t="str">
        <f aca="false">IF($BZ474&lt;&gt;Constants!$B$8,"",IF($AL474,$AN474,""))</f>
        <v/>
      </c>
      <c r="BL474" s="140" t="str">
        <f aca="false">IF($BZ474&lt;&gt;Constants!$B$8,"",$AI474)</f>
        <v/>
      </c>
      <c r="BM474" s="135" t="str">
        <f aca="false">IF($BZ474&lt;&gt;Constants!$B$8,"",IF(OR($BT474&lt;$BH474,AND($BT474=$BH474,OR($BU474&lt;$BI474,AND($BU474=$BI474,OR($BV474&lt;$BJ474,AND($BV474=$BJ474,OR(AND(ISNUMBER($BW474),OR(NOT(ISNUMBER($BK474)),$BW474&lt;$BK474)),AND(OR(AND($BW474="",$BK474=""),AND(ISNUMBER($BW474),ISNUMBER($BK474),$BW474=$BK474)),$BX474&lt;$BL474)))))))),"-&gt;","&lt;-"))</f>
        <v/>
      </c>
      <c r="BN474" s="134" t="str">
        <f aca="false">IF(ISBLANK($C474),"",AND($AT474,OR($AU474="",$AV474="",AND($AW474,$AX474=""))))</f>
        <v/>
      </c>
      <c r="BO474" s="137" t="str">
        <f aca="false">IF($BZ474&lt;&gt;Constants!$B$8,"",IF($AT474,Constants!$B$21*$AV474+Constants!$B$22*IF($AW474,$AX474,Constants!$B$23),Constants!$B$24))</f>
        <v/>
      </c>
      <c r="BP474" s="138" t="str">
        <f aca="false">IF($BZ474&lt;&gt;Constants!$B$8,"",Constants!$B$25*ABS($AD$9-IF($AT474,$AU474,0)))</f>
        <v/>
      </c>
      <c r="BQ474" s="138" t="str">
        <f aca="false">IF($BZ474&lt;&gt;Constants!$B$8,"",IF(AND($AT474,$AY474,$AW474),Constants!$B$27,0))</f>
        <v/>
      </c>
      <c r="BR474" s="138" t="str">
        <f aca="false">IF($BZ474&lt;&gt;Constants!$B$8,"",IF($AT474,($AI474-Constants!$B$29)*Constants!$B$28,0))</f>
        <v/>
      </c>
      <c r="BS474" s="138" t="str">
        <f aca="false">IF($BZ474&lt;&gt;Constants!$B$8,"",IF($AS474,0,Constants!$B$15)+IF($AR474,0,Constants!$B$16)+IF($AH474,0,Constants!$B$17))</f>
        <v/>
      </c>
      <c r="BT474" s="139" t="str">
        <f aca="false">IF($BZ474&lt;&gt;Constants!$B$8,"",Constants!$B$20+SUM($BO474:$BS474))</f>
        <v/>
      </c>
      <c r="BU474" s="138" t="str">
        <f aca="false">IF($BZ474&lt;&gt;Constants!$B$8,"",$BO474)</f>
        <v/>
      </c>
      <c r="BV474" s="138" t="str">
        <f aca="false">IF($BZ474&lt;&gt;Constants!$B$8,"",$BP474)</f>
        <v/>
      </c>
      <c r="BW474" s="138" t="str">
        <f aca="false">IF($BZ474&lt;&gt;Constants!$B$8,"",IF($AT474,$AV474,""))</f>
        <v/>
      </c>
      <c r="BX474" s="140" t="str">
        <f aca="false">IF($BZ474&lt;&gt;Constants!$B$8,"",$AI474)</f>
        <v/>
      </c>
      <c r="BY474" s="135" t="str">
        <f aca="false">IF(ISBLANK($C474),"",IF(ISBLANK($D$7),$BY$5,IF(NOT(ISNUMBER($D$7)),$BY$6,"")))</f>
        <v/>
      </c>
      <c r="BZ474" s="135" t="str">
        <f aca="false">IF(ISBLANK($C474),"",IF($BA474,Constants!$B$11,IF(COUNTA($E474:$AA474)=0,Constants!$B$10,IF(NOT($AG474),Constants!$B$9,IF(OR($BY474&lt;&gt;"",$BB474,$BN474),Constants!$B$12,Constants!$B$8)))))</f>
        <v/>
      </c>
      <c r="CA474" s="135" t="str">
        <f aca="false">IF(ISBLANK($C474),"",IF($BZ474&lt;&gt;Constants!$B$8,$BZ474,Constants!$B$13))</f>
        <v/>
      </c>
      <c r="CB474" s="138" t="str">
        <f aca="false">IF($BZ474&lt;&gt;Constants!$B$8,"",IF($BM474="-&gt;",$BT474,$BH474))</f>
        <v/>
      </c>
      <c r="CC474" s="138" t="str">
        <f aca="false">IF($BZ474&lt;&gt;Constants!$B$8,"",IF($AF474,0,Constants!$B$18))</f>
        <v/>
      </c>
      <c r="CD474" s="138" t="str">
        <f aca="false">IF($BZ474&lt;&gt;Constants!$B$8,"",((Constants!$B$31-$AZ474)-Constants!$B$31)/Constants!$B$32)</f>
        <v/>
      </c>
      <c r="CE474" s="138" t="str">
        <f aca="false">IF(ISBLANK($C474),"",IF($BZ474&lt;&gt;Constants!$B$8,$BZ474,SUM($CB474:$CD474)))</f>
        <v/>
      </c>
      <c r="CF474" s="135" t="str">
        <f aca="false">IF(ISBLANK($C474),"",IF($BZ474&lt;&gt;Constants!$B$8,$BZ474,RANK($CE474,$CE$9:$CE$508,1)))</f>
        <v/>
      </c>
      <c r="CG474" s="138" t="str">
        <f aca="false">IF($BZ474&lt;&gt;Constants!$B$8,"",IF($BM474="-&gt;",$BU474,$BI474))</f>
        <v/>
      </c>
      <c r="CH474" s="135" t="str">
        <f aca="false">IF(ISBLANK($C474),"",IF($BZ474&lt;&gt;Constants!$B$8,$BZ474,IF(ISNUMBER($CG474),RANK($CG474,$CG$9:$CG$508,1),COUNT($CG$9:$CG$508)+1)))</f>
        <v/>
      </c>
      <c r="CI474" s="138" t="str">
        <f aca="false">IF($BZ474&lt;&gt;Constants!$B$8,"",IF($BM474="-&gt;",$BV474,$BJ474))</f>
        <v/>
      </c>
      <c r="CJ474" s="135" t="str">
        <f aca="false">IF(ISBLANK($C474),"",IF($BZ474&lt;&gt;Constants!$B$8,$BZ474,IF(ISNUMBER($CI474),RANK($CI474,$CI$9:$CI$508,1),COUNT($CI$9:$CI$508)+1)))</f>
        <v/>
      </c>
      <c r="CK474" s="138" t="str">
        <f aca="false">IF($BZ474&lt;&gt;Constants!$B$8,"",IF($BM474="-&gt;",$BW474,$BK474))</f>
        <v/>
      </c>
      <c r="CL474" s="135" t="str">
        <f aca="false">IF(ISBLANK($C474),"",IF($BZ474&lt;&gt;Constants!$B$8,$BZ474,IF(ISNUMBER($CK474),RANK($CK474,$CK$9:$CK$508,1),COUNT($CK$9:$CK$508)+1)))</f>
        <v/>
      </c>
      <c r="CM474" s="138" t="str">
        <f aca="false">IF($BZ474&lt;&gt;Constants!$B$8,"",IF(AND(NOT($AL474),NOT($AT474),$AJ474,$AK474,$AR474,$AS474),"",IF($BM474="-&gt;",$BX474,$BL474)))</f>
        <v/>
      </c>
      <c r="CN474" s="135" t="str">
        <f aca="false">IF(ISBLANK($C474),"",IF($BZ474&lt;&gt;Constants!$B$8,$BZ474,IF(ISNUMBER($CM474),RANK($CM474,$CM$9:$CM$508,1),COUNT($CM$9:$CM$508)+1)))</f>
        <v/>
      </c>
      <c r="CO474" s="135" t="str">
        <f aca="false">IF(ISBLANK($C474),"",IF($BZ474&lt;&gt;Constants!$B$8,$BZ474,COUNTIFS($CF$9:$CF$508,"&lt;"&amp;$CF474)+COUNTIFS($CF$9:$CF$508,$CF474,$CH$9:$CH$508,"&lt;"&amp;$CH474)+COUNTIFS($CF$9:$CF$508,$CF474,$CH$9:$CH$508,$CH474,$CJ$9:$CJ$508,"&lt;"&amp;$CJ474)+COUNTIFS($CF$9:$CF$508,$CF474,$CH$9:$CH$508,$CH474,$CJ$9:$CJ$508,$CJ474,$CL$9:$CL$508,"&lt;"&amp;$CL474)+COUNTIFS($CF$9:$CF$508,$CF474,$CH$9:$CH$508,$CH474,$CJ$9:$CJ$508,$CJ474,$CL$9:$CL$508,$CL474,$CN$9:$CN$508,"&lt;"&amp;$CN474)+1))</f>
        <v/>
      </c>
      <c r="CP474" s="135" t="str">
        <f aca="false">IF(ISBLANK($C474),"",IF($BZ474&lt;&gt;Constants!$B$8,$BZ474,$CF474-$CO474))</f>
        <v/>
      </c>
      <c r="CQ474" s="141"/>
      <c r="CR474" s="142"/>
      <c r="CS474" s="143" t="str">
        <f aca="false">IF(ISBLANK($C474),"",IF($BZ474=Constants!$B$12,$BY474,""))</f>
        <v/>
      </c>
      <c r="CT474" s="142" t="str">
        <f aca="false">IF(ISBLANK($C474),"",IF($BZ474&lt;&gt;Constants!$B$8,"",IF($BM474="-&gt;",2,1)))</f>
        <v/>
      </c>
      <c r="CU474" s="144" t="str">
        <f aca="false">IF(ISBLANK($C474),"",IF($BZ474&lt;&gt;Constants!$B$8,"",IF($BM474="-&gt;",$BO474,$BC474)))</f>
        <v/>
      </c>
      <c r="CV474" s="144" t="str">
        <f aca="false">IF(ISBLANK($C474),"",IF($BZ474&lt;&gt;Constants!$B$8,"",IF($BM474="-&gt;",$BP474,$BD474)))</f>
        <v/>
      </c>
      <c r="CW474" s="144" t="str">
        <f aca="false">IF(ISBLANK($C474),"",IF($BZ474&lt;&gt;Constants!$B$8,"",IF($BM474="-&gt;",$BQ474+$BR474,$BE474+$BF474)+$CD474))</f>
        <v/>
      </c>
      <c r="CX474" s="144" t="str">
        <f aca="false">IF(ISBLANK($C474),"",IF($BZ474&lt;&gt;Constants!$B$8,"",IF($BM474="-&gt;",$BS474,$BG474)+$CC474))</f>
        <v/>
      </c>
      <c r="CY474" s="145" t="str">
        <f aca="false">IF(ISBLANK($C474),"",IF($BZ474&lt;&gt;Constants!$B$8,$BZ474,$CE474))</f>
        <v/>
      </c>
      <c r="CZ474" s="146" t="str">
        <f aca="false">IF(ISBLANK($C474),"",$CA474)</f>
        <v/>
      </c>
      <c r="DA474" s="147" t="str">
        <f aca="false">IF(ISBLANK($C474),"",$CP474)</f>
        <v/>
      </c>
      <c r="DB474" s="147" t="str">
        <f aca="false">IF(ISBLANK($C474),"",$CO474)</f>
        <v/>
      </c>
      <c r="DC474" s="148" t="str">
        <f aca="false">IF(ISBLANK($C474),"",IFERROR(_xlfn.SWITCH($DB474,Constants!$B$11,COUNTA($C$9:$C$508)+2,Constants!$B$10,COUNTA($C$9:$C$508)+1,Constants!$B$9,COUNTA($C$9:$C$508)),$DB474))</f>
        <v/>
      </c>
      <c r="DD474" s="9"/>
      <c r="DE474" s="149" t="n">
        <f aca="false">IF(OR(ISNUMBER($DB474),$DB474=Constants!$B$11,$DB474=Constants!$B$9,$DB474=Constants!$B$10),1,0)</f>
        <v>0</v>
      </c>
      <c r="DF474" s="149" t="n">
        <v>466</v>
      </c>
      <c r="DG474" s="149" t="str">
        <f aca="false">IF(ISBLANK($C474),"",IF(ISNUMBER($DC474),$DC474+ROW($B474)/1000,""))</f>
        <v/>
      </c>
      <c r="DH474" s="149" t="str">
        <f aca="false">IF(ISNUMBER($DG474),RANK($DG474,$DG$9:$DG$508,1),"")</f>
        <v/>
      </c>
      <c r="DI474" s="149" t="str">
        <f aca="false">IF(ISBLANK($C474),"",$B474)</f>
        <v/>
      </c>
      <c r="DJ474" s="149" t="str">
        <f aca="false">IF(ISBLANK($C474),"",$C474)</f>
        <v/>
      </c>
      <c r="DK474" s="149" t="str">
        <f aca="false">IF(ISBLANK($C474),"",$D474)</f>
        <v/>
      </c>
      <c r="DL474" s="150" t="str">
        <f aca="false">$CZ474</f>
        <v/>
      </c>
      <c r="DM474" s="151" t="str">
        <f aca="false">$CY474</f>
        <v/>
      </c>
      <c r="DN474" s="149" t="str">
        <f aca="false">IF(ISBLANK($C474),"",$DB474)</f>
        <v/>
      </c>
      <c r="DO474" s="152" t="str">
        <f aca="false">IF($DF474&gt;$DE$8,"",VLOOKUP($DF474,$DH$9:$DN$508,7,FALSE()))</f>
        <v/>
      </c>
      <c r="DP474" s="153" t="str">
        <f aca="false">IF($DF474&gt;$DE$8,"",VLOOKUP($DF474,$DH$9:$DN$508,2,FALSE()))</f>
        <v/>
      </c>
      <c r="DQ474" s="153" t="str">
        <f aca="false">IF($DF474&gt;$DE$8,"",VLOOKUP($DF474,$DH$9:$DN$508,3,FALSE()))</f>
        <v/>
      </c>
      <c r="DR474" s="153" t="str">
        <f aca="false">IF($DF474&gt;$DE$8,"",VLOOKUP($DF474,$DH$9:$DN$508,4,FALSE()))</f>
        <v/>
      </c>
      <c r="DS474" s="153" t="str">
        <f aca="false">IF($DF474&gt;$DE$8,"",VLOOKUP($DF474,$DH$9:$DN$508,5,FALSE()))</f>
        <v/>
      </c>
      <c r="DT474" s="154" t="str">
        <f aca="false">IF($DF474&gt;$DE$8,"",VLOOKUP($DF474,$DH$9:$DN$508,6,FALSE()))</f>
        <v/>
      </c>
      <c r="DU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IF(ISBLANK($C475),"",IF(E475=Constants!$B$3,TRUE(),IF(E475=Constants!$B$4,FALSE(),TRUE())))</f>
        <v/>
      </c>
      <c r="AG475" s="135" t="str">
        <f aca="false">IF(ISBLANK($C475),"",IF(F475=Constants!$B$3,TRUE(),IF(F475=Constants!$B$4,FALSE(),TRUE())))</f>
        <v/>
      </c>
      <c r="AH475" s="135" t="str">
        <f aca="false">IF(ISBLANK($C475),"",IF(G475=Constants!$B$3,TRUE(),IF(G475=Constants!$B$4,FALSE(),TRUE())))</f>
        <v/>
      </c>
      <c r="AI475" s="135" t="str">
        <f aca="false">IF(ISBLANK($C475),"",IF(AND(ISNUMBER(H475),H475&gt;=0),H475,Constants!$B$29))</f>
        <v/>
      </c>
      <c r="AJ475" s="135" t="str">
        <f aca="false">IF(ISBLANK($C475),"",IF(I475=Constants!$B$3,TRUE(),IF(I475=Constants!$B$4,FALSE(),TRUE())))</f>
        <v/>
      </c>
      <c r="AK475" s="135" t="str">
        <f aca="false">IF(ISBLANK($C475),"",IF(J475=Constants!$B$3,TRUE(),IF(J475=Constants!$B$4,FALSE(),TRUE())))</f>
        <v/>
      </c>
      <c r="AL475" s="135" t="str">
        <f aca="false">IF(ISBLANK($C475),"",IF(K475=Constants!$B$5,TRUE(),IF(K475=Constants!$B$6,FALSE(),COUNTA(L475:P475)&gt;0)))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IF(ISBLANK($C475),"",IF(N475=Constants!$B$3,TRUE(),IF(N475=Constants!$B$4,FALSE(),TRUE())))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IF(ISBLANK($C475),"",IF(P475=Constants!$B$3,TRUE(),IF(P475=Constants!$B$4,FALSE(),FALSE())))</f>
        <v/>
      </c>
      <c r="AR475" s="135" t="str">
        <f aca="false">IF(ISBLANK($C475),"",IF(Q475=Constants!$B$3,TRUE(),IF(Q475=Constants!$B$4,FALSE(),TRUE())))</f>
        <v/>
      </c>
      <c r="AS475" s="135" t="str">
        <f aca="false">IF(ISBLANK($C475),"",IF(R475=Constants!$B$3,TRUE(),IF(R475=Constants!$B$4,FALSE(),TRUE())))</f>
        <v/>
      </c>
      <c r="AT475" s="135" t="str">
        <f aca="false">IF(ISBLANK($C475),"",IF(S475=Constants!$B$5,TRUE(),IF(S475=Constants!$B$6,FALSE(),COUNTA(T475:X475)&gt;0)))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IF(ISBLANK($C475),"",IF(V475=Constants!$B$3,TRUE(),IF(V475=Constants!$B$4,FALSE(),TRUE())))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IF(ISBLANK($C475),"",IF(X475=Constants!$B$3,TRUE(),IF(X475=Constants!$B$4,FALSE(),FALSE())))</f>
        <v/>
      </c>
      <c r="AZ475" s="135" t="str">
        <f aca="false">IF(ISBLANK($C475),"",MIN(Constants!$B$31,MAX(0,IF(ISNUMBER(Y475),Y475*60,0)+IF(ISNUMBER(Z475),Z475,0))))</f>
        <v/>
      </c>
      <c r="BA475" s="135" t="str">
        <f aca="false">IF(ISBLANK($C475),"",IF(AA475=Constants!$B$3,TRUE(),IF(AA475=Constants!$B$4,FALSE(),FALSE())))</f>
        <v/>
      </c>
      <c r="BB475" s="134" t="str">
        <f aca="false">IF(ISBLANK($C475),"",AND($AL475,OR($AM475="",$AN475="",AND($AO475,$AP475=""))))</f>
        <v/>
      </c>
      <c r="BC475" s="137" t="str">
        <f aca="false">IF($BZ475&lt;&gt;Constants!$B$8,"",IF($AL475,Constants!$B$21*$AN475+Constants!$B$22*IF($AO475,$AP475,Constants!$B$23),Constants!$B$24))</f>
        <v/>
      </c>
      <c r="BD475" s="138" t="str">
        <f aca="false">IF($BZ475&lt;&gt;Constants!$B$8,"",Constants!$B$25*ABS($AD$9-IF($AL475,$AM475,0)))</f>
        <v/>
      </c>
      <c r="BE475" s="138" t="str">
        <f aca="false">IF($BZ475&lt;&gt;Constants!$B$8,"",IF(AND($AL475,$AQ475,$AO475),Constants!$B$27,0))</f>
        <v/>
      </c>
      <c r="BF475" s="138" t="str">
        <f aca="false">IF($BZ475&lt;&gt;Constants!$B$8,"",IF($AL475,($AI475-Constants!$B$29)*Constants!$B$28,0))</f>
        <v/>
      </c>
      <c r="BG475" s="138" t="str">
        <f aca="false">IF($BZ475&lt;&gt;Constants!$B$8,"",IF($AK475,0,Constants!$B$15)+IF($AJ475,0,Constants!$B$16)+IF($AH475,0,Constants!$B$17))</f>
        <v/>
      </c>
      <c r="BH475" s="139" t="str">
        <f aca="false">IF($BZ475&lt;&gt;Constants!$B$8,"",Constants!$B$20+SUM($BC475:$BG475))</f>
        <v/>
      </c>
      <c r="BI475" s="138" t="str">
        <f aca="false">IF($BZ475&lt;&gt;Constants!$B$8,"",$BC475)</f>
        <v/>
      </c>
      <c r="BJ475" s="138" t="str">
        <f aca="false">IF($BZ475&lt;&gt;Constants!$B$8,"",$BD475)</f>
        <v/>
      </c>
      <c r="BK475" s="138" t="str">
        <f aca="false">IF($BZ475&lt;&gt;Constants!$B$8,"",IF($AL475,$AN475,""))</f>
        <v/>
      </c>
      <c r="BL475" s="140" t="str">
        <f aca="false">IF($BZ475&lt;&gt;Constants!$B$8,"",$AI475)</f>
        <v/>
      </c>
      <c r="BM475" s="135" t="str">
        <f aca="false">IF($BZ475&lt;&gt;Constants!$B$8,"",IF(OR($BT475&lt;$BH475,AND($BT475=$BH475,OR($BU475&lt;$BI475,AND($BU475=$BI475,OR($BV475&lt;$BJ475,AND($BV475=$BJ475,OR(AND(ISNUMBER($BW475),OR(NOT(ISNUMBER($BK475)),$BW475&lt;$BK475)),AND(OR(AND($BW475="",$BK475=""),AND(ISNUMBER($BW475),ISNUMBER($BK475),$BW475=$BK475)),$BX475&lt;$BL475)))))))),"-&gt;","&lt;-"))</f>
        <v/>
      </c>
      <c r="BN475" s="134" t="str">
        <f aca="false">IF(ISBLANK($C475),"",AND($AT475,OR($AU475="",$AV475="",AND($AW475,$AX475=""))))</f>
        <v/>
      </c>
      <c r="BO475" s="137" t="str">
        <f aca="false">IF($BZ475&lt;&gt;Constants!$B$8,"",IF($AT475,Constants!$B$21*$AV475+Constants!$B$22*IF($AW475,$AX475,Constants!$B$23),Constants!$B$24))</f>
        <v/>
      </c>
      <c r="BP475" s="138" t="str">
        <f aca="false">IF($BZ475&lt;&gt;Constants!$B$8,"",Constants!$B$25*ABS($AD$9-IF($AT475,$AU475,0)))</f>
        <v/>
      </c>
      <c r="BQ475" s="138" t="str">
        <f aca="false">IF($BZ475&lt;&gt;Constants!$B$8,"",IF(AND($AT475,$AY475,$AW475),Constants!$B$27,0))</f>
        <v/>
      </c>
      <c r="BR475" s="138" t="str">
        <f aca="false">IF($BZ475&lt;&gt;Constants!$B$8,"",IF($AT475,($AI475-Constants!$B$29)*Constants!$B$28,0))</f>
        <v/>
      </c>
      <c r="BS475" s="138" t="str">
        <f aca="false">IF($BZ475&lt;&gt;Constants!$B$8,"",IF($AS475,0,Constants!$B$15)+IF($AR475,0,Constants!$B$16)+IF($AH475,0,Constants!$B$17))</f>
        <v/>
      </c>
      <c r="BT475" s="139" t="str">
        <f aca="false">IF($BZ475&lt;&gt;Constants!$B$8,"",Constants!$B$20+SUM($BO475:$BS475))</f>
        <v/>
      </c>
      <c r="BU475" s="138" t="str">
        <f aca="false">IF($BZ475&lt;&gt;Constants!$B$8,"",$BO475)</f>
        <v/>
      </c>
      <c r="BV475" s="138" t="str">
        <f aca="false">IF($BZ475&lt;&gt;Constants!$B$8,"",$BP475)</f>
        <v/>
      </c>
      <c r="BW475" s="138" t="str">
        <f aca="false">IF($BZ475&lt;&gt;Constants!$B$8,"",IF($AT475,$AV475,""))</f>
        <v/>
      </c>
      <c r="BX475" s="140" t="str">
        <f aca="false">IF($BZ475&lt;&gt;Constants!$B$8,"",$AI475)</f>
        <v/>
      </c>
      <c r="BY475" s="135" t="str">
        <f aca="false">IF(ISBLANK($C475),"",IF(ISBLANK($D$7),$BY$5,IF(NOT(ISNUMBER($D$7)),$BY$6,"")))</f>
        <v/>
      </c>
      <c r="BZ475" s="135" t="str">
        <f aca="false">IF(ISBLANK($C475),"",IF($BA475,Constants!$B$11,IF(COUNTA($E475:$AA475)=0,Constants!$B$10,IF(NOT($AG475),Constants!$B$9,IF(OR($BY475&lt;&gt;"",$BB475,$BN475),Constants!$B$12,Constants!$B$8)))))</f>
        <v/>
      </c>
      <c r="CA475" s="135" t="str">
        <f aca="false">IF(ISBLANK($C475),"",IF($BZ475&lt;&gt;Constants!$B$8,$BZ475,Constants!$B$13))</f>
        <v/>
      </c>
      <c r="CB475" s="138" t="str">
        <f aca="false">IF($BZ475&lt;&gt;Constants!$B$8,"",IF($BM475="-&gt;",$BT475,$BH475))</f>
        <v/>
      </c>
      <c r="CC475" s="138" t="str">
        <f aca="false">IF($BZ475&lt;&gt;Constants!$B$8,"",IF($AF475,0,Constants!$B$18))</f>
        <v/>
      </c>
      <c r="CD475" s="138" t="str">
        <f aca="false">IF($BZ475&lt;&gt;Constants!$B$8,"",((Constants!$B$31-$AZ475)-Constants!$B$31)/Constants!$B$32)</f>
        <v/>
      </c>
      <c r="CE475" s="138" t="str">
        <f aca="false">IF(ISBLANK($C475),"",IF($BZ475&lt;&gt;Constants!$B$8,$BZ475,SUM($CB475:$CD475)))</f>
        <v/>
      </c>
      <c r="CF475" s="135" t="str">
        <f aca="false">IF(ISBLANK($C475),"",IF($BZ475&lt;&gt;Constants!$B$8,$BZ475,RANK($CE475,$CE$9:$CE$508,1)))</f>
        <v/>
      </c>
      <c r="CG475" s="138" t="str">
        <f aca="false">IF($BZ475&lt;&gt;Constants!$B$8,"",IF($BM475="-&gt;",$BU475,$BI475))</f>
        <v/>
      </c>
      <c r="CH475" s="135" t="str">
        <f aca="false">IF(ISBLANK($C475),"",IF($BZ475&lt;&gt;Constants!$B$8,$BZ475,IF(ISNUMBER($CG475),RANK($CG475,$CG$9:$CG$508,1),COUNT($CG$9:$CG$508)+1)))</f>
        <v/>
      </c>
      <c r="CI475" s="138" t="str">
        <f aca="false">IF($BZ475&lt;&gt;Constants!$B$8,"",IF($BM475="-&gt;",$BV475,$BJ475))</f>
        <v/>
      </c>
      <c r="CJ475" s="135" t="str">
        <f aca="false">IF(ISBLANK($C475),"",IF($BZ475&lt;&gt;Constants!$B$8,$BZ475,IF(ISNUMBER($CI475),RANK($CI475,$CI$9:$CI$508,1),COUNT($CI$9:$CI$508)+1)))</f>
        <v/>
      </c>
      <c r="CK475" s="138" t="str">
        <f aca="false">IF($BZ475&lt;&gt;Constants!$B$8,"",IF($BM475="-&gt;",$BW475,$BK475))</f>
        <v/>
      </c>
      <c r="CL475" s="135" t="str">
        <f aca="false">IF(ISBLANK($C475),"",IF($BZ475&lt;&gt;Constants!$B$8,$BZ475,IF(ISNUMBER($CK475),RANK($CK475,$CK$9:$CK$508,1),COUNT($CK$9:$CK$508)+1)))</f>
        <v/>
      </c>
      <c r="CM475" s="138" t="str">
        <f aca="false">IF($BZ475&lt;&gt;Constants!$B$8,"",IF(AND(NOT($AL475),NOT($AT475),$AJ475,$AK475,$AR475,$AS475),"",IF($BM475="-&gt;",$BX475,$BL475)))</f>
        <v/>
      </c>
      <c r="CN475" s="135" t="str">
        <f aca="false">IF(ISBLANK($C475),"",IF($BZ475&lt;&gt;Constants!$B$8,$BZ475,IF(ISNUMBER($CM475),RANK($CM475,$CM$9:$CM$508,1),COUNT($CM$9:$CM$508)+1)))</f>
        <v/>
      </c>
      <c r="CO475" s="135" t="str">
        <f aca="false">IF(ISBLANK($C475),"",IF($BZ475&lt;&gt;Constants!$B$8,$BZ475,COUNTIFS($CF$9:$CF$508,"&lt;"&amp;$CF475)+COUNTIFS($CF$9:$CF$508,$CF475,$CH$9:$CH$508,"&lt;"&amp;$CH475)+COUNTIFS($CF$9:$CF$508,$CF475,$CH$9:$CH$508,$CH475,$CJ$9:$CJ$508,"&lt;"&amp;$CJ475)+COUNTIFS($CF$9:$CF$508,$CF475,$CH$9:$CH$508,$CH475,$CJ$9:$CJ$508,$CJ475,$CL$9:$CL$508,"&lt;"&amp;$CL475)+COUNTIFS($CF$9:$CF$508,$CF475,$CH$9:$CH$508,$CH475,$CJ$9:$CJ$508,$CJ475,$CL$9:$CL$508,$CL475,$CN$9:$CN$508,"&lt;"&amp;$CN475)+1))</f>
        <v/>
      </c>
      <c r="CP475" s="135" t="str">
        <f aca="false">IF(ISBLANK($C475),"",IF($BZ475&lt;&gt;Constants!$B$8,$BZ475,$CF475-$CO475))</f>
        <v/>
      </c>
      <c r="CQ475" s="141"/>
      <c r="CR475" s="142"/>
      <c r="CS475" s="143" t="str">
        <f aca="false">IF(ISBLANK($C475),"",IF($BZ475=Constants!$B$12,$BY475,""))</f>
        <v/>
      </c>
      <c r="CT475" s="142" t="str">
        <f aca="false">IF(ISBLANK($C475),"",IF($BZ475&lt;&gt;Constants!$B$8,"",IF($BM475="-&gt;",2,1)))</f>
        <v/>
      </c>
      <c r="CU475" s="144" t="str">
        <f aca="false">IF(ISBLANK($C475),"",IF($BZ475&lt;&gt;Constants!$B$8,"",IF($BM475="-&gt;",$BO475,$BC475)))</f>
        <v/>
      </c>
      <c r="CV475" s="144" t="str">
        <f aca="false">IF(ISBLANK($C475),"",IF($BZ475&lt;&gt;Constants!$B$8,"",IF($BM475="-&gt;",$BP475,$BD475)))</f>
        <v/>
      </c>
      <c r="CW475" s="144" t="str">
        <f aca="false">IF(ISBLANK($C475),"",IF($BZ475&lt;&gt;Constants!$B$8,"",IF($BM475="-&gt;",$BQ475+$BR475,$BE475+$BF475)+$CD475))</f>
        <v/>
      </c>
      <c r="CX475" s="144" t="str">
        <f aca="false">IF(ISBLANK($C475),"",IF($BZ475&lt;&gt;Constants!$B$8,"",IF($BM475="-&gt;",$BS475,$BG475)+$CC475))</f>
        <v/>
      </c>
      <c r="CY475" s="145" t="str">
        <f aca="false">IF(ISBLANK($C475),"",IF($BZ475&lt;&gt;Constants!$B$8,$BZ475,$CE475))</f>
        <v/>
      </c>
      <c r="CZ475" s="146" t="str">
        <f aca="false">IF(ISBLANK($C475),"",$CA475)</f>
        <v/>
      </c>
      <c r="DA475" s="147" t="str">
        <f aca="false">IF(ISBLANK($C475),"",$CP475)</f>
        <v/>
      </c>
      <c r="DB475" s="147" t="str">
        <f aca="false">IF(ISBLANK($C475),"",$CO475)</f>
        <v/>
      </c>
      <c r="DC475" s="148" t="str">
        <f aca="false">IF(ISBLANK($C475),"",IFERROR(_xlfn.SWITCH($DB475,Constants!$B$11,COUNTA($C$9:$C$508)+2,Constants!$B$10,COUNTA($C$9:$C$508)+1,Constants!$B$9,COUNTA($C$9:$C$508)),$DB475))</f>
        <v/>
      </c>
      <c r="DD475" s="9"/>
      <c r="DE475" s="149" t="n">
        <f aca="false">IF(OR(ISNUMBER($DB475),$DB475=Constants!$B$11,$DB475=Constants!$B$9,$DB475=Constants!$B$10),1,0)</f>
        <v>0</v>
      </c>
      <c r="DF475" s="149" t="n">
        <v>467</v>
      </c>
      <c r="DG475" s="149" t="str">
        <f aca="false">IF(ISBLANK($C475),"",IF(ISNUMBER($DC475),$DC475+ROW($B475)/1000,""))</f>
        <v/>
      </c>
      <c r="DH475" s="149" t="str">
        <f aca="false">IF(ISNUMBER($DG475),RANK($DG475,$DG$9:$DG$508,1),"")</f>
        <v/>
      </c>
      <c r="DI475" s="149" t="str">
        <f aca="false">IF(ISBLANK($C475),"",$B475)</f>
        <v/>
      </c>
      <c r="DJ475" s="149" t="str">
        <f aca="false">IF(ISBLANK($C475),"",$C475)</f>
        <v/>
      </c>
      <c r="DK475" s="149" t="str">
        <f aca="false">IF(ISBLANK($C475),"",$D475)</f>
        <v/>
      </c>
      <c r="DL475" s="150" t="str">
        <f aca="false">$CZ475</f>
        <v/>
      </c>
      <c r="DM475" s="151" t="str">
        <f aca="false">$CY475</f>
        <v/>
      </c>
      <c r="DN475" s="149" t="str">
        <f aca="false">IF(ISBLANK($C475),"",$DB475)</f>
        <v/>
      </c>
      <c r="DO475" s="152" t="str">
        <f aca="false">IF($DF475&gt;$DE$8,"",VLOOKUP($DF475,$DH$9:$DN$508,7,FALSE()))</f>
        <v/>
      </c>
      <c r="DP475" s="153" t="str">
        <f aca="false">IF($DF475&gt;$DE$8,"",VLOOKUP($DF475,$DH$9:$DN$508,2,FALSE()))</f>
        <v/>
      </c>
      <c r="DQ475" s="153" t="str">
        <f aca="false">IF($DF475&gt;$DE$8,"",VLOOKUP($DF475,$DH$9:$DN$508,3,FALSE()))</f>
        <v/>
      </c>
      <c r="DR475" s="153" t="str">
        <f aca="false">IF($DF475&gt;$DE$8,"",VLOOKUP($DF475,$DH$9:$DN$508,4,FALSE()))</f>
        <v/>
      </c>
      <c r="DS475" s="153" t="str">
        <f aca="false">IF($DF475&gt;$DE$8,"",VLOOKUP($DF475,$DH$9:$DN$508,5,FALSE()))</f>
        <v/>
      </c>
      <c r="DT475" s="154" t="str">
        <f aca="false">IF($DF475&gt;$DE$8,"",VLOOKUP($DF475,$DH$9:$DN$508,6,FALSE()))</f>
        <v/>
      </c>
      <c r="DU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IF(ISBLANK($C476),"",IF(E476=Constants!$B$3,TRUE(),IF(E476=Constants!$B$4,FALSE(),TRUE())))</f>
        <v/>
      </c>
      <c r="AG476" s="135" t="str">
        <f aca="false">IF(ISBLANK($C476),"",IF(F476=Constants!$B$3,TRUE(),IF(F476=Constants!$B$4,FALSE(),TRUE())))</f>
        <v/>
      </c>
      <c r="AH476" s="135" t="str">
        <f aca="false">IF(ISBLANK($C476),"",IF(G476=Constants!$B$3,TRUE(),IF(G476=Constants!$B$4,FALSE(),TRUE())))</f>
        <v/>
      </c>
      <c r="AI476" s="135" t="str">
        <f aca="false">IF(ISBLANK($C476),"",IF(AND(ISNUMBER(H476),H476&gt;=0),H476,Constants!$B$29))</f>
        <v/>
      </c>
      <c r="AJ476" s="135" t="str">
        <f aca="false">IF(ISBLANK($C476),"",IF(I476=Constants!$B$3,TRUE(),IF(I476=Constants!$B$4,FALSE(),TRUE())))</f>
        <v/>
      </c>
      <c r="AK476" s="135" t="str">
        <f aca="false">IF(ISBLANK($C476),"",IF(J476=Constants!$B$3,TRUE(),IF(J476=Constants!$B$4,FALSE(),TRUE())))</f>
        <v/>
      </c>
      <c r="AL476" s="135" t="str">
        <f aca="false">IF(ISBLANK($C476),"",IF(K476=Constants!$B$5,TRUE(),IF(K476=Constants!$B$6,FALSE(),COUNTA(L476:P476)&gt;0)))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IF(ISBLANK($C476),"",IF(N476=Constants!$B$3,TRUE(),IF(N476=Constants!$B$4,FALSE(),TRUE())))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IF(ISBLANK($C476),"",IF(P476=Constants!$B$3,TRUE(),IF(P476=Constants!$B$4,FALSE(),FALSE())))</f>
        <v/>
      </c>
      <c r="AR476" s="135" t="str">
        <f aca="false">IF(ISBLANK($C476),"",IF(Q476=Constants!$B$3,TRUE(),IF(Q476=Constants!$B$4,FALSE(),TRUE())))</f>
        <v/>
      </c>
      <c r="AS476" s="135" t="str">
        <f aca="false">IF(ISBLANK($C476),"",IF(R476=Constants!$B$3,TRUE(),IF(R476=Constants!$B$4,FALSE(),TRUE())))</f>
        <v/>
      </c>
      <c r="AT476" s="135" t="str">
        <f aca="false">IF(ISBLANK($C476),"",IF(S476=Constants!$B$5,TRUE(),IF(S476=Constants!$B$6,FALSE(),COUNTA(T476:X476)&gt;0)))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IF(ISBLANK($C476),"",IF(V476=Constants!$B$3,TRUE(),IF(V476=Constants!$B$4,FALSE(),TRUE())))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IF(ISBLANK($C476),"",IF(X476=Constants!$B$3,TRUE(),IF(X476=Constants!$B$4,FALSE(),FALSE())))</f>
        <v/>
      </c>
      <c r="AZ476" s="135" t="str">
        <f aca="false">IF(ISBLANK($C476),"",MIN(Constants!$B$31,MAX(0,IF(ISNUMBER(Y476),Y476*60,0)+IF(ISNUMBER(Z476),Z476,0))))</f>
        <v/>
      </c>
      <c r="BA476" s="135" t="str">
        <f aca="false">IF(ISBLANK($C476),"",IF(AA476=Constants!$B$3,TRUE(),IF(AA476=Constants!$B$4,FALSE(),FALSE())))</f>
        <v/>
      </c>
      <c r="BB476" s="134" t="str">
        <f aca="false">IF(ISBLANK($C476),"",AND($AL476,OR($AM476="",$AN476="",AND($AO476,$AP476=""))))</f>
        <v/>
      </c>
      <c r="BC476" s="137" t="str">
        <f aca="false">IF($BZ476&lt;&gt;Constants!$B$8,"",IF($AL476,Constants!$B$21*$AN476+Constants!$B$22*IF($AO476,$AP476,Constants!$B$23),Constants!$B$24))</f>
        <v/>
      </c>
      <c r="BD476" s="138" t="str">
        <f aca="false">IF($BZ476&lt;&gt;Constants!$B$8,"",Constants!$B$25*ABS($AD$9-IF($AL476,$AM476,0)))</f>
        <v/>
      </c>
      <c r="BE476" s="138" t="str">
        <f aca="false">IF($BZ476&lt;&gt;Constants!$B$8,"",IF(AND($AL476,$AQ476,$AO476),Constants!$B$27,0))</f>
        <v/>
      </c>
      <c r="BF476" s="138" t="str">
        <f aca="false">IF($BZ476&lt;&gt;Constants!$B$8,"",IF($AL476,($AI476-Constants!$B$29)*Constants!$B$28,0))</f>
        <v/>
      </c>
      <c r="BG476" s="138" t="str">
        <f aca="false">IF($BZ476&lt;&gt;Constants!$B$8,"",IF($AK476,0,Constants!$B$15)+IF($AJ476,0,Constants!$B$16)+IF($AH476,0,Constants!$B$17))</f>
        <v/>
      </c>
      <c r="BH476" s="139" t="str">
        <f aca="false">IF($BZ476&lt;&gt;Constants!$B$8,"",Constants!$B$20+SUM($BC476:$BG476))</f>
        <v/>
      </c>
      <c r="BI476" s="138" t="str">
        <f aca="false">IF($BZ476&lt;&gt;Constants!$B$8,"",$BC476)</f>
        <v/>
      </c>
      <c r="BJ476" s="138" t="str">
        <f aca="false">IF($BZ476&lt;&gt;Constants!$B$8,"",$BD476)</f>
        <v/>
      </c>
      <c r="BK476" s="138" t="str">
        <f aca="false">IF($BZ476&lt;&gt;Constants!$B$8,"",IF($AL476,$AN476,""))</f>
        <v/>
      </c>
      <c r="BL476" s="140" t="str">
        <f aca="false">IF($BZ476&lt;&gt;Constants!$B$8,"",$AI476)</f>
        <v/>
      </c>
      <c r="BM476" s="135" t="str">
        <f aca="false">IF($BZ476&lt;&gt;Constants!$B$8,"",IF(OR($BT476&lt;$BH476,AND($BT476=$BH476,OR($BU476&lt;$BI476,AND($BU476=$BI476,OR($BV476&lt;$BJ476,AND($BV476=$BJ476,OR(AND(ISNUMBER($BW476),OR(NOT(ISNUMBER($BK476)),$BW476&lt;$BK476)),AND(OR(AND($BW476="",$BK476=""),AND(ISNUMBER($BW476),ISNUMBER($BK476),$BW476=$BK476)),$BX476&lt;$BL476)))))))),"-&gt;","&lt;-"))</f>
        <v/>
      </c>
      <c r="BN476" s="134" t="str">
        <f aca="false">IF(ISBLANK($C476),"",AND($AT476,OR($AU476="",$AV476="",AND($AW476,$AX476=""))))</f>
        <v/>
      </c>
      <c r="BO476" s="137" t="str">
        <f aca="false">IF($BZ476&lt;&gt;Constants!$B$8,"",IF($AT476,Constants!$B$21*$AV476+Constants!$B$22*IF($AW476,$AX476,Constants!$B$23),Constants!$B$24))</f>
        <v/>
      </c>
      <c r="BP476" s="138" t="str">
        <f aca="false">IF($BZ476&lt;&gt;Constants!$B$8,"",Constants!$B$25*ABS($AD$9-IF($AT476,$AU476,0)))</f>
        <v/>
      </c>
      <c r="BQ476" s="138" t="str">
        <f aca="false">IF($BZ476&lt;&gt;Constants!$B$8,"",IF(AND($AT476,$AY476,$AW476),Constants!$B$27,0))</f>
        <v/>
      </c>
      <c r="BR476" s="138" t="str">
        <f aca="false">IF($BZ476&lt;&gt;Constants!$B$8,"",IF($AT476,($AI476-Constants!$B$29)*Constants!$B$28,0))</f>
        <v/>
      </c>
      <c r="BS476" s="138" t="str">
        <f aca="false">IF($BZ476&lt;&gt;Constants!$B$8,"",IF($AS476,0,Constants!$B$15)+IF($AR476,0,Constants!$B$16)+IF($AH476,0,Constants!$B$17))</f>
        <v/>
      </c>
      <c r="BT476" s="139" t="str">
        <f aca="false">IF($BZ476&lt;&gt;Constants!$B$8,"",Constants!$B$20+SUM($BO476:$BS476))</f>
        <v/>
      </c>
      <c r="BU476" s="138" t="str">
        <f aca="false">IF($BZ476&lt;&gt;Constants!$B$8,"",$BO476)</f>
        <v/>
      </c>
      <c r="BV476" s="138" t="str">
        <f aca="false">IF($BZ476&lt;&gt;Constants!$B$8,"",$BP476)</f>
        <v/>
      </c>
      <c r="BW476" s="138" t="str">
        <f aca="false">IF($BZ476&lt;&gt;Constants!$B$8,"",IF($AT476,$AV476,""))</f>
        <v/>
      </c>
      <c r="BX476" s="140" t="str">
        <f aca="false">IF($BZ476&lt;&gt;Constants!$B$8,"",$AI476)</f>
        <v/>
      </c>
      <c r="BY476" s="135" t="str">
        <f aca="false">IF(ISBLANK($C476),"",IF(ISBLANK($D$7),$BY$5,IF(NOT(ISNUMBER($D$7)),$BY$6,"")))</f>
        <v/>
      </c>
      <c r="BZ476" s="135" t="str">
        <f aca="false">IF(ISBLANK($C476),"",IF($BA476,Constants!$B$11,IF(COUNTA($E476:$AA476)=0,Constants!$B$10,IF(NOT($AG476),Constants!$B$9,IF(OR($BY476&lt;&gt;"",$BB476,$BN476),Constants!$B$12,Constants!$B$8)))))</f>
        <v/>
      </c>
      <c r="CA476" s="135" t="str">
        <f aca="false">IF(ISBLANK($C476),"",IF($BZ476&lt;&gt;Constants!$B$8,$BZ476,Constants!$B$13))</f>
        <v/>
      </c>
      <c r="CB476" s="138" t="str">
        <f aca="false">IF($BZ476&lt;&gt;Constants!$B$8,"",IF($BM476="-&gt;",$BT476,$BH476))</f>
        <v/>
      </c>
      <c r="CC476" s="138" t="str">
        <f aca="false">IF($BZ476&lt;&gt;Constants!$B$8,"",IF($AF476,0,Constants!$B$18))</f>
        <v/>
      </c>
      <c r="CD476" s="138" t="str">
        <f aca="false">IF($BZ476&lt;&gt;Constants!$B$8,"",((Constants!$B$31-$AZ476)-Constants!$B$31)/Constants!$B$32)</f>
        <v/>
      </c>
      <c r="CE476" s="138" t="str">
        <f aca="false">IF(ISBLANK($C476),"",IF($BZ476&lt;&gt;Constants!$B$8,$BZ476,SUM($CB476:$CD476)))</f>
        <v/>
      </c>
      <c r="CF476" s="135" t="str">
        <f aca="false">IF(ISBLANK($C476),"",IF($BZ476&lt;&gt;Constants!$B$8,$BZ476,RANK($CE476,$CE$9:$CE$508,1)))</f>
        <v/>
      </c>
      <c r="CG476" s="138" t="str">
        <f aca="false">IF($BZ476&lt;&gt;Constants!$B$8,"",IF($BM476="-&gt;",$BU476,$BI476))</f>
        <v/>
      </c>
      <c r="CH476" s="135" t="str">
        <f aca="false">IF(ISBLANK($C476),"",IF($BZ476&lt;&gt;Constants!$B$8,$BZ476,IF(ISNUMBER($CG476),RANK($CG476,$CG$9:$CG$508,1),COUNT($CG$9:$CG$508)+1)))</f>
        <v/>
      </c>
      <c r="CI476" s="138" t="str">
        <f aca="false">IF($BZ476&lt;&gt;Constants!$B$8,"",IF($BM476="-&gt;",$BV476,$BJ476))</f>
        <v/>
      </c>
      <c r="CJ476" s="135" t="str">
        <f aca="false">IF(ISBLANK($C476),"",IF($BZ476&lt;&gt;Constants!$B$8,$BZ476,IF(ISNUMBER($CI476),RANK($CI476,$CI$9:$CI$508,1),COUNT($CI$9:$CI$508)+1)))</f>
        <v/>
      </c>
      <c r="CK476" s="138" t="str">
        <f aca="false">IF($BZ476&lt;&gt;Constants!$B$8,"",IF($BM476="-&gt;",$BW476,$BK476))</f>
        <v/>
      </c>
      <c r="CL476" s="135" t="str">
        <f aca="false">IF(ISBLANK($C476),"",IF($BZ476&lt;&gt;Constants!$B$8,$BZ476,IF(ISNUMBER($CK476),RANK($CK476,$CK$9:$CK$508,1),COUNT($CK$9:$CK$508)+1)))</f>
        <v/>
      </c>
      <c r="CM476" s="138" t="str">
        <f aca="false">IF($BZ476&lt;&gt;Constants!$B$8,"",IF(AND(NOT($AL476),NOT($AT476),$AJ476,$AK476,$AR476,$AS476),"",IF($BM476="-&gt;",$BX476,$BL476)))</f>
        <v/>
      </c>
      <c r="CN476" s="135" t="str">
        <f aca="false">IF(ISBLANK($C476),"",IF($BZ476&lt;&gt;Constants!$B$8,$BZ476,IF(ISNUMBER($CM476),RANK($CM476,$CM$9:$CM$508,1),COUNT($CM$9:$CM$508)+1)))</f>
        <v/>
      </c>
      <c r="CO476" s="135" t="str">
        <f aca="false">IF(ISBLANK($C476),"",IF($BZ476&lt;&gt;Constants!$B$8,$BZ476,COUNTIFS($CF$9:$CF$508,"&lt;"&amp;$CF476)+COUNTIFS($CF$9:$CF$508,$CF476,$CH$9:$CH$508,"&lt;"&amp;$CH476)+COUNTIFS($CF$9:$CF$508,$CF476,$CH$9:$CH$508,$CH476,$CJ$9:$CJ$508,"&lt;"&amp;$CJ476)+COUNTIFS($CF$9:$CF$508,$CF476,$CH$9:$CH$508,$CH476,$CJ$9:$CJ$508,$CJ476,$CL$9:$CL$508,"&lt;"&amp;$CL476)+COUNTIFS($CF$9:$CF$508,$CF476,$CH$9:$CH$508,$CH476,$CJ$9:$CJ$508,$CJ476,$CL$9:$CL$508,$CL476,$CN$9:$CN$508,"&lt;"&amp;$CN476)+1))</f>
        <v/>
      </c>
      <c r="CP476" s="135" t="str">
        <f aca="false">IF(ISBLANK($C476),"",IF($BZ476&lt;&gt;Constants!$B$8,$BZ476,$CF476-$CO476))</f>
        <v/>
      </c>
      <c r="CQ476" s="141"/>
      <c r="CR476" s="142"/>
      <c r="CS476" s="143" t="str">
        <f aca="false">IF(ISBLANK($C476),"",IF($BZ476=Constants!$B$12,$BY476,""))</f>
        <v/>
      </c>
      <c r="CT476" s="142" t="str">
        <f aca="false">IF(ISBLANK($C476),"",IF($BZ476&lt;&gt;Constants!$B$8,"",IF($BM476="-&gt;",2,1)))</f>
        <v/>
      </c>
      <c r="CU476" s="144" t="str">
        <f aca="false">IF(ISBLANK($C476),"",IF($BZ476&lt;&gt;Constants!$B$8,"",IF($BM476="-&gt;",$BO476,$BC476)))</f>
        <v/>
      </c>
      <c r="CV476" s="144" t="str">
        <f aca="false">IF(ISBLANK($C476),"",IF($BZ476&lt;&gt;Constants!$B$8,"",IF($BM476="-&gt;",$BP476,$BD476)))</f>
        <v/>
      </c>
      <c r="CW476" s="144" t="str">
        <f aca="false">IF(ISBLANK($C476),"",IF($BZ476&lt;&gt;Constants!$B$8,"",IF($BM476="-&gt;",$BQ476+$BR476,$BE476+$BF476)+$CD476))</f>
        <v/>
      </c>
      <c r="CX476" s="144" t="str">
        <f aca="false">IF(ISBLANK($C476),"",IF($BZ476&lt;&gt;Constants!$B$8,"",IF($BM476="-&gt;",$BS476,$BG476)+$CC476))</f>
        <v/>
      </c>
      <c r="CY476" s="145" t="str">
        <f aca="false">IF(ISBLANK($C476),"",IF($BZ476&lt;&gt;Constants!$B$8,$BZ476,$CE476))</f>
        <v/>
      </c>
      <c r="CZ476" s="146" t="str">
        <f aca="false">IF(ISBLANK($C476),"",$CA476)</f>
        <v/>
      </c>
      <c r="DA476" s="147" t="str">
        <f aca="false">IF(ISBLANK($C476),"",$CP476)</f>
        <v/>
      </c>
      <c r="DB476" s="147" t="str">
        <f aca="false">IF(ISBLANK($C476),"",$CO476)</f>
        <v/>
      </c>
      <c r="DC476" s="148" t="str">
        <f aca="false">IF(ISBLANK($C476),"",IFERROR(_xlfn.SWITCH($DB476,Constants!$B$11,COUNTA($C$9:$C$508)+2,Constants!$B$10,COUNTA($C$9:$C$508)+1,Constants!$B$9,COUNTA($C$9:$C$508)),$DB476))</f>
        <v/>
      </c>
      <c r="DD476" s="9"/>
      <c r="DE476" s="149" t="n">
        <f aca="false">IF(OR(ISNUMBER($DB476),$DB476=Constants!$B$11,$DB476=Constants!$B$9,$DB476=Constants!$B$10),1,0)</f>
        <v>0</v>
      </c>
      <c r="DF476" s="149" t="n">
        <v>468</v>
      </c>
      <c r="DG476" s="149" t="str">
        <f aca="false">IF(ISBLANK($C476),"",IF(ISNUMBER($DC476),$DC476+ROW($B476)/1000,""))</f>
        <v/>
      </c>
      <c r="DH476" s="149" t="str">
        <f aca="false">IF(ISNUMBER($DG476),RANK($DG476,$DG$9:$DG$508,1),"")</f>
        <v/>
      </c>
      <c r="DI476" s="149" t="str">
        <f aca="false">IF(ISBLANK($C476),"",$B476)</f>
        <v/>
      </c>
      <c r="DJ476" s="149" t="str">
        <f aca="false">IF(ISBLANK($C476),"",$C476)</f>
        <v/>
      </c>
      <c r="DK476" s="149" t="str">
        <f aca="false">IF(ISBLANK($C476),"",$D476)</f>
        <v/>
      </c>
      <c r="DL476" s="150" t="str">
        <f aca="false">$CZ476</f>
        <v/>
      </c>
      <c r="DM476" s="151" t="str">
        <f aca="false">$CY476</f>
        <v/>
      </c>
      <c r="DN476" s="149" t="str">
        <f aca="false">IF(ISBLANK($C476),"",$DB476)</f>
        <v/>
      </c>
      <c r="DO476" s="152" t="str">
        <f aca="false">IF($DF476&gt;$DE$8,"",VLOOKUP($DF476,$DH$9:$DN$508,7,FALSE()))</f>
        <v/>
      </c>
      <c r="DP476" s="153" t="str">
        <f aca="false">IF($DF476&gt;$DE$8,"",VLOOKUP($DF476,$DH$9:$DN$508,2,FALSE()))</f>
        <v/>
      </c>
      <c r="DQ476" s="153" t="str">
        <f aca="false">IF($DF476&gt;$DE$8,"",VLOOKUP($DF476,$DH$9:$DN$508,3,FALSE()))</f>
        <v/>
      </c>
      <c r="DR476" s="153" t="str">
        <f aca="false">IF($DF476&gt;$DE$8,"",VLOOKUP($DF476,$DH$9:$DN$508,4,FALSE()))</f>
        <v/>
      </c>
      <c r="DS476" s="153" t="str">
        <f aca="false">IF($DF476&gt;$DE$8,"",VLOOKUP($DF476,$DH$9:$DN$508,5,FALSE()))</f>
        <v/>
      </c>
      <c r="DT476" s="154" t="str">
        <f aca="false">IF($DF476&gt;$DE$8,"",VLOOKUP($DF476,$DH$9:$DN$508,6,FALSE()))</f>
        <v/>
      </c>
      <c r="DU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IF(ISBLANK($C477),"",IF(E477=Constants!$B$3,TRUE(),IF(E477=Constants!$B$4,FALSE(),TRUE())))</f>
        <v/>
      </c>
      <c r="AG477" s="93" t="str">
        <f aca="false">IF(ISBLANK($C477),"",IF(F477=Constants!$B$3,TRUE(),IF(F477=Constants!$B$4,FALSE(),TRUE())))</f>
        <v/>
      </c>
      <c r="AH477" s="93" t="str">
        <f aca="false">IF(ISBLANK($C477),"",IF(G477=Constants!$B$3,TRUE(),IF(G477=Constants!$B$4,FALSE(),TRUE())))</f>
        <v/>
      </c>
      <c r="AI477" s="93" t="str">
        <f aca="false">IF(ISBLANK($C477),"",IF(AND(ISNUMBER(H477),H477&gt;=0),H477,Constants!$B$29))</f>
        <v/>
      </c>
      <c r="AJ477" s="93" t="str">
        <f aca="false">IF(ISBLANK($C477),"",IF(I477=Constants!$B$3,TRUE(),IF(I477=Constants!$B$4,FALSE(),TRUE())))</f>
        <v/>
      </c>
      <c r="AK477" s="93" t="str">
        <f aca="false">IF(ISBLANK($C477),"",IF(J477=Constants!$B$3,TRUE(),IF(J477=Constants!$B$4,FALSE(),TRUE())))</f>
        <v/>
      </c>
      <c r="AL477" s="93" t="str">
        <f aca="false">IF(ISBLANK($C477),"",IF(K477=Constants!$B$5,TRUE(),IF(K477=Constants!$B$6,FALSE(),COUNTA(L477:P477)&gt;0)))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IF(ISBLANK($C477),"",IF(N477=Constants!$B$3,TRUE(),IF(N477=Constants!$B$4,FALSE(),TRUE())))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IF(ISBLANK($C477),"",IF(P477=Constants!$B$3,TRUE(),IF(P477=Constants!$B$4,FALSE(),FALSE())))</f>
        <v/>
      </c>
      <c r="AR477" s="93" t="str">
        <f aca="false">IF(ISBLANK($C477),"",IF(Q477=Constants!$B$3,TRUE(),IF(Q477=Constants!$B$4,FALSE(),TRUE())))</f>
        <v/>
      </c>
      <c r="AS477" s="93" t="str">
        <f aca="false">IF(ISBLANK($C477),"",IF(R477=Constants!$B$3,TRUE(),IF(R477=Constants!$B$4,FALSE(),TRUE())))</f>
        <v/>
      </c>
      <c r="AT477" s="93" t="str">
        <f aca="false">IF(ISBLANK($C477),"",IF(S477=Constants!$B$5,TRUE(),IF(S477=Constants!$B$6,FALSE(),COUNTA(T477:X477)&gt;0)))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IF(ISBLANK($C477),"",IF(V477=Constants!$B$3,TRUE(),IF(V477=Constants!$B$4,FALSE(),TRUE())))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IF(ISBLANK($C477),"",IF(X477=Constants!$B$3,TRUE(),IF(X477=Constants!$B$4,FALSE(),FALSE())))</f>
        <v/>
      </c>
      <c r="AZ477" s="93" t="str">
        <f aca="false">IF(ISBLANK($C477),"",MIN(Constants!$B$31,MAX(0,IF(ISNUMBER(Y477),Y477*60,0)+IF(ISNUMBER(Z477),Z477,0))))</f>
        <v/>
      </c>
      <c r="BA477" s="93" t="str">
        <f aca="false">IF(ISBLANK($C477),"",IF(AA477=Constants!$B$3,TRUE(),IF(AA477=Constants!$B$4,FALSE(),FALSE())))</f>
        <v/>
      </c>
      <c r="BB477" s="92" t="str">
        <f aca="false">IF(ISBLANK($C477),"",AND($AL477,OR($AM477="",$AN477="",AND($AO477,$AP477=""))))</f>
        <v/>
      </c>
      <c r="BC477" s="94" t="str">
        <f aca="false">IF($BZ477&lt;&gt;Constants!$B$8,"",IF($AL477,Constants!$B$21*$AN477+Constants!$B$22*IF($AO477,$AP477,Constants!$B$23),Constants!$B$24))</f>
        <v/>
      </c>
      <c r="BD477" s="97" t="str">
        <f aca="false">IF($BZ477&lt;&gt;Constants!$B$8,"",Constants!$B$25*ABS($AD$9-IF($AL477,$AM477,0)))</f>
        <v/>
      </c>
      <c r="BE477" s="97" t="str">
        <f aca="false">IF($BZ477&lt;&gt;Constants!$B$8,"",IF(AND($AL477,$AQ477,$AO477),Constants!$B$27,0))</f>
        <v/>
      </c>
      <c r="BF477" s="97" t="str">
        <f aca="false">IF($BZ477&lt;&gt;Constants!$B$8,"",IF($AL477,($AI477-Constants!$B$29)*Constants!$B$28,0))</f>
        <v/>
      </c>
      <c r="BG477" s="97" t="str">
        <f aca="false">IF($BZ477&lt;&gt;Constants!$B$8,"",IF($AK477,0,Constants!$B$15)+IF($AJ477,0,Constants!$B$16)+IF($AH477,0,Constants!$B$17))</f>
        <v/>
      </c>
      <c r="BH477" s="98" t="str">
        <f aca="false">IF($BZ477&lt;&gt;Constants!$B$8,"",Constants!$B$20+SUM($BC477:$BG477))</f>
        <v/>
      </c>
      <c r="BI477" s="97" t="str">
        <f aca="false">IF($BZ477&lt;&gt;Constants!$B$8,"",$BC477)</f>
        <v/>
      </c>
      <c r="BJ477" s="97" t="str">
        <f aca="false">IF($BZ477&lt;&gt;Constants!$B$8,"",$BD477)</f>
        <v/>
      </c>
      <c r="BK477" s="97" t="str">
        <f aca="false">IF($BZ477&lt;&gt;Constants!$B$8,"",IF($AL477,$AN477,""))</f>
        <v/>
      </c>
      <c r="BL477" s="99" t="str">
        <f aca="false">IF($BZ477&lt;&gt;Constants!$B$8,"",$AI477)</f>
        <v/>
      </c>
      <c r="BM477" s="93" t="str">
        <f aca="false">IF($BZ477&lt;&gt;Constants!$B$8,"",IF(OR($BT477&lt;$BH477,AND($BT477=$BH477,OR($BU477&lt;$BI477,AND($BU477=$BI477,OR($BV477&lt;$BJ477,AND($BV477=$BJ477,OR(AND(ISNUMBER($BW477),OR(NOT(ISNUMBER($BK477)),$BW477&lt;$BK477)),AND(OR(AND($BW477="",$BK477=""),AND(ISNUMBER($BW477),ISNUMBER($BK477),$BW477=$BK477)),$BX477&lt;$BL477)))))))),"-&gt;","&lt;-"))</f>
        <v/>
      </c>
      <c r="BN477" s="92" t="str">
        <f aca="false">IF(ISBLANK($C477),"",AND($AT477,OR($AU477="",$AV477="",AND($AW477,$AX477=""))))</f>
        <v/>
      </c>
      <c r="BO477" s="94" t="str">
        <f aca="false">IF($BZ477&lt;&gt;Constants!$B$8,"",IF($AT477,Constants!$B$21*$AV477+Constants!$B$22*IF($AW477,$AX477,Constants!$B$23),Constants!$B$24))</f>
        <v/>
      </c>
      <c r="BP477" s="97" t="str">
        <f aca="false">IF($BZ477&lt;&gt;Constants!$B$8,"",Constants!$B$25*ABS($AD$9-IF($AT477,$AU477,0)))</f>
        <v/>
      </c>
      <c r="BQ477" s="97" t="str">
        <f aca="false">IF($BZ477&lt;&gt;Constants!$B$8,"",IF(AND($AT477,$AY477,$AW477),Constants!$B$27,0))</f>
        <v/>
      </c>
      <c r="BR477" s="97" t="str">
        <f aca="false">IF($BZ477&lt;&gt;Constants!$B$8,"",IF($AT477,($AI477-Constants!$B$29)*Constants!$B$28,0))</f>
        <v/>
      </c>
      <c r="BS477" s="97" t="str">
        <f aca="false">IF($BZ477&lt;&gt;Constants!$B$8,"",IF($AS477,0,Constants!$B$15)+IF($AR477,0,Constants!$B$16)+IF($AH477,0,Constants!$B$17))</f>
        <v/>
      </c>
      <c r="BT477" s="98" t="str">
        <f aca="false">IF($BZ477&lt;&gt;Constants!$B$8,"",Constants!$B$20+SUM($BO477:$BS477))</f>
        <v/>
      </c>
      <c r="BU477" s="97" t="str">
        <f aca="false">IF($BZ477&lt;&gt;Constants!$B$8,"",$BO477)</f>
        <v/>
      </c>
      <c r="BV477" s="97" t="str">
        <f aca="false">IF($BZ477&lt;&gt;Constants!$B$8,"",$BP477)</f>
        <v/>
      </c>
      <c r="BW477" s="97" t="str">
        <f aca="false">IF($BZ477&lt;&gt;Constants!$B$8,"",IF($AT477,$AV477,""))</f>
        <v/>
      </c>
      <c r="BX477" s="99" t="str">
        <f aca="false">IF($BZ477&lt;&gt;Constants!$B$8,"",$AI477)</f>
        <v/>
      </c>
      <c r="BY477" s="93" t="str">
        <f aca="false">IF(ISBLANK($C477),"",IF(ISBLANK($D$7),$BY$5,IF(NOT(ISNUMBER($D$7)),$BY$6,"")))</f>
        <v/>
      </c>
      <c r="BZ477" s="93" t="str">
        <f aca="false">IF(ISBLANK($C477),"",IF($BA477,Constants!$B$11,IF(COUNTA($E477:$AA477)=0,Constants!$B$10,IF(NOT($AG477),Constants!$B$9,IF(OR($BY477&lt;&gt;"",$BB477,$BN477),Constants!$B$12,Constants!$B$8)))))</f>
        <v/>
      </c>
      <c r="CA477" s="93" t="str">
        <f aca="false">IF(ISBLANK($C477),"",IF($BZ477&lt;&gt;Constants!$B$8,$BZ477,Constants!$B$13))</f>
        <v/>
      </c>
      <c r="CB477" s="97" t="str">
        <f aca="false">IF($BZ477&lt;&gt;Constants!$B$8,"",IF($BM477="-&gt;",$BT477,$BH477))</f>
        <v/>
      </c>
      <c r="CC477" s="97" t="str">
        <f aca="false">IF($BZ477&lt;&gt;Constants!$B$8,"",IF($AF477,0,Constants!$B$18))</f>
        <v/>
      </c>
      <c r="CD477" s="97" t="str">
        <f aca="false">IF($BZ477&lt;&gt;Constants!$B$8,"",((Constants!$B$31-$AZ477)-Constants!$B$31)/Constants!$B$32)</f>
        <v/>
      </c>
      <c r="CE477" s="97" t="str">
        <f aca="false">IF(ISBLANK($C477),"",IF($BZ477&lt;&gt;Constants!$B$8,$BZ477,SUM($CB477:$CD477)))</f>
        <v/>
      </c>
      <c r="CF477" s="93" t="str">
        <f aca="false">IF(ISBLANK($C477),"",IF($BZ477&lt;&gt;Constants!$B$8,$BZ477,RANK($CE477,$CE$9:$CE$508,1)))</f>
        <v/>
      </c>
      <c r="CG477" s="97" t="str">
        <f aca="false">IF($BZ477&lt;&gt;Constants!$B$8,"",IF($BM477="-&gt;",$BU477,$BI477))</f>
        <v/>
      </c>
      <c r="CH477" s="93" t="str">
        <f aca="false">IF(ISBLANK($C477),"",IF($BZ477&lt;&gt;Constants!$B$8,$BZ477,IF(ISNUMBER($CG477),RANK($CG477,$CG$9:$CG$508,1),COUNT($CG$9:$CG$508)+1)))</f>
        <v/>
      </c>
      <c r="CI477" s="97" t="str">
        <f aca="false">IF($BZ477&lt;&gt;Constants!$B$8,"",IF($BM477="-&gt;",$BV477,$BJ477))</f>
        <v/>
      </c>
      <c r="CJ477" s="93" t="str">
        <f aca="false">IF(ISBLANK($C477),"",IF($BZ477&lt;&gt;Constants!$B$8,$BZ477,IF(ISNUMBER($CI477),RANK($CI477,$CI$9:$CI$508,1),COUNT($CI$9:$CI$508)+1)))</f>
        <v/>
      </c>
      <c r="CK477" s="97" t="str">
        <f aca="false">IF($BZ477&lt;&gt;Constants!$B$8,"",IF($BM477="-&gt;",$BW477,$BK477))</f>
        <v/>
      </c>
      <c r="CL477" s="93" t="str">
        <f aca="false">IF(ISBLANK($C477),"",IF($BZ477&lt;&gt;Constants!$B$8,$BZ477,IF(ISNUMBER($CK477),RANK($CK477,$CK$9:$CK$508,1),COUNT($CK$9:$CK$508)+1)))</f>
        <v/>
      </c>
      <c r="CM477" s="97" t="str">
        <f aca="false">IF($BZ477&lt;&gt;Constants!$B$8,"",IF(AND(NOT($AL477),NOT($AT477),$AJ477,$AK477,$AR477,$AS477),"",IF($BM477="-&gt;",$BX477,$BL477)))</f>
        <v/>
      </c>
      <c r="CN477" s="93" t="str">
        <f aca="false">IF(ISBLANK($C477),"",IF($BZ477&lt;&gt;Constants!$B$8,$BZ477,IF(ISNUMBER($CM477),RANK($CM477,$CM$9:$CM$508,1),COUNT($CM$9:$CM$508)+1)))</f>
        <v/>
      </c>
      <c r="CO477" s="93" t="str">
        <f aca="false">IF(ISBLANK($C477),"",IF($BZ477&lt;&gt;Constants!$B$8,$BZ477,COUNTIFS($CF$9:$CF$508,"&lt;"&amp;$CF477)+COUNTIFS($CF$9:$CF$508,$CF477,$CH$9:$CH$508,"&lt;"&amp;$CH477)+COUNTIFS($CF$9:$CF$508,$CF477,$CH$9:$CH$508,$CH477,$CJ$9:$CJ$508,"&lt;"&amp;$CJ477)+COUNTIFS($CF$9:$CF$508,$CF477,$CH$9:$CH$508,$CH477,$CJ$9:$CJ$508,$CJ477,$CL$9:$CL$508,"&lt;"&amp;$CL477)+COUNTIFS($CF$9:$CF$508,$CF477,$CH$9:$CH$508,$CH477,$CJ$9:$CJ$508,$CJ477,$CL$9:$CL$508,$CL477,$CN$9:$CN$508,"&lt;"&amp;$CN477)+1))</f>
        <v/>
      </c>
      <c r="CP477" s="93" t="str">
        <f aca="false">IF(ISBLANK($C477),"",IF($BZ477&lt;&gt;Constants!$B$8,$BZ477,$CF477-$CO477))</f>
        <v/>
      </c>
      <c r="CQ477" s="100"/>
      <c r="CR477" s="101"/>
      <c r="CS477" s="102" t="str">
        <f aca="false">IF(ISBLANK($C477),"",IF($BZ477=Constants!$B$12,$BY477,""))</f>
        <v/>
      </c>
      <c r="CT477" s="101" t="str">
        <f aca="false">IF(ISBLANK($C477),"",IF($BZ477&lt;&gt;Constants!$B$8,"",IF($BM477="-&gt;",2,1)))</f>
        <v/>
      </c>
      <c r="CU477" s="103" t="str">
        <f aca="false">IF(ISBLANK($C477),"",IF($BZ477&lt;&gt;Constants!$B$8,"",IF($BM477="-&gt;",$BO477,$BC477)))</f>
        <v/>
      </c>
      <c r="CV477" s="103" t="str">
        <f aca="false">IF(ISBLANK($C477),"",IF($BZ477&lt;&gt;Constants!$B$8,"",IF($BM477="-&gt;",$BP477,$BD477)))</f>
        <v/>
      </c>
      <c r="CW477" s="103" t="str">
        <f aca="false">IF(ISBLANK($C477),"",IF($BZ477&lt;&gt;Constants!$B$8,"",IF($BM477="-&gt;",$BQ477+$BR477,$BE477+$BF477)+$CD477))</f>
        <v/>
      </c>
      <c r="CX477" s="103" t="str">
        <f aca="false">IF(ISBLANK($C477),"",IF($BZ477&lt;&gt;Constants!$B$8,"",IF($BM477="-&gt;",$BS477,$BG477)+$CC477))</f>
        <v/>
      </c>
      <c r="CY477" s="104" t="str">
        <f aca="false">IF(ISBLANK($C477),"",IF($BZ477&lt;&gt;Constants!$B$8,$BZ477,$CE477))</f>
        <v/>
      </c>
      <c r="CZ477" s="105" t="str">
        <f aca="false">IF(ISBLANK($C477),"",$CA477)</f>
        <v/>
      </c>
      <c r="DA477" s="106" t="str">
        <f aca="false">IF(ISBLANK($C477),"",$CP477)</f>
        <v/>
      </c>
      <c r="DB477" s="106" t="str">
        <f aca="false">IF(ISBLANK($C477),"",$CO477)</f>
        <v/>
      </c>
      <c r="DC477" s="107" t="str">
        <f aca="false">IF(ISBLANK($C477),"",IFERROR(_xlfn.SWITCH($DB477,Constants!$B$11,COUNTA($C$9:$C$508)+2,Constants!$B$10,COUNTA($C$9:$C$508)+1,Constants!$B$9,COUNTA($C$9:$C$508)),$DB477))</f>
        <v/>
      </c>
      <c r="DD477" s="9"/>
      <c r="DE477" s="108" t="n">
        <f aca="false">IF(OR(ISNUMBER($DB477),$DB477=Constants!$B$11,$DB477=Constants!$B$9,$DB477=Constants!$B$10),1,0)</f>
        <v>0</v>
      </c>
      <c r="DF477" s="108" t="n">
        <v>469</v>
      </c>
      <c r="DG477" s="108" t="str">
        <f aca="false">IF(ISBLANK($C477),"",IF(ISNUMBER($DC477),$DC477+ROW($B477)/1000,""))</f>
        <v/>
      </c>
      <c r="DH477" s="108" t="str">
        <f aca="false">IF(ISNUMBER($DG477),RANK($DG477,$DG$9:$DG$508,1),"")</f>
        <v/>
      </c>
      <c r="DI477" s="108" t="str">
        <f aca="false">IF(ISBLANK($C477),"",$B477)</f>
        <v/>
      </c>
      <c r="DJ477" s="108" t="str">
        <f aca="false">IF(ISBLANK($C477),"",$C477)</f>
        <v/>
      </c>
      <c r="DK477" s="108" t="str">
        <f aca="false">IF(ISBLANK($C477),"",$D477)</f>
        <v/>
      </c>
      <c r="DL477" s="109" t="str">
        <f aca="false">$CZ477</f>
        <v/>
      </c>
      <c r="DM477" s="110" t="str">
        <f aca="false">$CY477</f>
        <v/>
      </c>
      <c r="DN477" s="108" t="str">
        <f aca="false">IF(ISBLANK($C477),"",$DB477)</f>
        <v/>
      </c>
      <c r="DO477" s="111" t="str">
        <f aca="false">IF($DF477&gt;$DE$8,"",VLOOKUP($DF477,$DH$9:$DN$508,7,FALSE()))</f>
        <v/>
      </c>
      <c r="DP477" s="112" t="str">
        <f aca="false">IF($DF477&gt;$DE$8,"",VLOOKUP($DF477,$DH$9:$DN$508,2,FALSE()))</f>
        <v/>
      </c>
      <c r="DQ477" s="112" t="str">
        <f aca="false">IF($DF477&gt;$DE$8,"",VLOOKUP($DF477,$DH$9:$DN$508,3,FALSE()))</f>
        <v/>
      </c>
      <c r="DR477" s="112" t="str">
        <f aca="false">IF($DF477&gt;$DE$8,"",VLOOKUP($DF477,$DH$9:$DN$508,4,FALSE()))</f>
        <v/>
      </c>
      <c r="DS477" s="112" t="str">
        <f aca="false">IF($DF477&gt;$DE$8,"",VLOOKUP($DF477,$DH$9:$DN$508,5,FALSE()))</f>
        <v/>
      </c>
      <c r="DT477" s="113" t="str">
        <f aca="false">IF($DF477&gt;$DE$8,"",VLOOKUP($DF477,$DH$9:$DN$508,6,FALSE()))</f>
        <v/>
      </c>
      <c r="DU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IF(ISBLANK($C478),"",IF(E478=Constants!$B$3,TRUE(),IF(E478=Constants!$B$4,FALSE(),TRUE())))</f>
        <v/>
      </c>
      <c r="AG478" s="93" t="str">
        <f aca="false">IF(ISBLANK($C478),"",IF(F478=Constants!$B$3,TRUE(),IF(F478=Constants!$B$4,FALSE(),TRUE())))</f>
        <v/>
      </c>
      <c r="AH478" s="93" t="str">
        <f aca="false">IF(ISBLANK($C478),"",IF(G478=Constants!$B$3,TRUE(),IF(G478=Constants!$B$4,FALSE(),TRUE())))</f>
        <v/>
      </c>
      <c r="AI478" s="93" t="str">
        <f aca="false">IF(ISBLANK($C478),"",IF(AND(ISNUMBER(H478),H478&gt;=0),H478,Constants!$B$29))</f>
        <v/>
      </c>
      <c r="AJ478" s="93" t="str">
        <f aca="false">IF(ISBLANK($C478),"",IF(I478=Constants!$B$3,TRUE(),IF(I478=Constants!$B$4,FALSE(),TRUE())))</f>
        <v/>
      </c>
      <c r="AK478" s="93" t="str">
        <f aca="false">IF(ISBLANK($C478),"",IF(J478=Constants!$B$3,TRUE(),IF(J478=Constants!$B$4,FALSE(),TRUE())))</f>
        <v/>
      </c>
      <c r="AL478" s="93" t="str">
        <f aca="false">IF(ISBLANK($C478),"",IF(K478=Constants!$B$5,TRUE(),IF(K478=Constants!$B$6,FALSE(),COUNTA(L478:P478)&gt;0)))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IF(ISBLANK($C478),"",IF(N478=Constants!$B$3,TRUE(),IF(N478=Constants!$B$4,FALSE(),TRUE())))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IF(ISBLANK($C478),"",IF(P478=Constants!$B$3,TRUE(),IF(P478=Constants!$B$4,FALSE(),FALSE())))</f>
        <v/>
      </c>
      <c r="AR478" s="93" t="str">
        <f aca="false">IF(ISBLANK($C478),"",IF(Q478=Constants!$B$3,TRUE(),IF(Q478=Constants!$B$4,FALSE(),TRUE())))</f>
        <v/>
      </c>
      <c r="AS478" s="93" t="str">
        <f aca="false">IF(ISBLANK($C478),"",IF(R478=Constants!$B$3,TRUE(),IF(R478=Constants!$B$4,FALSE(),TRUE())))</f>
        <v/>
      </c>
      <c r="AT478" s="93" t="str">
        <f aca="false">IF(ISBLANK($C478),"",IF(S478=Constants!$B$5,TRUE(),IF(S478=Constants!$B$6,FALSE(),COUNTA(T478:X478)&gt;0)))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IF(ISBLANK($C478),"",IF(V478=Constants!$B$3,TRUE(),IF(V478=Constants!$B$4,FALSE(),TRUE())))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IF(ISBLANK($C478),"",IF(X478=Constants!$B$3,TRUE(),IF(X478=Constants!$B$4,FALSE(),FALSE())))</f>
        <v/>
      </c>
      <c r="AZ478" s="93" t="str">
        <f aca="false">IF(ISBLANK($C478),"",MIN(Constants!$B$31,MAX(0,IF(ISNUMBER(Y478),Y478*60,0)+IF(ISNUMBER(Z478),Z478,0))))</f>
        <v/>
      </c>
      <c r="BA478" s="93" t="str">
        <f aca="false">IF(ISBLANK($C478),"",IF(AA478=Constants!$B$3,TRUE(),IF(AA478=Constants!$B$4,FALSE(),FALSE())))</f>
        <v/>
      </c>
      <c r="BB478" s="92" t="str">
        <f aca="false">IF(ISBLANK($C478),"",AND($AL478,OR($AM478="",$AN478="",AND($AO478,$AP478=""))))</f>
        <v/>
      </c>
      <c r="BC478" s="94" t="str">
        <f aca="false">IF($BZ478&lt;&gt;Constants!$B$8,"",IF($AL478,Constants!$B$21*$AN478+Constants!$B$22*IF($AO478,$AP478,Constants!$B$23),Constants!$B$24))</f>
        <v/>
      </c>
      <c r="BD478" s="97" t="str">
        <f aca="false">IF($BZ478&lt;&gt;Constants!$B$8,"",Constants!$B$25*ABS($AD$9-IF($AL478,$AM478,0)))</f>
        <v/>
      </c>
      <c r="BE478" s="97" t="str">
        <f aca="false">IF($BZ478&lt;&gt;Constants!$B$8,"",IF(AND($AL478,$AQ478,$AO478),Constants!$B$27,0))</f>
        <v/>
      </c>
      <c r="BF478" s="97" t="str">
        <f aca="false">IF($BZ478&lt;&gt;Constants!$B$8,"",IF($AL478,($AI478-Constants!$B$29)*Constants!$B$28,0))</f>
        <v/>
      </c>
      <c r="BG478" s="97" t="str">
        <f aca="false">IF($BZ478&lt;&gt;Constants!$B$8,"",IF($AK478,0,Constants!$B$15)+IF($AJ478,0,Constants!$B$16)+IF($AH478,0,Constants!$B$17))</f>
        <v/>
      </c>
      <c r="BH478" s="98" t="str">
        <f aca="false">IF($BZ478&lt;&gt;Constants!$B$8,"",Constants!$B$20+SUM($BC478:$BG478))</f>
        <v/>
      </c>
      <c r="BI478" s="97" t="str">
        <f aca="false">IF($BZ478&lt;&gt;Constants!$B$8,"",$BC478)</f>
        <v/>
      </c>
      <c r="BJ478" s="97" t="str">
        <f aca="false">IF($BZ478&lt;&gt;Constants!$B$8,"",$BD478)</f>
        <v/>
      </c>
      <c r="BK478" s="97" t="str">
        <f aca="false">IF($BZ478&lt;&gt;Constants!$B$8,"",IF($AL478,$AN478,""))</f>
        <v/>
      </c>
      <c r="BL478" s="99" t="str">
        <f aca="false">IF($BZ478&lt;&gt;Constants!$B$8,"",$AI478)</f>
        <v/>
      </c>
      <c r="BM478" s="93" t="str">
        <f aca="false">IF($BZ478&lt;&gt;Constants!$B$8,"",IF(OR($BT478&lt;$BH478,AND($BT478=$BH478,OR($BU478&lt;$BI478,AND($BU478=$BI478,OR($BV478&lt;$BJ478,AND($BV478=$BJ478,OR(AND(ISNUMBER($BW478),OR(NOT(ISNUMBER($BK478)),$BW478&lt;$BK478)),AND(OR(AND($BW478="",$BK478=""),AND(ISNUMBER($BW478),ISNUMBER($BK478),$BW478=$BK478)),$BX478&lt;$BL478)))))))),"-&gt;","&lt;-"))</f>
        <v/>
      </c>
      <c r="BN478" s="92" t="str">
        <f aca="false">IF(ISBLANK($C478),"",AND($AT478,OR($AU478="",$AV478="",AND($AW478,$AX478=""))))</f>
        <v/>
      </c>
      <c r="BO478" s="94" t="str">
        <f aca="false">IF($BZ478&lt;&gt;Constants!$B$8,"",IF($AT478,Constants!$B$21*$AV478+Constants!$B$22*IF($AW478,$AX478,Constants!$B$23),Constants!$B$24))</f>
        <v/>
      </c>
      <c r="BP478" s="97" t="str">
        <f aca="false">IF($BZ478&lt;&gt;Constants!$B$8,"",Constants!$B$25*ABS($AD$9-IF($AT478,$AU478,0)))</f>
        <v/>
      </c>
      <c r="BQ478" s="97" t="str">
        <f aca="false">IF($BZ478&lt;&gt;Constants!$B$8,"",IF(AND($AT478,$AY478,$AW478),Constants!$B$27,0))</f>
        <v/>
      </c>
      <c r="BR478" s="97" t="str">
        <f aca="false">IF($BZ478&lt;&gt;Constants!$B$8,"",IF($AT478,($AI478-Constants!$B$29)*Constants!$B$28,0))</f>
        <v/>
      </c>
      <c r="BS478" s="97" t="str">
        <f aca="false">IF($BZ478&lt;&gt;Constants!$B$8,"",IF($AS478,0,Constants!$B$15)+IF($AR478,0,Constants!$B$16)+IF($AH478,0,Constants!$B$17))</f>
        <v/>
      </c>
      <c r="BT478" s="98" t="str">
        <f aca="false">IF($BZ478&lt;&gt;Constants!$B$8,"",Constants!$B$20+SUM($BO478:$BS478))</f>
        <v/>
      </c>
      <c r="BU478" s="97" t="str">
        <f aca="false">IF($BZ478&lt;&gt;Constants!$B$8,"",$BO478)</f>
        <v/>
      </c>
      <c r="BV478" s="97" t="str">
        <f aca="false">IF($BZ478&lt;&gt;Constants!$B$8,"",$BP478)</f>
        <v/>
      </c>
      <c r="BW478" s="97" t="str">
        <f aca="false">IF($BZ478&lt;&gt;Constants!$B$8,"",IF($AT478,$AV478,""))</f>
        <v/>
      </c>
      <c r="BX478" s="99" t="str">
        <f aca="false">IF($BZ478&lt;&gt;Constants!$B$8,"",$AI478)</f>
        <v/>
      </c>
      <c r="BY478" s="93" t="str">
        <f aca="false">IF(ISBLANK($C478),"",IF(ISBLANK($D$7),$BY$5,IF(NOT(ISNUMBER($D$7)),$BY$6,"")))</f>
        <v/>
      </c>
      <c r="BZ478" s="93" t="str">
        <f aca="false">IF(ISBLANK($C478),"",IF($BA478,Constants!$B$11,IF(COUNTA($E478:$AA478)=0,Constants!$B$10,IF(NOT($AG478),Constants!$B$9,IF(OR($BY478&lt;&gt;"",$BB478,$BN478),Constants!$B$12,Constants!$B$8)))))</f>
        <v/>
      </c>
      <c r="CA478" s="93" t="str">
        <f aca="false">IF(ISBLANK($C478),"",IF($BZ478&lt;&gt;Constants!$B$8,$BZ478,Constants!$B$13))</f>
        <v/>
      </c>
      <c r="CB478" s="97" t="str">
        <f aca="false">IF($BZ478&lt;&gt;Constants!$B$8,"",IF($BM478="-&gt;",$BT478,$BH478))</f>
        <v/>
      </c>
      <c r="CC478" s="97" t="str">
        <f aca="false">IF($BZ478&lt;&gt;Constants!$B$8,"",IF($AF478,0,Constants!$B$18))</f>
        <v/>
      </c>
      <c r="CD478" s="97" t="str">
        <f aca="false">IF($BZ478&lt;&gt;Constants!$B$8,"",((Constants!$B$31-$AZ478)-Constants!$B$31)/Constants!$B$32)</f>
        <v/>
      </c>
      <c r="CE478" s="97" t="str">
        <f aca="false">IF(ISBLANK($C478),"",IF($BZ478&lt;&gt;Constants!$B$8,$BZ478,SUM($CB478:$CD478)))</f>
        <v/>
      </c>
      <c r="CF478" s="93" t="str">
        <f aca="false">IF(ISBLANK($C478),"",IF($BZ478&lt;&gt;Constants!$B$8,$BZ478,RANK($CE478,$CE$9:$CE$508,1)))</f>
        <v/>
      </c>
      <c r="CG478" s="97" t="str">
        <f aca="false">IF($BZ478&lt;&gt;Constants!$B$8,"",IF($BM478="-&gt;",$BU478,$BI478))</f>
        <v/>
      </c>
      <c r="CH478" s="93" t="str">
        <f aca="false">IF(ISBLANK($C478),"",IF($BZ478&lt;&gt;Constants!$B$8,$BZ478,IF(ISNUMBER($CG478),RANK($CG478,$CG$9:$CG$508,1),COUNT($CG$9:$CG$508)+1)))</f>
        <v/>
      </c>
      <c r="CI478" s="97" t="str">
        <f aca="false">IF($BZ478&lt;&gt;Constants!$B$8,"",IF($BM478="-&gt;",$BV478,$BJ478))</f>
        <v/>
      </c>
      <c r="CJ478" s="93" t="str">
        <f aca="false">IF(ISBLANK($C478),"",IF($BZ478&lt;&gt;Constants!$B$8,$BZ478,IF(ISNUMBER($CI478),RANK($CI478,$CI$9:$CI$508,1),COUNT($CI$9:$CI$508)+1)))</f>
        <v/>
      </c>
      <c r="CK478" s="97" t="str">
        <f aca="false">IF($BZ478&lt;&gt;Constants!$B$8,"",IF($BM478="-&gt;",$BW478,$BK478))</f>
        <v/>
      </c>
      <c r="CL478" s="93" t="str">
        <f aca="false">IF(ISBLANK($C478),"",IF($BZ478&lt;&gt;Constants!$B$8,$BZ478,IF(ISNUMBER($CK478),RANK($CK478,$CK$9:$CK$508,1),COUNT($CK$9:$CK$508)+1)))</f>
        <v/>
      </c>
      <c r="CM478" s="97" t="str">
        <f aca="false">IF($BZ478&lt;&gt;Constants!$B$8,"",IF(AND(NOT($AL478),NOT($AT478),$AJ478,$AK478,$AR478,$AS478),"",IF($BM478="-&gt;",$BX478,$BL478)))</f>
        <v/>
      </c>
      <c r="CN478" s="93" t="str">
        <f aca="false">IF(ISBLANK($C478),"",IF($BZ478&lt;&gt;Constants!$B$8,$BZ478,IF(ISNUMBER($CM478),RANK($CM478,$CM$9:$CM$508,1),COUNT($CM$9:$CM$508)+1)))</f>
        <v/>
      </c>
      <c r="CO478" s="93" t="str">
        <f aca="false">IF(ISBLANK($C478),"",IF($BZ478&lt;&gt;Constants!$B$8,$BZ478,COUNTIFS($CF$9:$CF$508,"&lt;"&amp;$CF478)+COUNTIFS($CF$9:$CF$508,$CF478,$CH$9:$CH$508,"&lt;"&amp;$CH478)+COUNTIFS($CF$9:$CF$508,$CF478,$CH$9:$CH$508,$CH478,$CJ$9:$CJ$508,"&lt;"&amp;$CJ478)+COUNTIFS($CF$9:$CF$508,$CF478,$CH$9:$CH$508,$CH478,$CJ$9:$CJ$508,$CJ478,$CL$9:$CL$508,"&lt;"&amp;$CL478)+COUNTIFS($CF$9:$CF$508,$CF478,$CH$9:$CH$508,$CH478,$CJ$9:$CJ$508,$CJ478,$CL$9:$CL$508,$CL478,$CN$9:$CN$508,"&lt;"&amp;$CN478)+1))</f>
        <v/>
      </c>
      <c r="CP478" s="93" t="str">
        <f aca="false">IF(ISBLANK($C478),"",IF($BZ478&lt;&gt;Constants!$B$8,$BZ478,$CF478-$CO478))</f>
        <v/>
      </c>
      <c r="CQ478" s="100"/>
      <c r="CR478" s="101"/>
      <c r="CS478" s="102" t="str">
        <f aca="false">IF(ISBLANK($C478),"",IF($BZ478=Constants!$B$12,$BY478,""))</f>
        <v/>
      </c>
      <c r="CT478" s="101" t="str">
        <f aca="false">IF(ISBLANK($C478),"",IF($BZ478&lt;&gt;Constants!$B$8,"",IF($BM478="-&gt;",2,1)))</f>
        <v/>
      </c>
      <c r="CU478" s="103" t="str">
        <f aca="false">IF(ISBLANK($C478),"",IF($BZ478&lt;&gt;Constants!$B$8,"",IF($BM478="-&gt;",$BO478,$BC478)))</f>
        <v/>
      </c>
      <c r="CV478" s="103" t="str">
        <f aca="false">IF(ISBLANK($C478),"",IF($BZ478&lt;&gt;Constants!$B$8,"",IF($BM478="-&gt;",$BP478,$BD478)))</f>
        <v/>
      </c>
      <c r="CW478" s="103" t="str">
        <f aca="false">IF(ISBLANK($C478),"",IF($BZ478&lt;&gt;Constants!$B$8,"",IF($BM478="-&gt;",$BQ478+$BR478,$BE478+$BF478)+$CD478))</f>
        <v/>
      </c>
      <c r="CX478" s="103" t="str">
        <f aca="false">IF(ISBLANK($C478),"",IF($BZ478&lt;&gt;Constants!$B$8,"",IF($BM478="-&gt;",$BS478,$BG478)+$CC478))</f>
        <v/>
      </c>
      <c r="CY478" s="104" t="str">
        <f aca="false">IF(ISBLANK($C478),"",IF($BZ478&lt;&gt;Constants!$B$8,$BZ478,$CE478))</f>
        <v/>
      </c>
      <c r="CZ478" s="105" t="str">
        <f aca="false">IF(ISBLANK($C478),"",$CA478)</f>
        <v/>
      </c>
      <c r="DA478" s="106" t="str">
        <f aca="false">IF(ISBLANK($C478),"",$CP478)</f>
        <v/>
      </c>
      <c r="DB478" s="106" t="str">
        <f aca="false">IF(ISBLANK($C478),"",$CO478)</f>
        <v/>
      </c>
      <c r="DC478" s="107" t="str">
        <f aca="false">IF(ISBLANK($C478),"",IFERROR(_xlfn.SWITCH($DB478,Constants!$B$11,COUNTA($C$9:$C$508)+2,Constants!$B$10,COUNTA($C$9:$C$508)+1,Constants!$B$9,COUNTA($C$9:$C$508)),$DB478))</f>
        <v/>
      </c>
      <c r="DD478" s="9"/>
      <c r="DE478" s="108" t="n">
        <f aca="false">IF(OR(ISNUMBER($DB478),$DB478=Constants!$B$11,$DB478=Constants!$B$9,$DB478=Constants!$B$10),1,0)</f>
        <v>0</v>
      </c>
      <c r="DF478" s="108" t="n">
        <v>470</v>
      </c>
      <c r="DG478" s="108" t="str">
        <f aca="false">IF(ISBLANK($C478),"",IF(ISNUMBER($DC478),$DC478+ROW($B478)/1000,""))</f>
        <v/>
      </c>
      <c r="DH478" s="108" t="str">
        <f aca="false">IF(ISNUMBER($DG478),RANK($DG478,$DG$9:$DG$508,1),"")</f>
        <v/>
      </c>
      <c r="DI478" s="108" t="str">
        <f aca="false">IF(ISBLANK($C478),"",$B478)</f>
        <v/>
      </c>
      <c r="DJ478" s="108" t="str">
        <f aca="false">IF(ISBLANK($C478),"",$C478)</f>
        <v/>
      </c>
      <c r="DK478" s="108" t="str">
        <f aca="false">IF(ISBLANK($C478),"",$D478)</f>
        <v/>
      </c>
      <c r="DL478" s="109" t="str">
        <f aca="false">$CZ478</f>
        <v/>
      </c>
      <c r="DM478" s="110" t="str">
        <f aca="false">$CY478</f>
        <v/>
      </c>
      <c r="DN478" s="108" t="str">
        <f aca="false">IF(ISBLANK($C478),"",$DB478)</f>
        <v/>
      </c>
      <c r="DO478" s="111" t="str">
        <f aca="false">IF($DF478&gt;$DE$8,"",VLOOKUP($DF478,$DH$9:$DN$508,7,FALSE()))</f>
        <v/>
      </c>
      <c r="DP478" s="112" t="str">
        <f aca="false">IF($DF478&gt;$DE$8,"",VLOOKUP($DF478,$DH$9:$DN$508,2,FALSE()))</f>
        <v/>
      </c>
      <c r="DQ478" s="112" t="str">
        <f aca="false">IF($DF478&gt;$DE$8,"",VLOOKUP($DF478,$DH$9:$DN$508,3,FALSE()))</f>
        <v/>
      </c>
      <c r="DR478" s="112" t="str">
        <f aca="false">IF($DF478&gt;$DE$8,"",VLOOKUP($DF478,$DH$9:$DN$508,4,FALSE()))</f>
        <v/>
      </c>
      <c r="DS478" s="112" t="str">
        <f aca="false">IF($DF478&gt;$DE$8,"",VLOOKUP($DF478,$DH$9:$DN$508,5,FALSE()))</f>
        <v/>
      </c>
      <c r="DT478" s="113" t="str">
        <f aca="false">IF($DF478&gt;$DE$8,"",VLOOKUP($DF478,$DH$9:$DN$508,6,FALSE()))</f>
        <v/>
      </c>
      <c r="DU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IF(ISBLANK($C479),"",IF(E479=Constants!$B$3,TRUE(),IF(E479=Constants!$B$4,FALSE(),TRUE())))</f>
        <v/>
      </c>
      <c r="AG479" s="93" t="str">
        <f aca="false">IF(ISBLANK($C479),"",IF(F479=Constants!$B$3,TRUE(),IF(F479=Constants!$B$4,FALSE(),TRUE())))</f>
        <v/>
      </c>
      <c r="AH479" s="93" t="str">
        <f aca="false">IF(ISBLANK($C479),"",IF(G479=Constants!$B$3,TRUE(),IF(G479=Constants!$B$4,FALSE(),TRUE())))</f>
        <v/>
      </c>
      <c r="AI479" s="93" t="str">
        <f aca="false">IF(ISBLANK($C479),"",IF(AND(ISNUMBER(H479),H479&gt;=0),H479,Constants!$B$29))</f>
        <v/>
      </c>
      <c r="AJ479" s="93" t="str">
        <f aca="false">IF(ISBLANK($C479),"",IF(I479=Constants!$B$3,TRUE(),IF(I479=Constants!$B$4,FALSE(),TRUE())))</f>
        <v/>
      </c>
      <c r="AK479" s="93" t="str">
        <f aca="false">IF(ISBLANK($C479),"",IF(J479=Constants!$B$3,TRUE(),IF(J479=Constants!$B$4,FALSE(),TRUE())))</f>
        <v/>
      </c>
      <c r="AL479" s="93" t="str">
        <f aca="false">IF(ISBLANK($C479),"",IF(K479=Constants!$B$5,TRUE(),IF(K479=Constants!$B$6,FALSE(),COUNTA(L479:P479)&gt;0)))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IF(ISBLANK($C479),"",IF(N479=Constants!$B$3,TRUE(),IF(N479=Constants!$B$4,FALSE(),TRUE())))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IF(ISBLANK($C479),"",IF(P479=Constants!$B$3,TRUE(),IF(P479=Constants!$B$4,FALSE(),FALSE())))</f>
        <v/>
      </c>
      <c r="AR479" s="93" t="str">
        <f aca="false">IF(ISBLANK($C479),"",IF(Q479=Constants!$B$3,TRUE(),IF(Q479=Constants!$B$4,FALSE(),TRUE())))</f>
        <v/>
      </c>
      <c r="AS479" s="93" t="str">
        <f aca="false">IF(ISBLANK($C479),"",IF(R479=Constants!$B$3,TRUE(),IF(R479=Constants!$B$4,FALSE(),TRUE())))</f>
        <v/>
      </c>
      <c r="AT479" s="93" t="str">
        <f aca="false">IF(ISBLANK($C479),"",IF(S479=Constants!$B$5,TRUE(),IF(S479=Constants!$B$6,FALSE(),COUNTA(T479:X479)&gt;0)))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IF(ISBLANK($C479),"",IF(V479=Constants!$B$3,TRUE(),IF(V479=Constants!$B$4,FALSE(),TRUE())))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IF(ISBLANK($C479),"",IF(X479=Constants!$B$3,TRUE(),IF(X479=Constants!$B$4,FALSE(),FALSE())))</f>
        <v/>
      </c>
      <c r="AZ479" s="93" t="str">
        <f aca="false">IF(ISBLANK($C479),"",MIN(Constants!$B$31,MAX(0,IF(ISNUMBER(Y479),Y479*60,0)+IF(ISNUMBER(Z479),Z479,0))))</f>
        <v/>
      </c>
      <c r="BA479" s="93" t="str">
        <f aca="false">IF(ISBLANK($C479),"",IF(AA479=Constants!$B$3,TRUE(),IF(AA479=Constants!$B$4,FALSE(),FALSE())))</f>
        <v/>
      </c>
      <c r="BB479" s="92" t="str">
        <f aca="false">IF(ISBLANK($C479),"",AND($AL479,OR($AM479="",$AN479="",AND($AO479,$AP479=""))))</f>
        <v/>
      </c>
      <c r="BC479" s="94" t="str">
        <f aca="false">IF($BZ479&lt;&gt;Constants!$B$8,"",IF($AL479,Constants!$B$21*$AN479+Constants!$B$22*IF($AO479,$AP479,Constants!$B$23),Constants!$B$24))</f>
        <v/>
      </c>
      <c r="BD479" s="97" t="str">
        <f aca="false">IF($BZ479&lt;&gt;Constants!$B$8,"",Constants!$B$25*ABS($AD$9-IF($AL479,$AM479,0)))</f>
        <v/>
      </c>
      <c r="BE479" s="97" t="str">
        <f aca="false">IF($BZ479&lt;&gt;Constants!$B$8,"",IF(AND($AL479,$AQ479,$AO479),Constants!$B$27,0))</f>
        <v/>
      </c>
      <c r="BF479" s="97" t="str">
        <f aca="false">IF($BZ479&lt;&gt;Constants!$B$8,"",IF($AL479,($AI479-Constants!$B$29)*Constants!$B$28,0))</f>
        <v/>
      </c>
      <c r="BG479" s="97" t="str">
        <f aca="false">IF($BZ479&lt;&gt;Constants!$B$8,"",IF($AK479,0,Constants!$B$15)+IF($AJ479,0,Constants!$B$16)+IF($AH479,0,Constants!$B$17))</f>
        <v/>
      </c>
      <c r="BH479" s="98" t="str">
        <f aca="false">IF($BZ479&lt;&gt;Constants!$B$8,"",Constants!$B$20+SUM($BC479:$BG479))</f>
        <v/>
      </c>
      <c r="BI479" s="97" t="str">
        <f aca="false">IF($BZ479&lt;&gt;Constants!$B$8,"",$BC479)</f>
        <v/>
      </c>
      <c r="BJ479" s="97" t="str">
        <f aca="false">IF($BZ479&lt;&gt;Constants!$B$8,"",$BD479)</f>
        <v/>
      </c>
      <c r="BK479" s="97" t="str">
        <f aca="false">IF($BZ479&lt;&gt;Constants!$B$8,"",IF($AL479,$AN479,""))</f>
        <v/>
      </c>
      <c r="BL479" s="99" t="str">
        <f aca="false">IF($BZ479&lt;&gt;Constants!$B$8,"",$AI479)</f>
        <v/>
      </c>
      <c r="BM479" s="93" t="str">
        <f aca="false">IF($BZ479&lt;&gt;Constants!$B$8,"",IF(OR($BT479&lt;$BH479,AND($BT479=$BH479,OR($BU479&lt;$BI479,AND($BU479=$BI479,OR($BV479&lt;$BJ479,AND($BV479=$BJ479,OR(AND(ISNUMBER($BW479),OR(NOT(ISNUMBER($BK479)),$BW479&lt;$BK479)),AND(OR(AND($BW479="",$BK479=""),AND(ISNUMBER($BW479),ISNUMBER($BK479),$BW479=$BK479)),$BX479&lt;$BL479)))))))),"-&gt;","&lt;-"))</f>
        <v/>
      </c>
      <c r="BN479" s="92" t="str">
        <f aca="false">IF(ISBLANK($C479),"",AND($AT479,OR($AU479="",$AV479="",AND($AW479,$AX479=""))))</f>
        <v/>
      </c>
      <c r="BO479" s="94" t="str">
        <f aca="false">IF($BZ479&lt;&gt;Constants!$B$8,"",IF($AT479,Constants!$B$21*$AV479+Constants!$B$22*IF($AW479,$AX479,Constants!$B$23),Constants!$B$24))</f>
        <v/>
      </c>
      <c r="BP479" s="97" t="str">
        <f aca="false">IF($BZ479&lt;&gt;Constants!$B$8,"",Constants!$B$25*ABS($AD$9-IF($AT479,$AU479,0)))</f>
        <v/>
      </c>
      <c r="BQ479" s="97" t="str">
        <f aca="false">IF($BZ479&lt;&gt;Constants!$B$8,"",IF(AND($AT479,$AY479,$AW479),Constants!$B$27,0))</f>
        <v/>
      </c>
      <c r="BR479" s="97" t="str">
        <f aca="false">IF($BZ479&lt;&gt;Constants!$B$8,"",IF($AT479,($AI479-Constants!$B$29)*Constants!$B$28,0))</f>
        <v/>
      </c>
      <c r="BS479" s="97" t="str">
        <f aca="false">IF($BZ479&lt;&gt;Constants!$B$8,"",IF($AS479,0,Constants!$B$15)+IF($AR479,0,Constants!$B$16)+IF($AH479,0,Constants!$B$17))</f>
        <v/>
      </c>
      <c r="BT479" s="98" t="str">
        <f aca="false">IF($BZ479&lt;&gt;Constants!$B$8,"",Constants!$B$20+SUM($BO479:$BS479))</f>
        <v/>
      </c>
      <c r="BU479" s="97" t="str">
        <f aca="false">IF($BZ479&lt;&gt;Constants!$B$8,"",$BO479)</f>
        <v/>
      </c>
      <c r="BV479" s="97" t="str">
        <f aca="false">IF($BZ479&lt;&gt;Constants!$B$8,"",$BP479)</f>
        <v/>
      </c>
      <c r="BW479" s="97" t="str">
        <f aca="false">IF($BZ479&lt;&gt;Constants!$B$8,"",IF($AT479,$AV479,""))</f>
        <v/>
      </c>
      <c r="BX479" s="99" t="str">
        <f aca="false">IF($BZ479&lt;&gt;Constants!$B$8,"",$AI479)</f>
        <v/>
      </c>
      <c r="BY479" s="93" t="str">
        <f aca="false">IF(ISBLANK($C479),"",IF(ISBLANK($D$7),$BY$5,IF(NOT(ISNUMBER($D$7)),$BY$6,"")))</f>
        <v/>
      </c>
      <c r="BZ479" s="93" t="str">
        <f aca="false">IF(ISBLANK($C479),"",IF($BA479,Constants!$B$11,IF(COUNTA($E479:$AA479)=0,Constants!$B$10,IF(NOT($AG479),Constants!$B$9,IF(OR($BY479&lt;&gt;"",$BB479,$BN479),Constants!$B$12,Constants!$B$8)))))</f>
        <v/>
      </c>
      <c r="CA479" s="93" t="str">
        <f aca="false">IF(ISBLANK($C479),"",IF($BZ479&lt;&gt;Constants!$B$8,$BZ479,Constants!$B$13))</f>
        <v/>
      </c>
      <c r="CB479" s="97" t="str">
        <f aca="false">IF($BZ479&lt;&gt;Constants!$B$8,"",IF($BM479="-&gt;",$BT479,$BH479))</f>
        <v/>
      </c>
      <c r="CC479" s="97" t="str">
        <f aca="false">IF($BZ479&lt;&gt;Constants!$B$8,"",IF($AF479,0,Constants!$B$18))</f>
        <v/>
      </c>
      <c r="CD479" s="97" t="str">
        <f aca="false">IF($BZ479&lt;&gt;Constants!$B$8,"",((Constants!$B$31-$AZ479)-Constants!$B$31)/Constants!$B$32)</f>
        <v/>
      </c>
      <c r="CE479" s="97" t="str">
        <f aca="false">IF(ISBLANK($C479),"",IF($BZ479&lt;&gt;Constants!$B$8,$BZ479,SUM($CB479:$CD479)))</f>
        <v/>
      </c>
      <c r="CF479" s="93" t="str">
        <f aca="false">IF(ISBLANK($C479),"",IF($BZ479&lt;&gt;Constants!$B$8,$BZ479,RANK($CE479,$CE$9:$CE$508,1)))</f>
        <v/>
      </c>
      <c r="CG479" s="97" t="str">
        <f aca="false">IF($BZ479&lt;&gt;Constants!$B$8,"",IF($BM479="-&gt;",$BU479,$BI479))</f>
        <v/>
      </c>
      <c r="CH479" s="93" t="str">
        <f aca="false">IF(ISBLANK($C479),"",IF($BZ479&lt;&gt;Constants!$B$8,$BZ479,IF(ISNUMBER($CG479),RANK($CG479,$CG$9:$CG$508,1),COUNT($CG$9:$CG$508)+1)))</f>
        <v/>
      </c>
      <c r="CI479" s="97" t="str">
        <f aca="false">IF($BZ479&lt;&gt;Constants!$B$8,"",IF($BM479="-&gt;",$BV479,$BJ479))</f>
        <v/>
      </c>
      <c r="CJ479" s="93" t="str">
        <f aca="false">IF(ISBLANK($C479),"",IF($BZ479&lt;&gt;Constants!$B$8,$BZ479,IF(ISNUMBER($CI479),RANK($CI479,$CI$9:$CI$508,1),COUNT($CI$9:$CI$508)+1)))</f>
        <v/>
      </c>
      <c r="CK479" s="97" t="str">
        <f aca="false">IF($BZ479&lt;&gt;Constants!$B$8,"",IF($BM479="-&gt;",$BW479,$BK479))</f>
        <v/>
      </c>
      <c r="CL479" s="93" t="str">
        <f aca="false">IF(ISBLANK($C479),"",IF($BZ479&lt;&gt;Constants!$B$8,$BZ479,IF(ISNUMBER($CK479),RANK($CK479,$CK$9:$CK$508,1),COUNT($CK$9:$CK$508)+1)))</f>
        <v/>
      </c>
      <c r="CM479" s="97" t="str">
        <f aca="false">IF($BZ479&lt;&gt;Constants!$B$8,"",IF(AND(NOT($AL479),NOT($AT479),$AJ479,$AK479,$AR479,$AS479),"",IF($BM479="-&gt;",$BX479,$BL479)))</f>
        <v/>
      </c>
      <c r="CN479" s="93" t="str">
        <f aca="false">IF(ISBLANK($C479),"",IF($BZ479&lt;&gt;Constants!$B$8,$BZ479,IF(ISNUMBER($CM479),RANK($CM479,$CM$9:$CM$508,1),COUNT($CM$9:$CM$508)+1)))</f>
        <v/>
      </c>
      <c r="CO479" s="93" t="str">
        <f aca="false">IF(ISBLANK($C479),"",IF($BZ479&lt;&gt;Constants!$B$8,$BZ479,COUNTIFS($CF$9:$CF$508,"&lt;"&amp;$CF479)+COUNTIFS($CF$9:$CF$508,$CF479,$CH$9:$CH$508,"&lt;"&amp;$CH479)+COUNTIFS($CF$9:$CF$508,$CF479,$CH$9:$CH$508,$CH479,$CJ$9:$CJ$508,"&lt;"&amp;$CJ479)+COUNTIFS($CF$9:$CF$508,$CF479,$CH$9:$CH$508,$CH479,$CJ$9:$CJ$508,$CJ479,$CL$9:$CL$508,"&lt;"&amp;$CL479)+COUNTIFS($CF$9:$CF$508,$CF479,$CH$9:$CH$508,$CH479,$CJ$9:$CJ$508,$CJ479,$CL$9:$CL$508,$CL479,$CN$9:$CN$508,"&lt;"&amp;$CN479)+1))</f>
        <v/>
      </c>
      <c r="CP479" s="93" t="str">
        <f aca="false">IF(ISBLANK($C479),"",IF($BZ479&lt;&gt;Constants!$B$8,$BZ479,$CF479-$CO479))</f>
        <v/>
      </c>
      <c r="CQ479" s="100"/>
      <c r="CR479" s="101"/>
      <c r="CS479" s="102" t="str">
        <f aca="false">IF(ISBLANK($C479),"",IF($BZ479=Constants!$B$12,$BY479,""))</f>
        <v/>
      </c>
      <c r="CT479" s="101" t="str">
        <f aca="false">IF(ISBLANK($C479),"",IF($BZ479&lt;&gt;Constants!$B$8,"",IF($BM479="-&gt;",2,1)))</f>
        <v/>
      </c>
      <c r="CU479" s="103" t="str">
        <f aca="false">IF(ISBLANK($C479),"",IF($BZ479&lt;&gt;Constants!$B$8,"",IF($BM479="-&gt;",$BO479,$BC479)))</f>
        <v/>
      </c>
      <c r="CV479" s="103" t="str">
        <f aca="false">IF(ISBLANK($C479),"",IF($BZ479&lt;&gt;Constants!$B$8,"",IF($BM479="-&gt;",$BP479,$BD479)))</f>
        <v/>
      </c>
      <c r="CW479" s="103" t="str">
        <f aca="false">IF(ISBLANK($C479),"",IF($BZ479&lt;&gt;Constants!$B$8,"",IF($BM479="-&gt;",$BQ479+$BR479,$BE479+$BF479)+$CD479))</f>
        <v/>
      </c>
      <c r="CX479" s="103" t="str">
        <f aca="false">IF(ISBLANK($C479),"",IF($BZ479&lt;&gt;Constants!$B$8,"",IF($BM479="-&gt;",$BS479,$BG479)+$CC479))</f>
        <v/>
      </c>
      <c r="CY479" s="104" t="str">
        <f aca="false">IF(ISBLANK($C479),"",IF($BZ479&lt;&gt;Constants!$B$8,$BZ479,$CE479))</f>
        <v/>
      </c>
      <c r="CZ479" s="105" t="str">
        <f aca="false">IF(ISBLANK($C479),"",$CA479)</f>
        <v/>
      </c>
      <c r="DA479" s="106" t="str">
        <f aca="false">IF(ISBLANK($C479),"",$CP479)</f>
        <v/>
      </c>
      <c r="DB479" s="106" t="str">
        <f aca="false">IF(ISBLANK($C479),"",$CO479)</f>
        <v/>
      </c>
      <c r="DC479" s="107" t="str">
        <f aca="false">IF(ISBLANK($C479),"",IFERROR(_xlfn.SWITCH($DB479,Constants!$B$11,COUNTA($C$9:$C$508)+2,Constants!$B$10,COUNTA($C$9:$C$508)+1,Constants!$B$9,COUNTA($C$9:$C$508)),$DB479))</f>
        <v/>
      </c>
      <c r="DD479" s="9"/>
      <c r="DE479" s="108" t="n">
        <f aca="false">IF(OR(ISNUMBER($DB479),$DB479=Constants!$B$11,$DB479=Constants!$B$9,$DB479=Constants!$B$10),1,0)</f>
        <v>0</v>
      </c>
      <c r="DF479" s="108" t="n">
        <v>471</v>
      </c>
      <c r="DG479" s="108" t="str">
        <f aca="false">IF(ISBLANK($C479),"",IF(ISNUMBER($DC479),$DC479+ROW($B479)/1000,""))</f>
        <v/>
      </c>
      <c r="DH479" s="108" t="str">
        <f aca="false">IF(ISNUMBER($DG479),RANK($DG479,$DG$9:$DG$508,1),"")</f>
        <v/>
      </c>
      <c r="DI479" s="108" t="str">
        <f aca="false">IF(ISBLANK($C479),"",$B479)</f>
        <v/>
      </c>
      <c r="DJ479" s="108" t="str">
        <f aca="false">IF(ISBLANK($C479),"",$C479)</f>
        <v/>
      </c>
      <c r="DK479" s="108" t="str">
        <f aca="false">IF(ISBLANK($C479),"",$D479)</f>
        <v/>
      </c>
      <c r="DL479" s="109" t="str">
        <f aca="false">$CZ479</f>
        <v/>
      </c>
      <c r="DM479" s="110" t="str">
        <f aca="false">$CY479</f>
        <v/>
      </c>
      <c r="DN479" s="108" t="str">
        <f aca="false">IF(ISBLANK($C479),"",$DB479)</f>
        <v/>
      </c>
      <c r="DO479" s="111" t="str">
        <f aca="false">IF($DF479&gt;$DE$8,"",VLOOKUP($DF479,$DH$9:$DN$508,7,FALSE()))</f>
        <v/>
      </c>
      <c r="DP479" s="112" t="str">
        <f aca="false">IF($DF479&gt;$DE$8,"",VLOOKUP($DF479,$DH$9:$DN$508,2,FALSE()))</f>
        <v/>
      </c>
      <c r="DQ479" s="112" t="str">
        <f aca="false">IF($DF479&gt;$DE$8,"",VLOOKUP($DF479,$DH$9:$DN$508,3,FALSE()))</f>
        <v/>
      </c>
      <c r="DR479" s="112" t="str">
        <f aca="false">IF($DF479&gt;$DE$8,"",VLOOKUP($DF479,$DH$9:$DN$508,4,FALSE()))</f>
        <v/>
      </c>
      <c r="DS479" s="112" t="str">
        <f aca="false">IF($DF479&gt;$DE$8,"",VLOOKUP($DF479,$DH$9:$DN$508,5,FALSE()))</f>
        <v/>
      </c>
      <c r="DT479" s="113" t="str">
        <f aca="false">IF($DF479&gt;$DE$8,"",VLOOKUP($DF479,$DH$9:$DN$508,6,FALSE()))</f>
        <v/>
      </c>
      <c r="DU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IF(ISBLANK($C480),"",IF(E480=Constants!$B$3,TRUE(),IF(E480=Constants!$B$4,FALSE(),TRUE())))</f>
        <v/>
      </c>
      <c r="AG480" s="135" t="str">
        <f aca="false">IF(ISBLANK($C480),"",IF(F480=Constants!$B$3,TRUE(),IF(F480=Constants!$B$4,FALSE(),TRUE())))</f>
        <v/>
      </c>
      <c r="AH480" s="135" t="str">
        <f aca="false">IF(ISBLANK($C480),"",IF(G480=Constants!$B$3,TRUE(),IF(G480=Constants!$B$4,FALSE(),TRUE())))</f>
        <v/>
      </c>
      <c r="AI480" s="135" t="str">
        <f aca="false">IF(ISBLANK($C480),"",IF(AND(ISNUMBER(H480),H480&gt;=0),H480,Constants!$B$29))</f>
        <v/>
      </c>
      <c r="AJ480" s="135" t="str">
        <f aca="false">IF(ISBLANK($C480),"",IF(I480=Constants!$B$3,TRUE(),IF(I480=Constants!$B$4,FALSE(),TRUE())))</f>
        <v/>
      </c>
      <c r="AK480" s="135" t="str">
        <f aca="false">IF(ISBLANK($C480),"",IF(J480=Constants!$B$3,TRUE(),IF(J480=Constants!$B$4,FALSE(),TRUE())))</f>
        <v/>
      </c>
      <c r="AL480" s="135" t="str">
        <f aca="false">IF(ISBLANK($C480),"",IF(K480=Constants!$B$5,TRUE(),IF(K480=Constants!$B$6,FALSE(),COUNTA(L480:P480)&gt;0)))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IF(ISBLANK($C480),"",IF(N480=Constants!$B$3,TRUE(),IF(N480=Constants!$B$4,FALSE(),TRUE())))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IF(ISBLANK($C480),"",IF(P480=Constants!$B$3,TRUE(),IF(P480=Constants!$B$4,FALSE(),FALSE())))</f>
        <v/>
      </c>
      <c r="AR480" s="135" t="str">
        <f aca="false">IF(ISBLANK($C480),"",IF(Q480=Constants!$B$3,TRUE(),IF(Q480=Constants!$B$4,FALSE(),TRUE())))</f>
        <v/>
      </c>
      <c r="AS480" s="135" t="str">
        <f aca="false">IF(ISBLANK($C480),"",IF(R480=Constants!$B$3,TRUE(),IF(R480=Constants!$B$4,FALSE(),TRUE())))</f>
        <v/>
      </c>
      <c r="AT480" s="135" t="str">
        <f aca="false">IF(ISBLANK($C480),"",IF(S480=Constants!$B$5,TRUE(),IF(S480=Constants!$B$6,FALSE(),COUNTA(T480:X480)&gt;0)))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IF(ISBLANK($C480),"",IF(V480=Constants!$B$3,TRUE(),IF(V480=Constants!$B$4,FALSE(),TRUE())))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IF(ISBLANK($C480),"",IF(X480=Constants!$B$3,TRUE(),IF(X480=Constants!$B$4,FALSE(),FALSE())))</f>
        <v/>
      </c>
      <c r="AZ480" s="135" t="str">
        <f aca="false">IF(ISBLANK($C480),"",MIN(Constants!$B$31,MAX(0,IF(ISNUMBER(Y480),Y480*60,0)+IF(ISNUMBER(Z480),Z480,0))))</f>
        <v/>
      </c>
      <c r="BA480" s="135" t="str">
        <f aca="false">IF(ISBLANK($C480),"",IF(AA480=Constants!$B$3,TRUE(),IF(AA480=Constants!$B$4,FALSE(),FALSE())))</f>
        <v/>
      </c>
      <c r="BB480" s="134" t="str">
        <f aca="false">IF(ISBLANK($C480),"",AND($AL480,OR($AM480="",$AN480="",AND($AO480,$AP480=""))))</f>
        <v/>
      </c>
      <c r="BC480" s="137" t="str">
        <f aca="false">IF($BZ480&lt;&gt;Constants!$B$8,"",IF($AL480,Constants!$B$21*$AN480+Constants!$B$22*IF($AO480,$AP480,Constants!$B$23),Constants!$B$24))</f>
        <v/>
      </c>
      <c r="BD480" s="138" t="str">
        <f aca="false">IF($BZ480&lt;&gt;Constants!$B$8,"",Constants!$B$25*ABS($AD$9-IF($AL480,$AM480,0)))</f>
        <v/>
      </c>
      <c r="BE480" s="138" t="str">
        <f aca="false">IF($BZ480&lt;&gt;Constants!$B$8,"",IF(AND($AL480,$AQ480,$AO480),Constants!$B$27,0))</f>
        <v/>
      </c>
      <c r="BF480" s="138" t="str">
        <f aca="false">IF($BZ480&lt;&gt;Constants!$B$8,"",IF($AL480,($AI480-Constants!$B$29)*Constants!$B$28,0))</f>
        <v/>
      </c>
      <c r="BG480" s="138" t="str">
        <f aca="false">IF($BZ480&lt;&gt;Constants!$B$8,"",IF($AK480,0,Constants!$B$15)+IF($AJ480,0,Constants!$B$16)+IF($AH480,0,Constants!$B$17))</f>
        <v/>
      </c>
      <c r="BH480" s="139" t="str">
        <f aca="false">IF($BZ480&lt;&gt;Constants!$B$8,"",Constants!$B$20+SUM($BC480:$BG480))</f>
        <v/>
      </c>
      <c r="BI480" s="138" t="str">
        <f aca="false">IF($BZ480&lt;&gt;Constants!$B$8,"",$BC480)</f>
        <v/>
      </c>
      <c r="BJ480" s="138" t="str">
        <f aca="false">IF($BZ480&lt;&gt;Constants!$B$8,"",$BD480)</f>
        <v/>
      </c>
      <c r="BK480" s="138" t="str">
        <f aca="false">IF($BZ480&lt;&gt;Constants!$B$8,"",IF($AL480,$AN480,""))</f>
        <v/>
      </c>
      <c r="BL480" s="140" t="str">
        <f aca="false">IF($BZ480&lt;&gt;Constants!$B$8,"",$AI480)</f>
        <v/>
      </c>
      <c r="BM480" s="135" t="str">
        <f aca="false">IF($BZ480&lt;&gt;Constants!$B$8,"",IF(OR($BT480&lt;$BH480,AND($BT480=$BH480,OR($BU480&lt;$BI480,AND($BU480=$BI480,OR($BV480&lt;$BJ480,AND($BV480=$BJ480,OR(AND(ISNUMBER($BW480),OR(NOT(ISNUMBER($BK480)),$BW480&lt;$BK480)),AND(OR(AND($BW480="",$BK480=""),AND(ISNUMBER($BW480),ISNUMBER($BK480),$BW480=$BK480)),$BX480&lt;$BL480)))))))),"-&gt;","&lt;-"))</f>
        <v/>
      </c>
      <c r="BN480" s="134" t="str">
        <f aca="false">IF(ISBLANK($C480),"",AND($AT480,OR($AU480="",$AV480="",AND($AW480,$AX480=""))))</f>
        <v/>
      </c>
      <c r="BO480" s="137" t="str">
        <f aca="false">IF($BZ480&lt;&gt;Constants!$B$8,"",IF($AT480,Constants!$B$21*$AV480+Constants!$B$22*IF($AW480,$AX480,Constants!$B$23),Constants!$B$24))</f>
        <v/>
      </c>
      <c r="BP480" s="138" t="str">
        <f aca="false">IF($BZ480&lt;&gt;Constants!$B$8,"",Constants!$B$25*ABS($AD$9-IF($AT480,$AU480,0)))</f>
        <v/>
      </c>
      <c r="BQ480" s="138" t="str">
        <f aca="false">IF($BZ480&lt;&gt;Constants!$B$8,"",IF(AND($AT480,$AY480,$AW480),Constants!$B$27,0))</f>
        <v/>
      </c>
      <c r="BR480" s="138" t="str">
        <f aca="false">IF($BZ480&lt;&gt;Constants!$B$8,"",IF($AT480,($AI480-Constants!$B$29)*Constants!$B$28,0))</f>
        <v/>
      </c>
      <c r="BS480" s="138" t="str">
        <f aca="false">IF($BZ480&lt;&gt;Constants!$B$8,"",IF($AS480,0,Constants!$B$15)+IF($AR480,0,Constants!$B$16)+IF($AH480,0,Constants!$B$17))</f>
        <v/>
      </c>
      <c r="BT480" s="139" t="str">
        <f aca="false">IF($BZ480&lt;&gt;Constants!$B$8,"",Constants!$B$20+SUM($BO480:$BS480))</f>
        <v/>
      </c>
      <c r="BU480" s="138" t="str">
        <f aca="false">IF($BZ480&lt;&gt;Constants!$B$8,"",$BO480)</f>
        <v/>
      </c>
      <c r="BV480" s="138" t="str">
        <f aca="false">IF($BZ480&lt;&gt;Constants!$B$8,"",$BP480)</f>
        <v/>
      </c>
      <c r="BW480" s="138" t="str">
        <f aca="false">IF($BZ480&lt;&gt;Constants!$B$8,"",IF($AT480,$AV480,""))</f>
        <v/>
      </c>
      <c r="BX480" s="140" t="str">
        <f aca="false">IF($BZ480&lt;&gt;Constants!$B$8,"",$AI480)</f>
        <v/>
      </c>
      <c r="BY480" s="135" t="str">
        <f aca="false">IF(ISBLANK($C480),"",IF(ISBLANK($D$7),$BY$5,IF(NOT(ISNUMBER($D$7)),$BY$6,"")))</f>
        <v/>
      </c>
      <c r="BZ480" s="135" t="str">
        <f aca="false">IF(ISBLANK($C480),"",IF($BA480,Constants!$B$11,IF(COUNTA($E480:$AA480)=0,Constants!$B$10,IF(NOT($AG480),Constants!$B$9,IF(OR($BY480&lt;&gt;"",$BB480,$BN480),Constants!$B$12,Constants!$B$8)))))</f>
        <v/>
      </c>
      <c r="CA480" s="135" t="str">
        <f aca="false">IF(ISBLANK($C480),"",IF($BZ480&lt;&gt;Constants!$B$8,$BZ480,Constants!$B$13))</f>
        <v/>
      </c>
      <c r="CB480" s="138" t="str">
        <f aca="false">IF($BZ480&lt;&gt;Constants!$B$8,"",IF($BM480="-&gt;",$BT480,$BH480))</f>
        <v/>
      </c>
      <c r="CC480" s="138" t="str">
        <f aca="false">IF($BZ480&lt;&gt;Constants!$B$8,"",IF($AF480,0,Constants!$B$18))</f>
        <v/>
      </c>
      <c r="CD480" s="138" t="str">
        <f aca="false">IF($BZ480&lt;&gt;Constants!$B$8,"",((Constants!$B$31-$AZ480)-Constants!$B$31)/Constants!$B$32)</f>
        <v/>
      </c>
      <c r="CE480" s="138" t="str">
        <f aca="false">IF(ISBLANK($C480),"",IF($BZ480&lt;&gt;Constants!$B$8,$BZ480,SUM($CB480:$CD480)))</f>
        <v/>
      </c>
      <c r="CF480" s="135" t="str">
        <f aca="false">IF(ISBLANK($C480),"",IF($BZ480&lt;&gt;Constants!$B$8,$BZ480,RANK($CE480,$CE$9:$CE$508,1)))</f>
        <v/>
      </c>
      <c r="CG480" s="138" t="str">
        <f aca="false">IF($BZ480&lt;&gt;Constants!$B$8,"",IF($BM480="-&gt;",$BU480,$BI480))</f>
        <v/>
      </c>
      <c r="CH480" s="135" t="str">
        <f aca="false">IF(ISBLANK($C480),"",IF($BZ480&lt;&gt;Constants!$B$8,$BZ480,IF(ISNUMBER($CG480),RANK($CG480,$CG$9:$CG$508,1),COUNT($CG$9:$CG$508)+1)))</f>
        <v/>
      </c>
      <c r="CI480" s="138" t="str">
        <f aca="false">IF($BZ480&lt;&gt;Constants!$B$8,"",IF($BM480="-&gt;",$BV480,$BJ480))</f>
        <v/>
      </c>
      <c r="CJ480" s="135" t="str">
        <f aca="false">IF(ISBLANK($C480),"",IF($BZ480&lt;&gt;Constants!$B$8,$BZ480,IF(ISNUMBER($CI480),RANK($CI480,$CI$9:$CI$508,1),COUNT($CI$9:$CI$508)+1)))</f>
        <v/>
      </c>
      <c r="CK480" s="138" t="str">
        <f aca="false">IF($BZ480&lt;&gt;Constants!$B$8,"",IF($BM480="-&gt;",$BW480,$BK480))</f>
        <v/>
      </c>
      <c r="CL480" s="135" t="str">
        <f aca="false">IF(ISBLANK($C480),"",IF($BZ480&lt;&gt;Constants!$B$8,$BZ480,IF(ISNUMBER($CK480),RANK($CK480,$CK$9:$CK$508,1),COUNT($CK$9:$CK$508)+1)))</f>
        <v/>
      </c>
      <c r="CM480" s="138" t="str">
        <f aca="false">IF($BZ480&lt;&gt;Constants!$B$8,"",IF(AND(NOT($AL480),NOT($AT480),$AJ480,$AK480,$AR480,$AS480),"",IF($BM480="-&gt;",$BX480,$BL480)))</f>
        <v/>
      </c>
      <c r="CN480" s="135" t="str">
        <f aca="false">IF(ISBLANK($C480),"",IF($BZ480&lt;&gt;Constants!$B$8,$BZ480,IF(ISNUMBER($CM480),RANK($CM480,$CM$9:$CM$508,1),COUNT($CM$9:$CM$508)+1)))</f>
        <v/>
      </c>
      <c r="CO480" s="135" t="str">
        <f aca="false">IF(ISBLANK($C480),"",IF($BZ480&lt;&gt;Constants!$B$8,$BZ480,COUNTIFS($CF$9:$CF$508,"&lt;"&amp;$CF480)+COUNTIFS($CF$9:$CF$508,$CF480,$CH$9:$CH$508,"&lt;"&amp;$CH480)+COUNTIFS($CF$9:$CF$508,$CF480,$CH$9:$CH$508,$CH480,$CJ$9:$CJ$508,"&lt;"&amp;$CJ480)+COUNTIFS($CF$9:$CF$508,$CF480,$CH$9:$CH$508,$CH480,$CJ$9:$CJ$508,$CJ480,$CL$9:$CL$508,"&lt;"&amp;$CL480)+COUNTIFS($CF$9:$CF$508,$CF480,$CH$9:$CH$508,$CH480,$CJ$9:$CJ$508,$CJ480,$CL$9:$CL$508,$CL480,$CN$9:$CN$508,"&lt;"&amp;$CN480)+1))</f>
        <v/>
      </c>
      <c r="CP480" s="135" t="str">
        <f aca="false">IF(ISBLANK($C480),"",IF($BZ480&lt;&gt;Constants!$B$8,$BZ480,$CF480-$CO480))</f>
        <v/>
      </c>
      <c r="CQ480" s="141"/>
      <c r="CR480" s="142"/>
      <c r="CS480" s="143" t="str">
        <f aca="false">IF(ISBLANK($C480),"",IF($BZ480=Constants!$B$12,$BY480,""))</f>
        <v/>
      </c>
      <c r="CT480" s="142" t="str">
        <f aca="false">IF(ISBLANK($C480),"",IF($BZ480&lt;&gt;Constants!$B$8,"",IF($BM480="-&gt;",2,1)))</f>
        <v/>
      </c>
      <c r="CU480" s="144" t="str">
        <f aca="false">IF(ISBLANK($C480),"",IF($BZ480&lt;&gt;Constants!$B$8,"",IF($BM480="-&gt;",$BO480,$BC480)))</f>
        <v/>
      </c>
      <c r="CV480" s="144" t="str">
        <f aca="false">IF(ISBLANK($C480),"",IF($BZ480&lt;&gt;Constants!$B$8,"",IF($BM480="-&gt;",$BP480,$BD480)))</f>
        <v/>
      </c>
      <c r="CW480" s="144" t="str">
        <f aca="false">IF(ISBLANK($C480),"",IF($BZ480&lt;&gt;Constants!$B$8,"",IF($BM480="-&gt;",$BQ480+$BR480,$BE480+$BF480)+$CD480))</f>
        <v/>
      </c>
      <c r="CX480" s="144" t="str">
        <f aca="false">IF(ISBLANK($C480),"",IF($BZ480&lt;&gt;Constants!$B$8,"",IF($BM480="-&gt;",$BS480,$BG480)+$CC480))</f>
        <v/>
      </c>
      <c r="CY480" s="145" t="str">
        <f aca="false">IF(ISBLANK($C480),"",IF($BZ480&lt;&gt;Constants!$B$8,$BZ480,$CE480))</f>
        <v/>
      </c>
      <c r="CZ480" s="146" t="str">
        <f aca="false">IF(ISBLANK($C480),"",$CA480)</f>
        <v/>
      </c>
      <c r="DA480" s="147" t="str">
        <f aca="false">IF(ISBLANK($C480),"",$CP480)</f>
        <v/>
      </c>
      <c r="DB480" s="147" t="str">
        <f aca="false">IF(ISBLANK($C480),"",$CO480)</f>
        <v/>
      </c>
      <c r="DC480" s="148" t="str">
        <f aca="false">IF(ISBLANK($C480),"",IFERROR(_xlfn.SWITCH($DB480,Constants!$B$11,COUNTA($C$9:$C$508)+2,Constants!$B$10,COUNTA($C$9:$C$508)+1,Constants!$B$9,COUNTA($C$9:$C$508)),$DB480))</f>
        <v/>
      </c>
      <c r="DD480" s="9"/>
      <c r="DE480" s="149" t="n">
        <f aca="false">IF(OR(ISNUMBER($DB480),$DB480=Constants!$B$11,$DB480=Constants!$B$9,$DB480=Constants!$B$10),1,0)</f>
        <v>0</v>
      </c>
      <c r="DF480" s="149" t="n">
        <v>472</v>
      </c>
      <c r="DG480" s="149" t="str">
        <f aca="false">IF(ISBLANK($C480),"",IF(ISNUMBER($DC480),$DC480+ROW($B480)/1000,""))</f>
        <v/>
      </c>
      <c r="DH480" s="149" t="str">
        <f aca="false">IF(ISNUMBER($DG480),RANK($DG480,$DG$9:$DG$508,1),"")</f>
        <v/>
      </c>
      <c r="DI480" s="149" t="str">
        <f aca="false">IF(ISBLANK($C480),"",$B480)</f>
        <v/>
      </c>
      <c r="DJ480" s="149" t="str">
        <f aca="false">IF(ISBLANK($C480),"",$C480)</f>
        <v/>
      </c>
      <c r="DK480" s="149" t="str">
        <f aca="false">IF(ISBLANK($C480),"",$D480)</f>
        <v/>
      </c>
      <c r="DL480" s="150" t="str">
        <f aca="false">$CZ480</f>
        <v/>
      </c>
      <c r="DM480" s="151" t="str">
        <f aca="false">$CY480</f>
        <v/>
      </c>
      <c r="DN480" s="149" t="str">
        <f aca="false">IF(ISBLANK($C480),"",$DB480)</f>
        <v/>
      </c>
      <c r="DO480" s="152" t="str">
        <f aca="false">IF($DF480&gt;$DE$8,"",VLOOKUP($DF480,$DH$9:$DN$508,7,FALSE()))</f>
        <v/>
      </c>
      <c r="DP480" s="153" t="str">
        <f aca="false">IF($DF480&gt;$DE$8,"",VLOOKUP($DF480,$DH$9:$DN$508,2,FALSE()))</f>
        <v/>
      </c>
      <c r="DQ480" s="153" t="str">
        <f aca="false">IF($DF480&gt;$DE$8,"",VLOOKUP($DF480,$DH$9:$DN$508,3,FALSE()))</f>
        <v/>
      </c>
      <c r="DR480" s="153" t="str">
        <f aca="false">IF($DF480&gt;$DE$8,"",VLOOKUP($DF480,$DH$9:$DN$508,4,FALSE()))</f>
        <v/>
      </c>
      <c r="DS480" s="153" t="str">
        <f aca="false">IF($DF480&gt;$DE$8,"",VLOOKUP($DF480,$DH$9:$DN$508,5,FALSE()))</f>
        <v/>
      </c>
      <c r="DT480" s="154" t="str">
        <f aca="false">IF($DF480&gt;$DE$8,"",VLOOKUP($DF480,$DH$9:$DN$508,6,FALSE()))</f>
        <v/>
      </c>
      <c r="DU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IF(ISBLANK($C481),"",IF(E481=Constants!$B$3,TRUE(),IF(E481=Constants!$B$4,FALSE(),TRUE())))</f>
        <v/>
      </c>
      <c r="AG481" s="135" t="str">
        <f aca="false">IF(ISBLANK($C481),"",IF(F481=Constants!$B$3,TRUE(),IF(F481=Constants!$B$4,FALSE(),TRUE())))</f>
        <v/>
      </c>
      <c r="AH481" s="135" t="str">
        <f aca="false">IF(ISBLANK($C481),"",IF(G481=Constants!$B$3,TRUE(),IF(G481=Constants!$B$4,FALSE(),TRUE())))</f>
        <v/>
      </c>
      <c r="AI481" s="135" t="str">
        <f aca="false">IF(ISBLANK($C481),"",IF(AND(ISNUMBER(H481),H481&gt;=0),H481,Constants!$B$29))</f>
        <v/>
      </c>
      <c r="AJ481" s="135" t="str">
        <f aca="false">IF(ISBLANK($C481),"",IF(I481=Constants!$B$3,TRUE(),IF(I481=Constants!$B$4,FALSE(),TRUE())))</f>
        <v/>
      </c>
      <c r="AK481" s="135" t="str">
        <f aca="false">IF(ISBLANK($C481),"",IF(J481=Constants!$B$3,TRUE(),IF(J481=Constants!$B$4,FALSE(),TRUE())))</f>
        <v/>
      </c>
      <c r="AL481" s="135" t="str">
        <f aca="false">IF(ISBLANK($C481),"",IF(K481=Constants!$B$5,TRUE(),IF(K481=Constants!$B$6,FALSE(),COUNTA(L481:P481)&gt;0)))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IF(ISBLANK($C481),"",IF(N481=Constants!$B$3,TRUE(),IF(N481=Constants!$B$4,FALSE(),TRUE())))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IF(ISBLANK($C481),"",IF(P481=Constants!$B$3,TRUE(),IF(P481=Constants!$B$4,FALSE(),FALSE())))</f>
        <v/>
      </c>
      <c r="AR481" s="135" t="str">
        <f aca="false">IF(ISBLANK($C481),"",IF(Q481=Constants!$B$3,TRUE(),IF(Q481=Constants!$B$4,FALSE(),TRUE())))</f>
        <v/>
      </c>
      <c r="AS481" s="135" t="str">
        <f aca="false">IF(ISBLANK($C481),"",IF(R481=Constants!$B$3,TRUE(),IF(R481=Constants!$B$4,FALSE(),TRUE())))</f>
        <v/>
      </c>
      <c r="AT481" s="135" t="str">
        <f aca="false">IF(ISBLANK($C481),"",IF(S481=Constants!$B$5,TRUE(),IF(S481=Constants!$B$6,FALSE(),COUNTA(T481:X481)&gt;0)))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IF(ISBLANK($C481),"",IF(V481=Constants!$B$3,TRUE(),IF(V481=Constants!$B$4,FALSE(),TRUE())))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IF(ISBLANK($C481),"",IF(X481=Constants!$B$3,TRUE(),IF(X481=Constants!$B$4,FALSE(),FALSE())))</f>
        <v/>
      </c>
      <c r="AZ481" s="135" t="str">
        <f aca="false">IF(ISBLANK($C481),"",MIN(Constants!$B$31,MAX(0,IF(ISNUMBER(Y481),Y481*60,0)+IF(ISNUMBER(Z481),Z481,0))))</f>
        <v/>
      </c>
      <c r="BA481" s="135" t="str">
        <f aca="false">IF(ISBLANK($C481),"",IF(AA481=Constants!$B$3,TRUE(),IF(AA481=Constants!$B$4,FALSE(),FALSE())))</f>
        <v/>
      </c>
      <c r="BB481" s="134" t="str">
        <f aca="false">IF(ISBLANK($C481),"",AND($AL481,OR($AM481="",$AN481="",AND($AO481,$AP481=""))))</f>
        <v/>
      </c>
      <c r="BC481" s="137" t="str">
        <f aca="false">IF($BZ481&lt;&gt;Constants!$B$8,"",IF($AL481,Constants!$B$21*$AN481+Constants!$B$22*IF($AO481,$AP481,Constants!$B$23),Constants!$B$24))</f>
        <v/>
      </c>
      <c r="BD481" s="138" t="str">
        <f aca="false">IF($BZ481&lt;&gt;Constants!$B$8,"",Constants!$B$25*ABS($AD$9-IF($AL481,$AM481,0)))</f>
        <v/>
      </c>
      <c r="BE481" s="138" t="str">
        <f aca="false">IF($BZ481&lt;&gt;Constants!$B$8,"",IF(AND($AL481,$AQ481,$AO481),Constants!$B$27,0))</f>
        <v/>
      </c>
      <c r="BF481" s="138" t="str">
        <f aca="false">IF($BZ481&lt;&gt;Constants!$B$8,"",IF($AL481,($AI481-Constants!$B$29)*Constants!$B$28,0))</f>
        <v/>
      </c>
      <c r="BG481" s="138" t="str">
        <f aca="false">IF($BZ481&lt;&gt;Constants!$B$8,"",IF($AK481,0,Constants!$B$15)+IF($AJ481,0,Constants!$B$16)+IF($AH481,0,Constants!$B$17))</f>
        <v/>
      </c>
      <c r="BH481" s="139" t="str">
        <f aca="false">IF($BZ481&lt;&gt;Constants!$B$8,"",Constants!$B$20+SUM($BC481:$BG481))</f>
        <v/>
      </c>
      <c r="BI481" s="138" t="str">
        <f aca="false">IF($BZ481&lt;&gt;Constants!$B$8,"",$BC481)</f>
        <v/>
      </c>
      <c r="BJ481" s="138" t="str">
        <f aca="false">IF($BZ481&lt;&gt;Constants!$B$8,"",$BD481)</f>
        <v/>
      </c>
      <c r="BK481" s="138" t="str">
        <f aca="false">IF($BZ481&lt;&gt;Constants!$B$8,"",IF($AL481,$AN481,""))</f>
        <v/>
      </c>
      <c r="BL481" s="140" t="str">
        <f aca="false">IF($BZ481&lt;&gt;Constants!$B$8,"",$AI481)</f>
        <v/>
      </c>
      <c r="BM481" s="135" t="str">
        <f aca="false">IF($BZ481&lt;&gt;Constants!$B$8,"",IF(OR($BT481&lt;$BH481,AND($BT481=$BH481,OR($BU481&lt;$BI481,AND($BU481=$BI481,OR($BV481&lt;$BJ481,AND($BV481=$BJ481,OR(AND(ISNUMBER($BW481),OR(NOT(ISNUMBER($BK481)),$BW481&lt;$BK481)),AND(OR(AND($BW481="",$BK481=""),AND(ISNUMBER($BW481),ISNUMBER($BK481),$BW481=$BK481)),$BX481&lt;$BL481)))))))),"-&gt;","&lt;-"))</f>
        <v/>
      </c>
      <c r="BN481" s="134" t="str">
        <f aca="false">IF(ISBLANK($C481),"",AND($AT481,OR($AU481="",$AV481="",AND($AW481,$AX481=""))))</f>
        <v/>
      </c>
      <c r="BO481" s="137" t="str">
        <f aca="false">IF($BZ481&lt;&gt;Constants!$B$8,"",IF($AT481,Constants!$B$21*$AV481+Constants!$B$22*IF($AW481,$AX481,Constants!$B$23),Constants!$B$24))</f>
        <v/>
      </c>
      <c r="BP481" s="138" t="str">
        <f aca="false">IF($BZ481&lt;&gt;Constants!$B$8,"",Constants!$B$25*ABS($AD$9-IF($AT481,$AU481,0)))</f>
        <v/>
      </c>
      <c r="BQ481" s="138" t="str">
        <f aca="false">IF($BZ481&lt;&gt;Constants!$B$8,"",IF(AND($AT481,$AY481,$AW481),Constants!$B$27,0))</f>
        <v/>
      </c>
      <c r="BR481" s="138" t="str">
        <f aca="false">IF($BZ481&lt;&gt;Constants!$B$8,"",IF($AT481,($AI481-Constants!$B$29)*Constants!$B$28,0))</f>
        <v/>
      </c>
      <c r="BS481" s="138" t="str">
        <f aca="false">IF($BZ481&lt;&gt;Constants!$B$8,"",IF($AS481,0,Constants!$B$15)+IF($AR481,0,Constants!$B$16)+IF($AH481,0,Constants!$B$17))</f>
        <v/>
      </c>
      <c r="BT481" s="139" t="str">
        <f aca="false">IF($BZ481&lt;&gt;Constants!$B$8,"",Constants!$B$20+SUM($BO481:$BS481))</f>
        <v/>
      </c>
      <c r="BU481" s="138" t="str">
        <f aca="false">IF($BZ481&lt;&gt;Constants!$B$8,"",$BO481)</f>
        <v/>
      </c>
      <c r="BV481" s="138" t="str">
        <f aca="false">IF($BZ481&lt;&gt;Constants!$B$8,"",$BP481)</f>
        <v/>
      </c>
      <c r="BW481" s="138" t="str">
        <f aca="false">IF($BZ481&lt;&gt;Constants!$B$8,"",IF($AT481,$AV481,""))</f>
        <v/>
      </c>
      <c r="BX481" s="140" t="str">
        <f aca="false">IF($BZ481&lt;&gt;Constants!$B$8,"",$AI481)</f>
        <v/>
      </c>
      <c r="BY481" s="135" t="str">
        <f aca="false">IF(ISBLANK($C481),"",IF(ISBLANK($D$7),$BY$5,IF(NOT(ISNUMBER($D$7)),$BY$6,"")))</f>
        <v/>
      </c>
      <c r="BZ481" s="135" t="str">
        <f aca="false">IF(ISBLANK($C481),"",IF($BA481,Constants!$B$11,IF(COUNTA($E481:$AA481)=0,Constants!$B$10,IF(NOT($AG481),Constants!$B$9,IF(OR($BY481&lt;&gt;"",$BB481,$BN481),Constants!$B$12,Constants!$B$8)))))</f>
        <v/>
      </c>
      <c r="CA481" s="135" t="str">
        <f aca="false">IF(ISBLANK($C481),"",IF($BZ481&lt;&gt;Constants!$B$8,$BZ481,Constants!$B$13))</f>
        <v/>
      </c>
      <c r="CB481" s="138" t="str">
        <f aca="false">IF($BZ481&lt;&gt;Constants!$B$8,"",IF($BM481="-&gt;",$BT481,$BH481))</f>
        <v/>
      </c>
      <c r="CC481" s="138" t="str">
        <f aca="false">IF($BZ481&lt;&gt;Constants!$B$8,"",IF($AF481,0,Constants!$B$18))</f>
        <v/>
      </c>
      <c r="CD481" s="138" t="str">
        <f aca="false">IF($BZ481&lt;&gt;Constants!$B$8,"",((Constants!$B$31-$AZ481)-Constants!$B$31)/Constants!$B$32)</f>
        <v/>
      </c>
      <c r="CE481" s="138" t="str">
        <f aca="false">IF(ISBLANK($C481),"",IF($BZ481&lt;&gt;Constants!$B$8,$BZ481,SUM($CB481:$CD481)))</f>
        <v/>
      </c>
      <c r="CF481" s="135" t="str">
        <f aca="false">IF(ISBLANK($C481),"",IF($BZ481&lt;&gt;Constants!$B$8,$BZ481,RANK($CE481,$CE$9:$CE$508,1)))</f>
        <v/>
      </c>
      <c r="CG481" s="138" t="str">
        <f aca="false">IF($BZ481&lt;&gt;Constants!$B$8,"",IF($BM481="-&gt;",$BU481,$BI481))</f>
        <v/>
      </c>
      <c r="CH481" s="135" t="str">
        <f aca="false">IF(ISBLANK($C481),"",IF($BZ481&lt;&gt;Constants!$B$8,$BZ481,IF(ISNUMBER($CG481),RANK($CG481,$CG$9:$CG$508,1),COUNT($CG$9:$CG$508)+1)))</f>
        <v/>
      </c>
      <c r="CI481" s="138" t="str">
        <f aca="false">IF($BZ481&lt;&gt;Constants!$B$8,"",IF($BM481="-&gt;",$BV481,$BJ481))</f>
        <v/>
      </c>
      <c r="CJ481" s="135" t="str">
        <f aca="false">IF(ISBLANK($C481),"",IF($BZ481&lt;&gt;Constants!$B$8,$BZ481,IF(ISNUMBER($CI481),RANK($CI481,$CI$9:$CI$508,1),COUNT($CI$9:$CI$508)+1)))</f>
        <v/>
      </c>
      <c r="CK481" s="138" t="str">
        <f aca="false">IF($BZ481&lt;&gt;Constants!$B$8,"",IF($BM481="-&gt;",$BW481,$BK481))</f>
        <v/>
      </c>
      <c r="CL481" s="135" t="str">
        <f aca="false">IF(ISBLANK($C481),"",IF($BZ481&lt;&gt;Constants!$B$8,$BZ481,IF(ISNUMBER($CK481),RANK($CK481,$CK$9:$CK$508,1),COUNT($CK$9:$CK$508)+1)))</f>
        <v/>
      </c>
      <c r="CM481" s="138" t="str">
        <f aca="false">IF($BZ481&lt;&gt;Constants!$B$8,"",IF(AND(NOT($AL481),NOT($AT481),$AJ481,$AK481,$AR481,$AS481),"",IF($BM481="-&gt;",$BX481,$BL481)))</f>
        <v/>
      </c>
      <c r="CN481" s="135" t="str">
        <f aca="false">IF(ISBLANK($C481),"",IF($BZ481&lt;&gt;Constants!$B$8,$BZ481,IF(ISNUMBER($CM481),RANK($CM481,$CM$9:$CM$508,1),COUNT($CM$9:$CM$508)+1)))</f>
        <v/>
      </c>
      <c r="CO481" s="135" t="str">
        <f aca="false">IF(ISBLANK($C481),"",IF($BZ481&lt;&gt;Constants!$B$8,$BZ481,COUNTIFS($CF$9:$CF$508,"&lt;"&amp;$CF481)+COUNTIFS($CF$9:$CF$508,$CF481,$CH$9:$CH$508,"&lt;"&amp;$CH481)+COUNTIFS($CF$9:$CF$508,$CF481,$CH$9:$CH$508,$CH481,$CJ$9:$CJ$508,"&lt;"&amp;$CJ481)+COUNTIFS($CF$9:$CF$508,$CF481,$CH$9:$CH$508,$CH481,$CJ$9:$CJ$508,$CJ481,$CL$9:$CL$508,"&lt;"&amp;$CL481)+COUNTIFS($CF$9:$CF$508,$CF481,$CH$9:$CH$508,$CH481,$CJ$9:$CJ$508,$CJ481,$CL$9:$CL$508,$CL481,$CN$9:$CN$508,"&lt;"&amp;$CN481)+1))</f>
        <v/>
      </c>
      <c r="CP481" s="135" t="str">
        <f aca="false">IF(ISBLANK($C481),"",IF($BZ481&lt;&gt;Constants!$B$8,$BZ481,$CF481-$CO481))</f>
        <v/>
      </c>
      <c r="CQ481" s="141"/>
      <c r="CR481" s="142"/>
      <c r="CS481" s="143" t="str">
        <f aca="false">IF(ISBLANK($C481),"",IF($BZ481=Constants!$B$12,$BY481,""))</f>
        <v/>
      </c>
      <c r="CT481" s="142" t="str">
        <f aca="false">IF(ISBLANK($C481),"",IF($BZ481&lt;&gt;Constants!$B$8,"",IF($BM481="-&gt;",2,1)))</f>
        <v/>
      </c>
      <c r="CU481" s="144" t="str">
        <f aca="false">IF(ISBLANK($C481),"",IF($BZ481&lt;&gt;Constants!$B$8,"",IF($BM481="-&gt;",$BO481,$BC481)))</f>
        <v/>
      </c>
      <c r="CV481" s="144" t="str">
        <f aca="false">IF(ISBLANK($C481),"",IF($BZ481&lt;&gt;Constants!$B$8,"",IF($BM481="-&gt;",$BP481,$BD481)))</f>
        <v/>
      </c>
      <c r="CW481" s="144" t="str">
        <f aca="false">IF(ISBLANK($C481),"",IF($BZ481&lt;&gt;Constants!$B$8,"",IF($BM481="-&gt;",$BQ481+$BR481,$BE481+$BF481)+$CD481))</f>
        <v/>
      </c>
      <c r="CX481" s="144" t="str">
        <f aca="false">IF(ISBLANK($C481),"",IF($BZ481&lt;&gt;Constants!$B$8,"",IF($BM481="-&gt;",$BS481,$BG481)+$CC481))</f>
        <v/>
      </c>
      <c r="CY481" s="145" t="str">
        <f aca="false">IF(ISBLANK($C481),"",IF($BZ481&lt;&gt;Constants!$B$8,$BZ481,$CE481))</f>
        <v/>
      </c>
      <c r="CZ481" s="146" t="str">
        <f aca="false">IF(ISBLANK($C481),"",$CA481)</f>
        <v/>
      </c>
      <c r="DA481" s="147" t="str">
        <f aca="false">IF(ISBLANK($C481),"",$CP481)</f>
        <v/>
      </c>
      <c r="DB481" s="147" t="str">
        <f aca="false">IF(ISBLANK($C481),"",$CO481)</f>
        <v/>
      </c>
      <c r="DC481" s="148" t="str">
        <f aca="false">IF(ISBLANK($C481),"",IFERROR(_xlfn.SWITCH($DB481,Constants!$B$11,COUNTA($C$9:$C$508)+2,Constants!$B$10,COUNTA($C$9:$C$508)+1,Constants!$B$9,COUNTA($C$9:$C$508)),$DB481))</f>
        <v/>
      </c>
      <c r="DD481" s="9"/>
      <c r="DE481" s="149" t="n">
        <f aca="false">IF(OR(ISNUMBER($DB481),$DB481=Constants!$B$11,$DB481=Constants!$B$9,$DB481=Constants!$B$10),1,0)</f>
        <v>0</v>
      </c>
      <c r="DF481" s="149" t="n">
        <v>473</v>
      </c>
      <c r="DG481" s="149" t="str">
        <f aca="false">IF(ISBLANK($C481),"",IF(ISNUMBER($DC481),$DC481+ROW($B481)/1000,""))</f>
        <v/>
      </c>
      <c r="DH481" s="149" t="str">
        <f aca="false">IF(ISNUMBER($DG481),RANK($DG481,$DG$9:$DG$508,1),"")</f>
        <v/>
      </c>
      <c r="DI481" s="149" t="str">
        <f aca="false">IF(ISBLANK($C481),"",$B481)</f>
        <v/>
      </c>
      <c r="DJ481" s="149" t="str">
        <f aca="false">IF(ISBLANK($C481),"",$C481)</f>
        <v/>
      </c>
      <c r="DK481" s="149" t="str">
        <f aca="false">IF(ISBLANK($C481),"",$D481)</f>
        <v/>
      </c>
      <c r="DL481" s="150" t="str">
        <f aca="false">$CZ481</f>
        <v/>
      </c>
      <c r="DM481" s="151" t="str">
        <f aca="false">$CY481</f>
        <v/>
      </c>
      <c r="DN481" s="149" t="str">
        <f aca="false">IF(ISBLANK($C481),"",$DB481)</f>
        <v/>
      </c>
      <c r="DO481" s="152" t="str">
        <f aca="false">IF($DF481&gt;$DE$8,"",VLOOKUP($DF481,$DH$9:$DN$508,7,FALSE()))</f>
        <v/>
      </c>
      <c r="DP481" s="153" t="str">
        <f aca="false">IF($DF481&gt;$DE$8,"",VLOOKUP($DF481,$DH$9:$DN$508,2,FALSE()))</f>
        <v/>
      </c>
      <c r="DQ481" s="153" t="str">
        <f aca="false">IF($DF481&gt;$DE$8,"",VLOOKUP($DF481,$DH$9:$DN$508,3,FALSE()))</f>
        <v/>
      </c>
      <c r="DR481" s="153" t="str">
        <f aca="false">IF($DF481&gt;$DE$8,"",VLOOKUP($DF481,$DH$9:$DN$508,4,FALSE()))</f>
        <v/>
      </c>
      <c r="DS481" s="153" t="str">
        <f aca="false">IF($DF481&gt;$DE$8,"",VLOOKUP($DF481,$DH$9:$DN$508,5,FALSE()))</f>
        <v/>
      </c>
      <c r="DT481" s="154" t="str">
        <f aca="false">IF($DF481&gt;$DE$8,"",VLOOKUP($DF481,$DH$9:$DN$508,6,FALSE()))</f>
        <v/>
      </c>
      <c r="DU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IF(ISBLANK($C482),"",IF(E482=Constants!$B$3,TRUE(),IF(E482=Constants!$B$4,FALSE(),TRUE())))</f>
        <v/>
      </c>
      <c r="AG482" s="135" t="str">
        <f aca="false">IF(ISBLANK($C482),"",IF(F482=Constants!$B$3,TRUE(),IF(F482=Constants!$B$4,FALSE(),TRUE())))</f>
        <v/>
      </c>
      <c r="AH482" s="135" t="str">
        <f aca="false">IF(ISBLANK($C482),"",IF(G482=Constants!$B$3,TRUE(),IF(G482=Constants!$B$4,FALSE(),TRUE())))</f>
        <v/>
      </c>
      <c r="AI482" s="135" t="str">
        <f aca="false">IF(ISBLANK($C482),"",IF(AND(ISNUMBER(H482),H482&gt;=0),H482,Constants!$B$29))</f>
        <v/>
      </c>
      <c r="AJ482" s="135" t="str">
        <f aca="false">IF(ISBLANK($C482),"",IF(I482=Constants!$B$3,TRUE(),IF(I482=Constants!$B$4,FALSE(),TRUE())))</f>
        <v/>
      </c>
      <c r="AK482" s="135" t="str">
        <f aca="false">IF(ISBLANK($C482),"",IF(J482=Constants!$B$3,TRUE(),IF(J482=Constants!$B$4,FALSE(),TRUE())))</f>
        <v/>
      </c>
      <c r="AL482" s="135" t="str">
        <f aca="false">IF(ISBLANK($C482),"",IF(K482=Constants!$B$5,TRUE(),IF(K482=Constants!$B$6,FALSE(),COUNTA(L482:P482)&gt;0)))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IF(ISBLANK($C482),"",IF(N482=Constants!$B$3,TRUE(),IF(N482=Constants!$B$4,FALSE(),TRUE())))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IF(ISBLANK($C482),"",IF(P482=Constants!$B$3,TRUE(),IF(P482=Constants!$B$4,FALSE(),FALSE())))</f>
        <v/>
      </c>
      <c r="AR482" s="135" t="str">
        <f aca="false">IF(ISBLANK($C482),"",IF(Q482=Constants!$B$3,TRUE(),IF(Q482=Constants!$B$4,FALSE(),TRUE())))</f>
        <v/>
      </c>
      <c r="AS482" s="135" t="str">
        <f aca="false">IF(ISBLANK($C482),"",IF(R482=Constants!$B$3,TRUE(),IF(R482=Constants!$B$4,FALSE(),TRUE())))</f>
        <v/>
      </c>
      <c r="AT482" s="135" t="str">
        <f aca="false">IF(ISBLANK($C482),"",IF(S482=Constants!$B$5,TRUE(),IF(S482=Constants!$B$6,FALSE(),COUNTA(T482:X482)&gt;0)))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IF(ISBLANK($C482),"",IF(V482=Constants!$B$3,TRUE(),IF(V482=Constants!$B$4,FALSE(),TRUE())))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IF(ISBLANK($C482),"",IF(X482=Constants!$B$3,TRUE(),IF(X482=Constants!$B$4,FALSE(),FALSE())))</f>
        <v/>
      </c>
      <c r="AZ482" s="135" t="str">
        <f aca="false">IF(ISBLANK($C482),"",MIN(Constants!$B$31,MAX(0,IF(ISNUMBER(Y482),Y482*60,0)+IF(ISNUMBER(Z482),Z482,0))))</f>
        <v/>
      </c>
      <c r="BA482" s="135" t="str">
        <f aca="false">IF(ISBLANK($C482),"",IF(AA482=Constants!$B$3,TRUE(),IF(AA482=Constants!$B$4,FALSE(),FALSE())))</f>
        <v/>
      </c>
      <c r="BB482" s="134" t="str">
        <f aca="false">IF(ISBLANK($C482),"",AND($AL482,OR($AM482="",$AN482="",AND($AO482,$AP482=""))))</f>
        <v/>
      </c>
      <c r="BC482" s="137" t="str">
        <f aca="false">IF($BZ482&lt;&gt;Constants!$B$8,"",IF($AL482,Constants!$B$21*$AN482+Constants!$B$22*IF($AO482,$AP482,Constants!$B$23),Constants!$B$24))</f>
        <v/>
      </c>
      <c r="BD482" s="138" t="str">
        <f aca="false">IF($BZ482&lt;&gt;Constants!$B$8,"",Constants!$B$25*ABS($AD$9-IF($AL482,$AM482,0)))</f>
        <v/>
      </c>
      <c r="BE482" s="138" t="str">
        <f aca="false">IF($BZ482&lt;&gt;Constants!$B$8,"",IF(AND($AL482,$AQ482,$AO482),Constants!$B$27,0))</f>
        <v/>
      </c>
      <c r="BF482" s="138" t="str">
        <f aca="false">IF($BZ482&lt;&gt;Constants!$B$8,"",IF($AL482,($AI482-Constants!$B$29)*Constants!$B$28,0))</f>
        <v/>
      </c>
      <c r="BG482" s="138" t="str">
        <f aca="false">IF($BZ482&lt;&gt;Constants!$B$8,"",IF($AK482,0,Constants!$B$15)+IF($AJ482,0,Constants!$B$16)+IF($AH482,0,Constants!$B$17))</f>
        <v/>
      </c>
      <c r="BH482" s="139" t="str">
        <f aca="false">IF($BZ482&lt;&gt;Constants!$B$8,"",Constants!$B$20+SUM($BC482:$BG482))</f>
        <v/>
      </c>
      <c r="BI482" s="138" t="str">
        <f aca="false">IF($BZ482&lt;&gt;Constants!$B$8,"",$BC482)</f>
        <v/>
      </c>
      <c r="BJ482" s="138" t="str">
        <f aca="false">IF($BZ482&lt;&gt;Constants!$B$8,"",$BD482)</f>
        <v/>
      </c>
      <c r="BK482" s="138" t="str">
        <f aca="false">IF($BZ482&lt;&gt;Constants!$B$8,"",IF($AL482,$AN482,""))</f>
        <v/>
      </c>
      <c r="BL482" s="140" t="str">
        <f aca="false">IF($BZ482&lt;&gt;Constants!$B$8,"",$AI482)</f>
        <v/>
      </c>
      <c r="BM482" s="135" t="str">
        <f aca="false">IF($BZ482&lt;&gt;Constants!$B$8,"",IF(OR($BT482&lt;$BH482,AND($BT482=$BH482,OR($BU482&lt;$BI482,AND($BU482=$BI482,OR($BV482&lt;$BJ482,AND($BV482=$BJ482,OR(AND(ISNUMBER($BW482),OR(NOT(ISNUMBER($BK482)),$BW482&lt;$BK482)),AND(OR(AND($BW482="",$BK482=""),AND(ISNUMBER($BW482),ISNUMBER($BK482),$BW482=$BK482)),$BX482&lt;$BL482)))))))),"-&gt;","&lt;-"))</f>
        <v/>
      </c>
      <c r="BN482" s="134" t="str">
        <f aca="false">IF(ISBLANK($C482),"",AND($AT482,OR($AU482="",$AV482="",AND($AW482,$AX482=""))))</f>
        <v/>
      </c>
      <c r="BO482" s="137" t="str">
        <f aca="false">IF($BZ482&lt;&gt;Constants!$B$8,"",IF($AT482,Constants!$B$21*$AV482+Constants!$B$22*IF($AW482,$AX482,Constants!$B$23),Constants!$B$24))</f>
        <v/>
      </c>
      <c r="BP482" s="138" t="str">
        <f aca="false">IF($BZ482&lt;&gt;Constants!$B$8,"",Constants!$B$25*ABS($AD$9-IF($AT482,$AU482,0)))</f>
        <v/>
      </c>
      <c r="BQ482" s="138" t="str">
        <f aca="false">IF($BZ482&lt;&gt;Constants!$B$8,"",IF(AND($AT482,$AY482,$AW482),Constants!$B$27,0))</f>
        <v/>
      </c>
      <c r="BR482" s="138" t="str">
        <f aca="false">IF($BZ482&lt;&gt;Constants!$B$8,"",IF($AT482,($AI482-Constants!$B$29)*Constants!$B$28,0))</f>
        <v/>
      </c>
      <c r="BS482" s="138" t="str">
        <f aca="false">IF($BZ482&lt;&gt;Constants!$B$8,"",IF($AS482,0,Constants!$B$15)+IF($AR482,0,Constants!$B$16)+IF($AH482,0,Constants!$B$17))</f>
        <v/>
      </c>
      <c r="BT482" s="139" t="str">
        <f aca="false">IF($BZ482&lt;&gt;Constants!$B$8,"",Constants!$B$20+SUM($BO482:$BS482))</f>
        <v/>
      </c>
      <c r="BU482" s="138" t="str">
        <f aca="false">IF($BZ482&lt;&gt;Constants!$B$8,"",$BO482)</f>
        <v/>
      </c>
      <c r="BV482" s="138" t="str">
        <f aca="false">IF($BZ482&lt;&gt;Constants!$B$8,"",$BP482)</f>
        <v/>
      </c>
      <c r="BW482" s="138" t="str">
        <f aca="false">IF($BZ482&lt;&gt;Constants!$B$8,"",IF($AT482,$AV482,""))</f>
        <v/>
      </c>
      <c r="BX482" s="140" t="str">
        <f aca="false">IF($BZ482&lt;&gt;Constants!$B$8,"",$AI482)</f>
        <v/>
      </c>
      <c r="BY482" s="135" t="str">
        <f aca="false">IF(ISBLANK($C482),"",IF(ISBLANK($D$7),$BY$5,IF(NOT(ISNUMBER($D$7)),$BY$6,"")))</f>
        <v/>
      </c>
      <c r="BZ482" s="135" t="str">
        <f aca="false">IF(ISBLANK($C482),"",IF($BA482,Constants!$B$11,IF(COUNTA($E482:$AA482)=0,Constants!$B$10,IF(NOT($AG482),Constants!$B$9,IF(OR($BY482&lt;&gt;"",$BB482,$BN482),Constants!$B$12,Constants!$B$8)))))</f>
        <v/>
      </c>
      <c r="CA482" s="135" t="str">
        <f aca="false">IF(ISBLANK($C482),"",IF($BZ482&lt;&gt;Constants!$B$8,$BZ482,Constants!$B$13))</f>
        <v/>
      </c>
      <c r="CB482" s="138" t="str">
        <f aca="false">IF($BZ482&lt;&gt;Constants!$B$8,"",IF($BM482="-&gt;",$BT482,$BH482))</f>
        <v/>
      </c>
      <c r="CC482" s="138" t="str">
        <f aca="false">IF($BZ482&lt;&gt;Constants!$B$8,"",IF($AF482,0,Constants!$B$18))</f>
        <v/>
      </c>
      <c r="CD482" s="138" t="str">
        <f aca="false">IF($BZ482&lt;&gt;Constants!$B$8,"",((Constants!$B$31-$AZ482)-Constants!$B$31)/Constants!$B$32)</f>
        <v/>
      </c>
      <c r="CE482" s="138" t="str">
        <f aca="false">IF(ISBLANK($C482),"",IF($BZ482&lt;&gt;Constants!$B$8,$BZ482,SUM($CB482:$CD482)))</f>
        <v/>
      </c>
      <c r="CF482" s="135" t="str">
        <f aca="false">IF(ISBLANK($C482),"",IF($BZ482&lt;&gt;Constants!$B$8,$BZ482,RANK($CE482,$CE$9:$CE$508,1)))</f>
        <v/>
      </c>
      <c r="CG482" s="138" t="str">
        <f aca="false">IF($BZ482&lt;&gt;Constants!$B$8,"",IF($BM482="-&gt;",$BU482,$BI482))</f>
        <v/>
      </c>
      <c r="CH482" s="135" t="str">
        <f aca="false">IF(ISBLANK($C482),"",IF($BZ482&lt;&gt;Constants!$B$8,$BZ482,IF(ISNUMBER($CG482),RANK($CG482,$CG$9:$CG$508,1),COUNT($CG$9:$CG$508)+1)))</f>
        <v/>
      </c>
      <c r="CI482" s="138" t="str">
        <f aca="false">IF($BZ482&lt;&gt;Constants!$B$8,"",IF($BM482="-&gt;",$BV482,$BJ482))</f>
        <v/>
      </c>
      <c r="CJ482" s="135" t="str">
        <f aca="false">IF(ISBLANK($C482),"",IF($BZ482&lt;&gt;Constants!$B$8,$BZ482,IF(ISNUMBER($CI482),RANK($CI482,$CI$9:$CI$508,1),COUNT($CI$9:$CI$508)+1)))</f>
        <v/>
      </c>
      <c r="CK482" s="138" t="str">
        <f aca="false">IF($BZ482&lt;&gt;Constants!$B$8,"",IF($BM482="-&gt;",$BW482,$BK482))</f>
        <v/>
      </c>
      <c r="CL482" s="135" t="str">
        <f aca="false">IF(ISBLANK($C482),"",IF($BZ482&lt;&gt;Constants!$B$8,$BZ482,IF(ISNUMBER($CK482),RANK($CK482,$CK$9:$CK$508,1),COUNT($CK$9:$CK$508)+1)))</f>
        <v/>
      </c>
      <c r="CM482" s="138" t="str">
        <f aca="false">IF($BZ482&lt;&gt;Constants!$B$8,"",IF(AND(NOT($AL482),NOT($AT482),$AJ482,$AK482,$AR482,$AS482),"",IF($BM482="-&gt;",$BX482,$BL482)))</f>
        <v/>
      </c>
      <c r="CN482" s="135" t="str">
        <f aca="false">IF(ISBLANK($C482),"",IF($BZ482&lt;&gt;Constants!$B$8,$BZ482,IF(ISNUMBER($CM482),RANK($CM482,$CM$9:$CM$508,1),COUNT($CM$9:$CM$508)+1)))</f>
        <v/>
      </c>
      <c r="CO482" s="135" t="str">
        <f aca="false">IF(ISBLANK($C482),"",IF($BZ482&lt;&gt;Constants!$B$8,$BZ482,COUNTIFS($CF$9:$CF$508,"&lt;"&amp;$CF482)+COUNTIFS($CF$9:$CF$508,$CF482,$CH$9:$CH$508,"&lt;"&amp;$CH482)+COUNTIFS($CF$9:$CF$508,$CF482,$CH$9:$CH$508,$CH482,$CJ$9:$CJ$508,"&lt;"&amp;$CJ482)+COUNTIFS($CF$9:$CF$508,$CF482,$CH$9:$CH$508,$CH482,$CJ$9:$CJ$508,$CJ482,$CL$9:$CL$508,"&lt;"&amp;$CL482)+COUNTIFS($CF$9:$CF$508,$CF482,$CH$9:$CH$508,$CH482,$CJ$9:$CJ$508,$CJ482,$CL$9:$CL$508,$CL482,$CN$9:$CN$508,"&lt;"&amp;$CN482)+1))</f>
        <v/>
      </c>
      <c r="CP482" s="135" t="str">
        <f aca="false">IF(ISBLANK($C482),"",IF($BZ482&lt;&gt;Constants!$B$8,$BZ482,$CF482-$CO482))</f>
        <v/>
      </c>
      <c r="CQ482" s="141"/>
      <c r="CR482" s="142"/>
      <c r="CS482" s="143" t="str">
        <f aca="false">IF(ISBLANK($C482),"",IF($BZ482=Constants!$B$12,$BY482,""))</f>
        <v/>
      </c>
      <c r="CT482" s="142" t="str">
        <f aca="false">IF(ISBLANK($C482),"",IF($BZ482&lt;&gt;Constants!$B$8,"",IF($BM482="-&gt;",2,1)))</f>
        <v/>
      </c>
      <c r="CU482" s="144" t="str">
        <f aca="false">IF(ISBLANK($C482),"",IF($BZ482&lt;&gt;Constants!$B$8,"",IF($BM482="-&gt;",$BO482,$BC482)))</f>
        <v/>
      </c>
      <c r="CV482" s="144" t="str">
        <f aca="false">IF(ISBLANK($C482),"",IF($BZ482&lt;&gt;Constants!$B$8,"",IF($BM482="-&gt;",$BP482,$BD482)))</f>
        <v/>
      </c>
      <c r="CW482" s="144" t="str">
        <f aca="false">IF(ISBLANK($C482),"",IF($BZ482&lt;&gt;Constants!$B$8,"",IF($BM482="-&gt;",$BQ482+$BR482,$BE482+$BF482)+$CD482))</f>
        <v/>
      </c>
      <c r="CX482" s="144" t="str">
        <f aca="false">IF(ISBLANK($C482),"",IF($BZ482&lt;&gt;Constants!$B$8,"",IF($BM482="-&gt;",$BS482,$BG482)+$CC482))</f>
        <v/>
      </c>
      <c r="CY482" s="145" t="str">
        <f aca="false">IF(ISBLANK($C482),"",IF($BZ482&lt;&gt;Constants!$B$8,$BZ482,$CE482))</f>
        <v/>
      </c>
      <c r="CZ482" s="146" t="str">
        <f aca="false">IF(ISBLANK($C482),"",$CA482)</f>
        <v/>
      </c>
      <c r="DA482" s="147" t="str">
        <f aca="false">IF(ISBLANK($C482),"",$CP482)</f>
        <v/>
      </c>
      <c r="DB482" s="147" t="str">
        <f aca="false">IF(ISBLANK($C482),"",$CO482)</f>
        <v/>
      </c>
      <c r="DC482" s="148" t="str">
        <f aca="false">IF(ISBLANK($C482),"",IFERROR(_xlfn.SWITCH($DB482,Constants!$B$11,COUNTA($C$9:$C$508)+2,Constants!$B$10,COUNTA($C$9:$C$508)+1,Constants!$B$9,COUNTA($C$9:$C$508)),$DB482))</f>
        <v/>
      </c>
      <c r="DD482" s="9"/>
      <c r="DE482" s="149" t="n">
        <f aca="false">IF(OR(ISNUMBER($DB482),$DB482=Constants!$B$11,$DB482=Constants!$B$9,$DB482=Constants!$B$10),1,0)</f>
        <v>0</v>
      </c>
      <c r="DF482" s="149" t="n">
        <v>474</v>
      </c>
      <c r="DG482" s="149" t="str">
        <f aca="false">IF(ISBLANK($C482),"",IF(ISNUMBER($DC482),$DC482+ROW($B482)/1000,""))</f>
        <v/>
      </c>
      <c r="DH482" s="149" t="str">
        <f aca="false">IF(ISNUMBER($DG482),RANK($DG482,$DG$9:$DG$508,1),"")</f>
        <v/>
      </c>
      <c r="DI482" s="149" t="str">
        <f aca="false">IF(ISBLANK($C482),"",$B482)</f>
        <v/>
      </c>
      <c r="DJ482" s="149" t="str">
        <f aca="false">IF(ISBLANK($C482),"",$C482)</f>
        <v/>
      </c>
      <c r="DK482" s="149" t="str">
        <f aca="false">IF(ISBLANK($C482),"",$D482)</f>
        <v/>
      </c>
      <c r="DL482" s="150" t="str">
        <f aca="false">$CZ482</f>
        <v/>
      </c>
      <c r="DM482" s="151" t="str">
        <f aca="false">$CY482</f>
        <v/>
      </c>
      <c r="DN482" s="149" t="str">
        <f aca="false">IF(ISBLANK($C482),"",$DB482)</f>
        <v/>
      </c>
      <c r="DO482" s="152" t="str">
        <f aca="false">IF($DF482&gt;$DE$8,"",VLOOKUP($DF482,$DH$9:$DN$508,7,FALSE()))</f>
        <v/>
      </c>
      <c r="DP482" s="153" t="str">
        <f aca="false">IF($DF482&gt;$DE$8,"",VLOOKUP($DF482,$DH$9:$DN$508,2,FALSE()))</f>
        <v/>
      </c>
      <c r="DQ482" s="153" t="str">
        <f aca="false">IF($DF482&gt;$DE$8,"",VLOOKUP($DF482,$DH$9:$DN$508,3,FALSE()))</f>
        <v/>
      </c>
      <c r="DR482" s="153" t="str">
        <f aca="false">IF($DF482&gt;$DE$8,"",VLOOKUP($DF482,$DH$9:$DN$508,4,FALSE()))</f>
        <v/>
      </c>
      <c r="DS482" s="153" t="str">
        <f aca="false">IF($DF482&gt;$DE$8,"",VLOOKUP($DF482,$DH$9:$DN$508,5,FALSE()))</f>
        <v/>
      </c>
      <c r="DT482" s="154" t="str">
        <f aca="false">IF($DF482&gt;$DE$8,"",VLOOKUP($DF482,$DH$9:$DN$508,6,FALSE()))</f>
        <v/>
      </c>
      <c r="DU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IF(ISBLANK($C483),"",IF(E483=Constants!$B$3,TRUE(),IF(E483=Constants!$B$4,FALSE(),TRUE())))</f>
        <v/>
      </c>
      <c r="AG483" s="93" t="str">
        <f aca="false">IF(ISBLANK($C483),"",IF(F483=Constants!$B$3,TRUE(),IF(F483=Constants!$B$4,FALSE(),TRUE())))</f>
        <v/>
      </c>
      <c r="AH483" s="93" t="str">
        <f aca="false">IF(ISBLANK($C483),"",IF(G483=Constants!$B$3,TRUE(),IF(G483=Constants!$B$4,FALSE(),TRUE())))</f>
        <v/>
      </c>
      <c r="AI483" s="93" t="str">
        <f aca="false">IF(ISBLANK($C483),"",IF(AND(ISNUMBER(H483),H483&gt;=0),H483,Constants!$B$29))</f>
        <v/>
      </c>
      <c r="AJ483" s="93" t="str">
        <f aca="false">IF(ISBLANK($C483),"",IF(I483=Constants!$B$3,TRUE(),IF(I483=Constants!$B$4,FALSE(),TRUE())))</f>
        <v/>
      </c>
      <c r="AK483" s="93" t="str">
        <f aca="false">IF(ISBLANK($C483),"",IF(J483=Constants!$B$3,TRUE(),IF(J483=Constants!$B$4,FALSE(),TRUE())))</f>
        <v/>
      </c>
      <c r="AL483" s="93" t="str">
        <f aca="false">IF(ISBLANK($C483),"",IF(K483=Constants!$B$5,TRUE(),IF(K483=Constants!$B$6,FALSE(),COUNTA(L483:P483)&gt;0)))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IF(ISBLANK($C483),"",IF(N483=Constants!$B$3,TRUE(),IF(N483=Constants!$B$4,FALSE(),TRUE())))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IF(ISBLANK($C483),"",IF(P483=Constants!$B$3,TRUE(),IF(P483=Constants!$B$4,FALSE(),FALSE())))</f>
        <v/>
      </c>
      <c r="AR483" s="93" t="str">
        <f aca="false">IF(ISBLANK($C483),"",IF(Q483=Constants!$B$3,TRUE(),IF(Q483=Constants!$B$4,FALSE(),TRUE())))</f>
        <v/>
      </c>
      <c r="AS483" s="93" t="str">
        <f aca="false">IF(ISBLANK($C483),"",IF(R483=Constants!$B$3,TRUE(),IF(R483=Constants!$B$4,FALSE(),TRUE())))</f>
        <v/>
      </c>
      <c r="AT483" s="93" t="str">
        <f aca="false">IF(ISBLANK($C483),"",IF(S483=Constants!$B$5,TRUE(),IF(S483=Constants!$B$6,FALSE(),COUNTA(T483:X483)&gt;0)))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IF(ISBLANK($C483),"",IF(V483=Constants!$B$3,TRUE(),IF(V483=Constants!$B$4,FALSE(),TRUE())))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IF(ISBLANK($C483),"",IF(X483=Constants!$B$3,TRUE(),IF(X483=Constants!$B$4,FALSE(),FALSE())))</f>
        <v/>
      </c>
      <c r="AZ483" s="93" t="str">
        <f aca="false">IF(ISBLANK($C483),"",MIN(Constants!$B$31,MAX(0,IF(ISNUMBER(Y483),Y483*60,0)+IF(ISNUMBER(Z483),Z483,0))))</f>
        <v/>
      </c>
      <c r="BA483" s="93" t="str">
        <f aca="false">IF(ISBLANK($C483),"",IF(AA483=Constants!$B$3,TRUE(),IF(AA483=Constants!$B$4,FALSE(),FALSE())))</f>
        <v/>
      </c>
      <c r="BB483" s="92" t="str">
        <f aca="false">IF(ISBLANK($C483),"",AND($AL483,OR($AM483="",$AN483="",AND($AO483,$AP483=""))))</f>
        <v/>
      </c>
      <c r="BC483" s="94" t="str">
        <f aca="false">IF($BZ483&lt;&gt;Constants!$B$8,"",IF($AL483,Constants!$B$21*$AN483+Constants!$B$22*IF($AO483,$AP483,Constants!$B$23),Constants!$B$24))</f>
        <v/>
      </c>
      <c r="BD483" s="97" t="str">
        <f aca="false">IF($BZ483&lt;&gt;Constants!$B$8,"",Constants!$B$25*ABS($AD$9-IF($AL483,$AM483,0)))</f>
        <v/>
      </c>
      <c r="BE483" s="97" t="str">
        <f aca="false">IF($BZ483&lt;&gt;Constants!$B$8,"",IF(AND($AL483,$AQ483,$AO483),Constants!$B$27,0))</f>
        <v/>
      </c>
      <c r="BF483" s="97" t="str">
        <f aca="false">IF($BZ483&lt;&gt;Constants!$B$8,"",IF($AL483,($AI483-Constants!$B$29)*Constants!$B$28,0))</f>
        <v/>
      </c>
      <c r="BG483" s="97" t="str">
        <f aca="false">IF($BZ483&lt;&gt;Constants!$B$8,"",IF($AK483,0,Constants!$B$15)+IF($AJ483,0,Constants!$B$16)+IF($AH483,0,Constants!$B$17))</f>
        <v/>
      </c>
      <c r="BH483" s="98" t="str">
        <f aca="false">IF($BZ483&lt;&gt;Constants!$B$8,"",Constants!$B$20+SUM($BC483:$BG483))</f>
        <v/>
      </c>
      <c r="BI483" s="97" t="str">
        <f aca="false">IF($BZ483&lt;&gt;Constants!$B$8,"",$BC483)</f>
        <v/>
      </c>
      <c r="BJ483" s="97" t="str">
        <f aca="false">IF($BZ483&lt;&gt;Constants!$B$8,"",$BD483)</f>
        <v/>
      </c>
      <c r="BK483" s="97" t="str">
        <f aca="false">IF($BZ483&lt;&gt;Constants!$B$8,"",IF($AL483,$AN483,""))</f>
        <v/>
      </c>
      <c r="BL483" s="99" t="str">
        <f aca="false">IF($BZ483&lt;&gt;Constants!$B$8,"",$AI483)</f>
        <v/>
      </c>
      <c r="BM483" s="93" t="str">
        <f aca="false">IF($BZ483&lt;&gt;Constants!$B$8,"",IF(OR($BT483&lt;$BH483,AND($BT483=$BH483,OR($BU483&lt;$BI483,AND($BU483=$BI483,OR($BV483&lt;$BJ483,AND($BV483=$BJ483,OR(AND(ISNUMBER($BW483),OR(NOT(ISNUMBER($BK483)),$BW483&lt;$BK483)),AND(OR(AND($BW483="",$BK483=""),AND(ISNUMBER($BW483),ISNUMBER($BK483),$BW483=$BK483)),$BX483&lt;$BL483)))))))),"-&gt;","&lt;-"))</f>
        <v/>
      </c>
      <c r="BN483" s="92" t="str">
        <f aca="false">IF(ISBLANK($C483),"",AND($AT483,OR($AU483="",$AV483="",AND($AW483,$AX483=""))))</f>
        <v/>
      </c>
      <c r="BO483" s="94" t="str">
        <f aca="false">IF($BZ483&lt;&gt;Constants!$B$8,"",IF($AT483,Constants!$B$21*$AV483+Constants!$B$22*IF($AW483,$AX483,Constants!$B$23),Constants!$B$24))</f>
        <v/>
      </c>
      <c r="BP483" s="97" t="str">
        <f aca="false">IF($BZ483&lt;&gt;Constants!$B$8,"",Constants!$B$25*ABS($AD$9-IF($AT483,$AU483,0)))</f>
        <v/>
      </c>
      <c r="BQ483" s="97" t="str">
        <f aca="false">IF($BZ483&lt;&gt;Constants!$B$8,"",IF(AND($AT483,$AY483,$AW483),Constants!$B$27,0))</f>
        <v/>
      </c>
      <c r="BR483" s="97" t="str">
        <f aca="false">IF($BZ483&lt;&gt;Constants!$B$8,"",IF($AT483,($AI483-Constants!$B$29)*Constants!$B$28,0))</f>
        <v/>
      </c>
      <c r="BS483" s="97" t="str">
        <f aca="false">IF($BZ483&lt;&gt;Constants!$B$8,"",IF($AS483,0,Constants!$B$15)+IF($AR483,0,Constants!$B$16)+IF($AH483,0,Constants!$B$17))</f>
        <v/>
      </c>
      <c r="BT483" s="98" t="str">
        <f aca="false">IF($BZ483&lt;&gt;Constants!$B$8,"",Constants!$B$20+SUM($BO483:$BS483))</f>
        <v/>
      </c>
      <c r="BU483" s="97" t="str">
        <f aca="false">IF($BZ483&lt;&gt;Constants!$B$8,"",$BO483)</f>
        <v/>
      </c>
      <c r="BV483" s="97" t="str">
        <f aca="false">IF($BZ483&lt;&gt;Constants!$B$8,"",$BP483)</f>
        <v/>
      </c>
      <c r="BW483" s="97" t="str">
        <f aca="false">IF($BZ483&lt;&gt;Constants!$B$8,"",IF($AT483,$AV483,""))</f>
        <v/>
      </c>
      <c r="BX483" s="99" t="str">
        <f aca="false">IF($BZ483&lt;&gt;Constants!$B$8,"",$AI483)</f>
        <v/>
      </c>
      <c r="BY483" s="93" t="str">
        <f aca="false">IF(ISBLANK($C483),"",IF(ISBLANK($D$7),$BY$5,IF(NOT(ISNUMBER($D$7)),$BY$6,"")))</f>
        <v/>
      </c>
      <c r="BZ483" s="93" t="str">
        <f aca="false">IF(ISBLANK($C483),"",IF($BA483,Constants!$B$11,IF(COUNTA($E483:$AA483)=0,Constants!$B$10,IF(NOT($AG483),Constants!$B$9,IF(OR($BY483&lt;&gt;"",$BB483,$BN483),Constants!$B$12,Constants!$B$8)))))</f>
        <v/>
      </c>
      <c r="CA483" s="93" t="str">
        <f aca="false">IF(ISBLANK($C483),"",IF($BZ483&lt;&gt;Constants!$B$8,$BZ483,Constants!$B$13))</f>
        <v/>
      </c>
      <c r="CB483" s="97" t="str">
        <f aca="false">IF($BZ483&lt;&gt;Constants!$B$8,"",IF($BM483="-&gt;",$BT483,$BH483))</f>
        <v/>
      </c>
      <c r="CC483" s="97" t="str">
        <f aca="false">IF($BZ483&lt;&gt;Constants!$B$8,"",IF($AF483,0,Constants!$B$18))</f>
        <v/>
      </c>
      <c r="CD483" s="97" t="str">
        <f aca="false">IF($BZ483&lt;&gt;Constants!$B$8,"",((Constants!$B$31-$AZ483)-Constants!$B$31)/Constants!$B$32)</f>
        <v/>
      </c>
      <c r="CE483" s="97" t="str">
        <f aca="false">IF(ISBLANK($C483),"",IF($BZ483&lt;&gt;Constants!$B$8,$BZ483,SUM($CB483:$CD483)))</f>
        <v/>
      </c>
      <c r="CF483" s="93" t="str">
        <f aca="false">IF(ISBLANK($C483),"",IF($BZ483&lt;&gt;Constants!$B$8,$BZ483,RANK($CE483,$CE$9:$CE$508,1)))</f>
        <v/>
      </c>
      <c r="CG483" s="97" t="str">
        <f aca="false">IF($BZ483&lt;&gt;Constants!$B$8,"",IF($BM483="-&gt;",$BU483,$BI483))</f>
        <v/>
      </c>
      <c r="CH483" s="93" t="str">
        <f aca="false">IF(ISBLANK($C483),"",IF($BZ483&lt;&gt;Constants!$B$8,$BZ483,IF(ISNUMBER($CG483),RANK($CG483,$CG$9:$CG$508,1),COUNT($CG$9:$CG$508)+1)))</f>
        <v/>
      </c>
      <c r="CI483" s="97" t="str">
        <f aca="false">IF($BZ483&lt;&gt;Constants!$B$8,"",IF($BM483="-&gt;",$BV483,$BJ483))</f>
        <v/>
      </c>
      <c r="CJ483" s="93" t="str">
        <f aca="false">IF(ISBLANK($C483),"",IF($BZ483&lt;&gt;Constants!$B$8,$BZ483,IF(ISNUMBER($CI483),RANK($CI483,$CI$9:$CI$508,1),COUNT($CI$9:$CI$508)+1)))</f>
        <v/>
      </c>
      <c r="CK483" s="97" t="str">
        <f aca="false">IF($BZ483&lt;&gt;Constants!$B$8,"",IF($BM483="-&gt;",$BW483,$BK483))</f>
        <v/>
      </c>
      <c r="CL483" s="93" t="str">
        <f aca="false">IF(ISBLANK($C483),"",IF($BZ483&lt;&gt;Constants!$B$8,$BZ483,IF(ISNUMBER($CK483),RANK($CK483,$CK$9:$CK$508,1),COUNT($CK$9:$CK$508)+1)))</f>
        <v/>
      </c>
      <c r="CM483" s="97" t="str">
        <f aca="false">IF($BZ483&lt;&gt;Constants!$B$8,"",IF(AND(NOT($AL483),NOT($AT483),$AJ483,$AK483,$AR483,$AS483),"",IF($BM483="-&gt;",$BX483,$BL483)))</f>
        <v/>
      </c>
      <c r="CN483" s="93" t="str">
        <f aca="false">IF(ISBLANK($C483),"",IF($BZ483&lt;&gt;Constants!$B$8,$BZ483,IF(ISNUMBER($CM483),RANK($CM483,$CM$9:$CM$508,1),COUNT($CM$9:$CM$508)+1)))</f>
        <v/>
      </c>
      <c r="CO483" s="93" t="str">
        <f aca="false">IF(ISBLANK($C483),"",IF($BZ483&lt;&gt;Constants!$B$8,$BZ483,COUNTIFS($CF$9:$CF$508,"&lt;"&amp;$CF483)+COUNTIFS($CF$9:$CF$508,$CF483,$CH$9:$CH$508,"&lt;"&amp;$CH483)+COUNTIFS($CF$9:$CF$508,$CF483,$CH$9:$CH$508,$CH483,$CJ$9:$CJ$508,"&lt;"&amp;$CJ483)+COUNTIFS($CF$9:$CF$508,$CF483,$CH$9:$CH$508,$CH483,$CJ$9:$CJ$508,$CJ483,$CL$9:$CL$508,"&lt;"&amp;$CL483)+COUNTIFS($CF$9:$CF$508,$CF483,$CH$9:$CH$508,$CH483,$CJ$9:$CJ$508,$CJ483,$CL$9:$CL$508,$CL483,$CN$9:$CN$508,"&lt;"&amp;$CN483)+1))</f>
        <v/>
      </c>
      <c r="CP483" s="93" t="str">
        <f aca="false">IF(ISBLANK($C483),"",IF($BZ483&lt;&gt;Constants!$B$8,$BZ483,$CF483-$CO483))</f>
        <v/>
      </c>
      <c r="CQ483" s="100"/>
      <c r="CR483" s="101"/>
      <c r="CS483" s="102" t="str">
        <f aca="false">IF(ISBLANK($C483),"",IF($BZ483=Constants!$B$12,$BY483,""))</f>
        <v/>
      </c>
      <c r="CT483" s="101" t="str">
        <f aca="false">IF(ISBLANK($C483),"",IF($BZ483&lt;&gt;Constants!$B$8,"",IF($BM483="-&gt;",2,1)))</f>
        <v/>
      </c>
      <c r="CU483" s="103" t="str">
        <f aca="false">IF(ISBLANK($C483),"",IF($BZ483&lt;&gt;Constants!$B$8,"",IF($BM483="-&gt;",$BO483,$BC483)))</f>
        <v/>
      </c>
      <c r="CV483" s="103" t="str">
        <f aca="false">IF(ISBLANK($C483),"",IF($BZ483&lt;&gt;Constants!$B$8,"",IF($BM483="-&gt;",$BP483,$BD483)))</f>
        <v/>
      </c>
      <c r="CW483" s="103" t="str">
        <f aca="false">IF(ISBLANK($C483),"",IF($BZ483&lt;&gt;Constants!$B$8,"",IF($BM483="-&gt;",$BQ483+$BR483,$BE483+$BF483)+$CD483))</f>
        <v/>
      </c>
      <c r="CX483" s="103" t="str">
        <f aca="false">IF(ISBLANK($C483),"",IF($BZ483&lt;&gt;Constants!$B$8,"",IF($BM483="-&gt;",$BS483,$BG483)+$CC483))</f>
        <v/>
      </c>
      <c r="CY483" s="104" t="str">
        <f aca="false">IF(ISBLANK($C483),"",IF($BZ483&lt;&gt;Constants!$B$8,$BZ483,$CE483))</f>
        <v/>
      </c>
      <c r="CZ483" s="105" t="str">
        <f aca="false">IF(ISBLANK($C483),"",$CA483)</f>
        <v/>
      </c>
      <c r="DA483" s="106" t="str">
        <f aca="false">IF(ISBLANK($C483),"",$CP483)</f>
        <v/>
      </c>
      <c r="DB483" s="106" t="str">
        <f aca="false">IF(ISBLANK($C483),"",$CO483)</f>
        <v/>
      </c>
      <c r="DC483" s="107" t="str">
        <f aca="false">IF(ISBLANK($C483),"",IFERROR(_xlfn.SWITCH($DB483,Constants!$B$11,COUNTA($C$9:$C$508)+2,Constants!$B$10,COUNTA($C$9:$C$508)+1,Constants!$B$9,COUNTA($C$9:$C$508)),$DB483))</f>
        <v/>
      </c>
      <c r="DD483" s="9"/>
      <c r="DE483" s="108" t="n">
        <f aca="false">IF(OR(ISNUMBER($DB483),$DB483=Constants!$B$11,$DB483=Constants!$B$9,$DB483=Constants!$B$10),1,0)</f>
        <v>0</v>
      </c>
      <c r="DF483" s="108" t="n">
        <v>475</v>
      </c>
      <c r="DG483" s="108" t="str">
        <f aca="false">IF(ISBLANK($C483),"",IF(ISNUMBER($DC483),$DC483+ROW($B483)/1000,""))</f>
        <v/>
      </c>
      <c r="DH483" s="108" t="str">
        <f aca="false">IF(ISNUMBER($DG483),RANK($DG483,$DG$9:$DG$508,1),"")</f>
        <v/>
      </c>
      <c r="DI483" s="108" t="str">
        <f aca="false">IF(ISBLANK($C483),"",$B483)</f>
        <v/>
      </c>
      <c r="DJ483" s="108" t="str">
        <f aca="false">IF(ISBLANK($C483),"",$C483)</f>
        <v/>
      </c>
      <c r="DK483" s="108" t="str">
        <f aca="false">IF(ISBLANK($C483),"",$D483)</f>
        <v/>
      </c>
      <c r="DL483" s="109" t="str">
        <f aca="false">$CZ483</f>
        <v/>
      </c>
      <c r="DM483" s="110" t="str">
        <f aca="false">$CY483</f>
        <v/>
      </c>
      <c r="DN483" s="108" t="str">
        <f aca="false">IF(ISBLANK($C483),"",$DB483)</f>
        <v/>
      </c>
      <c r="DO483" s="111" t="str">
        <f aca="false">IF($DF483&gt;$DE$8,"",VLOOKUP($DF483,$DH$9:$DN$508,7,FALSE()))</f>
        <v/>
      </c>
      <c r="DP483" s="112" t="str">
        <f aca="false">IF($DF483&gt;$DE$8,"",VLOOKUP($DF483,$DH$9:$DN$508,2,FALSE()))</f>
        <v/>
      </c>
      <c r="DQ483" s="112" t="str">
        <f aca="false">IF($DF483&gt;$DE$8,"",VLOOKUP($DF483,$DH$9:$DN$508,3,FALSE()))</f>
        <v/>
      </c>
      <c r="DR483" s="112" t="str">
        <f aca="false">IF($DF483&gt;$DE$8,"",VLOOKUP($DF483,$DH$9:$DN$508,4,FALSE()))</f>
        <v/>
      </c>
      <c r="DS483" s="112" t="str">
        <f aca="false">IF($DF483&gt;$DE$8,"",VLOOKUP($DF483,$DH$9:$DN$508,5,FALSE()))</f>
        <v/>
      </c>
      <c r="DT483" s="113" t="str">
        <f aca="false">IF($DF483&gt;$DE$8,"",VLOOKUP($DF483,$DH$9:$DN$508,6,FALSE()))</f>
        <v/>
      </c>
      <c r="DU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IF(ISBLANK($C484),"",IF(E484=Constants!$B$3,TRUE(),IF(E484=Constants!$B$4,FALSE(),TRUE())))</f>
        <v/>
      </c>
      <c r="AG484" s="93" t="str">
        <f aca="false">IF(ISBLANK($C484),"",IF(F484=Constants!$B$3,TRUE(),IF(F484=Constants!$B$4,FALSE(),TRUE())))</f>
        <v/>
      </c>
      <c r="AH484" s="93" t="str">
        <f aca="false">IF(ISBLANK($C484),"",IF(G484=Constants!$B$3,TRUE(),IF(G484=Constants!$B$4,FALSE(),TRUE())))</f>
        <v/>
      </c>
      <c r="AI484" s="93" t="str">
        <f aca="false">IF(ISBLANK($C484),"",IF(AND(ISNUMBER(H484),H484&gt;=0),H484,Constants!$B$29))</f>
        <v/>
      </c>
      <c r="AJ484" s="93" t="str">
        <f aca="false">IF(ISBLANK($C484),"",IF(I484=Constants!$B$3,TRUE(),IF(I484=Constants!$B$4,FALSE(),TRUE())))</f>
        <v/>
      </c>
      <c r="AK484" s="93" t="str">
        <f aca="false">IF(ISBLANK($C484),"",IF(J484=Constants!$B$3,TRUE(),IF(J484=Constants!$B$4,FALSE(),TRUE())))</f>
        <v/>
      </c>
      <c r="AL484" s="93" t="str">
        <f aca="false">IF(ISBLANK($C484),"",IF(K484=Constants!$B$5,TRUE(),IF(K484=Constants!$B$6,FALSE(),COUNTA(L484:P484)&gt;0)))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IF(ISBLANK($C484),"",IF(N484=Constants!$B$3,TRUE(),IF(N484=Constants!$B$4,FALSE(),TRUE())))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IF(ISBLANK($C484),"",IF(P484=Constants!$B$3,TRUE(),IF(P484=Constants!$B$4,FALSE(),FALSE())))</f>
        <v/>
      </c>
      <c r="AR484" s="93" t="str">
        <f aca="false">IF(ISBLANK($C484),"",IF(Q484=Constants!$B$3,TRUE(),IF(Q484=Constants!$B$4,FALSE(),TRUE())))</f>
        <v/>
      </c>
      <c r="AS484" s="93" t="str">
        <f aca="false">IF(ISBLANK($C484),"",IF(R484=Constants!$B$3,TRUE(),IF(R484=Constants!$B$4,FALSE(),TRUE())))</f>
        <v/>
      </c>
      <c r="AT484" s="93" t="str">
        <f aca="false">IF(ISBLANK($C484),"",IF(S484=Constants!$B$5,TRUE(),IF(S484=Constants!$B$6,FALSE(),COUNTA(T484:X484)&gt;0)))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IF(ISBLANK($C484),"",IF(V484=Constants!$B$3,TRUE(),IF(V484=Constants!$B$4,FALSE(),TRUE())))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IF(ISBLANK($C484),"",IF(X484=Constants!$B$3,TRUE(),IF(X484=Constants!$B$4,FALSE(),FALSE())))</f>
        <v/>
      </c>
      <c r="AZ484" s="93" t="str">
        <f aca="false">IF(ISBLANK($C484),"",MIN(Constants!$B$31,MAX(0,IF(ISNUMBER(Y484),Y484*60,0)+IF(ISNUMBER(Z484),Z484,0))))</f>
        <v/>
      </c>
      <c r="BA484" s="93" t="str">
        <f aca="false">IF(ISBLANK($C484),"",IF(AA484=Constants!$B$3,TRUE(),IF(AA484=Constants!$B$4,FALSE(),FALSE())))</f>
        <v/>
      </c>
      <c r="BB484" s="92" t="str">
        <f aca="false">IF(ISBLANK($C484),"",AND($AL484,OR($AM484="",$AN484="",AND($AO484,$AP484=""))))</f>
        <v/>
      </c>
      <c r="BC484" s="94" t="str">
        <f aca="false">IF($BZ484&lt;&gt;Constants!$B$8,"",IF($AL484,Constants!$B$21*$AN484+Constants!$B$22*IF($AO484,$AP484,Constants!$B$23),Constants!$B$24))</f>
        <v/>
      </c>
      <c r="BD484" s="97" t="str">
        <f aca="false">IF($BZ484&lt;&gt;Constants!$B$8,"",Constants!$B$25*ABS($AD$9-IF($AL484,$AM484,0)))</f>
        <v/>
      </c>
      <c r="BE484" s="97" t="str">
        <f aca="false">IF($BZ484&lt;&gt;Constants!$B$8,"",IF(AND($AL484,$AQ484,$AO484),Constants!$B$27,0))</f>
        <v/>
      </c>
      <c r="BF484" s="97" t="str">
        <f aca="false">IF($BZ484&lt;&gt;Constants!$B$8,"",IF($AL484,($AI484-Constants!$B$29)*Constants!$B$28,0))</f>
        <v/>
      </c>
      <c r="BG484" s="97" t="str">
        <f aca="false">IF($BZ484&lt;&gt;Constants!$B$8,"",IF($AK484,0,Constants!$B$15)+IF($AJ484,0,Constants!$B$16)+IF($AH484,0,Constants!$B$17))</f>
        <v/>
      </c>
      <c r="BH484" s="98" t="str">
        <f aca="false">IF($BZ484&lt;&gt;Constants!$B$8,"",Constants!$B$20+SUM($BC484:$BG484))</f>
        <v/>
      </c>
      <c r="BI484" s="97" t="str">
        <f aca="false">IF($BZ484&lt;&gt;Constants!$B$8,"",$BC484)</f>
        <v/>
      </c>
      <c r="BJ484" s="97" t="str">
        <f aca="false">IF($BZ484&lt;&gt;Constants!$B$8,"",$BD484)</f>
        <v/>
      </c>
      <c r="BK484" s="97" t="str">
        <f aca="false">IF($BZ484&lt;&gt;Constants!$B$8,"",IF($AL484,$AN484,""))</f>
        <v/>
      </c>
      <c r="BL484" s="99" t="str">
        <f aca="false">IF($BZ484&lt;&gt;Constants!$B$8,"",$AI484)</f>
        <v/>
      </c>
      <c r="BM484" s="93" t="str">
        <f aca="false">IF($BZ484&lt;&gt;Constants!$B$8,"",IF(OR($BT484&lt;$BH484,AND($BT484=$BH484,OR($BU484&lt;$BI484,AND($BU484=$BI484,OR($BV484&lt;$BJ484,AND($BV484=$BJ484,OR(AND(ISNUMBER($BW484),OR(NOT(ISNUMBER($BK484)),$BW484&lt;$BK484)),AND(OR(AND($BW484="",$BK484=""),AND(ISNUMBER($BW484),ISNUMBER($BK484),$BW484=$BK484)),$BX484&lt;$BL484)))))))),"-&gt;","&lt;-"))</f>
        <v/>
      </c>
      <c r="BN484" s="92" t="str">
        <f aca="false">IF(ISBLANK($C484),"",AND($AT484,OR($AU484="",$AV484="",AND($AW484,$AX484=""))))</f>
        <v/>
      </c>
      <c r="BO484" s="94" t="str">
        <f aca="false">IF($BZ484&lt;&gt;Constants!$B$8,"",IF($AT484,Constants!$B$21*$AV484+Constants!$B$22*IF($AW484,$AX484,Constants!$B$23),Constants!$B$24))</f>
        <v/>
      </c>
      <c r="BP484" s="97" t="str">
        <f aca="false">IF($BZ484&lt;&gt;Constants!$B$8,"",Constants!$B$25*ABS($AD$9-IF($AT484,$AU484,0)))</f>
        <v/>
      </c>
      <c r="BQ484" s="97" t="str">
        <f aca="false">IF($BZ484&lt;&gt;Constants!$B$8,"",IF(AND($AT484,$AY484,$AW484),Constants!$B$27,0))</f>
        <v/>
      </c>
      <c r="BR484" s="97" t="str">
        <f aca="false">IF($BZ484&lt;&gt;Constants!$B$8,"",IF($AT484,($AI484-Constants!$B$29)*Constants!$B$28,0))</f>
        <v/>
      </c>
      <c r="BS484" s="97" t="str">
        <f aca="false">IF($BZ484&lt;&gt;Constants!$B$8,"",IF($AS484,0,Constants!$B$15)+IF($AR484,0,Constants!$B$16)+IF($AH484,0,Constants!$B$17))</f>
        <v/>
      </c>
      <c r="BT484" s="98" t="str">
        <f aca="false">IF($BZ484&lt;&gt;Constants!$B$8,"",Constants!$B$20+SUM($BO484:$BS484))</f>
        <v/>
      </c>
      <c r="BU484" s="97" t="str">
        <f aca="false">IF($BZ484&lt;&gt;Constants!$B$8,"",$BO484)</f>
        <v/>
      </c>
      <c r="BV484" s="97" t="str">
        <f aca="false">IF($BZ484&lt;&gt;Constants!$B$8,"",$BP484)</f>
        <v/>
      </c>
      <c r="BW484" s="97" t="str">
        <f aca="false">IF($BZ484&lt;&gt;Constants!$B$8,"",IF($AT484,$AV484,""))</f>
        <v/>
      </c>
      <c r="BX484" s="99" t="str">
        <f aca="false">IF($BZ484&lt;&gt;Constants!$B$8,"",$AI484)</f>
        <v/>
      </c>
      <c r="BY484" s="93" t="str">
        <f aca="false">IF(ISBLANK($C484),"",IF(ISBLANK($D$7),$BY$5,IF(NOT(ISNUMBER($D$7)),$BY$6,"")))</f>
        <v/>
      </c>
      <c r="BZ484" s="93" t="str">
        <f aca="false">IF(ISBLANK($C484),"",IF($BA484,Constants!$B$11,IF(COUNTA($E484:$AA484)=0,Constants!$B$10,IF(NOT($AG484),Constants!$B$9,IF(OR($BY484&lt;&gt;"",$BB484,$BN484),Constants!$B$12,Constants!$B$8)))))</f>
        <v/>
      </c>
      <c r="CA484" s="93" t="str">
        <f aca="false">IF(ISBLANK($C484),"",IF($BZ484&lt;&gt;Constants!$B$8,$BZ484,Constants!$B$13))</f>
        <v/>
      </c>
      <c r="CB484" s="97" t="str">
        <f aca="false">IF($BZ484&lt;&gt;Constants!$B$8,"",IF($BM484="-&gt;",$BT484,$BH484))</f>
        <v/>
      </c>
      <c r="CC484" s="97" t="str">
        <f aca="false">IF($BZ484&lt;&gt;Constants!$B$8,"",IF($AF484,0,Constants!$B$18))</f>
        <v/>
      </c>
      <c r="CD484" s="97" t="str">
        <f aca="false">IF($BZ484&lt;&gt;Constants!$B$8,"",((Constants!$B$31-$AZ484)-Constants!$B$31)/Constants!$B$32)</f>
        <v/>
      </c>
      <c r="CE484" s="97" t="str">
        <f aca="false">IF(ISBLANK($C484),"",IF($BZ484&lt;&gt;Constants!$B$8,$BZ484,SUM($CB484:$CD484)))</f>
        <v/>
      </c>
      <c r="CF484" s="93" t="str">
        <f aca="false">IF(ISBLANK($C484),"",IF($BZ484&lt;&gt;Constants!$B$8,$BZ484,RANK($CE484,$CE$9:$CE$508,1)))</f>
        <v/>
      </c>
      <c r="CG484" s="97" t="str">
        <f aca="false">IF($BZ484&lt;&gt;Constants!$B$8,"",IF($BM484="-&gt;",$BU484,$BI484))</f>
        <v/>
      </c>
      <c r="CH484" s="93" t="str">
        <f aca="false">IF(ISBLANK($C484),"",IF($BZ484&lt;&gt;Constants!$B$8,$BZ484,IF(ISNUMBER($CG484),RANK($CG484,$CG$9:$CG$508,1),COUNT($CG$9:$CG$508)+1)))</f>
        <v/>
      </c>
      <c r="CI484" s="97" t="str">
        <f aca="false">IF($BZ484&lt;&gt;Constants!$B$8,"",IF($BM484="-&gt;",$BV484,$BJ484))</f>
        <v/>
      </c>
      <c r="CJ484" s="93" t="str">
        <f aca="false">IF(ISBLANK($C484),"",IF($BZ484&lt;&gt;Constants!$B$8,$BZ484,IF(ISNUMBER($CI484),RANK($CI484,$CI$9:$CI$508,1),COUNT($CI$9:$CI$508)+1)))</f>
        <v/>
      </c>
      <c r="CK484" s="97" t="str">
        <f aca="false">IF($BZ484&lt;&gt;Constants!$B$8,"",IF($BM484="-&gt;",$BW484,$BK484))</f>
        <v/>
      </c>
      <c r="CL484" s="93" t="str">
        <f aca="false">IF(ISBLANK($C484),"",IF($BZ484&lt;&gt;Constants!$B$8,$BZ484,IF(ISNUMBER($CK484),RANK($CK484,$CK$9:$CK$508,1),COUNT($CK$9:$CK$508)+1)))</f>
        <v/>
      </c>
      <c r="CM484" s="97" t="str">
        <f aca="false">IF($BZ484&lt;&gt;Constants!$B$8,"",IF(AND(NOT($AL484),NOT($AT484),$AJ484,$AK484,$AR484,$AS484),"",IF($BM484="-&gt;",$BX484,$BL484)))</f>
        <v/>
      </c>
      <c r="CN484" s="93" t="str">
        <f aca="false">IF(ISBLANK($C484),"",IF($BZ484&lt;&gt;Constants!$B$8,$BZ484,IF(ISNUMBER($CM484),RANK($CM484,$CM$9:$CM$508,1),COUNT($CM$9:$CM$508)+1)))</f>
        <v/>
      </c>
      <c r="CO484" s="93" t="str">
        <f aca="false">IF(ISBLANK($C484),"",IF($BZ484&lt;&gt;Constants!$B$8,$BZ484,COUNTIFS($CF$9:$CF$508,"&lt;"&amp;$CF484)+COUNTIFS($CF$9:$CF$508,$CF484,$CH$9:$CH$508,"&lt;"&amp;$CH484)+COUNTIFS($CF$9:$CF$508,$CF484,$CH$9:$CH$508,$CH484,$CJ$9:$CJ$508,"&lt;"&amp;$CJ484)+COUNTIFS($CF$9:$CF$508,$CF484,$CH$9:$CH$508,$CH484,$CJ$9:$CJ$508,$CJ484,$CL$9:$CL$508,"&lt;"&amp;$CL484)+COUNTIFS($CF$9:$CF$508,$CF484,$CH$9:$CH$508,$CH484,$CJ$9:$CJ$508,$CJ484,$CL$9:$CL$508,$CL484,$CN$9:$CN$508,"&lt;"&amp;$CN484)+1))</f>
        <v/>
      </c>
      <c r="CP484" s="93" t="str">
        <f aca="false">IF(ISBLANK($C484),"",IF($BZ484&lt;&gt;Constants!$B$8,$BZ484,$CF484-$CO484))</f>
        <v/>
      </c>
      <c r="CQ484" s="100"/>
      <c r="CR484" s="101"/>
      <c r="CS484" s="102" t="str">
        <f aca="false">IF(ISBLANK($C484),"",IF($BZ484=Constants!$B$12,$BY484,""))</f>
        <v/>
      </c>
      <c r="CT484" s="101" t="str">
        <f aca="false">IF(ISBLANK($C484),"",IF($BZ484&lt;&gt;Constants!$B$8,"",IF($BM484="-&gt;",2,1)))</f>
        <v/>
      </c>
      <c r="CU484" s="103" t="str">
        <f aca="false">IF(ISBLANK($C484),"",IF($BZ484&lt;&gt;Constants!$B$8,"",IF($BM484="-&gt;",$BO484,$BC484)))</f>
        <v/>
      </c>
      <c r="CV484" s="103" t="str">
        <f aca="false">IF(ISBLANK($C484),"",IF($BZ484&lt;&gt;Constants!$B$8,"",IF($BM484="-&gt;",$BP484,$BD484)))</f>
        <v/>
      </c>
      <c r="CW484" s="103" t="str">
        <f aca="false">IF(ISBLANK($C484),"",IF($BZ484&lt;&gt;Constants!$B$8,"",IF($BM484="-&gt;",$BQ484+$BR484,$BE484+$BF484)+$CD484))</f>
        <v/>
      </c>
      <c r="CX484" s="103" t="str">
        <f aca="false">IF(ISBLANK($C484),"",IF($BZ484&lt;&gt;Constants!$B$8,"",IF($BM484="-&gt;",$BS484,$BG484)+$CC484))</f>
        <v/>
      </c>
      <c r="CY484" s="104" t="str">
        <f aca="false">IF(ISBLANK($C484),"",IF($BZ484&lt;&gt;Constants!$B$8,$BZ484,$CE484))</f>
        <v/>
      </c>
      <c r="CZ484" s="105" t="str">
        <f aca="false">IF(ISBLANK($C484),"",$CA484)</f>
        <v/>
      </c>
      <c r="DA484" s="106" t="str">
        <f aca="false">IF(ISBLANK($C484),"",$CP484)</f>
        <v/>
      </c>
      <c r="DB484" s="106" t="str">
        <f aca="false">IF(ISBLANK($C484),"",$CO484)</f>
        <v/>
      </c>
      <c r="DC484" s="107" t="str">
        <f aca="false">IF(ISBLANK($C484),"",IFERROR(_xlfn.SWITCH($DB484,Constants!$B$11,COUNTA($C$9:$C$508)+2,Constants!$B$10,COUNTA($C$9:$C$508)+1,Constants!$B$9,COUNTA($C$9:$C$508)),$DB484))</f>
        <v/>
      </c>
      <c r="DD484" s="9"/>
      <c r="DE484" s="108" t="n">
        <f aca="false">IF(OR(ISNUMBER($DB484),$DB484=Constants!$B$11,$DB484=Constants!$B$9,$DB484=Constants!$B$10),1,0)</f>
        <v>0</v>
      </c>
      <c r="DF484" s="108" t="n">
        <v>476</v>
      </c>
      <c r="DG484" s="108" t="str">
        <f aca="false">IF(ISBLANK($C484),"",IF(ISNUMBER($DC484),$DC484+ROW($B484)/1000,""))</f>
        <v/>
      </c>
      <c r="DH484" s="108" t="str">
        <f aca="false">IF(ISNUMBER($DG484),RANK($DG484,$DG$9:$DG$508,1),"")</f>
        <v/>
      </c>
      <c r="DI484" s="108" t="str">
        <f aca="false">IF(ISBLANK($C484),"",$B484)</f>
        <v/>
      </c>
      <c r="DJ484" s="108" t="str">
        <f aca="false">IF(ISBLANK($C484),"",$C484)</f>
        <v/>
      </c>
      <c r="DK484" s="108" t="str">
        <f aca="false">IF(ISBLANK($C484),"",$D484)</f>
        <v/>
      </c>
      <c r="DL484" s="109" t="str">
        <f aca="false">$CZ484</f>
        <v/>
      </c>
      <c r="DM484" s="110" t="str">
        <f aca="false">$CY484</f>
        <v/>
      </c>
      <c r="DN484" s="108" t="str">
        <f aca="false">IF(ISBLANK($C484),"",$DB484)</f>
        <v/>
      </c>
      <c r="DO484" s="111" t="str">
        <f aca="false">IF($DF484&gt;$DE$8,"",VLOOKUP($DF484,$DH$9:$DN$508,7,FALSE()))</f>
        <v/>
      </c>
      <c r="DP484" s="112" t="str">
        <f aca="false">IF($DF484&gt;$DE$8,"",VLOOKUP($DF484,$DH$9:$DN$508,2,FALSE()))</f>
        <v/>
      </c>
      <c r="DQ484" s="112" t="str">
        <f aca="false">IF($DF484&gt;$DE$8,"",VLOOKUP($DF484,$DH$9:$DN$508,3,FALSE()))</f>
        <v/>
      </c>
      <c r="DR484" s="112" t="str">
        <f aca="false">IF($DF484&gt;$DE$8,"",VLOOKUP($DF484,$DH$9:$DN$508,4,FALSE()))</f>
        <v/>
      </c>
      <c r="DS484" s="112" t="str">
        <f aca="false">IF($DF484&gt;$DE$8,"",VLOOKUP($DF484,$DH$9:$DN$508,5,FALSE()))</f>
        <v/>
      </c>
      <c r="DT484" s="113" t="str">
        <f aca="false">IF($DF484&gt;$DE$8,"",VLOOKUP($DF484,$DH$9:$DN$508,6,FALSE()))</f>
        <v/>
      </c>
      <c r="DU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IF(ISBLANK($C485),"",IF(E485=Constants!$B$3,TRUE(),IF(E485=Constants!$B$4,FALSE(),TRUE())))</f>
        <v/>
      </c>
      <c r="AG485" s="93" t="str">
        <f aca="false">IF(ISBLANK($C485),"",IF(F485=Constants!$B$3,TRUE(),IF(F485=Constants!$B$4,FALSE(),TRUE())))</f>
        <v/>
      </c>
      <c r="AH485" s="93" t="str">
        <f aca="false">IF(ISBLANK($C485),"",IF(G485=Constants!$B$3,TRUE(),IF(G485=Constants!$B$4,FALSE(),TRUE())))</f>
        <v/>
      </c>
      <c r="AI485" s="93" t="str">
        <f aca="false">IF(ISBLANK($C485),"",IF(AND(ISNUMBER(H485),H485&gt;=0),H485,Constants!$B$29))</f>
        <v/>
      </c>
      <c r="AJ485" s="93" t="str">
        <f aca="false">IF(ISBLANK($C485),"",IF(I485=Constants!$B$3,TRUE(),IF(I485=Constants!$B$4,FALSE(),TRUE())))</f>
        <v/>
      </c>
      <c r="AK485" s="93" t="str">
        <f aca="false">IF(ISBLANK($C485),"",IF(J485=Constants!$B$3,TRUE(),IF(J485=Constants!$B$4,FALSE(),TRUE())))</f>
        <v/>
      </c>
      <c r="AL485" s="93" t="str">
        <f aca="false">IF(ISBLANK($C485),"",IF(K485=Constants!$B$5,TRUE(),IF(K485=Constants!$B$6,FALSE(),COUNTA(L485:P485)&gt;0)))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IF(ISBLANK($C485),"",IF(N485=Constants!$B$3,TRUE(),IF(N485=Constants!$B$4,FALSE(),TRUE())))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IF(ISBLANK($C485),"",IF(P485=Constants!$B$3,TRUE(),IF(P485=Constants!$B$4,FALSE(),FALSE())))</f>
        <v/>
      </c>
      <c r="AR485" s="93" t="str">
        <f aca="false">IF(ISBLANK($C485),"",IF(Q485=Constants!$B$3,TRUE(),IF(Q485=Constants!$B$4,FALSE(),TRUE())))</f>
        <v/>
      </c>
      <c r="AS485" s="93" t="str">
        <f aca="false">IF(ISBLANK($C485),"",IF(R485=Constants!$B$3,TRUE(),IF(R485=Constants!$B$4,FALSE(),TRUE())))</f>
        <v/>
      </c>
      <c r="AT485" s="93" t="str">
        <f aca="false">IF(ISBLANK($C485),"",IF(S485=Constants!$B$5,TRUE(),IF(S485=Constants!$B$6,FALSE(),COUNTA(T485:X485)&gt;0)))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IF(ISBLANK($C485),"",IF(V485=Constants!$B$3,TRUE(),IF(V485=Constants!$B$4,FALSE(),TRUE())))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IF(ISBLANK($C485),"",IF(X485=Constants!$B$3,TRUE(),IF(X485=Constants!$B$4,FALSE(),FALSE())))</f>
        <v/>
      </c>
      <c r="AZ485" s="93" t="str">
        <f aca="false">IF(ISBLANK($C485),"",MIN(Constants!$B$31,MAX(0,IF(ISNUMBER(Y485),Y485*60,0)+IF(ISNUMBER(Z485),Z485,0))))</f>
        <v/>
      </c>
      <c r="BA485" s="93" t="str">
        <f aca="false">IF(ISBLANK($C485),"",IF(AA485=Constants!$B$3,TRUE(),IF(AA485=Constants!$B$4,FALSE(),FALSE())))</f>
        <v/>
      </c>
      <c r="BB485" s="92" t="str">
        <f aca="false">IF(ISBLANK($C485),"",AND($AL485,OR($AM485="",$AN485="",AND($AO485,$AP485=""))))</f>
        <v/>
      </c>
      <c r="BC485" s="94" t="str">
        <f aca="false">IF($BZ485&lt;&gt;Constants!$B$8,"",IF($AL485,Constants!$B$21*$AN485+Constants!$B$22*IF($AO485,$AP485,Constants!$B$23),Constants!$B$24))</f>
        <v/>
      </c>
      <c r="BD485" s="97" t="str">
        <f aca="false">IF($BZ485&lt;&gt;Constants!$B$8,"",Constants!$B$25*ABS($AD$9-IF($AL485,$AM485,0)))</f>
        <v/>
      </c>
      <c r="BE485" s="97" t="str">
        <f aca="false">IF($BZ485&lt;&gt;Constants!$B$8,"",IF(AND($AL485,$AQ485,$AO485),Constants!$B$27,0))</f>
        <v/>
      </c>
      <c r="BF485" s="97" t="str">
        <f aca="false">IF($BZ485&lt;&gt;Constants!$B$8,"",IF($AL485,($AI485-Constants!$B$29)*Constants!$B$28,0))</f>
        <v/>
      </c>
      <c r="BG485" s="97" t="str">
        <f aca="false">IF($BZ485&lt;&gt;Constants!$B$8,"",IF($AK485,0,Constants!$B$15)+IF($AJ485,0,Constants!$B$16)+IF($AH485,0,Constants!$B$17))</f>
        <v/>
      </c>
      <c r="BH485" s="98" t="str">
        <f aca="false">IF($BZ485&lt;&gt;Constants!$B$8,"",Constants!$B$20+SUM($BC485:$BG485))</f>
        <v/>
      </c>
      <c r="BI485" s="97" t="str">
        <f aca="false">IF($BZ485&lt;&gt;Constants!$B$8,"",$BC485)</f>
        <v/>
      </c>
      <c r="BJ485" s="97" t="str">
        <f aca="false">IF($BZ485&lt;&gt;Constants!$B$8,"",$BD485)</f>
        <v/>
      </c>
      <c r="BK485" s="97" t="str">
        <f aca="false">IF($BZ485&lt;&gt;Constants!$B$8,"",IF($AL485,$AN485,""))</f>
        <v/>
      </c>
      <c r="BL485" s="99" t="str">
        <f aca="false">IF($BZ485&lt;&gt;Constants!$B$8,"",$AI485)</f>
        <v/>
      </c>
      <c r="BM485" s="93" t="str">
        <f aca="false">IF($BZ485&lt;&gt;Constants!$B$8,"",IF(OR($BT485&lt;$BH485,AND($BT485=$BH485,OR($BU485&lt;$BI485,AND($BU485=$BI485,OR($BV485&lt;$BJ485,AND($BV485=$BJ485,OR(AND(ISNUMBER($BW485),OR(NOT(ISNUMBER($BK485)),$BW485&lt;$BK485)),AND(OR(AND($BW485="",$BK485=""),AND(ISNUMBER($BW485),ISNUMBER($BK485),$BW485=$BK485)),$BX485&lt;$BL485)))))))),"-&gt;","&lt;-"))</f>
        <v/>
      </c>
      <c r="BN485" s="92" t="str">
        <f aca="false">IF(ISBLANK($C485),"",AND($AT485,OR($AU485="",$AV485="",AND($AW485,$AX485=""))))</f>
        <v/>
      </c>
      <c r="BO485" s="94" t="str">
        <f aca="false">IF($BZ485&lt;&gt;Constants!$B$8,"",IF($AT485,Constants!$B$21*$AV485+Constants!$B$22*IF($AW485,$AX485,Constants!$B$23),Constants!$B$24))</f>
        <v/>
      </c>
      <c r="BP485" s="97" t="str">
        <f aca="false">IF($BZ485&lt;&gt;Constants!$B$8,"",Constants!$B$25*ABS($AD$9-IF($AT485,$AU485,0)))</f>
        <v/>
      </c>
      <c r="BQ485" s="97" t="str">
        <f aca="false">IF($BZ485&lt;&gt;Constants!$B$8,"",IF(AND($AT485,$AY485,$AW485),Constants!$B$27,0))</f>
        <v/>
      </c>
      <c r="BR485" s="97" t="str">
        <f aca="false">IF($BZ485&lt;&gt;Constants!$B$8,"",IF($AT485,($AI485-Constants!$B$29)*Constants!$B$28,0))</f>
        <v/>
      </c>
      <c r="BS485" s="97" t="str">
        <f aca="false">IF($BZ485&lt;&gt;Constants!$B$8,"",IF($AS485,0,Constants!$B$15)+IF($AR485,0,Constants!$B$16)+IF($AH485,0,Constants!$B$17))</f>
        <v/>
      </c>
      <c r="BT485" s="98" t="str">
        <f aca="false">IF($BZ485&lt;&gt;Constants!$B$8,"",Constants!$B$20+SUM($BO485:$BS485))</f>
        <v/>
      </c>
      <c r="BU485" s="97" t="str">
        <f aca="false">IF($BZ485&lt;&gt;Constants!$B$8,"",$BO485)</f>
        <v/>
      </c>
      <c r="BV485" s="97" t="str">
        <f aca="false">IF($BZ485&lt;&gt;Constants!$B$8,"",$BP485)</f>
        <v/>
      </c>
      <c r="BW485" s="97" t="str">
        <f aca="false">IF($BZ485&lt;&gt;Constants!$B$8,"",IF($AT485,$AV485,""))</f>
        <v/>
      </c>
      <c r="BX485" s="99" t="str">
        <f aca="false">IF($BZ485&lt;&gt;Constants!$B$8,"",$AI485)</f>
        <v/>
      </c>
      <c r="BY485" s="93" t="str">
        <f aca="false">IF(ISBLANK($C485),"",IF(ISBLANK($D$7),$BY$5,IF(NOT(ISNUMBER($D$7)),$BY$6,"")))</f>
        <v/>
      </c>
      <c r="BZ485" s="93" t="str">
        <f aca="false">IF(ISBLANK($C485),"",IF($BA485,Constants!$B$11,IF(COUNTA($E485:$AA485)=0,Constants!$B$10,IF(NOT($AG485),Constants!$B$9,IF(OR($BY485&lt;&gt;"",$BB485,$BN485),Constants!$B$12,Constants!$B$8)))))</f>
        <v/>
      </c>
      <c r="CA485" s="93" t="str">
        <f aca="false">IF(ISBLANK($C485),"",IF($BZ485&lt;&gt;Constants!$B$8,$BZ485,Constants!$B$13))</f>
        <v/>
      </c>
      <c r="CB485" s="97" t="str">
        <f aca="false">IF($BZ485&lt;&gt;Constants!$B$8,"",IF($BM485="-&gt;",$BT485,$BH485))</f>
        <v/>
      </c>
      <c r="CC485" s="97" t="str">
        <f aca="false">IF($BZ485&lt;&gt;Constants!$B$8,"",IF($AF485,0,Constants!$B$18))</f>
        <v/>
      </c>
      <c r="CD485" s="97" t="str">
        <f aca="false">IF($BZ485&lt;&gt;Constants!$B$8,"",((Constants!$B$31-$AZ485)-Constants!$B$31)/Constants!$B$32)</f>
        <v/>
      </c>
      <c r="CE485" s="97" t="str">
        <f aca="false">IF(ISBLANK($C485),"",IF($BZ485&lt;&gt;Constants!$B$8,$BZ485,SUM($CB485:$CD485)))</f>
        <v/>
      </c>
      <c r="CF485" s="93" t="str">
        <f aca="false">IF(ISBLANK($C485),"",IF($BZ485&lt;&gt;Constants!$B$8,$BZ485,RANK($CE485,$CE$9:$CE$508,1)))</f>
        <v/>
      </c>
      <c r="CG485" s="97" t="str">
        <f aca="false">IF($BZ485&lt;&gt;Constants!$B$8,"",IF($BM485="-&gt;",$BU485,$BI485))</f>
        <v/>
      </c>
      <c r="CH485" s="93" t="str">
        <f aca="false">IF(ISBLANK($C485),"",IF($BZ485&lt;&gt;Constants!$B$8,$BZ485,IF(ISNUMBER($CG485),RANK($CG485,$CG$9:$CG$508,1),COUNT($CG$9:$CG$508)+1)))</f>
        <v/>
      </c>
      <c r="CI485" s="97" t="str">
        <f aca="false">IF($BZ485&lt;&gt;Constants!$B$8,"",IF($BM485="-&gt;",$BV485,$BJ485))</f>
        <v/>
      </c>
      <c r="CJ485" s="93" t="str">
        <f aca="false">IF(ISBLANK($C485),"",IF($BZ485&lt;&gt;Constants!$B$8,$BZ485,IF(ISNUMBER($CI485),RANK($CI485,$CI$9:$CI$508,1),COUNT($CI$9:$CI$508)+1)))</f>
        <v/>
      </c>
      <c r="CK485" s="97" t="str">
        <f aca="false">IF($BZ485&lt;&gt;Constants!$B$8,"",IF($BM485="-&gt;",$BW485,$BK485))</f>
        <v/>
      </c>
      <c r="CL485" s="93" t="str">
        <f aca="false">IF(ISBLANK($C485),"",IF($BZ485&lt;&gt;Constants!$B$8,$BZ485,IF(ISNUMBER($CK485),RANK($CK485,$CK$9:$CK$508,1),COUNT($CK$9:$CK$508)+1)))</f>
        <v/>
      </c>
      <c r="CM485" s="97" t="str">
        <f aca="false">IF($BZ485&lt;&gt;Constants!$B$8,"",IF(AND(NOT($AL485),NOT($AT485),$AJ485,$AK485,$AR485,$AS485),"",IF($BM485="-&gt;",$BX485,$BL485)))</f>
        <v/>
      </c>
      <c r="CN485" s="93" t="str">
        <f aca="false">IF(ISBLANK($C485),"",IF($BZ485&lt;&gt;Constants!$B$8,$BZ485,IF(ISNUMBER($CM485),RANK($CM485,$CM$9:$CM$508,1),COUNT($CM$9:$CM$508)+1)))</f>
        <v/>
      </c>
      <c r="CO485" s="93" t="str">
        <f aca="false">IF(ISBLANK($C485),"",IF($BZ485&lt;&gt;Constants!$B$8,$BZ485,COUNTIFS($CF$9:$CF$508,"&lt;"&amp;$CF485)+COUNTIFS($CF$9:$CF$508,$CF485,$CH$9:$CH$508,"&lt;"&amp;$CH485)+COUNTIFS($CF$9:$CF$508,$CF485,$CH$9:$CH$508,$CH485,$CJ$9:$CJ$508,"&lt;"&amp;$CJ485)+COUNTIFS($CF$9:$CF$508,$CF485,$CH$9:$CH$508,$CH485,$CJ$9:$CJ$508,$CJ485,$CL$9:$CL$508,"&lt;"&amp;$CL485)+COUNTIFS($CF$9:$CF$508,$CF485,$CH$9:$CH$508,$CH485,$CJ$9:$CJ$508,$CJ485,$CL$9:$CL$508,$CL485,$CN$9:$CN$508,"&lt;"&amp;$CN485)+1))</f>
        <v/>
      </c>
      <c r="CP485" s="93" t="str">
        <f aca="false">IF(ISBLANK($C485),"",IF($BZ485&lt;&gt;Constants!$B$8,$BZ485,$CF485-$CO485))</f>
        <v/>
      </c>
      <c r="CQ485" s="100"/>
      <c r="CR485" s="101"/>
      <c r="CS485" s="102" t="str">
        <f aca="false">IF(ISBLANK($C485),"",IF($BZ485=Constants!$B$12,$BY485,""))</f>
        <v/>
      </c>
      <c r="CT485" s="101" t="str">
        <f aca="false">IF(ISBLANK($C485),"",IF($BZ485&lt;&gt;Constants!$B$8,"",IF($BM485="-&gt;",2,1)))</f>
        <v/>
      </c>
      <c r="CU485" s="103" t="str">
        <f aca="false">IF(ISBLANK($C485),"",IF($BZ485&lt;&gt;Constants!$B$8,"",IF($BM485="-&gt;",$BO485,$BC485)))</f>
        <v/>
      </c>
      <c r="CV485" s="103" t="str">
        <f aca="false">IF(ISBLANK($C485),"",IF($BZ485&lt;&gt;Constants!$B$8,"",IF($BM485="-&gt;",$BP485,$BD485)))</f>
        <v/>
      </c>
      <c r="CW485" s="103" t="str">
        <f aca="false">IF(ISBLANK($C485),"",IF($BZ485&lt;&gt;Constants!$B$8,"",IF($BM485="-&gt;",$BQ485+$BR485,$BE485+$BF485)+$CD485))</f>
        <v/>
      </c>
      <c r="CX485" s="103" t="str">
        <f aca="false">IF(ISBLANK($C485),"",IF($BZ485&lt;&gt;Constants!$B$8,"",IF($BM485="-&gt;",$BS485,$BG485)+$CC485))</f>
        <v/>
      </c>
      <c r="CY485" s="104" t="str">
        <f aca="false">IF(ISBLANK($C485),"",IF($BZ485&lt;&gt;Constants!$B$8,$BZ485,$CE485))</f>
        <v/>
      </c>
      <c r="CZ485" s="105" t="str">
        <f aca="false">IF(ISBLANK($C485),"",$CA485)</f>
        <v/>
      </c>
      <c r="DA485" s="106" t="str">
        <f aca="false">IF(ISBLANK($C485),"",$CP485)</f>
        <v/>
      </c>
      <c r="DB485" s="106" t="str">
        <f aca="false">IF(ISBLANK($C485),"",$CO485)</f>
        <v/>
      </c>
      <c r="DC485" s="107" t="str">
        <f aca="false">IF(ISBLANK($C485),"",IFERROR(_xlfn.SWITCH($DB485,Constants!$B$11,COUNTA($C$9:$C$508)+2,Constants!$B$10,COUNTA($C$9:$C$508)+1,Constants!$B$9,COUNTA($C$9:$C$508)),$DB485))</f>
        <v/>
      </c>
      <c r="DD485" s="9"/>
      <c r="DE485" s="108" t="n">
        <f aca="false">IF(OR(ISNUMBER($DB485),$DB485=Constants!$B$11,$DB485=Constants!$B$9,$DB485=Constants!$B$10),1,0)</f>
        <v>0</v>
      </c>
      <c r="DF485" s="108" t="n">
        <v>477</v>
      </c>
      <c r="DG485" s="108" t="str">
        <f aca="false">IF(ISBLANK($C485),"",IF(ISNUMBER($DC485),$DC485+ROW($B485)/1000,""))</f>
        <v/>
      </c>
      <c r="DH485" s="108" t="str">
        <f aca="false">IF(ISNUMBER($DG485),RANK($DG485,$DG$9:$DG$508,1),"")</f>
        <v/>
      </c>
      <c r="DI485" s="108" t="str">
        <f aca="false">IF(ISBLANK($C485),"",$B485)</f>
        <v/>
      </c>
      <c r="DJ485" s="108" t="str">
        <f aca="false">IF(ISBLANK($C485),"",$C485)</f>
        <v/>
      </c>
      <c r="DK485" s="108" t="str">
        <f aca="false">IF(ISBLANK($C485),"",$D485)</f>
        <v/>
      </c>
      <c r="DL485" s="109" t="str">
        <f aca="false">$CZ485</f>
        <v/>
      </c>
      <c r="DM485" s="110" t="str">
        <f aca="false">$CY485</f>
        <v/>
      </c>
      <c r="DN485" s="108" t="str">
        <f aca="false">IF(ISBLANK($C485),"",$DB485)</f>
        <v/>
      </c>
      <c r="DO485" s="111" t="str">
        <f aca="false">IF($DF485&gt;$DE$8,"",VLOOKUP($DF485,$DH$9:$DN$508,7,FALSE()))</f>
        <v/>
      </c>
      <c r="DP485" s="112" t="str">
        <f aca="false">IF($DF485&gt;$DE$8,"",VLOOKUP($DF485,$DH$9:$DN$508,2,FALSE()))</f>
        <v/>
      </c>
      <c r="DQ485" s="112" t="str">
        <f aca="false">IF($DF485&gt;$DE$8,"",VLOOKUP($DF485,$DH$9:$DN$508,3,FALSE()))</f>
        <v/>
      </c>
      <c r="DR485" s="112" t="str">
        <f aca="false">IF($DF485&gt;$DE$8,"",VLOOKUP($DF485,$DH$9:$DN$508,4,FALSE()))</f>
        <v/>
      </c>
      <c r="DS485" s="112" t="str">
        <f aca="false">IF($DF485&gt;$DE$8,"",VLOOKUP($DF485,$DH$9:$DN$508,5,FALSE()))</f>
        <v/>
      </c>
      <c r="DT485" s="113" t="str">
        <f aca="false">IF($DF485&gt;$DE$8,"",VLOOKUP($DF485,$DH$9:$DN$508,6,FALSE()))</f>
        <v/>
      </c>
      <c r="DU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IF(ISBLANK($C486),"",IF(E486=Constants!$B$3,TRUE(),IF(E486=Constants!$B$4,FALSE(),TRUE())))</f>
        <v/>
      </c>
      <c r="AG486" s="135" t="str">
        <f aca="false">IF(ISBLANK($C486),"",IF(F486=Constants!$B$3,TRUE(),IF(F486=Constants!$B$4,FALSE(),TRUE())))</f>
        <v/>
      </c>
      <c r="AH486" s="135" t="str">
        <f aca="false">IF(ISBLANK($C486),"",IF(G486=Constants!$B$3,TRUE(),IF(G486=Constants!$B$4,FALSE(),TRUE())))</f>
        <v/>
      </c>
      <c r="AI486" s="135" t="str">
        <f aca="false">IF(ISBLANK($C486),"",IF(AND(ISNUMBER(H486),H486&gt;=0),H486,Constants!$B$29))</f>
        <v/>
      </c>
      <c r="AJ486" s="135" t="str">
        <f aca="false">IF(ISBLANK($C486),"",IF(I486=Constants!$B$3,TRUE(),IF(I486=Constants!$B$4,FALSE(),TRUE())))</f>
        <v/>
      </c>
      <c r="AK486" s="135" t="str">
        <f aca="false">IF(ISBLANK($C486),"",IF(J486=Constants!$B$3,TRUE(),IF(J486=Constants!$B$4,FALSE(),TRUE())))</f>
        <v/>
      </c>
      <c r="AL486" s="135" t="str">
        <f aca="false">IF(ISBLANK($C486),"",IF(K486=Constants!$B$5,TRUE(),IF(K486=Constants!$B$6,FALSE(),COUNTA(L486:P486)&gt;0)))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IF(ISBLANK($C486),"",IF(N486=Constants!$B$3,TRUE(),IF(N486=Constants!$B$4,FALSE(),TRUE())))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IF(ISBLANK($C486),"",IF(P486=Constants!$B$3,TRUE(),IF(P486=Constants!$B$4,FALSE(),FALSE())))</f>
        <v/>
      </c>
      <c r="AR486" s="135" t="str">
        <f aca="false">IF(ISBLANK($C486),"",IF(Q486=Constants!$B$3,TRUE(),IF(Q486=Constants!$B$4,FALSE(),TRUE())))</f>
        <v/>
      </c>
      <c r="AS486" s="135" t="str">
        <f aca="false">IF(ISBLANK($C486),"",IF(R486=Constants!$B$3,TRUE(),IF(R486=Constants!$B$4,FALSE(),TRUE())))</f>
        <v/>
      </c>
      <c r="AT486" s="135" t="str">
        <f aca="false">IF(ISBLANK($C486),"",IF(S486=Constants!$B$5,TRUE(),IF(S486=Constants!$B$6,FALSE(),COUNTA(T486:X486)&gt;0)))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IF(ISBLANK($C486),"",IF(V486=Constants!$B$3,TRUE(),IF(V486=Constants!$B$4,FALSE(),TRUE())))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IF(ISBLANK($C486),"",IF(X486=Constants!$B$3,TRUE(),IF(X486=Constants!$B$4,FALSE(),FALSE())))</f>
        <v/>
      </c>
      <c r="AZ486" s="135" t="str">
        <f aca="false">IF(ISBLANK($C486),"",MIN(Constants!$B$31,MAX(0,IF(ISNUMBER(Y486),Y486*60,0)+IF(ISNUMBER(Z486),Z486,0))))</f>
        <v/>
      </c>
      <c r="BA486" s="135" t="str">
        <f aca="false">IF(ISBLANK($C486),"",IF(AA486=Constants!$B$3,TRUE(),IF(AA486=Constants!$B$4,FALSE(),FALSE())))</f>
        <v/>
      </c>
      <c r="BB486" s="134" t="str">
        <f aca="false">IF(ISBLANK($C486),"",AND($AL486,OR($AM486="",$AN486="",AND($AO486,$AP486=""))))</f>
        <v/>
      </c>
      <c r="BC486" s="137" t="str">
        <f aca="false">IF($BZ486&lt;&gt;Constants!$B$8,"",IF($AL486,Constants!$B$21*$AN486+Constants!$B$22*IF($AO486,$AP486,Constants!$B$23),Constants!$B$24))</f>
        <v/>
      </c>
      <c r="BD486" s="138" t="str">
        <f aca="false">IF($BZ486&lt;&gt;Constants!$B$8,"",Constants!$B$25*ABS($AD$9-IF($AL486,$AM486,0)))</f>
        <v/>
      </c>
      <c r="BE486" s="138" t="str">
        <f aca="false">IF($BZ486&lt;&gt;Constants!$B$8,"",IF(AND($AL486,$AQ486,$AO486),Constants!$B$27,0))</f>
        <v/>
      </c>
      <c r="BF486" s="138" t="str">
        <f aca="false">IF($BZ486&lt;&gt;Constants!$B$8,"",IF($AL486,($AI486-Constants!$B$29)*Constants!$B$28,0))</f>
        <v/>
      </c>
      <c r="BG486" s="138" t="str">
        <f aca="false">IF($BZ486&lt;&gt;Constants!$B$8,"",IF($AK486,0,Constants!$B$15)+IF($AJ486,0,Constants!$B$16)+IF($AH486,0,Constants!$B$17))</f>
        <v/>
      </c>
      <c r="BH486" s="139" t="str">
        <f aca="false">IF($BZ486&lt;&gt;Constants!$B$8,"",Constants!$B$20+SUM($BC486:$BG486))</f>
        <v/>
      </c>
      <c r="BI486" s="138" t="str">
        <f aca="false">IF($BZ486&lt;&gt;Constants!$B$8,"",$BC486)</f>
        <v/>
      </c>
      <c r="BJ486" s="138" t="str">
        <f aca="false">IF($BZ486&lt;&gt;Constants!$B$8,"",$BD486)</f>
        <v/>
      </c>
      <c r="BK486" s="138" t="str">
        <f aca="false">IF($BZ486&lt;&gt;Constants!$B$8,"",IF($AL486,$AN486,""))</f>
        <v/>
      </c>
      <c r="BL486" s="140" t="str">
        <f aca="false">IF($BZ486&lt;&gt;Constants!$B$8,"",$AI486)</f>
        <v/>
      </c>
      <c r="BM486" s="135" t="str">
        <f aca="false">IF($BZ486&lt;&gt;Constants!$B$8,"",IF(OR($BT486&lt;$BH486,AND($BT486=$BH486,OR($BU486&lt;$BI486,AND($BU486=$BI486,OR($BV486&lt;$BJ486,AND($BV486=$BJ486,OR(AND(ISNUMBER($BW486),OR(NOT(ISNUMBER($BK486)),$BW486&lt;$BK486)),AND(OR(AND($BW486="",$BK486=""),AND(ISNUMBER($BW486),ISNUMBER($BK486),$BW486=$BK486)),$BX486&lt;$BL486)))))))),"-&gt;","&lt;-"))</f>
        <v/>
      </c>
      <c r="BN486" s="134" t="str">
        <f aca="false">IF(ISBLANK($C486),"",AND($AT486,OR($AU486="",$AV486="",AND($AW486,$AX486=""))))</f>
        <v/>
      </c>
      <c r="BO486" s="137" t="str">
        <f aca="false">IF($BZ486&lt;&gt;Constants!$B$8,"",IF($AT486,Constants!$B$21*$AV486+Constants!$B$22*IF($AW486,$AX486,Constants!$B$23),Constants!$B$24))</f>
        <v/>
      </c>
      <c r="BP486" s="138" t="str">
        <f aca="false">IF($BZ486&lt;&gt;Constants!$B$8,"",Constants!$B$25*ABS($AD$9-IF($AT486,$AU486,0)))</f>
        <v/>
      </c>
      <c r="BQ486" s="138" t="str">
        <f aca="false">IF($BZ486&lt;&gt;Constants!$B$8,"",IF(AND($AT486,$AY486,$AW486),Constants!$B$27,0))</f>
        <v/>
      </c>
      <c r="BR486" s="138" t="str">
        <f aca="false">IF($BZ486&lt;&gt;Constants!$B$8,"",IF($AT486,($AI486-Constants!$B$29)*Constants!$B$28,0))</f>
        <v/>
      </c>
      <c r="BS486" s="138" t="str">
        <f aca="false">IF($BZ486&lt;&gt;Constants!$B$8,"",IF($AS486,0,Constants!$B$15)+IF($AR486,0,Constants!$B$16)+IF($AH486,0,Constants!$B$17))</f>
        <v/>
      </c>
      <c r="BT486" s="139" t="str">
        <f aca="false">IF($BZ486&lt;&gt;Constants!$B$8,"",Constants!$B$20+SUM($BO486:$BS486))</f>
        <v/>
      </c>
      <c r="BU486" s="138" t="str">
        <f aca="false">IF($BZ486&lt;&gt;Constants!$B$8,"",$BO486)</f>
        <v/>
      </c>
      <c r="BV486" s="138" t="str">
        <f aca="false">IF($BZ486&lt;&gt;Constants!$B$8,"",$BP486)</f>
        <v/>
      </c>
      <c r="BW486" s="138" t="str">
        <f aca="false">IF($BZ486&lt;&gt;Constants!$B$8,"",IF($AT486,$AV486,""))</f>
        <v/>
      </c>
      <c r="BX486" s="140" t="str">
        <f aca="false">IF($BZ486&lt;&gt;Constants!$B$8,"",$AI486)</f>
        <v/>
      </c>
      <c r="BY486" s="135" t="str">
        <f aca="false">IF(ISBLANK($C486),"",IF(ISBLANK($D$7),$BY$5,IF(NOT(ISNUMBER($D$7)),$BY$6,"")))</f>
        <v/>
      </c>
      <c r="BZ486" s="135" t="str">
        <f aca="false">IF(ISBLANK($C486),"",IF($BA486,Constants!$B$11,IF(COUNTA($E486:$AA486)=0,Constants!$B$10,IF(NOT($AG486),Constants!$B$9,IF(OR($BY486&lt;&gt;"",$BB486,$BN486),Constants!$B$12,Constants!$B$8)))))</f>
        <v/>
      </c>
      <c r="CA486" s="135" t="str">
        <f aca="false">IF(ISBLANK($C486),"",IF($BZ486&lt;&gt;Constants!$B$8,$BZ486,Constants!$B$13))</f>
        <v/>
      </c>
      <c r="CB486" s="138" t="str">
        <f aca="false">IF($BZ486&lt;&gt;Constants!$B$8,"",IF($BM486="-&gt;",$BT486,$BH486))</f>
        <v/>
      </c>
      <c r="CC486" s="138" t="str">
        <f aca="false">IF($BZ486&lt;&gt;Constants!$B$8,"",IF($AF486,0,Constants!$B$18))</f>
        <v/>
      </c>
      <c r="CD486" s="138" t="str">
        <f aca="false">IF($BZ486&lt;&gt;Constants!$B$8,"",((Constants!$B$31-$AZ486)-Constants!$B$31)/Constants!$B$32)</f>
        <v/>
      </c>
      <c r="CE486" s="138" t="str">
        <f aca="false">IF(ISBLANK($C486),"",IF($BZ486&lt;&gt;Constants!$B$8,$BZ486,SUM($CB486:$CD486)))</f>
        <v/>
      </c>
      <c r="CF486" s="135" t="str">
        <f aca="false">IF(ISBLANK($C486),"",IF($BZ486&lt;&gt;Constants!$B$8,$BZ486,RANK($CE486,$CE$9:$CE$508,1)))</f>
        <v/>
      </c>
      <c r="CG486" s="138" t="str">
        <f aca="false">IF($BZ486&lt;&gt;Constants!$B$8,"",IF($BM486="-&gt;",$BU486,$BI486))</f>
        <v/>
      </c>
      <c r="CH486" s="135" t="str">
        <f aca="false">IF(ISBLANK($C486),"",IF($BZ486&lt;&gt;Constants!$B$8,$BZ486,IF(ISNUMBER($CG486),RANK($CG486,$CG$9:$CG$508,1),COUNT($CG$9:$CG$508)+1)))</f>
        <v/>
      </c>
      <c r="CI486" s="138" t="str">
        <f aca="false">IF($BZ486&lt;&gt;Constants!$B$8,"",IF($BM486="-&gt;",$BV486,$BJ486))</f>
        <v/>
      </c>
      <c r="CJ486" s="135" t="str">
        <f aca="false">IF(ISBLANK($C486),"",IF($BZ486&lt;&gt;Constants!$B$8,$BZ486,IF(ISNUMBER($CI486),RANK($CI486,$CI$9:$CI$508,1),COUNT($CI$9:$CI$508)+1)))</f>
        <v/>
      </c>
      <c r="CK486" s="138" t="str">
        <f aca="false">IF($BZ486&lt;&gt;Constants!$B$8,"",IF($BM486="-&gt;",$BW486,$BK486))</f>
        <v/>
      </c>
      <c r="CL486" s="135" t="str">
        <f aca="false">IF(ISBLANK($C486),"",IF($BZ486&lt;&gt;Constants!$B$8,$BZ486,IF(ISNUMBER($CK486),RANK($CK486,$CK$9:$CK$508,1),COUNT($CK$9:$CK$508)+1)))</f>
        <v/>
      </c>
      <c r="CM486" s="138" t="str">
        <f aca="false">IF($BZ486&lt;&gt;Constants!$B$8,"",IF(AND(NOT($AL486),NOT($AT486),$AJ486,$AK486,$AR486,$AS486),"",IF($BM486="-&gt;",$BX486,$BL486)))</f>
        <v/>
      </c>
      <c r="CN486" s="135" t="str">
        <f aca="false">IF(ISBLANK($C486),"",IF($BZ486&lt;&gt;Constants!$B$8,$BZ486,IF(ISNUMBER($CM486),RANK($CM486,$CM$9:$CM$508,1),COUNT($CM$9:$CM$508)+1)))</f>
        <v/>
      </c>
      <c r="CO486" s="135" t="str">
        <f aca="false">IF(ISBLANK($C486),"",IF($BZ486&lt;&gt;Constants!$B$8,$BZ486,COUNTIFS($CF$9:$CF$508,"&lt;"&amp;$CF486)+COUNTIFS($CF$9:$CF$508,$CF486,$CH$9:$CH$508,"&lt;"&amp;$CH486)+COUNTIFS($CF$9:$CF$508,$CF486,$CH$9:$CH$508,$CH486,$CJ$9:$CJ$508,"&lt;"&amp;$CJ486)+COUNTIFS($CF$9:$CF$508,$CF486,$CH$9:$CH$508,$CH486,$CJ$9:$CJ$508,$CJ486,$CL$9:$CL$508,"&lt;"&amp;$CL486)+COUNTIFS($CF$9:$CF$508,$CF486,$CH$9:$CH$508,$CH486,$CJ$9:$CJ$508,$CJ486,$CL$9:$CL$508,$CL486,$CN$9:$CN$508,"&lt;"&amp;$CN486)+1))</f>
        <v/>
      </c>
      <c r="CP486" s="135" t="str">
        <f aca="false">IF(ISBLANK($C486),"",IF($BZ486&lt;&gt;Constants!$B$8,$BZ486,$CF486-$CO486))</f>
        <v/>
      </c>
      <c r="CQ486" s="141"/>
      <c r="CR486" s="142"/>
      <c r="CS486" s="143" t="str">
        <f aca="false">IF(ISBLANK($C486),"",IF($BZ486=Constants!$B$12,$BY486,""))</f>
        <v/>
      </c>
      <c r="CT486" s="142" t="str">
        <f aca="false">IF(ISBLANK($C486),"",IF($BZ486&lt;&gt;Constants!$B$8,"",IF($BM486="-&gt;",2,1)))</f>
        <v/>
      </c>
      <c r="CU486" s="144" t="str">
        <f aca="false">IF(ISBLANK($C486),"",IF($BZ486&lt;&gt;Constants!$B$8,"",IF($BM486="-&gt;",$BO486,$BC486)))</f>
        <v/>
      </c>
      <c r="CV486" s="144" t="str">
        <f aca="false">IF(ISBLANK($C486),"",IF($BZ486&lt;&gt;Constants!$B$8,"",IF($BM486="-&gt;",$BP486,$BD486)))</f>
        <v/>
      </c>
      <c r="CW486" s="144" t="str">
        <f aca="false">IF(ISBLANK($C486),"",IF($BZ486&lt;&gt;Constants!$B$8,"",IF($BM486="-&gt;",$BQ486+$BR486,$BE486+$BF486)+$CD486))</f>
        <v/>
      </c>
      <c r="CX486" s="144" t="str">
        <f aca="false">IF(ISBLANK($C486),"",IF($BZ486&lt;&gt;Constants!$B$8,"",IF($BM486="-&gt;",$BS486,$BG486)+$CC486))</f>
        <v/>
      </c>
      <c r="CY486" s="145" t="str">
        <f aca="false">IF(ISBLANK($C486),"",IF($BZ486&lt;&gt;Constants!$B$8,$BZ486,$CE486))</f>
        <v/>
      </c>
      <c r="CZ486" s="146" t="str">
        <f aca="false">IF(ISBLANK($C486),"",$CA486)</f>
        <v/>
      </c>
      <c r="DA486" s="147" t="str">
        <f aca="false">IF(ISBLANK($C486),"",$CP486)</f>
        <v/>
      </c>
      <c r="DB486" s="147" t="str">
        <f aca="false">IF(ISBLANK($C486),"",$CO486)</f>
        <v/>
      </c>
      <c r="DC486" s="148" t="str">
        <f aca="false">IF(ISBLANK($C486),"",IFERROR(_xlfn.SWITCH($DB486,Constants!$B$11,COUNTA($C$9:$C$508)+2,Constants!$B$10,COUNTA($C$9:$C$508)+1,Constants!$B$9,COUNTA($C$9:$C$508)),$DB486))</f>
        <v/>
      </c>
      <c r="DD486" s="9"/>
      <c r="DE486" s="149" t="n">
        <f aca="false">IF(OR(ISNUMBER($DB486),$DB486=Constants!$B$11,$DB486=Constants!$B$9,$DB486=Constants!$B$10),1,0)</f>
        <v>0</v>
      </c>
      <c r="DF486" s="149" t="n">
        <v>478</v>
      </c>
      <c r="DG486" s="149" t="str">
        <f aca="false">IF(ISBLANK($C486),"",IF(ISNUMBER($DC486),$DC486+ROW($B486)/1000,""))</f>
        <v/>
      </c>
      <c r="DH486" s="149" t="str">
        <f aca="false">IF(ISNUMBER($DG486),RANK($DG486,$DG$9:$DG$508,1),"")</f>
        <v/>
      </c>
      <c r="DI486" s="149" t="str">
        <f aca="false">IF(ISBLANK($C486),"",$B486)</f>
        <v/>
      </c>
      <c r="DJ486" s="149" t="str">
        <f aca="false">IF(ISBLANK($C486),"",$C486)</f>
        <v/>
      </c>
      <c r="DK486" s="149" t="str">
        <f aca="false">IF(ISBLANK($C486),"",$D486)</f>
        <v/>
      </c>
      <c r="DL486" s="150" t="str">
        <f aca="false">$CZ486</f>
        <v/>
      </c>
      <c r="DM486" s="151" t="str">
        <f aca="false">$CY486</f>
        <v/>
      </c>
      <c r="DN486" s="149" t="str">
        <f aca="false">IF(ISBLANK($C486),"",$DB486)</f>
        <v/>
      </c>
      <c r="DO486" s="152" t="str">
        <f aca="false">IF($DF486&gt;$DE$8,"",VLOOKUP($DF486,$DH$9:$DN$508,7,FALSE()))</f>
        <v/>
      </c>
      <c r="DP486" s="153" t="str">
        <f aca="false">IF($DF486&gt;$DE$8,"",VLOOKUP($DF486,$DH$9:$DN$508,2,FALSE()))</f>
        <v/>
      </c>
      <c r="DQ486" s="153" t="str">
        <f aca="false">IF($DF486&gt;$DE$8,"",VLOOKUP($DF486,$DH$9:$DN$508,3,FALSE()))</f>
        <v/>
      </c>
      <c r="DR486" s="153" t="str">
        <f aca="false">IF($DF486&gt;$DE$8,"",VLOOKUP($DF486,$DH$9:$DN$508,4,FALSE()))</f>
        <v/>
      </c>
      <c r="DS486" s="153" t="str">
        <f aca="false">IF($DF486&gt;$DE$8,"",VLOOKUP($DF486,$DH$9:$DN$508,5,FALSE()))</f>
        <v/>
      </c>
      <c r="DT486" s="154" t="str">
        <f aca="false">IF($DF486&gt;$DE$8,"",VLOOKUP($DF486,$DH$9:$DN$508,6,FALSE()))</f>
        <v/>
      </c>
      <c r="DU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IF(ISBLANK($C487),"",IF(E487=Constants!$B$3,TRUE(),IF(E487=Constants!$B$4,FALSE(),TRUE())))</f>
        <v/>
      </c>
      <c r="AG487" s="135" t="str">
        <f aca="false">IF(ISBLANK($C487),"",IF(F487=Constants!$B$3,TRUE(),IF(F487=Constants!$B$4,FALSE(),TRUE())))</f>
        <v/>
      </c>
      <c r="AH487" s="135" t="str">
        <f aca="false">IF(ISBLANK($C487),"",IF(G487=Constants!$B$3,TRUE(),IF(G487=Constants!$B$4,FALSE(),TRUE())))</f>
        <v/>
      </c>
      <c r="AI487" s="135" t="str">
        <f aca="false">IF(ISBLANK($C487),"",IF(AND(ISNUMBER(H487),H487&gt;=0),H487,Constants!$B$29))</f>
        <v/>
      </c>
      <c r="AJ487" s="135" t="str">
        <f aca="false">IF(ISBLANK($C487),"",IF(I487=Constants!$B$3,TRUE(),IF(I487=Constants!$B$4,FALSE(),TRUE())))</f>
        <v/>
      </c>
      <c r="AK487" s="135" t="str">
        <f aca="false">IF(ISBLANK($C487),"",IF(J487=Constants!$B$3,TRUE(),IF(J487=Constants!$B$4,FALSE(),TRUE())))</f>
        <v/>
      </c>
      <c r="AL487" s="135" t="str">
        <f aca="false">IF(ISBLANK($C487),"",IF(K487=Constants!$B$5,TRUE(),IF(K487=Constants!$B$6,FALSE(),COUNTA(L487:P487)&gt;0)))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IF(ISBLANK($C487),"",IF(N487=Constants!$B$3,TRUE(),IF(N487=Constants!$B$4,FALSE(),TRUE())))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IF(ISBLANK($C487),"",IF(P487=Constants!$B$3,TRUE(),IF(P487=Constants!$B$4,FALSE(),FALSE())))</f>
        <v/>
      </c>
      <c r="AR487" s="135" t="str">
        <f aca="false">IF(ISBLANK($C487),"",IF(Q487=Constants!$B$3,TRUE(),IF(Q487=Constants!$B$4,FALSE(),TRUE())))</f>
        <v/>
      </c>
      <c r="AS487" s="135" t="str">
        <f aca="false">IF(ISBLANK($C487),"",IF(R487=Constants!$B$3,TRUE(),IF(R487=Constants!$B$4,FALSE(),TRUE())))</f>
        <v/>
      </c>
      <c r="AT487" s="135" t="str">
        <f aca="false">IF(ISBLANK($C487),"",IF(S487=Constants!$B$5,TRUE(),IF(S487=Constants!$B$6,FALSE(),COUNTA(T487:X487)&gt;0)))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IF(ISBLANK($C487),"",IF(V487=Constants!$B$3,TRUE(),IF(V487=Constants!$B$4,FALSE(),TRUE())))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IF(ISBLANK($C487),"",IF(X487=Constants!$B$3,TRUE(),IF(X487=Constants!$B$4,FALSE(),FALSE())))</f>
        <v/>
      </c>
      <c r="AZ487" s="135" t="str">
        <f aca="false">IF(ISBLANK($C487),"",MIN(Constants!$B$31,MAX(0,IF(ISNUMBER(Y487),Y487*60,0)+IF(ISNUMBER(Z487),Z487,0))))</f>
        <v/>
      </c>
      <c r="BA487" s="135" t="str">
        <f aca="false">IF(ISBLANK($C487),"",IF(AA487=Constants!$B$3,TRUE(),IF(AA487=Constants!$B$4,FALSE(),FALSE())))</f>
        <v/>
      </c>
      <c r="BB487" s="134" t="str">
        <f aca="false">IF(ISBLANK($C487),"",AND($AL487,OR($AM487="",$AN487="",AND($AO487,$AP487=""))))</f>
        <v/>
      </c>
      <c r="BC487" s="137" t="str">
        <f aca="false">IF($BZ487&lt;&gt;Constants!$B$8,"",IF($AL487,Constants!$B$21*$AN487+Constants!$B$22*IF($AO487,$AP487,Constants!$B$23),Constants!$B$24))</f>
        <v/>
      </c>
      <c r="BD487" s="138" t="str">
        <f aca="false">IF($BZ487&lt;&gt;Constants!$B$8,"",Constants!$B$25*ABS($AD$9-IF($AL487,$AM487,0)))</f>
        <v/>
      </c>
      <c r="BE487" s="138" t="str">
        <f aca="false">IF($BZ487&lt;&gt;Constants!$B$8,"",IF(AND($AL487,$AQ487,$AO487),Constants!$B$27,0))</f>
        <v/>
      </c>
      <c r="BF487" s="138" t="str">
        <f aca="false">IF($BZ487&lt;&gt;Constants!$B$8,"",IF($AL487,($AI487-Constants!$B$29)*Constants!$B$28,0))</f>
        <v/>
      </c>
      <c r="BG487" s="138" t="str">
        <f aca="false">IF($BZ487&lt;&gt;Constants!$B$8,"",IF($AK487,0,Constants!$B$15)+IF($AJ487,0,Constants!$B$16)+IF($AH487,0,Constants!$B$17))</f>
        <v/>
      </c>
      <c r="BH487" s="139" t="str">
        <f aca="false">IF($BZ487&lt;&gt;Constants!$B$8,"",Constants!$B$20+SUM($BC487:$BG487))</f>
        <v/>
      </c>
      <c r="BI487" s="138" t="str">
        <f aca="false">IF($BZ487&lt;&gt;Constants!$B$8,"",$BC487)</f>
        <v/>
      </c>
      <c r="BJ487" s="138" t="str">
        <f aca="false">IF($BZ487&lt;&gt;Constants!$B$8,"",$BD487)</f>
        <v/>
      </c>
      <c r="BK487" s="138" t="str">
        <f aca="false">IF($BZ487&lt;&gt;Constants!$B$8,"",IF($AL487,$AN487,""))</f>
        <v/>
      </c>
      <c r="BL487" s="140" t="str">
        <f aca="false">IF($BZ487&lt;&gt;Constants!$B$8,"",$AI487)</f>
        <v/>
      </c>
      <c r="BM487" s="135" t="str">
        <f aca="false">IF($BZ487&lt;&gt;Constants!$B$8,"",IF(OR($BT487&lt;$BH487,AND($BT487=$BH487,OR($BU487&lt;$BI487,AND($BU487=$BI487,OR($BV487&lt;$BJ487,AND($BV487=$BJ487,OR(AND(ISNUMBER($BW487),OR(NOT(ISNUMBER($BK487)),$BW487&lt;$BK487)),AND(OR(AND($BW487="",$BK487=""),AND(ISNUMBER($BW487),ISNUMBER($BK487),$BW487=$BK487)),$BX487&lt;$BL487)))))))),"-&gt;","&lt;-"))</f>
        <v/>
      </c>
      <c r="BN487" s="134" t="str">
        <f aca="false">IF(ISBLANK($C487),"",AND($AT487,OR($AU487="",$AV487="",AND($AW487,$AX487=""))))</f>
        <v/>
      </c>
      <c r="BO487" s="137" t="str">
        <f aca="false">IF($BZ487&lt;&gt;Constants!$B$8,"",IF($AT487,Constants!$B$21*$AV487+Constants!$B$22*IF($AW487,$AX487,Constants!$B$23),Constants!$B$24))</f>
        <v/>
      </c>
      <c r="BP487" s="138" t="str">
        <f aca="false">IF($BZ487&lt;&gt;Constants!$B$8,"",Constants!$B$25*ABS($AD$9-IF($AT487,$AU487,0)))</f>
        <v/>
      </c>
      <c r="BQ487" s="138" t="str">
        <f aca="false">IF($BZ487&lt;&gt;Constants!$B$8,"",IF(AND($AT487,$AY487,$AW487),Constants!$B$27,0))</f>
        <v/>
      </c>
      <c r="BR487" s="138" t="str">
        <f aca="false">IF($BZ487&lt;&gt;Constants!$B$8,"",IF($AT487,($AI487-Constants!$B$29)*Constants!$B$28,0))</f>
        <v/>
      </c>
      <c r="BS487" s="138" t="str">
        <f aca="false">IF($BZ487&lt;&gt;Constants!$B$8,"",IF($AS487,0,Constants!$B$15)+IF($AR487,0,Constants!$B$16)+IF($AH487,0,Constants!$B$17))</f>
        <v/>
      </c>
      <c r="BT487" s="139" t="str">
        <f aca="false">IF($BZ487&lt;&gt;Constants!$B$8,"",Constants!$B$20+SUM($BO487:$BS487))</f>
        <v/>
      </c>
      <c r="BU487" s="138" t="str">
        <f aca="false">IF($BZ487&lt;&gt;Constants!$B$8,"",$BO487)</f>
        <v/>
      </c>
      <c r="BV487" s="138" t="str">
        <f aca="false">IF($BZ487&lt;&gt;Constants!$B$8,"",$BP487)</f>
        <v/>
      </c>
      <c r="BW487" s="138" t="str">
        <f aca="false">IF($BZ487&lt;&gt;Constants!$B$8,"",IF($AT487,$AV487,""))</f>
        <v/>
      </c>
      <c r="BX487" s="140" t="str">
        <f aca="false">IF($BZ487&lt;&gt;Constants!$B$8,"",$AI487)</f>
        <v/>
      </c>
      <c r="BY487" s="135" t="str">
        <f aca="false">IF(ISBLANK($C487),"",IF(ISBLANK($D$7),$BY$5,IF(NOT(ISNUMBER($D$7)),$BY$6,"")))</f>
        <v/>
      </c>
      <c r="BZ487" s="135" t="str">
        <f aca="false">IF(ISBLANK($C487),"",IF($BA487,Constants!$B$11,IF(COUNTA($E487:$AA487)=0,Constants!$B$10,IF(NOT($AG487),Constants!$B$9,IF(OR($BY487&lt;&gt;"",$BB487,$BN487),Constants!$B$12,Constants!$B$8)))))</f>
        <v/>
      </c>
      <c r="CA487" s="135" t="str">
        <f aca="false">IF(ISBLANK($C487),"",IF($BZ487&lt;&gt;Constants!$B$8,$BZ487,Constants!$B$13))</f>
        <v/>
      </c>
      <c r="CB487" s="138" t="str">
        <f aca="false">IF($BZ487&lt;&gt;Constants!$B$8,"",IF($BM487="-&gt;",$BT487,$BH487))</f>
        <v/>
      </c>
      <c r="CC487" s="138" t="str">
        <f aca="false">IF($BZ487&lt;&gt;Constants!$B$8,"",IF($AF487,0,Constants!$B$18))</f>
        <v/>
      </c>
      <c r="CD487" s="138" t="str">
        <f aca="false">IF($BZ487&lt;&gt;Constants!$B$8,"",((Constants!$B$31-$AZ487)-Constants!$B$31)/Constants!$B$32)</f>
        <v/>
      </c>
      <c r="CE487" s="138" t="str">
        <f aca="false">IF(ISBLANK($C487),"",IF($BZ487&lt;&gt;Constants!$B$8,$BZ487,SUM($CB487:$CD487)))</f>
        <v/>
      </c>
      <c r="CF487" s="135" t="str">
        <f aca="false">IF(ISBLANK($C487),"",IF($BZ487&lt;&gt;Constants!$B$8,$BZ487,RANK($CE487,$CE$9:$CE$508,1)))</f>
        <v/>
      </c>
      <c r="CG487" s="138" t="str">
        <f aca="false">IF($BZ487&lt;&gt;Constants!$B$8,"",IF($BM487="-&gt;",$BU487,$BI487))</f>
        <v/>
      </c>
      <c r="CH487" s="135" t="str">
        <f aca="false">IF(ISBLANK($C487),"",IF($BZ487&lt;&gt;Constants!$B$8,$BZ487,IF(ISNUMBER($CG487),RANK($CG487,$CG$9:$CG$508,1),COUNT($CG$9:$CG$508)+1)))</f>
        <v/>
      </c>
      <c r="CI487" s="138" t="str">
        <f aca="false">IF($BZ487&lt;&gt;Constants!$B$8,"",IF($BM487="-&gt;",$BV487,$BJ487))</f>
        <v/>
      </c>
      <c r="CJ487" s="135" t="str">
        <f aca="false">IF(ISBLANK($C487),"",IF($BZ487&lt;&gt;Constants!$B$8,$BZ487,IF(ISNUMBER($CI487),RANK($CI487,$CI$9:$CI$508,1),COUNT($CI$9:$CI$508)+1)))</f>
        <v/>
      </c>
      <c r="CK487" s="138" t="str">
        <f aca="false">IF($BZ487&lt;&gt;Constants!$B$8,"",IF($BM487="-&gt;",$BW487,$BK487))</f>
        <v/>
      </c>
      <c r="CL487" s="135" t="str">
        <f aca="false">IF(ISBLANK($C487),"",IF($BZ487&lt;&gt;Constants!$B$8,$BZ487,IF(ISNUMBER($CK487),RANK($CK487,$CK$9:$CK$508,1),COUNT($CK$9:$CK$508)+1)))</f>
        <v/>
      </c>
      <c r="CM487" s="138" t="str">
        <f aca="false">IF($BZ487&lt;&gt;Constants!$B$8,"",IF(AND(NOT($AL487),NOT($AT487),$AJ487,$AK487,$AR487,$AS487),"",IF($BM487="-&gt;",$BX487,$BL487)))</f>
        <v/>
      </c>
      <c r="CN487" s="135" t="str">
        <f aca="false">IF(ISBLANK($C487),"",IF($BZ487&lt;&gt;Constants!$B$8,$BZ487,IF(ISNUMBER($CM487),RANK($CM487,$CM$9:$CM$508,1),COUNT($CM$9:$CM$508)+1)))</f>
        <v/>
      </c>
      <c r="CO487" s="135" t="str">
        <f aca="false">IF(ISBLANK($C487),"",IF($BZ487&lt;&gt;Constants!$B$8,$BZ487,COUNTIFS($CF$9:$CF$508,"&lt;"&amp;$CF487)+COUNTIFS($CF$9:$CF$508,$CF487,$CH$9:$CH$508,"&lt;"&amp;$CH487)+COUNTIFS($CF$9:$CF$508,$CF487,$CH$9:$CH$508,$CH487,$CJ$9:$CJ$508,"&lt;"&amp;$CJ487)+COUNTIFS($CF$9:$CF$508,$CF487,$CH$9:$CH$508,$CH487,$CJ$9:$CJ$508,$CJ487,$CL$9:$CL$508,"&lt;"&amp;$CL487)+COUNTIFS($CF$9:$CF$508,$CF487,$CH$9:$CH$508,$CH487,$CJ$9:$CJ$508,$CJ487,$CL$9:$CL$508,$CL487,$CN$9:$CN$508,"&lt;"&amp;$CN487)+1))</f>
        <v/>
      </c>
      <c r="CP487" s="135" t="str">
        <f aca="false">IF(ISBLANK($C487),"",IF($BZ487&lt;&gt;Constants!$B$8,$BZ487,$CF487-$CO487))</f>
        <v/>
      </c>
      <c r="CQ487" s="141"/>
      <c r="CR487" s="142"/>
      <c r="CS487" s="143" t="str">
        <f aca="false">IF(ISBLANK($C487),"",IF($BZ487=Constants!$B$12,$BY487,""))</f>
        <v/>
      </c>
      <c r="CT487" s="142" t="str">
        <f aca="false">IF(ISBLANK($C487),"",IF($BZ487&lt;&gt;Constants!$B$8,"",IF($BM487="-&gt;",2,1)))</f>
        <v/>
      </c>
      <c r="CU487" s="144" t="str">
        <f aca="false">IF(ISBLANK($C487),"",IF($BZ487&lt;&gt;Constants!$B$8,"",IF($BM487="-&gt;",$BO487,$BC487)))</f>
        <v/>
      </c>
      <c r="CV487" s="144" t="str">
        <f aca="false">IF(ISBLANK($C487),"",IF($BZ487&lt;&gt;Constants!$B$8,"",IF($BM487="-&gt;",$BP487,$BD487)))</f>
        <v/>
      </c>
      <c r="CW487" s="144" t="str">
        <f aca="false">IF(ISBLANK($C487),"",IF($BZ487&lt;&gt;Constants!$B$8,"",IF($BM487="-&gt;",$BQ487+$BR487,$BE487+$BF487)+$CD487))</f>
        <v/>
      </c>
      <c r="CX487" s="144" t="str">
        <f aca="false">IF(ISBLANK($C487),"",IF($BZ487&lt;&gt;Constants!$B$8,"",IF($BM487="-&gt;",$BS487,$BG487)+$CC487))</f>
        <v/>
      </c>
      <c r="CY487" s="145" t="str">
        <f aca="false">IF(ISBLANK($C487),"",IF($BZ487&lt;&gt;Constants!$B$8,$BZ487,$CE487))</f>
        <v/>
      </c>
      <c r="CZ487" s="146" t="str">
        <f aca="false">IF(ISBLANK($C487),"",$CA487)</f>
        <v/>
      </c>
      <c r="DA487" s="147" t="str">
        <f aca="false">IF(ISBLANK($C487),"",$CP487)</f>
        <v/>
      </c>
      <c r="DB487" s="147" t="str">
        <f aca="false">IF(ISBLANK($C487),"",$CO487)</f>
        <v/>
      </c>
      <c r="DC487" s="148" t="str">
        <f aca="false">IF(ISBLANK($C487),"",IFERROR(_xlfn.SWITCH($DB487,Constants!$B$11,COUNTA($C$9:$C$508)+2,Constants!$B$10,COUNTA($C$9:$C$508)+1,Constants!$B$9,COUNTA($C$9:$C$508)),$DB487))</f>
        <v/>
      </c>
      <c r="DD487" s="9"/>
      <c r="DE487" s="149" t="n">
        <f aca="false">IF(OR(ISNUMBER($DB487),$DB487=Constants!$B$11,$DB487=Constants!$B$9,$DB487=Constants!$B$10),1,0)</f>
        <v>0</v>
      </c>
      <c r="DF487" s="149" t="n">
        <v>479</v>
      </c>
      <c r="DG487" s="149" t="str">
        <f aca="false">IF(ISBLANK($C487),"",IF(ISNUMBER($DC487),$DC487+ROW($B487)/1000,""))</f>
        <v/>
      </c>
      <c r="DH487" s="149" t="str">
        <f aca="false">IF(ISNUMBER($DG487),RANK($DG487,$DG$9:$DG$508,1),"")</f>
        <v/>
      </c>
      <c r="DI487" s="149" t="str">
        <f aca="false">IF(ISBLANK($C487),"",$B487)</f>
        <v/>
      </c>
      <c r="DJ487" s="149" t="str">
        <f aca="false">IF(ISBLANK($C487),"",$C487)</f>
        <v/>
      </c>
      <c r="DK487" s="149" t="str">
        <f aca="false">IF(ISBLANK($C487),"",$D487)</f>
        <v/>
      </c>
      <c r="DL487" s="150" t="str">
        <f aca="false">$CZ487</f>
        <v/>
      </c>
      <c r="DM487" s="151" t="str">
        <f aca="false">$CY487</f>
        <v/>
      </c>
      <c r="DN487" s="149" t="str">
        <f aca="false">IF(ISBLANK($C487),"",$DB487)</f>
        <v/>
      </c>
      <c r="DO487" s="152" t="str">
        <f aca="false">IF($DF487&gt;$DE$8,"",VLOOKUP($DF487,$DH$9:$DN$508,7,FALSE()))</f>
        <v/>
      </c>
      <c r="DP487" s="153" t="str">
        <f aca="false">IF($DF487&gt;$DE$8,"",VLOOKUP($DF487,$DH$9:$DN$508,2,FALSE()))</f>
        <v/>
      </c>
      <c r="DQ487" s="153" t="str">
        <f aca="false">IF($DF487&gt;$DE$8,"",VLOOKUP($DF487,$DH$9:$DN$508,3,FALSE()))</f>
        <v/>
      </c>
      <c r="DR487" s="153" t="str">
        <f aca="false">IF($DF487&gt;$DE$8,"",VLOOKUP($DF487,$DH$9:$DN$508,4,FALSE()))</f>
        <v/>
      </c>
      <c r="DS487" s="153" t="str">
        <f aca="false">IF($DF487&gt;$DE$8,"",VLOOKUP($DF487,$DH$9:$DN$508,5,FALSE()))</f>
        <v/>
      </c>
      <c r="DT487" s="154" t="str">
        <f aca="false">IF($DF487&gt;$DE$8,"",VLOOKUP($DF487,$DH$9:$DN$508,6,FALSE()))</f>
        <v/>
      </c>
      <c r="DU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IF(ISBLANK($C488),"",IF(E488=Constants!$B$3,TRUE(),IF(E488=Constants!$B$4,FALSE(),TRUE())))</f>
        <v/>
      </c>
      <c r="AG488" s="135" t="str">
        <f aca="false">IF(ISBLANK($C488),"",IF(F488=Constants!$B$3,TRUE(),IF(F488=Constants!$B$4,FALSE(),TRUE())))</f>
        <v/>
      </c>
      <c r="AH488" s="135" t="str">
        <f aca="false">IF(ISBLANK($C488),"",IF(G488=Constants!$B$3,TRUE(),IF(G488=Constants!$B$4,FALSE(),TRUE())))</f>
        <v/>
      </c>
      <c r="AI488" s="135" t="str">
        <f aca="false">IF(ISBLANK($C488),"",IF(AND(ISNUMBER(H488),H488&gt;=0),H488,Constants!$B$29))</f>
        <v/>
      </c>
      <c r="AJ488" s="135" t="str">
        <f aca="false">IF(ISBLANK($C488),"",IF(I488=Constants!$B$3,TRUE(),IF(I488=Constants!$B$4,FALSE(),TRUE())))</f>
        <v/>
      </c>
      <c r="AK488" s="135" t="str">
        <f aca="false">IF(ISBLANK($C488),"",IF(J488=Constants!$B$3,TRUE(),IF(J488=Constants!$B$4,FALSE(),TRUE())))</f>
        <v/>
      </c>
      <c r="AL488" s="135" t="str">
        <f aca="false">IF(ISBLANK($C488),"",IF(K488=Constants!$B$5,TRUE(),IF(K488=Constants!$B$6,FALSE(),COUNTA(L488:P488)&gt;0)))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IF(ISBLANK($C488),"",IF(N488=Constants!$B$3,TRUE(),IF(N488=Constants!$B$4,FALSE(),TRUE())))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IF(ISBLANK($C488),"",IF(P488=Constants!$B$3,TRUE(),IF(P488=Constants!$B$4,FALSE(),FALSE())))</f>
        <v/>
      </c>
      <c r="AR488" s="135" t="str">
        <f aca="false">IF(ISBLANK($C488),"",IF(Q488=Constants!$B$3,TRUE(),IF(Q488=Constants!$B$4,FALSE(),TRUE())))</f>
        <v/>
      </c>
      <c r="AS488" s="135" t="str">
        <f aca="false">IF(ISBLANK($C488),"",IF(R488=Constants!$B$3,TRUE(),IF(R488=Constants!$B$4,FALSE(),TRUE())))</f>
        <v/>
      </c>
      <c r="AT488" s="135" t="str">
        <f aca="false">IF(ISBLANK($C488),"",IF(S488=Constants!$B$5,TRUE(),IF(S488=Constants!$B$6,FALSE(),COUNTA(T488:X488)&gt;0)))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IF(ISBLANK($C488),"",IF(V488=Constants!$B$3,TRUE(),IF(V488=Constants!$B$4,FALSE(),TRUE())))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IF(ISBLANK($C488),"",IF(X488=Constants!$B$3,TRUE(),IF(X488=Constants!$B$4,FALSE(),FALSE())))</f>
        <v/>
      </c>
      <c r="AZ488" s="135" t="str">
        <f aca="false">IF(ISBLANK($C488),"",MIN(Constants!$B$31,MAX(0,IF(ISNUMBER(Y488),Y488*60,0)+IF(ISNUMBER(Z488),Z488,0))))</f>
        <v/>
      </c>
      <c r="BA488" s="135" t="str">
        <f aca="false">IF(ISBLANK($C488),"",IF(AA488=Constants!$B$3,TRUE(),IF(AA488=Constants!$B$4,FALSE(),FALSE())))</f>
        <v/>
      </c>
      <c r="BB488" s="134" t="str">
        <f aca="false">IF(ISBLANK($C488),"",AND($AL488,OR($AM488="",$AN488="",AND($AO488,$AP488=""))))</f>
        <v/>
      </c>
      <c r="BC488" s="137" t="str">
        <f aca="false">IF($BZ488&lt;&gt;Constants!$B$8,"",IF($AL488,Constants!$B$21*$AN488+Constants!$B$22*IF($AO488,$AP488,Constants!$B$23),Constants!$B$24))</f>
        <v/>
      </c>
      <c r="BD488" s="138" t="str">
        <f aca="false">IF($BZ488&lt;&gt;Constants!$B$8,"",Constants!$B$25*ABS($AD$9-IF($AL488,$AM488,0)))</f>
        <v/>
      </c>
      <c r="BE488" s="138" t="str">
        <f aca="false">IF($BZ488&lt;&gt;Constants!$B$8,"",IF(AND($AL488,$AQ488,$AO488),Constants!$B$27,0))</f>
        <v/>
      </c>
      <c r="BF488" s="138" t="str">
        <f aca="false">IF($BZ488&lt;&gt;Constants!$B$8,"",IF($AL488,($AI488-Constants!$B$29)*Constants!$B$28,0))</f>
        <v/>
      </c>
      <c r="BG488" s="138" t="str">
        <f aca="false">IF($BZ488&lt;&gt;Constants!$B$8,"",IF($AK488,0,Constants!$B$15)+IF($AJ488,0,Constants!$B$16)+IF($AH488,0,Constants!$B$17))</f>
        <v/>
      </c>
      <c r="BH488" s="139" t="str">
        <f aca="false">IF($BZ488&lt;&gt;Constants!$B$8,"",Constants!$B$20+SUM($BC488:$BG488))</f>
        <v/>
      </c>
      <c r="BI488" s="138" t="str">
        <f aca="false">IF($BZ488&lt;&gt;Constants!$B$8,"",$BC488)</f>
        <v/>
      </c>
      <c r="BJ488" s="138" t="str">
        <f aca="false">IF($BZ488&lt;&gt;Constants!$B$8,"",$BD488)</f>
        <v/>
      </c>
      <c r="BK488" s="138" t="str">
        <f aca="false">IF($BZ488&lt;&gt;Constants!$B$8,"",IF($AL488,$AN488,""))</f>
        <v/>
      </c>
      <c r="BL488" s="140" t="str">
        <f aca="false">IF($BZ488&lt;&gt;Constants!$B$8,"",$AI488)</f>
        <v/>
      </c>
      <c r="BM488" s="135" t="str">
        <f aca="false">IF($BZ488&lt;&gt;Constants!$B$8,"",IF(OR($BT488&lt;$BH488,AND($BT488=$BH488,OR($BU488&lt;$BI488,AND($BU488=$BI488,OR($BV488&lt;$BJ488,AND($BV488=$BJ488,OR(AND(ISNUMBER($BW488),OR(NOT(ISNUMBER($BK488)),$BW488&lt;$BK488)),AND(OR(AND($BW488="",$BK488=""),AND(ISNUMBER($BW488),ISNUMBER($BK488),$BW488=$BK488)),$BX488&lt;$BL488)))))))),"-&gt;","&lt;-"))</f>
        <v/>
      </c>
      <c r="BN488" s="134" t="str">
        <f aca="false">IF(ISBLANK($C488),"",AND($AT488,OR($AU488="",$AV488="",AND($AW488,$AX488=""))))</f>
        <v/>
      </c>
      <c r="BO488" s="137" t="str">
        <f aca="false">IF($BZ488&lt;&gt;Constants!$B$8,"",IF($AT488,Constants!$B$21*$AV488+Constants!$B$22*IF($AW488,$AX488,Constants!$B$23),Constants!$B$24))</f>
        <v/>
      </c>
      <c r="BP488" s="138" t="str">
        <f aca="false">IF($BZ488&lt;&gt;Constants!$B$8,"",Constants!$B$25*ABS($AD$9-IF($AT488,$AU488,0)))</f>
        <v/>
      </c>
      <c r="BQ488" s="138" t="str">
        <f aca="false">IF($BZ488&lt;&gt;Constants!$B$8,"",IF(AND($AT488,$AY488,$AW488),Constants!$B$27,0))</f>
        <v/>
      </c>
      <c r="BR488" s="138" t="str">
        <f aca="false">IF($BZ488&lt;&gt;Constants!$B$8,"",IF($AT488,($AI488-Constants!$B$29)*Constants!$B$28,0))</f>
        <v/>
      </c>
      <c r="BS488" s="138" t="str">
        <f aca="false">IF($BZ488&lt;&gt;Constants!$B$8,"",IF($AS488,0,Constants!$B$15)+IF($AR488,0,Constants!$B$16)+IF($AH488,0,Constants!$B$17))</f>
        <v/>
      </c>
      <c r="BT488" s="139" t="str">
        <f aca="false">IF($BZ488&lt;&gt;Constants!$B$8,"",Constants!$B$20+SUM($BO488:$BS488))</f>
        <v/>
      </c>
      <c r="BU488" s="138" t="str">
        <f aca="false">IF($BZ488&lt;&gt;Constants!$B$8,"",$BO488)</f>
        <v/>
      </c>
      <c r="BV488" s="138" t="str">
        <f aca="false">IF($BZ488&lt;&gt;Constants!$B$8,"",$BP488)</f>
        <v/>
      </c>
      <c r="BW488" s="138" t="str">
        <f aca="false">IF($BZ488&lt;&gt;Constants!$B$8,"",IF($AT488,$AV488,""))</f>
        <v/>
      </c>
      <c r="BX488" s="140" t="str">
        <f aca="false">IF($BZ488&lt;&gt;Constants!$B$8,"",$AI488)</f>
        <v/>
      </c>
      <c r="BY488" s="135" t="str">
        <f aca="false">IF(ISBLANK($C488),"",IF(ISBLANK($D$7),$BY$5,IF(NOT(ISNUMBER($D$7)),$BY$6,"")))</f>
        <v/>
      </c>
      <c r="BZ488" s="135" t="str">
        <f aca="false">IF(ISBLANK($C488),"",IF($BA488,Constants!$B$11,IF(COUNTA($E488:$AA488)=0,Constants!$B$10,IF(NOT($AG488),Constants!$B$9,IF(OR($BY488&lt;&gt;"",$BB488,$BN488),Constants!$B$12,Constants!$B$8)))))</f>
        <v/>
      </c>
      <c r="CA488" s="135" t="str">
        <f aca="false">IF(ISBLANK($C488),"",IF($BZ488&lt;&gt;Constants!$B$8,$BZ488,Constants!$B$13))</f>
        <v/>
      </c>
      <c r="CB488" s="138" t="str">
        <f aca="false">IF($BZ488&lt;&gt;Constants!$B$8,"",IF($BM488="-&gt;",$BT488,$BH488))</f>
        <v/>
      </c>
      <c r="CC488" s="138" t="str">
        <f aca="false">IF($BZ488&lt;&gt;Constants!$B$8,"",IF($AF488,0,Constants!$B$18))</f>
        <v/>
      </c>
      <c r="CD488" s="138" t="str">
        <f aca="false">IF($BZ488&lt;&gt;Constants!$B$8,"",((Constants!$B$31-$AZ488)-Constants!$B$31)/Constants!$B$32)</f>
        <v/>
      </c>
      <c r="CE488" s="138" t="str">
        <f aca="false">IF(ISBLANK($C488),"",IF($BZ488&lt;&gt;Constants!$B$8,$BZ488,SUM($CB488:$CD488)))</f>
        <v/>
      </c>
      <c r="CF488" s="135" t="str">
        <f aca="false">IF(ISBLANK($C488),"",IF($BZ488&lt;&gt;Constants!$B$8,$BZ488,RANK($CE488,$CE$9:$CE$508,1)))</f>
        <v/>
      </c>
      <c r="CG488" s="138" t="str">
        <f aca="false">IF($BZ488&lt;&gt;Constants!$B$8,"",IF($BM488="-&gt;",$BU488,$BI488))</f>
        <v/>
      </c>
      <c r="CH488" s="135" t="str">
        <f aca="false">IF(ISBLANK($C488),"",IF($BZ488&lt;&gt;Constants!$B$8,$BZ488,IF(ISNUMBER($CG488),RANK($CG488,$CG$9:$CG$508,1),COUNT($CG$9:$CG$508)+1)))</f>
        <v/>
      </c>
      <c r="CI488" s="138" t="str">
        <f aca="false">IF($BZ488&lt;&gt;Constants!$B$8,"",IF($BM488="-&gt;",$BV488,$BJ488))</f>
        <v/>
      </c>
      <c r="CJ488" s="135" t="str">
        <f aca="false">IF(ISBLANK($C488),"",IF($BZ488&lt;&gt;Constants!$B$8,$BZ488,IF(ISNUMBER($CI488),RANK($CI488,$CI$9:$CI$508,1),COUNT($CI$9:$CI$508)+1)))</f>
        <v/>
      </c>
      <c r="CK488" s="138" t="str">
        <f aca="false">IF($BZ488&lt;&gt;Constants!$B$8,"",IF($BM488="-&gt;",$BW488,$BK488))</f>
        <v/>
      </c>
      <c r="CL488" s="135" t="str">
        <f aca="false">IF(ISBLANK($C488),"",IF($BZ488&lt;&gt;Constants!$B$8,$BZ488,IF(ISNUMBER($CK488),RANK($CK488,$CK$9:$CK$508,1),COUNT($CK$9:$CK$508)+1)))</f>
        <v/>
      </c>
      <c r="CM488" s="138" t="str">
        <f aca="false">IF($BZ488&lt;&gt;Constants!$B$8,"",IF(AND(NOT($AL488),NOT($AT488),$AJ488,$AK488,$AR488,$AS488),"",IF($BM488="-&gt;",$BX488,$BL488)))</f>
        <v/>
      </c>
      <c r="CN488" s="135" t="str">
        <f aca="false">IF(ISBLANK($C488),"",IF($BZ488&lt;&gt;Constants!$B$8,$BZ488,IF(ISNUMBER($CM488),RANK($CM488,$CM$9:$CM$508,1),COUNT($CM$9:$CM$508)+1)))</f>
        <v/>
      </c>
      <c r="CO488" s="135" t="str">
        <f aca="false">IF(ISBLANK($C488),"",IF($BZ488&lt;&gt;Constants!$B$8,$BZ488,COUNTIFS($CF$9:$CF$508,"&lt;"&amp;$CF488)+COUNTIFS($CF$9:$CF$508,$CF488,$CH$9:$CH$508,"&lt;"&amp;$CH488)+COUNTIFS($CF$9:$CF$508,$CF488,$CH$9:$CH$508,$CH488,$CJ$9:$CJ$508,"&lt;"&amp;$CJ488)+COUNTIFS($CF$9:$CF$508,$CF488,$CH$9:$CH$508,$CH488,$CJ$9:$CJ$508,$CJ488,$CL$9:$CL$508,"&lt;"&amp;$CL488)+COUNTIFS($CF$9:$CF$508,$CF488,$CH$9:$CH$508,$CH488,$CJ$9:$CJ$508,$CJ488,$CL$9:$CL$508,$CL488,$CN$9:$CN$508,"&lt;"&amp;$CN488)+1))</f>
        <v/>
      </c>
      <c r="CP488" s="135" t="str">
        <f aca="false">IF(ISBLANK($C488),"",IF($BZ488&lt;&gt;Constants!$B$8,$BZ488,$CF488-$CO488))</f>
        <v/>
      </c>
      <c r="CQ488" s="141"/>
      <c r="CR488" s="142"/>
      <c r="CS488" s="143" t="str">
        <f aca="false">IF(ISBLANK($C488),"",IF($BZ488=Constants!$B$12,$BY488,""))</f>
        <v/>
      </c>
      <c r="CT488" s="142" t="str">
        <f aca="false">IF(ISBLANK($C488),"",IF($BZ488&lt;&gt;Constants!$B$8,"",IF($BM488="-&gt;",2,1)))</f>
        <v/>
      </c>
      <c r="CU488" s="144" t="str">
        <f aca="false">IF(ISBLANK($C488),"",IF($BZ488&lt;&gt;Constants!$B$8,"",IF($BM488="-&gt;",$BO488,$BC488)))</f>
        <v/>
      </c>
      <c r="CV488" s="144" t="str">
        <f aca="false">IF(ISBLANK($C488),"",IF($BZ488&lt;&gt;Constants!$B$8,"",IF($BM488="-&gt;",$BP488,$BD488)))</f>
        <v/>
      </c>
      <c r="CW488" s="144" t="str">
        <f aca="false">IF(ISBLANK($C488),"",IF($BZ488&lt;&gt;Constants!$B$8,"",IF($BM488="-&gt;",$BQ488+$BR488,$BE488+$BF488)+$CD488))</f>
        <v/>
      </c>
      <c r="CX488" s="144" t="str">
        <f aca="false">IF(ISBLANK($C488),"",IF($BZ488&lt;&gt;Constants!$B$8,"",IF($BM488="-&gt;",$BS488,$BG488)+$CC488))</f>
        <v/>
      </c>
      <c r="CY488" s="145" t="str">
        <f aca="false">IF(ISBLANK($C488),"",IF($BZ488&lt;&gt;Constants!$B$8,$BZ488,$CE488))</f>
        <v/>
      </c>
      <c r="CZ488" s="146" t="str">
        <f aca="false">IF(ISBLANK($C488),"",$CA488)</f>
        <v/>
      </c>
      <c r="DA488" s="147" t="str">
        <f aca="false">IF(ISBLANK($C488),"",$CP488)</f>
        <v/>
      </c>
      <c r="DB488" s="147" t="str">
        <f aca="false">IF(ISBLANK($C488),"",$CO488)</f>
        <v/>
      </c>
      <c r="DC488" s="148" t="str">
        <f aca="false">IF(ISBLANK($C488),"",IFERROR(_xlfn.SWITCH($DB488,Constants!$B$11,COUNTA($C$9:$C$508)+2,Constants!$B$10,COUNTA($C$9:$C$508)+1,Constants!$B$9,COUNTA($C$9:$C$508)),$DB488))</f>
        <v/>
      </c>
      <c r="DD488" s="9"/>
      <c r="DE488" s="149" t="n">
        <f aca="false">IF(OR(ISNUMBER($DB488),$DB488=Constants!$B$11,$DB488=Constants!$B$9,$DB488=Constants!$B$10),1,0)</f>
        <v>0</v>
      </c>
      <c r="DF488" s="149" t="n">
        <v>480</v>
      </c>
      <c r="DG488" s="149" t="str">
        <f aca="false">IF(ISBLANK($C488),"",IF(ISNUMBER($DC488),$DC488+ROW($B488)/1000,""))</f>
        <v/>
      </c>
      <c r="DH488" s="149" t="str">
        <f aca="false">IF(ISNUMBER($DG488),RANK($DG488,$DG$9:$DG$508,1),"")</f>
        <v/>
      </c>
      <c r="DI488" s="149" t="str">
        <f aca="false">IF(ISBLANK($C488),"",$B488)</f>
        <v/>
      </c>
      <c r="DJ488" s="149" t="str">
        <f aca="false">IF(ISBLANK($C488),"",$C488)</f>
        <v/>
      </c>
      <c r="DK488" s="149" t="str">
        <f aca="false">IF(ISBLANK($C488),"",$D488)</f>
        <v/>
      </c>
      <c r="DL488" s="150" t="str">
        <f aca="false">$CZ488</f>
        <v/>
      </c>
      <c r="DM488" s="151" t="str">
        <f aca="false">$CY488</f>
        <v/>
      </c>
      <c r="DN488" s="149" t="str">
        <f aca="false">IF(ISBLANK($C488),"",$DB488)</f>
        <v/>
      </c>
      <c r="DO488" s="152" t="str">
        <f aca="false">IF($DF488&gt;$DE$8,"",VLOOKUP($DF488,$DH$9:$DN$508,7,FALSE()))</f>
        <v/>
      </c>
      <c r="DP488" s="153" t="str">
        <f aca="false">IF($DF488&gt;$DE$8,"",VLOOKUP($DF488,$DH$9:$DN$508,2,FALSE()))</f>
        <v/>
      </c>
      <c r="DQ488" s="153" t="str">
        <f aca="false">IF($DF488&gt;$DE$8,"",VLOOKUP($DF488,$DH$9:$DN$508,3,FALSE()))</f>
        <v/>
      </c>
      <c r="DR488" s="153" t="str">
        <f aca="false">IF($DF488&gt;$DE$8,"",VLOOKUP($DF488,$DH$9:$DN$508,4,FALSE()))</f>
        <v/>
      </c>
      <c r="DS488" s="153" t="str">
        <f aca="false">IF($DF488&gt;$DE$8,"",VLOOKUP($DF488,$DH$9:$DN$508,5,FALSE()))</f>
        <v/>
      </c>
      <c r="DT488" s="154" t="str">
        <f aca="false">IF($DF488&gt;$DE$8,"",VLOOKUP($DF488,$DH$9:$DN$508,6,FALSE()))</f>
        <v/>
      </c>
      <c r="DU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IF(ISBLANK($C489),"",IF(E489=Constants!$B$3,TRUE(),IF(E489=Constants!$B$4,FALSE(),TRUE())))</f>
        <v/>
      </c>
      <c r="AG489" s="93" t="str">
        <f aca="false">IF(ISBLANK($C489),"",IF(F489=Constants!$B$3,TRUE(),IF(F489=Constants!$B$4,FALSE(),TRUE())))</f>
        <v/>
      </c>
      <c r="AH489" s="93" t="str">
        <f aca="false">IF(ISBLANK($C489),"",IF(G489=Constants!$B$3,TRUE(),IF(G489=Constants!$B$4,FALSE(),TRUE())))</f>
        <v/>
      </c>
      <c r="AI489" s="93" t="str">
        <f aca="false">IF(ISBLANK($C489),"",IF(AND(ISNUMBER(H489),H489&gt;=0),H489,Constants!$B$29))</f>
        <v/>
      </c>
      <c r="AJ489" s="93" t="str">
        <f aca="false">IF(ISBLANK($C489),"",IF(I489=Constants!$B$3,TRUE(),IF(I489=Constants!$B$4,FALSE(),TRUE())))</f>
        <v/>
      </c>
      <c r="AK489" s="93" t="str">
        <f aca="false">IF(ISBLANK($C489),"",IF(J489=Constants!$B$3,TRUE(),IF(J489=Constants!$B$4,FALSE(),TRUE())))</f>
        <v/>
      </c>
      <c r="AL489" s="93" t="str">
        <f aca="false">IF(ISBLANK($C489),"",IF(K489=Constants!$B$5,TRUE(),IF(K489=Constants!$B$6,FALSE(),COUNTA(L489:P489)&gt;0)))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IF(ISBLANK($C489),"",IF(N489=Constants!$B$3,TRUE(),IF(N489=Constants!$B$4,FALSE(),TRUE())))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IF(ISBLANK($C489),"",IF(P489=Constants!$B$3,TRUE(),IF(P489=Constants!$B$4,FALSE(),FALSE())))</f>
        <v/>
      </c>
      <c r="AR489" s="93" t="str">
        <f aca="false">IF(ISBLANK($C489),"",IF(Q489=Constants!$B$3,TRUE(),IF(Q489=Constants!$B$4,FALSE(),TRUE())))</f>
        <v/>
      </c>
      <c r="AS489" s="93" t="str">
        <f aca="false">IF(ISBLANK($C489),"",IF(R489=Constants!$B$3,TRUE(),IF(R489=Constants!$B$4,FALSE(),TRUE())))</f>
        <v/>
      </c>
      <c r="AT489" s="93" t="str">
        <f aca="false">IF(ISBLANK($C489),"",IF(S489=Constants!$B$5,TRUE(),IF(S489=Constants!$B$6,FALSE(),COUNTA(T489:X489)&gt;0)))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IF(ISBLANK($C489),"",IF(V489=Constants!$B$3,TRUE(),IF(V489=Constants!$B$4,FALSE(),TRUE())))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IF(ISBLANK($C489),"",IF(X489=Constants!$B$3,TRUE(),IF(X489=Constants!$B$4,FALSE(),FALSE())))</f>
        <v/>
      </c>
      <c r="AZ489" s="93" t="str">
        <f aca="false">IF(ISBLANK($C489),"",MIN(Constants!$B$31,MAX(0,IF(ISNUMBER(Y489),Y489*60,0)+IF(ISNUMBER(Z489),Z489,0))))</f>
        <v/>
      </c>
      <c r="BA489" s="93" t="str">
        <f aca="false">IF(ISBLANK($C489),"",IF(AA489=Constants!$B$3,TRUE(),IF(AA489=Constants!$B$4,FALSE(),FALSE())))</f>
        <v/>
      </c>
      <c r="BB489" s="92" t="str">
        <f aca="false">IF(ISBLANK($C489),"",AND($AL489,OR($AM489="",$AN489="",AND($AO489,$AP489=""))))</f>
        <v/>
      </c>
      <c r="BC489" s="94" t="str">
        <f aca="false">IF($BZ489&lt;&gt;Constants!$B$8,"",IF($AL489,Constants!$B$21*$AN489+Constants!$B$22*IF($AO489,$AP489,Constants!$B$23),Constants!$B$24))</f>
        <v/>
      </c>
      <c r="BD489" s="97" t="str">
        <f aca="false">IF($BZ489&lt;&gt;Constants!$B$8,"",Constants!$B$25*ABS($AD$9-IF($AL489,$AM489,0)))</f>
        <v/>
      </c>
      <c r="BE489" s="97" t="str">
        <f aca="false">IF($BZ489&lt;&gt;Constants!$B$8,"",IF(AND($AL489,$AQ489,$AO489),Constants!$B$27,0))</f>
        <v/>
      </c>
      <c r="BF489" s="97" t="str">
        <f aca="false">IF($BZ489&lt;&gt;Constants!$B$8,"",IF($AL489,($AI489-Constants!$B$29)*Constants!$B$28,0))</f>
        <v/>
      </c>
      <c r="BG489" s="97" t="str">
        <f aca="false">IF($BZ489&lt;&gt;Constants!$B$8,"",IF($AK489,0,Constants!$B$15)+IF($AJ489,0,Constants!$B$16)+IF($AH489,0,Constants!$B$17))</f>
        <v/>
      </c>
      <c r="BH489" s="98" t="str">
        <f aca="false">IF($BZ489&lt;&gt;Constants!$B$8,"",Constants!$B$20+SUM($BC489:$BG489))</f>
        <v/>
      </c>
      <c r="BI489" s="97" t="str">
        <f aca="false">IF($BZ489&lt;&gt;Constants!$B$8,"",$BC489)</f>
        <v/>
      </c>
      <c r="BJ489" s="97" t="str">
        <f aca="false">IF($BZ489&lt;&gt;Constants!$B$8,"",$BD489)</f>
        <v/>
      </c>
      <c r="BK489" s="97" t="str">
        <f aca="false">IF($BZ489&lt;&gt;Constants!$B$8,"",IF($AL489,$AN489,""))</f>
        <v/>
      </c>
      <c r="BL489" s="99" t="str">
        <f aca="false">IF($BZ489&lt;&gt;Constants!$B$8,"",$AI489)</f>
        <v/>
      </c>
      <c r="BM489" s="93" t="str">
        <f aca="false">IF($BZ489&lt;&gt;Constants!$B$8,"",IF(OR($BT489&lt;$BH489,AND($BT489=$BH489,OR($BU489&lt;$BI489,AND($BU489=$BI489,OR($BV489&lt;$BJ489,AND($BV489=$BJ489,OR(AND(ISNUMBER($BW489),OR(NOT(ISNUMBER($BK489)),$BW489&lt;$BK489)),AND(OR(AND($BW489="",$BK489=""),AND(ISNUMBER($BW489),ISNUMBER($BK489),$BW489=$BK489)),$BX489&lt;$BL489)))))))),"-&gt;","&lt;-"))</f>
        <v/>
      </c>
      <c r="BN489" s="92" t="str">
        <f aca="false">IF(ISBLANK($C489),"",AND($AT489,OR($AU489="",$AV489="",AND($AW489,$AX489=""))))</f>
        <v/>
      </c>
      <c r="BO489" s="94" t="str">
        <f aca="false">IF($BZ489&lt;&gt;Constants!$B$8,"",IF($AT489,Constants!$B$21*$AV489+Constants!$B$22*IF($AW489,$AX489,Constants!$B$23),Constants!$B$24))</f>
        <v/>
      </c>
      <c r="BP489" s="97" t="str">
        <f aca="false">IF($BZ489&lt;&gt;Constants!$B$8,"",Constants!$B$25*ABS($AD$9-IF($AT489,$AU489,0)))</f>
        <v/>
      </c>
      <c r="BQ489" s="97" t="str">
        <f aca="false">IF($BZ489&lt;&gt;Constants!$B$8,"",IF(AND($AT489,$AY489,$AW489),Constants!$B$27,0))</f>
        <v/>
      </c>
      <c r="BR489" s="97" t="str">
        <f aca="false">IF($BZ489&lt;&gt;Constants!$B$8,"",IF($AT489,($AI489-Constants!$B$29)*Constants!$B$28,0))</f>
        <v/>
      </c>
      <c r="BS489" s="97" t="str">
        <f aca="false">IF($BZ489&lt;&gt;Constants!$B$8,"",IF($AS489,0,Constants!$B$15)+IF($AR489,0,Constants!$B$16)+IF($AH489,0,Constants!$B$17))</f>
        <v/>
      </c>
      <c r="BT489" s="98" t="str">
        <f aca="false">IF($BZ489&lt;&gt;Constants!$B$8,"",Constants!$B$20+SUM($BO489:$BS489))</f>
        <v/>
      </c>
      <c r="BU489" s="97" t="str">
        <f aca="false">IF($BZ489&lt;&gt;Constants!$B$8,"",$BO489)</f>
        <v/>
      </c>
      <c r="BV489" s="97" t="str">
        <f aca="false">IF($BZ489&lt;&gt;Constants!$B$8,"",$BP489)</f>
        <v/>
      </c>
      <c r="BW489" s="97" t="str">
        <f aca="false">IF($BZ489&lt;&gt;Constants!$B$8,"",IF($AT489,$AV489,""))</f>
        <v/>
      </c>
      <c r="BX489" s="99" t="str">
        <f aca="false">IF($BZ489&lt;&gt;Constants!$B$8,"",$AI489)</f>
        <v/>
      </c>
      <c r="BY489" s="93" t="str">
        <f aca="false">IF(ISBLANK($C489),"",IF(ISBLANK($D$7),$BY$5,IF(NOT(ISNUMBER($D$7)),$BY$6,"")))</f>
        <v/>
      </c>
      <c r="BZ489" s="93" t="str">
        <f aca="false">IF(ISBLANK($C489),"",IF($BA489,Constants!$B$11,IF(COUNTA($E489:$AA489)=0,Constants!$B$10,IF(NOT($AG489),Constants!$B$9,IF(OR($BY489&lt;&gt;"",$BB489,$BN489),Constants!$B$12,Constants!$B$8)))))</f>
        <v/>
      </c>
      <c r="CA489" s="93" t="str">
        <f aca="false">IF(ISBLANK($C489),"",IF($BZ489&lt;&gt;Constants!$B$8,$BZ489,Constants!$B$13))</f>
        <v/>
      </c>
      <c r="CB489" s="97" t="str">
        <f aca="false">IF($BZ489&lt;&gt;Constants!$B$8,"",IF($BM489="-&gt;",$BT489,$BH489))</f>
        <v/>
      </c>
      <c r="CC489" s="97" t="str">
        <f aca="false">IF($BZ489&lt;&gt;Constants!$B$8,"",IF($AF489,0,Constants!$B$18))</f>
        <v/>
      </c>
      <c r="CD489" s="97" t="str">
        <f aca="false">IF($BZ489&lt;&gt;Constants!$B$8,"",((Constants!$B$31-$AZ489)-Constants!$B$31)/Constants!$B$32)</f>
        <v/>
      </c>
      <c r="CE489" s="97" t="str">
        <f aca="false">IF(ISBLANK($C489),"",IF($BZ489&lt;&gt;Constants!$B$8,$BZ489,SUM($CB489:$CD489)))</f>
        <v/>
      </c>
      <c r="CF489" s="93" t="str">
        <f aca="false">IF(ISBLANK($C489),"",IF($BZ489&lt;&gt;Constants!$B$8,$BZ489,RANK($CE489,$CE$9:$CE$508,1)))</f>
        <v/>
      </c>
      <c r="CG489" s="97" t="str">
        <f aca="false">IF($BZ489&lt;&gt;Constants!$B$8,"",IF($BM489="-&gt;",$BU489,$BI489))</f>
        <v/>
      </c>
      <c r="CH489" s="93" t="str">
        <f aca="false">IF(ISBLANK($C489),"",IF($BZ489&lt;&gt;Constants!$B$8,$BZ489,IF(ISNUMBER($CG489),RANK($CG489,$CG$9:$CG$508,1),COUNT($CG$9:$CG$508)+1)))</f>
        <v/>
      </c>
      <c r="CI489" s="97" t="str">
        <f aca="false">IF($BZ489&lt;&gt;Constants!$B$8,"",IF($BM489="-&gt;",$BV489,$BJ489))</f>
        <v/>
      </c>
      <c r="CJ489" s="93" t="str">
        <f aca="false">IF(ISBLANK($C489),"",IF($BZ489&lt;&gt;Constants!$B$8,$BZ489,IF(ISNUMBER($CI489),RANK($CI489,$CI$9:$CI$508,1),COUNT($CI$9:$CI$508)+1)))</f>
        <v/>
      </c>
      <c r="CK489" s="97" t="str">
        <f aca="false">IF($BZ489&lt;&gt;Constants!$B$8,"",IF($BM489="-&gt;",$BW489,$BK489))</f>
        <v/>
      </c>
      <c r="CL489" s="93" t="str">
        <f aca="false">IF(ISBLANK($C489),"",IF($BZ489&lt;&gt;Constants!$B$8,$BZ489,IF(ISNUMBER($CK489),RANK($CK489,$CK$9:$CK$508,1),COUNT($CK$9:$CK$508)+1)))</f>
        <v/>
      </c>
      <c r="CM489" s="97" t="str">
        <f aca="false">IF($BZ489&lt;&gt;Constants!$B$8,"",IF(AND(NOT($AL489),NOT($AT489),$AJ489,$AK489,$AR489,$AS489),"",IF($BM489="-&gt;",$BX489,$BL489)))</f>
        <v/>
      </c>
      <c r="CN489" s="93" t="str">
        <f aca="false">IF(ISBLANK($C489),"",IF($BZ489&lt;&gt;Constants!$B$8,$BZ489,IF(ISNUMBER($CM489),RANK($CM489,$CM$9:$CM$508,1),COUNT($CM$9:$CM$508)+1)))</f>
        <v/>
      </c>
      <c r="CO489" s="93" t="str">
        <f aca="false">IF(ISBLANK($C489),"",IF($BZ489&lt;&gt;Constants!$B$8,$BZ489,COUNTIFS($CF$9:$CF$508,"&lt;"&amp;$CF489)+COUNTIFS($CF$9:$CF$508,$CF489,$CH$9:$CH$508,"&lt;"&amp;$CH489)+COUNTIFS($CF$9:$CF$508,$CF489,$CH$9:$CH$508,$CH489,$CJ$9:$CJ$508,"&lt;"&amp;$CJ489)+COUNTIFS($CF$9:$CF$508,$CF489,$CH$9:$CH$508,$CH489,$CJ$9:$CJ$508,$CJ489,$CL$9:$CL$508,"&lt;"&amp;$CL489)+COUNTIFS($CF$9:$CF$508,$CF489,$CH$9:$CH$508,$CH489,$CJ$9:$CJ$508,$CJ489,$CL$9:$CL$508,$CL489,$CN$9:$CN$508,"&lt;"&amp;$CN489)+1))</f>
        <v/>
      </c>
      <c r="CP489" s="93" t="str">
        <f aca="false">IF(ISBLANK($C489),"",IF($BZ489&lt;&gt;Constants!$B$8,$BZ489,$CF489-$CO489))</f>
        <v/>
      </c>
      <c r="CQ489" s="100"/>
      <c r="CR489" s="101"/>
      <c r="CS489" s="102" t="str">
        <f aca="false">IF(ISBLANK($C489),"",IF($BZ489=Constants!$B$12,$BY489,""))</f>
        <v/>
      </c>
      <c r="CT489" s="101" t="str">
        <f aca="false">IF(ISBLANK($C489),"",IF($BZ489&lt;&gt;Constants!$B$8,"",IF($BM489="-&gt;",2,1)))</f>
        <v/>
      </c>
      <c r="CU489" s="103" t="str">
        <f aca="false">IF(ISBLANK($C489),"",IF($BZ489&lt;&gt;Constants!$B$8,"",IF($BM489="-&gt;",$BO489,$BC489)))</f>
        <v/>
      </c>
      <c r="CV489" s="103" t="str">
        <f aca="false">IF(ISBLANK($C489),"",IF($BZ489&lt;&gt;Constants!$B$8,"",IF($BM489="-&gt;",$BP489,$BD489)))</f>
        <v/>
      </c>
      <c r="CW489" s="103" t="str">
        <f aca="false">IF(ISBLANK($C489),"",IF($BZ489&lt;&gt;Constants!$B$8,"",IF($BM489="-&gt;",$BQ489+$BR489,$BE489+$BF489)+$CD489))</f>
        <v/>
      </c>
      <c r="CX489" s="103" t="str">
        <f aca="false">IF(ISBLANK($C489),"",IF($BZ489&lt;&gt;Constants!$B$8,"",IF($BM489="-&gt;",$BS489,$BG489)+$CC489))</f>
        <v/>
      </c>
      <c r="CY489" s="104" t="str">
        <f aca="false">IF(ISBLANK($C489),"",IF($BZ489&lt;&gt;Constants!$B$8,$BZ489,$CE489))</f>
        <v/>
      </c>
      <c r="CZ489" s="105" t="str">
        <f aca="false">IF(ISBLANK($C489),"",$CA489)</f>
        <v/>
      </c>
      <c r="DA489" s="106" t="str">
        <f aca="false">IF(ISBLANK($C489),"",$CP489)</f>
        <v/>
      </c>
      <c r="DB489" s="106" t="str">
        <f aca="false">IF(ISBLANK($C489),"",$CO489)</f>
        <v/>
      </c>
      <c r="DC489" s="107" t="str">
        <f aca="false">IF(ISBLANK($C489),"",IFERROR(_xlfn.SWITCH($DB489,Constants!$B$11,COUNTA($C$9:$C$508)+2,Constants!$B$10,COUNTA($C$9:$C$508)+1,Constants!$B$9,COUNTA($C$9:$C$508)),$DB489))</f>
        <v/>
      </c>
      <c r="DD489" s="9"/>
      <c r="DE489" s="108" t="n">
        <f aca="false">IF(OR(ISNUMBER($DB489),$DB489=Constants!$B$11,$DB489=Constants!$B$9,$DB489=Constants!$B$10),1,0)</f>
        <v>0</v>
      </c>
      <c r="DF489" s="108" t="n">
        <v>481</v>
      </c>
      <c r="DG489" s="108" t="str">
        <f aca="false">IF(ISBLANK($C489),"",IF(ISNUMBER($DC489),$DC489+ROW($B489)/1000,""))</f>
        <v/>
      </c>
      <c r="DH489" s="108" t="str">
        <f aca="false">IF(ISNUMBER($DG489),RANK($DG489,$DG$9:$DG$508,1),"")</f>
        <v/>
      </c>
      <c r="DI489" s="108" t="str">
        <f aca="false">IF(ISBLANK($C489),"",$B489)</f>
        <v/>
      </c>
      <c r="DJ489" s="108" t="str">
        <f aca="false">IF(ISBLANK($C489),"",$C489)</f>
        <v/>
      </c>
      <c r="DK489" s="108" t="str">
        <f aca="false">IF(ISBLANK($C489),"",$D489)</f>
        <v/>
      </c>
      <c r="DL489" s="109" t="str">
        <f aca="false">$CZ489</f>
        <v/>
      </c>
      <c r="DM489" s="110" t="str">
        <f aca="false">$CY489</f>
        <v/>
      </c>
      <c r="DN489" s="108" t="str">
        <f aca="false">IF(ISBLANK($C489),"",$DB489)</f>
        <v/>
      </c>
      <c r="DO489" s="111" t="str">
        <f aca="false">IF($DF489&gt;$DE$8,"",VLOOKUP($DF489,$DH$9:$DN$508,7,FALSE()))</f>
        <v/>
      </c>
      <c r="DP489" s="112" t="str">
        <f aca="false">IF($DF489&gt;$DE$8,"",VLOOKUP($DF489,$DH$9:$DN$508,2,FALSE()))</f>
        <v/>
      </c>
      <c r="DQ489" s="112" t="str">
        <f aca="false">IF($DF489&gt;$DE$8,"",VLOOKUP($DF489,$DH$9:$DN$508,3,FALSE()))</f>
        <v/>
      </c>
      <c r="DR489" s="112" t="str">
        <f aca="false">IF($DF489&gt;$DE$8,"",VLOOKUP($DF489,$DH$9:$DN$508,4,FALSE()))</f>
        <v/>
      </c>
      <c r="DS489" s="112" t="str">
        <f aca="false">IF($DF489&gt;$DE$8,"",VLOOKUP($DF489,$DH$9:$DN$508,5,FALSE()))</f>
        <v/>
      </c>
      <c r="DT489" s="113" t="str">
        <f aca="false">IF($DF489&gt;$DE$8,"",VLOOKUP($DF489,$DH$9:$DN$508,6,FALSE()))</f>
        <v/>
      </c>
      <c r="DU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IF(ISBLANK($C490),"",IF(E490=Constants!$B$3,TRUE(),IF(E490=Constants!$B$4,FALSE(),TRUE())))</f>
        <v/>
      </c>
      <c r="AG490" s="93" t="str">
        <f aca="false">IF(ISBLANK($C490),"",IF(F490=Constants!$B$3,TRUE(),IF(F490=Constants!$B$4,FALSE(),TRUE())))</f>
        <v/>
      </c>
      <c r="AH490" s="93" t="str">
        <f aca="false">IF(ISBLANK($C490),"",IF(G490=Constants!$B$3,TRUE(),IF(G490=Constants!$B$4,FALSE(),TRUE())))</f>
        <v/>
      </c>
      <c r="AI490" s="93" t="str">
        <f aca="false">IF(ISBLANK($C490),"",IF(AND(ISNUMBER(H490),H490&gt;=0),H490,Constants!$B$29))</f>
        <v/>
      </c>
      <c r="AJ490" s="93" t="str">
        <f aca="false">IF(ISBLANK($C490),"",IF(I490=Constants!$B$3,TRUE(),IF(I490=Constants!$B$4,FALSE(),TRUE())))</f>
        <v/>
      </c>
      <c r="AK490" s="93" t="str">
        <f aca="false">IF(ISBLANK($C490),"",IF(J490=Constants!$B$3,TRUE(),IF(J490=Constants!$B$4,FALSE(),TRUE())))</f>
        <v/>
      </c>
      <c r="AL490" s="93" t="str">
        <f aca="false">IF(ISBLANK($C490),"",IF(K490=Constants!$B$5,TRUE(),IF(K490=Constants!$B$6,FALSE(),COUNTA(L490:P490)&gt;0)))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IF(ISBLANK($C490),"",IF(N490=Constants!$B$3,TRUE(),IF(N490=Constants!$B$4,FALSE(),TRUE())))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IF(ISBLANK($C490),"",IF(P490=Constants!$B$3,TRUE(),IF(P490=Constants!$B$4,FALSE(),FALSE())))</f>
        <v/>
      </c>
      <c r="AR490" s="93" t="str">
        <f aca="false">IF(ISBLANK($C490),"",IF(Q490=Constants!$B$3,TRUE(),IF(Q490=Constants!$B$4,FALSE(),TRUE())))</f>
        <v/>
      </c>
      <c r="AS490" s="93" t="str">
        <f aca="false">IF(ISBLANK($C490),"",IF(R490=Constants!$B$3,TRUE(),IF(R490=Constants!$B$4,FALSE(),TRUE())))</f>
        <v/>
      </c>
      <c r="AT490" s="93" t="str">
        <f aca="false">IF(ISBLANK($C490),"",IF(S490=Constants!$B$5,TRUE(),IF(S490=Constants!$B$6,FALSE(),COUNTA(T490:X490)&gt;0)))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IF(ISBLANK($C490),"",IF(V490=Constants!$B$3,TRUE(),IF(V490=Constants!$B$4,FALSE(),TRUE())))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IF(ISBLANK($C490),"",IF(X490=Constants!$B$3,TRUE(),IF(X490=Constants!$B$4,FALSE(),FALSE())))</f>
        <v/>
      </c>
      <c r="AZ490" s="93" t="str">
        <f aca="false">IF(ISBLANK($C490),"",MIN(Constants!$B$31,MAX(0,IF(ISNUMBER(Y490),Y490*60,0)+IF(ISNUMBER(Z490),Z490,0))))</f>
        <v/>
      </c>
      <c r="BA490" s="93" t="str">
        <f aca="false">IF(ISBLANK($C490),"",IF(AA490=Constants!$B$3,TRUE(),IF(AA490=Constants!$B$4,FALSE(),FALSE())))</f>
        <v/>
      </c>
      <c r="BB490" s="92" t="str">
        <f aca="false">IF(ISBLANK($C490),"",AND($AL490,OR($AM490="",$AN490="",AND($AO490,$AP490=""))))</f>
        <v/>
      </c>
      <c r="BC490" s="94" t="str">
        <f aca="false">IF($BZ490&lt;&gt;Constants!$B$8,"",IF($AL490,Constants!$B$21*$AN490+Constants!$B$22*IF($AO490,$AP490,Constants!$B$23),Constants!$B$24))</f>
        <v/>
      </c>
      <c r="BD490" s="97" t="str">
        <f aca="false">IF($BZ490&lt;&gt;Constants!$B$8,"",Constants!$B$25*ABS($AD$9-IF($AL490,$AM490,0)))</f>
        <v/>
      </c>
      <c r="BE490" s="97" t="str">
        <f aca="false">IF($BZ490&lt;&gt;Constants!$B$8,"",IF(AND($AL490,$AQ490,$AO490),Constants!$B$27,0))</f>
        <v/>
      </c>
      <c r="BF490" s="97" t="str">
        <f aca="false">IF($BZ490&lt;&gt;Constants!$B$8,"",IF($AL490,($AI490-Constants!$B$29)*Constants!$B$28,0))</f>
        <v/>
      </c>
      <c r="BG490" s="97" t="str">
        <f aca="false">IF($BZ490&lt;&gt;Constants!$B$8,"",IF($AK490,0,Constants!$B$15)+IF($AJ490,0,Constants!$B$16)+IF($AH490,0,Constants!$B$17))</f>
        <v/>
      </c>
      <c r="BH490" s="98" t="str">
        <f aca="false">IF($BZ490&lt;&gt;Constants!$B$8,"",Constants!$B$20+SUM($BC490:$BG490))</f>
        <v/>
      </c>
      <c r="BI490" s="97" t="str">
        <f aca="false">IF($BZ490&lt;&gt;Constants!$B$8,"",$BC490)</f>
        <v/>
      </c>
      <c r="BJ490" s="97" t="str">
        <f aca="false">IF($BZ490&lt;&gt;Constants!$B$8,"",$BD490)</f>
        <v/>
      </c>
      <c r="BK490" s="97" t="str">
        <f aca="false">IF($BZ490&lt;&gt;Constants!$B$8,"",IF($AL490,$AN490,""))</f>
        <v/>
      </c>
      <c r="BL490" s="99" t="str">
        <f aca="false">IF($BZ490&lt;&gt;Constants!$B$8,"",$AI490)</f>
        <v/>
      </c>
      <c r="BM490" s="93" t="str">
        <f aca="false">IF($BZ490&lt;&gt;Constants!$B$8,"",IF(OR($BT490&lt;$BH490,AND($BT490=$BH490,OR($BU490&lt;$BI490,AND($BU490=$BI490,OR($BV490&lt;$BJ490,AND($BV490=$BJ490,OR(AND(ISNUMBER($BW490),OR(NOT(ISNUMBER($BK490)),$BW490&lt;$BK490)),AND(OR(AND($BW490="",$BK490=""),AND(ISNUMBER($BW490),ISNUMBER($BK490),$BW490=$BK490)),$BX490&lt;$BL490)))))))),"-&gt;","&lt;-"))</f>
        <v/>
      </c>
      <c r="BN490" s="92" t="str">
        <f aca="false">IF(ISBLANK($C490),"",AND($AT490,OR($AU490="",$AV490="",AND($AW490,$AX490=""))))</f>
        <v/>
      </c>
      <c r="BO490" s="94" t="str">
        <f aca="false">IF($BZ490&lt;&gt;Constants!$B$8,"",IF($AT490,Constants!$B$21*$AV490+Constants!$B$22*IF($AW490,$AX490,Constants!$B$23),Constants!$B$24))</f>
        <v/>
      </c>
      <c r="BP490" s="97" t="str">
        <f aca="false">IF($BZ490&lt;&gt;Constants!$B$8,"",Constants!$B$25*ABS($AD$9-IF($AT490,$AU490,0)))</f>
        <v/>
      </c>
      <c r="BQ490" s="97" t="str">
        <f aca="false">IF($BZ490&lt;&gt;Constants!$B$8,"",IF(AND($AT490,$AY490,$AW490),Constants!$B$27,0))</f>
        <v/>
      </c>
      <c r="BR490" s="97" t="str">
        <f aca="false">IF($BZ490&lt;&gt;Constants!$B$8,"",IF($AT490,($AI490-Constants!$B$29)*Constants!$B$28,0))</f>
        <v/>
      </c>
      <c r="BS490" s="97" t="str">
        <f aca="false">IF($BZ490&lt;&gt;Constants!$B$8,"",IF($AS490,0,Constants!$B$15)+IF($AR490,0,Constants!$B$16)+IF($AH490,0,Constants!$B$17))</f>
        <v/>
      </c>
      <c r="BT490" s="98" t="str">
        <f aca="false">IF($BZ490&lt;&gt;Constants!$B$8,"",Constants!$B$20+SUM($BO490:$BS490))</f>
        <v/>
      </c>
      <c r="BU490" s="97" t="str">
        <f aca="false">IF($BZ490&lt;&gt;Constants!$B$8,"",$BO490)</f>
        <v/>
      </c>
      <c r="BV490" s="97" t="str">
        <f aca="false">IF($BZ490&lt;&gt;Constants!$B$8,"",$BP490)</f>
        <v/>
      </c>
      <c r="BW490" s="97" t="str">
        <f aca="false">IF($BZ490&lt;&gt;Constants!$B$8,"",IF($AT490,$AV490,""))</f>
        <v/>
      </c>
      <c r="BX490" s="99" t="str">
        <f aca="false">IF($BZ490&lt;&gt;Constants!$B$8,"",$AI490)</f>
        <v/>
      </c>
      <c r="BY490" s="93" t="str">
        <f aca="false">IF(ISBLANK($C490),"",IF(ISBLANK($D$7),$BY$5,IF(NOT(ISNUMBER($D$7)),$BY$6,"")))</f>
        <v/>
      </c>
      <c r="BZ490" s="93" t="str">
        <f aca="false">IF(ISBLANK($C490),"",IF($BA490,Constants!$B$11,IF(COUNTA($E490:$AA490)=0,Constants!$B$10,IF(NOT($AG490),Constants!$B$9,IF(OR($BY490&lt;&gt;"",$BB490,$BN490),Constants!$B$12,Constants!$B$8)))))</f>
        <v/>
      </c>
      <c r="CA490" s="93" t="str">
        <f aca="false">IF(ISBLANK($C490),"",IF($BZ490&lt;&gt;Constants!$B$8,$BZ490,Constants!$B$13))</f>
        <v/>
      </c>
      <c r="CB490" s="97" t="str">
        <f aca="false">IF($BZ490&lt;&gt;Constants!$B$8,"",IF($BM490="-&gt;",$BT490,$BH490))</f>
        <v/>
      </c>
      <c r="CC490" s="97" t="str">
        <f aca="false">IF($BZ490&lt;&gt;Constants!$B$8,"",IF($AF490,0,Constants!$B$18))</f>
        <v/>
      </c>
      <c r="CD490" s="97" t="str">
        <f aca="false">IF($BZ490&lt;&gt;Constants!$B$8,"",((Constants!$B$31-$AZ490)-Constants!$B$31)/Constants!$B$32)</f>
        <v/>
      </c>
      <c r="CE490" s="97" t="str">
        <f aca="false">IF(ISBLANK($C490),"",IF($BZ490&lt;&gt;Constants!$B$8,$BZ490,SUM($CB490:$CD490)))</f>
        <v/>
      </c>
      <c r="CF490" s="93" t="str">
        <f aca="false">IF(ISBLANK($C490),"",IF($BZ490&lt;&gt;Constants!$B$8,$BZ490,RANK($CE490,$CE$9:$CE$508,1)))</f>
        <v/>
      </c>
      <c r="CG490" s="97" t="str">
        <f aca="false">IF($BZ490&lt;&gt;Constants!$B$8,"",IF($BM490="-&gt;",$BU490,$BI490))</f>
        <v/>
      </c>
      <c r="CH490" s="93" t="str">
        <f aca="false">IF(ISBLANK($C490),"",IF($BZ490&lt;&gt;Constants!$B$8,$BZ490,IF(ISNUMBER($CG490),RANK($CG490,$CG$9:$CG$508,1),COUNT($CG$9:$CG$508)+1)))</f>
        <v/>
      </c>
      <c r="CI490" s="97" t="str">
        <f aca="false">IF($BZ490&lt;&gt;Constants!$B$8,"",IF($BM490="-&gt;",$BV490,$BJ490))</f>
        <v/>
      </c>
      <c r="CJ490" s="93" t="str">
        <f aca="false">IF(ISBLANK($C490),"",IF($BZ490&lt;&gt;Constants!$B$8,$BZ490,IF(ISNUMBER($CI490),RANK($CI490,$CI$9:$CI$508,1),COUNT($CI$9:$CI$508)+1)))</f>
        <v/>
      </c>
      <c r="CK490" s="97" t="str">
        <f aca="false">IF($BZ490&lt;&gt;Constants!$B$8,"",IF($BM490="-&gt;",$BW490,$BK490))</f>
        <v/>
      </c>
      <c r="CL490" s="93" t="str">
        <f aca="false">IF(ISBLANK($C490),"",IF($BZ490&lt;&gt;Constants!$B$8,$BZ490,IF(ISNUMBER($CK490),RANK($CK490,$CK$9:$CK$508,1),COUNT($CK$9:$CK$508)+1)))</f>
        <v/>
      </c>
      <c r="CM490" s="97" t="str">
        <f aca="false">IF($BZ490&lt;&gt;Constants!$B$8,"",IF(AND(NOT($AL490),NOT($AT490),$AJ490,$AK490,$AR490,$AS490),"",IF($BM490="-&gt;",$BX490,$BL490)))</f>
        <v/>
      </c>
      <c r="CN490" s="93" t="str">
        <f aca="false">IF(ISBLANK($C490),"",IF($BZ490&lt;&gt;Constants!$B$8,$BZ490,IF(ISNUMBER($CM490),RANK($CM490,$CM$9:$CM$508,1),COUNT($CM$9:$CM$508)+1)))</f>
        <v/>
      </c>
      <c r="CO490" s="93" t="str">
        <f aca="false">IF(ISBLANK($C490),"",IF($BZ490&lt;&gt;Constants!$B$8,$BZ490,COUNTIFS($CF$9:$CF$508,"&lt;"&amp;$CF490)+COUNTIFS($CF$9:$CF$508,$CF490,$CH$9:$CH$508,"&lt;"&amp;$CH490)+COUNTIFS($CF$9:$CF$508,$CF490,$CH$9:$CH$508,$CH490,$CJ$9:$CJ$508,"&lt;"&amp;$CJ490)+COUNTIFS($CF$9:$CF$508,$CF490,$CH$9:$CH$508,$CH490,$CJ$9:$CJ$508,$CJ490,$CL$9:$CL$508,"&lt;"&amp;$CL490)+COUNTIFS($CF$9:$CF$508,$CF490,$CH$9:$CH$508,$CH490,$CJ$9:$CJ$508,$CJ490,$CL$9:$CL$508,$CL490,$CN$9:$CN$508,"&lt;"&amp;$CN490)+1))</f>
        <v/>
      </c>
      <c r="CP490" s="93" t="str">
        <f aca="false">IF(ISBLANK($C490),"",IF($BZ490&lt;&gt;Constants!$B$8,$BZ490,$CF490-$CO490))</f>
        <v/>
      </c>
      <c r="CQ490" s="100"/>
      <c r="CR490" s="101"/>
      <c r="CS490" s="102" t="str">
        <f aca="false">IF(ISBLANK($C490),"",IF($BZ490=Constants!$B$12,$BY490,""))</f>
        <v/>
      </c>
      <c r="CT490" s="101" t="str">
        <f aca="false">IF(ISBLANK($C490),"",IF($BZ490&lt;&gt;Constants!$B$8,"",IF($BM490="-&gt;",2,1)))</f>
        <v/>
      </c>
      <c r="CU490" s="103" t="str">
        <f aca="false">IF(ISBLANK($C490),"",IF($BZ490&lt;&gt;Constants!$B$8,"",IF($BM490="-&gt;",$BO490,$BC490)))</f>
        <v/>
      </c>
      <c r="CV490" s="103" t="str">
        <f aca="false">IF(ISBLANK($C490),"",IF($BZ490&lt;&gt;Constants!$B$8,"",IF($BM490="-&gt;",$BP490,$BD490)))</f>
        <v/>
      </c>
      <c r="CW490" s="103" t="str">
        <f aca="false">IF(ISBLANK($C490),"",IF($BZ490&lt;&gt;Constants!$B$8,"",IF($BM490="-&gt;",$BQ490+$BR490,$BE490+$BF490)+$CD490))</f>
        <v/>
      </c>
      <c r="CX490" s="103" t="str">
        <f aca="false">IF(ISBLANK($C490),"",IF($BZ490&lt;&gt;Constants!$B$8,"",IF($BM490="-&gt;",$BS490,$BG490)+$CC490))</f>
        <v/>
      </c>
      <c r="CY490" s="104" t="str">
        <f aca="false">IF(ISBLANK($C490),"",IF($BZ490&lt;&gt;Constants!$B$8,$BZ490,$CE490))</f>
        <v/>
      </c>
      <c r="CZ490" s="105" t="str">
        <f aca="false">IF(ISBLANK($C490),"",$CA490)</f>
        <v/>
      </c>
      <c r="DA490" s="106" t="str">
        <f aca="false">IF(ISBLANK($C490),"",$CP490)</f>
        <v/>
      </c>
      <c r="DB490" s="106" t="str">
        <f aca="false">IF(ISBLANK($C490),"",$CO490)</f>
        <v/>
      </c>
      <c r="DC490" s="107" t="str">
        <f aca="false">IF(ISBLANK($C490),"",IFERROR(_xlfn.SWITCH($DB490,Constants!$B$11,COUNTA($C$9:$C$508)+2,Constants!$B$10,COUNTA($C$9:$C$508)+1,Constants!$B$9,COUNTA($C$9:$C$508)),$DB490))</f>
        <v/>
      </c>
      <c r="DD490" s="9"/>
      <c r="DE490" s="108" t="n">
        <f aca="false">IF(OR(ISNUMBER($DB490),$DB490=Constants!$B$11,$DB490=Constants!$B$9,$DB490=Constants!$B$10),1,0)</f>
        <v>0</v>
      </c>
      <c r="DF490" s="108" t="n">
        <v>482</v>
      </c>
      <c r="DG490" s="108" t="str">
        <f aca="false">IF(ISBLANK($C490),"",IF(ISNUMBER($DC490),$DC490+ROW($B490)/1000,""))</f>
        <v/>
      </c>
      <c r="DH490" s="108" t="str">
        <f aca="false">IF(ISNUMBER($DG490),RANK($DG490,$DG$9:$DG$508,1),"")</f>
        <v/>
      </c>
      <c r="DI490" s="108" t="str">
        <f aca="false">IF(ISBLANK($C490),"",$B490)</f>
        <v/>
      </c>
      <c r="DJ490" s="108" t="str">
        <f aca="false">IF(ISBLANK($C490),"",$C490)</f>
        <v/>
      </c>
      <c r="DK490" s="108" t="str">
        <f aca="false">IF(ISBLANK($C490),"",$D490)</f>
        <v/>
      </c>
      <c r="DL490" s="109" t="str">
        <f aca="false">$CZ490</f>
        <v/>
      </c>
      <c r="DM490" s="110" t="str">
        <f aca="false">$CY490</f>
        <v/>
      </c>
      <c r="DN490" s="108" t="str">
        <f aca="false">IF(ISBLANK($C490),"",$DB490)</f>
        <v/>
      </c>
      <c r="DO490" s="111" t="str">
        <f aca="false">IF($DF490&gt;$DE$8,"",VLOOKUP($DF490,$DH$9:$DN$508,7,FALSE()))</f>
        <v/>
      </c>
      <c r="DP490" s="112" t="str">
        <f aca="false">IF($DF490&gt;$DE$8,"",VLOOKUP($DF490,$DH$9:$DN$508,2,FALSE()))</f>
        <v/>
      </c>
      <c r="DQ490" s="112" t="str">
        <f aca="false">IF($DF490&gt;$DE$8,"",VLOOKUP($DF490,$DH$9:$DN$508,3,FALSE()))</f>
        <v/>
      </c>
      <c r="DR490" s="112" t="str">
        <f aca="false">IF($DF490&gt;$DE$8,"",VLOOKUP($DF490,$DH$9:$DN$508,4,FALSE()))</f>
        <v/>
      </c>
      <c r="DS490" s="112" t="str">
        <f aca="false">IF($DF490&gt;$DE$8,"",VLOOKUP($DF490,$DH$9:$DN$508,5,FALSE()))</f>
        <v/>
      </c>
      <c r="DT490" s="113" t="str">
        <f aca="false">IF($DF490&gt;$DE$8,"",VLOOKUP($DF490,$DH$9:$DN$508,6,FALSE()))</f>
        <v/>
      </c>
      <c r="DU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IF(ISBLANK($C491),"",IF(E491=Constants!$B$3,TRUE(),IF(E491=Constants!$B$4,FALSE(),TRUE())))</f>
        <v/>
      </c>
      <c r="AG491" s="93" t="str">
        <f aca="false">IF(ISBLANK($C491),"",IF(F491=Constants!$B$3,TRUE(),IF(F491=Constants!$B$4,FALSE(),TRUE())))</f>
        <v/>
      </c>
      <c r="AH491" s="93" t="str">
        <f aca="false">IF(ISBLANK($C491),"",IF(G491=Constants!$B$3,TRUE(),IF(G491=Constants!$B$4,FALSE(),TRUE())))</f>
        <v/>
      </c>
      <c r="AI491" s="93" t="str">
        <f aca="false">IF(ISBLANK($C491),"",IF(AND(ISNUMBER(H491),H491&gt;=0),H491,Constants!$B$29))</f>
        <v/>
      </c>
      <c r="AJ491" s="93" t="str">
        <f aca="false">IF(ISBLANK($C491),"",IF(I491=Constants!$B$3,TRUE(),IF(I491=Constants!$B$4,FALSE(),TRUE())))</f>
        <v/>
      </c>
      <c r="AK491" s="93" t="str">
        <f aca="false">IF(ISBLANK($C491),"",IF(J491=Constants!$B$3,TRUE(),IF(J491=Constants!$B$4,FALSE(),TRUE())))</f>
        <v/>
      </c>
      <c r="AL491" s="93" t="str">
        <f aca="false">IF(ISBLANK($C491),"",IF(K491=Constants!$B$5,TRUE(),IF(K491=Constants!$B$6,FALSE(),COUNTA(L491:P491)&gt;0)))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IF(ISBLANK($C491),"",IF(N491=Constants!$B$3,TRUE(),IF(N491=Constants!$B$4,FALSE(),TRUE())))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IF(ISBLANK($C491),"",IF(P491=Constants!$B$3,TRUE(),IF(P491=Constants!$B$4,FALSE(),FALSE())))</f>
        <v/>
      </c>
      <c r="AR491" s="93" t="str">
        <f aca="false">IF(ISBLANK($C491),"",IF(Q491=Constants!$B$3,TRUE(),IF(Q491=Constants!$B$4,FALSE(),TRUE())))</f>
        <v/>
      </c>
      <c r="AS491" s="93" t="str">
        <f aca="false">IF(ISBLANK($C491),"",IF(R491=Constants!$B$3,TRUE(),IF(R491=Constants!$B$4,FALSE(),TRUE())))</f>
        <v/>
      </c>
      <c r="AT491" s="93" t="str">
        <f aca="false">IF(ISBLANK($C491),"",IF(S491=Constants!$B$5,TRUE(),IF(S491=Constants!$B$6,FALSE(),COUNTA(T491:X491)&gt;0)))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IF(ISBLANK($C491),"",IF(V491=Constants!$B$3,TRUE(),IF(V491=Constants!$B$4,FALSE(),TRUE())))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IF(ISBLANK($C491),"",IF(X491=Constants!$B$3,TRUE(),IF(X491=Constants!$B$4,FALSE(),FALSE())))</f>
        <v/>
      </c>
      <c r="AZ491" s="93" t="str">
        <f aca="false">IF(ISBLANK($C491),"",MIN(Constants!$B$31,MAX(0,IF(ISNUMBER(Y491),Y491*60,0)+IF(ISNUMBER(Z491),Z491,0))))</f>
        <v/>
      </c>
      <c r="BA491" s="93" t="str">
        <f aca="false">IF(ISBLANK($C491),"",IF(AA491=Constants!$B$3,TRUE(),IF(AA491=Constants!$B$4,FALSE(),FALSE())))</f>
        <v/>
      </c>
      <c r="BB491" s="92" t="str">
        <f aca="false">IF(ISBLANK($C491),"",AND($AL491,OR($AM491="",$AN491="",AND($AO491,$AP491=""))))</f>
        <v/>
      </c>
      <c r="BC491" s="94" t="str">
        <f aca="false">IF($BZ491&lt;&gt;Constants!$B$8,"",IF($AL491,Constants!$B$21*$AN491+Constants!$B$22*IF($AO491,$AP491,Constants!$B$23),Constants!$B$24))</f>
        <v/>
      </c>
      <c r="BD491" s="97" t="str">
        <f aca="false">IF($BZ491&lt;&gt;Constants!$B$8,"",Constants!$B$25*ABS($AD$9-IF($AL491,$AM491,0)))</f>
        <v/>
      </c>
      <c r="BE491" s="97" t="str">
        <f aca="false">IF($BZ491&lt;&gt;Constants!$B$8,"",IF(AND($AL491,$AQ491,$AO491),Constants!$B$27,0))</f>
        <v/>
      </c>
      <c r="BF491" s="97" t="str">
        <f aca="false">IF($BZ491&lt;&gt;Constants!$B$8,"",IF($AL491,($AI491-Constants!$B$29)*Constants!$B$28,0))</f>
        <v/>
      </c>
      <c r="BG491" s="97" t="str">
        <f aca="false">IF($BZ491&lt;&gt;Constants!$B$8,"",IF($AK491,0,Constants!$B$15)+IF($AJ491,0,Constants!$B$16)+IF($AH491,0,Constants!$B$17))</f>
        <v/>
      </c>
      <c r="BH491" s="98" t="str">
        <f aca="false">IF($BZ491&lt;&gt;Constants!$B$8,"",Constants!$B$20+SUM($BC491:$BG491))</f>
        <v/>
      </c>
      <c r="BI491" s="97" t="str">
        <f aca="false">IF($BZ491&lt;&gt;Constants!$B$8,"",$BC491)</f>
        <v/>
      </c>
      <c r="BJ491" s="97" t="str">
        <f aca="false">IF($BZ491&lt;&gt;Constants!$B$8,"",$BD491)</f>
        <v/>
      </c>
      <c r="BK491" s="97" t="str">
        <f aca="false">IF($BZ491&lt;&gt;Constants!$B$8,"",IF($AL491,$AN491,""))</f>
        <v/>
      </c>
      <c r="BL491" s="99" t="str">
        <f aca="false">IF($BZ491&lt;&gt;Constants!$B$8,"",$AI491)</f>
        <v/>
      </c>
      <c r="BM491" s="93" t="str">
        <f aca="false">IF($BZ491&lt;&gt;Constants!$B$8,"",IF(OR($BT491&lt;$BH491,AND($BT491=$BH491,OR($BU491&lt;$BI491,AND($BU491=$BI491,OR($BV491&lt;$BJ491,AND($BV491=$BJ491,OR(AND(ISNUMBER($BW491),OR(NOT(ISNUMBER($BK491)),$BW491&lt;$BK491)),AND(OR(AND($BW491="",$BK491=""),AND(ISNUMBER($BW491),ISNUMBER($BK491),$BW491=$BK491)),$BX491&lt;$BL491)))))))),"-&gt;","&lt;-"))</f>
        <v/>
      </c>
      <c r="BN491" s="92" t="str">
        <f aca="false">IF(ISBLANK($C491),"",AND($AT491,OR($AU491="",$AV491="",AND($AW491,$AX491=""))))</f>
        <v/>
      </c>
      <c r="BO491" s="94" t="str">
        <f aca="false">IF($BZ491&lt;&gt;Constants!$B$8,"",IF($AT491,Constants!$B$21*$AV491+Constants!$B$22*IF($AW491,$AX491,Constants!$B$23),Constants!$B$24))</f>
        <v/>
      </c>
      <c r="BP491" s="97" t="str">
        <f aca="false">IF($BZ491&lt;&gt;Constants!$B$8,"",Constants!$B$25*ABS($AD$9-IF($AT491,$AU491,0)))</f>
        <v/>
      </c>
      <c r="BQ491" s="97" t="str">
        <f aca="false">IF($BZ491&lt;&gt;Constants!$B$8,"",IF(AND($AT491,$AY491,$AW491),Constants!$B$27,0))</f>
        <v/>
      </c>
      <c r="BR491" s="97" t="str">
        <f aca="false">IF($BZ491&lt;&gt;Constants!$B$8,"",IF($AT491,($AI491-Constants!$B$29)*Constants!$B$28,0))</f>
        <v/>
      </c>
      <c r="BS491" s="97" t="str">
        <f aca="false">IF($BZ491&lt;&gt;Constants!$B$8,"",IF($AS491,0,Constants!$B$15)+IF($AR491,0,Constants!$B$16)+IF($AH491,0,Constants!$B$17))</f>
        <v/>
      </c>
      <c r="BT491" s="98" t="str">
        <f aca="false">IF($BZ491&lt;&gt;Constants!$B$8,"",Constants!$B$20+SUM($BO491:$BS491))</f>
        <v/>
      </c>
      <c r="BU491" s="97" t="str">
        <f aca="false">IF($BZ491&lt;&gt;Constants!$B$8,"",$BO491)</f>
        <v/>
      </c>
      <c r="BV491" s="97" t="str">
        <f aca="false">IF($BZ491&lt;&gt;Constants!$B$8,"",$BP491)</f>
        <v/>
      </c>
      <c r="BW491" s="97" t="str">
        <f aca="false">IF($BZ491&lt;&gt;Constants!$B$8,"",IF($AT491,$AV491,""))</f>
        <v/>
      </c>
      <c r="BX491" s="99" t="str">
        <f aca="false">IF($BZ491&lt;&gt;Constants!$B$8,"",$AI491)</f>
        <v/>
      </c>
      <c r="BY491" s="93" t="str">
        <f aca="false">IF(ISBLANK($C491),"",IF(ISBLANK($D$7),$BY$5,IF(NOT(ISNUMBER($D$7)),$BY$6,"")))</f>
        <v/>
      </c>
      <c r="BZ491" s="93" t="str">
        <f aca="false">IF(ISBLANK($C491),"",IF($BA491,Constants!$B$11,IF(COUNTA($E491:$AA491)=0,Constants!$B$10,IF(NOT($AG491),Constants!$B$9,IF(OR($BY491&lt;&gt;"",$BB491,$BN491),Constants!$B$12,Constants!$B$8)))))</f>
        <v/>
      </c>
      <c r="CA491" s="93" t="str">
        <f aca="false">IF(ISBLANK($C491),"",IF($BZ491&lt;&gt;Constants!$B$8,$BZ491,Constants!$B$13))</f>
        <v/>
      </c>
      <c r="CB491" s="97" t="str">
        <f aca="false">IF($BZ491&lt;&gt;Constants!$B$8,"",IF($BM491="-&gt;",$BT491,$BH491))</f>
        <v/>
      </c>
      <c r="CC491" s="97" t="str">
        <f aca="false">IF($BZ491&lt;&gt;Constants!$B$8,"",IF($AF491,0,Constants!$B$18))</f>
        <v/>
      </c>
      <c r="CD491" s="97" t="str">
        <f aca="false">IF($BZ491&lt;&gt;Constants!$B$8,"",((Constants!$B$31-$AZ491)-Constants!$B$31)/Constants!$B$32)</f>
        <v/>
      </c>
      <c r="CE491" s="97" t="str">
        <f aca="false">IF(ISBLANK($C491),"",IF($BZ491&lt;&gt;Constants!$B$8,$BZ491,SUM($CB491:$CD491)))</f>
        <v/>
      </c>
      <c r="CF491" s="93" t="str">
        <f aca="false">IF(ISBLANK($C491),"",IF($BZ491&lt;&gt;Constants!$B$8,$BZ491,RANK($CE491,$CE$9:$CE$508,1)))</f>
        <v/>
      </c>
      <c r="CG491" s="97" t="str">
        <f aca="false">IF($BZ491&lt;&gt;Constants!$B$8,"",IF($BM491="-&gt;",$BU491,$BI491))</f>
        <v/>
      </c>
      <c r="CH491" s="93" t="str">
        <f aca="false">IF(ISBLANK($C491),"",IF($BZ491&lt;&gt;Constants!$B$8,$BZ491,IF(ISNUMBER($CG491),RANK($CG491,$CG$9:$CG$508,1),COUNT($CG$9:$CG$508)+1)))</f>
        <v/>
      </c>
      <c r="CI491" s="97" t="str">
        <f aca="false">IF($BZ491&lt;&gt;Constants!$B$8,"",IF($BM491="-&gt;",$BV491,$BJ491))</f>
        <v/>
      </c>
      <c r="CJ491" s="93" t="str">
        <f aca="false">IF(ISBLANK($C491),"",IF($BZ491&lt;&gt;Constants!$B$8,$BZ491,IF(ISNUMBER($CI491),RANK($CI491,$CI$9:$CI$508,1),COUNT($CI$9:$CI$508)+1)))</f>
        <v/>
      </c>
      <c r="CK491" s="97" t="str">
        <f aca="false">IF($BZ491&lt;&gt;Constants!$B$8,"",IF($BM491="-&gt;",$BW491,$BK491))</f>
        <v/>
      </c>
      <c r="CL491" s="93" t="str">
        <f aca="false">IF(ISBLANK($C491),"",IF($BZ491&lt;&gt;Constants!$B$8,$BZ491,IF(ISNUMBER($CK491),RANK($CK491,$CK$9:$CK$508,1),COUNT($CK$9:$CK$508)+1)))</f>
        <v/>
      </c>
      <c r="CM491" s="97" t="str">
        <f aca="false">IF($BZ491&lt;&gt;Constants!$B$8,"",IF(AND(NOT($AL491),NOT($AT491),$AJ491,$AK491,$AR491,$AS491),"",IF($BM491="-&gt;",$BX491,$BL491)))</f>
        <v/>
      </c>
      <c r="CN491" s="93" t="str">
        <f aca="false">IF(ISBLANK($C491),"",IF($BZ491&lt;&gt;Constants!$B$8,$BZ491,IF(ISNUMBER($CM491),RANK($CM491,$CM$9:$CM$508,1),COUNT($CM$9:$CM$508)+1)))</f>
        <v/>
      </c>
      <c r="CO491" s="93" t="str">
        <f aca="false">IF(ISBLANK($C491),"",IF($BZ491&lt;&gt;Constants!$B$8,$BZ491,COUNTIFS($CF$9:$CF$508,"&lt;"&amp;$CF491)+COUNTIFS($CF$9:$CF$508,$CF491,$CH$9:$CH$508,"&lt;"&amp;$CH491)+COUNTIFS($CF$9:$CF$508,$CF491,$CH$9:$CH$508,$CH491,$CJ$9:$CJ$508,"&lt;"&amp;$CJ491)+COUNTIFS($CF$9:$CF$508,$CF491,$CH$9:$CH$508,$CH491,$CJ$9:$CJ$508,$CJ491,$CL$9:$CL$508,"&lt;"&amp;$CL491)+COUNTIFS($CF$9:$CF$508,$CF491,$CH$9:$CH$508,$CH491,$CJ$9:$CJ$508,$CJ491,$CL$9:$CL$508,$CL491,$CN$9:$CN$508,"&lt;"&amp;$CN491)+1))</f>
        <v/>
      </c>
      <c r="CP491" s="93" t="str">
        <f aca="false">IF(ISBLANK($C491),"",IF($BZ491&lt;&gt;Constants!$B$8,$BZ491,$CF491-$CO491))</f>
        <v/>
      </c>
      <c r="CQ491" s="100"/>
      <c r="CR491" s="101"/>
      <c r="CS491" s="102" t="str">
        <f aca="false">IF(ISBLANK($C491),"",IF($BZ491=Constants!$B$12,$BY491,""))</f>
        <v/>
      </c>
      <c r="CT491" s="101" t="str">
        <f aca="false">IF(ISBLANK($C491),"",IF($BZ491&lt;&gt;Constants!$B$8,"",IF($BM491="-&gt;",2,1)))</f>
        <v/>
      </c>
      <c r="CU491" s="103" t="str">
        <f aca="false">IF(ISBLANK($C491),"",IF($BZ491&lt;&gt;Constants!$B$8,"",IF($BM491="-&gt;",$BO491,$BC491)))</f>
        <v/>
      </c>
      <c r="CV491" s="103" t="str">
        <f aca="false">IF(ISBLANK($C491),"",IF($BZ491&lt;&gt;Constants!$B$8,"",IF($BM491="-&gt;",$BP491,$BD491)))</f>
        <v/>
      </c>
      <c r="CW491" s="103" t="str">
        <f aca="false">IF(ISBLANK($C491),"",IF($BZ491&lt;&gt;Constants!$B$8,"",IF($BM491="-&gt;",$BQ491+$BR491,$BE491+$BF491)+$CD491))</f>
        <v/>
      </c>
      <c r="CX491" s="103" t="str">
        <f aca="false">IF(ISBLANK($C491),"",IF($BZ491&lt;&gt;Constants!$B$8,"",IF($BM491="-&gt;",$BS491,$BG491)+$CC491))</f>
        <v/>
      </c>
      <c r="CY491" s="104" t="str">
        <f aca="false">IF(ISBLANK($C491),"",IF($BZ491&lt;&gt;Constants!$B$8,$BZ491,$CE491))</f>
        <v/>
      </c>
      <c r="CZ491" s="105" t="str">
        <f aca="false">IF(ISBLANK($C491),"",$CA491)</f>
        <v/>
      </c>
      <c r="DA491" s="106" t="str">
        <f aca="false">IF(ISBLANK($C491),"",$CP491)</f>
        <v/>
      </c>
      <c r="DB491" s="106" t="str">
        <f aca="false">IF(ISBLANK($C491),"",$CO491)</f>
        <v/>
      </c>
      <c r="DC491" s="107" t="str">
        <f aca="false">IF(ISBLANK($C491),"",IFERROR(_xlfn.SWITCH($DB491,Constants!$B$11,COUNTA($C$9:$C$508)+2,Constants!$B$10,COUNTA($C$9:$C$508)+1,Constants!$B$9,COUNTA($C$9:$C$508)),$DB491))</f>
        <v/>
      </c>
      <c r="DD491" s="9"/>
      <c r="DE491" s="108" t="n">
        <f aca="false">IF(OR(ISNUMBER($DB491),$DB491=Constants!$B$11,$DB491=Constants!$B$9,$DB491=Constants!$B$10),1,0)</f>
        <v>0</v>
      </c>
      <c r="DF491" s="108" t="n">
        <v>483</v>
      </c>
      <c r="DG491" s="108" t="str">
        <f aca="false">IF(ISBLANK($C491),"",IF(ISNUMBER($DC491),$DC491+ROW($B491)/1000,""))</f>
        <v/>
      </c>
      <c r="DH491" s="108" t="str">
        <f aca="false">IF(ISNUMBER($DG491),RANK($DG491,$DG$9:$DG$508,1),"")</f>
        <v/>
      </c>
      <c r="DI491" s="108" t="str">
        <f aca="false">IF(ISBLANK($C491),"",$B491)</f>
        <v/>
      </c>
      <c r="DJ491" s="108" t="str">
        <f aca="false">IF(ISBLANK($C491),"",$C491)</f>
        <v/>
      </c>
      <c r="DK491" s="108" t="str">
        <f aca="false">IF(ISBLANK($C491),"",$D491)</f>
        <v/>
      </c>
      <c r="DL491" s="109" t="str">
        <f aca="false">$CZ491</f>
        <v/>
      </c>
      <c r="DM491" s="110" t="str">
        <f aca="false">$CY491</f>
        <v/>
      </c>
      <c r="DN491" s="108" t="str">
        <f aca="false">IF(ISBLANK($C491),"",$DB491)</f>
        <v/>
      </c>
      <c r="DO491" s="111" t="str">
        <f aca="false">IF($DF491&gt;$DE$8,"",VLOOKUP($DF491,$DH$9:$DN$508,7,FALSE()))</f>
        <v/>
      </c>
      <c r="DP491" s="112" t="str">
        <f aca="false">IF($DF491&gt;$DE$8,"",VLOOKUP($DF491,$DH$9:$DN$508,2,FALSE()))</f>
        <v/>
      </c>
      <c r="DQ491" s="112" t="str">
        <f aca="false">IF($DF491&gt;$DE$8,"",VLOOKUP($DF491,$DH$9:$DN$508,3,FALSE()))</f>
        <v/>
      </c>
      <c r="DR491" s="112" t="str">
        <f aca="false">IF($DF491&gt;$DE$8,"",VLOOKUP($DF491,$DH$9:$DN$508,4,FALSE()))</f>
        <v/>
      </c>
      <c r="DS491" s="112" t="str">
        <f aca="false">IF($DF491&gt;$DE$8,"",VLOOKUP($DF491,$DH$9:$DN$508,5,FALSE()))</f>
        <v/>
      </c>
      <c r="DT491" s="113" t="str">
        <f aca="false">IF($DF491&gt;$DE$8,"",VLOOKUP($DF491,$DH$9:$DN$508,6,FALSE()))</f>
        <v/>
      </c>
      <c r="DU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IF(ISBLANK($C492),"",IF(E492=Constants!$B$3,TRUE(),IF(E492=Constants!$B$4,FALSE(),TRUE())))</f>
        <v/>
      </c>
      <c r="AG492" s="135" t="str">
        <f aca="false">IF(ISBLANK($C492),"",IF(F492=Constants!$B$3,TRUE(),IF(F492=Constants!$B$4,FALSE(),TRUE())))</f>
        <v/>
      </c>
      <c r="AH492" s="135" t="str">
        <f aca="false">IF(ISBLANK($C492),"",IF(G492=Constants!$B$3,TRUE(),IF(G492=Constants!$B$4,FALSE(),TRUE())))</f>
        <v/>
      </c>
      <c r="AI492" s="135" t="str">
        <f aca="false">IF(ISBLANK($C492),"",IF(AND(ISNUMBER(H492),H492&gt;=0),H492,Constants!$B$29))</f>
        <v/>
      </c>
      <c r="AJ492" s="135" t="str">
        <f aca="false">IF(ISBLANK($C492),"",IF(I492=Constants!$B$3,TRUE(),IF(I492=Constants!$B$4,FALSE(),TRUE())))</f>
        <v/>
      </c>
      <c r="AK492" s="135" t="str">
        <f aca="false">IF(ISBLANK($C492),"",IF(J492=Constants!$B$3,TRUE(),IF(J492=Constants!$B$4,FALSE(),TRUE())))</f>
        <v/>
      </c>
      <c r="AL492" s="135" t="str">
        <f aca="false">IF(ISBLANK($C492),"",IF(K492=Constants!$B$5,TRUE(),IF(K492=Constants!$B$6,FALSE(),COUNTA(L492:P492)&gt;0)))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IF(ISBLANK($C492),"",IF(N492=Constants!$B$3,TRUE(),IF(N492=Constants!$B$4,FALSE(),TRUE())))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IF(ISBLANK($C492),"",IF(P492=Constants!$B$3,TRUE(),IF(P492=Constants!$B$4,FALSE(),FALSE())))</f>
        <v/>
      </c>
      <c r="AR492" s="135" t="str">
        <f aca="false">IF(ISBLANK($C492),"",IF(Q492=Constants!$B$3,TRUE(),IF(Q492=Constants!$B$4,FALSE(),TRUE())))</f>
        <v/>
      </c>
      <c r="AS492" s="135" t="str">
        <f aca="false">IF(ISBLANK($C492),"",IF(R492=Constants!$B$3,TRUE(),IF(R492=Constants!$B$4,FALSE(),TRUE())))</f>
        <v/>
      </c>
      <c r="AT492" s="135" t="str">
        <f aca="false">IF(ISBLANK($C492),"",IF(S492=Constants!$B$5,TRUE(),IF(S492=Constants!$B$6,FALSE(),COUNTA(T492:X492)&gt;0)))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IF(ISBLANK($C492),"",IF(V492=Constants!$B$3,TRUE(),IF(V492=Constants!$B$4,FALSE(),TRUE())))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IF(ISBLANK($C492),"",IF(X492=Constants!$B$3,TRUE(),IF(X492=Constants!$B$4,FALSE(),FALSE())))</f>
        <v/>
      </c>
      <c r="AZ492" s="135" t="str">
        <f aca="false">IF(ISBLANK($C492),"",MIN(Constants!$B$31,MAX(0,IF(ISNUMBER(Y492),Y492*60,0)+IF(ISNUMBER(Z492),Z492,0))))</f>
        <v/>
      </c>
      <c r="BA492" s="135" t="str">
        <f aca="false">IF(ISBLANK($C492),"",IF(AA492=Constants!$B$3,TRUE(),IF(AA492=Constants!$B$4,FALSE(),FALSE())))</f>
        <v/>
      </c>
      <c r="BB492" s="134" t="str">
        <f aca="false">IF(ISBLANK($C492),"",AND($AL492,OR($AM492="",$AN492="",AND($AO492,$AP492=""))))</f>
        <v/>
      </c>
      <c r="BC492" s="137" t="str">
        <f aca="false">IF($BZ492&lt;&gt;Constants!$B$8,"",IF($AL492,Constants!$B$21*$AN492+Constants!$B$22*IF($AO492,$AP492,Constants!$B$23),Constants!$B$24))</f>
        <v/>
      </c>
      <c r="BD492" s="138" t="str">
        <f aca="false">IF($BZ492&lt;&gt;Constants!$B$8,"",Constants!$B$25*ABS($AD$9-IF($AL492,$AM492,0)))</f>
        <v/>
      </c>
      <c r="BE492" s="138" t="str">
        <f aca="false">IF($BZ492&lt;&gt;Constants!$B$8,"",IF(AND($AL492,$AQ492,$AO492),Constants!$B$27,0))</f>
        <v/>
      </c>
      <c r="BF492" s="138" t="str">
        <f aca="false">IF($BZ492&lt;&gt;Constants!$B$8,"",IF($AL492,($AI492-Constants!$B$29)*Constants!$B$28,0))</f>
        <v/>
      </c>
      <c r="BG492" s="138" t="str">
        <f aca="false">IF($BZ492&lt;&gt;Constants!$B$8,"",IF($AK492,0,Constants!$B$15)+IF($AJ492,0,Constants!$B$16)+IF($AH492,0,Constants!$B$17))</f>
        <v/>
      </c>
      <c r="BH492" s="139" t="str">
        <f aca="false">IF($BZ492&lt;&gt;Constants!$B$8,"",Constants!$B$20+SUM($BC492:$BG492))</f>
        <v/>
      </c>
      <c r="BI492" s="138" t="str">
        <f aca="false">IF($BZ492&lt;&gt;Constants!$B$8,"",$BC492)</f>
        <v/>
      </c>
      <c r="BJ492" s="138" t="str">
        <f aca="false">IF($BZ492&lt;&gt;Constants!$B$8,"",$BD492)</f>
        <v/>
      </c>
      <c r="BK492" s="138" t="str">
        <f aca="false">IF($BZ492&lt;&gt;Constants!$B$8,"",IF($AL492,$AN492,""))</f>
        <v/>
      </c>
      <c r="BL492" s="140" t="str">
        <f aca="false">IF($BZ492&lt;&gt;Constants!$B$8,"",$AI492)</f>
        <v/>
      </c>
      <c r="BM492" s="135" t="str">
        <f aca="false">IF($BZ492&lt;&gt;Constants!$B$8,"",IF(OR($BT492&lt;$BH492,AND($BT492=$BH492,OR($BU492&lt;$BI492,AND($BU492=$BI492,OR($BV492&lt;$BJ492,AND($BV492=$BJ492,OR(AND(ISNUMBER($BW492),OR(NOT(ISNUMBER($BK492)),$BW492&lt;$BK492)),AND(OR(AND($BW492="",$BK492=""),AND(ISNUMBER($BW492),ISNUMBER($BK492),$BW492=$BK492)),$BX492&lt;$BL492)))))))),"-&gt;","&lt;-"))</f>
        <v/>
      </c>
      <c r="BN492" s="134" t="str">
        <f aca="false">IF(ISBLANK($C492),"",AND($AT492,OR($AU492="",$AV492="",AND($AW492,$AX492=""))))</f>
        <v/>
      </c>
      <c r="BO492" s="137" t="str">
        <f aca="false">IF($BZ492&lt;&gt;Constants!$B$8,"",IF($AT492,Constants!$B$21*$AV492+Constants!$B$22*IF($AW492,$AX492,Constants!$B$23),Constants!$B$24))</f>
        <v/>
      </c>
      <c r="BP492" s="138" t="str">
        <f aca="false">IF($BZ492&lt;&gt;Constants!$B$8,"",Constants!$B$25*ABS($AD$9-IF($AT492,$AU492,0)))</f>
        <v/>
      </c>
      <c r="BQ492" s="138" t="str">
        <f aca="false">IF($BZ492&lt;&gt;Constants!$B$8,"",IF(AND($AT492,$AY492,$AW492),Constants!$B$27,0))</f>
        <v/>
      </c>
      <c r="BR492" s="138" t="str">
        <f aca="false">IF($BZ492&lt;&gt;Constants!$B$8,"",IF($AT492,($AI492-Constants!$B$29)*Constants!$B$28,0))</f>
        <v/>
      </c>
      <c r="BS492" s="138" t="str">
        <f aca="false">IF($BZ492&lt;&gt;Constants!$B$8,"",IF($AS492,0,Constants!$B$15)+IF($AR492,0,Constants!$B$16)+IF($AH492,0,Constants!$B$17))</f>
        <v/>
      </c>
      <c r="BT492" s="139" t="str">
        <f aca="false">IF($BZ492&lt;&gt;Constants!$B$8,"",Constants!$B$20+SUM($BO492:$BS492))</f>
        <v/>
      </c>
      <c r="BU492" s="138" t="str">
        <f aca="false">IF($BZ492&lt;&gt;Constants!$B$8,"",$BO492)</f>
        <v/>
      </c>
      <c r="BV492" s="138" t="str">
        <f aca="false">IF($BZ492&lt;&gt;Constants!$B$8,"",$BP492)</f>
        <v/>
      </c>
      <c r="BW492" s="138" t="str">
        <f aca="false">IF($BZ492&lt;&gt;Constants!$B$8,"",IF($AT492,$AV492,""))</f>
        <v/>
      </c>
      <c r="BX492" s="140" t="str">
        <f aca="false">IF($BZ492&lt;&gt;Constants!$B$8,"",$AI492)</f>
        <v/>
      </c>
      <c r="BY492" s="135" t="str">
        <f aca="false">IF(ISBLANK($C492),"",IF(ISBLANK($D$7),$BY$5,IF(NOT(ISNUMBER($D$7)),$BY$6,"")))</f>
        <v/>
      </c>
      <c r="BZ492" s="135" t="str">
        <f aca="false">IF(ISBLANK($C492),"",IF($BA492,Constants!$B$11,IF(COUNTA($E492:$AA492)=0,Constants!$B$10,IF(NOT($AG492),Constants!$B$9,IF(OR($BY492&lt;&gt;"",$BB492,$BN492),Constants!$B$12,Constants!$B$8)))))</f>
        <v/>
      </c>
      <c r="CA492" s="135" t="str">
        <f aca="false">IF(ISBLANK($C492),"",IF($BZ492&lt;&gt;Constants!$B$8,$BZ492,Constants!$B$13))</f>
        <v/>
      </c>
      <c r="CB492" s="138" t="str">
        <f aca="false">IF($BZ492&lt;&gt;Constants!$B$8,"",IF($BM492="-&gt;",$BT492,$BH492))</f>
        <v/>
      </c>
      <c r="CC492" s="138" t="str">
        <f aca="false">IF($BZ492&lt;&gt;Constants!$B$8,"",IF($AF492,0,Constants!$B$18))</f>
        <v/>
      </c>
      <c r="CD492" s="138" t="str">
        <f aca="false">IF($BZ492&lt;&gt;Constants!$B$8,"",((Constants!$B$31-$AZ492)-Constants!$B$31)/Constants!$B$32)</f>
        <v/>
      </c>
      <c r="CE492" s="138" t="str">
        <f aca="false">IF(ISBLANK($C492),"",IF($BZ492&lt;&gt;Constants!$B$8,$BZ492,SUM($CB492:$CD492)))</f>
        <v/>
      </c>
      <c r="CF492" s="135" t="str">
        <f aca="false">IF(ISBLANK($C492),"",IF($BZ492&lt;&gt;Constants!$B$8,$BZ492,RANK($CE492,$CE$9:$CE$508,1)))</f>
        <v/>
      </c>
      <c r="CG492" s="138" t="str">
        <f aca="false">IF($BZ492&lt;&gt;Constants!$B$8,"",IF($BM492="-&gt;",$BU492,$BI492))</f>
        <v/>
      </c>
      <c r="CH492" s="135" t="str">
        <f aca="false">IF(ISBLANK($C492),"",IF($BZ492&lt;&gt;Constants!$B$8,$BZ492,IF(ISNUMBER($CG492),RANK($CG492,$CG$9:$CG$508,1),COUNT($CG$9:$CG$508)+1)))</f>
        <v/>
      </c>
      <c r="CI492" s="138" t="str">
        <f aca="false">IF($BZ492&lt;&gt;Constants!$B$8,"",IF($BM492="-&gt;",$BV492,$BJ492))</f>
        <v/>
      </c>
      <c r="CJ492" s="135" t="str">
        <f aca="false">IF(ISBLANK($C492),"",IF($BZ492&lt;&gt;Constants!$B$8,$BZ492,IF(ISNUMBER($CI492),RANK($CI492,$CI$9:$CI$508,1),COUNT($CI$9:$CI$508)+1)))</f>
        <v/>
      </c>
      <c r="CK492" s="138" t="str">
        <f aca="false">IF($BZ492&lt;&gt;Constants!$B$8,"",IF($BM492="-&gt;",$BW492,$BK492))</f>
        <v/>
      </c>
      <c r="CL492" s="135" t="str">
        <f aca="false">IF(ISBLANK($C492),"",IF($BZ492&lt;&gt;Constants!$B$8,$BZ492,IF(ISNUMBER($CK492),RANK($CK492,$CK$9:$CK$508,1),COUNT($CK$9:$CK$508)+1)))</f>
        <v/>
      </c>
      <c r="CM492" s="138" t="str">
        <f aca="false">IF($BZ492&lt;&gt;Constants!$B$8,"",IF(AND(NOT($AL492),NOT($AT492),$AJ492,$AK492,$AR492,$AS492),"",IF($BM492="-&gt;",$BX492,$BL492)))</f>
        <v/>
      </c>
      <c r="CN492" s="135" t="str">
        <f aca="false">IF(ISBLANK($C492),"",IF($BZ492&lt;&gt;Constants!$B$8,$BZ492,IF(ISNUMBER($CM492),RANK($CM492,$CM$9:$CM$508,1),COUNT($CM$9:$CM$508)+1)))</f>
        <v/>
      </c>
      <c r="CO492" s="135" t="str">
        <f aca="false">IF(ISBLANK($C492),"",IF($BZ492&lt;&gt;Constants!$B$8,$BZ492,COUNTIFS($CF$9:$CF$508,"&lt;"&amp;$CF492)+COUNTIFS($CF$9:$CF$508,$CF492,$CH$9:$CH$508,"&lt;"&amp;$CH492)+COUNTIFS($CF$9:$CF$508,$CF492,$CH$9:$CH$508,$CH492,$CJ$9:$CJ$508,"&lt;"&amp;$CJ492)+COUNTIFS($CF$9:$CF$508,$CF492,$CH$9:$CH$508,$CH492,$CJ$9:$CJ$508,$CJ492,$CL$9:$CL$508,"&lt;"&amp;$CL492)+COUNTIFS($CF$9:$CF$508,$CF492,$CH$9:$CH$508,$CH492,$CJ$9:$CJ$508,$CJ492,$CL$9:$CL$508,$CL492,$CN$9:$CN$508,"&lt;"&amp;$CN492)+1))</f>
        <v/>
      </c>
      <c r="CP492" s="135" t="str">
        <f aca="false">IF(ISBLANK($C492),"",IF($BZ492&lt;&gt;Constants!$B$8,$BZ492,$CF492-$CO492))</f>
        <v/>
      </c>
      <c r="CQ492" s="141"/>
      <c r="CR492" s="142"/>
      <c r="CS492" s="143" t="str">
        <f aca="false">IF(ISBLANK($C492),"",IF($BZ492=Constants!$B$12,$BY492,""))</f>
        <v/>
      </c>
      <c r="CT492" s="142" t="str">
        <f aca="false">IF(ISBLANK($C492),"",IF($BZ492&lt;&gt;Constants!$B$8,"",IF($BM492="-&gt;",2,1)))</f>
        <v/>
      </c>
      <c r="CU492" s="144" t="str">
        <f aca="false">IF(ISBLANK($C492),"",IF($BZ492&lt;&gt;Constants!$B$8,"",IF($BM492="-&gt;",$BO492,$BC492)))</f>
        <v/>
      </c>
      <c r="CV492" s="144" t="str">
        <f aca="false">IF(ISBLANK($C492),"",IF($BZ492&lt;&gt;Constants!$B$8,"",IF($BM492="-&gt;",$BP492,$BD492)))</f>
        <v/>
      </c>
      <c r="CW492" s="144" t="str">
        <f aca="false">IF(ISBLANK($C492),"",IF($BZ492&lt;&gt;Constants!$B$8,"",IF($BM492="-&gt;",$BQ492+$BR492,$BE492+$BF492)+$CD492))</f>
        <v/>
      </c>
      <c r="CX492" s="144" t="str">
        <f aca="false">IF(ISBLANK($C492),"",IF($BZ492&lt;&gt;Constants!$B$8,"",IF($BM492="-&gt;",$BS492,$BG492)+$CC492))</f>
        <v/>
      </c>
      <c r="CY492" s="145" t="str">
        <f aca="false">IF(ISBLANK($C492),"",IF($BZ492&lt;&gt;Constants!$B$8,$BZ492,$CE492))</f>
        <v/>
      </c>
      <c r="CZ492" s="146" t="str">
        <f aca="false">IF(ISBLANK($C492),"",$CA492)</f>
        <v/>
      </c>
      <c r="DA492" s="147" t="str">
        <f aca="false">IF(ISBLANK($C492),"",$CP492)</f>
        <v/>
      </c>
      <c r="DB492" s="147" t="str">
        <f aca="false">IF(ISBLANK($C492),"",$CO492)</f>
        <v/>
      </c>
      <c r="DC492" s="148" t="str">
        <f aca="false">IF(ISBLANK($C492),"",IFERROR(_xlfn.SWITCH($DB492,Constants!$B$11,COUNTA($C$9:$C$508)+2,Constants!$B$10,COUNTA($C$9:$C$508)+1,Constants!$B$9,COUNTA($C$9:$C$508)),$DB492))</f>
        <v/>
      </c>
      <c r="DD492" s="9"/>
      <c r="DE492" s="149" t="n">
        <f aca="false">IF(OR(ISNUMBER($DB492),$DB492=Constants!$B$11,$DB492=Constants!$B$9,$DB492=Constants!$B$10),1,0)</f>
        <v>0</v>
      </c>
      <c r="DF492" s="149" t="n">
        <v>484</v>
      </c>
      <c r="DG492" s="149" t="str">
        <f aca="false">IF(ISBLANK($C492),"",IF(ISNUMBER($DC492),$DC492+ROW($B492)/1000,""))</f>
        <v/>
      </c>
      <c r="DH492" s="149" t="str">
        <f aca="false">IF(ISNUMBER($DG492),RANK($DG492,$DG$9:$DG$508,1),"")</f>
        <v/>
      </c>
      <c r="DI492" s="149" t="str">
        <f aca="false">IF(ISBLANK($C492),"",$B492)</f>
        <v/>
      </c>
      <c r="DJ492" s="149" t="str">
        <f aca="false">IF(ISBLANK($C492),"",$C492)</f>
        <v/>
      </c>
      <c r="DK492" s="149" t="str">
        <f aca="false">IF(ISBLANK($C492),"",$D492)</f>
        <v/>
      </c>
      <c r="DL492" s="150" t="str">
        <f aca="false">$CZ492</f>
        <v/>
      </c>
      <c r="DM492" s="151" t="str">
        <f aca="false">$CY492</f>
        <v/>
      </c>
      <c r="DN492" s="149" t="str">
        <f aca="false">IF(ISBLANK($C492),"",$DB492)</f>
        <v/>
      </c>
      <c r="DO492" s="152" t="str">
        <f aca="false">IF($DF492&gt;$DE$8,"",VLOOKUP($DF492,$DH$9:$DN$508,7,FALSE()))</f>
        <v/>
      </c>
      <c r="DP492" s="153" t="str">
        <f aca="false">IF($DF492&gt;$DE$8,"",VLOOKUP($DF492,$DH$9:$DN$508,2,FALSE()))</f>
        <v/>
      </c>
      <c r="DQ492" s="153" t="str">
        <f aca="false">IF($DF492&gt;$DE$8,"",VLOOKUP($DF492,$DH$9:$DN$508,3,FALSE()))</f>
        <v/>
      </c>
      <c r="DR492" s="153" t="str">
        <f aca="false">IF($DF492&gt;$DE$8,"",VLOOKUP($DF492,$DH$9:$DN$508,4,FALSE()))</f>
        <v/>
      </c>
      <c r="DS492" s="153" t="str">
        <f aca="false">IF($DF492&gt;$DE$8,"",VLOOKUP($DF492,$DH$9:$DN$508,5,FALSE()))</f>
        <v/>
      </c>
      <c r="DT492" s="154" t="str">
        <f aca="false">IF($DF492&gt;$DE$8,"",VLOOKUP($DF492,$DH$9:$DN$508,6,FALSE()))</f>
        <v/>
      </c>
      <c r="DU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IF(ISBLANK($C493),"",IF(E493=Constants!$B$3,TRUE(),IF(E493=Constants!$B$4,FALSE(),TRUE())))</f>
        <v/>
      </c>
      <c r="AG493" s="135" t="str">
        <f aca="false">IF(ISBLANK($C493),"",IF(F493=Constants!$B$3,TRUE(),IF(F493=Constants!$B$4,FALSE(),TRUE())))</f>
        <v/>
      </c>
      <c r="AH493" s="135" t="str">
        <f aca="false">IF(ISBLANK($C493),"",IF(G493=Constants!$B$3,TRUE(),IF(G493=Constants!$B$4,FALSE(),TRUE())))</f>
        <v/>
      </c>
      <c r="AI493" s="135" t="str">
        <f aca="false">IF(ISBLANK($C493),"",IF(AND(ISNUMBER(H493),H493&gt;=0),H493,Constants!$B$29))</f>
        <v/>
      </c>
      <c r="AJ493" s="135" t="str">
        <f aca="false">IF(ISBLANK($C493),"",IF(I493=Constants!$B$3,TRUE(),IF(I493=Constants!$B$4,FALSE(),TRUE())))</f>
        <v/>
      </c>
      <c r="AK493" s="135" t="str">
        <f aca="false">IF(ISBLANK($C493),"",IF(J493=Constants!$B$3,TRUE(),IF(J493=Constants!$B$4,FALSE(),TRUE())))</f>
        <v/>
      </c>
      <c r="AL493" s="135" t="str">
        <f aca="false">IF(ISBLANK($C493),"",IF(K493=Constants!$B$5,TRUE(),IF(K493=Constants!$B$6,FALSE(),COUNTA(L493:P493)&gt;0)))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IF(ISBLANK($C493),"",IF(N493=Constants!$B$3,TRUE(),IF(N493=Constants!$B$4,FALSE(),TRUE())))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IF(ISBLANK($C493),"",IF(P493=Constants!$B$3,TRUE(),IF(P493=Constants!$B$4,FALSE(),FALSE())))</f>
        <v/>
      </c>
      <c r="AR493" s="135" t="str">
        <f aca="false">IF(ISBLANK($C493),"",IF(Q493=Constants!$B$3,TRUE(),IF(Q493=Constants!$B$4,FALSE(),TRUE())))</f>
        <v/>
      </c>
      <c r="AS493" s="135" t="str">
        <f aca="false">IF(ISBLANK($C493),"",IF(R493=Constants!$B$3,TRUE(),IF(R493=Constants!$B$4,FALSE(),TRUE())))</f>
        <v/>
      </c>
      <c r="AT493" s="135" t="str">
        <f aca="false">IF(ISBLANK($C493),"",IF(S493=Constants!$B$5,TRUE(),IF(S493=Constants!$B$6,FALSE(),COUNTA(T493:X493)&gt;0)))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IF(ISBLANK($C493),"",IF(V493=Constants!$B$3,TRUE(),IF(V493=Constants!$B$4,FALSE(),TRUE())))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IF(ISBLANK($C493),"",IF(X493=Constants!$B$3,TRUE(),IF(X493=Constants!$B$4,FALSE(),FALSE())))</f>
        <v/>
      </c>
      <c r="AZ493" s="135" t="str">
        <f aca="false">IF(ISBLANK($C493),"",MIN(Constants!$B$31,MAX(0,IF(ISNUMBER(Y493),Y493*60,0)+IF(ISNUMBER(Z493),Z493,0))))</f>
        <v/>
      </c>
      <c r="BA493" s="135" t="str">
        <f aca="false">IF(ISBLANK($C493),"",IF(AA493=Constants!$B$3,TRUE(),IF(AA493=Constants!$B$4,FALSE(),FALSE())))</f>
        <v/>
      </c>
      <c r="BB493" s="134" t="str">
        <f aca="false">IF(ISBLANK($C493),"",AND($AL493,OR($AM493="",$AN493="",AND($AO493,$AP493=""))))</f>
        <v/>
      </c>
      <c r="BC493" s="137" t="str">
        <f aca="false">IF($BZ493&lt;&gt;Constants!$B$8,"",IF($AL493,Constants!$B$21*$AN493+Constants!$B$22*IF($AO493,$AP493,Constants!$B$23),Constants!$B$24))</f>
        <v/>
      </c>
      <c r="BD493" s="138" t="str">
        <f aca="false">IF($BZ493&lt;&gt;Constants!$B$8,"",Constants!$B$25*ABS($AD$9-IF($AL493,$AM493,0)))</f>
        <v/>
      </c>
      <c r="BE493" s="138" t="str">
        <f aca="false">IF($BZ493&lt;&gt;Constants!$B$8,"",IF(AND($AL493,$AQ493,$AO493),Constants!$B$27,0))</f>
        <v/>
      </c>
      <c r="BF493" s="138" t="str">
        <f aca="false">IF($BZ493&lt;&gt;Constants!$B$8,"",IF($AL493,($AI493-Constants!$B$29)*Constants!$B$28,0))</f>
        <v/>
      </c>
      <c r="BG493" s="138" t="str">
        <f aca="false">IF($BZ493&lt;&gt;Constants!$B$8,"",IF($AK493,0,Constants!$B$15)+IF($AJ493,0,Constants!$B$16)+IF($AH493,0,Constants!$B$17))</f>
        <v/>
      </c>
      <c r="BH493" s="139" t="str">
        <f aca="false">IF($BZ493&lt;&gt;Constants!$B$8,"",Constants!$B$20+SUM($BC493:$BG493))</f>
        <v/>
      </c>
      <c r="BI493" s="138" t="str">
        <f aca="false">IF($BZ493&lt;&gt;Constants!$B$8,"",$BC493)</f>
        <v/>
      </c>
      <c r="BJ493" s="138" t="str">
        <f aca="false">IF($BZ493&lt;&gt;Constants!$B$8,"",$BD493)</f>
        <v/>
      </c>
      <c r="BK493" s="138" t="str">
        <f aca="false">IF($BZ493&lt;&gt;Constants!$B$8,"",IF($AL493,$AN493,""))</f>
        <v/>
      </c>
      <c r="BL493" s="140" t="str">
        <f aca="false">IF($BZ493&lt;&gt;Constants!$B$8,"",$AI493)</f>
        <v/>
      </c>
      <c r="BM493" s="135" t="str">
        <f aca="false">IF($BZ493&lt;&gt;Constants!$B$8,"",IF(OR($BT493&lt;$BH493,AND($BT493=$BH493,OR($BU493&lt;$BI493,AND($BU493=$BI493,OR($BV493&lt;$BJ493,AND($BV493=$BJ493,OR(AND(ISNUMBER($BW493),OR(NOT(ISNUMBER($BK493)),$BW493&lt;$BK493)),AND(OR(AND($BW493="",$BK493=""),AND(ISNUMBER($BW493),ISNUMBER($BK493),$BW493=$BK493)),$BX493&lt;$BL493)))))))),"-&gt;","&lt;-"))</f>
        <v/>
      </c>
      <c r="BN493" s="134" t="str">
        <f aca="false">IF(ISBLANK($C493),"",AND($AT493,OR($AU493="",$AV493="",AND($AW493,$AX493=""))))</f>
        <v/>
      </c>
      <c r="BO493" s="137" t="str">
        <f aca="false">IF($BZ493&lt;&gt;Constants!$B$8,"",IF($AT493,Constants!$B$21*$AV493+Constants!$B$22*IF($AW493,$AX493,Constants!$B$23),Constants!$B$24))</f>
        <v/>
      </c>
      <c r="BP493" s="138" t="str">
        <f aca="false">IF($BZ493&lt;&gt;Constants!$B$8,"",Constants!$B$25*ABS($AD$9-IF($AT493,$AU493,0)))</f>
        <v/>
      </c>
      <c r="BQ493" s="138" t="str">
        <f aca="false">IF($BZ493&lt;&gt;Constants!$B$8,"",IF(AND($AT493,$AY493,$AW493),Constants!$B$27,0))</f>
        <v/>
      </c>
      <c r="BR493" s="138" t="str">
        <f aca="false">IF($BZ493&lt;&gt;Constants!$B$8,"",IF($AT493,($AI493-Constants!$B$29)*Constants!$B$28,0))</f>
        <v/>
      </c>
      <c r="BS493" s="138" t="str">
        <f aca="false">IF($BZ493&lt;&gt;Constants!$B$8,"",IF($AS493,0,Constants!$B$15)+IF($AR493,0,Constants!$B$16)+IF($AH493,0,Constants!$B$17))</f>
        <v/>
      </c>
      <c r="BT493" s="139" t="str">
        <f aca="false">IF($BZ493&lt;&gt;Constants!$B$8,"",Constants!$B$20+SUM($BO493:$BS493))</f>
        <v/>
      </c>
      <c r="BU493" s="138" t="str">
        <f aca="false">IF($BZ493&lt;&gt;Constants!$B$8,"",$BO493)</f>
        <v/>
      </c>
      <c r="BV493" s="138" t="str">
        <f aca="false">IF($BZ493&lt;&gt;Constants!$B$8,"",$BP493)</f>
        <v/>
      </c>
      <c r="BW493" s="138" t="str">
        <f aca="false">IF($BZ493&lt;&gt;Constants!$B$8,"",IF($AT493,$AV493,""))</f>
        <v/>
      </c>
      <c r="BX493" s="140" t="str">
        <f aca="false">IF($BZ493&lt;&gt;Constants!$B$8,"",$AI493)</f>
        <v/>
      </c>
      <c r="BY493" s="135" t="str">
        <f aca="false">IF(ISBLANK($C493),"",IF(ISBLANK($D$7),$BY$5,IF(NOT(ISNUMBER($D$7)),$BY$6,"")))</f>
        <v/>
      </c>
      <c r="BZ493" s="135" t="str">
        <f aca="false">IF(ISBLANK($C493),"",IF($BA493,Constants!$B$11,IF(COUNTA($E493:$AA493)=0,Constants!$B$10,IF(NOT($AG493),Constants!$B$9,IF(OR($BY493&lt;&gt;"",$BB493,$BN493),Constants!$B$12,Constants!$B$8)))))</f>
        <v/>
      </c>
      <c r="CA493" s="135" t="str">
        <f aca="false">IF(ISBLANK($C493),"",IF($BZ493&lt;&gt;Constants!$B$8,$BZ493,Constants!$B$13))</f>
        <v/>
      </c>
      <c r="CB493" s="138" t="str">
        <f aca="false">IF($BZ493&lt;&gt;Constants!$B$8,"",IF($BM493="-&gt;",$BT493,$BH493))</f>
        <v/>
      </c>
      <c r="CC493" s="138" t="str">
        <f aca="false">IF($BZ493&lt;&gt;Constants!$B$8,"",IF($AF493,0,Constants!$B$18))</f>
        <v/>
      </c>
      <c r="CD493" s="138" t="str">
        <f aca="false">IF($BZ493&lt;&gt;Constants!$B$8,"",((Constants!$B$31-$AZ493)-Constants!$B$31)/Constants!$B$32)</f>
        <v/>
      </c>
      <c r="CE493" s="138" t="str">
        <f aca="false">IF(ISBLANK($C493),"",IF($BZ493&lt;&gt;Constants!$B$8,$BZ493,SUM($CB493:$CD493)))</f>
        <v/>
      </c>
      <c r="CF493" s="135" t="str">
        <f aca="false">IF(ISBLANK($C493),"",IF($BZ493&lt;&gt;Constants!$B$8,$BZ493,RANK($CE493,$CE$9:$CE$508,1)))</f>
        <v/>
      </c>
      <c r="CG493" s="138" t="str">
        <f aca="false">IF($BZ493&lt;&gt;Constants!$B$8,"",IF($BM493="-&gt;",$BU493,$BI493))</f>
        <v/>
      </c>
      <c r="CH493" s="135" t="str">
        <f aca="false">IF(ISBLANK($C493),"",IF($BZ493&lt;&gt;Constants!$B$8,$BZ493,IF(ISNUMBER($CG493),RANK($CG493,$CG$9:$CG$508,1),COUNT($CG$9:$CG$508)+1)))</f>
        <v/>
      </c>
      <c r="CI493" s="138" t="str">
        <f aca="false">IF($BZ493&lt;&gt;Constants!$B$8,"",IF($BM493="-&gt;",$BV493,$BJ493))</f>
        <v/>
      </c>
      <c r="CJ493" s="135" t="str">
        <f aca="false">IF(ISBLANK($C493),"",IF($BZ493&lt;&gt;Constants!$B$8,$BZ493,IF(ISNUMBER($CI493),RANK($CI493,$CI$9:$CI$508,1),COUNT($CI$9:$CI$508)+1)))</f>
        <v/>
      </c>
      <c r="CK493" s="138" t="str">
        <f aca="false">IF($BZ493&lt;&gt;Constants!$B$8,"",IF($BM493="-&gt;",$BW493,$BK493))</f>
        <v/>
      </c>
      <c r="CL493" s="135" t="str">
        <f aca="false">IF(ISBLANK($C493),"",IF($BZ493&lt;&gt;Constants!$B$8,$BZ493,IF(ISNUMBER($CK493),RANK($CK493,$CK$9:$CK$508,1),COUNT($CK$9:$CK$508)+1)))</f>
        <v/>
      </c>
      <c r="CM493" s="138" t="str">
        <f aca="false">IF($BZ493&lt;&gt;Constants!$B$8,"",IF(AND(NOT($AL493),NOT($AT493),$AJ493,$AK493,$AR493,$AS493),"",IF($BM493="-&gt;",$BX493,$BL493)))</f>
        <v/>
      </c>
      <c r="CN493" s="135" t="str">
        <f aca="false">IF(ISBLANK($C493),"",IF($BZ493&lt;&gt;Constants!$B$8,$BZ493,IF(ISNUMBER($CM493),RANK($CM493,$CM$9:$CM$508,1),COUNT($CM$9:$CM$508)+1)))</f>
        <v/>
      </c>
      <c r="CO493" s="135" t="str">
        <f aca="false">IF(ISBLANK($C493),"",IF($BZ493&lt;&gt;Constants!$B$8,$BZ493,COUNTIFS($CF$9:$CF$508,"&lt;"&amp;$CF493)+COUNTIFS($CF$9:$CF$508,$CF493,$CH$9:$CH$508,"&lt;"&amp;$CH493)+COUNTIFS($CF$9:$CF$508,$CF493,$CH$9:$CH$508,$CH493,$CJ$9:$CJ$508,"&lt;"&amp;$CJ493)+COUNTIFS($CF$9:$CF$508,$CF493,$CH$9:$CH$508,$CH493,$CJ$9:$CJ$508,$CJ493,$CL$9:$CL$508,"&lt;"&amp;$CL493)+COUNTIFS($CF$9:$CF$508,$CF493,$CH$9:$CH$508,$CH493,$CJ$9:$CJ$508,$CJ493,$CL$9:$CL$508,$CL493,$CN$9:$CN$508,"&lt;"&amp;$CN493)+1))</f>
        <v/>
      </c>
      <c r="CP493" s="135" t="str">
        <f aca="false">IF(ISBLANK($C493),"",IF($BZ493&lt;&gt;Constants!$B$8,$BZ493,$CF493-$CO493))</f>
        <v/>
      </c>
      <c r="CQ493" s="141"/>
      <c r="CR493" s="142"/>
      <c r="CS493" s="143" t="str">
        <f aca="false">IF(ISBLANK($C493),"",IF($BZ493=Constants!$B$12,$BY493,""))</f>
        <v/>
      </c>
      <c r="CT493" s="142" t="str">
        <f aca="false">IF(ISBLANK($C493),"",IF($BZ493&lt;&gt;Constants!$B$8,"",IF($BM493="-&gt;",2,1)))</f>
        <v/>
      </c>
      <c r="CU493" s="144" t="str">
        <f aca="false">IF(ISBLANK($C493),"",IF($BZ493&lt;&gt;Constants!$B$8,"",IF($BM493="-&gt;",$BO493,$BC493)))</f>
        <v/>
      </c>
      <c r="CV493" s="144" t="str">
        <f aca="false">IF(ISBLANK($C493),"",IF($BZ493&lt;&gt;Constants!$B$8,"",IF($BM493="-&gt;",$BP493,$BD493)))</f>
        <v/>
      </c>
      <c r="CW493" s="144" t="str">
        <f aca="false">IF(ISBLANK($C493),"",IF($BZ493&lt;&gt;Constants!$B$8,"",IF($BM493="-&gt;",$BQ493+$BR493,$BE493+$BF493)+$CD493))</f>
        <v/>
      </c>
      <c r="CX493" s="144" t="str">
        <f aca="false">IF(ISBLANK($C493),"",IF($BZ493&lt;&gt;Constants!$B$8,"",IF($BM493="-&gt;",$BS493,$BG493)+$CC493))</f>
        <v/>
      </c>
      <c r="CY493" s="145" t="str">
        <f aca="false">IF(ISBLANK($C493),"",IF($BZ493&lt;&gt;Constants!$B$8,$BZ493,$CE493))</f>
        <v/>
      </c>
      <c r="CZ493" s="146" t="str">
        <f aca="false">IF(ISBLANK($C493),"",$CA493)</f>
        <v/>
      </c>
      <c r="DA493" s="147" t="str">
        <f aca="false">IF(ISBLANK($C493),"",$CP493)</f>
        <v/>
      </c>
      <c r="DB493" s="147" t="str">
        <f aca="false">IF(ISBLANK($C493),"",$CO493)</f>
        <v/>
      </c>
      <c r="DC493" s="148" t="str">
        <f aca="false">IF(ISBLANK($C493),"",IFERROR(_xlfn.SWITCH($DB493,Constants!$B$11,COUNTA($C$9:$C$508)+2,Constants!$B$10,COUNTA($C$9:$C$508)+1,Constants!$B$9,COUNTA($C$9:$C$508)),$DB493))</f>
        <v/>
      </c>
      <c r="DD493" s="9"/>
      <c r="DE493" s="149" t="n">
        <f aca="false">IF(OR(ISNUMBER($DB493),$DB493=Constants!$B$11,$DB493=Constants!$B$9,$DB493=Constants!$B$10),1,0)</f>
        <v>0</v>
      </c>
      <c r="DF493" s="149" t="n">
        <v>485</v>
      </c>
      <c r="DG493" s="149" t="str">
        <f aca="false">IF(ISBLANK($C493),"",IF(ISNUMBER($DC493),$DC493+ROW($B493)/1000,""))</f>
        <v/>
      </c>
      <c r="DH493" s="149" t="str">
        <f aca="false">IF(ISNUMBER($DG493),RANK($DG493,$DG$9:$DG$508,1),"")</f>
        <v/>
      </c>
      <c r="DI493" s="149" t="str">
        <f aca="false">IF(ISBLANK($C493),"",$B493)</f>
        <v/>
      </c>
      <c r="DJ493" s="149" t="str">
        <f aca="false">IF(ISBLANK($C493),"",$C493)</f>
        <v/>
      </c>
      <c r="DK493" s="149" t="str">
        <f aca="false">IF(ISBLANK($C493),"",$D493)</f>
        <v/>
      </c>
      <c r="DL493" s="150" t="str">
        <f aca="false">$CZ493</f>
        <v/>
      </c>
      <c r="DM493" s="151" t="str">
        <f aca="false">$CY493</f>
        <v/>
      </c>
      <c r="DN493" s="149" t="str">
        <f aca="false">IF(ISBLANK($C493),"",$DB493)</f>
        <v/>
      </c>
      <c r="DO493" s="152" t="str">
        <f aca="false">IF($DF493&gt;$DE$8,"",VLOOKUP($DF493,$DH$9:$DN$508,7,FALSE()))</f>
        <v/>
      </c>
      <c r="DP493" s="153" t="str">
        <f aca="false">IF($DF493&gt;$DE$8,"",VLOOKUP($DF493,$DH$9:$DN$508,2,FALSE()))</f>
        <v/>
      </c>
      <c r="DQ493" s="153" t="str">
        <f aca="false">IF($DF493&gt;$DE$8,"",VLOOKUP($DF493,$DH$9:$DN$508,3,FALSE()))</f>
        <v/>
      </c>
      <c r="DR493" s="153" t="str">
        <f aca="false">IF($DF493&gt;$DE$8,"",VLOOKUP($DF493,$DH$9:$DN$508,4,FALSE()))</f>
        <v/>
      </c>
      <c r="DS493" s="153" t="str">
        <f aca="false">IF($DF493&gt;$DE$8,"",VLOOKUP($DF493,$DH$9:$DN$508,5,FALSE()))</f>
        <v/>
      </c>
      <c r="DT493" s="154" t="str">
        <f aca="false">IF($DF493&gt;$DE$8,"",VLOOKUP($DF493,$DH$9:$DN$508,6,FALSE()))</f>
        <v/>
      </c>
      <c r="DU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IF(ISBLANK($C494),"",IF(E494=Constants!$B$3,TRUE(),IF(E494=Constants!$B$4,FALSE(),TRUE())))</f>
        <v/>
      </c>
      <c r="AG494" s="135" t="str">
        <f aca="false">IF(ISBLANK($C494),"",IF(F494=Constants!$B$3,TRUE(),IF(F494=Constants!$B$4,FALSE(),TRUE())))</f>
        <v/>
      </c>
      <c r="AH494" s="135" t="str">
        <f aca="false">IF(ISBLANK($C494),"",IF(G494=Constants!$B$3,TRUE(),IF(G494=Constants!$B$4,FALSE(),TRUE())))</f>
        <v/>
      </c>
      <c r="AI494" s="135" t="str">
        <f aca="false">IF(ISBLANK($C494),"",IF(AND(ISNUMBER(H494),H494&gt;=0),H494,Constants!$B$29))</f>
        <v/>
      </c>
      <c r="AJ494" s="135" t="str">
        <f aca="false">IF(ISBLANK($C494),"",IF(I494=Constants!$B$3,TRUE(),IF(I494=Constants!$B$4,FALSE(),TRUE())))</f>
        <v/>
      </c>
      <c r="AK494" s="135" t="str">
        <f aca="false">IF(ISBLANK($C494),"",IF(J494=Constants!$B$3,TRUE(),IF(J494=Constants!$B$4,FALSE(),TRUE())))</f>
        <v/>
      </c>
      <c r="AL494" s="135" t="str">
        <f aca="false">IF(ISBLANK($C494),"",IF(K494=Constants!$B$5,TRUE(),IF(K494=Constants!$B$6,FALSE(),COUNTA(L494:P494)&gt;0)))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IF(ISBLANK($C494),"",IF(N494=Constants!$B$3,TRUE(),IF(N494=Constants!$B$4,FALSE(),TRUE())))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IF(ISBLANK($C494),"",IF(P494=Constants!$B$3,TRUE(),IF(P494=Constants!$B$4,FALSE(),FALSE())))</f>
        <v/>
      </c>
      <c r="AR494" s="135" t="str">
        <f aca="false">IF(ISBLANK($C494),"",IF(Q494=Constants!$B$3,TRUE(),IF(Q494=Constants!$B$4,FALSE(),TRUE())))</f>
        <v/>
      </c>
      <c r="AS494" s="135" t="str">
        <f aca="false">IF(ISBLANK($C494),"",IF(R494=Constants!$B$3,TRUE(),IF(R494=Constants!$B$4,FALSE(),TRUE())))</f>
        <v/>
      </c>
      <c r="AT494" s="135" t="str">
        <f aca="false">IF(ISBLANK($C494),"",IF(S494=Constants!$B$5,TRUE(),IF(S494=Constants!$B$6,FALSE(),COUNTA(T494:X494)&gt;0)))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IF(ISBLANK($C494),"",IF(V494=Constants!$B$3,TRUE(),IF(V494=Constants!$B$4,FALSE(),TRUE())))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IF(ISBLANK($C494),"",IF(X494=Constants!$B$3,TRUE(),IF(X494=Constants!$B$4,FALSE(),FALSE())))</f>
        <v/>
      </c>
      <c r="AZ494" s="135" t="str">
        <f aca="false">IF(ISBLANK($C494),"",MIN(Constants!$B$31,MAX(0,IF(ISNUMBER(Y494),Y494*60,0)+IF(ISNUMBER(Z494),Z494,0))))</f>
        <v/>
      </c>
      <c r="BA494" s="135" t="str">
        <f aca="false">IF(ISBLANK($C494),"",IF(AA494=Constants!$B$3,TRUE(),IF(AA494=Constants!$B$4,FALSE(),FALSE())))</f>
        <v/>
      </c>
      <c r="BB494" s="134" t="str">
        <f aca="false">IF(ISBLANK($C494),"",AND($AL494,OR($AM494="",$AN494="",AND($AO494,$AP494=""))))</f>
        <v/>
      </c>
      <c r="BC494" s="137" t="str">
        <f aca="false">IF($BZ494&lt;&gt;Constants!$B$8,"",IF($AL494,Constants!$B$21*$AN494+Constants!$B$22*IF($AO494,$AP494,Constants!$B$23),Constants!$B$24))</f>
        <v/>
      </c>
      <c r="BD494" s="138" t="str">
        <f aca="false">IF($BZ494&lt;&gt;Constants!$B$8,"",Constants!$B$25*ABS($AD$9-IF($AL494,$AM494,0)))</f>
        <v/>
      </c>
      <c r="BE494" s="138" t="str">
        <f aca="false">IF($BZ494&lt;&gt;Constants!$B$8,"",IF(AND($AL494,$AQ494,$AO494),Constants!$B$27,0))</f>
        <v/>
      </c>
      <c r="BF494" s="138" t="str">
        <f aca="false">IF($BZ494&lt;&gt;Constants!$B$8,"",IF($AL494,($AI494-Constants!$B$29)*Constants!$B$28,0))</f>
        <v/>
      </c>
      <c r="BG494" s="138" t="str">
        <f aca="false">IF($BZ494&lt;&gt;Constants!$B$8,"",IF($AK494,0,Constants!$B$15)+IF($AJ494,0,Constants!$B$16)+IF($AH494,0,Constants!$B$17))</f>
        <v/>
      </c>
      <c r="BH494" s="139" t="str">
        <f aca="false">IF($BZ494&lt;&gt;Constants!$B$8,"",Constants!$B$20+SUM($BC494:$BG494))</f>
        <v/>
      </c>
      <c r="BI494" s="138" t="str">
        <f aca="false">IF($BZ494&lt;&gt;Constants!$B$8,"",$BC494)</f>
        <v/>
      </c>
      <c r="BJ494" s="138" t="str">
        <f aca="false">IF($BZ494&lt;&gt;Constants!$B$8,"",$BD494)</f>
        <v/>
      </c>
      <c r="BK494" s="138" t="str">
        <f aca="false">IF($BZ494&lt;&gt;Constants!$B$8,"",IF($AL494,$AN494,""))</f>
        <v/>
      </c>
      <c r="BL494" s="140" t="str">
        <f aca="false">IF($BZ494&lt;&gt;Constants!$B$8,"",$AI494)</f>
        <v/>
      </c>
      <c r="BM494" s="135" t="str">
        <f aca="false">IF($BZ494&lt;&gt;Constants!$B$8,"",IF(OR($BT494&lt;$BH494,AND($BT494=$BH494,OR($BU494&lt;$BI494,AND($BU494=$BI494,OR($BV494&lt;$BJ494,AND($BV494=$BJ494,OR(AND(ISNUMBER($BW494),OR(NOT(ISNUMBER($BK494)),$BW494&lt;$BK494)),AND(OR(AND($BW494="",$BK494=""),AND(ISNUMBER($BW494),ISNUMBER($BK494),$BW494=$BK494)),$BX494&lt;$BL494)))))))),"-&gt;","&lt;-"))</f>
        <v/>
      </c>
      <c r="BN494" s="134" t="str">
        <f aca="false">IF(ISBLANK($C494),"",AND($AT494,OR($AU494="",$AV494="",AND($AW494,$AX494=""))))</f>
        <v/>
      </c>
      <c r="BO494" s="137" t="str">
        <f aca="false">IF($BZ494&lt;&gt;Constants!$B$8,"",IF($AT494,Constants!$B$21*$AV494+Constants!$B$22*IF($AW494,$AX494,Constants!$B$23),Constants!$B$24))</f>
        <v/>
      </c>
      <c r="BP494" s="138" t="str">
        <f aca="false">IF($BZ494&lt;&gt;Constants!$B$8,"",Constants!$B$25*ABS($AD$9-IF($AT494,$AU494,0)))</f>
        <v/>
      </c>
      <c r="BQ494" s="138" t="str">
        <f aca="false">IF($BZ494&lt;&gt;Constants!$B$8,"",IF(AND($AT494,$AY494,$AW494),Constants!$B$27,0))</f>
        <v/>
      </c>
      <c r="BR494" s="138" t="str">
        <f aca="false">IF($BZ494&lt;&gt;Constants!$B$8,"",IF($AT494,($AI494-Constants!$B$29)*Constants!$B$28,0))</f>
        <v/>
      </c>
      <c r="BS494" s="138" t="str">
        <f aca="false">IF($BZ494&lt;&gt;Constants!$B$8,"",IF($AS494,0,Constants!$B$15)+IF($AR494,0,Constants!$B$16)+IF($AH494,0,Constants!$B$17))</f>
        <v/>
      </c>
      <c r="BT494" s="139" t="str">
        <f aca="false">IF($BZ494&lt;&gt;Constants!$B$8,"",Constants!$B$20+SUM($BO494:$BS494))</f>
        <v/>
      </c>
      <c r="BU494" s="138" t="str">
        <f aca="false">IF($BZ494&lt;&gt;Constants!$B$8,"",$BO494)</f>
        <v/>
      </c>
      <c r="BV494" s="138" t="str">
        <f aca="false">IF($BZ494&lt;&gt;Constants!$B$8,"",$BP494)</f>
        <v/>
      </c>
      <c r="BW494" s="138" t="str">
        <f aca="false">IF($BZ494&lt;&gt;Constants!$B$8,"",IF($AT494,$AV494,""))</f>
        <v/>
      </c>
      <c r="BX494" s="140" t="str">
        <f aca="false">IF($BZ494&lt;&gt;Constants!$B$8,"",$AI494)</f>
        <v/>
      </c>
      <c r="BY494" s="135" t="str">
        <f aca="false">IF(ISBLANK($C494),"",IF(ISBLANK($D$7),$BY$5,IF(NOT(ISNUMBER($D$7)),$BY$6,"")))</f>
        <v/>
      </c>
      <c r="BZ494" s="135" t="str">
        <f aca="false">IF(ISBLANK($C494),"",IF($BA494,Constants!$B$11,IF(COUNTA($E494:$AA494)=0,Constants!$B$10,IF(NOT($AG494),Constants!$B$9,IF(OR($BY494&lt;&gt;"",$BB494,$BN494),Constants!$B$12,Constants!$B$8)))))</f>
        <v/>
      </c>
      <c r="CA494" s="135" t="str">
        <f aca="false">IF(ISBLANK($C494),"",IF($BZ494&lt;&gt;Constants!$B$8,$BZ494,Constants!$B$13))</f>
        <v/>
      </c>
      <c r="CB494" s="138" t="str">
        <f aca="false">IF($BZ494&lt;&gt;Constants!$B$8,"",IF($BM494="-&gt;",$BT494,$BH494))</f>
        <v/>
      </c>
      <c r="CC494" s="138" t="str">
        <f aca="false">IF($BZ494&lt;&gt;Constants!$B$8,"",IF($AF494,0,Constants!$B$18))</f>
        <v/>
      </c>
      <c r="CD494" s="138" t="str">
        <f aca="false">IF($BZ494&lt;&gt;Constants!$B$8,"",((Constants!$B$31-$AZ494)-Constants!$B$31)/Constants!$B$32)</f>
        <v/>
      </c>
      <c r="CE494" s="138" t="str">
        <f aca="false">IF(ISBLANK($C494),"",IF($BZ494&lt;&gt;Constants!$B$8,$BZ494,SUM($CB494:$CD494)))</f>
        <v/>
      </c>
      <c r="CF494" s="135" t="str">
        <f aca="false">IF(ISBLANK($C494),"",IF($BZ494&lt;&gt;Constants!$B$8,$BZ494,RANK($CE494,$CE$9:$CE$508,1)))</f>
        <v/>
      </c>
      <c r="CG494" s="138" t="str">
        <f aca="false">IF($BZ494&lt;&gt;Constants!$B$8,"",IF($BM494="-&gt;",$BU494,$BI494))</f>
        <v/>
      </c>
      <c r="CH494" s="135" t="str">
        <f aca="false">IF(ISBLANK($C494),"",IF($BZ494&lt;&gt;Constants!$B$8,$BZ494,IF(ISNUMBER($CG494),RANK($CG494,$CG$9:$CG$508,1),COUNT($CG$9:$CG$508)+1)))</f>
        <v/>
      </c>
      <c r="CI494" s="138" t="str">
        <f aca="false">IF($BZ494&lt;&gt;Constants!$B$8,"",IF($BM494="-&gt;",$BV494,$BJ494))</f>
        <v/>
      </c>
      <c r="CJ494" s="135" t="str">
        <f aca="false">IF(ISBLANK($C494),"",IF($BZ494&lt;&gt;Constants!$B$8,$BZ494,IF(ISNUMBER($CI494),RANK($CI494,$CI$9:$CI$508,1),COUNT($CI$9:$CI$508)+1)))</f>
        <v/>
      </c>
      <c r="CK494" s="138" t="str">
        <f aca="false">IF($BZ494&lt;&gt;Constants!$B$8,"",IF($BM494="-&gt;",$BW494,$BK494))</f>
        <v/>
      </c>
      <c r="CL494" s="135" t="str">
        <f aca="false">IF(ISBLANK($C494),"",IF($BZ494&lt;&gt;Constants!$B$8,$BZ494,IF(ISNUMBER($CK494),RANK($CK494,$CK$9:$CK$508,1),COUNT($CK$9:$CK$508)+1)))</f>
        <v/>
      </c>
      <c r="CM494" s="138" t="str">
        <f aca="false">IF($BZ494&lt;&gt;Constants!$B$8,"",IF(AND(NOT($AL494),NOT($AT494),$AJ494,$AK494,$AR494,$AS494),"",IF($BM494="-&gt;",$BX494,$BL494)))</f>
        <v/>
      </c>
      <c r="CN494" s="135" t="str">
        <f aca="false">IF(ISBLANK($C494),"",IF($BZ494&lt;&gt;Constants!$B$8,$BZ494,IF(ISNUMBER($CM494),RANK($CM494,$CM$9:$CM$508,1),COUNT($CM$9:$CM$508)+1)))</f>
        <v/>
      </c>
      <c r="CO494" s="135" t="str">
        <f aca="false">IF(ISBLANK($C494),"",IF($BZ494&lt;&gt;Constants!$B$8,$BZ494,COUNTIFS($CF$9:$CF$508,"&lt;"&amp;$CF494)+COUNTIFS($CF$9:$CF$508,$CF494,$CH$9:$CH$508,"&lt;"&amp;$CH494)+COUNTIFS($CF$9:$CF$508,$CF494,$CH$9:$CH$508,$CH494,$CJ$9:$CJ$508,"&lt;"&amp;$CJ494)+COUNTIFS($CF$9:$CF$508,$CF494,$CH$9:$CH$508,$CH494,$CJ$9:$CJ$508,$CJ494,$CL$9:$CL$508,"&lt;"&amp;$CL494)+COUNTIFS($CF$9:$CF$508,$CF494,$CH$9:$CH$508,$CH494,$CJ$9:$CJ$508,$CJ494,$CL$9:$CL$508,$CL494,$CN$9:$CN$508,"&lt;"&amp;$CN494)+1))</f>
        <v/>
      </c>
      <c r="CP494" s="135" t="str">
        <f aca="false">IF(ISBLANK($C494),"",IF($BZ494&lt;&gt;Constants!$B$8,$BZ494,$CF494-$CO494))</f>
        <v/>
      </c>
      <c r="CQ494" s="141"/>
      <c r="CR494" s="142"/>
      <c r="CS494" s="143" t="str">
        <f aca="false">IF(ISBLANK($C494),"",IF($BZ494=Constants!$B$12,$BY494,""))</f>
        <v/>
      </c>
      <c r="CT494" s="142" t="str">
        <f aca="false">IF(ISBLANK($C494),"",IF($BZ494&lt;&gt;Constants!$B$8,"",IF($BM494="-&gt;",2,1)))</f>
        <v/>
      </c>
      <c r="CU494" s="144" t="str">
        <f aca="false">IF(ISBLANK($C494),"",IF($BZ494&lt;&gt;Constants!$B$8,"",IF($BM494="-&gt;",$BO494,$BC494)))</f>
        <v/>
      </c>
      <c r="CV494" s="144" t="str">
        <f aca="false">IF(ISBLANK($C494),"",IF($BZ494&lt;&gt;Constants!$B$8,"",IF($BM494="-&gt;",$BP494,$BD494)))</f>
        <v/>
      </c>
      <c r="CW494" s="144" t="str">
        <f aca="false">IF(ISBLANK($C494),"",IF($BZ494&lt;&gt;Constants!$B$8,"",IF($BM494="-&gt;",$BQ494+$BR494,$BE494+$BF494)+$CD494))</f>
        <v/>
      </c>
      <c r="CX494" s="144" t="str">
        <f aca="false">IF(ISBLANK($C494),"",IF($BZ494&lt;&gt;Constants!$B$8,"",IF($BM494="-&gt;",$BS494,$BG494)+$CC494))</f>
        <v/>
      </c>
      <c r="CY494" s="145" t="str">
        <f aca="false">IF(ISBLANK($C494),"",IF($BZ494&lt;&gt;Constants!$B$8,$BZ494,$CE494))</f>
        <v/>
      </c>
      <c r="CZ494" s="146" t="str">
        <f aca="false">IF(ISBLANK($C494),"",$CA494)</f>
        <v/>
      </c>
      <c r="DA494" s="147" t="str">
        <f aca="false">IF(ISBLANK($C494),"",$CP494)</f>
        <v/>
      </c>
      <c r="DB494" s="147" t="str">
        <f aca="false">IF(ISBLANK($C494),"",$CO494)</f>
        <v/>
      </c>
      <c r="DC494" s="148" t="str">
        <f aca="false">IF(ISBLANK($C494),"",IFERROR(_xlfn.SWITCH($DB494,Constants!$B$11,COUNTA($C$9:$C$508)+2,Constants!$B$10,COUNTA($C$9:$C$508)+1,Constants!$B$9,COUNTA($C$9:$C$508)),$DB494))</f>
        <v/>
      </c>
      <c r="DD494" s="9"/>
      <c r="DE494" s="149" t="n">
        <f aca="false">IF(OR(ISNUMBER($DB494),$DB494=Constants!$B$11,$DB494=Constants!$B$9,$DB494=Constants!$B$10),1,0)</f>
        <v>0</v>
      </c>
      <c r="DF494" s="149" t="n">
        <v>486</v>
      </c>
      <c r="DG494" s="149" t="str">
        <f aca="false">IF(ISBLANK($C494),"",IF(ISNUMBER($DC494),$DC494+ROW($B494)/1000,""))</f>
        <v/>
      </c>
      <c r="DH494" s="149" t="str">
        <f aca="false">IF(ISNUMBER($DG494),RANK($DG494,$DG$9:$DG$508,1),"")</f>
        <v/>
      </c>
      <c r="DI494" s="149" t="str">
        <f aca="false">IF(ISBLANK($C494),"",$B494)</f>
        <v/>
      </c>
      <c r="DJ494" s="149" t="str">
        <f aca="false">IF(ISBLANK($C494),"",$C494)</f>
        <v/>
      </c>
      <c r="DK494" s="149" t="str">
        <f aca="false">IF(ISBLANK($C494),"",$D494)</f>
        <v/>
      </c>
      <c r="DL494" s="150" t="str">
        <f aca="false">$CZ494</f>
        <v/>
      </c>
      <c r="DM494" s="151" t="str">
        <f aca="false">$CY494</f>
        <v/>
      </c>
      <c r="DN494" s="149" t="str">
        <f aca="false">IF(ISBLANK($C494),"",$DB494)</f>
        <v/>
      </c>
      <c r="DO494" s="152" t="str">
        <f aca="false">IF($DF494&gt;$DE$8,"",VLOOKUP($DF494,$DH$9:$DN$508,7,FALSE()))</f>
        <v/>
      </c>
      <c r="DP494" s="153" t="str">
        <f aca="false">IF($DF494&gt;$DE$8,"",VLOOKUP($DF494,$DH$9:$DN$508,2,FALSE()))</f>
        <v/>
      </c>
      <c r="DQ494" s="153" t="str">
        <f aca="false">IF($DF494&gt;$DE$8,"",VLOOKUP($DF494,$DH$9:$DN$508,3,FALSE()))</f>
        <v/>
      </c>
      <c r="DR494" s="153" t="str">
        <f aca="false">IF($DF494&gt;$DE$8,"",VLOOKUP($DF494,$DH$9:$DN$508,4,FALSE()))</f>
        <v/>
      </c>
      <c r="DS494" s="153" t="str">
        <f aca="false">IF($DF494&gt;$DE$8,"",VLOOKUP($DF494,$DH$9:$DN$508,5,FALSE()))</f>
        <v/>
      </c>
      <c r="DT494" s="154" t="str">
        <f aca="false">IF($DF494&gt;$DE$8,"",VLOOKUP($DF494,$DH$9:$DN$508,6,FALSE()))</f>
        <v/>
      </c>
      <c r="DU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IF(ISBLANK($C495),"",IF(E495=Constants!$B$3,TRUE(),IF(E495=Constants!$B$4,FALSE(),TRUE())))</f>
        <v/>
      </c>
      <c r="AG495" s="93" t="str">
        <f aca="false">IF(ISBLANK($C495),"",IF(F495=Constants!$B$3,TRUE(),IF(F495=Constants!$B$4,FALSE(),TRUE())))</f>
        <v/>
      </c>
      <c r="AH495" s="93" t="str">
        <f aca="false">IF(ISBLANK($C495),"",IF(G495=Constants!$B$3,TRUE(),IF(G495=Constants!$B$4,FALSE(),TRUE())))</f>
        <v/>
      </c>
      <c r="AI495" s="93" t="str">
        <f aca="false">IF(ISBLANK($C495),"",IF(AND(ISNUMBER(H495),H495&gt;=0),H495,Constants!$B$29))</f>
        <v/>
      </c>
      <c r="AJ495" s="93" t="str">
        <f aca="false">IF(ISBLANK($C495),"",IF(I495=Constants!$B$3,TRUE(),IF(I495=Constants!$B$4,FALSE(),TRUE())))</f>
        <v/>
      </c>
      <c r="AK495" s="93" t="str">
        <f aca="false">IF(ISBLANK($C495),"",IF(J495=Constants!$B$3,TRUE(),IF(J495=Constants!$B$4,FALSE(),TRUE())))</f>
        <v/>
      </c>
      <c r="AL495" s="93" t="str">
        <f aca="false">IF(ISBLANK($C495),"",IF(K495=Constants!$B$5,TRUE(),IF(K495=Constants!$B$6,FALSE(),COUNTA(L495:P495)&gt;0)))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IF(ISBLANK($C495),"",IF(N495=Constants!$B$3,TRUE(),IF(N495=Constants!$B$4,FALSE(),TRUE())))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IF(ISBLANK($C495),"",IF(P495=Constants!$B$3,TRUE(),IF(P495=Constants!$B$4,FALSE(),FALSE())))</f>
        <v/>
      </c>
      <c r="AR495" s="93" t="str">
        <f aca="false">IF(ISBLANK($C495),"",IF(Q495=Constants!$B$3,TRUE(),IF(Q495=Constants!$B$4,FALSE(),TRUE())))</f>
        <v/>
      </c>
      <c r="AS495" s="93" t="str">
        <f aca="false">IF(ISBLANK($C495),"",IF(R495=Constants!$B$3,TRUE(),IF(R495=Constants!$B$4,FALSE(),TRUE())))</f>
        <v/>
      </c>
      <c r="AT495" s="93" t="str">
        <f aca="false">IF(ISBLANK($C495),"",IF(S495=Constants!$B$5,TRUE(),IF(S495=Constants!$B$6,FALSE(),COUNTA(T495:X495)&gt;0)))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IF(ISBLANK($C495),"",IF(V495=Constants!$B$3,TRUE(),IF(V495=Constants!$B$4,FALSE(),TRUE())))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IF(ISBLANK($C495),"",IF(X495=Constants!$B$3,TRUE(),IF(X495=Constants!$B$4,FALSE(),FALSE())))</f>
        <v/>
      </c>
      <c r="AZ495" s="93" t="str">
        <f aca="false">IF(ISBLANK($C495),"",MIN(Constants!$B$31,MAX(0,IF(ISNUMBER(Y495),Y495*60,0)+IF(ISNUMBER(Z495),Z495,0))))</f>
        <v/>
      </c>
      <c r="BA495" s="93" t="str">
        <f aca="false">IF(ISBLANK($C495),"",IF(AA495=Constants!$B$3,TRUE(),IF(AA495=Constants!$B$4,FALSE(),FALSE())))</f>
        <v/>
      </c>
      <c r="BB495" s="92" t="str">
        <f aca="false">IF(ISBLANK($C495),"",AND($AL495,OR($AM495="",$AN495="",AND($AO495,$AP495=""))))</f>
        <v/>
      </c>
      <c r="BC495" s="94" t="str">
        <f aca="false">IF($BZ495&lt;&gt;Constants!$B$8,"",IF($AL495,Constants!$B$21*$AN495+Constants!$B$22*IF($AO495,$AP495,Constants!$B$23),Constants!$B$24))</f>
        <v/>
      </c>
      <c r="BD495" s="97" t="str">
        <f aca="false">IF($BZ495&lt;&gt;Constants!$B$8,"",Constants!$B$25*ABS($AD$9-IF($AL495,$AM495,0)))</f>
        <v/>
      </c>
      <c r="BE495" s="97" t="str">
        <f aca="false">IF($BZ495&lt;&gt;Constants!$B$8,"",IF(AND($AL495,$AQ495,$AO495),Constants!$B$27,0))</f>
        <v/>
      </c>
      <c r="BF495" s="97" t="str">
        <f aca="false">IF($BZ495&lt;&gt;Constants!$B$8,"",IF($AL495,($AI495-Constants!$B$29)*Constants!$B$28,0))</f>
        <v/>
      </c>
      <c r="BG495" s="97" t="str">
        <f aca="false">IF($BZ495&lt;&gt;Constants!$B$8,"",IF($AK495,0,Constants!$B$15)+IF($AJ495,0,Constants!$B$16)+IF($AH495,0,Constants!$B$17))</f>
        <v/>
      </c>
      <c r="BH495" s="98" t="str">
        <f aca="false">IF($BZ495&lt;&gt;Constants!$B$8,"",Constants!$B$20+SUM($BC495:$BG495))</f>
        <v/>
      </c>
      <c r="BI495" s="97" t="str">
        <f aca="false">IF($BZ495&lt;&gt;Constants!$B$8,"",$BC495)</f>
        <v/>
      </c>
      <c r="BJ495" s="97" t="str">
        <f aca="false">IF($BZ495&lt;&gt;Constants!$B$8,"",$BD495)</f>
        <v/>
      </c>
      <c r="BK495" s="97" t="str">
        <f aca="false">IF($BZ495&lt;&gt;Constants!$B$8,"",IF($AL495,$AN495,""))</f>
        <v/>
      </c>
      <c r="BL495" s="99" t="str">
        <f aca="false">IF($BZ495&lt;&gt;Constants!$B$8,"",$AI495)</f>
        <v/>
      </c>
      <c r="BM495" s="93" t="str">
        <f aca="false">IF($BZ495&lt;&gt;Constants!$B$8,"",IF(OR($BT495&lt;$BH495,AND($BT495=$BH495,OR($BU495&lt;$BI495,AND($BU495=$BI495,OR($BV495&lt;$BJ495,AND($BV495=$BJ495,OR(AND(ISNUMBER($BW495),OR(NOT(ISNUMBER($BK495)),$BW495&lt;$BK495)),AND(OR(AND($BW495="",$BK495=""),AND(ISNUMBER($BW495),ISNUMBER($BK495),$BW495=$BK495)),$BX495&lt;$BL495)))))))),"-&gt;","&lt;-"))</f>
        <v/>
      </c>
      <c r="BN495" s="92" t="str">
        <f aca="false">IF(ISBLANK($C495),"",AND($AT495,OR($AU495="",$AV495="",AND($AW495,$AX495=""))))</f>
        <v/>
      </c>
      <c r="BO495" s="94" t="str">
        <f aca="false">IF($BZ495&lt;&gt;Constants!$B$8,"",IF($AT495,Constants!$B$21*$AV495+Constants!$B$22*IF($AW495,$AX495,Constants!$B$23),Constants!$B$24))</f>
        <v/>
      </c>
      <c r="BP495" s="97" t="str">
        <f aca="false">IF($BZ495&lt;&gt;Constants!$B$8,"",Constants!$B$25*ABS($AD$9-IF($AT495,$AU495,0)))</f>
        <v/>
      </c>
      <c r="BQ495" s="97" t="str">
        <f aca="false">IF($BZ495&lt;&gt;Constants!$B$8,"",IF(AND($AT495,$AY495,$AW495),Constants!$B$27,0))</f>
        <v/>
      </c>
      <c r="BR495" s="97" t="str">
        <f aca="false">IF($BZ495&lt;&gt;Constants!$B$8,"",IF($AT495,($AI495-Constants!$B$29)*Constants!$B$28,0))</f>
        <v/>
      </c>
      <c r="BS495" s="97" t="str">
        <f aca="false">IF($BZ495&lt;&gt;Constants!$B$8,"",IF($AS495,0,Constants!$B$15)+IF($AR495,0,Constants!$B$16)+IF($AH495,0,Constants!$B$17))</f>
        <v/>
      </c>
      <c r="BT495" s="98" t="str">
        <f aca="false">IF($BZ495&lt;&gt;Constants!$B$8,"",Constants!$B$20+SUM($BO495:$BS495))</f>
        <v/>
      </c>
      <c r="BU495" s="97" t="str">
        <f aca="false">IF($BZ495&lt;&gt;Constants!$B$8,"",$BO495)</f>
        <v/>
      </c>
      <c r="BV495" s="97" t="str">
        <f aca="false">IF($BZ495&lt;&gt;Constants!$B$8,"",$BP495)</f>
        <v/>
      </c>
      <c r="BW495" s="97" t="str">
        <f aca="false">IF($BZ495&lt;&gt;Constants!$B$8,"",IF($AT495,$AV495,""))</f>
        <v/>
      </c>
      <c r="BX495" s="99" t="str">
        <f aca="false">IF($BZ495&lt;&gt;Constants!$B$8,"",$AI495)</f>
        <v/>
      </c>
      <c r="BY495" s="93" t="str">
        <f aca="false">IF(ISBLANK($C495),"",IF(ISBLANK($D$7),$BY$5,IF(NOT(ISNUMBER($D$7)),$BY$6,"")))</f>
        <v/>
      </c>
      <c r="BZ495" s="93" t="str">
        <f aca="false">IF(ISBLANK($C495),"",IF($BA495,Constants!$B$11,IF(COUNTA($E495:$AA495)=0,Constants!$B$10,IF(NOT($AG495),Constants!$B$9,IF(OR($BY495&lt;&gt;"",$BB495,$BN495),Constants!$B$12,Constants!$B$8)))))</f>
        <v/>
      </c>
      <c r="CA495" s="93" t="str">
        <f aca="false">IF(ISBLANK($C495),"",IF($BZ495&lt;&gt;Constants!$B$8,$BZ495,Constants!$B$13))</f>
        <v/>
      </c>
      <c r="CB495" s="97" t="str">
        <f aca="false">IF($BZ495&lt;&gt;Constants!$B$8,"",IF($BM495="-&gt;",$BT495,$BH495))</f>
        <v/>
      </c>
      <c r="CC495" s="97" t="str">
        <f aca="false">IF($BZ495&lt;&gt;Constants!$B$8,"",IF($AF495,0,Constants!$B$18))</f>
        <v/>
      </c>
      <c r="CD495" s="97" t="str">
        <f aca="false">IF($BZ495&lt;&gt;Constants!$B$8,"",((Constants!$B$31-$AZ495)-Constants!$B$31)/Constants!$B$32)</f>
        <v/>
      </c>
      <c r="CE495" s="97" t="str">
        <f aca="false">IF(ISBLANK($C495),"",IF($BZ495&lt;&gt;Constants!$B$8,$BZ495,SUM($CB495:$CD495)))</f>
        <v/>
      </c>
      <c r="CF495" s="93" t="str">
        <f aca="false">IF(ISBLANK($C495),"",IF($BZ495&lt;&gt;Constants!$B$8,$BZ495,RANK($CE495,$CE$9:$CE$508,1)))</f>
        <v/>
      </c>
      <c r="CG495" s="97" t="str">
        <f aca="false">IF($BZ495&lt;&gt;Constants!$B$8,"",IF($BM495="-&gt;",$BU495,$BI495))</f>
        <v/>
      </c>
      <c r="CH495" s="93" t="str">
        <f aca="false">IF(ISBLANK($C495),"",IF($BZ495&lt;&gt;Constants!$B$8,$BZ495,IF(ISNUMBER($CG495),RANK($CG495,$CG$9:$CG$508,1),COUNT($CG$9:$CG$508)+1)))</f>
        <v/>
      </c>
      <c r="CI495" s="97" t="str">
        <f aca="false">IF($BZ495&lt;&gt;Constants!$B$8,"",IF($BM495="-&gt;",$BV495,$BJ495))</f>
        <v/>
      </c>
      <c r="CJ495" s="93" t="str">
        <f aca="false">IF(ISBLANK($C495),"",IF($BZ495&lt;&gt;Constants!$B$8,$BZ495,IF(ISNUMBER($CI495),RANK($CI495,$CI$9:$CI$508,1),COUNT($CI$9:$CI$508)+1)))</f>
        <v/>
      </c>
      <c r="CK495" s="97" t="str">
        <f aca="false">IF($BZ495&lt;&gt;Constants!$B$8,"",IF($BM495="-&gt;",$BW495,$BK495))</f>
        <v/>
      </c>
      <c r="CL495" s="93" t="str">
        <f aca="false">IF(ISBLANK($C495),"",IF($BZ495&lt;&gt;Constants!$B$8,$BZ495,IF(ISNUMBER($CK495),RANK($CK495,$CK$9:$CK$508,1),COUNT($CK$9:$CK$508)+1)))</f>
        <v/>
      </c>
      <c r="CM495" s="97" t="str">
        <f aca="false">IF($BZ495&lt;&gt;Constants!$B$8,"",IF(AND(NOT($AL495),NOT($AT495),$AJ495,$AK495,$AR495,$AS495),"",IF($BM495="-&gt;",$BX495,$BL495)))</f>
        <v/>
      </c>
      <c r="CN495" s="93" t="str">
        <f aca="false">IF(ISBLANK($C495),"",IF($BZ495&lt;&gt;Constants!$B$8,$BZ495,IF(ISNUMBER($CM495),RANK($CM495,$CM$9:$CM$508,1),COUNT($CM$9:$CM$508)+1)))</f>
        <v/>
      </c>
      <c r="CO495" s="93" t="str">
        <f aca="false">IF(ISBLANK($C495),"",IF($BZ495&lt;&gt;Constants!$B$8,$BZ495,COUNTIFS($CF$9:$CF$508,"&lt;"&amp;$CF495)+COUNTIFS($CF$9:$CF$508,$CF495,$CH$9:$CH$508,"&lt;"&amp;$CH495)+COUNTIFS($CF$9:$CF$508,$CF495,$CH$9:$CH$508,$CH495,$CJ$9:$CJ$508,"&lt;"&amp;$CJ495)+COUNTIFS($CF$9:$CF$508,$CF495,$CH$9:$CH$508,$CH495,$CJ$9:$CJ$508,$CJ495,$CL$9:$CL$508,"&lt;"&amp;$CL495)+COUNTIFS($CF$9:$CF$508,$CF495,$CH$9:$CH$508,$CH495,$CJ$9:$CJ$508,$CJ495,$CL$9:$CL$508,$CL495,$CN$9:$CN$508,"&lt;"&amp;$CN495)+1))</f>
        <v/>
      </c>
      <c r="CP495" s="93" t="str">
        <f aca="false">IF(ISBLANK($C495),"",IF($BZ495&lt;&gt;Constants!$B$8,$BZ495,$CF495-$CO495))</f>
        <v/>
      </c>
      <c r="CQ495" s="100"/>
      <c r="CR495" s="101"/>
      <c r="CS495" s="102" t="str">
        <f aca="false">IF(ISBLANK($C495),"",IF($BZ495=Constants!$B$12,$BY495,""))</f>
        <v/>
      </c>
      <c r="CT495" s="101" t="str">
        <f aca="false">IF(ISBLANK($C495),"",IF($BZ495&lt;&gt;Constants!$B$8,"",IF($BM495="-&gt;",2,1)))</f>
        <v/>
      </c>
      <c r="CU495" s="103" t="str">
        <f aca="false">IF(ISBLANK($C495),"",IF($BZ495&lt;&gt;Constants!$B$8,"",IF($BM495="-&gt;",$BO495,$BC495)))</f>
        <v/>
      </c>
      <c r="CV495" s="103" t="str">
        <f aca="false">IF(ISBLANK($C495),"",IF($BZ495&lt;&gt;Constants!$B$8,"",IF($BM495="-&gt;",$BP495,$BD495)))</f>
        <v/>
      </c>
      <c r="CW495" s="103" t="str">
        <f aca="false">IF(ISBLANK($C495),"",IF($BZ495&lt;&gt;Constants!$B$8,"",IF($BM495="-&gt;",$BQ495+$BR495,$BE495+$BF495)+$CD495))</f>
        <v/>
      </c>
      <c r="CX495" s="103" t="str">
        <f aca="false">IF(ISBLANK($C495),"",IF($BZ495&lt;&gt;Constants!$B$8,"",IF($BM495="-&gt;",$BS495,$BG495)+$CC495))</f>
        <v/>
      </c>
      <c r="CY495" s="104" t="str">
        <f aca="false">IF(ISBLANK($C495),"",IF($BZ495&lt;&gt;Constants!$B$8,$BZ495,$CE495))</f>
        <v/>
      </c>
      <c r="CZ495" s="105" t="str">
        <f aca="false">IF(ISBLANK($C495),"",$CA495)</f>
        <v/>
      </c>
      <c r="DA495" s="106" t="str">
        <f aca="false">IF(ISBLANK($C495),"",$CP495)</f>
        <v/>
      </c>
      <c r="DB495" s="106" t="str">
        <f aca="false">IF(ISBLANK($C495),"",$CO495)</f>
        <v/>
      </c>
      <c r="DC495" s="107" t="str">
        <f aca="false">IF(ISBLANK($C495),"",IFERROR(_xlfn.SWITCH($DB495,Constants!$B$11,COUNTA($C$9:$C$508)+2,Constants!$B$10,COUNTA($C$9:$C$508)+1,Constants!$B$9,COUNTA($C$9:$C$508)),$DB495))</f>
        <v/>
      </c>
      <c r="DD495" s="9"/>
      <c r="DE495" s="108" t="n">
        <f aca="false">IF(OR(ISNUMBER($DB495),$DB495=Constants!$B$11,$DB495=Constants!$B$9,$DB495=Constants!$B$10),1,0)</f>
        <v>0</v>
      </c>
      <c r="DF495" s="108" t="n">
        <v>487</v>
      </c>
      <c r="DG495" s="108" t="str">
        <f aca="false">IF(ISBLANK($C495),"",IF(ISNUMBER($DC495),$DC495+ROW($B495)/1000,""))</f>
        <v/>
      </c>
      <c r="DH495" s="108" t="str">
        <f aca="false">IF(ISNUMBER($DG495),RANK($DG495,$DG$9:$DG$508,1),"")</f>
        <v/>
      </c>
      <c r="DI495" s="108" t="str">
        <f aca="false">IF(ISBLANK($C495),"",$B495)</f>
        <v/>
      </c>
      <c r="DJ495" s="108" t="str">
        <f aca="false">IF(ISBLANK($C495),"",$C495)</f>
        <v/>
      </c>
      <c r="DK495" s="108" t="str">
        <f aca="false">IF(ISBLANK($C495),"",$D495)</f>
        <v/>
      </c>
      <c r="DL495" s="109" t="str">
        <f aca="false">$CZ495</f>
        <v/>
      </c>
      <c r="DM495" s="110" t="str">
        <f aca="false">$CY495</f>
        <v/>
      </c>
      <c r="DN495" s="108" t="str">
        <f aca="false">IF(ISBLANK($C495),"",$DB495)</f>
        <v/>
      </c>
      <c r="DO495" s="111" t="str">
        <f aca="false">IF($DF495&gt;$DE$8,"",VLOOKUP($DF495,$DH$9:$DN$508,7,FALSE()))</f>
        <v/>
      </c>
      <c r="DP495" s="112" t="str">
        <f aca="false">IF($DF495&gt;$DE$8,"",VLOOKUP($DF495,$DH$9:$DN$508,2,FALSE()))</f>
        <v/>
      </c>
      <c r="DQ495" s="112" t="str">
        <f aca="false">IF($DF495&gt;$DE$8,"",VLOOKUP($DF495,$DH$9:$DN$508,3,FALSE()))</f>
        <v/>
      </c>
      <c r="DR495" s="112" t="str">
        <f aca="false">IF($DF495&gt;$DE$8,"",VLOOKUP($DF495,$DH$9:$DN$508,4,FALSE()))</f>
        <v/>
      </c>
      <c r="DS495" s="112" t="str">
        <f aca="false">IF($DF495&gt;$DE$8,"",VLOOKUP($DF495,$DH$9:$DN$508,5,FALSE()))</f>
        <v/>
      </c>
      <c r="DT495" s="113" t="str">
        <f aca="false">IF($DF495&gt;$DE$8,"",VLOOKUP($DF495,$DH$9:$DN$508,6,FALSE()))</f>
        <v/>
      </c>
      <c r="DU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IF(ISBLANK($C496),"",IF(E496=Constants!$B$3,TRUE(),IF(E496=Constants!$B$4,FALSE(),TRUE())))</f>
        <v/>
      </c>
      <c r="AG496" s="93" t="str">
        <f aca="false">IF(ISBLANK($C496),"",IF(F496=Constants!$B$3,TRUE(),IF(F496=Constants!$B$4,FALSE(),TRUE())))</f>
        <v/>
      </c>
      <c r="AH496" s="93" t="str">
        <f aca="false">IF(ISBLANK($C496),"",IF(G496=Constants!$B$3,TRUE(),IF(G496=Constants!$B$4,FALSE(),TRUE())))</f>
        <v/>
      </c>
      <c r="AI496" s="93" t="str">
        <f aca="false">IF(ISBLANK($C496),"",IF(AND(ISNUMBER(H496),H496&gt;=0),H496,Constants!$B$29))</f>
        <v/>
      </c>
      <c r="AJ496" s="93" t="str">
        <f aca="false">IF(ISBLANK($C496),"",IF(I496=Constants!$B$3,TRUE(),IF(I496=Constants!$B$4,FALSE(),TRUE())))</f>
        <v/>
      </c>
      <c r="AK496" s="93" t="str">
        <f aca="false">IF(ISBLANK($C496),"",IF(J496=Constants!$B$3,TRUE(),IF(J496=Constants!$B$4,FALSE(),TRUE())))</f>
        <v/>
      </c>
      <c r="AL496" s="93" t="str">
        <f aca="false">IF(ISBLANK($C496),"",IF(K496=Constants!$B$5,TRUE(),IF(K496=Constants!$B$6,FALSE(),COUNTA(L496:P496)&gt;0)))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IF(ISBLANK($C496),"",IF(N496=Constants!$B$3,TRUE(),IF(N496=Constants!$B$4,FALSE(),TRUE())))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IF(ISBLANK($C496),"",IF(P496=Constants!$B$3,TRUE(),IF(P496=Constants!$B$4,FALSE(),FALSE())))</f>
        <v/>
      </c>
      <c r="AR496" s="93" t="str">
        <f aca="false">IF(ISBLANK($C496),"",IF(Q496=Constants!$B$3,TRUE(),IF(Q496=Constants!$B$4,FALSE(),TRUE())))</f>
        <v/>
      </c>
      <c r="AS496" s="93" t="str">
        <f aca="false">IF(ISBLANK($C496),"",IF(R496=Constants!$B$3,TRUE(),IF(R496=Constants!$B$4,FALSE(),TRUE())))</f>
        <v/>
      </c>
      <c r="AT496" s="93" t="str">
        <f aca="false">IF(ISBLANK($C496),"",IF(S496=Constants!$B$5,TRUE(),IF(S496=Constants!$B$6,FALSE(),COUNTA(T496:X496)&gt;0)))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IF(ISBLANK($C496),"",IF(V496=Constants!$B$3,TRUE(),IF(V496=Constants!$B$4,FALSE(),TRUE())))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IF(ISBLANK($C496),"",IF(X496=Constants!$B$3,TRUE(),IF(X496=Constants!$B$4,FALSE(),FALSE())))</f>
        <v/>
      </c>
      <c r="AZ496" s="93" t="str">
        <f aca="false">IF(ISBLANK($C496),"",MIN(Constants!$B$31,MAX(0,IF(ISNUMBER(Y496),Y496*60,0)+IF(ISNUMBER(Z496),Z496,0))))</f>
        <v/>
      </c>
      <c r="BA496" s="93" t="str">
        <f aca="false">IF(ISBLANK($C496),"",IF(AA496=Constants!$B$3,TRUE(),IF(AA496=Constants!$B$4,FALSE(),FALSE())))</f>
        <v/>
      </c>
      <c r="BB496" s="92" t="str">
        <f aca="false">IF(ISBLANK($C496),"",AND($AL496,OR($AM496="",$AN496="",AND($AO496,$AP496=""))))</f>
        <v/>
      </c>
      <c r="BC496" s="94" t="str">
        <f aca="false">IF($BZ496&lt;&gt;Constants!$B$8,"",IF($AL496,Constants!$B$21*$AN496+Constants!$B$22*IF($AO496,$AP496,Constants!$B$23),Constants!$B$24))</f>
        <v/>
      </c>
      <c r="BD496" s="97" t="str">
        <f aca="false">IF($BZ496&lt;&gt;Constants!$B$8,"",Constants!$B$25*ABS($AD$9-IF($AL496,$AM496,0)))</f>
        <v/>
      </c>
      <c r="BE496" s="97" t="str">
        <f aca="false">IF($BZ496&lt;&gt;Constants!$B$8,"",IF(AND($AL496,$AQ496,$AO496),Constants!$B$27,0))</f>
        <v/>
      </c>
      <c r="BF496" s="97" t="str">
        <f aca="false">IF($BZ496&lt;&gt;Constants!$B$8,"",IF($AL496,($AI496-Constants!$B$29)*Constants!$B$28,0))</f>
        <v/>
      </c>
      <c r="BG496" s="97" t="str">
        <f aca="false">IF($BZ496&lt;&gt;Constants!$B$8,"",IF($AK496,0,Constants!$B$15)+IF($AJ496,0,Constants!$B$16)+IF($AH496,0,Constants!$B$17))</f>
        <v/>
      </c>
      <c r="BH496" s="98" t="str">
        <f aca="false">IF($BZ496&lt;&gt;Constants!$B$8,"",Constants!$B$20+SUM($BC496:$BG496))</f>
        <v/>
      </c>
      <c r="BI496" s="97" t="str">
        <f aca="false">IF($BZ496&lt;&gt;Constants!$B$8,"",$BC496)</f>
        <v/>
      </c>
      <c r="BJ496" s="97" t="str">
        <f aca="false">IF($BZ496&lt;&gt;Constants!$B$8,"",$BD496)</f>
        <v/>
      </c>
      <c r="BK496" s="97" t="str">
        <f aca="false">IF($BZ496&lt;&gt;Constants!$B$8,"",IF($AL496,$AN496,""))</f>
        <v/>
      </c>
      <c r="BL496" s="99" t="str">
        <f aca="false">IF($BZ496&lt;&gt;Constants!$B$8,"",$AI496)</f>
        <v/>
      </c>
      <c r="BM496" s="93" t="str">
        <f aca="false">IF($BZ496&lt;&gt;Constants!$B$8,"",IF(OR($BT496&lt;$BH496,AND($BT496=$BH496,OR($BU496&lt;$BI496,AND($BU496=$BI496,OR($BV496&lt;$BJ496,AND($BV496=$BJ496,OR(AND(ISNUMBER($BW496),OR(NOT(ISNUMBER($BK496)),$BW496&lt;$BK496)),AND(OR(AND($BW496="",$BK496=""),AND(ISNUMBER($BW496),ISNUMBER($BK496),$BW496=$BK496)),$BX496&lt;$BL496)))))))),"-&gt;","&lt;-"))</f>
        <v/>
      </c>
      <c r="BN496" s="92" t="str">
        <f aca="false">IF(ISBLANK($C496),"",AND($AT496,OR($AU496="",$AV496="",AND($AW496,$AX496=""))))</f>
        <v/>
      </c>
      <c r="BO496" s="94" t="str">
        <f aca="false">IF($BZ496&lt;&gt;Constants!$B$8,"",IF($AT496,Constants!$B$21*$AV496+Constants!$B$22*IF($AW496,$AX496,Constants!$B$23),Constants!$B$24))</f>
        <v/>
      </c>
      <c r="BP496" s="97" t="str">
        <f aca="false">IF($BZ496&lt;&gt;Constants!$B$8,"",Constants!$B$25*ABS($AD$9-IF($AT496,$AU496,0)))</f>
        <v/>
      </c>
      <c r="BQ496" s="97" t="str">
        <f aca="false">IF($BZ496&lt;&gt;Constants!$B$8,"",IF(AND($AT496,$AY496,$AW496),Constants!$B$27,0))</f>
        <v/>
      </c>
      <c r="BR496" s="97" t="str">
        <f aca="false">IF($BZ496&lt;&gt;Constants!$B$8,"",IF($AT496,($AI496-Constants!$B$29)*Constants!$B$28,0))</f>
        <v/>
      </c>
      <c r="BS496" s="97" t="str">
        <f aca="false">IF($BZ496&lt;&gt;Constants!$B$8,"",IF($AS496,0,Constants!$B$15)+IF($AR496,0,Constants!$B$16)+IF($AH496,0,Constants!$B$17))</f>
        <v/>
      </c>
      <c r="BT496" s="98" t="str">
        <f aca="false">IF($BZ496&lt;&gt;Constants!$B$8,"",Constants!$B$20+SUM($BO496:$BS496))</f>
        <v/>
      </c>
      <c r="BU496" s="97" t="str">
        <f aca="false">IF($BZ496&lt;&gt;Constants!$B$8,"",$BO496)</f>
        <v/>
      </c>
      <c r="BV496" s="97" t="str">
        <f aca="false">IF($BZ496&lt;&gt;Constants!$B$8,"",$BP496)</f>
        <v/>
      </c>
      <c r="BW496" s="97" t="str">
        <f aca="false">IF($BZ496&lt;&gt;Constants!$B$8,"",IF($AT496,$AV496,""))</f>
        <v/>
      </c>
      <c r="BX496" s="99" t="str">
        <f aca="false">IF($BZ496&lt;&gt;Constants!$B$8,"",$AI496)</f>
        <v/>
      </c>
      <c r="BY496" s="93" t="str">
        <f aca="false">IF(ISBLANK($C496),"",IF(ISBLANK($D$7),$BY$5,IF(NOT(ISNUMBER($D$7)),$BY$6,"")))</f>
        <v/>
      </c>
      <c r="BZ496" s="93" t="str">
        <f aca="false">IF(ISBLANK($C496),"",IF($BA496,Constants!$B$11,IF(COUNTA($E496:$AA496)=0,Constants!$B$10,IF(NOT($AG496),Constants!$B$9,IF(OR($BY496&lt;&gt;"",$BB496,$BN496),Constants!$B$12,Constants!$B$8)))))</f>
        <v/>
      </c>
      <c r="CA496" s="93" t="str">
        <f aca="false">IF(ISBLANK($C496),"",IF($BZ496&lt;&gt;Constants!$B$8,$BZ496,Constants!$B$13))</f>
        <v/>
      </c>
      <c r="CB496" s="97" t="str">
        <f aca="false">IF($BZ496&lt;&gt;Constants!$B$8,"",IF($BM496="-&gt;",$BT496,$BH496))</f>
        <v/>
      </c>
      <c r="CC496" s="97" t="str">
        <f aca="false">IF($BZ496&lt;&gt;Constants!$B$8,"",IF($AF496,0,Constants!$B$18))</f>
        <v/>
      </c>
      <c r="CD496" s="97" t="str">
        <f aca="false">IF($BZ496&lt;&gt;Constants!$B$8,"",((Constants!$B$31-$AZ496)-Constants!$B$31)/Constants!$B$32)</f>
        <v/>
      </c>
      <c r="CE496" s="97" t="str">
        <f aca="false">IF(ISBLANK($C496),"",IF($BZ496&lt;&gt;Constants!$B$8,$BZ496,SUM($CB496:$CD496)))</f>
        <v/>
      </c>
      <c r="CF496" s="93" t="str">
        <f aca="false">IF(ISBLANK($C496),"",IF($BZ496&lt;&gt;Constants!$B$8,$BZ496,RANK($CE496,$CE$9:$CE$508,1)))</f>
        <v/>
      </c>
      <c r="CG496" s="97" t="str">
        <f aca="false">IF($BZ496&lt;&gt;Constants!$B$8,"",IF($BM496="-&gt;",$BU496,$BI496))</f>
        <v/>
      </c>
      <c r="CH496" s="93" t="str">
        <f aca="false">IF(ISBLANK($C496),"",IF($BZ496&lt;&gt;Constants!$B$8,$BZ496,IF(ISNUMBER($CG496),RANK($CG496,$CG$9:$CG$508,1),COUNT($CG$9:$CG$508)+1)))</f>
        <v/>
      </c>
      <c r="CI496" s="97" t="str">
        <f aca="false">IF($BZ496&lt;&gt;Constants!$B$8,"",IF($BM496="-&gt;",$BV496,$BJ496))</f>
        <v/>
      </c>
      <c r="CJ496" s="93" t="str">
        <f aca="false">IF(ISBLANK($C496),"",IF($BZ496&lt;&gt;Constants!$B$8,$BZ496,IF(ISNUMBER($CI496),RANK($CI496,$CI$9:$CI$508,1),COUNT($CI$9:$CI$508)+1)))</f>
        <v/>
      </c>
      <c r="CK496" s="97" t="str">
        <f aca="false">IF($BZ496&lt;&gt;Constants!$B$8,"",IF($BM496="-&gt;",$BW496,$BK496))</f>
        <v/>
      </c>
      <c r="CL496" s="93" t="str">
        <f aca="false">IF(ISBLANK($C496),"",IF($BZ496&lt;&gt;Constants!$B$8,$BZ496,IF(ISNUMBER($CK496),RANK($CK496,$CK$9:$CK$508,1),COUNT($CK$9:$CK$508)+1)))</f>
        <v/>
      </c>
      <c r="CM496" s="97" t="str">
        <f aca="false">IF($BZ496&lt;&gt;Constants!$B$8,"",IF(AND(NOT($AL496),NOT($AT496),$AJ496,$AK496,$AR496,$AS496),"",IF($BM496="-&gt;",$BX496,$BL496)))</f>
        <v/>
      </c>
      <c r="CN496" s="93" t="str">
        <f aca="false">IF(ISBLANK($C496),"",IF($BZ496&lt;&gt;Constants!$B$8,$BZ496,IF(ISNUMBER($CM496),RANK($CM496,$CM$9:$CM$508,1),COUNT($CM$9:$CM$508)+1)))</f>
        <v/>
      </c>
      <c r="CO496" s="93" t="str">
        <f aca="false">IF(ISBLANK($C496),"",IF($BZ496&lt;&gt;Constants!$B$8,$BZ496,COUNTIFS($CF$9:$CF$508,"&lt;"&amp;$CF496)+COUNTIFS($CF$9:$CF$508,$CF496,$CH$9:$CH$508,"&lt;"&amp;$CH496)+COUNTIFS($CF$9:$CF$508,$CF496,$CH$9:$CH$508,$CH496,$CJ$9:$CJ$508,"&lt;"&amp;$CJ496)+COUNTIFS($CF$9:$CF$508,$CF496,$CH$9:$CH$508,$CH496,$CJ$9:$CJ$508,$CJ496,$CL$9:$CL$508,"&lt;"&amp;$CL496)+COUNTIFS($CF$9:$CF$508,$CF496,$CH$9:$CH$508,$CH496,$CJ$9:$CJ$508,$CJ496,$CL$9:$CL$508,$CL496,$CN$9:$CN$508,"&lt;"&amp;$CN496)+1))</f>
        <v/>
      </c>
      <c r="CP496" s="93" t="str">
        <f aca="false">IF(ISBLANK($C496),"",IF($BZ496&lt;&gt;Constants!$B$8,$BZ496,$CF496-$CO496))</f>
        <v/>
      </c>
      <c r="CQ496" s="100"/>
      <c r="CR496" s="101"/>
      <c r="CS496" s="102" t="str">
        <f aca="false">IF(ISBLANK($C496),"",IF($BZ496=Constants!$B$12,$BY496,""))</f>
        <v/>
      </c>
      <c r="CT496" s="101" t="str">
        <f aca="false">IF(ISBLANK($C496),"",IF($BZ496&lt;&gt;Constants!$B$8,"",IF($BM496="-&gt;",2,1)))</f>
        <v/>
      </c>
      <c r="CU496" s="103" t="str">
        <f aca="false">IF(ISBLANK($C496),"",IF($BZ496&lt;&gt;Constants!$B$8,"",IF($BM496="-&gt;",$BO496,$BC496)))</f>
        <v/>
      </c>
      <c r="CV496" s="103" t="str">
        <f aca="false">IF(ISBLANK($C496),"",IF($BZ496&lt;&gt;Constants!$B$8,"",IF($BM496="-&gt;",$BP496,$BD496)))</f>
        <v/>
      </c>
      <c r="CW496" s="103" t="str">
        <f aca="false">IF(ISBLANK($C496),"",IF($BZ496&lt;&gt;Constants!$B$8,"",IF($BM496="-&gt;",$BQ496+$BR496,$BE496+$BF496)+$CD496))</f>
        <v/>
      </c>
      <c r="CX496" s="103" t="str">
        <f aca="false">IF(ISBLANK($C496),"",IF($BZ496&lt;&gt;Constants!$B$8,"",IF($BM496="-&gt;",$BS496,$BG496)+$CC496))</f>
        <v/>
      </c>
      <c r="CY496" s="104" t="str">
        <f aca="false">IF(ISBLANK($C496),"",IF($BZ496&lt;&gt;Constants!$B$8,$BZ496,$CE496))</f>
        <v/>
      </c>
      <c r="CZ496" s="105" t="str">
        <f aca="false">IF(ISBLANK($C496),"",$CA496)</f>
        <v/>
      </c>
      <c r="DA496" s="106" t="str">
        <f aca="false">IF(ISBLANK($C496),"",$CP496)</f>
        <v/>
      </c>
      <c r="DB496" s="106" t="str">
        <f aca="false">IF(ISBLANK($C496),"",$CO496)</f>
        <v/>
      </c>
      <c r="DC496" s="107" t="str">
        <f aca="false">IF(ISBLANK($C496),"",IFERROR(_xlfn.SWITCH($DB496,Constants!$B$11,COUNTA($C$9:$C$508)+2,Constants!$B$10,COUNTA($C$9:$C$508)+1,Constants!$B$9,COUNTA($C$9:$C$508)),$DB496))</f>
        <v/>
      </c>
      <c r="DD496" s="9"/>
      <c r="DE496" s="108" t="n">
        <f aca="false">IF(OR(ISNUMBER($DB496),$DB496=Constants!$B$11,$DB496=Constants!$B$9,$DB496=Constants!$B$10),1,0)</f>
        <v>0</v>
      </c>
      <c r="DF496" s="108" t="n">
        <v>488</v>
      </c>
      <c r="DG496" s="108" t="str">
        <f aca="false">IF(ISBLANK($C496),"",IF(ISNUMBER($DC496),$DC496+ROW($B496)/1000,""))</f>
        <v/>
      </c>
      <c r="DH496" s="108" t="str">
        <f aca="false">IF(ISNUMBER($DG496),RANK($DG496,$DG$9:$DG$508,1),"")</f>
        <v/>
      </c>
      <c r="DI496" s="108" t="str">
        <f aca="false">IF(ISBLANK($C496),"",$B496)</f>
        <v/>
      </c>
      <c r="DJ496" s="108" t="str">
        <f aca="false">IF(ISBLANK($C496),"",$C496)</f>
        <v/>
      </c>
      <c r="DK496" s="108" t="str">
        <f aca="false">IF(ISBLANK($C496),"",$D496)</f>
        <v/>
      </c>
      <c r="DL496" s="109" t="str">
        <f aca="false">$CZ496</f>
        <v/>
      </c>
      <c r="DM496" s="110" t="str">
        <f aca="false">$CY496</f>
        <v/>
      </c>
      <c r="DN496" s="108" t="str">
        <f aca="false">IF(ISBLANK($C496),"",$DB496)</f>
        <v/>
      </c>
      <c r="DO496" s="111" t="str">
        <f aca="false">IF($DF496&gt;$DE$8,"",VLOOKUP($DF496,$DH$9:$DN$508,7,FALSE()))</f>
        <v/>
      </c>
      <c r="DP496" s="112" t="str">
        <f aca="false">IF($DF496&gt;$DE$8,"",VLOOKUP($DF496,$DH$9:$DN$508,2,FALSE()))</f>
        <v/>
      </c>
      <c r="DQ496" s="112" t="str">
        <f aca="false">IF($DF496&gt;$DE$8,"",VLOOKUP($DF496,$DH$9:$DN$508,3,FALSE()))</f>
        <v/>
      </c>
      <c r="DR496" s="112" t="str">
        <f aca="false">IF($DF496&gt;$DE$8,"",VLOOKUP($DF496,$DH$9:$DN$508,4,FALSE()))</f>
        <v/>
      </c>
      <c r="DS496" s="112" t="str">
        <f aca="false">IF($DF496&gt;$DE$8,"",VLOOKUP($DF496,$DH$9:$DN$508,5,FALSE()))</f>
        <v/>
      </c>
      <c r="DT496" s="113" t="str">
        <f aca="false">IF($DF496&gt;$DE$8,"",VLOOKUP($DF496,$DH$9:$DN$508,6,FALSE()))</f>
        <v/>
      </c>
      <c r="DU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IF(ISBLANK($C497),"",IF(E497=Constants!$B$3,TRUE(),IF(E497=Constants!$B$4,FALSE(),TRUE())))</f>
        <v/>
      </c>
      <c r="AG497" s="93" t="str">
        <f aca="false">IF(ISBLANK($C497),"",IF(F497=Constants!$B$3,TRUE(),IF(F497=Constants!$B$4,FALSE(),TRUE())))</f>
        <v/>
      </c>
      <c r="AH497" s="93" t="str">
        <f aca="false">IF(ISBLANK($C497),"",IF(G497=Constants!$B$3,TRUE(),IF(G497=Constants!$B$4,FALSE(),TRUE())))</f>
        <v/>
      </c>
      <c r="AI497" s="93" t="str">
        <f aca="false">IF(ISBLANK($C497),"",IF(AND(ISNUMBER(H497),H497&gt;=0),H497,Constants!$B$29))</f>
        <v/>
      </c>
      <c r="AJ497" s="93" t="str">
        <f aca="false">IF(ISBLANK($C497),"",IF(I497=Constants!$B$3,TRUE(),IF(I497=Constants!$B$4,FALSE(),TRUE())))</f>
        <v/>
      </c>
      <c r="AK497" s="93" t="str">
        <f aca="false">IF(ISBLANK($C497),"",IF(J497=Constants!$B$3,TRUE(),IF(J497=Constants!$B$4,FALSE(),TRUE())))</f>
        <v/>
      </c>
      <c r="AL497" s="93" t="str">
        <f aca="false">IF(ISBLANK($C497),"",IF(K497=Constants!$B$5,TRUE(),IF(K497=Constants!$B$6,FALSE(),COUNTA(L497:P497)&gt;0)))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IF(ISBLANK($C497),"",IF(N497=Constants!$B$3,TRUE(),IF(N497=Constants!$B$4,FALSE(),TRUE())))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IF(ISBLANK($C497),"",IF(P497=Constants!$B$3,TRUE(),IF(P497=Constants!$B$4,FALSE(),FALSE())))</f>
        <v/>
      </c>
      <c r="AR497" s="93" t="str">
        <f aca="false">IF(ISBLANK($C497),"",IF(Q497=Constants!$B$3,TRUE(),IF(Q497=Constants!$B$4,FALSE(),TRUE())))</f>
        <v/>
      </c>
      <c r="AS497" s="93" t="str">
        <f aca="false">IF(ISBLANK($C497),"",IF(R497=Constants!$B$3,TRUE(),IF(R497=Constants!$B$4,FALSE(),TRUE())))</f>
        <v/>
      </c>
      <c r="AT497" s="93" t="str">
        <f aca="false">IF(ISBLANK($C497),"",IF(S497=Constants!$B$5,TRUE(),IF(S497=Constants!$B$6,FALSE(),COUNTA(T497:X497)&gt;0)))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IF(ISBLANK($C497),"",IF(V497=Constants!$B$3,TRUE(),IF(V497=Constants!$B$4,FALSE(),TRUE())))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IF(ISBLANK($C497),"",IF(X497=Constants!$B$3,TRUE(),IF(X497=Constants!$B$4,FALSE(),FALSE())))</f>
        <v/>
      </c>
      <c r="AZ497" s="93" t="str">
        <f aca="false">IF(ISBLANK($C497),"",MIN(Constants!$B$31,MAX(0,IF(ISNUMBER(Y497),Y497*60,0)+IF(ISNUMBER(Z497),Z497,0))))</f>
        <v/>
      </c>
      <c r="BA497" s="93" t="str">
        <f aca="false">IF(ISBLANK($C497),"",IF(AA497=Constants!$B$3,TRUE(),IF(AA497=Constants!$B$4,FALSE(),FALSE())))</f>
        <v/>
      </c>
      <c r="BB497" s="92" t="str">
        <f aca="false">IF(ISBLANK($C497),"",AND($AL497,OR($AM497="",$AN497="",AND($AO497,$AP497=""))))</f>
        <v/>
      </c>
      <c r="BC497" s="94" t="str">
        <f aca="false">IF($BZ497&lt;&gt;Constants!$B$8,"",IF($AL497,Constants!$B$21*$AN497+Constants!$B$22*IF($AO497,$AP497,Constants!$B$23),Constants!$B$24))</f>
        <v/>
      </c>
      <c r="BD497" s="97" t="str">
        <f aca="false">IF($BZ497&lt;&gt;Constants!$B$8,"",Constants!$B$25*ABS($AD$9-IF($AL497,$AM497,0)))</f>
        <v/>
      </c>
      <c r="BE497" s="97" t="str">
        <f aca="false">IF($BZ497&lt;&gt;Constants!$B$8,"",IF(AND($AL497,$AQ497,$AO497),Constants!$B$27,0))</f>
        <v/>
      </c>
      <c r="BF497" s="97" t="str">
        <f aca="false">IF($BZ497&lt;&gt;Constants!$B$8,"",IF($AL497,($AI497-Constants!$B$29)*Constants!$B$28,0))</f>
        <v/>
      </c>
      <c r="BG497" s="97" t="str">
        <f aca="false">IF($BZ497&lt;&gt;Constants!$B$8,"",IF($AK497,0,Constants!$B$15)+IF($AJ497,0,Constants!$B$16)+IF($AH497,0,Constants!$B$17))</f>
        <v/>
      </c>
      <c r="BH497" s="98" t="str">
        <f aca="false">IF($BZ497&lt;&gt;Constants!$B$8,"",Constants!$B$20+SUM($BC497:$BG497))</f>
        <v/>
      </c>
      <c r="BI497" s="97" t="str">
        <f aca="false">IF($BZ497&lt;&gt;Constants!$B$8,"",$BC497)</f>
        <v/>
      </c>
      <c r="BJ497" s="97" t="str">
        <f aca="false">IF($BZ497&lt;&gt;Constants!$B$8,"",$BD497)</f>
        <v/>
      </c>
      <c r="BK497" s="97" t="str">
        <f aca="false">IF($BZ497&lt;&gt;Constants!$B$8,"",IF($AL497,$AN497,""))</f>
        <v/>
      </c>
      <c r="BL497" s="99" t="str">
        <f aca="false">IF($BZ497&lt;&gt;Constants!$B$8,"",$AI497)</f>
        <v/>
      </c>
      <c r="BM497" s="93" t="str">
        <f aca="false">IF($BZ497&lt;&gt;Constants!$B$8,"",IF(OR($BT497&lt;$BH497,AND($BT497=$BH497,OR($BU497&lt;$BI497,AND($BU497=$BI497,OR($BV497&lt;$BJ497,AND($BV497=$BJ497,OR(AND(ISNUMBER($BW497),OR(NOT(ISNUMBER($BK497)),$BW497&lt;$BK497)),AND(OR(AND($BW497="",$BK497=""),AND(ISNUMBER($BW497),ISNUMBER($BK497),$BW497=$BK497)),$BX497&lt;$BL497)))))))),"-&gt;","&lt;-"))</f>
        <v/>
      </c>
      <c r="BN497" s="92" t="str">
        <f aca="false">IF(ISBLANK($C497),"",AND($AT497,OR($AU497="",$AV497="",AND($AW497,$AX497=""))))</f>
        <v/>
      </c>
      <c r="BO497" s="94" t="str">
        <f aca="false">IF($BZ497&lt;&gt;Constants!$B$8,"",IF($AT497,Constants!$B$21*$AV497+Constants!$B$22*IF($AW497,$AX497,Constants!$B$23),Constants!$B$24))</f>
        <v/>
      </c>
      <c r="BP497" s="97" t="str">
        <f aca="false">IF($BZ497&lt;&gt;Constants!$B$8,"",Constants!$B$25*ABS($AD$9-IF($AT497,$AU497,0)))</f>
        <v/>
      </c>
      <c r="BQ497" s="97" t="str">
        <f aca="false">IF($BZ497&lt;&gt;Constants!$B$8,"",IF(AND($AT497,$AY497,$AW497),Constants!$B$27,0))</f>
        <v/>
      </c>
      <c r="BR497" s="97" t="str">
        <f aca="false">IF($BZ497&lt;&gt;Constants!$B$8,"",IF($AT497,($AI497-Constants!$B$29)*Constants!$B$28,0))</f>
        <v/>
      </c>
      <c r="BS497" s="97" t="str">
        <f aca="false">IF($BZ497&lt;&gt;Constants!$B$8,"",IF($AS497,0,Constants!$B$15)+IF($AR497,0,Constants!$B$16)+IF($AH497,0,Constants!$B$17))</f>
        <v/>
      </c>
      <c r="BT497" s="98" t="str">
        <f aca="false">IF($BZ497&lt;&gt;Constants!$B$8,"",Constants!$B$20+SUM($BO497:$BS497))</f>
        <v/>
      </c>
      <c r="BU497" s="97" t="str">
        <f aca="false">IF($BZ497&lt;&gt;Constants!$B$8,"",$BO497)</f>
        <v/>
      </c>
      <c r="BV497" s="97" t="str">
        <f aca="false">IF($BZ497&lt;&gt;Constants!$B$8,"",$BP497)</f>
        <v/>
      </c>
      <c r="BW497" s="97" t="str">
        <f aca="false">IF($BZ497&lt;&gt;Constants!$B$8,"",IF($AT497,$AV497,""))</f>
        <v/>
      </c>
      <c r="BX497" s="99" t="str">
        <f aca="false">IF($BZ497&lt;&gt;Constants!$B$8,"",$AI497)</f>
        <v/>
      </c>
      <c r="BY497" s="93" t="str">
        <f aca="false">IF(ISBLANK($C497),"",IF(ISBLANK($D$7),$BY$5,IF(NOT(ISNUMBER($D$7)),$BY$6,"")))</f>
        <v/>
      </c>
      <c r="BZ497" s="93" t="str">
        <f aca="false">IF(ISBLANK($C497),"",IF($BA497,Constants!$B$11,IF(COUNTA($E497:$AA497)=0,Constants!$B$10,IF(NOT($AG497),Constants!$B$9,IF(OR($BY497&lt;&gt;"",$BB497,$BN497),Constants!$B$12,Constants!$B$8)))))</f>
        <v/>
      </c>
      <c r="CA497" s="93" t="str">
        <f aca="false">IF(ISBLANK($C497),"",IF($BZ497&lt;&gt;Constants!$B$8,$BZ497,Constants!$B$13))</f>
        <v/>
      </c>
      <c r="CB497" s="97" t="str">
        <f aca="false">IF($BZ497&lt;&gt;Constants!$B$8,"",IF($BM497="-&gt;",$BT497,$BH497))</f>
        <v/>
      </c>
      <c r="CC497" s="97" t="str">
        <f aca="false">IF($BZ497&lt;&gt;Constants!$B$8,"",IF($AF497,0,Constants!$B$18))</f>
        <v/>
      </c>
      <c r="CD497" s="97" t="str">
        <f aca="false">IF($BZ497&lt;&gt;Constants!$B$8,"",((Constants!$B$31-$AZ497)-Constants!$B$31)/Constants!$B$32)</f>
        <v/>
      </c>
      <c r="CE497" s="97" t="str">
        <f aca="false">IF(ISBLANK($C497),"",IF($BZ497&lt;&gt;Constants!$B$8,$BZ497,SUM($CB497:$CD497)))</f>
        <v/>
      </c>
      <c r="CF497" s="93" t="str">
        <f aca="false">IF(ISBLANK($C497),"",IF($BZ497&lt;&gt;Constants!$B$8,$BZ497,RANK($CE497,$CE$9:$CE$508,1)))</f>
        <v/>
      </c>
      <c r="CG497" s="97" t="str">
        <f aca="false">IF($BZ497&lt;&gt;Constants!$B$8,"",IF($BM497="-&gt;",$BU497,$BI497))</f>
        <v/>
      </c>
      <c r="CH497" s="93" t="str">
        <f aca="false">IF(ISBLANK($C497),"",IF($BZ497&lt;&gt;Constants!$B$8,$BZ497,IF(ISNUMBER($CG497),RANK($CG497,$CG$9:$CG$508,1),COUNT($CG$9:$CG$508)+1)))</f>
        <v/>
      </c>
      <c r="CI497" s="97" t="str">
        <f aca="false">IF($BZ497&lt;&gt;Constants!$B$8,"",IF($BM497="-&gt;",$BV497,$BJ497))</f>
        <v/>
      </c>
      <c r="CJ497" s="93" t="str">
        <f aca="false">IF(ISBLANK($C497),"",IF($BZ497&lt;&gt;Constants!$B$8,$BZ497,IF(ISNUMBER($CI497),RANK($CI497,$CI$9:$CI$508,1),COUNT($CI$9:$CI$508)+1)))</f>
        <v/>
      </c>
      <c r="CK497" s="97" t="str">
        <f aca="false">IF($BZ497&lt;&gt;Constants!$B$8,"",IF($BM497="-&gt;",$BW497,$BK497))</f>
        <v/>
      </c>
      <c r="CL497" s="93" t="str">
        <f aca="false">IF(ISBLANK($C497),"",IF($BZ497&lt;&gt;Constants!$B$8,$BZ497,IF(ISNUMBER($CK497),RANK($CK497,$CK$9:$CK$508,1),COUNT($CK$9:$CK$508)+1)))</f>
        <v/>
      </c>
      <c r="CM497" s="97" t="str">
        <f aca="false">IF($BZ497&lt;&gt;Constants!$B$8,"",IF(AND(NOT($AL497),NOT($AT497),$AJ497,$AK497,$AR497,$AS497),"",IF($BM497="-&gt;",$BX497,$BL497)))</f>
        <v/>
      </c>
      <c r="CN497" s="93" t="str">
        <f aca="false">IF(ISBLANK($C497),"",IF($BZ497&lt;&gt;Constants!$B$8,$BZ497,IF(ISNUMBER($CM497),RANK($CM497,$CM$9:$CM$508,1),COUNT($CM$9:$CM$508)+1)))</f>
        <v/>
      </c>
      <c r="CO497" s="93" t="str">
        <f aca="false">IF(ISBLANK($C497),"",IF($BZ497&lt;&gt;Constants!$B$8,$BZ497,COUNTIFS($CF$9:$CF$508,"&lt;"&amp;$CF497)+COUNTIFS($CF$9:$CF$508,$CF497,$CH$9:$CH$508,"&lt;"&amp;$CH497)+COUNTIFS($CF$9:$CF$508,$CF497,$CH$9:$CH$508,$CH497,$CJ$9:$CJ$508,"&lt;"&amp;$CJ497)+COUNTIFS($CF$9:$CF$508,$CF497,$CH$9:$CH$508,$CH497,$CJ$9:$CJ$508,$CJ497,$CL$9:$CL$508,"&lt;"&amp;$CL497)+COUNTIFS($CF$9:$CF$508,$CF497,$CH$9:$CH$508,$CH497,$CJ$9:$CJ$508,$CJ497,$CL$9:$CL$508,$CL497,$CN$9:$CN$508,"&lt;"&amp;$CN497)+1))</f>
        <v/>
      </c>
      <c r="CP497" s="93" t="str">
        <f aca="false">IF(ISBLANK($C497),"",IF($BZ497&lt;&gt;Constants!$B$8,$BZ497,$CF497-$CO497))</f>
        <v/>
      </c>
      <c r="CQ497" s="100"/>
      <c r="CR497" s="101"/>
      <c r="CS497" s="102" t="str">
        <f aca="false">IF(ISBLANK($C497),"",IF($BZ497=Constants!$B$12,$BY497,""))</f>
        <v/>
      </c>
      <c r="CT497" s="101" t="str">
        <f aca="false">IF(ISBLANK($C497),"",IF($BZ497&lt;&gt;Constants!$B$8,"",IF($BM497="-&gt;",2,1)))</f>
        <v/>
      </c>
      <c r="CU497" s="103" t="str">
        <f aca="false">IF(ISBLANK($C497),"",IF($BZ497&lt;&gt;Constants!$B$8,"",IF($BM497="-&gt;",$BO497,$BC497)))</f>
        <v/>
      </c>
      <c r="CV497" s="103" t="str">
        <f aca="false">IF(ISBLANK($C497),"",IF($BZ497&lt;&gt;Constants!$B$8,"",IF($BM497="-&gt;",$BP497,$BD497)))</f>
        <v/>
      </c>
      <c r="CW497" s="103" t="str">
        <f aca="false">IF(ISBLANK($C497),"",IF($BZ497&lt;&gt;Constants!$B$8,"",IF($BM497="-&gt;",$BQ497+$BR497,$BE497+$BF497)+$CD497))</f>
        <v/>
      </c>
      <c r="CX497" s="103" t="str">
        <f aca="false">IF(ISBLANK($C497),"",IF($BZ497&lt;&gt;Constants!$B$8,"",IF($BM497="-&gt;",$BS497,$BG497)+$CC497))</f>
        <v/>
      </c>
      <c r="CY497" s="104" t="str">
        <f aca="false">IF(ISBLANK($C497),"",IF($BZ497&lt;&gt;Constants!$B$8,$BZ497,$CE497))</f>
        <v/>
      </c>
      <c r="CZ497" s="105" t="str">
        <f aca="false">IF(ISBLANK($C497),"",$CA497)</f>
        <v/>
      </c>
      <c r="DA497" s="106" t="str">
        <f aca="false">IF(ISBLANK($C497),"",$CP497)</f>
        <v/>
      </c>
      <c r="DB497" s="106" t="str">
        <f aca="false">IF(ISBLANK($C497),"",$CO497)</f>
        <v/>
      </c>
      <c r="DC497" s="107" t="str">
        <f aca="false">IF(ISBLANK($C497),"",IFERROR(_xlfn.SWITCH($DB497,Constants!$B$11,COUNTA($C$9:$C$508)+2,Constants!$B$10,COUNTA($C$9:$C$508)+1,Constants!$B$9,COUNTA($C$9:$C$508)),$DB497))</f>
        <v/>
      </c>
      <c r="DD497" s="9"/>
      <c r="DE497" s="108" t="n">
        <f aca="false">IF(OR(ISNUMBER($DB497),$DB497=Constants!$B$11,$DB497=Constants!$B$9,$DB497=Constants!$B$10),1,0)</f>
        <v>0</v>
      </c>
      <c r="DF497" s="108" t="n">
        <v>489</v>
      </c>
      <c r="DG497" s="108" t="str">
        <f aca="false">IF(ISBLANK($C497),"",IF(ISNUMBER($DC497),$DC497+ROW($B497)/1000,""))</f>
        <v/>
      </c>
      <c r="DH497" s="108" t="str">
        <f aca="false">IF(ISNUMBER($DG497),RANK($DG497,$DG$9:$DG$508,1),"")</f>
        <v/>
      </c>
      <c r="DI497" s="108" t="str">
        <f aca="false">IF(ISBLANK($C497),"",$B497)</f>
        <v/>
      </c>
      <c r="DJ497" s="108" t="str">
        <f aca="false">IF(ISBLANK($C497),"",$C497)</f>
        <v/>
      </c>
      <c r="DK497" s="108" t="str">
        <f aca="false">IF(ISBLANK($C497),"",$D497)</f>
        <v/>
      </c>
      <c r="DL497" s="109" t="str">
        <f aca="false">$CZ497</f>
        <v/>
      </c>
      <c r="DM497" s="110" t="str">
        <f aca="false">$CY497</f>
        <v/>
      </c>
      <c r="DN497" s="108" t="str">
        <f aca="false">IF(ISBLANK($C497),"",$DB497)</f>
        <v/>
      </c>
      <c r="DO497" s="111" t="str">
        <f aca="false">IF($DF497&gt;$DE$8,"",VLOOKUP($DF497,$DH$9:$DN$508,7,FALSE()))</f>
        <v/>
      </c>
      <c r="DP497" s="112" t="str">
        <f aca="false">IF($DF497&gt;$DE$8,"",VLOOKUP($DF497,$DH$9:$DN$508,2,FALSE()))</f>
        <v/>
      </c>
      <c r="DQ497" s="112" t="str">
        <f aca="false">IF($DF497&gt;$DE$8,"",VLOOKUP($DF497,$DH$9:$DN$508,3,FALSE()))</f>
        <v/>
      </c>
      <c r="DR497" s="112" t="str">
        <f aca="false">IF($DF497&gt;$DE$8,"",VLOOKUP($DF497,$DH$9:$DN$508,4,FALSE()))</f>
        <v/>
      </c>
      <c r="DS497" s="112" t="str">
        <f aca="false">IF($DF497&gt;$DE$8,"",VLOOKUP($DF497,$DH$9:$DN$508,5,FALSE()))</f>
        <v/>
      </c>
      <c r="DT497" s="113" t="str">
        <f aca="false">IF($DF497&gt;$DE$8,"",VLOOKUP($DF497,$DH$9:$DN$508,6,FALSE()))</f>
        <v/>
      </c>
      <c r="DU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IF(ISBLANK($C498),"",IF(E498=Constants!$B$3,TRUE(),IF(E498=Constants!$B$4,FALSE(),TRUE())))</f>
        <v/>
      </c>
      <c r="AG498" s="135" t="str">
        <f aca="false">IF(ISBLANK($C498),"",IF(F498=Constants!$B$3,TRUE(),IF(F498=Constants!$B$4,FALSE(),TRUE())))</f>
        <v/>
      </c>
      <c r="AH498" s="135" t="str">
        <f aca="false">IF(ISBLANK($C498),"",IF(G498=Constants!$B$3,TRUE(),IF(G498=Constants!$B$4,FALSE(),TRUE())))</f>
        <v/>
      </c>
      <c r="AI498" s="135" t="str">
        <f aca="false">IF(ISBLANK($C498),"",IF(AND(ISNUMBER(H498),H498&gt;=0),H498,Constants!$B$29))</f>
        <v/>
      </c>
      <c r="AJ498" s="135" t="str">
        <f aca="false">IF(ISBLANK($C498),"",IF(I498=Constants!$B$3,TRUE(),IF(I498=Constants!$B$4,FALSE(),TRUE())))</f>
        <v/>
      </c>
      <c r="AK498" s="135" t="str">
        <f aca="false">IF(ISBLANK($C498),"",IF(J498=Constants!$B$3,TRUE(),IF(J498=Constants!$B$4,FALSE(),TRUE())))</f>
        <v/>
      </c>
      <c r="AL498" s="135" t="str">
        <f aca="false">IF(ISBLANK($C498),"",IF(K498=Constants!$B$5,TRUE(),IF(K498=Constants!$B$6,FALSE(),COUNTA(L498:P498)&gt;0)))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IF(ISBLANK($C498),"",IF(N498=Constants!$B$3,TRUE(),IF(N498=Constants!$B$4,FALSE(),TRUE())))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IF(ISBLANK($C498),"",IF(P498=Constants!$B$3,TRUE(),IF(P498=Constants!$B$4,FALSE(),FALSE())))</f>
        <v/>
      </c>
      <c r="AR498" s="135" t="str">
        <f aca="false">IF(ISBLANK($C498),"",IF(Q498=Constants!$B$3,TRUE(),IF(Q498=Constants!$B$4,FALSE(),TRUE())))</f>
        <v/>
      </c>
      <c r="AS498" s="135" t="str">
        <f aca="false">IF(ISBLANK($C498),"",IF(R498=Constants!$B$3,TRUE(),IF(R498=Constants!$B$4,FALSE(),TRUE())))</f>
        <v/>
      </c>
      <c r="AT498" s="135" t="str">
        <f aca="false">IF(ISBLANK($C498),"",IF(S498=Constants!$B$5,TRUE(),IF(S498=Constants!$B$6,FALSE(),COUNTA(T498:X498)&gt;0)))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IF(ISBLANK($C498),"",IF(V498=Constants!$B$3,TRUE(),IF(V498=Constants!$B$4,FALSE(),TRUE())))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IF(ISBLANK($C498),"",IF(X498=Constants!$B$3,TRUE(),IF(X498=Constants!$B$4,FALSE(),FALSE())))</f>
        <v/>
      </c>
      <c r="AZ498" s="135" t="str">
        <f aca="false">IF(ISBLANK($C498),"",MIN(Constants!$B$31,MAX(0,IF(ISNUMBER(Y498),Y498*60,0)+IF(ISNUMBER(Z498),Z498,0))))</f>
        <v/>
      </c>
      <c r="BA498" s="135" t="str">
        <f aca="false">IF(ISBLANK($C498),"",IF(AA498=Constants!$B$3,TRUE(),IF(AA498=Constants!$B$4,FALSE(),FALSE())))</f>
        <v/>
      </c>
      <c r="BB498" s="134" t="str">
        <f aca="false">IF(ISBLANK($C498),"",AND($AL498,OR($AM498="",$AN498="",AND($AO498,$AP498=""))))</f>
        <v/>
      </c>
      <c r="BC498" s="137" t="str">
        <f aca="false">IF($BZ498&lt;&gt;Constants!$B$8,"",IF($AL498,Constants!$B$21*$AN498+Constants!$B$22*IF($AO498,$AP498,Constants!$B$23),Constants!$B$24))</f>
        <v/>
      </c>
      <c r="BD498" s="138" t="str">
        <f aca="false">IF($BZ498&lt;&gt;Constants!$B$8,"",Constants!$B$25*ABS($AD$9-IF($AL498,$AM498,0)))</f>
        <v/>
      </c>
      <c r="BE498" s="138" t="str">
        <f aca="false">IF($BZ498&lt;&gt;Constants!$B$8,"",IF(AND($AL498,$AQ498,$AO498),Constants!$B$27,0))</f>
        <v/>
      </c>
      <c r="BF498" s="138" t="str">
        <f aca="false">IF($BZ498&lt;&gt;Constants!$B$8,"",IF($AL498,($AI498-Constants!$B$29)*Constants!$B$28,0))</f>
        <v/>
      </c>
      <c r="BG498" s="138" t="str">
        <f aca="false">IF($BZ498&lt;&gt;Constants!$B$8,"",IF($AK498,0,Constants!$B$15)+IF($AJ498,0,Constants!$B$16)+IF($AH498,0,Constants!$B$17))</f>
        <v/>
      </c>
      <c r="BH498" s="139" t="str">
        <f aca="false">IF($BZ498&lt;&gt;Constants!$B$8,"",Constants!$B$20+SUM($BC498:$BG498))</f>
        <v/>
      </c>
      <c r="BI498" s="138" t="str">
        <f aca="false">IF($BZ498&lt;&gt;Constants!$B$8,"",$BC498)</f>
        <v/>
      </c>
      <c r="BJ498" s="138" t="str">
        <f aca="false">IF($BZ498&lt;&gt;Constants!$B$8,"",$BD498)</f>
        <v/>
      </c>
      <c r="BK498" s="138" t="str">
        <f aca="false">IF($BZ498&lt;&gt;Constants!$B$8,"",IF($AL498,$AN498,""))</f>
        <v/>
      </c>
      <c r="BL498" s="140" t="str">
        <f aca="false">IF($BZ498&lt;&gt;Constants!$B$8,"",$AI498)</f>
        <v/>
      </c>
      <c r="BM498" s="135" t="str">
        <f aca="false">IF($BZ498&lt;&gt;Constants!$B$8,"",IF(OR($BT498&lt;$BH498,AND($BT498=$BH498,OR($BU498&lt;$BI498,AND($BU498=$BI498,OR($BV498&lt;$BJ498,AND($BV498=$BJ498,OR(AND(ISNUMBER($BW498),OR(NOT(ISNUMBER($BK498)),$BW498&lt;$BK498)),AND(OR(AND($BW498="",$BK498=""),AND(ISNUMBER($BW498),ISNUMBER($BK498),$BW498=$BK498)),$BX498&lt;$BL498)))))))),"-&gt;","&lt;-"))</f>
        <v/>
      </c>
      <c r="BN498" s="134" t="str">
        <f aca="false">IF(ISBLANK($C498),"",AND($AT498,OR($AU498="",$AV498="",AND($AW498,$AX498=""))))</f>
        <v/>
      </c>
      <c r="BO498" s="137" t="str">
        <f aca="false">IF($BZ498&lt;&gt;Constants!$B$8,"",IF($AT498,Constants!$B$21*$AV498+Constants!$B$22*IF($AW498,$AX498,Constants!$B$23),Constants!$B$24))</f>
        <v/>
      </c>
      <c r="BP498" s="138" t="str">
        <f aca="false">IF($BZ498&lt;&gt;Constants!$B$8,"",Constants!$B$25*ABS($AD$9-IF($AT498,$AU498,0)))</f>
        <v/>
      </c>
      <c r="BQ498" s="138" t="str">
        <f aca="false">IF($BZ498&lt;&gt;Constants!$B$8,"",IF(AND($AT498,$AY498,$AW498),Constants!$B$27,0))</f>
        <v/>
      </c>
      <c r="BR498" s="138" t="str">
        <f aca="false">IF($BZ498&lt;&gt;Constants!$B$8,"",IF($AT498,($AI498-Constants!$B$29)*Constants!$B$28,0))</f>
        <v/>
      </c>
      <c r="BS498" s="138" t="str">
        <f aca="false">IF($BZ498&lt;&gt;Constants!$B$8,"",IF($AS498,0,Constants!$B$15)+IF($AR498,0,Constants!$B$16)+IF($AH498,0,Constants!$B$17))</f>
        <v/>
      </c>
      <c r="BT498" s="139" t="str">
        <f aca="false">IF($BZ498&lt;&gt;Constants!$B$8,"",Constants!$B$20+SUM($BO498:$BS498))</f>
        <v/>
      </c>
      <c r="BU498" s="138" t="str">
        <f aca="false">IF($BZ498&lt;&gt;Constants!$B$8,"",$BO498)</f>
        <v/>
      </c>
      <c r="BV498" s="138" t="str">
        <f aca="false">IF($BZ498&lt;&gt;Constants!$B$8,"",$BP498)</f>
        <v/>
      </c>
      <c r="BW498" s="138" t="str">
        <f aca="false">IF($BZ498&lt;&gt;Constants!$B$8,"",IF($AT498,$AV498,""))</f>
        <v/>
      </c>
      <c r="BX498" s="140" t="str">
        <f aca="false">IF($BZ498&lt;&gt;Constants!$B$8,"",$AI498)</f>
        <v/>
      </c>
      <c r="BY498" s="135" t="str">
        <f aca="false">IF(ISBLANK($C498),"",IF(ISBLANK($D$7),$BY$5,IF(NOT(ISNUMBER($D$7)),$BY$6,"")))</f>
        <v/>
      </c>
      <c r="BZ498" s="135" t="str">
        <f aca="false">IF(ISBLANK($C498),"",IF($BA498,Constants!$B$11,IF(COUNTA($E498:$AA498)=0,Constants!$B$10,IF(NOT($AG498),Constants!$B$9,IF(OR($BY498&lt;&gt;"",$BB498,$BN498),Constants!$B$12,Constants!$B$8)))))</f>
        <v/>
      </c>
      <c r="CA498" s="135" t="str">
        <f aca="false">IF(ISBLANK($C498),"",IF($BZ498&lt;&gt;Constants!$B$8,$BZ498,Constants!$B$13))</f>
        <v/>
      </c>
      <c r="CB498" s="138" t="str">
        <f aca="false">IF($BZ498&lt;&gt;Constants!$B$8,"",IF($BM498="-&gt;",$BT498,$BH498))</f>
        <v/>
      </c>
      <c r="CC498" s="138" t="str">
        <f aca="false">IF($BZ498&lt;&gt;Constants!$B$8,"",IF($AF498,0,Constants!$B$18))</f>
        <v/>
      </c>
      <c r="CD498" s="138" t="str">
        <f aca="false">IF($BZ498&lt;&gt;Constants!$B$8,"",((Constants!$B$31-$AZ498)-Constants!$B$31)/Constants!$B$32)</f>
        <v/>
      </c>
      <c r="CE498" s="138" t="str">
        <f aca="false">IF(ISBLANK($C498),"",IF($BZ498&lt;&gt;Constants!$B$8,$BZ498,SUM($CB498:$CD498)))</f>
        <v/>
      </c>
      <c r="CF498" s="135" t="str">
        <f aca="false">IF(ISBLANK($C498),"",IF($BZ498&lt;&gt;Constants!$B$8,$BZ498,RANK($CE498,$CE$9:$CE$508,1)))</f>
        <v/>
      </c>
      <c r="CG498" s="138" t="str">
        <f aca="false">IF($BZ498&lt;&gt;Constants!$B$8,"",IF($BM498="-&gt;",$BU498,$BI498))</f>
        <v/>
      </c>
      <c r="CH498" s="135" t="str">
        <f aca="false">IF(ISBLANK($C498),"",IF($BZ498&lt;&gt;Constants!$B$8,$BZ498,IF(ISNUMBER($CG498),RANK($CG498,$CG$9:$CG$508,1),COUNT($CG$9:$CG$508)+1)))</f>
        <v/>
      </c>
      <c r="CI498" s="138" t="str">
        <f aca="false">IF($BZ498&lt;&gt;Constants!$B$8,"",IF($BM498="-&gt;",$BV498,$BJ498))</f>
        <v/>
      </c>
      <c r="CJ498" s="135" t="str">
        <f aca="false">IF(ISBLANK($C498),"",IF($BZ498&lt;&gt;Constants!$B$8,$BZ498,IF(ISNUMBER($CI498),RANK($CI498,$CI$9:$CI$508,1),COUNT($CI$9:$CI$508)+1)))</f>
        <v/>
      </c>
      <c r="CK498" s="138" t="str">
        <f aca="false">IF($BZ498&lt;&gt;Constants!$B$8,"",IF($BM498="-&gt;",$BW498,$BK498))</f>
        <v/>
      </c>
      <c r="CL498" s="135" t="str">
        <f aca="false">IF(ISBLANK($C498),"",IF($BZ498&lt;&gt;Constants!$B$8,$BZ498,IF(ISNUMBER($CK498),RANK($CK498,$CK$9:$CK$508,1),COUNT($CK$9:$CK$508)+1)))</f>
        <v/>
      </c>
      <c r="CM498" s="138" t="str">
        <f aca="false">IF($BZ498&lt;&gt;Constants!$B$8,"",IF(AND(NOT($AL498),NOT($AT498),$AJ498,$AK498,$AR498,$AS498),"",IF($BM498="-&gt;",$BX498,$BL498)))</f>
        <v/>
      </c>
      <c r="CN498" s="135" t="str">
        <f aca="false">IF(ISBLANK($C498),"",IF($BZ498&lt;&gt;Constants!$B$8,$BZ498,IF(ISNUMBER($CM498),RANK($CM498,$CM$9:$CM$508,1),COUNT($CM$9:$CM$508)+1)))</f>
        <v/>
      </c>
      <c r="CO498" s="135" t="str">
        <f aca="false">IF(ISBLANK($C498),"",IF($BZ498&lt;&gt;Constants!$B$8,$BZ498,COUNTIFS($CF$9:$CF$508,"&lt;"&amp;$CF498)+COUNTIFS($CF$9:$CF$508,$CF498,$CH$9:$CH$508,"&lt;"&amp;$CH498)+COUNTIFS($CF$9:$CF$508,$CF498,$CH$9:$CH$508,$CH498,$CJ$9:$CJ$508,"&lt;"&amp;$CJ498)+COUNTIFS($CF$9:$CF$508,$CF498,$CH$9:$CH$508,$CH498,$CJ$9:$CJ$508,$CJ498,$CL$9:$CL$508,"&lt;"&amp;$CL498)+COUNTIFS($CF$9:$CF$508,$CF498,$CH$9:$CH$508,$CH498,$CJ$9:$CJ$508,$CJ498,$CL$9:$CL$508,$CL498,$CN$9:$CN$508,"&lt;"&amp;$CN498)+1))</f>
        <v/>
      </c>
      <c r="CP498" s="135" t="str">
        <f aca="false">IF(ISBLANK($C498),"",IF($BZ498&lt;&gt;Constants!$B$8,$BZ498,$CF498-$CO498))</f>
        <v/>
      </c>
      <c r="CQ498" s="141"/>
      <c r="CR498" s="142"/>
      <c r="CS498" s="143" t="str">
        <f aca="false">IF(ISBLANK($C498),"",IF($BZ498=Constants!$B$12,$BY498,""))</f>
        <v/>
      </c>
      <c r="CT498" s="142" t="str">
        <f aca="false">IF(ISBLANK($C498),"",IF($BZ498&lt;&gt;Constants!$B$8,"",IF($BM498="-&gt;",2,1)))</f>
        <v/>
      </c>
      <c r="CU498" s="144" t="str">
        <f aca="false">IF(ISBLANK($C498),"",IF($BZ498&lt;&gt;Constants!$B$8,"",IF($BM498="-&gt;",$BO498,$BC498)))</f>
        <v/>
      </c>
      <c r="CV498" s="144" t="str">
        <f aca="false">IF(ISBLANK($C498),"",IF($BZ498&lt;&gt;Constants!$B$8,"",IF($BM498="-&gt;",$BP498,$BD498)))</f>
        <v/>
      </c>
      <c r="CW498" s="144" t="str">
        <f aca="false">IF(ISBLANK($C498),"",IF($BZ498&lt;&gt;Constants!$B$8,"",IF($BM498="-&gt;",$BQ498+$BR498,$BE498+$BF498)+$CD498))</f>
        <v/>
      </c>
      <c r="CX498" s="144" t="str">
        <f aca="false">IF(ISBLANK($C498),"",IF($BZ498&lt;&gt;Constants!$B$8,"",IF($BM498="-&gt;",$BS498,$BG498)+$CC498))</f>
        <v/>
      </c>
      <c r="CY498" s="145" t="str">
        <f aca="false">IF(ISBLANK($C498),"",IF($BZ498&lt;&gt;Constants!$B$8,$BZ498,$CE498))</f>
        <v/>
      </c>
      <c r="CZ498" s="146" t="str">
        <f aca="false">IF(ISBLANK($C498),"",$CA498)</f>
        <v/>
      </c>
      <c r="DA498" s="147" t="str">
        <f aca="false">IF(ISBLANK($C498),"",$CP498)</f>
        <v/>
      </c>
      <c r="DB498" s="147" t="str">
        <f aca="false">IF(ISBLANK($C498),"",$CO498)</f>
        <v/>
      </c>
      <c r="DC498" s="148" t="str">
        <f aca="false">IF(ISBLANK($C498),"",IFERROR(_xlfn.SWITCH($DB498,Constants!$B$11,COUNTA($C$9:$C$508)+2,Constants!$B$10,COUNTA($C$9:$C$508)+1,Constants!$B$9,COUNTA($C$9:$C$508)),$DB498))</f>
        <v/>
      </c>
      <c r="DD498" s="9"/>
      <c r="DE498" s="149" t="n">
        <f aca="false">IF(OR(ISNUMBER($DB498),$DB498=Constants!$B$11,$DB498=Constants!$B$9,$DB498=Constants!$B$10),1,0)</f>
        <v>0</v>
      </c>
      <c r="DF498" s="149" t="n">
        <v>490</v>
      </c>
      <c r="DG498" s="149" t="str">
        <f aca="false">IF(ISBLANK($C498),"",IF(ISNUMBER($DC498),$DC498+ROW($B498)/1000,""))</f>
        <v/>
      </c>
      <c r="DH498" s="149" t="str">
        <f aca="false">IF(ISNUMBER($DG498),RANK($DG498,$DG$9:$DG$508,1),"")</f>
        <v/>
      </c>
      <c r="DI498" s="149" t="str">
        <f aca="false">IF(ISBLANK($C498),"",$B498)</f>
        <v/>
      </c>
      <c r="DJ498" s="149" t="str">
        <f aca="false">IF(ISBLANK($C498),"",$C498)</f>
        <v/>
      </c>
      <c r="DK498" s="149" t="str">
        <f aca="false">IF(ISBLANK($C498),"",$D498)</f>
        <v/>
      </c>
      <c r="DL498" s="150" t="str">
        <f aca="false">$CZ498</f>
        <v/>
      </c>
      <c r="DM498" s="151" t="str">
        <f aca="false">$CY498</f>
        <v/>
      </c>
      <c r="DN498" s="149" t="str">
        <f aca="false">IF(ISBLANK($C498),"",$DB498)</f>
        <v/>
      </c>
      <c r="DO498" s="152" t="str">
        <f aca="false">IF($DF498&gt;$DE$8,"",VLOOKUP($DF498,$DH$9:$DN$508,7,FALSE()))</f>
        <v/>
      </c>
      <c r="DP498" s="153" t="str">
        <f aca="false">IF($DF498&gt;$DE$8,"",VLOOKUP($DF498,$DH$9:$DN$508,2,FALSE()))</f>
        <v/>
      </c>
      <c r="DQ498" s="153" t="str">
        <f aca="false">IF($DF498&gt;$DE$8,"",VLOOKUP($DF498,$DH$9:$DN$508,3,FALSE()))</f>
        <v/>
      </c>
      <c r="DR498" s="153" t="str">
        <f aca="false">IF($DF498&gt;$DE$8,"",VLOOKUP($DF498,$DH$9:$DN$508,4,FALSE()))</f>
        <v/>
      </c>
      <c r="DS498" s="153" t="str">
        <f aca="false">IF($DF498&gt;$DE$8,"",VLOOKUP($DF498,$DH$9:$DN$508,5,FALSE()))</f>
        <v/>
      </c>
      <c r="DT498" s="154" t="str">
        <f aca="false">IF($DF498&gt;$DE$8,"",VLOOKUP($DF498,$DH$9:$DN$508,6,FALSE()))</f>
        <v/>
      </c>
      <c r="DU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IF(ISBLANK($C499),"",IF(E499=Constants!$B$3,TRUE(),IF(E499=Constants!$B$4,FALSE(),TRUE())))</f>
        <v/>
      </c>
      <c r="AG499" s="135" t="str">
        <f aca="false">IF(ISBLANK($C499),"",IF(F499=Constants!$B$3,TRUE(),IF(F499=Constants!$B$4,FALSE(),TRUE())))</f>
        <v/>
      </c>
      <c r="AH499" s="135" t="str">
        <f aca="false">IF(ISBLANK($C499),"",IF(G499=Constants!$B$3,TRUE(),IF(G499=Constants!$B$4,FALSE(),TRUE())))</f>
        <v/>
      </c>
      <c r="AI499" s="135" t="str">
        <f aca="false">IF(ISBLANK($C499),"",IF(AND(ISNUMBER(H499),H499&gt;=0),H499,Constants!$B$29))</f>
        <v/>
      </c>
      <c r="AJ499" s="135" t="str">
        <f aca="false">IF(ISBLANK($C499),"",IF(I499=Constants!$B$3,TRUE(),IF(I499=Constants!$B$4,FALSE(),TRUE())))</f>
        <v/>
      </c>
      <c r="AK499" s="135" t="str">
        <f aca="false">IF(ISBLANK($C499),"",IF(J499=Constants!$B$3,TRUE(),IF(J499=Constants!$B$4,FALSE(),TRUE())))</f>
        <v/>
      </c>
      <c r="AL499" s="135" t="str">
        <f aca="false">IF(ISBLANK($C499),"",IF(K499=Constants!$B$5,TRUE(),IF(K499=Constants!$B$6,FALSE(),COUNTA(L499:P499)&gt;0)))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IF(ISBLANK($C499),"",IF(N499=Constants!$B$3,TRUE(),IF(N499=Constants!$B$4,FALSE(),TRUE())))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IF(ISBLANK($C499),"",IF(P499=Constants!$B$3,TRUE(),IF(P499=Constants!$B$4,FALSE(),FALSE())))</f>
        <v/>
      </c>
      <c r="AR499" s="135" t="str">
        <f aca="false">IF(ISBLANK($C499),"",IF(Q499=Constants!$B$3,TRUE(),IF(Q499=Constants!$B$4,FALSE(),TRUE())))</f>
        <v/>
      </c>
      <c r="AS499" s="135" t="str">
        <f aca="false">IF(ISBLANK($C499),"",IF(R499=Constants!$B$3,TRUE(),IF(R499=Constants!$B$4,FALSE(),TRUE())))</f>
        <v/>
      </c>
      <c r="AT499" s="135" t="str">
        <f aca="false">IF(ISBLANK($C499),"",IF(S499=Constants!$B$5,TRUE(),IF(S499=Constants!$B$6,FALSE(),COUNTA(T499:X499)&gt;0)))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IF(ISBLANK($C499),"",IF(V499=Constants!$B$3,TRUE(),IF(V499=Constants!$B$4,FALSE(),TRUE())))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IF(ISBLANK($C499),"",IF(X499=Constants!$B$3,TRUE(),IF(X499=Constants!$B$4,FALSE(),FALSE())))</f>
        <v/>
      </c>
      <c r="AZ499" s="135" t="str">
        <f aca="false">IF(ISBLANK($C499),"",MIN(Constants!$B$31,MAX(0,IF(ISNUMBER(Y499),Y499*60,0)+IF(ISNUMBER(Z499),Z499,0))))</f>
        <v/>
      </c>
      <c r="BA499" s="135" t="str">
        <f aca="false">IF(ISBLANK($C499),"",IF(AA499=Constants!$B$3,TRUE(),IF(AA499=Constants!$B$4,FALSE(),FALSE())))</f>
        <v/>
      </c>
      <c r="BB499" s="134" t="str">
        <f aca="false">IF(ISBLANK($C499),"",AND($AL499,OR($AM499="",$AN499="",AND($AO499,$AP499=""))))</f>
        <v/>
      </c>
      <c r="BC499" s="137" t="str">
        <f aca="false">IF($BZ499&lt;&gt;Constants!$B$8,"",IF($AL499,Constants!$B$21*$AN499+Constants!$B$22*IF($AO499,$AP499,Constants!$B$23),Constants!$B$24))</f>
        <v/>
      </c>
      <c r="BD499" s="138" t="str">
        <f aca="false">IF($BZ499&lt;&gt;Constants!$B$8,"",Constants!$B$25*ABS($AD$9-IF($AL499,$AM499,0)))</f>
        <v/>
      </c>
      <c r="BE499" s="138" t="str">
        <f aca="false">IF($BZ499&lt;&gt;Constants!$B$8,"",IF(AND($AL499,$AQ499,$AO499),Constants!$B$27,0))</f>
        <v/>
      </c>
      <c r="BF499" s="138" t="str">
        <f aca="false">IF($BZ499&lt;&gt;Constants!$B$8,"",IF($AL499,($AI499-Constants!$B$29)*Constants!$B$28,0))</f>
        <v/>
      </c>
      <c r="BG499" s="138" t="str">
        <f aca="false">IF($BZ499&lt;&gt;Constants!$B$8,"",IF($AK499,0,Constants!$B$15)+IF($AJ499,0,Constants!$B$16)+IF($AH499,0,Constants!$B$17))</f>
        <v/>
      </c>
      <c r="BH499" s="139" t="str">
        <f aca="false">IF($BZ499&lt;&gt;Constants!$B$8,"",Constants!$B$20+SUM($BC499:$BG499))</f>
        <v/>
      </c>
      <c r="BI499" s="138" t="str">
        <f aca="false">IF($BZ499&lt;&gt;Constants!$B$8,"",$BC499)</f>
        <v/>
      </c>
      <c r="BJ499" s="138" t="str">
        <f aca="false">IF($BZ499&lt;&gt;Constants!$B$8,"",$BD499)</f>
        <v/>
      </c>
      <c r="BK499" s="138" t="str">
        <f aca="false">IF($BZ499&lt;&gt;Constants!$B$8,"",IF($AL499,$AN499,""))</f>
        <v/>
      </c>
      <c r="BL499" s="140" t="str">
        <f aca="false">IF($BZ499&lt;&gt;Constants!$B$8,"",$AI499)</f>
        <v/>
      </c>
      <c r="BM499" s="135" t="str">
        <f aca="false">IF($BZ499&lt;&gt;Constants!$B$8,"",IF(OR($BT499&lt;$BH499,AND($BT499=$BH499,OR($BU499&lt;$BI499,AND($BU499=$BI499,OR($BV499&lt;$BJ499,AND($BV499=$BJ499,OR(AND(ISNUMBER($BW499),OR(NOT(ISNUMBER($BK499)),$BW499&lt;$BK499)),AND(OR(AND($BW499="",$BK499=""),AND(ISNUMBER($BW499),ISNUMBER($BK499),$BW499=$BK499)),$BX499&lt;$BL499)))))))),"-&gt;","&lt;-"))</f>
        <v/>
      </c>
      <c r="BN499" s="134" t="str">
        <f aca="false">IF(ISBLANK($C499),"",AND($AT499,OR($AU499="",$AV499="",AND($AW499,$AX499=""))))</f>
        <v/>
      </c>
      <c r="BO499" s="137" t="str">
        <f aca="false">IF($BZ499&lt;&gt;Constants!$B$8,"",IF($AT499,Constants!$B$21*$AV499+Constants!$B$22*IF($AW499,$AX499,Constants!$B$23),Constants!$B$24))</f>
        <v/>
      </c>
      <c r="BP499" s="138" t="str">
        <f aca="false">IF($BZ499&lt;&gt;Constants!$B$8,"",Constants!$B$25*ABS($AD$9-IF($AT499,$AU499,0)))</f>
        <v/>
      </c>
      <c r="BQ499" s="138" t="str">
        <f aca="false">IF($BZ499&lt;&gt;Constants!$B$8,"",IF(AND($AT499,$AY499,$AW499),Constants!$B$27,0))</f>
        <v/>
      </c>
      <c r="BR499" s="138" t="str">
        <f aca="false">IF($BZ499&lt;&gt;Constants!$B$8,"",IF($AT499,($AI499-Constants!$B$29)*Constants!$B$28,0))</f>
        <v/>
      </c>
      <c r="BS499" s="138" t="str">
        <f aca="false">IF($BZ499&lt;&gt;Constants!$B$8,"",IF($AS499,0,Constants!$B$15)+IF($AR499,0,Constants!$B$16)+IF($AH499,0,Constants!$B$17))</f>
        <v/>
      </c>
      <c r="BT499" s="139" t="str">
        <f aca="false">IF($BZ499&lt;&gt;Constants!$B$8,"",Constants!$B$20+SUM($BO499:$BS499))</f>
        <v/>
      </c>
      <c r="BU499" s="138" t="str">
        <f aca="false">IF($BZ499&lt;&gt;Constants!$B$8,"",$BO499)</f>
        <v/>
      </c>
      <c r="BV499" s="138" t="str">
        <f aca="false">IF($BZ499&lt;&gt;Constants!$B$8,"",$BP499)</f>
        <v/>
      </c>
      <c r="BW499" s="138" t="str">
        <f aca="false">IF($BZ499&lt;&gt;Constants!$B$8,"",IF($AT499,$AV499,""))</f>
        <v/>
      </c>
      <c r="BX499" s="140" t="str">
        <f aca="false">IF($BZ499&lt;&gt;Constants!$B$8,"",$AI499)</f>
        <v/>
      </c>
      <c r="BY499" s="135" t="str">
        <f aca="false">IF(ISBLANK($C499),"",IF(ISBLANK($D$7),$BY$5,IF(NOT(ISNUMBER($D$7)),$BY$6,"")))</f>
        <v/>
      </c>
      <c r="BZ499" s="135" t="str">
        <f aca="false">IF(ISBLANK($C499),"",IF($BA499,Constants!$B$11,IF(COUNTA($E499:$AA499)=0,Constants!$B$10,IF(NOT($AG499),Constants!$B$9,IF(OR($BY499&lt;&gt;"",$BB499,$BN499),Constants!$B$12,Constants!$B$8)))))</f>
        <v/>
      </c>
      <c r="CA499" s="135" t="str">
        <f aca="false">IF(ISBLANK($C499),"",IF($BZ499&lt;&gt;Constants!$B$8,$BZ499,Constants!$B$13))</f>
        <v/>
      </c>
      <c r="CB499" s="138" t="str">
        <f aca="false">IF($BZ499&lt;&gt;Constants!$B$8,"",IF($BM499="-&gt;",$BT499,$BH499))</f>
        <v/>
      </c>
      <c r="CC499" s="138" t="str">
        <f aca="false">IF($BZ499&lt;&gt;Constants!$B$8,"",IF($AF499,0,Constants!$B$18))</f>
        <v/>
      </c>
      <c r="CD499" s="138" t="str">
        <f aca="false">IF($BZ499&lt;&gt;Constants!$B$8,"",((Constants!$B$31-$AZ499)-Constants!$B$31)/Constants!$B$32)</f>
        <v/>
      </c>
      <c r="CE499" s="138" t="str">
        <f aca="false">IF(ISBLANK($C499),"",IF($BZ499&lt;&gt;Constants!$B$8,$BZ499,SUM($CB499:$CD499)))</f>
        <v/>
      </c>
      <c r="CF499" s="135" t="str">
        <f aca="false">IF(ISBLANK($C499),"",IF($BZ499&lt;&gt;Constants!$B$8,$BZ499,RANK($CE499,$CE$9:$CE$508,1)))</f>
        <v/>
      </c>
      <c r="CG499" s="138" t="str">
        <f aca="false">IF($BZ499&lt;&gt;Constants!$B$8,"",IF($BM499="-&gt;",$BU499,$BI499))</f>
        <v/>
      </c>
      <c r="CH499" s="135" t="str">
        <f aca="false">IF(ISBLANK($C499),"",IF($BZ499&lt;&gt;Constants!$B$8,$BZ499,IF(ISNUMBER($CG499),RANK($CG499,$CG$9:$CG$508,1),COUNT($CG$9:$CG$508)+1)))</f>
        <v/>
      </c>
      <c r="CI499" s="138" t="str">
        <f aca="false">IF($BZ499&lt;&gt;Constants!$B$8,"",IF($BM499="-&gt;",$BV499,$BJ499))</f>
        <v/>
      </c>
      <c r="CJ499" s="135" t="str">
        <f aca="false">IF(ISBLANK($C499),"",IF($BZ499&lt;&gt;Constants!$B$8,$BZ499,IF(ISNUMBER($CI499),RANK($CI499,$CI$9:$CI$508,1),COUNT($CI$9:$CI$508)+1)))</f>
        <v/>
      </c>
      <c r="CK499" s="138" t="str">
        <f aca="false">IF($BZ499&lt;&gt;Constants!$B$8,"",IF($BM499="-&gt;",$BW499,$BK499))</f>
        <v/>
      </c>
      <c r="CL499" s="135" t="str">
        <f aca="false">IF(ISBLANK($C499),"",IF($BZ499&lt;&gt;Constants!$B$8,$BZ499,IF(ISNUMBER($CK499),RANK($CK499,$CK$9:$CK$508,1),COUNT($CK$9:$CK$508)+1)))</f>
        <v/>
      </c>
      <c r="CM499" s="138" t="str">
        <f aca="false">IF($BZ499&lt;&gt;Constants!$B$8,"",IF(AND(NOT($AL499),NOT($AT499),$AJ499,$AK499,$AR499,$AS499),"",IF($BM499="-&gt;",$BX499,$BL499)))</f>
        <v/>
      </c>
      <c r="CN499" s="135" t="str">
        <f aca="false">IF(ISBLANK($C499),"",IF($BZ499&lt;&gt;Constants!$B$8,$BZ499,IF(ISNUMBER($CM499),RANK($CM499,$CM$9:$CM$508,1),COUNT($CM$9:$CM$508)+1)))</f>
        <v/>
      </c>
      <c r="CO499" s="135" t="str">
        <f aca="false">IF(ISBLANK($C499),"",IF($BZ499&lt;&gt;Constants!$B$8,$BZ499,COUNTIFS($CF$9:$CF$508,"&lt;"&amp;$CF499)+COUNTIFS($CF$9:$CF$508,$CF499,$CH$9:$CH$508,"&lt;"&amp;$CH499)+COUNTIFS($CF$9:$CF$508,$CF499,$CH$9:$CH$508,$CH499,$CJ$9:$CJ$508,"&lt;"&amp;$CJ499)+COUNTIFS($CF$9:$CF$508,$CF499,$CH$9:$CH$508,$CH499,$CJ$9:$CJ$508,$CJ499,$CL$9:$CL$508,"&lt;"&amp;$CL499)+COUNTIFS($CF$9:$CF$508,$CF499,$CH$9:$CH$508,$CH499,$CJ$9:$CJ$508,$CJ499,$CL$9:$CL$508,$CL499,$CN$9:$CN$508,"&lt;"&amp;$CN499)+1))</f>
        <v/>
      </c>
      <c r="CP499" s="135" t="str">
        <f aca="false">IF(ISBLANK($C499),"",IF($BZ499&lt;&gt;Constants!$B$8,$BZ499,$CF499-$CO499))</f>
        <v/>
      </c>
      <c r="CQ499" s="141"/>
      <c r="CR499" s="142"/>
      <c r="CS499" s="143" t="str">
        <f aca="false">IF(ISBLANK($C499),"",IF($BZ499=Constants!$B$12,$BY499,""))</f>
        <v/>
      </c>
      <c r="CT499" s="142" t="str">
        <f aca="false">IF(ISBLANK($C499),"",IF($BZ499&lt;&gt;Constants!$B$8,"",IF($BM499="-&gt;",2,1)))</f>
        <v/>
      </c>
      <c r="CU499" s="144" t="str">
        <f aca="false">IF(ISBLANK($C499),"",IF($BZ499&lt;&gt;Constants!$B$8,"",IF($BM499="-&gt;",$BO499,$BC499)))</f>
        <v/>
      </c>
      <c r="CV499" s="144" t="str">
        <f aca="false">IF(ISBLANK($C499),"",IF($BZ499&lt;&gt;Constants!$B$8,"",IF($BM499="-&gt;",$BP499,$BD499)))</f>
        <v/>
      </c>
      <c r="CW499" s="144" t="str">
        <f aca="false">IF(ISBLANK($C499),"",IF($BZ499&lt;&gt;Constants!$B$8,"",IF($BM499="-&gt;",$BQ499+$BR499,$BE499+$BF499)+$CD499))</f>
        <v/>
      </c>
      <c r="CX499" s="144" t="str">
        <f aca="false">IF(ISBLANK($C499),"",IF($BZ499&lt;&gt;Constants!$B$8,"",IF($BM499="-&gt;",$BS499,$BG499)+$CC499))</f>
        <v/>
      </c>
      <c r="CY499" s="145" t="str">
        <f aca="false">IF(ISBLANK($C499),"",IF($BZ499&lt;&gt;Constants!$B$8,$BZ499,$CE499))</f>
        <v/>
      </c>
      <c r="CZ499" s="146" t="str">
        <f aca="false">IF(ISBLANK($C499),"",$CA499)</f>
        <v/>
      </c>
      <c r="DA499" s="147" t="str">
        <f aca="false">IF(ISBLANK($C499),"",$CP499)</f>
        <v/>
      </c>
      <c r="DB499" s="147" t="str">
        <f aca="false">IF(ISBLANK($C499),"",$CO499)</f>
        <v/>
      </c>
      <c r="DC499" s="148" t="str">
        <f aca="false">IF(ISBLANK($C499),"",IFERROR(_xlfn.SWITCH($DB499,Constants!$B$11,COUNTA($C$9:$C$508)+2,Constants!$B$10,COUNTA($C$9:$C$508)+1,Constants!$B$9,COUNTA($C$9:$C$508)),$DB499))</f>
        <v/>
      </c>
      <c r="DD499" s="9"/>
      <c r="DE499" s="149" t="n">
        <f aca="false">IF(OR(ISNUMBER($DB499),$DB499=Constants!$B$11,$DB499=Constants!$B$9,$DB499=Constants!$B$10),1,0)</f>
        <v>0</v>
      </c>
      <c r="DF499" s="149" t="n">
        <v>491</v>
      </c>
      <c r="DG499" s="149" t="str">
        <f aca="false">IF(ISBLANK($C499),"",IF(ISNUMBER($DC499),$DC499+ROW($B499)/1000,""))</f>
        <v/>
      </c>
      <c r="DH499" s="149" t="str">
        <f aca="false">IF(ISNUMBER($DG499),RANK($DG499,$DG$9:$DG$508,1),"")</f>
        <v/>
      </c>
      <c r="DI499" s="149" t="str">
        <f aca="false">IF(ISBLANK($C499),"",$B499)</f>
        <v/>
      </c>
      <c r="DJ499" s="149" t="str">
        <f aca="false">IF(ISBLANK($C499),"",$C499)</f>
        <v/>
      </c>
      <c r="DK499" s="149" t="str">
        <f aca="false">IF(ISBLANK($C499),"",$D499)</f>
        <v/>
      </c>
      <c r="DL499" s="150" t="str">
        <f aca="false">$CZ499</f>
        <v/>
      </c>
      <c r="DM499" s="151" t="str">
        <f aca="false">$CY499</f>
        <v/>
      </c>
      <c r="DN499" s="149" t="str">
        <f aca="false">IF(ISBLANK($C499),"",$DB499)</f>
        <v/>
      </c>
      <c r="DO499" s="152" t="str">
        <f aca="false">IF($DF499&gt;$DE$8,"",VLOOKUP($DF499,$DH$9:$DN$508,7,FALSE()))</f>
        <v/>
      </c>
      <c r="DP499" s="153" t="str">
        <f aca="false">IF($DF499&gt;$DE$8,"",VLOOKUP($DF499,$DH$9:$DN$508,2,FALSE()))</f>
        <v/>
      </c>
      <c r="DQ499" s="153" t="str">
        <f aca="false">IF($DF499&gt;$DE$8,"",VLOOKUP($DF499,$DH$9:$DN$508,3,FALSE()))</f>
        <v/>
      </c>
      <c r="DR499" s="153" t="str">
        <f aca="false">IF($DF499&gt;$DE$8,"",VLOOKUP($DF499,$DH$9:$DN$508,4,FALSE()))</f>
        <v/>
      </c>
      <c r="DS499" s="153" t="str">
        <f aca="false">IF($DF499&gt;$DE$8,"",VLOOKUP($DF499,$DH$9:$DN$508,5,FALSE()))</f>
        <v/>
      </c>
      <c r="DT499" s="154" t="str">
        <f aca="false">IF($DF499&gt;$DE$8,"",VLOOKUP($DF499,$DH$9:$DN$508,6,FALSE()))</f>
        <v/>
      </c>
      <c r="DU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IF(ISBLANK($C500),"",IF(E500=Constants!$B$3,TRUE(),IF(E500=Constants!$B$4,FALSE(),TRUE())))</f>
        <v/>
      </c>
      <c r="AG500" s="135" t="str">
        <f aca="false">IF(ISBLANK($C500),"",IF(F500=Constants!$B$3,TRUE(),IF(F500=Constants!$B$4,FALSE(),TRUE())))</f>
        <v/>
      </c>
      <c r="AH500" s="135" t="str">
        <f aca="false">IF(ISBLANK($C500),"",IF(G500=Constants!$B$3,TRUE(),IF(G500=Constants!$B$4,FALSE(),TRUE())))</f>
        <v/>
      </c>
      <c r="AI500" s="135" t="str">
        <f aca="false">IF(ISBLANK($C500),"",IF(AND(ISNUMBER(H500),H500&gt;=0),H500,Constants!$B$29))</f>
        <v/>
      </c>
      <c r="AJ500" s="135" t="str">
        <f aca="false">IF(ISBLANK($C500),"",IF(I500=Constants!$B$3,TRUE(),IF(I500=Constants!$B$4,FALSE(),TRUE())))</f>
        <v/>
      </c>
      <c r="AK500" s="135" t="str">
        <f aca="false">IF(ISBLANK($C500),"",IF(J500=Constants!$B$3,TRUE(),IF(J500=Constants!$B$4,FALSE(),TRUE())))</f>
        <v/>
      </c>
      <c r="AL500" s="135" t="str">
        <f aca="false">IF(ISBLANK($C500),"",IF(K500=Constants!$B$5,TRUE(),IF(K500=Constants!$B$6,FALSE(),COUNTA(L500:P500)&gt;0)))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IF(ISBLANK($C500),"",IF(N500=Constants!$B$3,TRUE(),IF(N500=Constants!$B$4,FALSE(),TRUE())))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IF(ISBLANK($C500),"",IF(P500=Constants!$B$3,TRUE(),IF(P500=Constants!$B$4,FALSE(),FALSE())))</f>
        <v/>
      </c>
      <c r="AR500" s="135" t="str">
        <f aca="false">IF(ISBLANK($C500),"",IF(Q500=Constants!$B$3,TRUE(),IF(Q500=Constants!$B$4,FALSE(),TRUE())))</f>
        <v/>
      </c>
      <c r="AS500" s="135" t="str">
        <f aca="false">IF(ISBLANK($C500),"",IF(R500=Constants!$B$3,TRUE(),IF(R500=Constants!$B$4,FALSE(),TRUE())))</f>
        <v/>
      </c>
      <c r="AT500" s="135" t="str">
        <f aca="false">IF(ISBLANK($C500),"",IF(S500=Constants!$B$5,TRUE(),IF(S500=Constants!$B$6,FALSE(),COUNTA(T500:X500)&gt;0)))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IF(ISBLANK($C500),"",IF(V500=Constants!$B$3,TRUE(),IF(V500=Constants!$B$4,FALSE(),TRUE())))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IF(ISBLANK($C500),"",IF(X500=Constants!$B$3,TRUE(),IF(X500=Constants!$B$4,FALSE(),FALSE())))</f>
        <v/>
      </c>
      <c r="AZ500" s="135" t="str">
        <f aca="false">IF(ISBLANK($C500),"",MIN(Constants!$B$31,MAX(0,IF(ISNUMBER(Y500),Y500*60,0)+IF(ISNUMBER(Z500),Z500,0))))</f>
        <v/>
      </c>
      <c r="BA500" s="135" t="str">
        <f aca="false">IF(ISBLANK($C500),"",IF(AA500=Constants!$B$3,TRUE(),IF(AA500=Constants!$B$4,FALSE(),FALSE())))</f>
        <v/>
      </c>
      <c r="BB500" s="134" t="str">
        <f aca="false">IF(ISBLANK($C500),"",AND($AL500,OR($AM500="",$AN500="",AND($AO500,$AP500=""))))</f>
        <v/>
      </c>
      <c r="BC500" s="137" t="str">
        <f aca="false">IF($BZ500&lt;&gt;Constants!$B$8,"",IF($AL500,Constants!$B$21*$AN500+Constants!$B$22*IF($AO500,$AP500,Constants!$B$23),Constants!$B$24))</f>
        <v/>
      </c>
      <c r="BD500" s="138" t="str">
        <f aca="false">IF($BZ500&lt;&gt;Constants!$B$8,"",Constants!$B$25*ABS($AD$9-IF($AL500,$AM500,0)))</f>
        <v/>
      </c>
      <c r="BE500" s="138" t="str">
        <f aca="false">IF($BZ500&lt;&gt;Constants!$B$8,"",IF(AND($AL500,$AQ500,$AO500),Constants!$B$27,0))</f>
        <v/>
      </c>
      <c r="BF500" s="138" t="str">
        <f aca="false">IF($BZ500&lt;&gt;Constants!$B$8,"",IF($AL500,($AI500-Constants!$B$29)*Constants!$B$28,0))</f>
        <v/>
      </c>
      <c r="BG500" s="138" t="str">
        <f aca="false">IF($BZ500&lt;&gt;Constants!$B$8,"",IF($AK500,0,Constants!$B$15)+IF($AJ500,0,Constants!$B$16)+IF($AH500,0,Constants!$B$17))</f>
        <v/>
      </c>
      <c r="BH500" s="139" t="str">
        <f aca="false">IF($BZ500&lt;&gt;Constants!$B$8,"",Constants!$B$20+SUM($BC500:$BG500))</f>
        <v/>
      </c>
      <c r="BI500" s="138" t="str">
        <f aca="false">IF($BZ500&lt;&gt;Constants!$B$8,"",$BC500)</f>
        <v/>
      </c>
      <c r="BJ500" s="138" t="str">
        <f aca="false">IF($BZ500&lt;&gt;Constants!$B$8,"",$BD500)</f>
        <v/>
      </c>
      <c r="BK500" s="138" t="str">
        <f aca="false">IF($BZ500&lt;&gt;Constants!$B$8,"",IF($AL500,$AN500,""))</f>
        <v/>
      </c>
      <c r="BL500" s="140" t="str">
        <f aca="false">IF($BZ500&lt;&gt;Constants!$B$8,"",$AI500)</f>
        <v/>
      </c>
      <c r="BM500" s="135" t="str">
        <f aca="false">IF($BZ500&lt;&gt;Constants!$B$8,"",IF(OR($BT500&lt;$BH500,AND($BT500=$BH500,OR($BU500&lt;$BI500,AND($BU500=$BI500,OR($BV500&lt;$BJ500,AND($BV500=$BJ500,OR(AND(ISNUMBER($BW500),OR(NOT(ISNUMBER($BK500)),$BW500&lt;$BK500)),AND(OR(AND($BW500="",$BK500=""),AND(ISNUMBER($BW500),ISNUMBER($BK500),$BW500=$BK500)),$BX500&lt;$BL500)))))))),"-&gt;","&lt;-"))</f>
        <v/>
      </c>
      <c r="BN500" s="134" t="str">
        <f aca="false">IF(ISBLANK($C500),"",AND($AT500,OR($AU500="",$AV500="",AND($AW500,$AX500=""))))</f>
        <v/>
      </c>
      <c r="BO500" s="137" t="str">
        <f aca="false">IF($BZ500&lt;&gt;Constants!$B$8,"",IF($AT500,Constants!$B$21*$AV500+Constants!$B$22*IF($AW500,$AX500,Constants!$B$23),Constants!$B$24))</f>
        <v/>
      </c>
      <c r="BP500" s="138" t="str">
        <f aca="false">IF($BZ500&lt;&gt;Constants!$B$8,"",Constants!$B$25*ABS($AD$9-IF($AT500,$AU500,0)))</f>
        <v/>
      </c>
      <c r="BQ500" s="138" t="str">
        <f aca="false">IF($BZ500&lt;&gt;Constants!$B$8,"",IF(AND($AT500,$AY500,$AW500),Constants!$B$27,0))</f>
        <v/>
      </c>
      <c r="BR500" s="138" t="str">
        <f aca="false">IF($BZ500&lt;&gt;Constants!$B$8,"",IF($AT500,($AI500-Constants!$B$29)*Constants!$B$28,0))</f>
        <v/>
      </c>
      <c r="BS500" s="138" t="str">
        <f aca="false">IF($BZ500&lt;&gt;Constants!$B$8,"",IF($AS500,0,Constants!$B$15)+IF($AR500,0,Constants!$B$16)+IF($AH500,0,Constants!$B$17))</f>
        <v/>
      </c>
      <c r="BT500" s="139" t="str">
        <f aca="false">IF($BZ500&lt;&gt;Constants!$B$8,"",Constants!$B$20+SUM($BO500:$BS500))</f>
        <v/>
      </c>
      <c r="BU500" s="138" t="str">
        <f aca="false">IF($BZ500&lt;&gt;Constants!$B$8,"",$BO500)</f>
        <v/>
      </c>
      <c r="BV500" s="138" t="str">
        <f aca="false">IF($BZ500&lt;&gt;Constants!$B$8,"",$BP500)</f>
        <v/>
      </c>
      <c r="BW500" s="138" t="str">
        <f aca="false">IF($BZ500&lt;&gt;Constants!$B$8,"",IF($AT500,$AV500,""))</f>
        <v/>
      </c>
      <c r="BX500" s="140" t="str">
        <f aca="false">IF($BZ500&lt;&gt;Constants!$B$8,"",$AI500)</f>
        <v/>
      </c>
      <c r="BY500" s="135" t="str">
        <f aca="false">IF(ISBLANK($C500),"",IF(ISBLANK($D$7),$BY$5,IF(NOT(ISNUMBER($D$7)),$BY$6,"")))</f>
        <v/>
      </c>
      <c r="BZ500" s="135" t="str">
        <f aca="false">IF(ISBLANK($C500),"",IF($BA500,Constants!$B$11,IF(COUNTA($E500:$AA500)=0,Constants!$B$10,IF(NOT($AG500),Constants!$B$9,IF(OR($BY500&lt;&gt;"",$BB500,$BN500),Constants!$B$12,Constants!$B$8)))))</f>
        <v/>
      </c>
      <c r="CA500" s="135" t="str">
        <f aca="false">IF(ISBLANK($C500),"",IF($BZ500&lt;&gt;Constants!$B$8,$BZ500,Constants!$B$13))</f>
        <v/>
      </c>
      <c r="CB500" s="138" t="str">
        <f aca="false">IF($BZ500&lt;&gt;Constants!$B$8,"",IF($BM500="-&gt;",$BT500,$BH500))</f>
        <v/>
      </c>
      <c r="CC500" s="138" t="str">
        <f aca="false">IF($BZ500&lt;&gt;Constants!$B$8,"",IF($AF500,0,Constants!$B$18))</f>
        <v/>
      </c>
      <c r="CD500" s="138" t="str">
        <f aca="false">IF($BZ500&lt;&gt;Constants!$B$8,"",((Constants!$B$31-$AZ500)-Constants!$B$31)/Constants!$B$32)</f>
        <v/>
      </c>
      <c r="CE500" s="138" t="str">
        <f aca="false">IF(ISBLANK($C500),"",IF($BZ500&lt;&gt;Constants!$B$8,$BZ500,SUM($CB500:$CD500)))</f>
        <v/>
      </c>
      <c r="CF500" s="135" t="str">
        <f aca="false">IF(ISBLANK($C500),"",IF($BZ500&lt;&gt;Constants!$B$8,$BZ500,RANK($CE500,$CE$9:$CE$508,1)))</f>
        <v/>
      </c>
      <c r="CG500" s="138" t="str">
        <f aca="false">IF($BZ500&lt;&gt;Constants!$B$8,"",IF($BM500="-&gt;",$BU500,$BI500))</f>
        <v/>
      </c>
      <c r="CH500" s="135" t="str">
        <f aca="false">IF(ISBLANK($C500),"",IF($BZ500&lt;&gt;Constants!$B$8,$BZ500,IF(ISNUMBER($CG500),RANK($CG500,$CG$9:$CG$508,1),COUNT($CG$9:$CG$508)+1)))</f>
        <v/>
      </c>
      <c r="CI500" s="138" t="str">
        <f aca="false">IF($BZ500&lt;&gt;Constants!$B$8,"",IF($BM500="-&gt;",$BV500,$BJ500))</f>
        <v/>
      </c>
      <c r="CJ500" s="135" t="str">
        <f aca="false">IF(ISBLANK($C500),"",IF($BZ500&lt;&gt;Constants!$B$8,$BZ500,IF(ISNUMBER($CI500),RANK($CI500,$CI$9:$CI$508,1),COUNT($CI$9:$CI$508)+1)))</f>
        <v/>
      </c>
      <c r="CK500" s="138" t="str">
        <f aca="false">IF($BZ500&lt;&gt;Constants!$B$8,"",IF($BM500="-&gt;",$BW500,$BK500))</f>
        <v/>
      </c>
      <c r="CL500" s="135" t="str">
        <f aca="false">IF(ISBLANK($C500),"",IF($BZ500&lt;&gt;Constants!$B$8,$BZ500,IF(ISNUMBER($CK500),RANK($CK500,$CK$9:$CK$508,1),COUNT($CK$9:$CK$508)+1)))</f>
        <v/>
      </c>
      <c r="CM500" s="138" t="str">
        <f aca="false">IF($BZ500&lt;&gt;Constants!$B$8,"",IF(AND(NOT($AL500),NOT($AT500),$AJ500,$AK500,$AR500,$AS500),"",IF($BM500="-&gt;",$BX500,$BL500)))</f>
        <v/>
      </c>
      <c r="CN500" s="135" t="str">
        <f aca="false">IF(ISBLANK($C500),"",IF($BZ500&lt;&gt;Constants!$B$8,$BZ500,IF(ISNUMBER($CM500),RANK($CM500,$CM$9:$CM$508,1),COUNT($CM$9:$CM$508)+1)))</f>
        <v/>
      </c>
      <c r="CO500" s="135" t="str">
        <f aca="false">IF(ISBLANK($C500),"",IF($BZ500&lt;&gt;Constants!$B$8,$BZ500,COUNTIFS($CF$9:$CF$508,"&lt;"&amp;$CF500)+COUNTIFS($CF$9:$CF$508,$CF500,$CH$9:$CH$508,"&lt;"&amp;$CH500)+COUNTIFS($CF$9:$CF$508,$CF500,$CH$9:$CH$508,$CH500,$CJ$9:$CJ$508,"&lt;"&amp;$CJ500)+COUNTIFS($CF$9:$CF$508,$CF500,$CH$9:$CH$508,$CH500,$CJ$9:$CJ$508,$CJ500,$CL$9:$CL$508,"&lt;"&amp;$CL500)+COUNTIFS($CF$9:$CF$508,$CF500,$CH$9:$CH$508,$CH500,$CJ$9:$CJ$508,$CJ500,$CL$9:$CL$508,$CL500,$CN$9:$CN$508,"&lt;"&amp;$CN500)+1))</f>
        <v/>
      </c>
      <c r="CP500" s="135" t="str">
        <f aca="false">IF(ISBLANK($C500),"",IF($BZ500&lt;&gt;Constants!$B$8,$BZ500,$CF500-$CO500))</f>
        <v/>
      </c>
      <c r="CQ500" s="141"/>
      <c r="CR500" s="142"/>
      <c r="CS500" s="143" t="str">
        <f aca="false">IF(ISBLANK($C500),"",IF($BZ500=Constants!$B$12,$BY500,""))</f>
        <v/>
      </c>
      <c r="CT500" s="142" t="str">
        <f aca="false">IF(ISBLANK($C500),"",IF($BZ500&lt;&gt;Constants!$B$8,"",IF($BM500="-&gt;",2,1)))</f>
        <v/>
      </c>
      <c r="CU500" s="144" t="str">
        <f aca="false">IF(ISBLANK($C500),"",IF($BZ500&lt;&gt;Constants!$B$8,"",IF($BM500="-&gt;",$BO500,$BC500)))</f>
        <v/>
      </c>
      <c r="CV500" s="144" t="str">
        <f aca="false">IF(ISBLANK($C500),"",IF($BZ500&lt;&gt;Constants!$B$8,"",IF($BM500="-&gt;",$BP500,$BD500)))</f>
        <v/>
      </c>
      <c r="CW500" s="144" t="str">
        <f aca="false">IF(ISBLANK($C500),"",IF($BZ500&lt;&gt;Constants!$B$8,"",IF($BM500="-&gt;",$BQ500+$BR500,$BE500+$BF500)+$CD500))</f>
        <v/>
      </c>
      <c r="CX500" s="144" t="str">
        <f aca="false">IF(ISBLANK($C500),"",IF($BZ500&lt;&gt;Constants!$B$8,"",IF($BM500="-&gt;",$BS500,$BG500)+$CC500))</f>
        <v/>
      </c>
      <c r="CY500" s="145" t="str">
        <f aca="false">IF(ISBLANK($C500),"",IF($BZ500&lt;&gt;Constants!$B$8,$BZ500,$CE500))</f>
        <v/>
      </c>
      <c r="CZ500" s="146" t="str">
        <f aca="false">IF(ISBLANK($C500),"",$CA500)</f>
        <v/>
      </c>
      <c r="DA500" s="147" t="str">
        <f aca="false">IF(ISBLANK($C500),"",$CP500)</f>
        <v/>
      </c>
      <c r="DB500" s="147" t="str">
        <f aca="false">IF(ISBLANK($C500),"",$CO500)</f>
        <v/>
      </c>
      <c r="DC500" s="148" t="str">
        <f aca="false">IF(ISBLANK($C500),"",IFERROR(_xlfn.SWITCH($DB500,Constants!$B$11,COUNTA($C$9:$C$508)+2,Constants!$B$10,COUNTA($C$9:$C$508)+1,Constants!$B$9,COUNTA($C$9:$C$508)),$DB500))</f>
        <v/>
      </c>
      <c r="DD500" s="9"/>
      <c r="DE500" s="149" t="n">
        <f aca="false">IF(OR(ISNUMBER($DB500),$DB500=Constants!$B$11,$DB500=Constants!$B$9,$DB500=Constants!$B$10),1,0)</f>
        <v>0</v>
      </c>
      <c r="DF500" s="149" t="n">
        <v>492</v>
      </c>
      <c r="DG500" s="149" t="str">
        <f aca="false">IF(ISBLANK($C500),"",IF(ISNUMBER($DC500),$DC500+ROW($B500)/1000,""))</f>
        <v/>
      </c>
      <c r="DH500" s="149" t="str">
        <f aca="false">IF(ISNUMBER($DG500),RANK($DG500,$DG$9:$DG$508,1),"")</f>
        <v/>
      </c>
      <c r="DI500" s="149" t="str">
        <f aca="false">IF(ISBLANK($C500),"",$B500)</f>
        <v/>
      </c>
      <c r="DJ500" s="149" t="str">
        <f aca="false">IF(ISBLANK($C500),"",$C500)</f>
        <v/>
      </c>
      <c r="DK500" s="149" t="str">
        <f aca="false">IF(ISBLANK($C500),"",$D500)</f>
        <v/>
      </c>
      <c r="DL500" s="150" t="str">
        <f aca="false">$CZ500</f>
        <v/>
      </c>
      <c r="DM500" s="151" t="str">
        <f aca="false">$CY500</f>
        <v/>
      </c>
      <c r="DN500" s="149" t="str">
        <f aca="false">IF(ISBLANK($C500),"",$DB500)</f>
        <v/>
      </c>
      <c r="DO500" s="152" t="str">
        <f aca="false">IF($DF500&gt;$DE$8,"",VLOOKUP($DF500,$DH$9:$DN$508,7,FALSE()))</f>
        <v/>
      </c>
      <c r="DP500" s="153" t="str">
        <f aca="false">IF($DF500&gt;$DE$8,"",VLOOKUP($DF500,$DH$9:$DN$508,2,FALSE()))</f>
        <v/>
      </c>
      <c r="DQ500" s="153" t="str">
        <f aca="false">IF($DF500&gt;$DE$8,"",VLOOKUP($DF500,$DH$9:$DN$508,3,FALSE()))</f>
        <v/>
      </c>
      <c r="DR500" s="153" t="str">
        <f aca="false">IF($DF500&gt;$DE$8,"",VLOOKUP($DF500,$DH$9:$DN$508,4,FALSE()))</f>
        <v/>
      </c>
      <c r="DS500" s="153" t="str">
        <f aca="false">IF($DF500&gt;$DE$8,"",VLOOKUP($DF500,$DH$9:$DN$508,5,FALSE()))</f>
        <v/>
      </c>
      <c r="DT500" s="154" t="str">
        <f aca="false">IF($DF500&gt;$DE$8,"",VLOOKUP($DF500,$DH$9:$DN$508,6,FALSE()))</f>
        <v/>
      </c>
      <c r="DU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IF(ISBLANK($C501),"",IF(E501=Constants!$B$3,TRUE(),IF(E501=Constants!$B$4,FALSE(),TRUE())))</f>
        <v/>
      </c>
      <c r="AG501" s="93" t="str">
        <f aca="false">IF(ISBLANK($C501),"",IF(F501=Constants!$B$3,TRUE(),IF(F501=Constants!$B$4,FALSE(),TRUE())))</f>
        <v/>
      </c>
      <c r="AH501" s="93" t="str">
        <f aca="false">IF(ISBLANK($C501),"",IF(G501=Constants!$B$3,TRUE(),IF(G501=Constants!$B$4,FALSE(),TRUE())))</f>
        <v/>
      </c>
      <c r="AI501" s="93" t="str">
        <f aca="false">IF(ISBLANK($C501),"",IF(AND(ISNUMBER(H501),H501&gt;=0),H501,Constants!$B$29))</f>
        <v/>
      </c>
      <c r="AJ501" s="93" t="str">
        <f aca="false">IF(ISBLANK($C501),"",IF(I501=Constants!$B$3,TRUE(),IF(I501=Constants!$B$4,FALSE(),TRUE())))</f>
        <v/>
      </c>
      <c r="AK501" s="93" t="str">
        <f aca="false">IF(ISBLANK($C501),"",IF(J501=Constants!$B$3,TRUE(),IF(J501=Constants!$B$4,FALSE(),TRUE())))</f>
        <v/>
      </c>
      <c r="AL501" s="93" t="str">
        <f aca="false">IF(ISBLANK($C501),"",IF(K501=Constants!$B$5,TRUE(),IF(K501=Constants!$B$6,FALSE(),COUNTA(L501:P501)&gt;0)))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IF(ISBLANK($C501),"",IF(N501=Constants!$B$3,TRUE(),IF(N501=Constants!$B$4,FALSE(),TRUE())))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IF(ISBLANK($C501),"",IF(P501=Constants!$B$3,TRUE(),IF(P501=Constants!$B$4,FALSE(),FALSE())))</f>
        <v/>
      </c>
      <c r="AR501" s="93" t="str">
        <f aca="false">IF(ISBLANK($C501),"",IF(Q501=Constants!$B$3,TRUE(),IF(Q501=Constants!$B$4,FALSE(),TRUE())))</f>
        <v/>
      </c>
      <c r="AS501" s="93" t="str">
        <f aca="false">IF(ISBLANK($C501),"",IF(R501=Constants!$B$3,TRUE(),IF(R501=Constants!$B$4,FALSE(),TRUE())))</f>
        <v/>
      </c>
      <c r="AT501" s="93" t="str">
        <f aca="false">IF(ISBLANK($C501),"",IF(S501=Constants!$B$5,TRUE(),IF(S501=Constants!$B$6,FALSE(),COUNTA(T501:X501)&gt;0)))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IF(ISBLANK($C501),"",IF(V501=Constants!$B$3,TRUE(),IF(V501=Constants!$B$4,FALSE(),TRUE())))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IF(ISBLANK($C501),"",IF(X501=Constants!$B$3,TRUE(),IF(X501=Constants!$B$4,FALSE(),FALSE())))</f>
        <v/>
      </c>
      <c r="AZ501" s="93" t="str">
        <f aca="false">IF(ISBLANK($C501),"",MIN(Constants!$B$31,MAX(0,IF(ISNUMBER(Y501),Y501*60,0)+IF(ISNUMBER(Z501),Z501,0))))</f>
        <v/>
      </c>
      <c r="BA501" s="93" t="str">
        <f aca="false">IF(ISBLANK($C501),"",IF(AA501=Constants!$B$3,TRUE(),IF(AA501=Constants!$B$4,FALSE(),FALSE())))</f>
        <v/>
      </c>
      <c r="BB501" s="92" t="str">
        <f aca="false">IF(ISBLANK($C501),"",AND($AL501,OR($AM501="",$AN501="",AND($AO501,$AP501=""))))</f>
        <v/>
      </c>
      <c r="BC501" s="94" t="str">
        <f aca="false">IF($BZ501&lt;&gt;Constants!$B$8,"",IF($AL501,Constants!$B$21*$AN501+Constants!$B$22*IF($AO501,$AP501,Constants!$B$23),Constants!$B$24))</f>
        <v/>
      </c>
      <c r="BD501" s="97" t="str">
        <f aca="false">IF($BZ501&lt;&gt;Constants!$B$8,"",Constants!$B$25*ABS($AD$9-IF($AL501,$AM501,0)))</f>
        <v/>
      </c>
      <c r="BE501" s="97" t="str">
        <f aca="false">IF($BZ501&lt;&gt;Constants!$B$8,"",IF(AND($AL501,$AQ501,$AO501),Constants!$B$27,0))</f>
        <v/>
      </c>
      <c r="BF501" s="97" t="str">
        <f aca="false">IF($BZ501&lt;&gt;Constants!$B$8,"",IF($AL501,($AI501-Constants!$B$29)*Constants!$B$28,0))</f>
        <v/>
      </c>
      <c r="BG501" s="97" t="str">
        <f aca="false">IF($BZ501&lt;&gt;Constants!$B$8,"",IF($AK501,0,Constants!$B$15)+IF($AJ501,0,Constants!$B$16)+IF($AH501,0,Constants!$B$17))</f>
        <v/>
      </c>
      <c r="BH501" s="98" t="str">
        <f aca="false">IF($BZ501&lt;&gt;Constants!$B$8,"",Constants!$B$20+SUM($BC501:$BG501))</f>
        <v/>
      </c>
      <c r="BI501" s="97" t="str">
        <f aca="false">IF($BZ501&lt;&gt;Constants!$B$8,"",$BC501)</f>
        <v/>
      </c>
      <c r="BJ501" s="97" t="str">
        <f aca="false">IF($BZ501&lt;&gt;Constants!$B$8,"",$BD501)</f>
        <v/>
      </c>
      <c r="BK501" s="97" t="str">
        <f aca="false">IF($BZ501&lt;&gt;Constants!$B$8,"",IF($AL501,$AN501,""))</f>
        <v/>
      </c>
      <c r="BL501" s="99" t="str">
        <f aca="false">IF($BZ501&lt;&gt;Constants!$B$8,"",$AI501)</f>
        <v/>
      </c>
      <c r="BM501" s="93" t="str">
        <f aca="false">IF($BZ501&lt;&gt;Constants!$B$8,"",IF(OR($BT501&lt;$BH501,AND($BT501=$BH501,OR($BU501&lt;$BI501,AND($BU501=$BI501,OR($BV501&lt;$BJ501,AND($BV501=$BJ501,OR(AND(ISNUMBER($BW501),OR(NOT(ISNUMBER($BK501)),$BW501&lt;$BK501)),AND(OR(AND($BW501="",$BK501=""),AND(ISNUMBER($BW501),ISNUMBER($BK501),$BW501=$BK501)),$BX501&lt;$BL501)))))))),"-&gt;","&lt;-"))</f>
        <v/>
      </c>
      <c r="BN501" s="92" t="str">
        <f aca="false">IF(ISBLANK($C501),"",AND($AT501,OR($AU501="",$AV501="",AND($AW501,$AX501=""))))</f>
        <v/>
      </c>
      <c r="BO501" s="94" t="str">
        <f aca="false">IF($BZ501&lt;&gt;Constants!$B$8,"",IF($AT501,Constants!$B$21*$AV501+Constants!$B$22*IF($AW501,$AX501,Constants!$B$23),Constants!$B$24))</f>
        <v/>
      </c>
      <c r="BP501" s="97" t="str">
        <f aca="false">IF($BZ501&lt;&gt;Constants!$B$8,"",Constants!$B$25*ABS($AD$9-IF($AT501,$AU501,0)))</f>
        <v/>
      </c>
      <c r="BQ501" s="97" t="str">
        <f aca="false">IF($BZ501&lt;&gt;Constants!$B$8,"",IF(AND($AT501,$AY501,$AW501),Constants!$B$27,0))</f>
        <v/>
      </c>
      <c r="BR501" s="97" t="str">
        <f aca="false">IF($BZ501&lt;&gt;Constants!$B$8,"",IF($AT501,($AI501-Constants!$B$29)*Constants!$B$28,0))</f>
        <v/>
      </c>
      <c r="BS501" s="97" t="str">
        <f aca="false">IF($BZ501&lt;&gt;Constants!$B$8,"",IF($AS501,0,Constants!$B$15)+IF($AR501,0,Constants!$B$16)+IF($AH501,0,Constants!$B$17))</f>
        <v/>
      </c>
      <c r="BT501" s="98" t="str">
        <f aca="false">IF($BZ501&lt;&gt;Constants!$B$8,"",Constants!$B$20+SUM($BO501:$BS501))</f>
        <v/>
      </c>
      <c r="BU501" s="97" t="str">
        <f aca="false">IF($BZ501&lt;&gt;Constants!$B$8,"",$BO501)</f>
        <v/>
      </c>
      <c r="BV501" s="97" t="str">
        <f aca="false">IF($BZ501&lt;&gt;Constants!$B$8,"",$BP501)</f>
        <v/>
      </c>
      <c r="BW501" s="97" t="str">
        <f aca="false">IF($BZ501&lt;&gt;Constants!$B$8,"",IF($AT501,$AV501,""))</f>
        <v/>
      </c>
      <c r="BX501" s="99" t="str">
        <f aca="false">IF($BZ501&lt;&gt;Constants!$B$8,"",$AI501)</f>
        <v/>
      </c>
      <c r="BY501" s="93" t="str">
        <f aca="false">IF(ISBLANK($C501),"",IF(ISBLANK($D$7),$BY$5,IF(NOT(ISNUMBER($D$7)),$BY$6,"")))</f>
        <v/>
      </c>
      <c r="BZ501" s="93" t="str">
        <f aca="false">IF(ISBLANK($C501),"",IF($BA501,Constants!$B$11,IF(COUNTA($E501:$AA501)=0,Constants!$B$10,IF(NOT($AG501),Constants!$B$9,IF(OR($BY501&lt;&gt;"",$BB501,$BN501),Constants!$B$12,Constants!$B$8)))))</f>
        <v/>
      </c>
      <c r="CA501" s="93" t="str">
        <f aca="false">IF(ISBLANK($C501),"",IF($BZ501&lt;&gt;Constants!$B$8,$BZ501,Constants!$B$13))</f>
        <v/>
      </c>
      <c r="CB501" s="97" t="str">
        <f aca="false">IF($BZ501&lt;&gt;Constants!$B$8,"",IF($BM501="-&gt;",$BT501,$BH501))</f>
        <v/>
      </c>
      <c r="CC501" s="97" t="str">
        <f aca="false">IF($BZ501&lt;&gt;Constants!$B$8,"",IF($AF501,0,Constants!$B$18))</f>
        <v/>
      </c>
      <c r="CD501" s="97" t="str">
        <f aca="false">IF($BZ501&lt;&gt;Constants!$B$8,"",((Constants!$B$31-$AZ501)-Constants!$B$31)/Constants!$B$32)</f>
        <v/>
      </c>
      <c r="CE501" s="97" t="str">
        <f aca="false">IF(ISBLANK($C501),"",IF($BZ501&lt;&gt;Constants!$B$8,$BZ501,SUM($CB501:$CD501)))</f>
        <v/>
      </c>
      <c r="CF501" s="93" t="str">
        <f aca="false">IF(ISBLANK($C501),"",IF($BZ501&lt;&gt;Constants!$B$8,$BZ501,RANK($CE501,$CE$9:$CE$508,1)))</f>
        <v/>
      </c>
      <c r="CG501" s="97" t="str">
        <f aca="false">IF($BZ501&lt;&gt;Constants!$B$8,"",IF($BM501="-&gt;",$BU501,$BI501))</f>
        <v/>
      </c>
      <c r="CH501" s="93" t="str">
        <f aca="false">IF(ISBLANK($C501),"",IF($BZ501&lt;&gt;Constants!$B$8,$BZ501,IF(ISNUMBER($CG501),RANK($CG501,$CG$9:$CG$508,1),COUNT($CG$9:$CG$508)+1)))</f>
        <v/>
      </c>
      <c r="CI501" s="97" t="str">
        <f aca="false">IF($BZ501&lt;&gt;Constants!$B$8,"",IF($BM501="-&gt;",$BV501,$BJ501))</f>
        <v/>
      </c>
      <c r="CJ501" s="93" t="str">
        <f aca="false">IF(ISBLANK($C501),"",IF($BZ501&lt;&gt;Constants!$B$8,$BZ501,IF(ISNUMBER($CI501),RANK($CI501,$CI$9:$CI$508,1),COUNT($CI$9:$CI$508)+1)))</f>
        <v/>
      </c>
      <c r="CK501" s="97" t="str">
        <f aca="false">IF($BZ501&lt;&gt;Constants!$B$8,"",IF($BM501="-&gt;",$BW501,$BK501))</f>
        <v/>
      </c>
      <c r="CL501" s="93" t="str">
        <f aca="false">IF(ISBLANK($C501),"",IF($BZ501&lt;&gt;Constants!$B$8,$BZ501,IF(ISNUMBER($CK501),RANK($CK501,$CK$9:$CK$508,1),COUNT($CK$9:$CK$508)+1)))</f>
        <v/>
      </c>
      <c r="CM501" s="97" t="str">
        <f aca="false">IF($BZ501&lt;&gt;Constants!$B$8,"",IF(AND(NOT($AL501),NOT($AT501),$AJ501,$AK501,$AR501,$AS501),"",IF($BM501="-&gt;",$BX501,$BL501)))</f>
        <v/>
      </c>
      <c r="CN501" s="93" t="str">
        <f aca="false">IF(ISBLANK($C501),"",IF($BZ501&lt;&gt;Constants!$B$8,$BZ501,IF(ISNUMBER($CM501),RANK($CM501,$CM$9:$CM$508,1),COUNT($CM$9:$CM$508)+1)))</f>
        <v/>
      </c>
      <c r="CO501" s="93" t="str">
        <f aca="false">IF(ISBLANK($C501),"",IF($BZ501&lt;&gt;Constants!$B$8,$BZ501,COUNTIFS($CF$9:$CF$508,"&lt;"&amp;$CF501)+COUNTIFS($CF$9:$CF$508,$CF501,$CH$9:$CH$508,"&lt;"&amp;$CH501)+COUNTIFS($CF$9:$CF$508,$CF501,$CH$9:$CH$508,$CH501,$CJ$9:$CJ$508,"&lt;"&amp;$CJ501)+COUNTIFS($CF$9:$CF$508,$CF501,$CH$9:$CH$508,$CH501,$CJ$9:$CJ$508,$CJ501,$CL$9:$CL$508,"&lt;"&amp;$CL501)+COUNTIFS($CF$9:$CF$508,$CF501,$CH$9:$CH$508,$CH501,$CJ$9:$CJ$508,$CJ501,$CL$9:$CL$508,$CL501,$CN$9:$CN$508,"&lt;"&amp;$CN501)+1))</f>
        <v/>
      </c>
      <c r="CP501" s="93" t="str">
        <f aca="false">IF(ISBLANK($C501),"",IF($BZ501&lt;&gt;Constants!$B$8,$BZ501,$CF501-$CO501))</f>
        <v/>
      </c>
      <c r="CQ501" s="100"/>
      <c r="CR501" s="101"/>
      <c r="CS501" s="102" t="str">
        <f aca="false">IF(ISBLANK($C501),"",IF($BZ501=Constants!$B$12,$BY501,""))</f>
        <v/>
      </c>
      <c r="CT501" s="101" t="str">
        <f aca="false">IF(ISBLANK($C501),"",IF($BZ501&lt;&gt;Constants!$B$8,"",IF($BM501="-&gt;",2,1)))</f>
        <v/>
      </c>
      <c r="CU501" s="103" t="str">
        <f aca="false">IF(ISBLANK($C501),"",IF($BZ501&lt;&gt;Constants!$B$8,"",IF($BM501="-&gt;",$BO501,$BC501)))</f>
        <v/>
      </c>
      <c r="CV501" s="103" t="str">
        <f aca="false">IF(ISBLANK($C501),"",IF($BZ501&lt;&gt;Constants!$B$8,"",IF($BM501="-&gt;",$BP501,$BD501)))</f>
        <v/>
      </c>
      <c r="CW501" s="103" t="str">
        <f aca="false">IF(ISBLANK($C501),"",IF($BZ501&lt;&gt;Constants!$B$8,"",IF($BM501="-&gt;",$BQ501+$BR501,$BE501+$BF501)+$CD501))</f>
        <v/>
      </c>
      <c r="CX501" s="103" t="str">
        <f aca="false">IF(ISBLANK($C501),"",IF($BZ501&lt;&gt;Constants!$B$8,"",IF($BM501="-&gt;",$BS501,$BG501)+$CC501))</f>
        <v/>
      </c>
      <c r="CY501" s="104" t="str">
        <f aca="false">IF(ISBLANK($C501),"",IF($BZ501&lt;&gt;Constants!$B$8,$BZ501,$CE501))</f>
        <v/>
      </c>
      <c r="CZ501" s="105" t="str">
        <f aca="false">IF(ISBLANK($C501),"",$CA501)</f>
        <v/>
      </c>
      <c r="DA501" s="106" t="str">
        <f aca="false">IF(ISBLANK($C501),"",$CP501)</f>
        <v/>
      </c>
      <c r="DB501" s="106" t="str">
        <f aca="false">IF(ISBLANK($C501),"",$CO501)</f>
        <v/>
      </c>
      <c r="DC501" s="107" t="str">
        <f aca="false">IF(ISBLANK($C501),"",IFERROR(_xlfn.SWITCH($DB501,Constants!$B$11,COUNTA($C$9:$C$508)+2,Constants!$B$10,COUNTA($C$9:$C$508)+1,Constants!$B$9,COUNTA($C$9:$C$508)),$DB501))</f>
        <v/>
      </c>
      <c r="DD501" s="9"/>
      <c r="DE501" s="108" t="n">
        <f aca="false">IF(OR(ISNUMBER($DB501),$DB501=Constants!$B$11,$DB501=Constants!$B$9,$DB501=Constants!$B$10),1,0)</f>
        <v>0</v>
      </c>
      <c r="DF501" s="108" t="n">
        <v>493</v>
      </c>
      <c r="DG501" s="108" t="str">
        <f aca="false">IF(ISBLANK($C501),"",IF(ISNUMBER($DC501),$DC501+ROW($B501)/1000,""))</f>
        <v/>
      </c>
      <c r="DH501" s="108" t="str">
        <f aca="false">IF(ISNUMBER($DG501),RANK($DG501,$DG$9:$DG$508,1),"")</f>
        <v/>
      </c>
      <c r="DI501" s="108" t="str">
        <f aca="false">IF(ISBLANK($C501),"",$B501)</f>
        <v/>
      </c>
      <c r="DJ501" s="108" t="str">
        <f aca="false">IF(ISBLANK($C501),"",$C501)</f>
        <v/>
      </c>
      <c r="DK501" s="108" t="str">
        <f aca="false">IF(ISBLANK($C501),"",$D501)</f>
        <v/>
      </c>
      <c r="DL501" s="109" t="str">
        <f aca="false">$CZ501</f>
        <v/>
      </c>
      <c r="DM501" s="110" t="str">
        <f aca="false">$CY501</f>
        <v/>
      </c>
      <c r="DN501" s="108" t="str">
        <f aca="false">IF(ISBLANK($C501),"",$DB501)</f>
        <v/>
      </c>
      <c r="DO501" s="111" t="str">
        <f aca="false">IF($DF501&gt;$DE$8,"",VLOOKUP($DF501,$DH$9:$DN$508,7,FALSE()))</f>
        <v/>
      </c>
      <c r="DP501" s="112" t="str">
        <f aca="false">IF($DF501&gt;$DE$8,"",VLOOKUP($DF501,$DH$9:$DN$508,2,FALSE()))</f>
        <v/>
      </c>
      <c r="DQ501" s="112" t="str">
        <f aca="false">IF($DF501&gt;$DE$8,"",VLOOKUP($DF501,$DH$9:$DN$508,3,FALSE()))</f>
        <v/>
      </c>
      <c r="DR501" s="112" t="str">
        <f aca="false">IF($DF501&gt;$DE$8,"",VLOOKUP($DF501,$DH$9:$DN$508,4,FALSE()))</f>
        <v/>
      </c>
      <c r="DS501" s="112" t="str">
        <f aca="false">IF($DF501&gt;$DE$8,"",VLOOKUP($DF501,$DH$9:$DN$508,5,FALSE()))</f>
        <v/>
      </c>
      <c r="DT501" s="113" t="str">
        <f aca="false">IF($DF501&gt;$DE$8,"",VLOOKUP($DF501,$DH$9:$DN$508,6,FALSE()))</f>
        <v/>
      </c>
      <c r="DU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IF(ISBLANK($C502),"",IF(E502=Constants!$B$3,TRUE(),IF(E502=Constants!$B$4,FALSE(),TRUE())))</f>
        <v/>
      </c>
      <c r="AG502" s="93" t="str">
        <f aca="false">IF(ISBLANK($C502),"",IF(F502=Constants!$B$3,TRUE(),IF(F502=Constants!$B$4,FALSE(),TRUE())))</f>
        <v/>
      </c>
      <c r="AH502" s="93" t="str">
        <f aca="false">IF(ISBLANK($C502),"",IF(G502=Constants!$B$3,TRUE(),IF(G502=Constants!$B$4,FALSE(),TRUE())))</f>
        <v/>
      </c>
      <c r="AI502" s="93" t="str">
        <f aca="false">IF(ISBLANK($C502),"",IF(AND(ISNUMBER(H502),H502&gt;=0),H502,Constants!$B$29))</f>
        <v/>
      </c>
      <c r="AJ502" s="93" t="str">
        <f aca="false">IF(ISBLANK($C502),"",IF(I502=Constants!$B$3,TRUE(),IF(I502=Constants!$B$4,FALSE(),TRUE())))</f>
        <v/>
      </c>
      <c r="AK502" s="93" t="str">
        <f aca="false">IF(ISBLANK($C502),"",IF(J502=Constants!$B$3,TRUE(),IF(J502=Constants!$B$4,FALSE(),TRUE())))</f>
        <v/>
      </c>
      <c r="AL502" s="93" t="str">
        <f aca="false">IF(ISBLANK($C502),"",IF(K502=Constants!$B$5,TRUE(),IF(K502=Constants!$B$6,FALSE(),COUNTA(L502:P502)&gt;0)))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IF(ISBLANK($C502),"",IF(N502=Constants!$B$3,TRUE(),IF(N502=Constants!$B$4,FALSE(),TRUE())))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IF(ISBLANK($C502),"",IF(P502=Constants!$B$3,TRUE(),IF(P502=Constants!$B$4,FALSE(),FALSE())))</f>
        <v/>
      </c>
      <c r="AR502" s="93" t="str">
        <f aca="false">IF(ISBLANK($C502),"",IF(Q502=Constants!$B$3,TRUE(),IF(Q502=Constants!$B$4,FALSE(),TRUE())))</f>
        <v/>
      </c>
      <c r="AS502" s="93" t="str">
        <f aca="false">IF(ISBLANK($C502),"",IF(R502=Constants!$B$3,TRUE(),IF(R502=Constants!$B$4,FALSE(),TRUE())))</f>
        <v/>
      </c>
      <c r="AT502" s="93" t="str">
        <f aca="false">IF(ISBLANK($C502),"",IF(S502=Constants!$B$5,TRUE(),IF(S502=Constants!$B$6,FALSE(),COUNTA(T502:X502)&gt;0)))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IF(ISBLANK($C502),"",IF(V502=Constants!$B$3,TRUE(),IF(V502=Constants!$B$4,FALSE(),TRUE())))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IF(ISBLANK($C502),"",IF(X502=Constants!$B$3,TRUE(),IF(X502=Constants!$B$4,FALSE(),FALSE())))</f>
        <v/>
      </c>
      <c r="AZ502" s="93" t="str">
        <f aca="false">IF(ISBLANK($C502),"",MIN(Constants!$B$31,MAX(0,IF(ISNUMBER(Y502),Y502*60,0)+IF(ISNUMBER(Z502),Z502,0))))</f>
        <v/>
      </c>
      <c r="BA502" s="93" t="str">
        <f aca="false">IF(ISBLANK($C502),"",IF(AA502=Constants!$B$3,TRUE(),IF(AA502=Constants!$B$4,FALSE(),FALSE())))</f>
        <v/>
      </c>
      <c r="BB502" s="92" t="str">
        <f aca="false">IF(ISBLANK($C502),"",AND($AL502,OR($AM502="",$AN502="",AND($AO502,$AP502=""))))</f>
        <v/>
      </c>
      <c r="BC502" s="94" t="str">
        <f aca="false">IF($BZ502&lt;&gt;Constants!$B$8,"",IF($AL502,Constants!$B$21*$AN502+Constants!$B$22*IF($AO502,$AP502,Constants!$B$23),Constants!$B$24))</f>
        <v/>
      </c>
      <c r="BD502" s="97" t="str">
        <f aca="false">IF($BZ502&lt;&gt;Constants!$B$8,"",Constants!$B$25*ABS($AD$9-IF($AL502,$AM502,0)))</f>
        <v/>
      </c>
      <c r="BE502" s="97" t="str">
        <f aca="false">IF($BZ502&lt;&gt;Constants!$B$8,"",IF(AND($AL502,$AQ502,$AO502),Constants!$B$27,0))</f>
        <v/>
      </c>
      <c r="BF502" s="97" t="str">
        <f aca="false">IF($BZ502&lt;&gt;Constants!$B$8,"",IF($AL502,($AI502-Constants!$B$29)*Constants!$B$28,0))</f>
        <v/>
      </c>
      <c r="BG502" s="97" t="str">
        <f aca="false">IF($BZ502&lt;&gt;Constants!$B$8,"",IF($AK502,0,Constants!$B$15)+IF($AJ502,0,Constants!$B$16)+IF($AH502,0,Constants!$B$17))</f>
        <v/>
      </c>
      <c r="BH502" s="98" t="str">
        <f aca="false">IF($BZ502&lt;&gt;Constants!$B$8,"",Constants!$B$20+SUM($BC502:$BG502))</f>
        <v/>
      </c>
      <c r="BI502" s="97" t="str">
        <f aca="false">IF($BZ502&lt;&gt;Constants!$B$8,"",$BC502)</f>
        <v/>
      </c>
      <c r="BJ502" s="97" t="str">
        <f aca="false">IF($BZ502&lt;&gt;Constants!$B$8,"",$BD502)</f>
        <v/>
      </c>
      <c r="BK502" s="97" t="str">
        <f aca="false">IF($BZ502&lt;&gt;Constants!$B$8,"",IF($AL502,$AN502,""))</f>
        <v/>
      </c>
      <c r="BL502" s="99" t="str">
        <f aca="false">IF($BZ502&lt;&gt;Constants!$B$8,"",$AI502)</f>
        <v/>
      </c>
      <c r="BM502" s="93" t="str">
        <f aca="false">IF($BZ502&lt;&gt;Constants!$B$8,"",IF(OR($BT502&lt;$BH502,AND($BT502=$BH502,OR($BU502&lt;$BI502,AND($BU502=$BI502,OR($BV502&lt;$BJ502,AND($BV502=$BJ502,OR(AND(ISNUMBER($BW502),OR(NOT(ISNUMBER($BK502)),$BW502&lt;$BK502)),AND(OR(AND($BW502="",$BK502=""),AND(ISNUMBER($BW502),ISNUMBER($BK502),$BW502=$BK502)),$BX502&lt;$BL502)))))))),"-&gt;","&lt;-"))</f>
        <v/>
      </c>
      <c r="BN502" s="92" t="str">
        <f aca="false">IF(ISBLANK($C502),"",AND($AT502,OR($AU502="",$AV502="",AND($AW502,$AX502=""))))</f>
        <v/>
      </c>
      <c r="BO502" s="94" t="str">
        <f aca="false">IF($BZ502&lt;&gt;Constants!$B$8,"",IF($AT502,Constants!$B$21*$AV502+Constants!$B$22*IF($AW502,$AX502,Constants!$B$23),Constants!$B$24))</f>
        <v/>
      </c>
      <c r="BP502" s="97" t="str">
        <f aca="false">IF($BZ502&lt;&gt;Constants!$B$8,"",Constants!$B$25*ABS($AD$9-IF($AT502,$AU502,0)))</f>
        <v/>
      </c>
      <c r="BQ502" s="97" t="str">
        <f aca="false">IF($BZ502&lt;&gt;Constants!$B$8,"",IF(AND($AT502,$AY502,$AW502),Constants!$B$27,0))</f>
        <v/>
      </c>
      <c r="BR502" s="97" t="str">
        <f aca="false">IF($BZ502&lt;&gt;Constants!$B$8,"",IF($AT502,($AI502-Constants!$B$29)*Constants!$B$28,0))</f>
        <v/>
      </c>
      <c r="BS502" s="97" t="str">
        <f aca="false">IF($BZ502&lt;&gt;Constants!$B$8,"",IF($AS502,0,Constants!$B$15)+IF($AR502,0,Constants!$B$16)+IF($AH502,0,Constants!$B$17))</f>
        <v/>
      </c>
      <c r="BT502" s="98" t="str">
        <f aca="false">IF($BZ502&lt;&gt;Constants!$B$8,"",Constants!$B$20+SUM($BO502:$BS502))</f>
        <v/>
      </c>
      <c r="BU502" s="97" t="str">
        <f aca="false">IF($BZ502&lt;&gt;Constants!$B$8,"",$BO502)</f>
        <v/>
      </c>
      <c r="BV502" s="97" t="str">
        <f aca="false">IF($BZ502&lt;&gt;Constants!$B$8,"",$BP502)</f>
        <v/>
      </c>
      <c r="BW502" s="97" t="str">
        <f aca="false">IF($BZ502&lt;&gt;Constants!$B$8,"",IF($AT502,$AV502,""))</f>
        <v/>
      </c>
      <c r="BX502" s="99" t="str">
        <f aca="false">IF($BZ502&lt;&gt;Constants!$B$8,"",$AI502)</f>
        <v/>
      </c>
      <c r="BY502" s="93" t="str">
        <f aca="false">IF(ISBLANK($C502),"",IF(ISBLANK($D$7),$BY$5,IF(NOT(ISNUMBER($D$7)),$BY$6,"")))</f>
        <v/>
      </c>
      <c r="BZ502" s="93" t="str">
        <f aca="false">IF(ISBLANK($C502),"",IF($BA502,Constants!$B$11,IF(COUNTA($E502:$AA502)=0,Constants!$B$10,IF(NOT($AG502),Constants!$B$9,IF(OR($BY502&lt;&gt;"",$BB502,$BN502),Constants!$B$12,Constants!$B$8)))))</f>
        <v/>
      </c>
      <c r="CA502" s="93" t="str">
        <f aca="false">IF(ISBLANK($C502),"",IF($BZ502&lt;&gt;Constants!$B$8,$BZ502,Constants!$B$13))</f>
        <v/>
      </c>
      <c r="CB502" s="97" t="str">
        <f aca="false">IF($BZ502&lt;&gt;Constants!$B$8,"",IF($BM502="-&gt;",$BT502,$BH502))</f>
        <v/>
      </c>
      <c r="CC502" s="97" t="str">
        <f aca="false">IF($BZ502&lt;&gt;Constants!$B$8,"",IF($AF502,0,Constants!$B$18))</f>
        <v/>
      </c>
      <c r="CD502" s="97" t="str">
        <f aca="false">IF($BZ502&lt;&gt;Constants!$B$8,"",((Constants!$B$31-$AZ502)-Constants!$B$31)/Constants!$B$32)</f>
        <v/>
      </c>
      <c r="CE502" s="97" t="str">
        <f aca="false">IF(ISBLANK($C502),"",IF($BZ502&lt;&gt;Constants!$B$8,$BZ502,SUM($CB502:$CD502)))</f>
        <v/>
      </c>
      <c r="CF502" s="93" t="str">
        <f aca="false">IF(ISBLANK($C502),"",IF($BZ502&lt;&gt;Constants!$B$8,$BZ502,RANK($CE502,$CE$9:$CE$508,1)))</f>
        <v/>
      </c>
      <c r="CG502" s="97" t="str">
        <f aca="false">IF($BZ502&lt;&gt;Constants!$B$8,"",IF($BM502="-&gt;",$BU502,$BI502))</f>
        <v/>
      </c>
      <c r="CH502" s="93" t="str">
        <f aca="false">IF(ISBLANK($C502),"",IF($BZ502&lt;&gt;Constants!$B$8,$BZ502,IF(ISNUMBER($CG502),RANK($CG502,$CG$9:$CG$508,1),COUNT($CG$9:$CG$508)+1)))</f>
        <v/>
      </c>
      <c r="CI502" s="97" t="str">
        <f aca="false">IF($BZ502&lt;&gt;Constants!$B$8,"",IF($BM502="-&gt;",$BV502,$BJ502))</f>
        <v/>
      </c>
      <c r="CJ502" s="93" t="str">
        <f aca="false">IF(ISBLANK($C502),"",IF($BZ502&lt;&gt;Constants!$B$8,$BZ502,IF(ISNUMBER($CI502),RANK($CI502,$CI$9:$CI$508,1),COUNT($CI$9:$CI$508)+1)))</f>
        <v/>
      </c>
      <c r="CK502" s="97" t="str">
        <f aca="false">IF($BZ502&lt;&gt;Constants!$B$8,"",IF($BM502="-&gt;",$BW502,$BK502))</f>
        <v/>
      </c>
      <c r="CL502" s="93" t="str">
        <f aca="false">IF(ISBLANK($C502),"",IF($BZ502&lt;&gt;Constants!$B$8,$BZ502,IF(ISNUMBER($CK502),RANK($CK502,$CK$9:$CK$508,1),COUNT($CK$9:$CK$508)+1)))</f>
        <v/>
      </c>
      <c r="CM502" s="97" t="str">
        <f aca="false">IF($BZ502&lt;&gt;Constants!$B$8,"",IF(AND(NOT($AL502),NOT($AT502),$AJ502,$AK502,$AR502,$AS502),"",IF($BM502="-&gt;",$BX502,$BL502)))</f>
        <v/>
      </c>
      <c r="CN502" s="93" t="str">
        <f aca="false">IF(ISBLANK($C502),"",IF($BZ502&lt;&gt;Constants!$B$8,$BZ502,IF(ISNUMBER($CM502),RANK($CM502,$CM$9:$CM$508,1),COUNT($CM$9:$CM$508)+1)))</f>
        <v/>
      </c>
      <c r="CO502" s="93" t="str">
        <f aca="false">IF(ISBLANK($C502),"",IF($BZ502&lt;&gt;Constants!$B$8,$BZ502,COUNTIFS($CF$9:$CF$508,"&lt;"&amp;$CF502)+COUNTIFS($CF$9:$CF$508,$CF502,$CH$9:$CH$508,"&lt;"&amp;$CH502)+COUNTIFS($CF$9:$CF$508,$CF502,$CH$9:$CH$508,$CH502,$CJ$9:$CJ$508,"&lt;"&amp;$CJ502)+COUNTIFS($CF$9:$CF$508,$CF502,$CH$9:$CH$508,$CH502,$CJ$9:$CJ$508,$CJ502,$CL$9:$CL$508,"&lt;"&amp;$CL502)+COUNTIFS($CF$9:$CF$508,$CF502,$CH$9:$CH$508,$CH502,$CJ$9:$CJ$508,$CJ502,$CL$9:$CL$508,$CL502,$CN$9:$CN$508,"&lt;"&amp;$CN502)+1))</f>
        <v/>
      </c>
      <c r="CP502" s="93" t="str">
        <f aca="false">IF(ISBLANK($C502),"",IF($BZ502&lt;&gt;Constants!$B$8,$BZ502,$CF502-$CO502))</f>
        <v/>
      </c>
      <c r="CQ502" s="100"/>
      <c r="CR502" s="101"/>
      <c r="CS502" s="102" t="str">
        <f aca="false">IF(ISBLANK($C502),"",IF($BZ502=Constants!$B$12,$BY502,""))</f>
        <v/>
      </c>
      <c r="CT502" s="101" t="str">
        <f aca="false">IF(ISBLANK($C502),"",IF($BZ502&lt;&gt;Constants!$B$8,"",IF($BM502="-&gt;",2,1)))</f>
        <v/>
      </c>
      <c r="CU502" s="103" t="str">
        <f aca="false">IF(ISBLANK($C502),"",IF($BZ502&lt;&gt;Constants!$B$8,"",IF($BM502="-&gt;",$BO502,$BC502)))</f>
        <v/>
      </c>
      <c r="CV502" s="103" t="str">
        <f aca="false">IF(ISBLANK($C502),"",IF($BZ502&lt;&gt;Constants!$B$8,"",IF($BM502="-&gt;",$BP502,$BD502)))</f>
        <v/>
      </c>
      <c r="CW502" s="103" t="str">
        <f aca="false">IF(ISBLANK($C502),"",IF($BZ502&lt;&gt;Constants!$B$8,"",IF($BM502="-&gt;",$BQ502+$BR502,$BE502+$BF502)+$CD502))</f>
        <v/>
      </c>
      <c r="CX502" s="103" t="str">
        <f aca="false">IF(ISBLANK($C502),"",IF($BZ502&lt;&gt;Constants!$B$8,"",IF($BM502="-&gt;",$BS502,$BG502)+$CC502))</f>
        <v/>
      </c>
      <c r="CY502" s="104" t="str">
        <f aca="false">IF(ISBLANK($C502),"",IF($BZ502&lt;&gt;Constants!$B$8,$BZ502,$CE502))</f>
        <v/>
      </c>
      <c r="CZ502" s="105" t="str">
        <f aca="false">IF(ISBLANK($C502),"",$CA502)</f>
        <v/>
      </c>
      <c r="DA502" s="106" t="str">
        <f aca="false">IF(ISBLANK($C502),"",$CP502)</f>
        <v/>
      </c>
      <c r="DB502" s="106" t="str">
        <f aca="false">IF(ISBLANK($C502),"",$CO502)</f>
        <v/>
      </c>
      <c r="DC502" s="107" t="str">
        <f aca="false">IF(ISBLANK($C502),"",IFERROR(_xlfn.SWITCH($DB502,Constants!$B$11,COUNTA($C$9:$C$508)+2,Constants!$B$10,COUNTA($C$9:$C$508)+1,Constants!$B$9,COUNTA($C$9:$C$508)),$DB502))</f>
        <v/>
      </c>
      <c r="DD502" s="9"/>
      <c r="DE502" s="108" t="n">
        <f aca="false">IF(OR(ISNUMBER($DB502),$DB502=Constants!$B$11,$DB502=Constants!$B$9,$DB502=Constants!$B$10),1,0)</f>
        <v>0</v>
      </c>
      <c r="DF502" s="108" t="n">
        <v>494</v>
      </c>
      <c r="DG502" s="108" t="str">
        <f aca="false">IF(ISBLANK($C502),"",IF(ISNUMBER($DC502),$DC502+ROW($B502)/1000,""))</f>
        <v/>
      </c>
      <c r="DH502" s="108" t="str">
        <f aca="false">IF(ISNUMBER($DG502),RANK($DG502,$DG$9:$DG$508,1),"")</f>
        <v/>
      </c>
      <c r="DI502" s="108" t="str">
        <f aca="false">IF(ISBLANK($C502),"",$B502)</f>
        <v/>
      </c>
      <c r="DJ502" s="108" t="str">
        <f aca="false">IF(ISBLANK($C502),"",$C502)</f>
        <v/>
      </c>
      <c r="DK502" s="108" t="str">
        <f aca="false">IF(ISBLANK($C502),"",$D502)</f>
        <v/>
      </c>
      <c r="DL502" s="109" t="str">
        <f aca="false">$CZ502</f>
        <v/>
      </c>
      <c r="DM502" s="110" t="str">
        <f aca="false">$CY502</f>
        <v/>
      </c>
      <c r="DN502" s="108" t="str">
        <f aca="false">IF(ISBLANK($C502),"",$DB502)</f>
        <v/>
      </c>
      <c r="DO502" s="111" t="str">
        <f aca="false">IF($DF502&gt;$DE$8,"",VLOOKUP($DF502,$DH$9:$DN$508,7,FALSE()))</f>
        <v/>
      </c>
      <c r="DP502" s="112" t="str">
        <f aca="false">IF($DF502&gt;$DE$8,"",VLOOKUP($DF502,$DH$9:$DN$508,2,FALSE()))</f>
        <v/>
      </c>
      <c r="DQ502" s="112" t="str">
        <f aca="false">IF($DF502&gt;$DE$8,"",VLOOKUP($DF502,$DH$9:$DN$508,3,FALSE()))</f>
        <v/>
      </c>
      <c r="DR502" s="112" t="str">
        <f aca="false">IF($DF502&gt;$DE$8,"",VLOOKUP($DF502,$DH$9:$DN$508,4,FALSE()))</f>
        <v/>
      </c>
      <c r="DS502" s="112" t="str">
        <f aca="false">IF($DF502&gt;$DE$8,"",VLOOKUP($DF502,$DH$9:$DN$508,5,FALSE()))</f>
        <v/>
      </c>
      <c r="DT502" s="113" t="str">
        <f aca="false">IF($DF502&gt;$DE$8,"",VLOOKUP($DF502,$DH$9:$DN$508,6,FALSE()))</f>
        <v/>
      </c>
      <c r="DU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IF(ISBLANK($C503),"",IF(E503=Constants!$B$3,TRUE(),IF(E503=Constants!$B$4,FALSE(),TRUE())))</f>
        <v/>
      </c>
      <c r="AG503" s="93" t="str">
        <f aca="false">IF(ISBLANK($C503),"",IF(F503=Constants!$B$3,TRUE(),IF(F503=Constants!$B$4,FALSE(),TRUE())))</f>
        <v/>
      </c>
      <c r="AH503" s="93" t="str">
        <f aca="false">IF(ISBLANK($C503),"",IF(G503=Constants!$B$3,TRUE(),IF(G503=Constants!$B$4,FALSE(),TRUE())))</f>
        <v/>
      </c>
      <c r="AI503" s="93" t="str">
        <f aca="false">IF(ISBLANK($C503),"",IF(AND(ISNUMBER(H503),H503&gt;=0),H503,Constants!$B$29))</f>
        <v/>
      </c>
      <c r="AJ503" s="93" t="str">
        <f aca="false">IF(ISBLANK($C503),"",IF(I503=Constants!$B$3,TRUE(),IF(I503=Constants!$B$4,FALSE(),TRUE())))</f>
        <v/>
      </c>
      <c r="AK503" s="93" t="str">
        <f aca="false">IF(ISBLANK($C503),"",IF(J503=Constants!$B$3,TRUE(),IF(J503=Constants!$B$4,FALSE(),TRUE())))</f>
        <v/>
      </c>
      <c r="AL503" s="93" t="str">
        <f aca="false">IF(ISBLANK($C503),"",IF(K503=Constants!$B$5,TRUE(),IF(K503=Constants!$B$6,FALSE(),COUNTA(L503:P503)&gt;0)))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IF(ISBLANK($C503),"",IF(N503=Constants!$B$3,TRUE(),IF(N503=Constants!$B$4,FALSE(),TRUE())))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IF(ISBLANK($C503),"",IF(P503=Constants!$B$3,TRUE(),IF(P503=Constants!$B$4,FALSE(),FALSE())))</f>
        <v/>
      </c>
      <c r="AR503" s="93" t="str">
        <f aca="false">IF(ISBLANK($C503),"",IF(Q503=Constants!$B$3,TRUE(),IF(Q503=Constants!$B$4,FALSE(),TRUE())))</f>
        <v/>
      </c>
      <c r="AS503" s="93" t="str">
        <f aca="false">IF(ISBLANK($C503),"",IF(R503=Constants!$B$3,TRUE(),IF(R503=Constants!$B$4,FALSE(),TRUE())))</f>
        <v/>
      </c>
      <c r="AT503" s="93" t="str">
        <f aca="false">IF(ISBLANK($C503),"",IF(S503=Constants!$B$5,TRUE(),IF(S503=Constants!$B$6,FALSE(),COUNTA(T503:X503)&gt;0)))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IF(ISBLANK($C503),"",IF(V503=Constants!$B$3,TRUE(),IF(V503=Constants!$B$4,FALSE(),TRUE())))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IF(ISBLANK($C503),"",IF(X503=Constants!$B$3,TRUE(),IF(X503=Constants!$B$4,FALSE(),FALSE())))</f>
        <v/>
      </c>
      <c r="AZ503" s="93" t="str">
        <f aca="false">IF(ISBLANK($C503),"",MIN(Constants!$B$31,MAX(0,IF(ISNUMBER(Y503),Y503*60,0)+IF(ISNUMBER(Z503),Z503,0))))</f>
        <v/>
      </c>
      <c r="BA503" s="93" t="str">
        <f aca="false">IF(ISBLANK($C503),"",IF(AA503=Constants!$B$3,TRUE(),IF(AA503=Constants!$B$4,FALSE(),FALSE())))</f>
        <v/>
      </c>
      <c r="BB503" s="92" t="str">
        <f aca="false">IF(ISBLANK($C503),"",AND($AL503,OR($AM503="",$AN503="",AND($AO503,$AP503=""))))</f>
        <v/>
      </c>
      <c r="BC503" s="94" t="str">
        <f aca="false">IF($BZ503&lt;&gt;Constants!$B$8,"",IF($AL503,Constants!$B$21*$AN503+Constants!$B$22*IF($AO503,$AP503,Constants!$B$23),Constants!$B$24))</f>
        <v/>
      </c>
      <c r="BD503" s="97" t="str">
        <f aca="false">IF($BZ503&lt;&gt;Constants!$B$8,"",Constants!$B$25*ABS($AD$9-IF($AL503,$AM503,0)))</f>
        <v/>
      </c>
      <c r="BE503" s="97" t="str">
        <f aca="false">IF($BZ503&lt;&gt;Constants!$B$8,"",IF(AND($AL503,$AQ503,$AO503),Constants!$B$27,0))</f>
        <v/>
      </c>
      <c r="BF503" s="97" t="str">
        <f aca="false">IF($BZ503&lt;&gt;Constants!$B$8,"",IF($AL503,($AI503-Constants!$B$29)*Constants!$B$28,0))</f>
        <v/>
      </c>
      <c r="BG503" s="97" t="str">
        <f aca="false">IF($BZ503&lt;&gt;Constants!$B$8,"",IF($AK503,0,Constants!$B$15)+IF($AJ503,0,Constants!$B$16)+IF($AH503,0,Constants!$B$17))</f>
        <v/>
      </c>
      <c r="BH503" s="98" t="str">
        <f aca="false">IF($BZ503&lt;&gt;Constants!$B$8,"",Constants!$B$20+SUM($BC503:$BG503))</f>
        <v/>
      </c>
      <c r="BI503" s="97" t="str">
        <f aca="false">IF($BZ503&lt;&gt;Constants!$B$8,"",$BC503)</f>
        <v/>
      </c>
      <c r="BJ503" s="97" t="str">
        <f aca="false">IF($BZ503&lt;&gt;Constants!$B$8,"",$BD503)</f>
        <v/>
      </c>
      <c r="BK503" s="97" t="str">
        <f aca="false">IF($BZ503&lt;&gt;Constants!$B$8,"",IF($AL503,$AN503,""))</f>
        <v/>
      </c>
      <c r="BL503" s="99" t="str">
        <f aca="false">IF($BZ503&lt;&gt;Constants!$B$8,"",$AI503)</f>
        <v/>
      </c>
      <c r="BM503" s="93" t="str">
        <f aca="false">IF($BZ503&lt;&gt;Constants!$B$8,"",IF(OR($BT503&lt;$BH503,AND($BT503=$BH503,OR($BU503&lt;$BI503,AND($BU503=$BI503,OR($BV503&lt;$BJ503,AND($BV503=$BJ503,OR(AND(ISNUMBER($BW503),OR(NOT(ISNUMBER($BK503)),$BW503&lt;$BK503)),AND(OR(AND($BW503="",$BK503=""),AND(ISNUMBER($BW503),ISNUMBER($BK503),$BW503=$BK503)),$BX503&lt;$BL503)))))))),"-&gt;","&lt;-"))</f>
        <v/>
      </c>
      <c r="BN503" s="92" t="str">
        <f aca="false">IF(ISBLANK($C503),"",AND($AT503,OR($AU503="",$AV503="",AND($AW503,$AX503=""))))</f>
        <v/>
      </c>
      <c r="BO503" s="94" t="str">
        <f aca="false">IF($BZ503&lt;&gt;Constants!$B$8,"",IF($AT503,Constants!$B$21*$AV503+Constants!$B$22*IF($AW503,$AX503,Constants!$B$23),Constants!$B$24))</f>
        <v/>
      </c>
      <c r="BP503" s="97" t="str">
        <f aca="false">IF($BZ503&lt;&gt;Constants!$B$8,"",Constants!$B$25*ABS($AD$9-IF($AT503,$AU503,0)))</f>
        <v/>
      </c>
      <c r="BQ503" s="97" t="str">
        <f aca="false">IF($BZ503&lt;&gt;Constants!$B$8,"",IF(AND($AT503,$AY503,$AW503),Constants!$B$27,0))</f>
        <v/>
      </c>
      <c r="BR503" s="97" t="str">
        <f aca="false">IF($BZ503&lt;&gt;Constants!$B$8,"",IF($AT503,($AI503-Constants!$B$29)*Constants!$B$28,0))</f>
        <v/>
      </c>
      <c r="BS503" s="97" t="str">
        <f aca="false">IF($BZ503&lt;&gt;Constants!$B$8,"",IF($AS503,0,Constants!$B$15)+IF($AR503,0,Constants!$B$16)+IF($AH503,0,Constants!$B$17))</f>
        <v/>
      </c>
      <c r="BT503" s="98" t="str">
        <f aca="false">IF($BZ503&lt;&gt;Constants!$B$8,"",Constants!$B$20+SUM($BO503:$BS503))</f>
        <v/>
      </c>
      <c r="BU503" s="97" t="str">
        <f aca="false">IF($BZ503&lt;&gt;Constants!$B$8,"",$BO503)</f>
        <v/>
      </c>
      <c r="BV503" s="97" t="str">
        <f aca="false">IF($BZ503&lt;&gt;Constants!$B$8,"",$BP503)</f>
        <v/>
      </c>
      <c r="BW503" s="97" t="str">
        <f aca="false">IF($BZ503&lt;&gt;Constants!$B$8,"",IF($AT503,$AV503,""))</f>
        <v/>
      </c>
      <c r="BX503" s="99" t="str">
        <f aca="false">IF($BZ503&lt;&gt;Constants!$B$8,"",$AI503)</f>
        <v/>
      </c>
      <c r="BY503" s="93" t="str">
        <f aca="false">IF(ISBLANK($C503),"",IF(ISBLANK($D$7),$BY$5,IF(NOT(ISNUMBER($D$7)),$BY$6,"")))</f>
        <v/>
      </c>
      <c r="BZ503" s="93" t="str">
        <f aca="false">IF(ISBLANK($C503),"",IF($BA503,Constants!$B$11,IF(COUNTA($E503:$AA503)=0,Constants!$B$10,IF(NOT($AG503),Constants!$B$9,IF(OR($BY503&lt;&gt;"",$BB503,$BN503),Constants!$B$12,Constants!$B$8)))))</f>
        <v/>
      </c>
      <c r="CA503" s="93" t="str">
        <f aca="false">IF(ISBLANK($C503),"",IF($BZ503&lt;&gt;Constants!$B$8,$BZ503,Constants!$B$13))</f>
        <v/>
      </c>
      <c r="CB503" s="97" t="str">
        <f aca="false">IF($BZ503&lt;&gt;Constants!$B$8,"",IF($BM503="-&gt;",$BT503,$BH503))</f>
        <v/>
      </c>
      <c r="CC503" s="97" t="str">
        <f aca="false">IF($BZ503&lt;&gt;Constants!$B$8,"",IF($AF503,0,Constants!$B$18))</f>
        <v/>
      </c>
      <c r="CD503" s="97" t="str">
        <f aca="false">IF($BZ503&lt;&gt;Constants!$B$8,"",((Constants!$B$31-$AZ503)-Constants!$B$31)/Constants!$B$32)</f>
        <v/>
      </c>
      <c r="CE503" s="97" t="str">
        <f aca="false">IF(ISBLANK($C503),"",IF($BZ503&lt;&gt;Constants!$B$8,$BZ503,SUM($CB503:$CD503)))</f>
        <v/>
      </c>
      <c r="CF503" s="93" t="str">
        <f aca="false">IF(ISBLANK($C503),"",IF($BZ503&lt;&gt;Constants!$B$8,$BZ503,RANK($CE503,$CE$9:$CE$508,1)))</f>
        <v/>
      </c>
      <c r="CG503" s="97" t="str">
        <f aca="false">IF($BZ503&lt;&gt;Constants!$B$8,"",IF($BM503="-&gt;",$BU503,$BI503))</f>
        <v/>
      </c>
      <c r="CH503" s="93" t="str">
        <f aca="false">IF(ISBLANK($C503),"",IF($BZ503&lt;&gt;Constants!$B$8,$BZ503,IF(ISNUMBER($CG503),RANK($CG503,$CG$9:$CG$508,1),COUNT($CG$9:$CG$508)+1)))</f>
        <v/>
      </c>
      <c r="CI503" s="97" t="str">
        <f aca="false">IF($BZ503&lt;&gt;Constants!$B$8,"",IF($BM503="-&gt;",$BV503,$BJ503))</f>
        <v/>
      </c>
      <c r="CJ503" s="93" t="str">
        <f aca="false">IF(ISBLANK($C503),"",IF($BZ503&lt;&gt;Constants!$B$8,$BZ503,IF(ISNUMBER($CI503),RANK($CI503,$CI$9:$CI$508,1),COUNT($CI$9:$CI$508)+1)))</f>
        <v/>
      </c>
      <c r="CK503" s="97" t="str">
        <f aca="false">IF($BZ503&lt;&gt;Constants!$B$8,"",IF($BM503="-&gt;",$BW503,$BK503))</f>
        <v/>
      </c>
      <c r="CL503" s="93" t="str">
        <f aca="false">IF(ISBLANK($C503),"",IF($BZ503&lt;&gt;Constants!$B$8,$BZ503,IF(ISNUMBER($CK503),RANK($CK503,$CK$9:$CK$508,1),COUNT($CK$9:$CK$508)+1)))</f>
        <v/>
      </c>
      <c r="CM503" s="97" t="str">
        <f aca="false">IF($BZ503&lt;&gt;Constants!$B$8,"",IF(AND(NOT($AL503),NOT($AT503),$AJ503,$AK503,$AR503,$AS503),"",IF($BM503="-&gt;",$BX503,$BL503)))</f>
        <v/>
      </c>
      <c r="CN503" s="93" t="str">
        <f aca="false">IF(ISBLANK($C503),"",IF($BZ503&lt;&gt;Constants!$B$8,$BZ503,IF(ISNUMBER($CM503),RANK($CM503,$CM$9:$CM$508,1),COUNT($CM$9:$CM$508)+1)))</f>
        <v/>
      </c>
      <c r="CO503" s="93" t="str">
        <f aca="false">IF(ISBLANK($C503),"",IF($BZ503&lt;&gt;Constants!$B$8,$BZ503,COUNTIFS($CF$9:$CF$508,"&lt;"&amp;$CF503)+COUNTIFS($CF$9:$CF$508,$CF503,$CH$9:$CH$508,"&lt;"&amp;$CH503)+COUNTIFS($CF$9:$CF$508,$CF503,$CH$9:$CH$508,$CH503,$CJ$9:$CJ$508,"&lt;"&amp;$CJ503)+COUNTIFS($CF$9:$CF$508,$CF503,$CH$9:$CH$508,$CH503,$CJ$9:$CJ$508,$CJ503,$CL$9:$CL$508,"&lt;"&amp;$CL503)+COUNTIFS($CF$9:$CF$508,$CF503,$CH$9:$CH$508,$CH503,$CJ$9:$CJ$508,$CJ503,$CL$9:$CL$508,$CL503,$CN$9:$CN$508,"&lt;"&amp;$CN503)+1))</f>
        <v/>
      </c>
      <c r="CP503" s="93" t="str">
        <f aca="false">IF(ISBLANK($C503),"",IF($BZ503&lt;&gt;Constants!$B$8,$BZ503,$CF503-$CO503))</f>
        <v/>
      </c>
      <c r="CQ503" s="100"/>
      <c r="CR503" s="101"/>
      <c r="CS503" s="102" t="str">
        <f aca="false">IF(ISBLANK($C503),"",IF($BZ503=Constants!$B$12,$BY503,""))</f>
        <v/>
      </c>
      <c r="CT503" s="101" t="str">
        <f aca="false">IF(ISBLANK($C503),"",IF($BZ503&lt;&gt;Constants!$B$8,"",IF($BM503="-&gt;",2,1)))</f>
        <v/>
      </c>
      <c r="CU503" s="103" t="str">
        <f aca="false">IF(ISBLANK($C503),"",IF($BZ503&lt;&gt;Constants!$B$8,"",IF($BM503="-&gt;",$BO503,$BC503)))</f>
        <v/>
      </c>
      <c r="CV503" s="103" t="str">
        <f aca="false">IF(ISBLANK($C503),"",IF($BZ503&lt;&gt;Constants!$B$8,"",IF($BM503="-&gt;",$BP503,$BD503)))</f>
        <v/>
      </c>
      <c r="CW503" s="103" t="str">
        <f aca="false">IF(ISBLANK($C503),"",IF($BZ503&lt;&gt;Constants!$B$8,"",IF($BM503="-&gt;",$BQ503+$BR503,$BE503+$BF503)+$CD503))</f>
        <v/>
      </c>
      <c r="CX503" s="103" t="str">
        <f aca="false">IF(ISBLANK($C503),"",IF($BZ503&lt;&gt;Constants!$B$8,"",IF($BM503="-&gt;",$BS503,$BG503)+$CC503))</f>
        <v/>
      </c>
      <c r="CY503" s="104" t="str">
        <f aca="false">IF(ISBLANK($C503),"",IF($BZ503&lt;&gt;Constants!$B$8,$BZ503,$CE503))</f>
        <v/>
      </c>
      <c r="CZ503" s="105" t="str">
        <f aca="false">IF(ISBLANK($C503),"",$CA503)</f>
        <v/>
      </c>
      <c r="DA503" s="106" t="str">
        <f aca="false">IF(ISBLANK($C503),"",$CP503)</f>
        <v/>
      </c>
      <c r="DB503" s="106" t="str">
        <f aca="false">IF(ISBLANK($C503),"",$CO503)</f>
        <v/>
      </c>
      <c r="DC503" s="107" t="str">
        <f aca="false">IF(ISBLANK($C503),"",IFERROR(_xlfn.SWITCH($DB503,Constants!$B$11,COUNTA($C$9:$C$508)+2,Constants!$B$10,COUNTA($C$9:$C$508)+1,Constants!$B$9,COUNTA($C$9:$C$508)),$DB503))</f>
        <v/>
      </c>
      <c r="DD503" s="9"/>
      <c r="DE503" s="108" t="n">
        <f aca="false">IF(OR(ISNUMBER($DB503),$DB503=Constants!$B$11,$DB503=Constants!$B$9,$DB503=Constants!$B$10),1,0)</f>
        <v>0</v>
      </c>
      <c r="DF503" s="108" t="n">
        <v>495</v>
      </c>
      <c r="DG503" s="108" t="str">
        <f aca="false">IF(ISBLANK($C503),"",IF(ISNUMBER($DC503),$DC503+ROW($B503)/1000,""))</f>
        <v/>
      </c>
      <c r="DH503" s="108" t="str">
        <f aca="false">IF(ISNUMBER($DG503),RANK($DG503,$DG$9:$DG$508,1),"")</f>
        <v/>
      </c>
      <c r="DI503" s="108" t="str">
        <f aca="false">IF(ISBLANK($C503),"",$B503)</f>
        <v/>
      </c>
      <c r="DJ503" s="108" t="str">
        <f aca="false">IF(ISBLANK($C503),"",$C503)</f>
        <v/>
      </c>
      <c r="DK503" s="108" t="str">
        <f aca="false">IF(ISBLANK($C503),"",$D503)</f>
        <v/>
      </c>
      <c r="DL503" s="109" t="str">
        <f aca="false">$CZ503</f>
        <v/>
      </c>
      <c r="DM503" s="110" t="str">
        <f aca="false">$CY503</f>
        <v/>
      </c>
      <c r="DN503" s="108" t="str">
        <f aca="false">IF(ISBLANK($C503),"",$DB503)</f>
        <v/>
      </c>
      <c r="DO503" s="111" t="str">
        <f aca="false">IF($DF503&gt;$DE$8,"",VLOOKUP($DF503,$DH$9:$DN$508,7,FALSE()))</f>
        <v/>
      </c>
      <c r="DP503" s="112" t="str">
        <f aca="false">IF($DF503&gt;$DE$8,"",VLOOKUP($DF503,$DH$9:$DN$508,2,FALSE()))</f>
        <v/>
      </c>
      <c r="DQ503" s="112" t="str">
        <f aca="false">IF($DF503&gt;$DE$8,"",VLOOKUP($DF503,$DH$9:$DN$508,3,FALSE()))</f>
        <v/>
      </c>
      <c r="DR503" s="112" t="str">
        <f aca="false">IF($DF503&gt;$DE$8,"",VLOOKUP($DF503,$DH$9:$DN$508,4,FALSE()))</f>
        <v/>
      </c>
      <c r="DS503" s="112" t="str">
        <f aca="false">IF($DF503&gt;$DE$8,"",VLOOKUP($DF503,$DH$9:$DN$508,5,FALSE()))</f>
        <v/>
      </c>
      <c r="DT503" s="113" t="str">
        <f aca="false">IF($DF503&gt;$DE$8,"",VLOOKUP($DF503,$DH$9:$DN$508,6,FALSE()))</f>
        <v/>
      </c>
      <c r="DU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IF(ISBLANK($C504),"",IF(E504=Constants!$B$3,TRUE(),IF(E504=Constants!$B$4,FALSE(),TRUE())))</f>
        <v/>
      </c>
      <c r="AG504" s="135" t="str">
        <f aca="false">IF(ISBLANK($C504),"",IF(F504=Constants!$B$3,TRUE(),IF(F504=Constants!$B$4,FALSE(),TRUE())))</f>
        <v/>
      </c>
      <c r="AH504" s="135" t="str">
        <f aca="false">IF(ISBLANK($C504),"",IF(G504=Constants!$B$3,TRUE(),IF(G504=Constants!$B$4,FALSE(),TRUE())))</f>
        <v/>
      </c>
      <c r="AI504" s="135" t="str">
        <f aca="false">IF(ISBLANK($C504),"",IF(AND(ISNUMBER(H504),H504&gt;=0),H504,Constants!$B$29))</f>
        <v/>
      </c>
      <c r="AJ504" s="135" t="str">
        <f aca="false">IF(ISBLANK($C504),"",IF(I504=Constants!$B$3,TRUE(),IF(I504=Constants!$B$4,FALSE(),TRUE())))</f>
        <v/>
      </c>
      <c r="AK504" s="135" t="str">
        <f aca="false">IF(ISBLANK($C504),"",IF(J504=Constants!$B$3,TRUE(),IF(J504=Constants!$B$4,FALSE(),TRUE())))</f>
        <v/>
      </c>
      <c r="AL504" s="135" t="str">
        <f aca="false">IF(ISBLANK($C504),"",IF(K504=Constants!$B$5,TRUE(),IF(K504=Constants!$B$6,FALSE(),COUNTA(L504:P504)&gt;0)))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IF(ISBLANK($C504),"",IF(N504=Constants!$B$3,TRUE(),IF(N504=Constants!$B$4,FALSE(),TRUE())))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IF(ISBLANK($C504),"",IF(P504=Constants!$B$3,TRUE(),IF(P504=Constants!$B$4,FALSE(),FALSE())))</f>
        <v/>
      </c>
      <c r="AR504" s="135" t="str">
        <f aca="false">IF(ISBLANK($C504),"",IF(Q504=Constants!$B$3,TRUE(),IF(Q504=Constants!$B$4,FALSE(),TRUE())))</f>
        <v/>
      </c>
      <c r="AS504" s="135" t="str">
        <f aca="false">IF(ISBLANK($C504),"",IF(R504=Constants!$B$3,TRUE(),IF(R504=Constants!$B$4,FALSE(),TRUE())))</f>
        <v/>
      </c>
      <c r="AT504" s="135" t="str">
        <f aca="false">IF(ISBLANK($C504),"",IF(S504=Constants!$B$5,TRUE(),IF(S504=Constants!$B$6,FALSE(),COUNTA(T504:X504)&gt;0)))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IF(ISBLANK($C504),"",IF(V504=Constants!$B$3,TRUE(),IF(V504=Constants!$B$4,FALSE(),TRUE())))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IF(ISBLANK($C504),"",IF(X504=Constants!$B$3,TRUE(),IF(X504=Constants!$B$4,FALSE(),FALSE())))</f>
        <v/>
      </c>
      <c r="AZ504" s="135" t="str">
        <f aca="false">IF(ISBLANK($C504),"",MIN(Constants!$B$31,MAX(0,IF(ISNUMBER(Y504),Y504*60,0)+IF(ISNUMBER(Z504),Z504,0))))</f>
        <v/>
      </c>
      <c r="BA504" s="135" t="str">
        <f aca="false">IF(ISBLANK($C504),"",IF(AA504=Constants!$B$3,TRUE(),IF(AA504=Constants!$B$4,FALSE(),FALSE())))</f>
        <v/>
      </c>
      <c r="BB504" s="134" t="str">
        <f aca="false">IF(ISBLANK($C504),"",AND($AL504,OR($AM504="",$AN504="",AND($AO504,$AP504=""))))</f>
        <v/>
      </c>
      <c r="BC504" s="137" t="str">
        <f aca="false">IF($BZ504&lt;&gt;Constants!$B$8,"",IF($AL504,Constants!$B$21*$AN504+Constants!$B$22*IF($AO504,$AP504,Constants!$B$23),Constants!$B$24))</f>
        <v/>
      </c>
      <c r="BD504" s="138" t="str">
        <f aca="false">IF($BZ504&lt;&gt;Constants!$B$8,"",Constants!$B$25*ABS($AD$9-IF($AL504,$AM504,0)))</f>
        <v/>
      </c>
      <c r="BE504" s="138" t="str">
        <f aca="false">IF($BZ504&lt;&gt;Constants!$B$8,"",IF(AND($AL504,$AQ504,$AO504),Constants!$B$27,0))</f>
        <v/>
      </c>
      <c r="BF504" s="138" t="str">
        <f aca="false">IF($BZ504&lt;&gt;Constants!$B$8,"",IF($AL504,($AI504-Constants!$B$29)*Constants!$B$28,0))</f>
        <v/>
      </c>
      <c r="BG504" s="138" t="str">
        <f aca="false">IF($BZ504&lt;&gt;Constants!$B$8,"",IF($AK504,0,Constants!$B$15)+IF($AJ504,0,Constants!$B$16)+IF($AH504,0,Constants!$B$17))</f>
        <v/>
      </c>
      <c r="BH504" s="139" t="str">
        <f aca="false">IF($BZ504&lt;&gt;Constants!$B$8,"",Constants!$B$20+SUM($BC504:$BG504))</f>
        <v/>
      </c>
      <c r="BI504" s="138" t="str">
        <f aca="false">IF($BZ504&lt;&gt;Constants!$B$8,"",$BC504)</f>
        <v/>
      </c>
      <c r="BJ504" s="138" t="str">
        <f aca="false">IF($BZ504&lt;&gt;Constants!$B$8,"",$BD504)</f>
        <v/>
      </c>
      <c r="BK504" s="138" t="str">
        <f aca="false">IF($BZ504&lt;&gt;Constants!$B$8,"",IF($AL504,$AN504,""))</f>
        <v/>
      </c>
      <c r="BL504" s="140" t="str">
        <f aca="false">IF($BZ504&lt;&gt;Constants!$B$8,"",$AI504)</f>
        <v/>
      </c>
      <c r="BM504" s="135" t="str">
        <f aca="false">IF($BZ504&lt;&gt;Constants!$B$8,"",IF(OR($BT504&lt;$BH504,AND($BT504=$BH504,OR($BU504&lt;$BI504,AND($BU504=$BI504,OR($BV504&lt;$BJ504,AND($BV504=$BJ504,OR(AND(ISNUMBER($BW504),OR(NOT(ISNUMBER($BK504)),$BW504&lt;$BK504)),AND(OR(AND($BW504="",$BK504=""),AND(ISNUMBER($BW504),ISNUMBER($BK504),$BW504=$BK504)),$BX504&lt;$BL504)))))))),"-&gt;","&lt;-"))</f>
        <v/>
      </c>
      <c r="BN504" s="134" t="str">
        <f aca="false">IF(ISBLANK($C504),"",AND($AT504,OR($AU504="",$AV504="",AND($AW504,$AX504=""))))</f>
        <v/>
      </c>
      <c r="BO504" s="137" t="str">
        <f aca="false">IF($BZ504&lt;&gt;Constants!$B$8,"",IF($AT504,Constants!$B$21*$AV504+Constants!$B$22*IF($AW504,$AX504,Constants!$B$23),Constants!$B$24))</f>
        <v/>
      </c>
      <c r="BP504" s="138" t="str">
        <f aca="false">IF($BZ504&lt;&gt;Constants!$B$8,"",Constants!$B$25*ABS($AD$9-IF($AT504,$AU504,0)))</f>
        <v/>
      </c>
      <c r="BQ504" s="138" t="str">
        <f aca="false">IF($BZ504&lt;&gt;Constants!$B$8,"",IF(AND($AT504,$AY504,$AW504),Constants!$B$27,0))</f>
        <v/>
      </c>
      <c r="BR504" s="138" t="str">
        <f aca="false">IF($BZ504&lt;&gt;Constants!$B$8,"",IF($AT504,($AI504-Constants!$B$29)*Constants!$B$28,0))</f>
        <v/>
      </c>
      <c r="BS504" s="138" t="str">
        <f aca="false">IF($BZ504&lt;&gt;Constants!$B$8,"",IF($AS504,0,Constants!$B$15)+IF($AR504,0,Constants!$B$16)+IF($AH504,0,Constants!$B$17))</f>
        <v/>
      </c>
      <c r="BT504" s="139" t="str">
        <f aca="false">IF($BZ504&lt;&gt;Constants!$B$8,"",Constants!$B$20+SUM($BO504:$BS504))</f>
        <v/>
      </c>
      <c r="BU504" s="138" t="str">
        <f aca="false">IF($BZ504&lt;&gt;Constants!$B$8,"",$BO504)</f>
        <v/>
      </c>
      <c r="BV504" s="138" t="str">
        <f aca="false">IF($BZ504&lt;&gt;Constants!$B$8,"",$BP504)</f>
        <v/>
      </c>
      <c r="BW504" s="138" t="str">
        <f aca="false">IF($BZ504&lt;&gt;Constants!$B$8,"",IF($AT504,$AV504,""))</f>
        <v/>
      </c>
      <c r="BX504" s="140" t="str">
        <f aca="false">IF($BZ504&lt;&gt;Constants!$B$8,"",$AI504)</f>
        <v/>
      </c>
      <c r="BY504" s="135" t="str">
        <f aca="false">IF(ISBLANK($C504),"",IF(ISBLANK($D$7),$BY$5,IF(NOT(ISNUMBER($D$7)),$BY$6,"")))</f>
        <v/>
      </c>
      <c r="BZ504" s="135" t="str">
        <f aca="false">IF(ISBLANK($C504),"",IF($BA504,Constants!$B$11,IF(COUNTA($E504:$AA504)=0,Constants!$B$10,IF(NOT($AG504),Constants!$B$9,IF(OR($BY504&lt;&gt;"",$BB504,$BN504),Constants!$B$12,Constants!$B$8)))))</f>
        <v/>
      </c>
      <c r="CA504" s="135" t="str">
        <f aca="false">IF(ISBLANK($C504),"",IF($BZ504&lt;&gt;Constants!$B$8,$BZ504,Constants!$B$13))</f>
        <v/>
      </c>
      <c r="CB504" s="138" t="str">
        <f aca="false">IF($BZ504&lt;&gt;Constants!$B$8,"",IF($BM504="-&gt;",$BT504,$BH504))</f>
        <v/>
      </c>
      <c r="CC504" s="138" t="str">
        <f aca="false">IF($BZ504&lt;&gt;Constants!$B$8,"",IF($AF504,0,Constants!$B$18))</f>
        <v/>
      </c>
      <c r="CD504" s="138" t="str">
        <f aca="false">IF($BZ504&lt;&gt;Constants!$B$8,"",((Constants!$B$31-$AZ504)-Constants!$B$31)/Constants!$B$32)</f>
        <v/>
      </c>
      <c r="CE504" s="138" t="str">
        <f aca="false">IF(ISBLANK($C504),"",IF($BZ504&lt;&gt;Constants!$B$8,$BZ504,SUM($CB504:$CD504)))</f>
        <v/>
      </c>
      <c r="CF504" s="135" t="str">
        <f aca="false">IF(ISBLANK($C504),"",IF($BZ504&lt;&gt;Constants!$B$8,$BZ504,RANK($CE504,$CE$9:$CE$508,1)))</f>
        <v/>
      </c>
      <c r="CG504" s="138" t="str">
        <f aca="false">IF($BZ504&lt;&gt;Constants!$B$8,"",IF($BM504="-&gt;",$BU504,$BI504))</f>
        <v/>
      </c>
      <c r="CH504" s="135" t="str">
        <f aca="false">IF(ISBLANK($C504),"",IF($BZ504&lt;&gt;Constants!$B$8,$BZ504,IF(ISNUMBER($CG504),RANK($CG504,$CG$9:$CG$508,1),COUNT($CG$9:$CG$508)+1)))</f>
        <v/>
      </c>
      <c r="CI504" s="138" t="str">
        <f aca="false">IF($BZ504&lt;&gt;Constants!$B$8,"",IF($BM504="-&gt;",$BV504,$BJ504))</f>
        <v/>
      </c>
      <c r="CJ504" s="135" t="str">
        <f aca="false">IF(ISBLANK($C504),"",IF($BZ504&lt;&gt;Constants!$B$8,$BZ504,IF(ISNUMBER($CI504),RANK($CI504,$CI$9:$CI$508,1),COUNT($CI$9:$CI$508)+1)))</f>
        <v/>
      </c>
      <c r="CK504" s="138" t="str">
        <f aca="false">IF($BZ504&lt;&gt;Constants!$B$8,"",IF($BM504="-&gt;",$BW504,$BK504))</f>
        <v/>
      </c>
      <c r="CL504" s="135" t="str">
        <f aca="false">IF(ISBLANK($C504),"",IF($BZ504&lt;&gt;Constants!$B$8,$BZ504,IF(ISNUMBER($CK504),RANK($CK504,$CK$9:$CK$508,1),COUNT($CK$9:$CK$508)+1)))</f>
        <v/>
      </c>
      <c r="CM504" s="138" t="str">
        <f aca="false">IF($BZ504&lt;&gt;Constants!$B$8,"",IF(AND(NOT($AL504),NOT($AT504),$AJ504,$AK504,$AR504,$AS504),"",IF($BM504="-&gt;",$BX504,$BL504)))</f>
        <v/>
      </c>
      <c r="CN504" s="135" t="str">
        <f aca="false">IF(ISBLANK($C504),"",IF($BZ504&lt;&gt;Constants!$B$8,$BZ504,IF(ISNUMBER($CM504),RANK($CM504,$CM$9:$CM$508,1),COUNT($CM$9:$CM$508)+1)))</f>
        <v/>
      </c>
      <c r="CO504" s="135" t="str">
        <f aca="false">IF(ISBLANK($C504),"",IF($BZ504&lt;&gt;Constants!$B$8,$BZ504,COUNTIFS($CF$9:$CF$508,"&lt;"&amp;$CF504)+COUNTIFS($CF$9:$CF$508,$CF504,$CH$9:$CH$508,"&lt;"&amp;$CH504)+COUNTIFS($CF$9:$CF$508,$CF504,$CH$9:$CH$508,$CH504,$CJ$9:$CJ$508,"&lt;"&amp;$CJ504)+COUNTIFS($CF$9:$CF$508,$CF504,$CH$9:$CH$508,$CH504,$CJ$9:$CJ$508,$CJ504,$CL$9:$CL$508,"&lt;"&amp;$CL504)+COUNTIFS($CF$9:$CF$508,$CF504,$CH$9:$CH$508,$CH504,$CJ$9:$CJ$508,$CJ504,$CL$9:$CL$508,$CL504,$CN$9:$CN$508,"&lt;"&amp;$CN504)+1))</f>
        <v/>
      </c>
      <c r="CP504" s="135" t="str">
        <f aca="false">IF(ISBLANK($C504),"",IF($BZ504&lt;&gt;Constants!$B$8,$BZ504,$CF504-$CO504))</f>
        <v/>
      </c>
      <c r="CQ504" s="141"/>
      <c r="CR504" s="142"/>
      <c r="CS504" s="143" t="str">
        <f aca="false">IF(ISBLANK($C504),"",IF($BZ504=Constants!$B$12,$BY504,""))</f>
        <v/>
      </c>
      <c r="CT504" s="142" t="str">
        <f aca="false">IF(ISBLANK($C504),"",IF($BZ504&lt;&gt;Constants!$B$8,"",IF($BM504="-&gt;",2,1)))</f>
        <v/>
      </c>
      <c r="CU504" s="144" t="str">
        <f aca="false">IF(ISBLANK($C504),"",IF($BZ504&lt;&gt;Constants!$B$8,"",IF($BM504="-&gt;",$BO504,$BC504)))</f>
        <v/>
      </c>
      <c r="CV504" s="144" t="str">
        <f aca="false">IF(ISBLANK($C504),"",IF($BZ504&lt;&gt;Constants!$B$8,"",IF($BM504="-&gt;",$BP504,$BD504)))</f>
        <v/>
      </c>
      <c r="CW504" s="144" t="str">
        <f aca="false">IF(ISBLANK($C504),"",IF($BZ504&lt;&gt;Constants!$B$8,"",IF($BM504="-&gt;",$BQ504+$BR504,$BE504+$BF504)+$CD504))</f>
        <v/>
      </c>
      <c r="CX504" s="144" t="str">
        <f aca="false">IF(ISBLANK($C504),"",IF($BZ504&lt;&gt;Constants!$B$8,"",IF($BM504="-&gt;",$BS504,$BG504)+$CC504))</f>
        <v/>
      </c>
      <c r="CY504" s="145" t="str">
        <f aca="false">IF(ISBLANK($C504),"",IF($BZ504&lt;&gt;Constants!$B$8,$BZ504,$CE504))</f>
        <v/>
      </c>
      <c r="CZ504" s="146" t="str">
        <f aca="false">IF(ISBLANK($C504),"",$CA504)</f>
        <v/>
      </c>
      <c r="DA504" s="147" t="str">
        <f aca="false">IF(ISBLANK($C504),"",$CP504)</f>
        <v/>
      </c>
      <c r="DB504" s="147" t="str">
        <f aca="false">IF(ISBLANK($C504),"",$CO504)</f>
        <v/>
      </c>
      <c r="DC504" s="148" t="str">
        <f aca="false">IF(ISBLANK($C504),"",IFERROR(_xlfn.SWITCH($DB504,Constants!$B$11,COUNTA($C$9:$C$508)+2,Constants!$B$10,COUNTA($C$9:$C$508)+1,Constants!$B$9,COUNTA($C$9:$C$508)),$DB504))</f>
        <v/>
      </c>
      <c r="DD504" s="9"/>
      <c r="DE504" s="149" t="n">
        <f aca="false">IF(OR(ISNUMBER($DB504),$DB504=Constants!$B$11,$DB504=Constants!$B$9,$DB504=Constants!$B$10),1,0)</f>
        <v>0</v>
      </c>
      <c r="DF504" s="149" t="n">
        <v>496</v>
      </c>
      <c r="DG504" s="149" t="str">
        <f aca="false">IF(ISBLANK($C504),"",IF(ISNUMBER($DC504),$DC504+ROW($B504)/1000,""))</f>
        <v/>
      </c>
      <c r="DH504" s="149" t="str">
        <f aca="false">IF(ISNUMBER($DG504),RANK($DG504,$DG$9:$DG$508,1),"")</f>
        <v/>
      </c>
      <c r="DI504" s="149" t="str">
        <f aca="false">IF(ISBLANK($C504),"",$B504)</f>
        <v/>
      </c>
      <c r="DJ504" s="149" t="str">
        <f aca="false">IF(ISBLANK($C504),"",$C504)</f>
        <v/>
      </c>
      <c r="DK504" s="149" t="str">
        <f aca="false">IF(ISBLANK($C504),"",$D504)</f>
        <v/>
      </c>
      <c r="DL504" s="150" t="str">
        <f aca="false">$CZ504</f>
        <v/>
      </c>
      <c r="DM504" s="151" t="str">
        <f aca="false">$CY504</f>
        <v/>
      </c>
      <c r="DN504" s="149" t="str">
        <f aca="false">IF(ISBLANK($C504),"",$DB504)</f>
        <v/>
      </c>
      <c r="DO504" s="152" t="str">
        <f aca="false">IF($DF504&gt;$DE$8,"",VLOOKUP($DF504,$DH$9:$DN$508,7,FALSE()))</f>
        <v/>
      </c>
      <c r="DP504" s="153" t="str">
        <f aca="false">IF($DF504&gt;$DE$8,"",VLOOKUP($DF504,$DH$9:$DN$508,2,FALSE()))</f>
        <v/>
      </c>
      <c r="DQ504" s="153" t="str">
        <f aca="false">IF($DF504&gt;$DE$8,"",VLOOKUP($DF504,$DH$9:$DN$508,3,FALSE()))</f>
        <v/>
      </c>
      <c r="DR504" s="153" t="str">
        <f aca="false">IF($DF504&gt;$DE$8,"",VLOOKUP($DF504,$DH$9:$DN$508,4,FALSE()))</f>
        <v/>
      </c>
      <c r="DS504" s="153" t="str">
        <f aca="false">IF($DF504&gt;$DE$8,"",VLOOKUP($DF504,$DH$9:$DN$508,5,FALSE()))</f>
        <v/>
      </c>
      <c r="DT504" s="154" t="str">
        <f aca="false">IF($DF504&gt;$DE$8,"",VLOOKUP($DF504,$DH$9:$DN$508,6,FALSE()))</f>
        <v/>
      </c>
      <c r="DU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IF(ISBLANK($C505),"",IF(E505=Constants!$B$3,TRUE(),IF(E505=Constants!$B$4,FALSE(),TRUE())))</f>
        <v/>
      </c>
      <c r="AG505" s="135" t="str">
        <f aca="false">IF(ISBLANK($C505),"",IF(F505=Constants!$B$3,TRUE(),IF(F505=Constants!$B$4,FALSE(),TRUE())))</f>
        <v/>
      </c>
      <c r="AH505" s="135" t="str">
        <f aca="false">IF(ISBLANK($C505),"",IF(G505=Constants!$B$3,TRUE(),IF(G505=Constants!$B$4,FALSE(),TRUE())))</f>
        <v/>
      </c>
      <c r="AI505" s="135" t="str">
        <f aca="false">IF(ISBLANK($C505),"",IF(AND(ISNUMBER(H505),H505&gt;=0),H505,Constants!$B$29))</f>
        <v/>
      </c>
      <c r="AJ505" s="135" t="str">
        <f aca="false">IF(ISBLANK($C505),"",IF(I505=Constants!$B$3,TRUE(),IF(I505=Constants!$B$4,FALSE(),TRUE())))</f>
        <v/>
      </c>
      <c r="AK505" s="135" t="str">
        <f aca="false">IF(ISBLANK($C505),"",IF(J505=Constants!$B$3,TRUE(),IF(J505=Constants!$B$4,FALSE(),TRUE())))</f>
        <v/>
      </c>
      <c r="AL505" s="135" t="str">
        <f aca="false">IF(ISBLANK($C505),"",IF(K505=Constants!$B$5,TRUE(),IF(K505=Constants!$B$6,FALSE(),COUNTA(L505:P505)&gt;0)))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IF(ISBLANK($C505),"",IF(N505=Constants!$B$3,TRUE(),IF(N505=Constants!$B$4,FALSE(),TRUE())))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IF(ISBLANK($C505),"",IF(P505=Constants!$B$3,TRUE(),IF(P505=Constants!$B$4,FALSE(),FALSE())))</f>
        <v/>
      </c>
      <c r="AR505" s="135" t="str">
        <f aca="false">IF(ISBLANK($C505),"",IF(Q505=Constants!$B$3,TRUE(),IF(Q505=Constants!$B$4,FALSE(),TRUE())))</f>
        <v/>
      </c>
      <c r="AS505" s="135" t="str">
        <f aca="false">IF(ISBLANK($C505),"",IF(R505=Constants!$B$3,TRUE(),IF(R505=Constants!$B$4,FALSE(),TRUE())))</f>
        <v/>
      </c>
      <c r="AT505" s="135" t="str">
        <f aca="false">IF(ISBLANK($C505),"",IF(S505=Constants!$B$5,TRUE(),IF(S505=Constants!$B$6,FALSE(),COUNTA(T505:X505)&gt;0)))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IF(ISBLANK($C505),"",IF(V505=Constants!$B$3,TRUE(),IF(V505=Constants!$B$4,FALSE(),TRUE())))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IF(ISBLANK($C505),"",IF(X505=Constants!$B$3,TRUE(),IF(X505=Constants!$B$4,FALSE(),FALSE())))</f>
        <v/>
      </c>
      <c r="AZ505" s="135" t="str">
        <f aca="false">IF(ISBLANK($C505),"",MIN(Constants!$B$31,MAX(0,IF(ISNUMBER(Y505),Y505*60,0)+IF(ISNUMBER(Z505),Z505,0))))</f>
        <v/>
      </c>
      <c r="BA505" s="135" t="str">
        <f aca="false">IF(ISBLANK($C505),"",IF(AA505=Constants!$B$3,TRUE(),IF(AA505=Constants!$B$4,FALSE(),FALSE())))</f>
        <v/>
      </c>
      <c r="BB505" s="134" t="str">
        <f aca="false">IF(ISBLANK($C505),"",AND($AL505,OR($AM505="",$AN505="",AND($AO505,$AP505=""))))</f>
        <v/>
      </c>
      <c r="BC505" s="137" t="str">
        <f aca="false">IF($BZ505&lt;&gt;Constants!$B$8,"",IF($AL505,Constants!$B$21*$AN505+Constants!$B$22*IF($AO505,$AP505,Constants!$B$23),Constants!$B$24))</f>
        <v/>
      </c>
      <c r="BD505" s="138" t="str">
        <f aca="false">IF($BZ505&lt;&gt;Constants!$B$8,"",Constants!$B$25*ABS($AD$9-IF($AL505,$AM505,0)))</f>
        <v/>
      </c>
      <c r="BE505" s="138" t="str">
        <f aca="false">IF($BZ505&lt;&gt;Constants!$B$8,"",IF(AND($AL505,$AQ505,$AO505),Constants!$B$27,0))</f>
        <v/>
      </c>
      <c r="BF505" s="138" t="str">
        <f aca="false">IF($BZ505&lt;&gt;Constants!$B$8,"",IF($AL505,($AI505-Constants!$B$29)*Constants!$B$28,0))</f>
        <v/>
      </c>
      <c r="BG505" s="138" t="str">
        <f aca="false">IF($BZ505&lt;&gt;Constants!$B$8,"",IF($AK505,0,Constants!$B$15)+IF($AJ505,0,Constants!$B$16)+IF($AH505,0,Constants!$B$17))</f>
        <v/>
      </c>
      <c r="BH505" s="139" t="str">
        <f aca="false">IF($BZ505&lt;&gt;Constants!$B$8,"",Constants!$B$20+SUM($BC505:$BG505))</f>
        <v/>
      </c>
      <c r="BI505" s="138" t="str">
        <f aca="false">IF($BZ505&lt;&gt;Constants!$B$8,"",$BC505)</f>
        <v/>
      </c>
      <c r="BJ505" s="138" t="str">
        <f aca="false">IF($BZ505&lt;&gt;Constants!$B$8,"",$BD505)</f>
        <v/>
      </c>
      <c r="BK505" s="138" t="str">
        <f aca="false">IF($BZ505&lt;&gt;Constants!$B$8,"",IF($AL505,$AN505,""))</f>
        <v/>
      </c>
      <c r="BL505" s="140" t="str">
        <f aca="false">IF($BZ505&lt;&gt;Constants!$B$8,"",$AI505)</f>
        <v/>
      </c>
      <c r="BM505" s="135" t="str">
        <f aca="false">IF($BZ505&lt;&gt;Constants!$B$8,"",IF(OR($BT505&lt;$BH505,AND($BT505=$BH505,OR($BU505&lt;$BI505,AND($BU505=$BI505,OR($BV505&lt;$BJ505,AND($BV505=$BJ505,OR(AND(ISNUMBER($BW505),OR(NOT(ISNUMBER($BK505)),$BW505&lt;$BK505)),AND(OR(AND($BW505="",$BK505=""),AND(ISNUMBER($BW505),ISNUMBER($BK505),$BW505=$BK505)),$BX505&lt;$BL505)))))))),"-&gt;","&lt;-"))</f>
        <v/>
      </c>
      <c r="BN505" s="134" t="str">
        <f aca="false">IF(ISBLANK($C505),"",AND($AT505,OR($AU505="",$AV505="",AND($AW505,$AX505=""))))</f>
        <v/>
      </c>
      <c r="BO505" s="137" t="str">
        <f aca="false">IF($BZ505&lt;&gt;Constants!$B$8,"",IF($AT505,Constants!$B$21*$AV505+Constants!$B$22*IF($AW505,$AX505,Constants!$B$23),Constants!$B$24))</f>
        <v/>
      </c>
      <c r="BP505" s="138" t="str">
        <f aca="false">IF($BZ505&lt;&gt;Constants!$B$8,"",Constants!$B$25*ABS($AD$9-IF($AT505,$AU505,0)))</f>
        <v/>
      </c>
      <c r="BQ505" s="138" t="str">
        <f aca="false">IF($BZ505&lt;&gt;Constants!$B$8,"",IF(AND($AT505,$AY505,$AW505),Constants!$B$27,0))</f>
        <v/>
      </c>
      <c r="BR505" s="138" t="str">
        <f aca="false">IF($BZ505&lt;&gt;Constants!$B$8,"",IF($AT505,($AI505-Constants!$B$29)*Constants!$B$28,0))</f>
        <v/>
      </c>
      <c r="BS505" s="138" t="str">
        <f aca="false">IF($BZ505&lt;&gt;Constants!$B$8,"",IF($AS505,0,Constants!$B$15)+IF($AR505,0,Constants!$B$16)+IF($AH505,0,Constants!$B$17))</f>
        <v/>
      </c>
      <c r="BT505" s="139" t="str">
        <f aca="false">IF($BZ505&lt;&gt;Constants!$B$8,"",Constants!$B$20+SUM($BO505:$BS505))</f>
        <v/>
      </c>
      <c r="BU505" s="138" t="str">
        <f aca="false">IF($BZ505&lt;&gt;Constants!$B$8,"",$BO505)</f>
        <v/>
      </c>
      <c r="BV505" s="138" t="str">
        <f aca="false">IF($BZ505&lt;&gt;Constants!$B$8,"",$BP505)</f>
        <v/>
      </c>
      <c r="BW505" s="138" t="str">
        <f aca="false">IF($BZ505&lt;&gt;Constants!$B$8,"",IF($AT505,$AV505,""))</f>
        <v/>
      </c>
      <c r="BX505" s="140" t="str">
        <f aca="false">IF($BZ505&lt;&gt;Constants!$B$8,"",$AI505)</f>
        <v/>
      </c>
      <c r="BY505" s="135" t="str">
        <f aca="false">IF(ISBLANK($C505),"",IF(ISBLANK($D$7),$BY$5,IF(NOT(ISNUMBER($D$7)),$BY$6,"")))</f>
        <v/>
      </c>
      <c r="BZ505" s="135" t="str">
        <f aca="false">IF(ISBLANK($C505),"",IF($BA505,Constants!$B$11,IF(COUNTA($E505:$AA505)=0,Constants!$B$10,IF(NOT($AG505),Constants!$B$9,IF(OR($BY505&lt;&gt;"",$BB505,$BN505),Constants!$B$12,Constants!$B$8)))))</f>
        <v/>
      </c>
      <c r="CA505" s="135" t="str">
        <f aca="false">IF(ISBLANK($C505),"",IF($BZ505&lt;&gt;Constants!$B$8,$BZ505,Constants!$B$13))</f>
        <v/>
      </c>
      <c r="CB505" s="138" t="str">
        <f aca="false">IF($BZ505&lt;&gt;Constants!$B$8,"",IF($BM505="-&gt;",$BT505,$BH505))</f>
        <v/>
      </c>
      <c r="CC505" s="138" t="str">
        <f aca="false">IF($BZ505&lt;&gt;Constants!$B$8,"",IF($AF505,0,Constants!$B$18))</f>
        <v/>
      </c>
      <c r="CD505" s="138" t="str">
        <f aca="false">IF($BZ505&lt;&gt;Constants!$B$8,"",((Constants!$B$31-$AZ505)-Constants!$B$31)/Constants!$B$32)</f>
        <v/>
      </c>
      <c r="CE505" s="138" t="str">
        <f aca="false">IF(ISBLANK($C505),"",IF($BZ505&lt;&gt;Constants!$B$8,$BZ505,SUM($CB505:$CD505)))</f>
        <v/>
      </c>
      <c r="CF505" s="135" t="str">
        <f aca="false">IF(ISBLANK($C505),"",IF($BZ505&lt;&gt;Constants!$B$8,$BZ505,RANK($CE505,$CE$9:$CE$508,1)))</f>
        <v/>
      </c>
      <c r="CG505" s="138" t="str">
        <f aca="false">IF($BZ505&lt;&gt;Constants!$B$8,"",IF($BM505="-&gt;",$BU505,$BI505))</f>
        <v/>
      </c>
      <c r="CH505" s="135" t="str">
        <f aca="false">IF(ISBLANK($C505),"",IF($BZ505&lt;&gt;Constants!$B$8,$BZ505,IF(ISNUMBER($CG505),RANK($CG505,$CG$9:$CG$508,1),COUNT($CG$9:$CG$508)+1)))</f>
        <v/>
      </c>
      <c r="CI505" s="138" t="str">
        <f aca="false">IF($BZ505&lt;&gt;Constants!$B$8,"",IF($BM505="-&gt;",$BV505,$BJ505))</f>
        <v/>
      </c>
      <c r="CJ505" s="135" t="str">
        <f aca="false">IF(ISBLANK($C505),"",IF($BZ505&lt;&gt;Constants!$B$8,$BZ505,IF(ISNUMBER($CI505),RANK($CI505,$CI$9:$CI$508,1),COUNT($CI$9:$CI$508)+1)))</f>
        <v/>
      </c>
      <c r="CK505" s="138" t="str">
        <f aca="false">IF($BZ505&lt;&gt;Constants!$B$8,"",IF($BM505="-&gt;",$BW505,$BK505))</f>
        <v/>
      </c>
      <c r="CL505" s="135" t="str">
        <f aca="false">IF(ISBLANK($C505),"",IF($BZ505&lt;&gt;Constants!$B$8,$BZ505,IF(ISNUMBER($CK505),RANK($CK505,$CK$9:$CK$508,1),COUNT($CK$9:$CK$508)+1)))</f>
        <v/>
      </c>
      <c r="CM505" s="138" t="str">
        <f aca="false">IF($BZ505&lt;&gt;Constants!$B$8,"",IF(AND(NOT($AL505),NOT($AT505),$AJ505,$AK505,$AR505,$AS505),"",IF($BM505="-&gt;",$BX505,$BL505)))</f>
        <v/>
      </c>
      <c r="CN505" s="135" t="str">
        <f aca="false">IF(ISBLANK($C505),"",IF($BZ505&lt;&gt;Constants!$B$8,$BZ505,IF(ISNUMBER($CM505),RANK($CM505,$CM$9:$CM$508,1),COUNT($CM$9:$CM$508)+1)))</f>
        <v/>
      </c>
      <c r="CO505" s="135" t="str">
        <f aca="false">IF(ISBLANK($C505),"",IF($BZ505&lt;&gt;Constants!$B$8,$BZ505,COUNTIFS($CF$9:$CF$508,"&lt;"&amp;$CF505)+COUNTIFS($CF$9:$CF$508,$CF505,$CH$9:$CH$508,"&lt;"&amp;$CH505)+COUNTIFS($CF$9:$CF$508,$CF505,$CH$9:$CH$508,$CH505,$CJ$9:$CJ$508,"&lt;"&amp;$CJ505)+COUNTIFS($CF$9:$CF$508,$CF505,$CH$9:$CH$508,$CH505,$CJ$9:$CJ$508,$CJ505,$CL$9:$CL$508,"&lt;"&amp;$CL505)+COUNTIFS($CF$9:$CF$508,$CF505,$CH$9:$CH$508,$CH505,$CJ$9:$CJ$508,$CJ505,$CL$9:$CL$508,$CL505,$CN$9:$CN$508,"&lt;"&amp;$CN505)+1))</f>
        <v/>
      </c>
      <c r="CP505" s="135" t="str">
        <f aca="false">IF(ISBLANK($C505),"",IF($BZ505&lt;&gt;Constants!$B$8,$BZ505,$CF505-$CO505))</f>
        <v/>
      </c>
      <c r="CQ505" s="141"/>
      <c r="CR505" s="142"/>
      <c r="CS505" s="143" t="str">
        <f aca="false">IF(ISBLANK($C505),"",IF($BZ505=Constants!$B$12,$BY505,""))</f>
        <v/>
      </c>
      <c r="CT505" s="142" t="str">
        <f aca="false">IF(ISBLANK($C505),"",IF($BZ505&lt;&gt;Constants!$B$8,"",IF($BM505="-&gt;",2,1)))</f>
        <v/>
      </c>
      <c r="CU505" s="144" t="str">
        <f aca="false">IF(ISBLANK($C505),"",IF($BZ505&lt;&gt;Constants!$B$8,"",IF($BM505="-&gt;",$BO505,$BC505)))</f>
        <v/>
      </c>
      <c r="CV505" s="144" t="str">
        <f aca="false">IF(ISBLANK($C505),"",IF($BZ505&lt;&gt;Constants!$B$8,"",IF($BM505="-&gt;",$BP505,$BD505)))</f>
        <v/>
      </c>
      <c r="CW505" s="144" t="str">
        <f aca="false">IF(ISBLANK($C505),"",IF($BZ505&lt;&gt;Constants!$B$8,"",IF($BM505="-&gt;",$BQ505+$BR505,$BE505+$BF505)+$CD505))</f>
        <v/>
      </c>
      <c r="CX505" s="144" t="str">
        <f aca="false">IF(ISBLANK($C505),"",IF($BZ505&lt;&gt;Constants!$B$8,"",IF($BM505="-&gt;",$BS505,$BG505)+$CC505))</f>
        <v/>
      </c>
      <c r="CY505" s="145" t="str">
        <f aca="false">IF(ISBLANK($C505),"",IF($BZ505&lt;&gt;Constants!$B$8,$BZ505,$CE505))</f>
        <v/>
      </c>
      <c r="CZ505" s="146" t="str">
        <f aca="false">IF(ISBLANK($C505),"",$CA505)</f>
        <v/>
      </c>
      <c r="DA505" s="147" t="str">
        <f aca="false">IF(ISBLANK($C505),"",$CP505)</f>
        <v/>
      </c>
      <c r="DB505" s="147" t="str">
        <f aca="false">IF(ISBLANK($C505),"",$CO505)</f>
        <v/>
      </c>
      <c r="DC505" s="148" t="str">
        <f aca="false">IF(ISBLANK($C505),"",IFERROR(_xlfn.SWITCH($DB505,Constants!$B$11,COUNTA($C$9:$C$508)+2,Constants!$B$10,COUNTA($C$9:$C$508)+1,Constants!$B$9,COUNTA($C$9:$C$508)),$DB505))</f>
        <v/>
      </c>
      <c r="DD505" s="9"/>
      <c r="DE505" s="149" t="n">
        <f aca="false">IF(OR(ISNUMBER($DB505),$DB505=Constants!$B$11,$DB505=Constants!$B$9,$DB505=Constants!$B$10),1,0)</f>
        <v>0</v>
      </c>
      <c r="DF505" s="149" t="n">
        <v>497</v>
      </c>
      <c r="DG505" s="149" t="str">
        <f aca="false">IF(ISBLANK($C505),"",IF(ISNUMBER($DC505),$DC505+ROW($B505)/1000,""))</f>
        <v/>
      </c>
      <c r="DH505" s="149" t="str">
        <f aca="false">IF(ISNUMBER($DG505),RANK($DG505,$DG$9:$DG$508,1),"")</f>
        <v/>
      </c>
      <c r="DI505" s="149" t="str">
        <f aca="false">IF(ISBLANK($C505),"",$B505)</f>
        <v/>
      </c>
      <c r="DJ505" s="149" t="str">
        <f aca="false">IF(ISBLANK($C505),"",$C505)</f>
        <v/>
      </c>
      <c r="DK505" s="149" t="str">
        <f aca="false">IF(ISBLANK($C505),"",$D505)</f>
        <v/>
      </c>
      <c r="DL505" s="150" t="str">
        <f aca="false">$CZ505</f>
        <v/>
      </c>
      <c r="DM505" s="151" t="str">
        <f aca="false">$CY505</f>
        <v/>
      </c>
      <c r="DN505" s="149" t="str">
        <f aca="false">IF(ISBLANK($C505),"",$DB505)</f>
        <v/>
      </c>
      <c r="DO505" s="152" t="str">
        <f aca="false">IF($DF505&gt;$DE$8,"",VLOOKUP($DF505,$DH$9:$DN$508,7,FALSE()))</f>
        <v/>
      </c>
      <c r="DP505" s="153" t="str">
        <f aca="false">IF($DF505&gt;$DE$8,"",VLOOKUP($DF505,$DH$9:$DN$508,2,FALSE()))</f>
        <v/>
      </c>
      <c r="DQ505" s="153" t="str">
        <f aca="false">IF($DF505&gt;$DE$8,"",VLOOKUP($DF505,$DH$9:$DN$508,3,FALSE()))</f>
        <v/>
      </c>
      <c r="DR505" s="153" t="str">
        <f aca="false">IF($DF505&gt;$DE$8,"",VLOOKUP($DF505,$DH$9:$DN$508,4,FALSE()))</f>
        <v/>
      </c>
      <c r="DS505" s="153" t="str">
        <f aca="false">IF($DF505&gt;$DE$8,"",VLOOKUP($DF505,$DH$9:$DN$508,5,FALSE()))</f>
        <v/>
      </c>
      <c r="DT505" s="154" t="str">
        <f aca="false">IF($DF505&gt;$DE$8,"",VLOOKUP($DF505,$DH$9:$DN$508,6,FALSE()))</f>
        <v/>
      </c>
      <c r="DU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IF(ISBLANK($C506),"",IF(E506=Constants!$B$3,TRUE(),IF(E506=Constants!$B$4,FALSE(),TRUE())))</f>
        <v/>
      </c>
      <c r="AG506" s="135" t="str">
        <f aca="false">IF(ISBLANK($C506),"",IF(F506=Constants!$B$3,TRUE(),IF(F506=Constants!$B$4,FALSE(),TRUE())))</f>
        <v/>
      </c>
      <c r="AH506" s="135" t="str">
        <f aca="false">IF(ISBLANK($C506),"",IF(G506=Constants!$B$3,TRUE(),IF(G506=Constants!$B$4,FALSE(),TRUE())))</f>
        <v/>
      </c>
      <c r="AI506" s="135" t="str">
        <f aca="false">IF(ISBLANK($C506),"",IF(AND(ISNUMBER(H506),H506&gt;=0),H506,Constants!$B$29))</f>
        <v/>
      </c>
      <c r="AJ506" s="135" t="str">
        <f aca="false">IF(ISBLANK($C506),"",IF(I506=Constants!$B$3,TRUE(),IF(I506=Constants!$B$4,FALSE(),TRUE())))</f>
        <v/>
      </c>
      <c r="AK506" s="135" t="str">
        <f aca="false">IF(ISBLANK($C506),"",IF(J506=Constants!$B$3,TRUE(),IF(J506=Constants!$B$4,FALSE(),TRUE())))</f>
        <v/>
      </c>
      <c r="AL506" s="135" t="str">
        <f aca="false">IF(ISBLANK($C506),"",IF(K506=Constants!$B$5,TRUE(),IF(K506=Constants!$B$6,FALSE(),COUNTA(L506:P506)&gt;0)))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IF(ISBLANK($C506),"",IF(N506=Constants!$B$3,TRUE(),IF(N506=Constants!$B$4,FALSE(),TRUE())))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IF(ISBLANK($C506),"",IF(P506=Constants!$B$3,TRUE(),IF(P506=Constants!$B$4,FALSE(),FALSE())))</f>
        <v/>
      </c>
      <c r="AR506" s="135" t="str">
        <f aca="false">IF(ISBLANK($C506),"",IF(Q506=Constants!$B$3,TRUE(),IF(Q506=Constants!$B$4,FALSE(),TRUE())))</f>
        <v/>
      </c>
      <c r="AS506" s="135" t="str">
        <f aca="false">IF(ISBLANK($C506),"",IF(R506=Constants!$B$3,TRUE(),IF(R506=Constants!$B$4,FALSE(),TRUE())))</f>
        <v/>
      </c>
      <c r="AT506" s="135" t="str">
        <f aca="false">IF(ISBLANK($C506),"",IF(S506=Constants!$B$5,TRUE(),IF(S506=Constants!$B$6,FALSE(),COUNTA(T506:X506)&gt;0)))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IF(ISBLANK($C506),"",IF(V506=Constants!$B$3,TRUE(),IF(V506=Constants!$B$4,FALSE(),TRUE())))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IF(ISBLANK($C506),"",IF(X506=Constants!$B$3,TRUE(),IF(X506=Constants!$B$4,FALSE(),FALSE())))</f>
        <v/>
      </c>
      <c r="AZ506" s="135" t="str">
        <f aca="false">IF(ISBLANK($C506),"",MIN(Constants!$B$31,MAX(0,IF(ISNUMBER(Y506),Y506*60,0)+IF(ISNUMBER(Z506),Z506,0))))</f>
        <v/>
      </c>
      <c r="BA506" s="135" t="str">
        <f aca="false">IF(ISBLANK($C506),"",IF(AA506=Constants!$B$3,TRUE(),IF(AA506=Constants!$B$4,FALSE(),FALSE())))</f>
        <v/>
      </c>
      <c r="BB506" s="134" t="str">
        <f aca="false">IF(ISBLANK($C506),"",AND($AL506,OR($AM506="",$AN506="",AND($AO506,$AP506=""))))</f>
        <v/>
      </c>
      <c r="BC506" s="137" t="str">
        <f aca="false">IF($BZ506&lt;&gt;Constants!$B$8,"",IF($AL506,Constants!$B$21*$AN506+Constants!$B$22*IF($AO506,$AP506,Constants!$B$23),Constants!$B$24))</f>
        <v/>
      </c>
      <c r="BD506" s="138" t="str">
        <f aca="false">IF($BZ506&lt;&gt;Constants!$B$8,"",Constants!$B$25*ABS($AD$9-IF($AL506,$AM506,0)))</f>
        <v/>
      </c>
      <c r="BE506" s="138" t="str">
        <f aca="false">IF($BZ506&lt;&gt;Constants!$B$8,"",IF(AND($AL506,$AQ506,$AO506),Constants!$B$27,0))</f>
        <v/>
      </c>
      <c r="BF506" s="138" t="str">
        <f aca="false">IF($BZ506&lt;&gt;Constants!$B$8,"",IF($AL506,($AI506-Constants!$B$29)*Constants!$B$28,0))</f>
        <v/>
      </c>
      <c r="BG506" s="138" t="str">
        <f aca="false">IF($BZ506&lt;&gt;Constants!$B$8,"",IF($AK506,0,Constants!$B$15)+IF($AJ506,0,Constants!$B$16)+IF($AH506,0,Constants!$B$17))</f>
        <v/>
      </c>
      <c r="BH506" s="139" t="str">
        <f aca="false">IF($BZ506&lt;&gt;Constants!$B$8,"",Constants!$B$20+SUM($BC506:$BG506))</f>
        <v/>
      </c>
      <c r="BI506" s="138" t="str">
        <f aca="false">IF($BZ506&lt;&gt;Constants!$B$8,"",$BC506)</f>
        <v/>
      </c>
      <c r="BJ506" s="138" t="str">
        <f aca="false">IF($BZ506&lt;&gt;Constants!$B$8,"",$BD506)</f>
        <v/>
      </c>
      <c r="BK506" s="138" t="str">
        <f aca="false">IF($BZ506&lt;&gt;Constants!$B$8,"",IF($AL506,$AN506,""))</f>
        <v/>
      </c>
      <c r="BL506" s="140" t="str">
        <f aca="false">IF($BZ506&lt;&gt;Constants!$B$8,"",$AI506)</f>
        <v/>
      </c>
      <c r="BM506" s="135" t="str">
        <f aca="false">IF($BZ506&lt;&gt;Constants!$B$8,"",IF(OR($BT506&lt;$BH506,AND($BT506=$BH506,OR($BU506&lt;$BI506,AND($BU506=$BI506,OR($BV506&lt;$BJ506,AND($BV506=$BJ506,OR(AND(ISNUMBER($BW506),OR(NOT(ISNUMBER($BK506)),$BW506&lt;$BK506)),AND(OR(AND($BW506="",$BK506=""),AND(ISNUMBER($BW506),ISNUMBER($BK506),$BW506=$BK506)),$BX506&lt;$BL506)))))))),"-&gt;","&lt;-"))</f>
        <v/>
      </c>
      <c r="BN506" s="134" t="str">
        <f aca="false">IF(ISBLANK($C506),"",AND($AT506,OR($AU506="",$AV506="",AND($AW506,$AX506=""))))</f>
        <v/>
      </c>
      <c r="BO506" s="137" t="str">
        <f aca="false">IF($BZ506&lt;&gt;Constants!$B$8,"",IF($AT506,Constants!$B$21*$AV506+Constants!$B$22*IF($AW506,$AX506,Constants!$B$23),Constants!$B$24))</f>
        <v/>
      </c>
      <c r="BP506" s="138" t="str">
        <f aca="false">IF($BZ506&lt;&gt;Constants!$B$8,"",Constants!$B$25*ABS($AD$9-IF($AT506,$AU506,0)))</f>
        <v/>
      </c>
      <c r="BQ506" s="138" t="str">
        <f aca="false">IF($BZ506&lt;&gt;Constants!$B$8,"",IF(AND($AT506,$AY506,$AW506),Constants!$B$27,0))</f>
        <v/>
      </c>
      <c r="BR506" s="138" t="str">
        <f aca="false">IF($BZ506&lt;&gt;Constants!$B$8,"",IF($AT506,($AI506-Constants!$B$29)*Constants!$B$28,0))</f>
        <v/>
      </c>
      <c r="BS506" s="138" t="str">
        <f aca="false">IF($BZ506&lt;&gt;Constants!$B$8,"",IF($AS506,0,Constants!$B$15)+IF($AR506,0,Constants!$B$16)+IF($AH506,0,Constants!$B$17))</f>
        <v/>
      </c>
      <c r="BT506" s="139" t="str">
        <f aca="false">IF($BZ506&lt;&gt;Constants!$B$8,"",Constants!$B$20+SUM($BO506:$BS506))</f>
        <v/>
      </c>
      <c r="BU506" s="138" t="str">
        <f aca="false">IF($BZ506&lt;&gt;Constants!$B$8,"",$BO506)</f>
        <v/>
      </c>
      <c r="BV506" s="138" t="str">
        <f aca="false">IF($BZ506&lt;&gt;Constants!$B$8,"",$BP506)</f>
        <v/>
      </c>
      <c r="BW506" s="138" t="str">
        <f aca="false">IF($BZ506&lt;&gt;Constants!$B$8,"",IF($AT506,$AV506,""))</f>
        <v/>
      </c>
      <c r="BX506" s="140" t="str">
        <f aca="false">IF($BZ506&lt;&gt;Constants!$B$8,"",$AI506)</f>
        <v/>
      </c>
      <c r="BY506" s="135" t="str">
        <f aca="false">IF(ISBLANK($C506),"",IF(ISBLANK($D$7),$BY$5,IF(NOT(ISNUMBER($D$7)),$BY$6,"")))</f>
        <v/>
      </c>
      <c r="BZ506" s="135" t="str">
        <f aca="false">IF(ISBLANK($C506),"",IF($BA506,Constants!$B$11,IF(COUNTA($E506:$AA506)=0,Constants!$B$10,IF(NOT($AG506),Constants!$B$9,IF(OR($BY506&lt;&gt;"",$BB506,$BN506),Constants!$B$12,Constants!$B$8)))))</f>
        <v/>
      </c>
      <c r="CA506" s="135" t="str">
        <f aca="false">IF(ISBLANK($C506),"",IF($BZ506&lt;&gt;Constants!$B$8,$BZ506,Constants!$B$13))</f>
        <v/>
      </c>
      <c r="CB506" s="138" t="str">
        <f aca="false">IF($BZ506&lt;&gt;Constants!$B$8,"",IF($BM506="-&gt;",$BT506,$BH506))</f>
        <v/>
      </c>
      <c r="CC506" s="138" t="str">
        <f aca="false">IF($BZ506&lt;&gt;Constants!$B$8,"",IF($AF506,0,Constants!$B$18))</f>
        <v/>
      </c>
      <c r="CD506" s="138" t="str">
        <f aca="false">IF($BZ506&lt;&gt;Constants!$B$8,"",((Constants!$B$31-$AZ506)-Constants!$B$31)/Constants!$B$32)</f>
        <v/>
      </c>
      <c r="CE506" s="138" t="str">
        <f aca="false">IF(ISBLANK($C506),"",IF($BZ506&lt;&gt;Constants!$B$8,$BZ506,SUM($CB506:$CD506)))</f>
        <v/>
      </c>
      <c r="CF506" s="135" t="str">
        <f aca="false">IF(ISBLANK($C506),"",IF($BZ506&lt;&gt;Constants!$B$8,$BZ506,RANK($CE506,$CE$9:$CE$508,1)))</f>
        <v/>
      </c>
      <c r="CG506" s="138" t="str">
        <f aca="false">IF($BZ506&lt;&gt;Constants!$B$8,"",IF($BM506="-&gt;",$BU506,$BI506))</f>
        <v/>
      </c>
      <c r="CH506" s="135" t="str">
        <f aca="false">IF(ISBLANK($C506),"",IF($BZ506&lt;&gt;Constants!$B$8,$BZ506,IF(ISNUMBER($CG506),RANK($CG506,$CG$9:$CG$508,1),COUNT($CG$9:$CG$508)+1)))</f>
        <v/>
      </c>
      <c r="CI506" s="138" t="str">
        <f aca="false">IF($BZ506&lt;&gt;Constants!$B$8,"",IF($BM506="-&gt;",$BV506,$BJ506))</f>
        <v/>
      </c>
      <c r="CJ506" s="135" t="str">
        <f aca="false">IF(ISBLANK($C506),"",IF($BZ506&lt;&gt;Constants!$B$8,$BZ506,IF(ISNUMBER($CI506),RANK($CI506,$CI$9:$CI$508,1),COUNT($CI$9:$CI$508)+1)))</f>
        <v/>
      </c>
      <c r="CK506" s="138" t="str">
        <f aca="false">IF($BZ506&lt;&gt;Constants!$B$8,"",IF($BM506="-&gt;",$BW506,$BK506))</f>
        <v/>
      </c>
      <c r="CL506" s="135" t="str">
        <f aca="false">IF(ISBLANK($C506),"",IF($BZ506&lt;&gt;Constants!$B$8,$BZ506,IF(ISNUMBER($CK506),RANK($CK506,$CK$9:$CK$508,1),COUNT($CK$9:$CK$508)+1)))</f>
        <v/>
      </c>
      <c r="CM506" s="138" t="str">
        <f aca="false">IF($BZ506&lt;&gt;Constants!$B$8,"",IF(AND(NOT($AL506),NOT($AT506),$AJ506,$AK506,$AR506,$AS506),"",IF($BM506="-&gt;",$BX506,$BL506)))</f>
        <v/>
      </c>
      <c r="CN506" s="135" t="str">
        <f aca="false">IF(ISBLANK($C506),"",IF($BZ506&lt;&gt;Constants!$B$8,$BZ506,IF(ISNUMBER($CM506),RANK($CM506,$CM$9:$CM$508,1),COUNT($CM$9:$CM$508)+1)))</f>
        <v/>
      </c>
      <c r="CO506" s="135" t="str">
        <f aca="false">IF(ISBLANK($C506),"",IF($BZ506&lt;&gt;Constants!$B$8,$BZ506,COUNTIFS($CF$9:$CF$508,"&lt;"&amp;$CF506)+COUNTIFS($CF$9:$CF$508,$CF506,$CH$9:$CH$508,"&lt;"&amp;$CH506)+COUNTIFS($CF$9:$CF$508,$CF506,$CH$9:$CH$508,$CH506,$CJ$9:$CJ$508,"&lt;"&amp;$CJ506)+COUNTIFS($CF$9:$CF$508,$CF506,$CH$9:$CH$508,$CH506,$CJ$9:$CJ$508,$CJ506,$CL$9:$CL$508,"&lt;"&amp;$CL506)+COUNTIFS($CF$9:$CF$508,$CF506,$CH$9:$CH$508,$CH506,$CJ$9:$CJ$508,$CJ506,$CL$9:$CL$508,$CL506,$CN$9:$CN$508,"&lt;"&amp;$CN506)+1))</f>
        <v/>
      </c>
      <c r="CP506" s="135" t="str">
        <f aca="false">IF(ISBLANK($C506),"",IF($BZ506&lt;&gt;Constants!$B$8,$BZ506,$CF506-$CO506))</f>
        <v/>
      </c>
      <c r="CQ506" s="141"/>
      <c r="CR506" s="142"/>
      <c r="CS506" s="143" t="str">
        <f aca="false">IF(ISBLANK($C506),"",IF($BZ506=Constants!$B$12,$BY506,""))</f>
        <v/>
      </c>
      <c r="CT506" s="142" t="str">
        <f aca="false">IF(ISBLANK($C506),"",IF($BZ506&lt;&gt;Constants!$B$8,"",IF($BM506="-&gt;",2,1)))</f>
        <v/>
      </c>
      <c r="CU506" s="144" t="str">
        <f aca="false">IF(ISBLANK($C506),"",IF($BZ506&lt;&gt;Constants!$B$8,"",IF($BM506="-&gt;",$BO506,$BC506)))</f>
        <v/>
      </c>
      <c r="CV506" s="144" t="str">
        <f aca="false">IF(ISBLANK($C506),"",IF($BZ506&lt;&gt;Constants!$B$8,"",IF($BM506="-&gt;",$BP506,$BD506)))</f>
        <v/>
      </c>
      <c r="CW506" s="144" t="str">
        <f aca="false">IF(ISBLANK($C506),"",IF($BZ506&lt;&gt;Constants!$B$8,"",IF($BM506="-&gt;",$BQ506+$BR506,$BE506+$BF506)+$CD506))</f>
        <v/>
      </c>
      <c r="CX506" s="144" t="str">
        <f aca="false">IF(ISBLANK($C506),"",IF($BZ506&lt;&gt;Constants!$B$8,"",IF($BM506="-&gt;",$BS506,$BG506)+$CC506))</f>
        <v/>
      </c>
      <c r="CY506" s="145" t="str">
        <f aca="false">IF(ISBLANK($C506),"",IF($BZ506&lt;&gt;Constants!$B$8,$BZ506,$CE506))</f>
        <v/>
      </c>
      <c r="CZ506" s="146" t="str">
        <f aca="false">IF(ISBLANK($C506),"",$CA506)</f>
        <v/>
      </c>
      <c r="DA506" s="147" t="str">
        <f aca="false">IF(ISBLANK($C506),"",$CP506)</f>
        <v/>
      </c>
      <c r="DB506" s="147" t="str">
        <f aca="false">IF(ISBLANK($C506),"",$CO506)</f>
        <v/>
      </c>
      <c r="DC506" s="148" t="str">
        <f aca="false">IF(ISBLANK($C506),"",IFERROR(_xlfn.SWITCH($DB506,Constants!$B$11,COUNTA($C$9:$C$508)+2,Constants!$B$10,COUNTA($C$9:$C$508)+1,Constants!$B$9,COUNTA($C$9:$C$508)),$DB506))</f>
        <v/>
      </c>
      <c r="DD506" s="9"/>
      <c r="DE506" s="149" t="n">
        <f aca="false">IF(OR(ISNUMBER($DB506),$DB506=Constants!$B$11,$DB506=Constants!$B$9,$DB506=Constants!$B$10),1,0)</f>
        <v>0</v>
      </c>
      <c r="DF506" s="149" t="n">
        <v>498</v>
      </c>
      <c r="DG506" s="149" t="str">
        <f aca="false">IF(ISBLANK($C506),"",IF(ISNUMBER($DC506),$DC506+ROW($B506)/1000,""))</f>
        <v/>
      </c>
      <c r="DH506" s="149" t="str">
        <f aca="false">IF(ISNUMBER($DG506),RANK($DG506,$DG$9:$DG$508,1),"")</f>
        <v/>
      </c>
      <c r="DI506" s="149" t="str">
        <f aca="false">IF(ISBLANK($C506),"",$B506)</f>
        <v/>
      </c>
      <c r="DJ506" s="149" t="str">
        <f aca="false">IF(ISBLANK($C506),"",$C506)</f>
        <v/>
      </c>
      <c r="DK506" s="149" t="str">
        <f aca="false">IF(ISBLANK($C506),"",$D506)</f>
        <v/>
      </c>
      <c r="DL506" s="150" t="str">
        <f aca="false">$CZ506</f>
        <v/>
      </c>
      <c r="DM506" s="151" t="str">
        <f aca="false">$CY506</f>
        <v/>
      </c>
      <c r="DN506" s="149" t="str">
        <f aca="false">IF(ISBLANK($C506),"",$DB506)</f>
        <v/>
      </c>
      <c r="DO506" s="152" t="str">
        <f aca="false">IF($DF506&gt;$DE$8,"",VLOOKUP($DF506,$DH$9:$DN$508,7,FALSE()))</f>
        <v/>
      </c>
      <c r="DP506" s="153" t="str">
        <f aca="false">IF($DF506&gt;$DE$8,"",VLOOKUP($DF506,$DH$9:$DN$508,2,FALSE()))</f>
        <v/>
      </c>
      <c r="DQ506" s="153" t="str">
        <f aca="false">IF($DF506&gt;$DE$8,"",VLOOKUP($DF506,$DH$9:$DN$508,3,FALSE()))</f>
        <v/>
      </c>
      <c r="DR506" s="153" t="str">
        <f aca="false">IF($DF506&gt;$DE$8,"",VLOOKUP($DF506,$DH$9:$DN$508,4,FALSE()))</f>
        <v/>
      </c>
      <c r="DS506" s="153" t="str">
        <f aca="false">IF($DF506&gt;$DE$8,"",VLOOKUP($DF506,$DH$9:$DN$508,5,FALSE()))</f>
        <v/>
      </c>
      <c r="DT506" s="154" t="str">
        <f aca="false">IF($DF506&gt;$DE$8,"",VLOOKUP($DF506,$DH$9:$DN$508,6,FALSE()))</f>
        <v/>
      </c>
      <c r="DU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IF(ISBLANK($C507),"",IF(E507=Constants!$B$3,TRUE(),IF(E507=Constants!$B$4,FALSE(),TRUE())))</f>
        <v/>
      </c>
      <c r="AG507" s="93" t="str">
        <f aca="false">IF(ISBLANK($C507),"",IF(F507=Constants!$B$3,TRUE(),IF(F507=Constants!$B$4,FALSE(),TRUE())))</f>
        <v/>
      </c>
      <c r="AH507" s="93" t="str">
        <f aca="false">IF(ISBLANK($C507),"",IF(G507=Constants!$B$3,TRUE(),IF(G507=Constants!$B$4,FALSE(),TRUE())))</f>
        <v/>
      </c>
      <c r="AI507" s="93" t="str">
        <f aca="false">IF(ISBLANK($C507),"",IF(AND(ISNUMBER(H507),H507&gt;=0),H507,Constants!$B$29))</f>
        <v/>
      </c>
      <c r="AJ507" s="93" t="str">
        <f aca="false">IF(ISBLANK($C507),"",IF(I507=Constants!$B$3,TRUE(),IF(I507=Constants!$B$4,FALSE(),TRUE())))</f>
        <v/>
      </c>
      <c r="AK507" s="93" t="str">
        <f aca="false">IF(ISBLANK($C507),"",IF(J507=Constants!$B$3,TRUE(),IF(J507=Constants!$B$4,FALSE(),TRUE())))</f>
        <v/>
      </c>
      <c r="AL507" s="93" t="str">
        <f aca="false">IF(ISBLANK($C507),"",IF(K507=Constants!$B$5,TRUE(),IF(K507=Constants!$B$6,FALSE(),COUNTA(L507:P507)&gt;0)))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IF(ISBLANK($C507),"",IF(N507=Constants!$B$3,TRUE(),IF(N507=Constants!$B$4,FALSE(),TRUE())))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IF(ISBLANK($C507),"",IF(P507=Constants!$B$3,TRUE(),IF(P507=Constants!$B$4,FALSE(),FALSE())))</f>
        <v/>
      </c>
      <c r="AR507" s="93" t="str">
        <f aca="false">IF(ISBLANK($C507),"",IF(Q507=Constants!$B$3,TRUE(),IF(Q507=Constants!$B$4,FALSE(),TRUE())))</f>
        <v/>
      </c>
      <c r="AS507" s="93" t="str">
        <f aca="false">IF(ISBLANK($C507),"",IF(R507=Constants!$B$3,TRUE(),IF(R507=Constants!$B$4,FALSE(),TRUE())))</f>
        <v/>
      </c>
      <c r="AT507" s="93" t="str">
        <f aca="false">IF(ISBLANK($C507),"",IF(S507=Constants!$B$5,TRUE(),IF(S507=Constants!$B$6,FALSE(),COUNTA(T507:X507)&gt;0)))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IF(ISBLANK($C507),"",IF(V507=Constants!$B$3,TRUE(),IF(V507=Constants!$B$4,FALSE(),TRUE())))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IF(ISBLANK($C507),"",IF(X507=Constants!$B$3,TRUE(),IF(X507=Constants!$B$4,FALSE(),FALSE())))</f>
        <v/>
      </c>
      <c r="AZ507" s="93" t="str">
        <f aca="false">IF(ISBLANK($C507),"",MIN(Constants!$B$31,MAX(0,IF(ISNUMBER(Y507),Y507*60,0)+IF(ISNUMBER(Z507),Z507,0))))</f>
        <v/>
      </c>
      <c r="BA507" s="93" t="str">
        <f aca="false">IF(ISBLANK($C507),"",IF(AA507=Constants!$B$3,TRUE(),IF(AA507=Constants!$B$4,FALSE(),FALSE())))</f>
        <v/>
      </c>
      <c r="BB507" s="92" t="str">
        <f aca="false">IF(ISBLANK($C507),"",AND($AL507,OR($AM507="",$AN507="",AND($AO507,$AP507=""))))</f>
        <v/>
      </c>
      <c r="BC507" s="94" t="str">
        <f aca="false">IF($BZ507&lt;&gt;Constants!$B$8,"",IF($AL507,Constants!$B$21*$AN507+Constants!$B$22*IF($AO507,$AP507,Constants!$B$23),Constants!$B$24))</f>
        <v/>
      </c>
      <c r="BD507" s="97" t="str">
        <f aca="false">IF($BZ507&lt;&gt;Constants!$B$8,"",Constants!$B$25*ABS($AD$9-IF($AL507,$AM507,0)))</f>
        <v/>
      </c>
      <c r="BE507" s="97" t="str">
        <f aca="false">IF($BZ507&lt;&gt;Constants!$B$8,"",IF(AND($AL507,$AQ507,$AO507),Constants!$B$27,0))</f>
        <v/>
      </c>
      <c r="BF507" s="97" t="str">
        <f aca="false">IF($BZ507&lt;&gt;Constants!$B$8,"",IF($AL507,($AI507-Constants!$B$29)*Constants!$B$28,0))</f>
        <v/>
      </c>
      <c r="BG507" s="97" t="str">
        <f aca="false">IF($BZ507&lt;&gt;Constants!$B$8,"",IF($AK507,0,Constants!$B$15)+IF($AJ507,0,Constants!$B$16)+IF($AH507,0,Constants!$B$17))</f>
        <v/>
      </c>
      <c r="BH507" s="98" t="str">
        <f aca="false">IF($BZ507&lt;&gt;Constants!$B$8,"",Constants!$B$20+SUM($BC507:$BG507))</f>
        <v/>
      </c>
      <c r="BI507" s="97" t="str">
        <f aca="false">IF($BZ507&lt;&gt;Constants!$B$8,"",$BC507)</f>
        <v/>
      </c>
      <c r="BJ507" s="97" t="str">
        <f aca="false">IF($BZ507&lt;&gt;Constants!$B$8,"",$BD507)</f>
        <v/>
      </c>
      <c r="BK507" s="97" t="str">
        <f aca="false">IF($BZ507&lt;&gt;Constants!$B$8,"",IF($AL507,$AN507,""))</f>
        <v/>
      </c>
      <c r="BL507" s="99" t="str">
        <f aca="false">IF($BZ507&lt;&gt;Constants!$B$8,"",$AI507)</f>
        <v/>
      </c>
      <c r="BM507" s="93" t="str">
        <f aca="false">IF($BZ507&lt;&gt;Constants!$B$8,"",IF(OR($BT507&lt;$BH507,AND($BT507=$BH507,OR($BU507&lt;$BI507,AND($BU507=$BI507,OR($BV507&lt;$BJ507,AND($BV507=$BJ507,OR(AND(ISNUMBER($BW507),OR(NOT(ISNUMBER($BK507)),$BW507&lt;$BK507)),AND(OR(AND($BW507="",$BK507=""),AND(ISNUMBER($BW507),ISNUMBER($BK507),$BW507=$BK507)),$BX507&lt;$BL507)))))))),"-&gt;","&lt;-"))</f>
        <v/>
      </c>
      <c r="BN507" s="92" t="str">
        <f aca="false">IF(ISBLANK($C507),"",AND($AT507,OR($AU507="",$AV507="",AND($AW507,$AX507=""))))</f>
        <v/>
      </c>
      <c r="BO507" s="94" t="str">
        <f aca="false">IF($BZ507&lt;&gt;Constants!$B$8,"",IF($AT507,Constants!$B$21*$AV507+Constants!$B$22*IF($AW507,$AX507,Constants!$B$23),Constants!$B$24))</f>
        <v/>
      </c>
      <c r="BP507" s="97" t="str">
        <f aca="false">IF($BZ507&lt;&gt;Constants!$B$8,"",Constants!$B$25*ABS($AD$9-IF($AT507,$AU507,0)))</f>
        <v/>
      </c>
      <c r="BQ507" s="97" t="str">
        <f aca="false">IF($BZ507&lt;&gt;Constants!$B$8,"",IF(AND($AT507,$AY507,$AW507),Constants!$B$27,0))</f>
        <v/>
      </c>
      <c r="BR507" s="97" t="str">
        <f aca="false">IF($BZ507&lt;&gt;Constants!$B$8,"",IF($AT507,($AI507-Constants!$B$29)*Constants!$B$28,0))</f>
        <v/>
      </c>
      <c r="BS507" s="97" t="str">
        <f aca="false">IF($BZ507&lt;&gt;Constants!$B$8,"",IF($AS507,0,Constants!$B$15)+IF($AR507,0,Constants!$B$16)+IF($AH507,0,Constants!$B$17))</f>
        <v/>
      </c>
      <c r="BT507" s="98" t="str">
        <f aca="false">IF($BZ507&lt;&gt;Constants!$B$8,"",Constants!$B$20+SUM($BO507:$BS507))</f>
        <v/>
      </c>
      <c r="BU507" s="97" t="str">
        <f aca="false">IF($BZ507&lt;&gt;Constants!$B$8,"",$BO507)</f>
        <v/>
      </c>
      <c r="BV507" s="97" t="str">
        <f aca="false">IF($BZ507&lt;&gt;Constants!$B$8,"",$BP507)</f>
        <v/>
      </c>
      <c r="BW507" s="97" t="str">
        <f aca="false">IF($BZ507&lt;&gt;Constants!$B$8,"",IF($AT507,$AV507,""))</f>
        <v/>
      </c>
      <c r="BX507" s="99" t="str">
        <f aca="false">IF($BZ507&lt;&gt;Constants!$B$8,"",$AI507)</f>
        <v/>
      </c>
      <c r="BY507" s="93" t="str">
        <f aca="false">IF(ISBLANK($C507),"",IF(ISBLANK($D$7),$BY$5,IF(NOT(ISNUMBER($D$7)),$BY$6,"")))</f>
        <v/>
      </c>
      <c r="BZ507" s="93" t="str">
        <f aca="false">IF(ISBLANK($C507),"",IF($BA507,Constants!$B$11,IF(COUNTA($E507:$AA507)=0,Constants!$B$10,IF(NOT($AG507),Constants!$B$9,IF(OR($BY507&lt;&gt;"",$BB507,$BN507),Constants!$B$12,Constants!$B$8)))))</f>
        <v/>
      </c>
      <c r="CA507" s="93" t="str">
        <f aca="false">IF(ISBLANK($C507),"",IF($BZ507&lt;&gt;Constants!$B$8,$BZ507,Constants!$B$13))</f>
        <v/>
      </c>
      <c r="CB507" s="97" t="str">
        <f aca="false">IF($BZ507&lt;&gt;Constants!$B$8,"",IF($BM507="-&gt;",$BT507,$BH507))</f>
        <v/>
      </c>
      <c r="CC507" s="97" t="str">
        <f aca="false">IF($BZ507&lt;&gt;Constants!$B$8,"",IF($AF507,0,Constants!$B$18))</f>
        <v/>
      </c>
      <c r="CD507" s="97" t="str">
        <f aca="false">IF($BZ507&lt;&gt;Constants!$B$8,"",((Constants!$B$31-$AZ507)-Constants!$B$31)/Constants!$B$32)</f>
        <v/>
      </c>
      <c r="CE507" s="97" t="str">
        <f aca="false">IF(ISBLANK($C507),"",IF($BZ507&lt;&gt;Constants!$B$8,$BZ507,SUM($CB507:$CD507)))</f>
        <v/>
      </c>
      <c r="CF507" s="93" t="str">
        <f aca="false">IF(ISBLANK($C507),"",IF($BZ507&lt;&gt;Constants!$B$8,$BZ507,RANK($CE507,$CE$9:$CE$508,1)))</f>
        <v/>
      </c>
      <c r="CG507" s="97" t="str">
        <f aca="false">IF($BZ507&lt;&gt;Constants!$B$8,"",IF($BM507="-&gt;",$BU507,$BI507))</f>
        <v/>
      </c>
      <c r="CH507" s="93" t="str">
        <f aca="false">IF(ISBLANK($C507),"",IF($BZ507&lt;&gt;Constants!$B$8,$BZ507,IF(ISNUMBER($CG507),RANK($CG507,$CG$9:$CG$508,1),COUNT($CG$9:$CG$508)+1)))</f>
        <v/>
      </c>
      <c r="CI507" s="97" t="str">
        <f aca="false">IF($BZ507&lt;&gt;Constants!$B$8,"",IF($BM507="-&gt;",$BV507,$BJ507))</f>
        <v/>
      </c>
      <c r="CJ507" s="93" t="str">
        <f aca="false">IF(ISBLANK($C507),"",IF($BZ507&lt;&gt;Constants!$B$8,$BZ507,IF(ISNUMBER($CI507),RANK($CI507,$CI$9:$CI$508,1),COUNT($CI$9:$CI$508)+1)))</f>
        <v/>
      </c>
      <c r="CK507" s="97" t="str">
        <f aca="false">IF($BZ507&lt;&gt;Constants!$B$8,"",IF($BM507="-&gt;",$BW507,$BK507))</f>
        <v/>
      </c>
      <c r="CL507" s="93" t="str">
        <f aca="false">IF(ISBLANK($C507),"",IF($BZ507&lt;&gt;Constants!$B$8,$BZ507,IF(ISNUMBER($CK507),RANK($CK507,$CK$9:$CK$508,1),COUNT($CK$9:$CK$508)+1)))</f>
        <v/>
      </c>
      <c r="CM507" s="97" t="str">
        <f aca="false">IF($BZ507&lt;&gt;Constants!$B$8,"",IF(AND(NOT($AL507),NOT($AT507),$AJ507,$AK507,$AR507,$AS507),"",IF($BM507="-&gt;",$BX507,$BL507)))</f>
        <v/>
      </c>
      <c r="CN507" s="93" t="str">
        <f aca="false">IF(ISBLANK($C507),"",IF($BZ507&lt;&gt;Constants!$B$8,$BZ507,IF(ISNUMBER($CM507),RANK($CM507,$CM$9:$CM$508,1),COUNT($CM$9:$CM$508)+1)))</f>
        <v/>
      </c>
      <c r="CO507" s="93" t="str">
        <f aca="false">IF(ISBLANK($C507),"",IF($BZ507&lt;&gt;Constants!$B$8,$BZ507,COUNTIFS($CF$9:$CF$508,"&lt;"&amp;$CF507)+COUNTIFS($CF$9:$CF$508,$CF507,$CH$9:$CH$508,"&lt;"&amp;$CH507)+COUNTIFS($CF$9:$CF$508,$CF507,$CH$9:$CH$508,$CH507,$CJ$9:$CJ$508,"&lt;"&amp;$CJ507)+COUNTIFS($CF$9:$CF$508,$CF507,$CH$9:$CH$508,$CH507,$CJ$9:$CJ$508,$CJ507,$CL$9:$CL$508,"&lt;"&amp;$CL507)+COUNTIFS($CF$9:$CF$508,$CF507,$CH$9:$CH$508,$CH507,$CJ$9:$CJ$508,$CJ507,$CL$9:$CL$508,$CL507,$CN$9:$CN$508,"&lt;"&amp;$CN507)+1))</f>
        <v/>
      </c>
      <c r="CP507" s="93" t="str">
        <f aca="false">IF(ISBLANK($C507),"",IF($BZ507&lt;&gt;Constants!$B$8,$BZ507,$CF507-$CO507))</f>
        <v/>
      </c>
      <c r="CQ507" s="100"/>
      <c r="CR507" s="101"/>
      <c r="CS507" s="102" t="str">
        <f aca="false">IF(ISBLANK($C507),"",IF($BZ507=Constants!$B$12,$BY507,""))</f>
        <v/>
      </c>
      <c r="CT507" s="101" t="str">
        <f aca="false">IF(ISBLANK($C507),"",IF($BZ507&lt;&gt;Constants!$B$8,"",IF($BM507="-&gt;",2,1)))</f>
        <v/>
      </c>
      <c r="CU507" s="103" t="str">
        <f aca="false">IF(ISBLANK($C507),"",IF($BZ507&lt;&gt;Constants!$B$8,"",IF($BM507="-&gt;",$BO507,$BC507)))</f>
        <v/>
      </c>
      <c r="CV507" s="103" t="str">
        <f aca="false">IF(ISBLANK($C507),"",IF($BZ507&lt;&gt;Constants!$B$8,"",IF($BM507="-&gt;",$BP507,$BD507)))</f>
        <v/>
      </c>
      <c r="CW507" s="103" t="str">
        <f aca="false">IF(ISBLANK($C507),"",IF($BZ507&lt;&gt;Constants!$B$8,"",IF($BM507="-&gt;",$BQ507+$BR507,$BE507+$BF507)+$CD507))</f>
        <v/>
      </c>
      <c r="CX507" s="103" t="str">
        <f aca="false">IF(ISBLANK($C507),"",IF($BZ507&lt;&gt;Constants!$B$8,"",IF($BM507="-&gt;",$BS507,$BG507)+$CC507))</f>
        <v/>
      </c>
      <c r="CY507" s="104" t="str">
        <f aca="false">IF(ISBLANK($C507),"",IF($BZ507&lt;&gt;Constants!$B$8,$BZ507,$CE507))</f>
        <v/>
      </c>
      <c r="CZ507" s="105" t="str">
        <f aca="false">IF(ISBLANK($C507),"",$CA507)</f>
        <v/>
      </c>
      <c r="DA507" s="106" t="str">
        <f aca="false">IF(ISBLANK($C507),"",$CP507)</f>
        <v/>
      </c>
      <c r="DB507" s="106" t="str">
        <f aca="false">IF(ISBLANK($C507),"",$CO507)</f>
        <v/>
      </c>
      <c r="DC507" s="107" t="str">
        <f aca="false">IF(ISBLANK($C507),"",IFERROR(_xlfn.SWITCH($DB507,Constants!$B$11,COUNTA($C$9:$C$508)+2,Constants!$B$10,COUNTA($C$9:$C$508)+1,Constants!$B$9,COUNTA($C$9:$C$508)),$DB507))</f>
        <v/>
      </c>
      <c r="DD507" s="9"/>
      <c r="DE507" s="108" t="n">
        <f aca="false">IF(OR(ISNUMBER($DB507),$DB507=Constants!$B$11,$DB507=Constants!$B$9,$DB507=Constants!$B$10),1,0)</f>
        <v>0</v>
      </c>
      <c r="DF507" s="108" t="n">
        <v>499</v>
      </c>
      <c r="DG507" s="108" t="str">
        <f aca="false">IF(ISBLANK($C507),"",IF(ISNUMBER($DC507),$DC507+ROW($B507)/1000,""))</f>
        <v/>
      </c>
      <c r="DH507" s="108" t="str">
        <f aca="false">IF(ISNUMBER($DG507),RANK($DG507,$DG$9:$DG$508,1),"")</f>
        <v/>
      </c>
      <c r="DI507" s="108" t="str">
        <f aca="false">IF(ISBLANK($C507),"",$B507)</f>
        <v/>
      </c>
      <c r="DJ507" s="108" t="str">
        <f aca="false">IF(ISBLANK($C507),"",$C507)</f>
        <v/>
      </c>
      <c r="DK507" s="108" t="str">
        <f aca="false">IF(ISBLANK($C507),"",$D507)</f>
        <v/>
      </c>
      <c r="DL507" s="109" t="str">
        <f aca="false">$CZ507</f>
        <v/>
      </c>
      <c r="DM507" s="110" t="str">
        <f aca="false">$CY507</f>
        <v/>
      </c>
      <c r="DN507" s="108" t="str">
        <f aca="false">IF(ISBLANK($C507),"",$DB507)</f>
        <v/>
      </c>
      <c r="DO507" s="111" t="str">
        <f aca="false">IF($DF507&gt;$DE$8,"",VLOOKUP($DF507,$DH$9:$DN$508,7,FALSE()))</f>
        <v/>
      </c>
      <c r="DP507" s="112" t="str">
        <f aca="false">IF($DF507&gt;$DE$8,"",VLOOKUP($DF507,$DH$9:$DN$508,2,FALSE()))</f>
        <v/>
      </c>
      <c r="DQ507" s="112" t="str">
        <f aca="false">IF($DF507&gt;$DE$8,"",VLOOKUP($DF507,$DH$9:$DN$508,3,FALSE()))</f>
        <v/>
      </c>
      <c r="DR507" s="112" t="str">
        <f aca="false">IF($DF507&gt;$DE$8,"",VLOOKUP($DF507,$DH$9:$DN$508,4,FALSE()))</f>
        <v/>
      </c>
      <c r="DS507" s="112" t="str">
        <f aca="false">IF($DF507&gt;$DE$8,"",VLOOKUP($DF507,$DH$9:$DN$508,5,FALSE()))</f>
        <v/>
      </c>
      <c r="DT507" s="113" t="str">
        <f aca="false">IF($DF507&gt;$DE$8,"",VLOOKUP($DF507,$DH$9:$DN$508,6,FALSE()))</f>
        <v/>
      </c>
      <c r="DU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IF(ISBLANK($C508),"",IF(E508=Constants!$B$3,TRUE(),IF(E508=Constants!$B$4,FALSE(),TRUE())))</f>
        <v/>
      </c>
      <c r="AG508" s="93" t="str">
        <f aca="false">IF(ISBLANK($C508),"",IF(F508=Constants!$B$3,TRUE(),IF(F508=Constants!$B$4,FALSE(),TRUE())))</f>
        <v/>
      </c>
      <c r="AH508" s="93" t="str">
        <f aca="false">IF(ISBLANK($C508),"",IF(G508=Constants!$B$3,TRUE(),IF(G508=Constants!$B$4,FALSE(),TRUE())))</f>
        <v/>
      </c>
      <c r="AI508" s="93" t="str">
        <f aca="false">IF(ISBLANK($C508),"",IF(AND(ISNUMBER(H508),H508&gt;=0),H508,Constants!$B$29))</f>
        <v/>
      </c>
      <c r="AJ508" s="93" t="str">
        <f aca="false">IF(ISBLANK($C508),"",IF(I508=Constants!$B$3,TRUE(),IF(I508=Constants!$B$4,FALSE(),TRUE())))</f>
        <v/>
      </c>
      <c r="AK508" s="93" t="str">
        <f aca="false">IF(ISBLANK($C508),"",IF(J508=Constants!$B$3,TRUE(),IF(J508=Constants!$B$4,FALSE(),TRUE())))</f>
        <v/>
      </c>
      <c r="AL508" s="93" t="str">
        <f aca="false">IF(ISBLANK($C508),"",IF(K508=Constants!$B$5,TRUE(),IF(K508=Constants!$B$6,FALSE(),COUNTA(L508:P508)&gt;0)))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IF(ISBLANK($C508),"",IF(N508=Constants!$B$3,TRUE(),IF(N508=Constants!$B$4,FALSE(),TRUE())))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IF(ISBLANK($C508),"",IF(P508=Constants!$B$3,TRUE(),IF(P508=Constants!$B$4,FALSE(),FALSE())))</f>
        <v/>
      </c>
      <c r="AR508" s="93" t="str">
        <f aca="false">IF(ISBLANK($C508),"",IF(Q508=Constants!$B$3,TRUE(),IF(Q508=Constants!$B$4,FALSE(),TRUE())))</f>
        <v/>
      </c>
      <c r="AS508" s="93" t="str">
        <f aca="false">IF(ISBLANK($C508),"",IF(R508=Constants!$B$3,TRUE(),IF(R508=Constants!$B$4,FALSE(),TRUE())))</f>
        <v/>
      </c>
      <c r="AT508" s="93" t="str">
        <f aca="false">IF(ISBLANK($C508),"",IF(S508=Constants!$B$5,TRUE(),IF(S508=Constants!$B$6,FALSE(),COUNTA(T508:X508)&gt;0)))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IF(ISBLANK($C508),"",IF(V508=Constants!$B$3,TRUE(),IF(V508=Constants!$B$4,FALSE(),TRUE())))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IF(ISBLANK($C508),"",IF(X508=Constants!$B$3,TRUE(),IF(X508=Constants!$B$4,FALSE(),FALSE())))</f>
        <v/>
      </c>
      <c r="AZ508" s="93" t="str">
        <f aca="false">IF(ISBLANK($C508),"",MIN(Constants!$B$31,MAX(0,IF(ISNUMBER(Y508),Y508*60,0)+IF(ISNUMBER(Z508),Z508,0))))</f>
        <v/>
      </c>
      <c r="BA508" s="93" t="str">
        <f aca="false">IF(ISBLANK($C508),"",IF(AA508=Constants!$B$3,TRUE(),IF(AA508=Constants!$B$4,FALSE(),FALSE())))</f>
        <v/>
      </c>
      <c r="BB508" s="92" t="str">
        <f aca="false">IF(ISBLANK($C508),"",AND($AL508,OR($AM508="",$AN508="",AND($AO508,$AP508=""))))</f>
        <v/>
      </c>
      <c r="BC508" s="94" t="str">
        <f aca="false">IF($BZ508&lt;&gt;Constants!$B$8,"",IF($AL508,Constants!$B$21*$AN508+Constants!$B$22*IF($AO508,$AP508,Constants!$B$23),Constants!$B$24))</f>
        <v/>
      </c>
      <c r="BD508" s="97" t="str">
        <f aca="false">IF($BZ508&lt;&gt;Constants!$B$8,"",Constants!$B$25*ABS($AD$9-IF($AL508,$AM508,0)))</f>
        <v/>
      </c>
      <c r="BE508" s="97" t="str">
        <f aca="false">IF($BZ508&lt;&gt;Constants!$B$8,"",IF(AND($AL508,$AQ508,$AO508),Constants!$B$27,0))</f>
        <v/>
      </c>
      <c r="BF508" s="97" t="str">
        <f aca="false">IF($BZ508&lt;&gt;Constants!$B$8,"",IF($AL508,($AI508-Constants!$B$29)*Constants!$B$28,0))</f>
        <v/>
      </c>
      <c r="BG508" s="97" t="str">
        <f aca="false">IF($BZ508&lt;&gt;Constants!$B$8,"",IF($AK508,0,Constants!$B$15)+IF($AJ508,0,Constants!$B$16)+IF($AH508,0,Constants!$B$17))</f>
        <v/>
      </c>
      <c r="BH508" s="98" t="str">
        <f aca="false">IF($BZ508&lt;&gt;Constants!$B$8,"",Constants!$B$20+SUM($BC508:$BG508))</f>
        <v/>
      </c>
      <c r="BI508" s="97" t="str">
        <f aca="false">IF($BZ508&lt;&gt;Constants!$B$8,"",$BC508)</f>
        <v/>
      </c>
      <c r="BJ508" s="97" t="str">
        <f aca="false">IF($BZ508&lt;&gt;Constants!$B$8,"",$BD508)</f>
        <v/>
      </c>
      <c r="BK508" s="97" t="str">
        <f aca="false">IF($BZ508&lt;&gt;Constants!$B$8,"",IF($AL508,$AN508,""))</f>
        <v/>
      </c>
      <c r="BL508" s="99" t="str">
        <f aca="false">IF($BZ508&lt;&gt;Constants!$B$8,"",$AI508)</f>
        <v/>
      </c>
      <c r="BM508" s="93" t="str">
        <f aca="false">IF($BZ508&lt;&gt;Constants!$B$8,"",IF(OR($BT508&lt;$BH508,AND($BT508=$BH508,OR($BU508&lt;$BI508,AND($BU508=$BI508,OR($BV508&lt;$BJ508,AND($BV508=$BJ508,OR(AND(ISNUMBER($BW508),OR(NOT(ISNUMBER($BK508)),$BW508&lt;$BK508)),AND(OR(AND($BW508="",$BK508=""),AND(ISNUMBER($BW508),ISNUMBER($BK508),$BW508=$BK508)),$BX508&lt;$BL508)))))))),"-&gt;","&lt;-"))</f>
        <v/>
      </c>
      <c r="BN508" s="92" t="str">
        <f aca="false">IF(ISBLANK($C508),"",AND($AT508,OR($AU508="",$AV508="",AND($AW508,$AX508=""))))</f>
        <v/>
      </c>
      <c r="BO508" s="94" t="str">
        <f aca="false">IF($BZ508&lt;&gt;Constants!$B$8,"",IF($AT508,Constants!$B$21*$AV508+Constants!$B$22*IF($AW508,$AX508,Constants!$B$23),Constants!$B$24))</f>
        <v/>
      </c>
      <c r="BP508" s="97" t="str">
        <f aca="false">IF($BZ508&lt;&gt;Constants!$B$8,"",Constants!$B$25*ABS($AD$9-IF($AT508,$AU508,0)))</f>
        <v/>
      </c>
      <c r="BQ508" s="97" t="str">
        <f aca="false">IF($BZ508&lt;&gt;Constants!$B$8,"",IF(AND($AT508,$AY508,$AW508),Constants!$B$27,0))</f>
        <v/>
      </c>
      <c r="BR508" s="97" t="str">
        <f aca="false">IF($BZ508&lt;&gt;Constants!$B$8,"",IF($AT508,($AI508-Constants!$B$29)*Constants!$B$28,0))</f>
        <v/>
      </c>
      <c r="BS508" s="97" t="str">
        <f aca="false">IF($BZ508&lt;&gt;Constants!$B$8,"",IF($AS508,0,Constants!$B$15)+IF($AR508,0,Constants!$B$16)+IF($AH508,0,Constants!$B$17))</f>
        <v/>
      </c>
      <c r="BT508" s="98" t="str">
        <f aca="false">IF($BZ508&lt;&gt;Constants!$B$8,"",Constants!$B$20+SUM($BO508:$BS508))</f>
        <v/>
      </c>
      <c r="BU508" s="97" t="str">
        <f aca="false">IF($BZ508&lt;&gt;Constants!$B$8,"",$BO508)</f>
        <v/>
      </c>
      <c r="BV508" s="97" t="str">
        <f aca="false">IF($BZ508&lt;&gt;Constants!$B$8,"",$BP508)</f>
        <v/>
      </c>
      <c r="BW508" s="97" t="str">
        <f aca="false">IF($BZ508&lt;&gt;Constants!$B$8,"",IF($AT508,$AV508,""))</f>
        <v/>
      </c>
      <c r="BX508" s="99" t="str">
        <f aca="false">IF($BZ508&lt;&gt;Constants!$B$8,"",$AI508)</f>
        <v/>
      </c>
      <c r="BY508" s="93" t="str">
        <f aca="false">IF(ISBLANK($C508),"",IF(ISBLANK($D$7),$BY$5,IF(NOT(ISNUMBER($D$7)),$BY$6,"")))</f>
        <v/>
      </c>
      <c r="BZ508" s="93" t="str">
        <f aca="false">IF(ISBLANK($C508),"",IF($BA508,Constants!$B$11,IF(COUNTA($E508:$AA508)=0,Constants!$B$10,IF(NOT($AG508),Constants!$B$9,IF(OR($BY508&lt;&gt;"",$BB508,$BN508),Constants!$B$12,Constants!$B$8)))))</f>
        <v/>
      </c>
      <c r="CA508" s="93" t="str">
        <f aca="false">IF(ISBLANK($C508),"",IF($BZ508&lt;&gt;Constants!$B$8,$BZ508,Constants!$B$13))</f>
        <v/>
      </c>
      <c r="CB508" s="97" t="str">
        <f aca="false">IF($BZ508&lt;&gt;Constants!$B$8,"",IF($BM508="-&gt;",$BT508,$BH508))</f>
        <v/>
      </c>
      <c r="CC508" s="97" t="str">
        <f aca="false">IF($BZ508&lt;&gt;Constants!$B$8,"",IF($AF508,0,Constants!$B$18))</f>
        <v/>
      </c>
      <c r="CD508" s="97" t="str">
        <f aca="false">IF($BZ508&lt;&gt;Constants!$B$8,"",((Constants!$B$31-$AZ508)-Constants!$B$31)/Constants!$B$32)</f>
        <v/>
      </c>
      <c r="CE508" s="97" t="str">
        <f aca="false">IF(ISBLANK($C508),"",IF($BZ508&lt;&gt;Constants!$B$8,$BZ508,SUM($CB508:$CD508)))</f>
        <v/>
      </c>
      <c r="CF508" s="93" t="str">
        <f aca="false">IF(ISBLANK($C508),"",IF($BZ508&lt;&gt;Constants!$B$8,$BZ508,RANK($CE508,$CE$9:$CE$508,1)))</f>
        <v/>
      </c>
      <c r="CG508" s="97" t="str">
        <f aca="false">IF($BZ508&lt;&gt;Constants!$B$8,"",IF($BM508="-&gt;",$BU508,$BI508))</f>
        <v/>
      </c>
      <c r="CH508" s="93" t="str">
        <f aca="false">IF(ISBLANK($C508),"",IF($BZ508&lt;&gt;Constants!$B$8,$BZ508,IF(ISNUMBER($CG508),RANK($CG508,$CG$9:$CG$508,1),COUNT($CG$9:$CG$508)+1)))</f>
        <v/>
      </c>
      <c r="CI508" s="97" t="str">
        <f aca="false">IF($BZ508&lt;&gt;Constants!$B$8,"",IF($BM508="-&gt;",$BV508,$BJ508))</f>
        <v/>
      </c>
      <c r="CJ508" s="93" t="str">
        <f aca="false">IF(ISBLANK($C508),"",IF($BZ508&lt;&gt;Constants!$B$8,$BZ508,IF(ISNUMBER($CI508),RANK($CI508,$CI$9:$CI$508,1),COUNT($CI$9:$CI$508)+1)))</f>
        <v/>
      </c>
      <c r="CK508" s="97" t="str">
        <f aca="false">IF($BZ508&lt;&gt;Constants!$B$8,"",IF($BM508="-&gt;",$BW508,$BK508))</f>
        <v/>
      </c>
      <c r="CL508" s="93" t="str">
        <f aca="false">IF(ISBLANK($C508),"",IF($BZ508&lt;&gt;Constants!$B$8,$BZ508,IF(ISNUMBER($CK508),RANK($CK508,$CK$9:$CK$508,1),COUNT($CK$9:$CK$508)+1)))</f>
        <v/>
      </c>
      <c r="CM508" s="97" t="str">
        <f aca="false">IF($BZ508&lt;&gt;Constants!$B$8,"",IF(AND(NOT($AL508),NOT($AT508),$AJ508,$AK508,$AR508,$AS508),"",IF($BM508="-&gt;",$BX508,$BL508)))</f>
        <v/>
      </c>
      <c r="CN508" s="93" t="str">
        <f aca="false">IF(ISBLANK($C508),"",IF($BZ508&lt;&gt;Constants!$B$8,$BZ508,IF(ISNUMBER($CM508),RANK($CM508,$CM$9:$CM$508,1),COUNT($CM$9:$CM$508)+1)))</f>
        <v/>
      </c>
      <c r="CO508" s="93" t="str">
        <f aca="false">IF(ISBLANK($C508),"",IF($BZ508&lt;&gt;Constants!$B$8,$BZ508,COUNTIFS($CF$9:$CF$508,"&lt;"&amp;$CF508)+COUNTIFS($CF$9:$CF$508,$CF508,$CH$9:$CH$508,"&lt;"&amp;$CH508)+COUNTIFS($CF$9:$CF$508,$CF508,$CH$9:$CH$508,$CH508,$CJ$9:$CJ$508,"&lt;"&amp;$CJ508)+COUNTIFS($CF$9:$CF$508,$CF508,$CH$9:$CH$508,$CH508,$CJ$9:$CJ$508,$CJ508,$CL$9:$CL$508,"&lt;"&amp;$CL508)+COUNTIFS($CF$9:$CF$508,$CF508,$CH$9:$CH$508,$CH508,$CJ$9:$CJ$508,$CJ508,$CL$9:$CL$508,$CL508,$CN$9:$CN$508,"&lt;"&amp;$CN508)+1))</f>
        <v/>
      </c>
      <c r="CP508" s="93" t="str">
        <f aca="false">IF(ISBLANK($C508),"",IF($BZ508&lt;&gt;Constants!$B$8,$BZ508,$CF508-$CO508))</f>
        <v/>
      </c>
      <c r="CQ508" s="100"/>
      <c r="CR508" s="101"/>
      <c r="CS508" s="102" t="str">
        <f aca="false">IF(ISBLANK($C508),"",IF($BZ508=Constants!$B$12,$BY508,""))</f>
        <v/>
      </c>
      <c r="CT508" s="101" t="str">
        <f aca="false">IF(ISBLANK($C508),"",IF($BZ508&lt;&gt;Constants!$B$8,"",IF($BM508="-&gt;",2,1)))</f>
        <v/>
      </c>
      <c r="CU508" s="103" t="str">
        <f aca="false">IF(ISBLANK($C508),"",IF($BZ508&lt;&gt;Constants!$B$8,"",IF($BM508="-&gt;",$BO508,$BC508)))</f>
        <v/>
      </c>
      <c r="CV508" s="103" t="str">
        <f aca="false">IF(ISBLANK($C508),"",IF($BZ508&lt;&gt;Constants!$B$8,"",IF($BM508="-&gt;",$BP508,$BD508)))</f>
        <v/>
      </c>
      <c r="CW508" s="103" t="str">
        <f aca="false">IF(ISBLANK($C508),"",IF($BZ508&lt;&gt;Constants!$B$8,"",IF($BM508="-&gt;",$BQ508+$BR508,$BE508+$BF508)+$CD508))</f>
        <v/>
      </c>
      <c r="CX508" s="103" t="str">
        <f aca="false">IF(ISBLANK($C508),"",IF($BZ508&lt;&gt;Constants!$B$8,"",IF($BM508="-&gt;",$BS508,$BG508)+$CC508))</f>
        <v/>
      </c>
      <c r="CY508" s="104" t="str">
        <f aca="false">IF(ISBLANK($C508),"",IF($BZ508&lt;&gt;Constants!$B$8,$BZ508,$CE508))</f>
        <v/>
      </c>
      <c r="CZ508" s="105" t="str">
        <f aca="false">IF(ISBLANK($C508),"",$CA508)</f>
        <v/>
      </c>
      <c r="DA508" s="106" t="str">
        <f aca="false">IF(ISBLANK($C508),"",$CP508)</f>
        <v/>
      </c>
      <c r="DB508" s="106" t="str">
        <f aca="false">IF(ISBLANK($C508),"",$CO508)</f>
        <v/>
      </c>
      <c r="DC508" s="107" t="str">
        <f aca="false">IF(ISBLANK($C508),"",IFERROR(_xlfn.SWITCH($DB508,Constants!$B$11,COUNTA($C$9:$C$508)+2,Constants!$B$10,COUNTA($C$9:$C$508)+1,Constants!$B$9,COUNTA($C$9:$C$508)),$DB508))</f>
        <v/>
      </c>
      <c r="DD508" s="9"/>
      <c r="DE508" s="108" t="n">
        <f aca="false">IF(OR(ISNUMBER($DB508),$DB508=Constants!$B$11,$DB508=Constants!$B$9,$DB508=Constants!$B$10),1,0)</f>
        <v>0</v>
      </c>
      <c r="DF508" s="108" t="n">
        <v>500</v>
      </c>
      <c r="DG508" s="108" t="str">
        <f aca="false">IF(ISBLANK($C508),"",IF(ISNUMBER($DC508),$DC508+ROW($B508)/1000,""))</f>
        <v/>
      </c>
      <c r="DH508" s="108" t="str">
        <f aca="false">IF(ISNUMBER($DG508),RANK($DG508,$DG$9:$DG$508,1),"")</f>
        <v/>
      </c>
      <c r="DI508" s="108" t="str">
        <f aca="false">IF(ISBLANK($C508),"",$B508)</f>
        <v/>
      </c>
      <c r="DJ508" s="108" t="str">
        <f aca="false">IF(ISBLANK($C508),"",$C508)</f>
        <v/>
      </c>
      <c r="DK508" s="108" t="str">
        <f aca="false">IF(ISBLANK($C508),"",$D508)</f>
        <v/>
      </c>
      <c r="DL508" s="109" t="str">
        <f aca="false">$CZ508</f>
        <v/>
      </c>
      <c r="DM508" s="110" t="str">
        <f aca="false">$CY508</f>
        <v/>
      </c>
      <c r="DN508" s="108" t="str">
        <f aca="false">IF(ISBLANK($C508),"",$DB508)</f>
        <v/>
      </c>
      <c r="DO508" s="111" t="str">
        <f aca="false">IF($DF508&gt;$DE$8,"",VLOOKUP($DF508,$DH$9:$DN$508,7,FALSE()))</f>
        <v/>
      </c>
      <c r="DP508" s="112" t="str">
        <f aca="false">IF($DF508&gt;$DE$8,"",VLOOKUP($DF508,$DH$9:$DN$508,2,FALSE()))</f>
        <v/>
      </c>
      <c r="DQ508" s="112" t="str">
        <f aca="false">IF($DF508&gt;$DE$8,"",VLOOKUP($DF508,$DH$9:$DN$508,3,FALSE()))</f>
        <v/>
      </c>
      <c r="DR508" s="112" t="str">
        <f aca="false">IF($DF508&gt;$DE$8,"",VLOOKUP($DF508,$DH$9:$DN$508,4,FALSE()))</f>
        <v/>
      </c>
      <c r="DS508" s="112" t="str">
        <f aca="false">IF($DF508&gt;$DE$8,"",VLOOKUP($DF508,$DH$9:$DN$508,5,FALSE()))</f>
        <v/>
      </c>
      <c r="DT508" s="113" t="str">
        <f aca="false">IF($DF508&gt;$DE$8,"",VLOOKUP($DF508,$DH$9:$DN$508,6,FALSE()))</f>
        <v/>
      </c>
      <c r="DU508" s="76"/>
    </row>
    <row r="1048576" customFormat="false" ht="12.8" hidden="false" customHeight="true" outlineLevel="0" collapsed="false"/>
  </sheetData>
  <mergeCells count="116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Q2:CQ6"/>
    <mergeCell ref="CT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L3"/>
    <mergeCell ref="BM3:BM8"/>
    <mergeCell ref="BN3:BX3"/>
    <mergeCell ref="CA3:CE3"/>
    <mergeCell ref="CR3:CR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L4:BL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W4:BW8"/>
    <mergeCell ref="BX4:BX8"/>
    <mergeCell ref="B5:D5"/>
    <mergeCell ref="B6:D6"/>
    <mergeCell ref="B7:C7"/>
    <mergeCell ref="CG7:CN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AND(P9=Constants!$B$3,N9=Constants!$B$4)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S9:CS508">
    <cfRule type="expression" priority="6" aboveAverage="0" equalAverage="0" bottom="0" percent="0" rank="0" text="" dxfId="3">
      <formula>LEN(TRIM(CS9))&gt;0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AND($BZ9=Constants!$B$12,$BB9=TRUE(),AM9="")</formula>
    </cfRule>
  </conditionalFormatting>
  <conditionalFormatting sqref="O9:O508">
    <cfRule type="expression" priority="11" aboveAverage="0" equalAverage="0" bottom="0" percent="0" rank="0" text="" dxfId="1">
      <formula>AND($BZ9=Constants!$B$12,$BB9=TRUE(),AND($AO9,AP9=""))</formula>
    </cfRule>
  </conditionalFormatting>
  <conditionalFormatting sqref="T9:U508">
    <cfRule type="expression" priority="12" aboveAverage="0" equalAverage="0" bottom="0" percent="0" rank="0" text="" dxfId="1">
      <formula>AND($BZ9=Constants!$B$12,$BN9=TRUE(),AU9="")</formula>
    </cfRule>
  </conditionalFormatting>
  <conditionalFormatting sqref="W9:W508">
    <cfRule type="expression" priority="13" aboveAverage="0" equalAverage="0" bottom="0" percent="0" rank="0" text="" dxfId="1">
      <formula>AND($BZ9=Constants!$B$12,$BN9=TRUE(),AND($AW9,AX9=""))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IF(ISBLANK($D$8), "", IF(NOT(ISNUMBER($D$8)),   0, IF($D$8&lt;Constants!$B$34,   0, IF($D$8&gt;Constants!$B$35,   0,   MOD($D$8,Constants!$B$36)=0 ))))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94</v>
      </c>
      <c r="B1" s="182" t="s">
        <v>95</v>
      </c>
    </row>
    <row r="2" customFormat="false" ht="15.75" hidden="false" customHeight="false" outlineLevel="0" collapsed="false">
      <c r="A2" s="67" t="s">
        <v>96</v>
      </c>
    </row>
    <row r="3" customFormat="false" ht="15.75" hidden="false" customHeight="false" outlineLevel="0" collapsed="false">
      <c r="A3" s="182" t="b">
        <f aca="false">TRUE()</f>
        <v>1</v>
      </c>
      <c r="B3" s="182" t="s">
        <v>92</v>
      </c>
    </row>
    <row r="4" customFormat="false" ht="15.75" hidden="false" customHeight="false" outlineLevel="0" collapsed="false">
      <c r="A4" s="182" t="b">
        <f aca="false">FALSE()</f>
        <v>0</v>
      </c>
      <c r="B4" s="182" t="s">
        <v>97</v>
      </c>
    </row>
    <row r="5" customFormat="false" ht="15.75" hidden="false" customHeight="false" outlineLevel="0" collapsed="false">
      <c r="A5" s="182" t="s">
        <v>98</v>
      </c>
      <c r="B5" s="182" t="s">
        <v>93</v>
      </c>
    </row>
    <row r="6" customFormat="false" ht="15.75" hidden="false" customHeight="false" outlineLevel="0" collapsed="false">
      <c r="A6" s="182" t="s">
        <v>99</v>
      </c>
      <c r="B6" s="182" t="s">
        <v>100</v>
      </c>
    </row>
    <row r="7" customFormat="false" ht="15.75" hidden="false" customHeight="false" outlineLevel="0" collapsed="false">
      <c r="A7" s="67" t="s">
        <v>74</v>
      </c>
    </row>
    <row r="8" customFormat="false" ht="15.75" hidden="false" customHeight="false" outlineLevel="0" collapsed="false">
      <c r="A8" s="182" t="s">
        <v>101</v>
      </c>
      <c r="B8" s="182" t="s">
        <v>102</v>
      </c>
    </row>
    <row r="9" customFormat="false" ht="15.75" hidden="false" customHeight="false" outlineLevel="0" collapsed="false">
      <c r="A9" s="182" t="s">
        <v>103</v>
      </c>
      <c r="B9" s="182" t="s">
        <v>104</v>
      </c>
    </row>
    <row r="10" customFormat="false" ht="15.75" hidden="false" customHeight="false" outlineLevel="0" collapsed="false">
      <c r="A10" s="182" t="s">
        <v>105</v>
      </c>
      <c r="B10" s="182" t="s">
        <v>106</v>
      </c>
    </row>
    <row r="11" customFormat="false" ht="15.75" hidden="false" customHeight="false" outlineLevel="0" collapsed="false">
      <c r="A11" s="182" t="s">
        <v>107</v>
      </c>
      <c r="B11" s="182" t="s">
        <v>108</v>
      </c>
    </row>
    <row r="12" customFormat="false" ht="15.75" hidden="false" customHeight="false" outlineLevel="0" collapsed="false">
      <c r="A12" s="182" t="s">
        <v>109</v>
      </c>
      <c r="B12" s="182" t="s">
        <v>110</v>
      </c>
    </row>
    <row r="13" customFormat="false" ht="15.75" hidden="false" customHeight="false" outlineLevel="0" collapsed="false">
      <c r="A13" s="182" t="s">
        <v>111</v>
      </c>
      <c r="B13" s="182" t="n">
        <v>1</v>
      </c>
    </row>
    <row r="14" customFormat="false" ht="15.75" hidden="false" customHeight="false" outlineLevel="0" collapsed="false">
      <c r="A14" s="67" t="s">
        <v>112</v>
      </c>
    </row>
    <row r="15" customFormat="false" ht="15.75" hidden="false" customHeight="false" outlineLevel="0" collapsed="false">
      <c r="A15" s="182" t="s">
        <v>113</v>
      </c>
      <c r="B15" s="182" t="n">
        <v>150</v>
      </c>
    </row>
    <row r="16" customFormat="false" ht="15.75" hidden="false" customHeight="false" outlineLevel="0" collapsed="false">
      <c r="A16" s="182" t="s">
        <v>114</v>
      </c>
      <c r="B16" s="182" t="n">
        <v>300</v>
      </c>
    </row>
    <row r="17" customFormat="false" ht="15.75" hidden="false" customHeight="false" outlineLevel="0" collapsed="false">
      <c r="A17" s="182" t="s">
        <v>115</v>
      </c>
      <c r="B17" s="182" t="n">
        <v>50</v>
      </c>
    </row>
    <row r="18" customFormat="false" ht="15.75" hidden="false" customHeight="false" outlineLevel="0" collapsed="false">
      <c r="A18" s="182" t="s">
        <v>116</v>
      </c>
      <c r="B18" s="182" t="n">
        <v>5000</v>
      </c>
    </row>
    <row r="19" customFormat="false" ht="15.75" hidden="false" customHeight="false" outlineLevel="0" collapsed="false">
      <c r="A19" s="67" t="s">
        <v>57</v>
      </c>
    </row>
    <row r="20" customFormat="false" ht="15.75" hidden="false" customHeight="false" outlineLevel="0" collapsed="false">
      <c r="A20" s="182" t="s">
        <v>117</v>
      </c>
      <c r="B20" s="182" t="n">
        <v>100</v>
      </c>
    </row>
    <row r="21" customFormat="false" ht="15.75" hidden="false" customHeight="false" outlineLevel="0" collapsed="false">
      <c r="A21" s="182" t="s">
        <v>118</v>
      </c>
      <c r="B21" s="182" t="n">
        <v>2</v>
      </c>
    </row>
    <row r="22" customFormat="false" ht="15.75" hidden="false" customHeight="false" outlineLevel="0" collapsed="false">
      <c r="A22" s="182" t="s">
        <v>119</v>
      </c>
      <c r="B22" s="182" t="n">
        <v>1</v>
      </c>
    </row>
    <row r="23" customFormat="false" ht="15.75" hidden="false" customHeight="false" outlineLevel="0" collapsed="false">
      <c r="A23" s="182" t="s">
        <v>120</v>
      </c>
      <c r="B23" s="182" t="n">
        <v>400</v>
      </c>
    </row>
    <row r="24" customFormat="false" ht="15.75" hidden="false" customHeight="false" outlineLevel="0" collapsed="false">
      <c r="A24" s="182" t="s">
        <v>121</v>
      </c>
      <c r="B24" s="182" t="n">
        <v>2500</v>
      </c>
    </row>
    <row r="25" customFormat="false" ht="15.75" hidden="false" customHeight="false" outlineLevel="0" collapsed="false">
      <c r="A25" s="182" t="s">
        <v>122</v>
      </c>
      <c r="B25" s="182" t="n">
        <v>0.5</v>
      </c>
    </row>
    <row r="26" customFormat="false" ht="15.75" hidden="false" customHeight="false" outlineLevel="0" collapsed="false">
      <c r="A26" s="67" t="s">
        <v>123</v>
      </c>
    </row>
    <row r="27" customFormat="false" ht="15.75" hidden="false" customHeight="false" outlineLevel="0" collapsed="false">
      <c r="A27" s="182" t="s">
        <v>54</v>
      </c>
      <c r="B27" s="182" t="n">
        <v>-20</v>
      </c>
    </row>
    <row r="28" customFormat="false" ht="15.75" hidden="false" customHeight="false" outlineLevel="0" collapsed="false">
      <c r="A28" s="182" t="s">
        <v>124</v>
      </c>
      <c r="B28" s="182" t="n">
        <v>1.5</v>
      </c>
    </row>
    <row r="29" customFormat="false" ht="15.75" hidden="false" customHeight="false" outlineLevel="0" collapsed="false">
      <c r="A29" s="182" t="s">
        <v>125</v>
      </c>
      <c r="B29" s="182" t="n">
        <v>35</v>
      </c>
    </row>
    <row r="30" customFormat="false" ht="15.75" hidden="false" customHeight="false" outlineLevel="0" collapsed="false">
      <c r="A30" s="67" t="s">
        <v>1</v>
      </c>
    </row>
    <row r="31" customFormat="false" ht="15.75" hidden="false" customHeight="false" outlineLevel="0" collapsed="false">
      <c r="A31" s="182" t="s">
        <v>126</v>
      </c>
      <c r="B31" s="182" t="n">
        <f aca="false">8*60</f>
        <v>480</v>
      </c>
    </row>
    <row r="32" customFormat="false" ht="15.75" hidden="false" customHeight="false" outlineLevel="0" collapsed="false">
      <c r="A32" s="182" t="s">
        <v>127</v>
      </c>
      <c r="B32" s="182" t="n">
        <v>30</v>
      </c>
    </row>
    <row r="33" customFormat="false" ht="15.75" hidden="false" customHeight="false" outlineLevel="0" collapsed="false">
      <c r="A33" s="67" t="s">
        <v>128</v>
      </c>
    </row>
    <row r="34" customFormat="false" ht="15.75" hidden="false" customHeight="false" outlineLevel="0" collapsed="false">
      <c r="A34" s="182" t="s">
        <v>129</v>
      </c>
      <c r="B34" s="182" t="n">
        <v>10</v>
      </c>
    </row>
    <row r="35" customFormat="false" ht="15.75" hidden="false" customHeight="false" outlineLevel="0" collapsed="false">
      <c r="A35" s="182" t="s">
        <v>130</v>
      </c>
      <c r="B35" s="182" t="n">
        <v>20</v>
      </c>
    </row>
    <row r="36" customFormat="false" ht="15.75" hidden="false" customHeight="false" outlineLevel="0" collapsed="false">
      <c r="A36" s="182" t="s">
        <v>131</v>
      </c>
      <c r="B36" s="182" t="n">
        <v>0.5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74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str">
        <f aca="false">ExportRaw!$C2</f>
        <v>c</v>
      </c>
      <c r="C2" s="184" t="n">
        <f aca="false">ExportRaw!$G2</f>
        <v>0</v>
      </c>
      <c r="D2" s="184" t="str">
        <f aca="false">ExportRaw!$E2</f>
        <v>C</v>
      </c>
      <c r="E2" s="185" t="n">
        <f aca="false">ExportRaw!$D2</f>
        <v>132.5</v>
      </c>
      <c r="F2" s="184" t="n">
        <f aca="false">ExportRaw!$H2</f>
        <v>0</v>
      </c>
      <c r="G2" s="186" t="n">
        <f aca="false">ExportRaw!$I2</f>
        <v>1</v>
      </c>
      <c r="H2" s="184" t="n">
        <f aca="false">ExportRaw!$A2</f>
        <v>1</v>
      </c>
      <c r="I2" s="184" t="n">
        <f aca="false">ExportRaw!$B2</f>
        <v>1</v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132</v>
      </c>
      <c r="B1" s="183" t="s">
        <v>133</v>
      </c>
      <c r="C1" s="183" t="s">
        <v>134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135</v>
      </c>
      <c r="C2" s="184" t="s">
        <v>136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137</v>
      </c>
      <c r="B1" s="184" t="s">
        <v>138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139</v>
      </c>
      <c r="B2" s="190" t="n">
        <v>46291</v>
      </c>
      <c r="C2" s="184"/>
      <c r="D2" s="184" t="s">
        <v>140</v>
      </c>
      <c r="E2" s="184" t="s">
        <v>141</v>
      </c>
      <c r="F2" s="184" t="s">
        <v>142</v>
      </c>
      <c r="G2" s="184" t="s">
        <v>143</v>
      </c>
      <c r="H2" s="184" t="s">
        <v>144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7" t="s">
        <v>135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 t="s">
        <v>102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147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148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149</v>
      </c>
      <c r="B7" s="184" t="s">
        <v>135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150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151</v>
      </c>
      <c r="B1" s="184" t="s">
        <v>152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153</v>
      </c>
      <c r="B2" s="184" t="s">
        <v>153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154</v>
      </c>
      <c r="B3" s="184" t="s">
        <v>155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155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74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74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n">
        <f aca="false">Scoring!DC9</f>
        <v>1</v>
      </c>
      <c r="B2" s="7" t="n">
        <f aca="false">Scoring!DB9</f>
        <v>1</v>
      </c>
      <c r="C2" s="7" t="str">
        <f aca="false">Scoring!C9</f>
        <v>c</v>
      </c>
      <c r="D2" s="191" t="n">
        <f aca="false">Scoring!CY9</f>
        <v>132.5</v>
      </c>
      <c r="E2" s="7" t="str">
        <f aca="false">Scoring!BZ9</f>
        <v>C</v>
      </c>
      <c r="F2" s="7" t="n">
        <f aca="false">Scoring!B9</f>
        <v>0</v>
      </c>
      <c r="G2" s="7" t="n">
        <f aca="false">Scoring!D9</f>
        <v>0</v>
      </c>
      <c r="H2" s="7" t="n">
        <f aca="false">Scoring!DA9</f>
        <v>0</v>
      </c>
      <c r="I2" s="192" t="n">
        <f aca="false">Scoring!CZ9</f>
        <v>1</v>
      </c>
    </row>
    <row r="3" customFormat="false" ht="15.75" hidden="false" customHeight="false" outlineLevel="0" collapsed="false">
      <c r="A3" s="7" t="str">
        <f aca="false">Scoring!DC10</f>
        <v/>
      </c>
      <c r="B3" s="7" t="str">
        <f aca="false">Scoring!DB10</f>
        <v/>
      </c>
      <c r="C3" s="7" t="n">
        <f aca="false">Scoring!C10</f>
        <v>0</v>
      </c>
      <c r="D3" s="191" t="str">
        <f aca="false">Scoring!CY10</f>
        <v/>
      </c>
      <c r="E3" s="7" t="str">
        <f aca="false">Scoring!BZ10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Scoring!DA10</f>
        <v/>
      </c>
      <c r="I3" s="192" t="str">
        <f aca="false">Scoring!CZ10</f>
        <v/>
      </c>
    </row>
    <row r="4" customFormat="false" ht="15.75" hidden="false" customHeight="false" outlineLevel="0" collapsed="false">
      <c r="A4" s="7" t="str">
        <f aca="false">Scoring!DC11</f>
        <v/>
      </c>
      <c r="B4" s="7" t="str">
        <f aca="false">Scoring!DB11</f>
        <v/>
      </c>
      <c r="C4" s="7" t="n">
        <f aca="false">Scoring!C11</f>
        <v>0</v>
      </c>
      <c r="D4" s="191" t="str">
        <f aca="false">Scoring!CY11</f>
        <v/>
      </c>
      <c r="E4" s="7" t="str">
        <f aca="false">Scoring!BZ11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Scoring!DA11</f>
        <v/>
      </c>
      <c r="I4" s="192" t="str">
        <f aca="false">Scoring!CZ11</f>
        <v/>
      </c>
    </row>
    <row r="5" customFormat="false" ht="15.75" hidden="false" customHeight="false" outlineLevel="0" collapsed="false">
      <c r="A5" s="7" t="str">
        <f aca="false">Scoring!DC12</f>
        <v/>
      </c>
      <c r="B5" s="7" t="str">
        <f aca="false">Scoring!DB12</f>
        <v/>
      </c>
      <c r="C5" s="7" t="n">
        <f aca="false">Scoring!C12</f>
        <v>0</v>
      </c>
      <c r="D5" s="191" t="str">
        <f aca="false">Scoring!CY12</f>
        <v/>
      </c>
      <c r="E5" s="7" t="str">
        <f aca="false">Scoring!BZ12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Scoring!DA12</f>
        <v/>
      </c>
      <c r="I5" s="192" t="str">
        <f aca="false">Scoring!CZ12</f>
        <v/>
      </c>
    </row>
    <row r="6" customFormat="false" ht="15.75" hidden="false" customHeight="false" outlineLevel="0" collapsed="false">
      <c r="A6" s="7" t="str">
        <f aca="false">Scoring!DC13</f>
        <v/>
      </c>
      <c r="B6" s="7" t="str">
        <f aca="false">Scoring!DB13</f>
        <v/>
      </c>
      <c r="C6" s="7" t="n">
        <f aca="false">Scoring!C13</f>
        <v>0</v>
      </c>
      <c r="D6" s="191" t="str">
        <f aca="false">Scoring!CY13</f>
        <v/>
      </c>
      <c r="E6" s="7" t="str">
        <f aca="false">Scoring!BZ13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Scoring!DA13</f>
        <v/>
      </c>
      <c r="I6" s="192" t="str">
        <f aca="false">Scoring!CZ13</f>
        <v/>
      </c>
    </row>
    <row r="7" customFormat="false" ht="15.75" hidden="false" customHeight="false" outlineLevel="0" collapsed="false">
      <c r="A7" s="7" t="str">
        <f aca="false">Scoring!DC14</f>
        <v/>
      </c>
      <c r="B7" s="7" t="str">
        <f aca="false">Scoring!DB14</f>
        <v/>
      </c>
      <c r="C7" s="7" t="n">
        <f aca="false">Scoring!C14</f>
        <v>0</v>
      </c>
      <c r="D7" s="191" t="str">
        <f aca="false">Scoring!CY14</f>
        <v/>
      </c>
      <c r="E7" s="7" t="str">
        <f aca="false">Scoring!BZ14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Scoring!DA14</f>
        <v/>
      </c>
      <c r="I7" s="192" t="str">
        <f aca="false">Scoring!CZ14</f>
        <v/>
      </c>
    </row>
    <row r="8" customFormat="false" ht="15.75" hidden="false" customHeight="false" outlineLevel="0" collapsed="false">
      <c r="A8" s="7" t="str">
        <f aca="false">Scoring!DC15</f>
        <v/>
      </c>
      <c r="B8" s="7" t="str">
        <f aca="false">Scoring!DB15</f>
        <v/>
      </c>
      <c r="C8" s="7" t="n">
        <f aca="false">Scoring!C15</f>
        <v>0</v>
      </c>
      <c r="D8" s="191" t="str">
        <f aca="false">Scoring!CY15</f>
        <v/>
      </c>
      <c r="E8" s="7" t="str">
        <f aca="false">Scoring!BZ15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Scoring!DA15</f>
        <v/>
      </c>
      <c r="I8" s="192" t="str">
        <f aca="false">Scoring!CZ15</f>
        <v/>
      </c>
    </row>
    <row r="9" customFormat="false" ht="15.75" hidden="false" customHeight="false" outlineLevel="0" collapsed="false">
      <c r="A9" s="7" t="str">
        <f aca="false">Scoring!DC16</f>
        <v/>
      </c>
      <c r="B9" s="7" t="str">
        <f aca="false">Scoring!DB16</f>
        <v/>
      </c>
      <c r="C9" s="7" t="n">
        <f aca="false">Scoring!C16</f>
        <v>0</v>
      </c>
      <c r="D9" s="191" t="str">
        <f aca="false">Scoring!CY16</f>
        <v/>
      </c>
      <c r="E9" s="7" t="str">
        <f aca="false">Scoring!BZ16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Scoring!DA16</f>
        <v/>
      </c>
      <c r="I9" s="192" t="str">
        <f aca="false">Scoring!CZ16</f>
        <v/>
      </c>
    </row>
    <row r="10" customFormat="false" ht="15.75" hidden="false" customHeight="false" outlineLevel="0" collapsed="false">
      <c r="A10" s="7" t="str">
        <f aca="false">Scoring!DC17</f>
        <v/>
      </c>
      <c r="B10" s="7" t="str">
        <f aca="false">Scoring!DB17</f>
        <v/>
      </c>
      <c r="C10" s="7" t="n">
        <f aca="false">Scoring!C17</f>
        <v>0</v>
      </c>
      <c r="D10" s="191" t="str">
        <f aca="false">Scoring!CY17</f>
        <v/>
      </c>
      <c r="E10" s="7" t="str">
        <f aca="false">Scoring!BZ17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Scoring!DA17</f>
        <v/>
      </c>
      <c r="I10" s="192" t="str">
        <f aca="false">Scoring!CZ17</f>
        <v/>
      </c>
    </row>
    <row r="11" customFormat="false" ht="15.75" hidden="false" customHeight="false" outlineLevel="0" collapsed="false">
      <c r="A11" s="7" t="str">
        <f aca="false">Scoring!DC18</f>
        <v/>
      </c>
      <c r="B11" s="7" t="str">
        <f aca="false">Scoring!DB18</f>
        <v/>
      </c>
      <c r="C11" s="7" t="n">
        <f aca="false">Scoring!C18</f>
        <v>0</v>
      </c>
      <c r="D11" s="191" t="str">
        <f aca="false">Scoring!CY18</f>
        <v/>
      </c>
      <c r="E11" s="7" t="str">
        <f aca="false">Scoring!BZ18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Scoring!DA18</f>
        <v/>
      </c>
      <c r="I11" s="192" t="str">
        <f aca="false">Scoring!CZ18</f>
        <v/>
      </c>
    </row>
    <row r="12" customFormat="false" ht="15.75" hidden="false" customHeight="false" outlineLevel="0" collapsed="false">
      <c r="A12" s="7" t="str">
        <f aca="false">Scoring!DC19</f>
        <v/>
      </c>
      <c r="B12" s="7" t="str">
        <f aca="false">Scoring!DB19</f>
        <v/>
      </c>
      <c r="C12" s="7" t="n">
        <f aca="false">Scoring!C19</f>
        <v>0</v>
      </c>
      <c r="D12" s="191" t="str">
        <f aca="false">Scoring!CY19</f>
        <v/>
      </c>
      <c r="E12" s="7" t="str">
        <f aca="false">Scoring!BZ19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Scoring!DA19</f>
        <v/>
      </c>
      <c r="I12" s="192" t="str">
        <f aca="false">Scoring!CZ19</f>
        <v/>
      </c>
    </row>
    <row r="13" customFormat="false" ht="15.75" hidden="false" customHeight="false" outlineLevel="0" collapsed="false">
      <c r="A13" s="7" t="str">
        <f aca="false">Scoring!DC20</f>
        <v/>
      </c>
      <c r="B13" s="7" t="str">
        <f aca="false">Scoring!DB20</f>
        <v/>
      </c>
      <c r="C13" s="7" t="n">
        <f aca="false">Scoring!C20</f>
        <v>0</v>
      </c>
      <c r="D13" s="191" t="str">
        <f aca="false">Scoring!CY20</f>
        <v/>
      </c>
      <c r="E13" s="7" t="str">
        <f aca="false">Scoring!BZ20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Scoring!DA20</f>
        <v/>
      </c>
      <c r="I13" s="192" t="str">
        <f aca="false">Scoring!CZ20</f>
        <v/>
      </c>
    </row>
    <row r="14" customFormat="false" ht="15.75" hidden="false" customHeight="false" outlineLevel="0" collapsed="false">
      <c r="A14" s="7" t="str">
        <f aca="false">Scoring!DC21</f>
        <v/>
      </c>
      <c r="B14" s="7" t="str">
        <f aca="false">Scoring!DB21</f>
        <v/>
      </c>
      <c r="C14" s="7" t="n">
        <f aca="false">Scoring!C21</f>
        <v>0</v>
      </c>
      <c r="D14" s="191" t="str">
        <f aca="false">Scoring!CY21</f>
        <v/>
      </c>
      <c r="E14" s="7" t="str">
        <f aca="false">Scoring!BZ21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Scoring!DA21</f>
        <v/>
      </c>
      <c r="I14" s="192" t="str">
        <f aca="false">Scoring!CZ21</f>
        <v/>
      </c>
    </row>
    <row r="15" customFormat="false" ht="15.75" hidden="false" customHeight="false" outlineLevel="0" collapsed="false">
      <c r="A15" s="7" t="str">
        <f aca="false">Scoring!DC22</f>
        <v/>
      </c>
      <c r="B15" s="7" t="str">
        <f aca="false">Scoring!DB22</f>
        <v/>
      </c>
      <c r="C15" s="7" t="n">
        <f aca="false">Scoring!C22</f>
        <v>0</v>
      </c>
      <c r="D15" s="191" t="str">
        <f aca="false">Scoring!CY22</f>
        <v/>
      </c>
      <c r="E15" s="7" t="str">
        <f aca="false">Scoring!BZ22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Scoring!DA22</f>
        <v/>
      </c>
      <c r="I15" s="192" t="str">
        <f aca="false">Scoring!CZ22</f>
        <v/>
      </c>
    </row>
    <row r="16" customFormat="false" ht="15.75" hidden="false" customHeight="false" outlineLevel="0" collapsed="false">
      <c r="A16" s="7" t="str">
        <f aca="false">Scoring!DC23</f>
        <v/>
      </c>
      <c r="B16" s="7" t="str">
        <f aca="false">Scoring!DB23</f>
        <v/>
      </c>
      <c r="C16" s="7" t="n">
        <f aca="false">Scoring!C23</f>
        <v>0</v>
      </c>
      <c r="D16" s="191" t="str">
        <f aca="false">Scoring!CY23</f>
        <v/>
      </c>
      <c r="E16" s="7" t="str">
        <f aca="false">Scoring!BZ23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Scoring!DA23</f>
        <v/>
      </c>
      <c r="I16" s="192" t="str">
        <f aca="false">Scoring!CZ23</f>
        <v/>
      </c>
    </row>
    <row r="17" customFormat="false" ht="15.75" hidden="false" customHeight="false" outlineLevel="0" collapsed="false">
      <c r="A17" s="7" t="str">
        <f aca="false">Scoring!DC24</f>
        <v/>
      </c>
      <c r="B17" s="7" t="str">
        <f aca="false">Scoring!DB24</f>
        <v/>
      </c>
      <c r="C17" s="7" t="n">
        <f aca="false">Scoring!C24</f>
        <v>0</v>
      </c>
      <c r="D17" s="191" t="str">
        <f aca="false">Scoring!CY24</f>
        <v/>
      </c>
      <c r="E17" s="7" t="str">
        <f aca="false">Scoring!BZ24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Scoring!DA24</f>
        <v/>
      </c>
      <c r="I17" s="192" t="str">
        <f aca="false">Scoring!CZ24</f>
        <v/>
      </c>
    </row>
    <row r="18" customFormat="false" ht="15.75" hidden="false" customHeight="false" outlineLevel="0" collapsed="false">
      <c r="A18" s="7" t="str">
        <f aca="false">Scoring!DC25</f>
        <v/>
      </c>
      <c r="B18" s="7" t="str">
        <f aca="false">Scoring!DB25</f>
        <v/>
      </c>
      <c r="C18" s="7" t="n">
        <f aca="false">Scoring!C25</f>
        <v>0</v>
      </c>
      <c r="D18" s="191" t="str">
        <f aca="false">Scoring!CY25</f>
        <v/>
      </c>
      <c r="E18" s="7" t="str">
        <f aca="false">Scoring!BZ25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Scoring!DA25</f>
        <v/>
      </c>
      <c r="I18" s="192" t="str">
        <f aca="false">Scoring!CZ25</f>
        <v/>
      </c>
    </row>
    <row r="19" customFormat="false" ht="15.75" hidden="false" customHeight="false" outlineLevel="0" collapsed="false">
      <c r="A19" s="7" t="str">
        <f aca="false">Scoring!DC26</f>
        <v/>
      </c>
      <c r="B19" s="7" t="str">
        <f aca="false">Scoring!DB26</f>
        <v/>
      </c>
      <c r="C19" s="7" t="n">
        <f aca="false">Scoring!C26</f>
        <v>0</v>
      </c>
      <c r="D19" s="191" t="str">
        <f aca="false">Scoring!CY26</f>
        <v/>
      </c>
      <c r="E19" s="7" t="str">
        <f aca="false">Scoring!BZ26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Scoring!DA26</f>
        <v/>
      </c>
      <c r="I19" s="192" t="str">
        <f aca="false">Scoring!CZ26</f>
        <v/>
      </c>
    </row>
    <row r="20" customFormat="false" ht="15.75" hidden="false" customHeight="false" outlineLevel="0" collapsed="false">
      <c r="A20" s="7" t="str">
        <f aca="false">Scoring!DC27</f>
        <v/>
      </c>
      <c r="B20" s="7" t="str">
        <f aca="false">Scoring!DB27</f>
        <v/>
      </c>
      <c r="C20" s="7" t="n">
        <f aca="false">Scoring!C27</f>
        <v>0</v>
      </c>
      <c r="D20" s="191" t="str">
        <f aca="false">Scoring!CY27</f>
        <v/>
      </c>
      <c r="E20" s="7" t="str">
        <f aca="false">Scoring!BZ27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Scoring!DA27</f>
        <v/>
      </c>
      <c r="I20" s="192" t="str">
        <f aca="false">Scoring!CZ27</f>
        <v/>
      </c>
    </row>
    <row r="21" customFormat="false" ht="15.75" hidden="false" customHeight="false" outlineLevel="0" collapsed="false">
      <c r="A21" s="7" t="str">
        <f aca="false">Scoring!DC28</f>
        <v/>
      </c>
      <c r="B21" s="7" t="str">
        <f aca="false">Scoring!DB28</f>
        <v/>
      </c>
      <c r="C21" s="7" t="n">
        <f aca="false">Scoring!C28</f>
        <v>0</v>
      </c>
      <c r="D21" s="191" t="str">
        <f aca="false">Scoring!CY28</f>
        <v/>
      </c>
      <c r="E21" s="7" t="str">
        <f aca="false">Scoring!BZ28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Scoring!DA28</f>
        <v/>
      </c>
      <c r="I21" s="192" t="str">
        <f aca="false">Scoring!CZ28</f>
        <v/>
      </c>
    </row>
    <row r="22" customFormat="false" ht="15.75" hidden="false" customHeight="false" outlineLevel="0" collapsed="false">
      <c r="A22" s="7" t="str">
        <f aca="false">Scoring!DC29</f>
        <v/>
      </c>
      <c r="B22" s="7" t="str">
        <f aca="false">Scoring!DB29</f>
        <v/>
      </c>
      <c r="C22" s="7" t="n">
        <f aca="false">Scoring!C29</f>
        <v>0</v>
      </c>
      <c r="D22" s="191" t="str">
        <f aca="false">Scoring!CY29</f>
        <v/>
      </c>
      <c r="E22" s="7" t="str">
        <f aca="false">Scoring!BZ29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Scoring!DA29</f>
        <v/>
      </c>
      <c r="I22" s="192" t="str">
        <f aca="false">Scoring!CZ29</f>
        <v/>
      </c>
    </row>
    <row r="23" customFormat="false" ht="15.75" hidden="false" customHeight="false" outlineLevel="0" collapsed="false">
      <c r="A23" s="7" t="str">
        <f aca="false">Scoring!DC30</f>
        <v/>
      </c>
      <c r="B23" s="7" t="str">
        <f aca="false">Scoring!DB30</f>
        <v/>
      </c>
      <c r="C23" s="7" t="n">
        <f aca="false">Scoring!C30</f>
        <v>0</v>
      </c>
      <c r="D23" s="191" t="str">
        <f aca="false">Scoring!CY30</f>
        <v/>
      </c>
      <c r="E23" s="7" t="str">
        <f aca="false">Scoring!BZ30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Scoring!DA30</f>
        <v/>
      </c>
      <c r="I23" s="192" t="str">
        <f aca="false">Scoring!CZ30</f>
        <v/>
      </c>
    </row>
    <row r="24" customFormat="false" ht="15.75" hidden="false" customHeight="false" outlineLevel="0" collapsed="false">
      <c r="A24" s="7" t="str">
        <f aca="false">Scoring!DC31</f>
        <v/>
      </c>
      <c r="B24" s="7" t="str">
        <f aca="false">Scoring!DB31</f>
        <v/>
      </c>
      <c r="C24" s="7" t="n">
        <f aca="false">Scoring!C31</f>
        <v>0</v>
      </c>
      <c r="D24" s="191" t="str">
        <f aca="false">Scoring!CY31</f>
        <v/>
      </c>
      <c r="E24" s="7" t="str">
        <f aca="false">Scoring!BZ31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Scoring!DA31</f>
        <v/>
      </c>
      <c r="I24" s="192" t="str">
        <f aca="false">Scoring!CZ31</f>
        <v/>
      </c>
    </row>
    <row r="25" customFormat="false" ht="15.75" hidden="false" customHeight="false" outlineLevel="0" collapsed="false">
      <c r="A25" s="7" t="str">
        <f aca="false">Scoring!DC32</f>
        <v/>
      </c>
      <c r="B25" s="7" t="str">
        <f aca="false">Scoring!DB32</f>
        <v/>
      </c>
      <c r="C25" s="7" t="n">
        <f aca="false">Scoring!C32</f>
        <v>0</v>
      </c>
      <c r="D25" s="191" t="str">
        <f aca="false">Scoring!CY32</f>
        <v/>
      </c>
      <c r="E25" s="7" t="str">
        <f aca="false">Scoring!BZ32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Scoring!DA32</f>
        <v/>
      </c>
      <c r="I25" s="192" t="str">
        <f aca="false">Scoring!CZ32</f>
        <v/>
      </c>
    </row>
    <row r="26" customFormat="false" ht="15.75" hidden="false" customHeight="false" outlineLevel="0" collapsed="false">
      <c r="A26" s="7" t="str">
        <f aca="false">Scoring!DC33</f>
        <v/>
      </c>
      <c r="B26" s="7" t="str">
        <f aca="false">Scoring!DB33</f>
        <v/>
      </c>
      <c r="C26" s="7" t="n">
        <f aca="false">Scoring!C33</f>
        <v>0</v>
      </c>
      <c r="D26" s="191" t="str">
        <f aca="false">Scoring!CY33</f>
        <v/>
      </c>
      <c r="E26" s="7" t="str">
        <f aca="false">Scoring!BZ33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Scoring!DA33</f>
        <v/>
      </c>
      <c r="I26" s="192" t="str">
        <f aca="false">Scoring!CZ33</f>
        <v/>
      </c>
    </row>
    <row r="27" customFormat="false" ht="15.75" hidden="false" customHeight="false" outlineLevel="0" collapsed="false">
      <c r="A27" s="7" t="str">
        <f aca="false">Scoring!DC34</f>
        <v/>
      </c>
      <c r="B27" s="7" t="str">
        <f aca="false">Scoring!DB34</f>
        <v/>
      </c>
      <c r="C27" s="7" t="n">
        <f aca="false">Scoring!C34</f>
        <v>0</v>
      </c>
      <c r="D27" s="191" t="str">
        <f aca="false">Scoring!CY34</f>
        <v/>
      </c>
      <c r="E27" s="7" t="str">
        <f aca="false">Scoring!BZ34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Scoring!DA34</f>
        <v/>
      </c>
      <c r="I27" s="192" t="str">
        <f aca="false">Scoring!CZ34</f>
        <v/>
      </c>
    </row>
    <row r="28" customFormat="false" ht="15.75" hidden="false" customHeight="false" outlineLevel="0" collapsed="false">
      <c r="A28" s="7" t="str">
        <f aca="false">Scoring!DC35</f>
        <v/>
      </c>
      <c r="B28" s="7" t="str">
        <f aca="false">Scoring!DB35</f>
        <v/>
      </c>
      <c r="C28" s="7" t="n">
        <f aca="false">Scoring!C35</f>
        <v>0</v>
      </c>
      <c r="D28" s="191" t="str">
        <f aca="false">Scoring!CY35</f>
        <v/>
      </c>
      <c r="E28" s="7" t="str">
        <f aca="false">Scoring!BZ35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Scoring!DA35</f>
        <v/>
      </c>
      <c r="I28" s="192" t="str">
        <f aca="false">Scoring!CZ35</f>
        <v/>
      </c>
    </row>
    <row r="29" customFormat="false" ht="15.75" hidden="false" customHeight="false" outlineLevel="0" collapsed="false">
      <c r="A29" s="7" t="str">
        <f aca="false">Scoring!DC36</f>
        <v/>
      </c>
      <c r="B29" s="7" t="str">
        <f aca="false">Scoring!DB36</f>
        <v/>
      </c>
      <c r="C29" s="7" t="n">
        <f aca="false">Scoring!C36</f>
        <v>0</v>
      </c>
      <c r="D29" s="191" t="str">
        <f aca="false">Scoring!CY36</f>
        <v/>
      </c>
      <c r="E29" s="7" t="str">
        <f aca="false">Scoring!BZ36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Scoring!DA36</f>
        <v/>
      </c>
      <c r="I29" s="192" t="str">
        <f aca="false">Scoring!CZ36</f>
        <v/>
      </c>
    </row>
    <row r="30" customFormat="false" ht="15.75" hidden="false" customHeight="false" outlineLevel="0" collapsed="false">
      <c r="A30" s="7" t="str">
        <f aca="false">Scoring!DC37</f>
        <v/>
      </c>
      <c r="B30" s="7" t="str">
        <f aca="false">Scoring!DB37</f>
        <v/>
      </c>
      <c r="C30" s="7" t="n">
        <f aca="false">Scoring!C37</f>
        <v>0</v>
      </c>
      <c r="D30" s="191" t="str">
        <f aca="false">Scoring!CY37</f>
        <v/>
      </c>
      <c r="E30" s="7" t="str">
        <f aca="false">Scoring!BZ37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Scoring!DA37</f>
        <v/>
      </c>
      <c r="I30" s="192" t="str">
        <f aca="false">Scoring!CZ37</f>
        <v/>
      </c>
    </row>
    <row r="31" customFormat="false" ht="15.75" hidden="false" customHeight="false" outlineLevel="0" collapsed="false">
      <c r="A31" s="7" t="str">
        <f aca="false">Scoring!DC38</f>
        <v/>
      </c>
      <c r="B31" s="7" t="str">
        <f aca="false">Scoring!DB38</f>
        <v/>
      </c>
      <c r="C31" s="7" t="n">
        <f aca="false">Scoring!C38</f>
        <v>0</v>
      </c>
      <c r="D31" s="191" t="str">
        <f aca="false">Scoring!CY38</f>
        <v/>
      </c>
      <c r="E31" s="7" t="str">
        <f aca="false">Scoring!BZ38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Scoring!DA38</f>
        <v/>
      </c>
      <c r="I31" s="192" t="str">
        <f aca="false">Scoring!CZ38</f>
        <v/>
      </c>
    </row>
    <row r="32" customFormat="false" ht="15.75" hidden="false" customHeight="false" outlineLevel="0" collapsed="false">
      <c r="A32" s="7" t="str">
        <f aca="false">Scoring!DC39</f>
        <v/>
      </c>
      <c r="B32" s="7" t="str">
        <f aca="false">Scoring!DB39</f>
        <v/>
      </c>
      <c r="C32" s="7" t="n">
        <f aca="false">Scoring!C39</f>
        <v>0</v>
      </c>
      <c r="D32" s="191" t="str">
        <f aca="false">Scoring!CY39</f>
        <v/>
      </c>
      <c r="E32" s="7" t="str">
        <f aca="false">Scoring!BZ39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Scoring!DA39</f>
        <v/>
      </c>
      <c r="I32" s="192" t="str">
        <f aca="false">Scoring!CZ39</f>
        <v/>
      </c>
    </row>
    <row r="33" customFormat="false" ht="15.75" hidden="false" customHeight="false" outlineLevel="0" collapsed="false">
      <c r="A33" s="7" t="str">
        <f aca="false">Scoring!DC40</f>
        <v/>
      </c>
      <c r="B33" s="7" t="str">
        <f aca="false">Scoring!DB40</f>
        <v/>
      </c>
      <c r="C33" s="7" t="n">
        <f aca="false">Scoring!C40</f>
        <v>0</v>
      </c>
      <c r="D33" s="191" t="str">
        <f aca="false">Scoring!CY40</f>
        <v/>
      </c>
      <c r="E33" s="7" t="str">
        <f aca="false">Scoring!BZ40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Scoring!DA40</f>
        <v/>
      </c>
      <c r="I33" s="192" t="str">
        <f aca="false">Scoring!CZ40</f>
        <v/>
      </c>
    </row>
    <row r="34" customFormat="false" ht="15.75" hidden="false" customHeight="false" outlineLevel="0" collapsed="false">
      <c r="A34" s="7" t="str">
        <f aca="false">Scoring!DC41</f>
        <v/>
      </c>
      <c r="B34" s="7" t="str">
        <f aca="false">Scoring!DB41</f>
        <v/>
      </c>
      <c r="C34" s="7" t="n">
        <f aca="false">Scoring!C41</f>
        <v>0</v>
      </c>
      <c r="D34" s="191" t="str">
        <f aca="false">Scoring!CY41</f>
        <v/>
      </c>
      <c r="E34" s="7" t="str">
        <f aca="false">Scoring!BZ41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Scoring!DA41</f>
        <v/>
      </c>
      <c r="I34" s="192" t="str">
        <f aca="false">Scoring!CZ41</f>
        <v/>
      </c>
    </row>
    <row r="35" customFormat="false" ht="15.75" hidden="false" customHeight="false" outlineLevel="0" collapsed="false">
      <c r="A35" s="7" t="str">
        <f aca="false">Scoring!DC42</f>
        <v/>
      </c>
      <c r="B35" s="7" t="str">
        <f aca="false">Scoring!DB42</f>
        <v/>
      </c>
      <c r="C35" s="7" t="n">
        <f aca="false">Scoring!C42</f>
        <v>0</v>
      </c>
      <c r="D35" s="191" t="str">
        <f aca="false">Scoring!CY42</f>
        <v/>
      </c>
      <c r="E35" s="7" t="str">
        <f aca="false">Scoring!BZ42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Scoring!DA42</f>
        <v/>
      </c>
      <c r="I35" s="192" t="str">
        <f aca="false">Scoring!CZ42</f>
        <v/>
      </c>
    </row>
    <row r="36" customFormat="false" ht="15.75" hidden="false" customHeight="false" outlineLevel="0" collapsed="false">
      <c r="A36" s="7" t="str">
        <f aca="false">Scoring!DC43</f>
        <v/>
      </c>
      <c r="B36" s="7" t="str">
        <f aca="false">Scoring!DB43</f>
        <v/>
      </c>
      <c r="C36" s="7" t="n">
        <f aca="false">Scoring!C43</f>
        <v>0</v>
      </c>
      <c r="D36" s="191" t="str">
        <f aca="false">Scoring!CY43</f>
        <v/>
      </c>
      <c r="E36" s="7" t="str">
        <f aca="false">Scoring!BZ43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Scoring!DA43</f>
        <v/>
      </c>
      <c r="I36" s="192" t="str">
        <f aca="false">Scoring!CZ43</f>
        <v/>
      </c>
    </row>
    <row r="37" customFormat="false" ht="15.75" hidden="false" customHeight="false" outlineLevel="0" collapsed="false">
      <c r="A37" s="7" t="str">
        <f aca="false">Scoring!DC44</f>
        <v/>
      </c>
      <c r="B37" s="7" t="str">
        <f aca="false">Scoring!DB44</f>
        <v/>
      </c>
      <c r="C37" s="7" t="n">
        <f aca="false">Scoring!C44</f>
        <v>0</v>
      </c>
      <c r="D37" s="191" t="str">
        <f aca="false">Scoring!CY44</f>
        <v/>
      </c>
      <c r="E37" s="7" t="str">
        <f aca="false">Scoring!BZ44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Scoring!DA44</f>
        <v/>
      </c>
      <c r="I37" s="192" t="str">
        <f aca="false">Scoring!CZ44</f>
        <v/>
      </c>
    </row>
    <row r="38" customFormat="false" ht="15.75" hidden="false" customHeight="false" outlineLevel="0" collapsed="false">
      <c r="A38" s="7" t="str">
        <f aca="false">Scoring!DC45</f>
        <v/>
      </c>
      <c r="B38" s="7" t="str">
        <f aca="false">Scoring!DB45</f>
        <v/>
      </c>
      <c r="C38" s="7" t="n">
        <f aca="false">Scoring!C45</f>
        <v>0</v>
      </c>
      <c r="D38" s="191" t="str">
        <f aca="false">Scoring!CY45</f>
        <v/>
      </c>
      <c r="E38" s="7" t="str">
        <f aca="false">Scoring!BZ45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Scoring!DA45</f>
        <v/>
      </c>
      <c r="I38" s="192" t="str">
        <f aca="false">Scoring!CZ45</f>
        <v/>
      </c>
    </row>
    <row r="39" customFormat="false" ht="15.75" hidden="false" customHeight="false" outlineLevel="0" collapsed="false">
      <c r="A39" s="7" t="str">
        <f aca="false">Scoring!DC46</f>
        <v/>
      </c>
      <c r="B39" s="7" t="str">
        <f aca="false">Scoring!DB46</f>
        <v/>
      </c>
      <c r="C39" s="7" t="n">
        <f aca="false">Scoring!C46</f>
        <v>0</v>
      </c>
      <c r="D39" s="191" t="str">
        <f aca="false">Scoring!CY46</f>
        <v/>
      </c>
      <c r="E39" s="7" t="str">
        <f aca="false">Scoring!BZ46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Scoring!DA46</f>
        <v/>
      </c>
      <c r="I39" s="192" t="str">
        <f aca="false">Scoring!CZ46</f>
        <v/>
      </c>
    </row>
    <row r="40" customFormat="false" ht="15.75" hidden="false" customHeight="false" outlineLevel="0" collapsed="false">
      <c r="A40" s="7" t="str">
        <f aca="false">Scoring!DC47</f>
        <v/>
      </c>
      <c r="B40" s="7" t="str">
        <f aca="false">Scoring!DB47</f>
        <v/>
      </c>
      <c r="C40" s="7" t="n">
        <f aca="false">Scoring!C47</f>
        <v>0</v>
      </c>
      <c r="D40" s="191" t="str">
        <f aca="false">Scoring!CY47</f>
        <v/>
      </c>
      <c r="E40" s="7" t="str">
        <f aca="false">Scoring!BZ47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Scoring!DA47</f>
        <v/>
      </c>
      <c r="I40" s="192" t="str">
        <f aca="false">Scoring!CZ47</f>
        <v/>
      </c>
    </row>
    <row r="41" customFormat="false" ht="15.75" hidden="false" customHeight="false" outlineLevel="0" collapsed="false">
      <c r="A41" s="7" t="str">
        <f aca="false">Scoring!DC48</f>
        <v/>
      </c>
      <c r="B41" s="7" t="str">
        <f aca="false">Scoring!DB48</f>
        <v/>
      </c>
      <c r="C41" s="7" t="n">
        <f aca="false">Scoring!C48</f>
        <v>0</v>
      </c>
      <c r="D41" s="191" t="str">
        <f aca="false">Scoring!CY48</f>
        <v/>
      </c>
      <c r="E41" s="7" t="str">
        <f aca="false">Scoring!BZ48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Scoring!DA48</f>
        <v/>
      </c>
      <c r="I41" s="192" t="str">
        <f aca="false">Scoring!CZ48</f>
        <v/>
      </c>
    </row>
    <row r="42" customFormat="false" ht="15.75" hidden="false" customHeight="false" outlineLevel="0" collapsed="false">
      <c r="A42" s="7" t="str">
        <f aca="false">Scoring!DC49</f>
        <v/>
      </c>
      <c r="B42" s="7" t="str">
        <f aca="false">Scoring!DB49</f>
        <v/>
      </c>
      <c r="C42" s="7" t="n">
        <f aca="false">Scoring!C49</f>
        <v>0</v>
      </c>
      <c r="D42" s="191" t="str">
        <f aca="false">Scoring!CY49</f>
        <v/>
      </c>
      <c r="E42" s="7" t="str">
        <f aca="false">Scoring!BZ49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Scoring!DA49</f>
        <v/>
      </c>
      <c r="I42" s="192" t="str">
        <f aca="false">Scoring!CZ49</f>
        <v/>
      </c>
    </row>
    <row r="43" customFormat="false" ht="15.75" hidden="false" customHeight="false" outlineLevel="0" collapsed="false">
      <c r="A43" s="7" t="str">
        <f aca="false">Scoring!DC50</f>
        <v/>
      </c>
      <c r="B43" s="7" t="str">
        <f aca="false">Scoring!DB50</f>
        <v/>
      </c>
      <c r="C43" s="7" t="n">
        <f aca="false">Scoring!C50</f>
        <v>0</v>
      </c>
      <c r="D43" s="191" t="str">
        <f aca="false">Scoring!CY50</f>
        <v/>
      </c>
      <c r="E43" s="7" t="str">
        <f aca="false">Scoring!BZ50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Scoring!DA50</f>
        <v/>
      </c>
      <c r="I43" s="192" t="str">
        <f aca="false">Scoring!CZ50</f>
        <v/>
      </c>
    </row>
    <row r="44" customFormat="false" ht="15.75" hidden="false" customHeight="false" outlineLevel="0" collapsed="false">
      <c r="A44" s="7" t="str">
        <f aca="false">Scoring!DC51</f>
        <v/>
      </c>
      <c r="B44" s="7" t="str">
        <f aca="false">Scoring!DB51</f>
        <v/>
      </c>
      <c r="C44" s="7" t="n">
        <f aca="false">Scoring!C51</f>
        <v>0</v>
      </c>
      <c r="D44" s="191" t="str">
        <f aca="false">Scoring!CY51</f>
        <v/>
      </c>
      <c r="E44" s="7" t="str">
        <f aca="false">Scoring!BZ51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Scoring!DA51</f>
        <v/>
      </c>
      <c r="I44" s="192" t="str">
        <f aca="false">Scoring!CZ51</f>
        <v/>
      </c>
    </row>
    <row r="45" customFormat="false" ht="15.75" hidden="false" customHeight="false" outlineLevel="0" collapsed="false">
      <c r="A45" s="7" t="str">
        <f aca="false">Scoring!DC52</f>
        <v/>
      </c>
      <c r="B45" s="7" t="str">
        <f aca="false">Scoring!DB52</f>
        <v/>
      </c>
      <c r="C45" s="7" t="n">
        <f aca="false">Scoring!C52</f>
        <v>0</v>
      </c>
      <c r="D45" s="191" t="str">
        <f aca="false">Scoring!CY52</f>
        <v/>
      </c>
      <c r="E45" s="7" t="str">
        <f aca="false">Scoring!BZ52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Scoring!DA52</f>
        <v/>
      </c>
      <c r="I45" s="192" t="str">
        <f aca="false">Scoring!CZ52</f>
        <v/>
      </c>
    </row>
    <row r="46" customFormat="false" ht="15.75" hidden="false" customHeight="false" outlineLevel="0" collapsed="false">
      <c r="A46" s="7" t="str">
        <f aca="false">Scoring!DC53</f>
        <v/>
      </c>
      <c r="B46" s="7" t="str">
        <f aca="false">Scoring!DB53</f>
        <v/>
      </c>
      <c r="C46" s="7" t="n">
        <f aca="false">Scoring!C53</f>
        <v>0</v>
      </c>
      <c r="D46" s="191" t="str">
        <f aca="false">Scoring!CY53</f>
        <v/>
      </c>
      <c r="E46" s="7" t="str">
        <f aca="false">Scoring!BZ53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Scoring!DA53</f>
        <v/>
      </c>
      <c r="I46" s="192" t="str">
        <f aca="false">Scoring!CZ53</f>
        <v/>
      </c>
    </row>
    <row r="47" customFormat="false" ht="15.75" hidden="false" customHeight="false" outlineLevel="0" collapsed="false">
      <c r="A47" s="7" t="str">
        <f aca="false">Scoring!DC54</f>
        <v/>
      </c>
      <c r="B47" s="7" t="str">
        <f aca="false">Scoring!DB54</f>
        <v/>
      </c>
      <c r="C47" s="7" t="n">
        <f aca="false">Scoring!C54</f>
        <v>0</v>
      </c>
      <c r="D47" s="191" t="str">
        <f aca="false">Scoring!CY54</f>
        <v/>
      </c>
      <c r="E47" s="7" t="str">
        <f aca="false">Scoring!BZ54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Scoring!DA54</f>
        <v/>
      </c>
      <c r="I47" s="192" t="str">
        <f aca="false">Scoring!CZ54</f>
        <v/>
      </c>
    </row>
    <row r="48" customFormat="false" ht="15.75" hidden="false" customHeight="false" outlineLevel="0" collapsed="false">
      <c r="A48" s="7" t="str">
        <f aca="false">Scoring!DC55</f>
        <v/>
      </c>
      <c r="B48" s="7" t="str">
        <f aca="false">Scoring!DB55</f>
        <v/>
      </c>
      <c r="C48" s="7" t="n">
        <f aca="false">Scoring!C55</f>
        <v>0</v>
      </c>
      <c r="D48" s="191" t="str">
        <f aca="false">Scoring!CY55</f>
        <v/>
      </c>
      <c r="E48" s="7" t="str">
        <f aca="false">Scoring!BZ55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Scoring!DA55</f>
        <v/>
      </c>
      <c r="I48" s="192" t="str">
        <f aca="false">Scoring!CZ55</f>
        <v/>
      </c>
    </row>
    <row r="49" customFormat="false" ht="15.75" hidden="false" customHeight="false" outlineLevel="0" collapsed="false">
      <c r="A49" s="7" t="str">
        <f aca="false">Scoring!DC56</f>
        <v/>
      </c>
      <c r="B49" s="7" t="str">
        <f aca="false">Scoring!DB56</f>
        <v/>
      </c>
      <c r="C49" s="7" t="n">
        <f aca="false">Scoring!C56</f>
        <v>0</v>
      </c>
      <c r="D49" s="191" t="str">
        <f aca="false">Scoring!CY56</f>
        <v/>
      </c>
      <c r="E49" s="7" t="str">
        <f aca="false">Scoring!BZ56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Scoring!DA56</f>
        <v/>
      </c>
      <c r="I49" s="192" t="str">
        <f aca="false">Scoring!CZ56</f>
        <v/>
      </c>
    </row>
    <row r="50" customFormat="false" ht="15.75" hidden="false" customHeight="false" outlineLevel="0" collapsed="false">
      <c r="A50" s="7" t="str">
        <f aca="false">Scoring!DC57</f>
        <v/>
      </c>
      <c r="B50" s="7" t="str">
        <f aca="false">Scoring!DB57</f>
        <v/>
      </c>
      <c r="C50" s="7" t="n">
        <f aca="false">Scoring!C57</f>
        <v>0</v>
      </c>
      <c r="D50" s="191" t="str">
        <f aca="false">Scoring!CY57</f>
        <v/>
      </c>
      <c r="E50" s="7" t="str">
        <f aca="false">Scoring!BZ57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Scoring!DA57</f>
        <v/>
      </c>
      <c r="I50" s="192" t="str">
        <f aca="false">Scoring!CZ57</f>
        <v/>
      </c>
    </row>
    <row r="51" customFormat="false" ht="15.75" hidden="false" customHeight="false" outlineLevel="0" collapsed="false">
      <c r="A51" s="7" t="str">
        <f aca="false">Scoring!DC58</f>
        <v/>
      </c>
      <c r="B51" s="7" t="str">
        <f aca="false">Scoring!DB58</f>
        <v/>
      </c>
      <c r="C51" s="7" t="n">
        <f aca="false">Scoring!C58</f>
        <v>0</v>
      </c>
      <c r="D51" s="191" t="str">
        <f aca="false">Scoring!CY58</f>
        <v/>
      </c>
      <c r="E51" s="7" t="str">
        <f aca="false">Scoring!BZ58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Scoring!DA58</f>
        <v/>
      </c>
      <c r="I51" s="192" t="str">
        <f aca="false">Scoring!CZ58</f>
        <v/>
      </c>
    </row>
    <row r="52" customFormat="false" ht="15.75" hidden="false" customHeight="false" outlineLevel="0" collapsed="false">
      <c r="A52" s="7" t="str">
        <f aca="false">Scoring!DC59</f>
        <v/>
      </c>
      <c r="B52" s="7" t="str">
        <f aca="false">Scoring!DB59</f>
        <v/>
      </c>
      <c r="C52" s="7" t="n">
        <f aca="false">Scoring!C59</f>
        <v>0</v>
      </c>
      <c r="D52" s="191" t="str">
        <f aca="false">Scoring!CY59</f>
        <v/>
      </c>
      <c r="E52" s="7" t="str">
        <f aca="false">Scoring!BZ59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Scoring!DA59</f>
        <v/>
      </c>
      <c r="I52" s="192" t="str">
        <f aca="false">Scoring!CZ59</f>
        <v/>
      </c>
    </row>
    <row r="53" customFormat="false" ht="15.75" hidden="false" customHeight="false" outlineLevel="0" collapsed="false">
      <c r="A53" s="7" t="str">
        <f aca="false">Scoring!DC60</f>
        <v/>
      </c>
      <c r="B53" s="7" t="str">
        <f aca="false">Scoring!DB60</f>
        <v/>
      </c>
      <c r="C53" s="7" t="n">
        <f aca="false">Scoring!C60</f>
        <v>0</v>
      </c>
      <c r="D53" s="191" t="str">
        <f aca="false">Scoring!CY60</f>
        <v/>
      </c>
      <c r="E53" s="7" t="str">
        <f aca="false">Scoring!BZ60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Scoring!DA60</f>
        <v/>
      </c>
      <c r="I53" s="192" t="str">
        <f aca="false">Scoring!CZ60</f>
        <v/>
      </c>
    </row>
    <row r="54" customFormat="false" ht="15.75" hidden="false" customHeight="false" outlineLevel="0" collapsed="false">
      <c r="A54" s="7" t="str">
        <f aca="false">Scoring!DC61</f>
        <v/>
      </c>
      <c r="B54" s="7" t="str">
        <f aca="false">Scoring!DB61</f>
        <v/>
      </c>
      <c r="C54" s="7" t="n">
        <f aca="false">Scoring!C61</f>
        <v>0</v>
      </c>
      <c r="D54" s="191" t="str">
        <f aca="false">Scoring!CY61</f>
        <v/>
      </c>
      <c r="E54" s="7" t="str">
        <f aca="false">Scoring!BZ61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Scoring!DA61</f>
        <v/>
      </c>
      <c r="I54" s="192" t="str">
        <f aca="false">Scoring!CZ61</f>
        <v/>
      </c>
    </row>
    <row r="55" customFormat="false" ht="15.75" hidden="false" customHeight="false" outlineLevel="0" collapsed="false">
      <c r="A55" s="7" t="str">
        <f aca="false">Scoring!DC62</f>
        <v/>
      </c>
      <c r="B55" s="7" t="str">
        <f aca="false">Scoring!DB62</f>
        <v/>
      </c>
      <c r="C55" s="7" t="n">
        <f aca="false">Scoring!C62</f>
        <v>0</v>
      </c>
      <c r="D55" s="191" t="str">
        <f aca="false">Scoring!CY62</f>
        <v/>
      </c>
      <c r="E55" s="7" t="str">
        <f aca="false">Scoring!BZ62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Scoring!DA62</f>
        <v/>
      </c>
      <c r="I55" s="192" t="str">
        <f aca="false">Scoring!CZ62</f>
        <v/>
      </c>
    </row>
    <row r="56" customFormat="false" ht="15.75" hidden="false" customHeight="false" outlineLevel="0" collapsed="false">
      <c r="A56" s="7" t="str">
        <f aca="false">Scoring!DC63</f>
        <v/>
      </c>
      <c r="B56" s="7" t="str">
        <f aca="false">Scoring!DB63</f>
        <v/>
      </c>
      <c r="C56" s="7" t="n">
        <f aca="false">Scoring!C63</f>
        <v>0</v>
      </c>
      <c r="D56" s="191" t="str">
        <f aca="false">Scoring!CY63</f>
        <v/>
      </c>
      <c r="E56" s="7" t="str">
        <f aca="false">Scoring!BZ63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Scoring!DA63</f>
        <v/>
      </c>
      <c r="I56" s="192" t="str">
        <f aca="false">Scoring!CZ63</f>
        <v/>
      </c>
    </row>
    <row r="57" customFormat="false" ht="15.75" hidden="false" customHeight="false" outlineLevel="0" collapsed="false">
      <c r="A57" s="7" t="str">
        <f aca="false">Scoring!DC64</f>
        <v/>
      </c>
      <c r="B57" s="7" t="str">
        <f aca="false">Scoring!DB64</f>
        <v/>
      </c>
      <c r="C57" s="7" t="n">
        <f aca="false">Scoring!C64</f>
        <v>0</v>
      </c>
      <c r="D57" s="191" t="str">
        <f aca="false">Scoring!CY64</f>
        <v/>
      </c>
      <c r="E57" s="7" t="str">
        <f aca="false">Scoring!BZ64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Scoring!DA64</f>
        <v/>
      </c>
      <c r="I57" s="192" t="str">
        <f aca="false">Scoring!CZ64</f>
        <v/>
      </c>
    </row>
    <row r="58" customFormat="false" ht="15.75" hidden="false" customHeight="false" outlineLevel="0" collapsed="false">
      <c r="A58" s="7" t="str">
        <f aca="false">Scoring!DC65</f>
        <v/>
      </c>
      <c r="B58" s="7" t="str">
        <f aca="false">Scoring!DB65</f>
        <v/>
      </c>
      <c r="C58" s="7" t="n">
        <f aca="false">Scoring!C65</f>
        <v>0</v>
      </c>
      <c r="D58" s="191" t="str">
        <f aca="false">Scoring!CY65</f>
        <v/>
      </c>
      <c r="E58" s="7" t="str">
        <f aca="false">Scoring!BZ65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Scoring!DA65</f>
        <v/>
      </c>
      <c r="I58" s="192" t="str">
        <f aca="false">Scoring!CZ65</f>
        <v/>
      </c>
    </row>
    <row r="59" customFormat="false" ht="15.75" hidden="false" customHeight="false" outlineLevel="0" collapsed="false">
      <c r="A59" s="7" t="str">
        <f aca="false">Scoring!DC66</f>
        <v/>
      </c>
      <c r="B59" s="7" t="str">
        <f aca="false">Scoring!DB66</f>
        <v/>
      </c>
      <c r="C59" s="7" t="n">
        <f aca="false">Scoring!C66</f>
        <v>0</v>
      </c>
      <c r="D59" s="191" t="str">
        <f aca="false">Scoring!CY66</f>
        <v/>
      </c>
      <c r="E59" s="7" t="str">
        <f aca="false">Scoring!BZ66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Scoring!DA66</f>
        <v/>
      </c>
      <c r="I59" s="192" t="str">
        <f aca="false">Scoring!CZ66</f>
        <v/>
      </c>
    </row>
    <row r="60" customFormat="false" ht="15.75" hidden="false" customHeight="false" outlineLevel="0" collapsed="false">
      <c r="A60" s="7" t="str">
        <f aca="false">Scoring!DC67</f>
        <v/>
      </c>
      <c r="B60" s="7" t="str">
        <f aca="false">Scoring!DB67</f>
        <v/>
      </c>
      <c r="C60" s="7" t="n">
        <f aca="false">Scoring!C67</f>
        <v>0</v>
      </c>
      <c r="D60" s="191" t="str">
        <f aca="false">Scoring!CY67</f>
        <v/>
      </c>
      <c r="E60" s="7" t="str">
        <f aca="false">Scoring!BZ67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Scoring!DA67</f>
        <v/>
      </c>
      <c r="I60" s="192" t="str">
        <f aca="false">Scoring!CZ67</f>
        <v/>
      </c>
    </row>
    <row r="61" customFormat="false" ht="15.75" hidden="false" customHeight="false" outlineLevel="0" collapsed="false">
      <c r="A61" s="7" t="str">
        <f aca="false">Scoring!DC68</f>
        <v/>
      </c>
      <c r="B61" s="7" t="str">
        <f aca="false">Scoring!DB68</f>
        <v/>
      </c>
      <c r="C61" s="7" t="n">
        <f aca="false">Scoring!C68</f>
        <v>0</v>
      </c>
      <c r="D61" s="191" t="str">
        <f aca="false">Scoring!CY68</f>
        <v/>
      </c>
      <c r="E61" s="7" t="str">
        <f aca="false">Scoring!BZ68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Scoring!DA68</f>
        <v/>
      </c>
      <c r="I61" s="192" t="str">
        <f aca="false">Scoring!CZ68</f>
        <v/>
      </c>
    </row>
    <row r="62" customFormat="false" ht="15.75" hidden="false" customHeight="false" outlineLevel="0" collapsed="false">
      <c r="A62" s="7" t="str">
        <f aca="false">Scoring!DC69</f>
        <v/>
      </c>
      <c r="B62" s="7" t="str">
        <f aca="false">Scoring!DB69</f>
        <v/>
      </c>
      <c r="C62" s="7" t="n">
        <f aca="false">Scoring!C69</f>
        <v>0</v>
      </c>
      <c r="D62" s="191" t="str">
        <f aca="false">Scoring!CY69</f>
        <v/>
      </c>
      <c r="E62" s="7" t="str">
        <f aca="false">Scoring!BZ69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Scoring!DA69</f>
        <v/>
      </c>
      <c r="I62" s="192" t="str">
        <f aca="false">Scoring!CZ69</f>
        <v/>
      </c>
    </row>
    <row r="63" customFormat="false" ht="15.75" hidden="false" customHeight="false" outlineLevel="0" collapsed="false">
      <c r="A63" s="7" t="str">
        <f aca="false">Scoring!DC70</f>
        <v/>
      </c>
      <c r="B63" s="7" t="str">
        <f aca="false">Scoring!DB70</f>
        <v/>
      </c>
      <c r="C63" s="7" t="n">
        <f aca="false">Scoring!C70</f>
        <v>0</v>
      </c>
      <c r="D63" s="191" t="str">
        <f aca="false">Scoring!CY70</f>
        <v/>
      </c>
      <c r="E63" s="7" t="str">
        <f aca="false">Scoring!BZ70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Scoring!DA70</f>
        <v/>
      </c>
      <c r="I63" s="192" t="str">
        <f aca="false">Scoring!CZ70</f>
        <v/>
      </c>
    </row>
    <row r="64" customFormat="false" ht="15.75" hidden="false" customHeight="false" outlineLevel="0" collapsed="false">
      <c r="A64" s="7" t="str">
        <f aca="false">Scoring!DC71</f>
        <v/>
      </c>
      <c r="B64" s="7" t="str">
        <f aca="false">Scoring!DB71</f>
        <v/>
      </c>
      <c r="C64" s="7" t="n">
        <f aca="false">Scoring!C71</f>
        <v>0</v>
      </c>
      <c r="D64" s="191" t="str">
        <f aca="false">Scoring!CY71</f>
        <v/>
      </c>
      <c r="E64" s="7" t="str">
        <f aca="false">Scoring!BZ71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Scoring!DA71</f>
        <v/>
      </c>
      <c r="I64" s="192" t="str">
        <f aca="false">Scoring!CZ71</f>
        <v/>
      </c>
    </row>
    <row r="65" customFormat="false" ht="15.75" hidden="false" customHeight="false" outlineLevel="0" collapsed="false">
      <c r="A65" s="7" t="str">
        <f aca="false">Scoring!DC72</f>
        <v/>
      </c>
      <c r="B65" s="7" t="str">
        <f aca="false">Scoring!DB72</f>
        <v/>
      </c>
      <c r="C65" s="7" t="n">
        <f aca="false">Scoring!C72</f>
        <v>0</v>
      </c>
      <c r="D65" s="191" t="str">
        <f aca="false">Scoring!CY72</f>
        <v/>
      </c>
      <c r="E65" s="7" t="str">
        <f aca="false">Scoring!BZ72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Scoring!DA72</f>
        <v/>
      </c>
      <c r="I65" s="192" t="str">
        <f aca="false">Scoring!CZ72</f>
        <v/>
      </c>
    </row>
    <row r="66" customFormat="false" ht="15.75" hidden="false" customHeight="false" outlineLevel="0" collapsed="false">
      <c r="A66" s="7" t="str">
        <f aca="false">Scoring!DC73</f>
        <v/>
      </c>
      <c r="B66" s="7" t="str">
        <f aca="false">Scoring!DB73</f>
        <v/>
      </c>
      <c r="C66" s="7" t="n">
        <f aca="false">Scoring!C73</f>
        <v>0</v>
      </c>
      <c r="D66" s="191" t="str">
        <f aca="false">Scoring!CY73</f>
        <v/>
      </c>
      <c r="E66" s="7" t="str">
        <f aca="false">Scoring!BZ73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Scoring!DA73</f>
        <v/>
      </c>
      <c r="I66" s="192" t="str">
        <f aca="false">Scoring!CZ73</f>
        <v/>
      </c>
    </row>
    <row r="67" customFormat="false" ht="15.75" hidden="false" customHeight="false" outlineLevel="0" collapsed="false">
      <c r="A67" s="7" t="str">
        <f aca="false">Scoring!DC74</f>
        <v/>
      </c>
      <c r="B67" s="7" t="str">
        <f aca="false">Scoring!DB74</f>
        <v/>
      </c>
      <c r="C67" s="7" t="n">
        <f aca="false">Scoring!C74</f>
        <v>0</v>
      </c>
      <c r="D67" s="191" t="str">
        <f aca="false">Scoring!CY74</f>
        <v/>
      </c>
      <c r="E67" s="7" t="str">
        <f aca="false">Scoring!BZ74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Scoring!DA74</f>
        <v/>
      </c>
      <c r="I67" s="192" t="str">
        <f aca="false">Scoring!CZ74</f>
        <v/>
      </c>
    </row>
    <row r="68" customFormat="false" ht="15.75" hidden="false" customHeight="false" outlineLevel="0" collapsed="false">
      <c r="A68" s="7" t="str">
        <f aca="false">Scoring!DC75</f>
        <v/>
      </c>
      <c r="B68" s="7" t="str">
        <f aca="false">Scoring!DB75</f>
        <v/>
      </c>
      <c r="C68" s="7" t="n">
        <f aca="false">Scoring!C75</f>
        <v>0</v>
      </c>
      <c r="D68" s="191" t="str">
        <f aca="false">Scoring!CY75</f>
        <v/>
      </c>
      <c r="E68" s="7" t="str">
        <f aca="false">Scoring!BZ75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Scoring!DA75</f>
        <v/>
      </c>
      <c r="I68" s="192" t="str">
        <f aca="false">Scoring!CZ75</f>
        <v/>
      </c>
    </row>
    <row r="69" customFormat="false" ht="15.75" hidden="false" customHeight="false" outlineLevel="0" collapsed="false">
      <c r="A69" s="7" t="str">
        <f aca="false">Scoring!DC76</f>
        <v/>
      </c>
      <c r="B69" s="7" t="str">
        <f aca="false">Scoring!DB76</f>
        <v/>
      </c>
      <c r="C69" s="7" t="n">
        <f aca="false">Scoring!C76</f>
        <v>0</v>
      </c>
      <c r="D69" s="191" t="str">
        <f aca="false">Scoring!CY76</f>
        <v/>
      </c>
      <c r="E69" s="7" t="str">
        <f aca="false">Scoring!BZ76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Scoring!DA76</f>
        <v/>
      </c>
      <c r="I69" s="192" t="str">
        <f aca="false">Scoring!CZ76</f>
        <v/>
      </c>
    </row>
    <row r="70" customFormat="false" ht="15.75" hidden="false" customHeight="false" outlineLevel="0" collapsed="false">
      <c r="A70" s="7" t="str">
        <f aca="false">Scoring!DC77</f>
        <v/>
      </c>
      <c r="B70" s="7" t="str">
        <f aca="false">Scoring!DB77</f>
        <v/>
      </c>
      <c r="C70" s="7" t="n">
        <f aca="false">Scoring!C77</f>
        <v>0</v>
      </c>
      <c r="D70" s="191" t="str">
        <f aca="false">Scoring!CY77</f>
        <v/>
      </c>
      <c r="E70" s="7" t="str">
        <f aca="false">Scoring!BZ77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Scoring!DA77</f>
        <v/>
      </c>
      <c r="I70" s="192" t="str">
        <f aca="false">Scoring!CZ77</f>
        <v/>
      </c>
    </row>
    <row r="71" customFormat="false" ht="15.75" hidden="false" customHeight="false" outlineLevel="0" collapsed="false">
      <c r="A71" s="7" t="str">
        <f aca="false">Scoring!DC78</f>
        <v/>
      </c>
      <c r="B71" s="7" t="str">
        <f aca="false">Scoring!DB78</f>
        <v/>
      </c>
      <c r="C71" s="7" t="n">
        <f aca="false">Scoring!C78</f>
        <v>0</v>
      </c>
      <c r="D71" s="191" t="str">
        <f aca="false">Scoring!CY78</f>
        <v/>
      </c>
      <c r="E71" s="7" t="str">
        <f aca="false">Scoring!BZ78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Scoring!DA78</f>
        <v/>
      </c>
      <c r="I71" s="192" t="str">
        <f aca="false">Scoring!CZ78</f>
        <v/>
      </c>
    </row>
    <row r="72" customFormat="false" ht="15.75" hidden="false" customHeight="false" outlineLevel="0" collapsed="false">
      <c r="A72" s="7" t="str">
        <f aca="false">Scoring!DC79</f>
        <v/>
      </c>
      <c r="B72" s="7" t="str">
        <f aca="false">Scoring!DB79</f>
        <v/>
      </c>
      <c r="C72" s="7" t="n">
        <f aca="false">Scoring!C79</f>
        <v>0</v>
      </c>
      <c r="D72" s="191" t="str">
        <f aca="false">Scoring!CY79</f>
        <v/>
      </c>
      <c r="E72" s="7" t="str">
        <f aca="false">Scoring!BZ79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Scoring!DA79</f>
        <v/>
      </c>
      <c r="I72" s="192" t="str">
        <f aca="false">Scoring!CZ79</f>
        <v/>
      </c>
    </row>
    <row r="73" customFormat="false" ht="15.75" hidden="false" customHeight="false" outlineLevel="0" collapsed="false">
      <c r="A73" s="7" t="str">
        <f aca="false">Scoring!DC80</f>
        <v/>
      </c>
      <c r="B73" s="7" t="str">
        <f aca="false">Scoring!DB80</f>
        <v/>
      </c>
      <c r="C73" s="7" t="n">
        <f aca="false">Scoring!C80</f>
        <v>0</v>
      </c>
      <c r="D73" s="191" t="str">
        <f aca="false">Scoring!CY80</f>
        <v/>
      </c>
      <c r="E73" s="7" t="str">
        <f aca="false">Scoring!BZ80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Scoring!DA80</f>
        <v/>
      </c>
      <c r="I73" s="192" t="str">
        <f aca="false">Scoring!CZ80</f>
        <v/>
      </c>
    </row>
    <row r="74" customFormat="false" ht="15.75" hidden="false" customHeight="false" outlineLevel="0" collapsed="false">
      <c r="A74" s="7" t="str">
        <f aca="false">Scoring!DC81</f>
        <v/>
      </c>
      <c r="B74" s="7" t="str">
        <f aca="false">Scoring!DB81</f>
        <v/>
      </c>
      <c r="C74" s="7" t="n">
        <f aca="false">Scoring!C81</f>
        <v>0</v>
      </c>
      <c r="D74" s="191" t="str">
        <f aca="false">Scoring!CY81</f>
        <v/>
      </c>
      <c r="E74" s="7" t="str">
        <f aca="false">Scoring!BZ81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Scoring!DA81</f>
        <v/>
      </c>
      <c r="I74" s="192" t="str">
        <f aca="false">Scoring!CZ81</f>
        <v/>
      </c>
    </row>
    <row r="75" customFormat="false" ht="15.75" hidden="false" customHeight="false" outlineLevel="0" collapsed="false">
      <c r="A75" s="7" t="str">
        <f aca="false">Scoring!DC82</f>
        <v/>
      </c>
      <c r="B75" s="7" t="str">
        <f aca="false">Scoring!DB82</f>
        <v/>
      </c>
      <c r="C75" s="7" t="n">
        <f aca="false">Scoring!C82</f>
        <v>0</v>
      </c>
      <c r="D75" s="191" t="str">
        <f aca="false">Scoring!CY82</f>
        <v/>
      </c>
      <c r="E75" s="7" t="str">
        <f aca="false">Scoring!BZ82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Scoring!DA82</f>
        <v/>
      </c>
      <c r="I75" s="192" t="str">
        <f aca="false">Scoring!CZ82</f>
        <v/>
      </c>
    </row>
    <row r="76" customFormat="false" ht="15.75" hidden="false" customHeight="false" outlineLevel="0" collapsed="false">
      <c r="A76" s="7" t="str">
        <f aca="false">Scoring!DC83</f>
        <v/>
      </c>
      <c r="B76" s="7" t="str">
        <f aca="false">Scoring!DB83</f>
        <v/>
      </c>
      <c r="C76" s="7" t="n">
        <f aca="false">Scoring!C83</f>
        <v>0</v>
      </c>
      <c r="D76" s="191" t="str">
        <f aca="false">Scoring!CY83</f>
        <v/>
      </c>
      <c r="E76" s="7" t="str">
        <f aca="false">Scoring!BZ83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Scoring!DA83</f>
        <v/>
      </c>
      <c r="I76" s="192" t="str">
        <f aca="false">Scoring!CZ83</f>
        <v/>
      </c>
    </row>
    <row r="77" customFormat="false" ht="15.75" hidden="false" customHeight="false" outlineLevel="0" collapsed="false">
      <c r="A77" s="7" t="str">
        <f aca="false">Scoring!DC84</f>
        <v/>
      </c>
      <c r="B77" s="7" t="str">
        <f aca="false">Scoring!DB84</f>
        <v/>
      </c>
      <c r="C77" s="7" t="n">
        <f aca="false">Scoring!C84</f>
        <v>0</v>
      </c>
      <c r="D77" s="191" t="str">
        <f aca="false">Scoring!CY84</f>
        <v/>
      </c>
      <c r="E77" s="7" t="str">
        <f aca="false">Scoring!BZ84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Scoring!DA84</f>
        <v/>
      </c>
      <c r="I77" s="192" t="str">
        <f aca="false">Scoring!CZ84</f>
        <v/>
      </c>
    </row>
    <row r="78" customFormat="false" ht="15.75" hidden="false" customHeight="false" outlineLevel="0" collapsed="false">
      <c r="A78" s="7" t="str">
        <f aca="false">Scoring!DC85</f>
        <v/>
      </c>
      <c r="B78" s="7" t="str">
        <f aca="false">Scoring!DB85</f>
        <v/>
      </c>
      <c r="C78" s="7" t="n">
        <f aca="false">Scoring!C85</f>
        <v>0</v>
      </c>
      <c r="D78" s="191" t="str">
        <f aca="false">Scoring!CY85</f>
        <v/>
      </c>
      <c r="E78" s="7" t="str">
        <f aca="false">Scoring!BZ85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Scoring!DA85</f>
        <v/>
      </c>
      <c r="I78" s="192" t="str">
        <f aca="false">Scoring!CZ85</f>
        <v/>
      </c>
    </row>
    <row r="79" customFormat="false" ht="15.75" hidden="false" customHeight="false" outlineLevel="0" collapsed="false">
      <c r="A79" s="7" t="str">
        <f aca="false">Scoring!DC86</f>
        <v/>
      </c>
      <c r="B79" s="7" t="str">
        <f aca="false">Scoring!DB86</f>
        <v/>
      </c>
      <c r="C79" s="7" t="n">
        <f aca="false">Scoring!C86</f>
        <v>0</v>
      </c>
      <c r="D79" s="191" t="str">
        <f aca="false">Scoring!CY86</f>
        <v/>
      </c>
      <c r="E79" s="7" t="str">
        <f aca="false">Scoring!BZ86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Scoring!DA86</f>
        <v/>
      </c>
      <c r="I79" s="192" t="str">
        <f aca="false">Scoring!CZ86</f>
        <v/>
      </c>
    </row>
    <row r="80" customFormat="false" ht="15.75" hidden="false" customHeight="false" outlineLevel="0" collapsed="false">
      <c r="A80" s="7" t="str">
        <f aca="false">Scoring!DC87</f>
        <v/>
      </c>
      <c r="B80" s="7" t="str">
        <f aca="false">Scoring!DB87</f>
        <v/>
      </c>
      <c r="C80" s="7" t="n">
        <f aca="false">Scoring!C87</f>
        <v>0</v>
      </c>
      <c r="D80" s="191" t="str">
        <f aca="false">Scoring!CY87</f>
        <v/>
      </c>
      <c r="E80" s="7" t="str">
        <f aca="false">Scoring!BZ87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Scoring!DA87</f>
        <v/>
      </c>
      <c r="I80" s="192" t="str">
        <f aca="false">Scoring!CZ87</f>
        <v/>
      </c>
    </row>
    <row r="81" customFormat="false" ht="15.75" hidden="false" customHeight="false" outlineLevel="0" collapsed="false">
      <c r="A81" s="7" t="str">
        <f aca="false">Scoring!DC88</f>
        <v/>
      </c>
      <c r="B81" s="7" t="str">
        <f aca="false">Scoring!DB88</f>
        <v/>
      </c>
      <c r="C81" s="7" t="n">
        <f aca="false">Scoring!C88</f>
        <v>0</v>
      </c>
      <c r="D81" s="191" t="str">
        <f aca="false">Scoring!CY88</f>
        <v/>
      </c>
      <c r="E81" s="7" t="str">
        <f aca="false">Scoring!BZ88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Scoring!DA88</f>
        <v/>
      </c>
      <c r="I81" s="192" t="str">
        <f aca="false">Scoring!CZ88</f>
        <v/>
      </c>
    </row>
    <row r="82" customFormat="false" ht="15.75" hidden="false" customHeight="false" outlineLevel="0" collapsed="false">
      <c r="A82" s="7" t="str">
        <f aca="false">Scoring!DC89</f>
        <v/>
      </c>
      <c r="B82" s="7" t="str">
        <f aca="false">Scoring!DB89</f>
        <v/>
      </c>
      <c r="C82" s="7" t="n">
        <f aca="false">Scoring!C89</f>
        <v>0</v>
      </c>
      <c r="D82" s="191" t="str">
        <f aca="false">Scoring!CY89</f>
        <v/>
      </c>
      <c r="E82" s="7" t="str">
        <f aca="false">Scoring!BZ89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Scoring!DA89</f>
        <v/>
      </c>
      <c r="I82" s="192" t="str">
        <f aca="false">Scoring!CZ89</f>
        <v/>
      </c>
    </row>
    <row r="83" customFormat="false" ht="15.75" hidden="false" customHeight="false" outlineLevel="0" collapsed="false">
      <c r="A83" s="7" t="str">
        <f aca="false">Scoring!DC90</f>
        <v/>
      </c>
      <c r="B83" s="7" t="str">
        <f aca="false">Scoring!DB90</f>
        <v/>
      </c>
      <c r="C83" s="7" t="n">
        <f aca="false">Scoring!C90</f>
        <v>0</v>
      </c>
      <c r="D83" s="191" t="str">
        <f aca="false">Scoring!CY90</f>
        <v/>
      </c>
      <c r="E83" s="7" t="str">
        <f aca="false">Scoring!BZ90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Scoring!DA90</f>
        <v/>
      </c>
      <c r="I83" s="192" t="str">
        <f aca="false">Scoring!CZ90</f>
        <v/>
      </c>
    </row>
    <row r="84" customFormat="false" ht="15.75" hidden="false" customHeight="false" outlineLevel="0" collapsed="false">
      <c r="A84" s="7" t="str">
        <f aca="false">Scoring!DC91</f>
        <v/>
      </c>
      <c r="B84" s="7" t="str">
        <f aca="false">Scoring!DB91</f>
        <v/>
      </c>
      <c r="C84" s="7" t="n">
        <f aca="false">Scoring!C91</f>
        <v>0</v>
      </c>
      <c r="D84" s="191" t="str">
        <f aca="false">Scoring!CY91</f>
        <v/>
      </c>
      <c r="E84" s="7" t="str">
        <f aca="false">Scoring!BZ91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Scoring!DA91</f>
        <v/>
      </c>
      <c r="I84" s="192" t="str">
        <f aca="false">Scoring!CZ91</f>
        <v/>
      </c>
    </row>
    <row r="85" customFormat="false" ht="15.75" hidden="false" customHeight="false" outlineLevel="0" collapsed="false">
      <c r="A85" s="7" t="str">
        <f aca="false">Scoring!DC92</f>
        <v/>
      </c>
      <c r="B85" s="7" t="str">
        <f aca="false">Scoring!DB92</f>
        <v/>
      </c>
      <c r="C85" s="7" t="n">
        <f aca="false">Scoring!C92</f>
        <v>0</v>
      </c>
      <c r="D85" s="191" t="str">
        <f aca="false">Scoring!CY92</f>
        <v/>
      </c>
      <c r="E85" s="7" t="str">
        <f aca="false">Scoring!BZ92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Scoring!DA92</f>
        <v/>
      </c>
      <c r="I85" s="192" t="str">
        <f aca="false">Scoring!CZ92</f>
        <v/>
      </c>
    </row>
    <row r="86" customFormat="false" ht="15.75" hidden="false" customHeight="false" outlineLevel="0" collapsed="false">
      <c r="A86" s="7" t="str">
        <f aca="false">Scoring!DC93</f>
        <v/>
      </c>
      <c r="B86" s="7" t="str">
        <f aca="false">Scoring!DB93</f>
        <v/>
      </c>
      <c r="C86" s="7" t="n">
        <f aca="false">Scoring!C93</f>
        <v>0</v>
      </c>
      <c r="D86" s="191" t="str">
        <f aca="false">Scoring!CY93</f>
        <v/>
      </c>
      <c r="E86" s="7" t="str">
        <f aca="false">Scoring!BZ93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Scoring!DA93</f>
        <v/>
      </c>
      <c r="I86" s="192" t="str">
        <f aca="false">Scoring!CZ93</f>
        <v/>
      </c>
    </row>
    <row r="87" customFormat="false" ht="15.75" hidden="false" customHeight="false" outlineLevel="0" collapsed="false">
      <c r="A87" s="7" t="str">
        <f aca="false">Scoring!DC94</f>
        <v/>
      </c>
      <c r="B87" s="7" t="str">
        <f aca="false">Scoring!DB94</f>
        <v/>
      </c>
      <c r="C87" s="7" t="n">
        <f aca="false">Scoring!C94</f>
        <v>0</v>
      </c>
      <c r="D87" s="191" t="str">
        <f aca="false">Scoring!CY94</f>
        <v/>
      </c>
      <c r="E87" s="7" t="str">
        <f aca="false">Scoring!BZ94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Scoring!DA94</f>
        <v/>
      </c>
      <c r="I87" s="192" t="str">
        <f aca="false">Scoring!CZ94</f>
        <v/>
      </c>
    </row>
    <row r="88" customFormat="false" ht="15.75" hidden="false" customHeight="false" outlineLevel="0" collapsed="false">
      <c r="A88" s="7" t="str">
        <f aca="false">Scoring!DC95</f>
        <v/>
      </c>
      <c r="B88" s="7" t="str">
        <f aca="false">Scoring!DB95</f>
        <v/>
      </c>
      <c r="C88" s="7" t="n">
        <f aca="false">Scoring!C95</f>
        <v>0</v>
      </c>
      <c r="D88" s="191" t="str">
        <f aca="false">Scoring!CY95</f>
        <v/>
      </c>
      <c r="E88" s="7" t="str">
        <f aca="false">Scoring!BZ95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Scoring!DA95</f>
        <v/>
      </c>
      <c r="I88" s="192" t="str">
        <f aca="false">Scoring!CZ95</f>
        <v/>
      </c>
    </row>
    <row r="89" customFormat="false" ht="15.75" hidden="false" customHeight="false" outlineLevel="0" collapsed="false">
      <c r="A89" s="7" t="str">
        <f aca="false">Scoring!DC96</f>
        <v/>
      </c>
      <c r="B89" s="7" t="str">
        <f aca="false">Scoring!DB96</f>
        <v/>
      </c>
      <c r="C89" s="7" t="n">
        <f aca="false">Scoring!C96</f>
        <v>0</v>
      </c>
      <c r="D89" s="191" t="str">
        <f aca="false">Scoring!CY96</f>
        <v/>
      </c>
      <c r="E89" s="7" t="str">
        <f aca="false">Scoring!BZ96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Scoring!DA96</f>
        <v/>
      </c>
      <c r="I89" s="192" t="str">
        <f aca="false">Scoring!CZ96</f>
        <v/>
      </c>
    </row>
    <row r="90" customFormat="false" ht="15.75" hidden="false" customHeight="false" outlineLevel="0" collapsed="false">
      <c r="A90" s="7" t="str">
        <f aca="false">Scoring!DC97</f>
        <v/>
      </c>
      <c r="B90" s="7" t="str">
        <f aca="false">Scoring!DB97</f>
        <v/>
      </c>
      <c r="C90" s="7" t="n">
        <f aca="false">Scoring!C97</f>
        <v>0</v>
      </c>
      <c r="D90" s="191" t="str">
        <f aca="false">Scoring!CY97</f>
        <v/>
      </c>
      <c r="E90" s="7" t="str">
        <f aca="false">Scoring!BZ97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Scoring!DA97</f>
        <v/>
      </c>
      <c r="I90" s="192" t="str">
        <f aca="false">Scoring!CZ97</f>
        <v/>
      </c>
    </row>
    <row r="91" customFormat="false" ht="15.75" hidden="false" customHeight="false" outlineLevel="0" collapsed="false">
      <c r="A91" s="7" t="str">
        <f aca="false">Scoring!DC98</f>
        <v/>
      </c>
      <c r="B91" s="7" t="str">
        <f aca="false">Scoring!DB98</f>
        <v/>
      </c>
      <c r="C91" s="7" t="n">
        <f aca="false">Scoring!C98</f>
        <v>0</v>
      </c>
      <c r="D91" s="191" t="str">
        <f aca="false">Scoring!CY98</f>
        <v/>
      </c>
      <c r="E91" s="7" t="str">
        <f aca="false">Scoring!BZ98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Scoring!DA98</f>
        <v/>
      </c>
      <c r="I91" s="192" t="str">
        <f aca="false">Scoring!CZ98</f>
        <v/>
      </c>
    </row>
    <row r="92" customFormat="false" ht="15.75" hidden="false" customHeight="false" outlineLevel="0" collapsed="false">
      <c r="A92" s="7" t="str">
        <f aca="false">Scoring!DC99</f>
        <v/>
      </c>
      <c r="B92" s="7" t="str">
        <f aca="false">Scoring!DB99</f>
        <v/>
      </c>
      <c r="C92" s="7" t="n">
        <f aca="false">Scoring!C99</f>
        <v>0</v>
      </c>
      <c r="D92" s="191" t="str">
        <f aca="false">Scoring!CY99</f>
        <v/>
      </c>
      <c r="E92" s="7" t="str">
        <f aca="false">Scoring!BZ99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Scoring!DA99</f>
        <v/>
      </c>
      <c r="I92" s="192" t="str">
        <f aca="false">Scoring!CZ99</f>
        <v/>
      </c>
    </row>
    <row r="93" customFormat="false" ht="15.75" hidden="false" customHeight="false" outlineLevel="0" collapsed="false">
      <c r="A93" s="7" t="str">
        <f aca="false">Scoring!DC100</f>
        <v/>
      </c>
      <c r="B93" s="7" t="str">
        <f aca="false">Scoring!DB100</f>
        <v/>
      </c>
      <c r="C93" s="7" t="n">
        <f aca="false">Scoring!C100</f>
        <v>0</v>
      </c>
      <c r="D93" s="191" t="str">
        <f aca="false">Scoring!CY100</f>
        <v/>
      </c>
      <c r="E93" s="7" t="str">
        <f aca="false">Scoring!BZ100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Scoring!DA100</f>
        <v/>
      </c>
      <c r="I93" s="192" t="str">
        <f aca="false">Scoring!CZ100</f>
        <v/>
      </c>
    </row>
    <row r="94" customFormat="false" ht="15.75" hidden="false" customHeight="false" outlineLevel="0" collapsed="false">
      <c r="A94" s="7" t="str">
        <f aca="false">Scoring!DC101</f>
        <v/>
      </c>
      <c r="B94" s="7" t="str">
        <f aca="false">Scoring!DB101</f>
        <v/>
      </c>
      <c r="C94" s="7" t="n">
        <f aca="false">Scoring!C101</f>
        <v>0</v>
      </c>
      <c r="D94" s="191" t="str">
        <f aca="false">Scoring!CY101</f>
        <v/>
      </c>
      <c r="E94" s="7" t="str">
        <f aca="false">Scoring!BZ101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Scoring!DA101</f>
        <v/>
      </c>
      <c r="I94" s="192" t="str">
        <f aca="false">Scoring!CZ101</f>
        <v/>
      </c>
    </row>
    <row r="95" customFormat="false" ht="15.75" hidden="false" customHeight="false" outlineLevel="0" collapsed="false">
      <c r="A95" s="7" t="str">
        <f aca="false">Scoring!DC102</f>
        <v/>
      </c>
      <c r="B95" s="7" t="str">
        <f aca="false">Scoring!DB102</f>
        <v/>
      </c>
      <c r="C95" s="7" t="n">
        <f aca="false">Scoring!C102</f>
        <v>0</v>
      </c>
      <c r="D95" s="191" t="str">
        <f aca="false">Scoring!CY102</f>
        <v/>
      </c>
      <c r="E95" s="7" t="str">
        <f aca="false">Scoring!BZ102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Scoring!DA102</f>
        <v/>
      </c>
      <c r="I95" s="192" t="str">
        <f aca="false">Scoring!CZ102</f>
        <v/>
      </c>
    </row>
    <row r="96" customFormat="false" ht="15.75" hidden="false" customHeight="false" outlineLevel="0" collapsed="false">
      <c r="A96" s="7" t="str">
        <f aca="false">Scoring!DC103</f>
        <v/>
      </c>
      <c r="B96" s="7" t="str">
        <f aca="false">Scoring!DB103</f>
        <v/>
      </c>
      <c r="C96" s="7" t="n">
        <f aca="false">Scoring!C103</f>
        <v>0</v>
      </c>
      <c r="D96" s="191" t="str">
        <f aca="false">Scoring!CY103</f>
        <v/>
      </c>
      <c r="E96" s="7" t="str">
        <f aca="false">Scoring!BZ103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Scoring!DA103</f>
        <v/>
      </c>
      <c r="I96" s="192" t="str">
        <f aca="false">Scoring!CZ103</f>
        <v/>
      </c>
    </row>
    <row r="97" customFormat="false" ht="15.75" hidden="false" customHeight="false" outlineLevel="0" collapsed="false">
      <c r="A97" s="7" t="str">
        <f aca="false">Scoring!DC104</f>
        <v/>
      </c>
      <c r="B97" s="7" t="str">
        <f aca="false">Scoring!DB104</f>
        <v/>
      </c>
      <c r="C97" s="7" t="n">
        <f aca="false">Scoring!C104</f>
        <v>0</v>
      </c>
      <c r="D97" s="191" t="str">
        <f aca="false">Scoring!CY104</f>
        <v/>
      </c>
      <c r="E97" s="7" t="str">
        <f aca="false">Scoring!BZ104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Scoring!DA104</f>
        <v/>
      </c>
      <c r="I97" s="192" t="str">
        <f aca="false">Scoring!CZ104</f>
        <v/>
      </c>
    </row>
    <row r="98" customFormat="false" ht="15.75" hidden="false" customHeight="false" outlineLevel="0" collapsed="false">
      <c r="A98" s="7" t="str">
        <f aca="false">Scoring!DC105</f>
        <v/>
      </c>
      <c r="B98" s="7" t="str">
        <f aca="false">Scoring!DB105</f>
        <v/>
      </c>
      <c r="C98" s="7" t="n">
        <f aca="false">Scoring!C105</f>
        <v>0</v>
      </c>
      <c r="D98" s="191" t="str">
        <f aca="false">Scoring!CY105</f>
        <v/>
      </c>
      <c r="E98" s="7" t="str">
        <f aca="false">Scoring!BZ105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Scoring!DA105</f>
        <v/>
      </c>
      <c r="I98" s="192" t="str">
        <f aca="false">Scoring!CZ105</f>
        <v/>
      </c>
    </row>
    <row r="99" customFormat="false" ht="15.75" hidden="false" customHeight="false" outlineLevel="0" collapsed="false">
      <c r="A99" s="7" t="str">
        <f aca="false">Scoring!DC106</f>
        <v/>
      </c>
      <c r="B99" s="7" t="str">
        <f aca="false">Scoring!DB106</f>
        <v/>
      </c>
      <c r="C99" s="7" t="n">
        <f aca="false">Scoring!C106</f>
        <v>0</v>
      </c>
      <c r="D99" s="191" t="str">
        <f aca="false">Scoring!CY106</f>
        <v/>
      </c>
      <c r="E99" s="7" t="str">
        <f aca="false">Scoring!BZ106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Scoring!DA106</f>
        <v/>
      </c>
      <c r="I99" s="192" t="str">
        <f aca="false">Scoring!CZ106</f>
        <v/>
      </c>
    </row>
    <row r="100" customFormat="false" ht="15.75" hidden="false" customHeight="false" outlineLevel="0" collapsed="false">
      <c r="A100" s="7" t="str">
        <f aca="false">Scoring!DC107</f>
        <v/>
      </c>
      <c r="B100" s="7" t="str">
        <f aca="false">Scoring!DB107</f>
        <v/>
      </c>
      <c r="C100" s="7" t="n">
        <f aca="false">Scoring!C107</f>
        <v>0</v>
      </c>
      <c r="D100" s="191" t="str">
        <f aca="false">Scoring!CY107</f>
        <v/>
      </c>
      <c r="E100" s="7" t="str">
        <f aca="false">Scoring!BZ107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Scoring!DA107</f>
        <v/>
      </c>
      <c r="I100" s="192" t="str">
        <f aca="false">Scoring!CZ107</f>
        <v/>
      </c>
    </row>
    <row r="101" customFormat="false" ht="15.75" hidden="false" customHeight="false" outlineLevel="0" collapsed="false">
      <c r="A101" s="7" t="str">
        <f aca="false">Scoring!DC108</f>
        <v/>
      </c>
      <c r="B101" s="7" t="str">
        <f aca="false">Scoring!DB108</f>
        <v/>
      </c>
      <c r="C101" s="7" t="n">
        <f aca="false">Scoring!C108</f>
        <v>0</v>
      </c>
      <c r="D101" s="191" t="str">
        <f aca="false">Scoring!CY108</f>
        <v/>
      </c>
      <c r="E101" s="7" t="str">
        <f aca="false">Scoring!BZ108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Scoring!DA108</f>
        <v/>
      </c>
      <c r="I101" s="192" t="str">
        <f aca="false">Scoring!CZ108</f>
        <v/>
      </c>
    </row>
    <row r="102" customFormat="false" ht="15.75" hidden="false" customHeight="false" outlineLevel="0" collapsed="false">
      <c r="A102" s="7" t="str">
        <f aca="false">Scoring!DC109</f>
        <v/>
      </c>
      <c r="B102" s="7" t="str">
        <f aca="false">Scoring!DB109</f>
        <v/>
      </c>
      <c r="C102" s="7" t="n">
        <f aca="false">Scoring!C109</f>
        <v>0</v>
      </c>
      <c r="D102" s="191" t="str">
        <f aca="false">Scoring!CY109</f>
        <v/>
      </c>
      <c r="E102" s="7" t="str">
        <f aca="false">Scoring!BZ109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Scoring!DA109</f>
        <v/>
      </c>
      <c r="I102" s="192" t="str">
        <f aca="false">Scoring!CZ109</f>
        <v/>
      </c>
    </row>
    <row r="103" customFormat="false" ht="15.75" hidden="false" customHeight="false" outlineLevel="0" collapsed="false">
      <c r="A103" s="7" t="str">
        <f aca="false">Scoring!DC110</f>
        <v/>
      </c>
      <c r="B103" s="7" t="str">
        <f aca="false">Scoring!DB110</f>
        <v/>
      </c>
      <c r="C103" s="7" t="n">
        <f aca="false">Scoring!C110</f>
        <v>0</v>
      </c>
      <c r="D103" s="191" t="str">
        <f aca="false">Scoring!CY110</f>
        <v/>
      </c>
      <c r="E103" s="7" t="str">
        <f aca="false">Scoring!BZ110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Scoring!DA110</f>
        <v/>
      </c>
      <c r="I103" s="192" t="str">
        <f aca="false">Scoring!CZ110</f>
        <v/>
      </c>
    </row>
    <row r="104" customFormat="false" ht="15.75" hidden="false" customHeight="false" outlineLevel="0" collapsed="false">
      <c r="A104" s="7" t="str">
        <f aca="false">Scoring!DC111</f>
        <v/>
      </c>
      <c r="B104" s="7" t="str">
        <f aca="false">Scoring!DB111</f>
        <v/>
      </c>
      <c r="C104" s="7" t="n">
        <f aca="false">Scoring!C111</f>
        <v>0</v>
      </c>
      <c r="D104" s="191" t="str">
        <f aca="false">Scoring!CY111</f>
        <v/>
      </c>
      <c r="E104" s="7" t="str">
        <f aca="false">Scoring!BZ111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Scoring!DA111</f>
        <v/>
      </c>
      <c r="I104" s="192" t="str">
        <f aca="false">Scoring!CZ111</f>
        <v/>
      </c>
    </row>
    <row r="105" customFormat="false" ht="15.75" hidden="false" customHeight="false" outlineLevel="0" collapsed="false">
      <c r="A105" s="7" t="str">
        <f aca="false">Scoring!DC112</f>
        <v/>
      </c>
      <c r="B105" s="7" t="str">
        <f aca="false">Scoring!DB112</f>
        <v/>
      </c>
      <c r="C105" s="7" t="n">
        <f aca="false">Scoring!C112</f>
        <v>0</v>
      </c>
      <c r="D105" s="191" t="str">
        <f aca="false">Scoring!CY112</f>
        <v/>
      </c>
      <c r="E105" s="7" t="str">
        <f aca="false">Scoring!BZ112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Scoring!DA112</f>
        <v/>
      </c>
      <c r="I105" s="192" t="str">
        <f aca="false">Scoring!CZ112</f>
        <v/>
      </c>
    </row>
    <row r="106" customFormat="false" ht="15.75" hidden="false" customHeight="false" outlineLevel="0" collapsed="false">
      <c r="A106" s="7" t="str">
        <f aca="false">Scoring!DC113</f>
        <v/>
      </c>
      <c r="B106" s="7" t="str">
        <f aca="false">Scoring!DB113</f>
        <v/>
      </c>
      <c r="C106" s="7" t="n">
        <f aca="false">Scoring!C113</f>
        <v>0</v>
      </c>
      <c r="D106" s="191" t="str">
        <f aca="false">Scoring!CY113</f>
        <v/>
      </c>
      <c r="E106" s="7" t="str">
        <f aca="false">Scoring!BZ113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Scoring!DA113</f>
        <v/>
      </c>
      <c r="I106" s="192" t="str">
        <f aca="false">Scoring!CZ113</f>
        <v/>
      </c>
    </row>
    <row r="107" customFormat="false" ht="15.75" hidden="false" customHeight="false" outlineLevel="0" collapsed="false">
      <c r="A107" s="7" t="str">
        <f aca="false">Scoring!DC114</f>
        <v/>
      </c>
      <c r="B107" s="7" t="str">
        <f aca="false">Scoring!DB114</f>
        <v/>
      </c>
      <c r="C107" s="7" t="n">
        <f aca="false">Scoring!C114</f>
        <v>0</v>
      </c>
      <c r="D107" s="191" t="str">
        <f aca="false">Scoring!CY114</f>
        <v/>
      </c>
      <c r="E107" s="7" t="str">
        <f aca="false">Scoring!BZ114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Scoring!DA114</f>
        <v/>
      </c>
      <c r="I107" s="192" t="str">
        <f aca="false">Scoring!CZ114</f>
        <v/>
      </c>
    </row>
    <row r="108" customFormat="false" ht="15.75" hidden="false" customHeight="false" outlineLevel="0" collapsed="false">
      <c r="A108" s="7" t="str">
        <f aca="false">Scoring!DC115</f>
        <v/>
      </c>
      <c r="B108" s="7" t="str">
        <f aca="false">Scoring!DB115</f>
        <v/>
      </c>
      <c r="C108" s="7" t="n">
        <f aca="false">Scoring!C115</f>
        <v>0</v>
      </c>
      <c r="D108" s="191" t="str">
        <f aca="false">Scoring!CY115</f>
        <v/>
      </c>
      <c r="E108" s="7" t="str">
        <f aca="false">Scoring!BZ115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Scoring!DA115</f>
        <v/>
      </c>
      <c r="I108" s="192" t="str">
        <f aca="false">Scoring!CZ115</f>
        <v/>
      </c>
    </row>
    <row r="109" customFormat="false" ht="15.75" hidden="false" customHeight="false" outlineLevel="0" collapsed="false">
      <c r="A109" s="7" t="str">
        <f aca="false">Scoring!DC116</f>
        <v/>
      </c>
      <c r="B109" s="7" t="str">
        <f aca="false">Scoring!DB116</f>
        <v/>
      </c>
      <c r="C109" s="7" t="n">
        <f aca="false">Scoring!C116</f>
        <v>0</v>
      </c>
      <c r="D109" s="191" t="str">
        <f aca="false">Scoring!CY116</f>
        <v/>
      </c>
      <c r="E109" s="7" t="str">
        <f aca="false">Scoring!BZ116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Scoring!DA116</f>
        <v/>
      </c>
      <c r="I109" s="192" t="str">
        <f aca="false">Scoring!CZ116</f>
        <v/>
      </c>
    </row>
    <row r="110" customFormat="false" ht="15.75" hidden="false" customHeight="false" outlineLevel="0" collapsed="false">
      <c r="A110" s="7" t="str">
        <f aca="false">Scoring!DC117</f>
        <v/>
      </c>
      <c r="B110" s="7" t="str">
        <f aca="false">Scoring!DB117</f>
        <v/>
      </c>
      <c r="C110" s="7" t="n">
        <f aca="false">Scoring!C117</f>
        <v>0</v>
      </c>
      <c r="D110" s="191" t="str">
        <f aca="false">Scoring!CY117</f>
        <v/>
      </c>
      <c r="E110" s="7" t="str">
        <f aca="false">Scoring!BZ117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Scoring!DA117</f>
        <v/>
      </c>
      <c r="I110" s="192" t="str">
        <f aca="false">Scoring!CZ117</f>
        <v/>
      </c>
    </row>
    <row r="111" customFormat="false" ht="15.75" hidden="false" customHeight="false" outlineLevel="0" collapsed="false">
      <c r="A111" s="7" t="str">
        <f aca="false">Scoring!DC118</f>
        <v/>
      </c>
      <c r="B111" s="7" t="str">
        <f aca="false">Scoring!DB118</f>
        <v/>
      </c>
      <c r="C111" s="7" t="n">
        <f aca="false">Scoring!C118</f>
        <v>0</v>
      </c>
      <c r="D111" s="191" t="str">
        <f aca="false">Scoring!CY118</f>
        <v/>
      </c>
      <c r="E111" s="7" t="str">
        <f aca="false">Scoring!BZ118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Scoring!DA118</f>
        <v/>
      </c>
      <c r="I111" s="192" t="str">
        <f aca="false">Scoring!CZ118</f>
        <v/>
      </c>
    </row>
    <row r="112" customFormat="false" ht="15.75" hidden="false" customHeight="false" outlineLevel="0" collapsed="false">
      <c r="A112" s="7" t="str">
        <f aca="false">Scoring!DC119</f>
        <v/>
      </c>
      <c r="B112" s="7" t="str">
        <f aca="false">Scoring!DB119</f>
        <v/>
      </c>
      <c r="C112" s="7" t="n">
        <f aca="false">Scoring!C119</f>
        <v>0</v>
      </c>
      <c r="D112" s="191" t="str">
        <f aca="false">Scoring!CY119</f>
        <v/>
      </c>
      <c r="E112" s="7" t="str">
        <f aca="false">Scoring!BZ119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Scoring!DA119</f>
        <v/>
      </c>
      <c r="I112" s="192" t="str">
        <f aca="false">Scoring!CZ119</f>
        <v/>
      </c>
    </row>
    <row r="113" customFormat="false" ht="15.75" hidden="false" customHeight="false" outlineLevel="0" collapsed="false">
      <c r="A113" s="7" t="str">
        <f aca="false">Scoring!DC120</f>
        <v/>
      </c>
      <c r="B113" s="7" t="str">
        <f aca="false">Scoring!DB120</f>
        <v/>
      </c>
      <c r="C113" s="7" t="n">
        <f aca="false">Scoring!C120</f>
        <v>0</v>
      </c>
      <c r="D113" s="191" t="str">
        <f aca="false">Scoring!CY120</f>
        <v/>
      </c>
      <c r="E113" s="7" t="str">
        <f aca="false">Scoring!BZ120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Scoring!DA120</f>
        <v/>
      </c>
      <c r="I113" s="192" t="str">
        <f aca="false">Scoring!CZ120</f>
        <v/>
      </c>
    </row>
    <row r="114" customFormat="false" ht="15.75" hidden="false" customHeight="false" outlineLevel="0" collapsed="false">
      <c r="A114" s="7" t="str">
        <f aca="false">Scoring!DC121</f>
        <v/>
      </c>
      <c r="B114" s="7" t="str">
        <f aca="false">Scoring!DB121</f>
        <v/>
      </c>
      <c r="C114" s="7" t="n">
        <f aca="false">Scoring!C121</f>
        <v>0</v>
      </c>
      <c r="D114" s="191" t="str">
        <f aca="false">Scoring!CY121</f>
        <v/>
      </c>
      <c r="E114" s="7" t="str">
        <f aca="false">Scoring!BZ121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Scoring!DA121</f>
        <v/>
      </c>
      <c r="I114" s="192" t="str">
        <f aca="false">Scoring!CZ121</f>
        <v/>
      </c>
    </row>
    <row r="115" customFormat="false" ht="15.75" hidden="false" customHeight="false" outlineLevel="0" collapsed="false">
      <c r="A115" s="7" t="str">
        <f aca="false">Scoring!DC122</f>
        <v/>
      </c>
      <c r="B115" s="7" t="str">
        <f aca="false">Scoring!DB122</f>
        <v/>
      </c>
      <c r="C115" s="7" t="n">
        <f aca="false">Scoring!C122</f>
        <v>0</v>
      </c>
      <c r="D115" s="191" t="str">
        <f aca="false">Scoring!CY122</f>
        <v/>
      </c>
      <c r="E115" s="7" t="str">
        <f aca="false">Scoring!BZ122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Scoring!DA122</f>
        <v/>
      </c>
      <c r="I115" s="192" t="str">
        <f aca="false">Scoring!CZ122</f>
        <v/>
      </c>
    </row>
    <row r="116" customFormat="false" ht="15.75" hidden="false" customHeight="false" outlineLevel="0" collapsed="false">
      <c r="A116" s="7" t="str">
        <f aca="false">Scoring!DC123</f>
        <v/>
      </c>
      <c r="B116" s="7" t="str">
        <f aca="false">Scoring!DB123</f>
        <v/>
      </c>
      <c r="C116" s="7" t="n">
        <f aca="false">Scoring!C123</f>
        <v>0</v>
      </c>
      <c r="D116" s="191" t="str">
        <f aca="false">Scoring!CY123</f>
        <v/>
      </c>
      <c r="E116" s="7" t="str">
        <f aca="false">Scoring!BZ123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Scoring!DA123</f>
        <v/>
      </c>
      <c r="I116" s="192" t="str">
        <f aca="false">Scoring!CZ123</f>
        <v/>
      </c>
    </row>
    <row r="117" customFormat="false" ht="15.75" hidden="false" customHeight="false" outlineLevel="0" collapsed="false">
      <c r="A117" s="7" t="str">
        <f aca="false">Scoring!DC124</f>
        <v/>
      </c>
      <c r="B117" s="7" t="str">
        <f aca="false">Scoring!DB124</f>
        <v/>
      </c>
      <c r="C117" s="7" t="n">
        <f aca="false">Scoring!C124</f>
        <v>0</v>
      </c>
      <c r="D117" s="191" t="str">
        <f aca="false">Scoring!CY124</f>
        <v/>
      </c>
      <c r="E117" s="7" t="str">
        <f aca="false">Scoring!BZ124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Scoring!DA124</f>
        <v/>
      </c>
      <c r="I117" s="192" t="str">
        <f aca="false">Scoring!CZ124</f>
        <v/>
      </c>
    </row>
    <row r="118" customFormat="false" ht="15.75" hidden="false" customHeight="false" outlineLevel="0" collapsed="false">
      <c r="A118" s="7" t="str">
        <f aca="false">Scoring!DC125</f>
        <v/>
      </c>
      <c r="B118" s="7" t="str">
        <f aca="false">Scoring!DB125</f>
        <v/>
      </c>
      <c r="C118" s="7" t="n">
        <f aca="false">Scoring!C125</f>
        <v>0</v>
      </c>
      <c r="D118" s="191" t="str">
        <f aca="false">Scoring!CY125</f>
        <v/>
      </c>
      <c r="E118" s="7" t="str">
        <f aca="false">Scoring!BZ125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Scoring!DA125</f>
        <v/>
      </c>
      <c r="I118" s="192" t="str">
        <f aca="false">Scoring!CZ125</f>
        <v/>
      </c>
    </row>
    <row r="119" customFormat="false" ht="15.75" hidden="false" customHeight="false" outlineLevel="0" collapsed="false">
      <c r="A119" s="7" t="str">
        <f aca="false">Scoring!DC126</f>
        <v/>
      </c>
      <c r="B119" s="7" t="str">
        <f aca="false">Scoring!DB126</f>
        <v/>
      </c>
      <c r="C119" s="7" t="n">
        <f aca="false">Scoring!C126</f>
        <v>0</v>
      </c>
      <c r="D119" s="191" t="str">
        <f aca="false">Scoring!CY126</f>
        <v/>
      </c>
      <c r="E119" s="7" t="str">
        <f aca="false">Scoring!BZ126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Scoring!DA126</f>
        <v/>
      </c>
      <c r="I119" s="192" t="str">
        <f aca="false">Scoring!CZ126</f>
        <v/>
      </c>
    </row>
    <row r="120" customFormat="false" ht="15.75" hidden="false" customHeight="false" outlineLevel="0" collapsed="false">
      <c r="A120" s="7" t="str">
        <f aca="false">Scoring!DC127</f>
        <v/>
      </c>
      <c r="B120" s="7" t="str">
        <f aca="false">Scoring!DB127</f>
        <v/>
      </c>
      <c r="C120" s="7" t="n">
        <f aca="false">Scoring!C127</f>
        <v>0</v>
      </c>
      <c r="D120" s="191" t="str">
        <f aca="false">Scoring!CY127</f>
        <v/>
      </c>
      <c r="E120" s="7" t="str">
        <f aca="false">Scoring!BZ127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Scoring!DA127</f>
        <v/>
      </c>
      <c r="I120" s="192" t="str">
        <f aca="false">Scoring!CZ127</f>
        <v/>
      </c>
    </row>
    <row r="121" customFormat="false" ht="15.75" hidden="false" customHeight="false" outlineLevel="0" collapsed="false">
      <c r="A121" s="7" t="str">
        <f aca="false">Scoring!DC128</f>
        <v/>
      </c>
      <c r="B121" s="7" t="str">
        <f aca="false">Scoring!DB128</f>
        <v/>
      </c>
      <c r="C121" s="7" t="n">
        <f aca="false">Scoring!C128</f>
        <v>0</v>
      </c>
      <c r="D121" s="191" t="str">
        <f aca="false">Scoring!CY128</f>
        <v/>
      </c>
      <c r="E121" s="7" t="str">
        <f aca="false">Scoring!BZ128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Scoring!DA128</f>
        <v/>
      </c>
      <c r="I121" s="192" t="str">
        <f aca="false">Scoring!CZ128</f>
        <v/>
      </c>
    </row>
    <row r="122" customFormat="false" ht="15.75" hidden="false" customHeight="false" outlineLevel="0" collapsed="false">
      <c r="A122" s="7" t="str">
        <f aca="false">Scoring!DC129</f>
        <v/>
      </c>
      <c r="B122" s="7" t="str">
        <f aca="false">Scoring!DB129</f>
        <v/>
      </c>
      <c r="C122" s="7" t="n">
        <f aca="false">Scoring!C129</f>
        <v>0</v>
      </c>
      <c r="D122" s="191" t="str">
        <f aca="false">Scoring!CY129</f>
        <v/>
      </c>
      <c r="E122" s="7" t="str">
        <f aca="false">Scoring!BZ129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Scoring!DA129</f>
        <v/>
      </c>
      <c r="I122" s="192" t="str">
        <f aca="false">Scoring!CZ129</f>
        <v/>
      </c>
    </row>
    <row r="123" customFormat="false" ht="15.75" hidden="false" customHeight="false" outlineLevel="0" collapsed="false">
      <c r="A123" s="7" t="str">
        <f aca="false">Scoring!DC130</f>
        <v/>
      </c>
      <c r="B123" s="7" t="str">
        <f aca="false">Scoring!DB130</f>
        <v/>
      </c>
      <c r="C123" s="7" t="n">
        <f aca="false">Scoring!C130</f>
        <v>0</v>
      </c>
      <c r="D123" s="191" t="str">
        <f aca="false">Scoring!CY130</f>
        <v/>
      </c>
      <c r="E123" s="7" t="str">
        <f aca="false">Scoring!BZ130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Scoring!DA130</f>
        <v/>
      </c>
      <c r="I123" s="192" t="str">
        <f aca="false">Scoring!CZ130</f>
        <v/>
      </c>
    </row>
    <row r="124" customFormat="false" ht="15.75" hidden="false" customHeight="false" outlineLevel="0" collapsed="false">
      <c r="A124" s="7" t="str">
        <f aca="false">Scoring!DC131</f>
        <v/>
      </c>
      <c r="B124" s="7" t="str">
        <f aca="false">Scoring!DB131</f>
        <v/>
      </c>
      <c r="C124" s="7" t="n">
        <f aca="false">Scoring!C131</f>
        <v>0</v>
      </c>
      <c r="D124" s="191" t="str">
        <f aca="false">Scoring!CY131</f>
        <v/>
      </c>
      <c r="E124" s="7" t="str">
        <f aca="false">Scoring!BZ131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Scoring!DA131</f>
        <v/>
      </c>
      <c r="I124" s="192" t="str">
        <f aca="false">Scoring!CZ131</f>
        <v/>
      </c>
    </row>
    <row r="125" customFormat="false" ht="15.75" hidden="false" customHeight="false" outlineLevel="0" collapsed="false">
      <c r="A125" s="7" t="str">
        <f aca="false">Scoring!DC132</f>
        <v/>
      </c>
      <c r="B125" s="7" t="str">
        <f aca="false">Scoring!DB132</f>
        <v/>
      </c>
      <c r="C125" s="7" t="n">
        <f aca="false">Scoring!C132</f>
        <v>0</v>
      </c>
      <c r="D125" s="191" t="str">
        <f aca="false">Scoring!CY132</f>
        <v/>
      </c>
      <c r="E125" s="7" t="str">
        <f aca="false">Scoring!BZ132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Scoring!DA132</f>
        <v/>
      </c>
      <c r="I125" s="192" t="str">
        <f aca="false">Scoring!CZ132</f>
        <v/>
      </c>
    </row>
    <row r="126" customFormat="false" ht="15.75" hidden="false" customHeight="false" outlineLevel="0" collapsed="false">
      <c r="A126" s="7" t="str">
        <f aca="false">Scoring!DC133</f>
        <v/>
      </c>
      <c r="B126" s="7" t="str">
        <f aca="false">Scoring!DB133</f>
        <v/>
      </c>
      <c r="C126" s="7" t="n">
        <f aca="false">Scoring!C133</f>
        <v>0</v>
      </c>
      <c r="D126" s="191" t="str">
        <f aca="false">Scoring!CY133</f>
        <v/>
      </c>
      <c r="E126" s="7" t="str">
        <f aca="false">Scoring!BZ133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Scoring!DA133</f>
        <v/>
      </c>
      <c r="I126" s="192" t="str">
        <f aca="false">Scoring!CZ133</f>
        <v/>
      </c>
    </row>
    <row r="127" customFormat="false" ht="15.75" hidden="false" customHeight="false" outlineLevel="0" collapsed="false">
      <c r="A127" s="7" t="str">
        <f aca="false">Scoring!DC134</f>
        <v/>
      </c>
      <c r="B127" s="7" t="str">
        <f aca="false">Scoring!DB134</f>
        <v/>
      </c>
      <c r="C127" s="7" t="n">
        <f aca="false">Scoring!C134</f>
        <v>0</v>
      </c>
      <c r="D127" s="191" t="str">
        <f aca="false">Scoring!CY134</f>
        <v/>
      </c>
      <c r="E127" s="7" t="str">
        <f aca="false">Scoring!BZ134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Scoring!DA134</f>
        <v/>
      </c>
      <c r="I127" s="192" t="str">
        <f aca="false">Scoring!CZ134</f>
        <v/>
      </c>
    </row>
    <row r="128" customFormat="false" ht="15.75" hidden="false" customHeight="false" outlineLevel="0" collapsed="false">
      <c r="A128" s="7" t="str">
        <f aca="false">Scoring!DC135</f>
        <v/>
      </c>
      <c r="B128" s="7" t="str">
        <f aca="false">Scoring!DB135</f>
        <v/>
      </c>
      <c r="C128" s="7" t="n">
        <f aca="false">Scoring!C135</f>
        <v>0</v>
      </c>
      <c r="D128" s="191" t="str">
        <f aca="false">Scoring!CY135</f>
        <v/>
      </c>
      <c r="E128" s="7" t="str">
        <f aca="false">Scoring!BZ135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Scoring!DA135</f>
        <v/>
      </c>
      <c r="I128" s="192" t="str">
        <f aca="false">Scoring!CZ135</f>
        <v/>
      </c>
    </row>
    <row r="129" customFormat="false" ht="15.75" hidden="false" customHeight="false" outlineLevel="0" collapsed="false">
      <c r="A129" s="7" t="str">
        <f aca="false">Scoring!DC136</f>
        <v/>
      </c>
      <c r="B129" s="7" t="str">
        <f aca="false">Scoring!DB136</f>
        <v/>
      </c>
      <c r="C129" s="7" t="n">
        <f aca="false">Scoring!C136</f>
        <v>0</v>
      </c>
      <c r="D129" s="191" t="str">
        <f aca="false">Scoring!CY136</f>
        <v/>
      </c>
      <c r="E129" s="7" t="str">
        <f aca="false">Scoring!BZ136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Scoring!DA136</f>
        <v/>
      </c>
      <c r="I129" s="192" t="str">
        <f aca="false">Scoring!CZ136</f>
        <v/>
      </c>
    </row>
    <row r="130" customFormat="false" ht="15.75" hidden="false" customHeight="false" outlineLevel="0" collapsed="false">
      <c r="A130" s="7" t="str">
        <f aca="false">Scoring!DC137</f>
        <v/>
      </c>
      <c r="B130" s="7" t="str">
        <f aca="false">Scoring!DB137</f>
        <v/>
      </c>
      <c r="C130" s="7" t="n">
        <f aca="false">Scoring!C137</f>
        <v>0</v>
      </c>
      <c r="D130" s="191" t="str">
        <f aca="false">Scoring!CY137</f>
        <v/>
      </c>
      <c r="E130" s="7" t="str">
        <f aca="false">Scoring!BZ137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Scoring!DA137</f>
        <v/>
      </c>
      <c r="I130" s="192" t="str">
        <f aca="false">Scoring!CZ137</f>
        <v/>
      </c>
    </row>
    <row r="131" customFormat="false" ht="15.75" hidden="false" customHeight="false" outlineLevel="0" collapsed="false">
      <c r="A131" s="7" t="str">
        <f aca="false">Scoring!DC138</f>
        <v/>
      </c>
      <c r="B131" s="7" t="str">
        <f aca="false">Scoring!DB138</f>
        <v/>
      </c>
      <c r="C131" s="7" t="n">
        <f aca="false">Scoring!C138</f>
        <v>0</v>
      </c>
      <c r="D131" s="191" t="str">
        <f aca="false">Scoring!CY138</f>
        <v/>
      </c>
      <c r="E131" s="7" t="str">
        <f aca="false">Scoring!BZ138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Scoring!DA138</f>
        <v/>
      </c>
      <c r="I131" s="192" t="str">
        <f aca="false">Scoring!CZ138</f>
        <v/>
      </c>
    </row>
    <row r="132" customFormat="false" ht="15.75" hidden="false" customHeight="false" outlineLevel="0" collapsed="false">
      <c r="A132" s="7" t="str">
        <f aca="false">Scoring!DC139</f>
        <v/>
      </c>
      <c r="B132" s="7" t="str">
        <f aca="false">Scoring!DB139</f>
        <v/>
      </c>
      <c r="C132" s="7" t="n">
        <f aca="false">Scoring!C139</f>
        <v>0</v>
      </c>
      <c r="D132" s="191" t="str">
        <f aca="false">Scoring!CY139</f>
        <v/>
      </c>
      <c r="E132" s="7" t="str">
        <f aca="false">Scoring!BZ139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Scoring!DA139</f>
        <v/>
      </c>
      <c r="I132" s="192" t="str">
        <f aca="false">Scoring!CZ139</f>
        <v/>
      </c>
    </row>
    <row r="133" customFormat="false" ht="15.75" hidden="false" customHeight="false" outlineLevel="0" collapsed="false">
      <c r="A133" s="7" t="str">
        <f aca="false">Scoring!DC140</f>
        <v/>
      </c>
      <c r="B133" s="7" t="str">
        <f aca="false">Scoring!DB140</f>
        <v/>
      </c>
      <c r="C133" s="7" t="n">
        <f aca="false">Scoring!C140</f>
        <v>0</v>
      </c>
      <c r="D133" s="191" t="str">
        <f aca="false">Scoring!CY140</f>
        <v/>
      </c>
      <c r="E133" s="7" t="str">
        <f aca="false">Scoring!BZ140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Scoring!DA140</f>
        <v/>
      </c>
      <c r="I133" s="192" t="str">
        <f aca="false">Scoring!CZ140</f>
        <v/>
      </c>
    </row>
    <row r="134" customFormat="false" ht="15.75" hidden="false" customHeight="false" outlineLevel="0" collapsed="false">
      <c r="A134" s="7" t="str">
        <f aca="false">Scoring!DC141</f>
        <v/>
      </c>
      <c r="B134" s="7" t="str">
        <f aca="false">Scoring!DB141</f>
        <v/>
      </c>
      <c r="C134" s="7" t="n">
        <f aca="false">Scoring!C141</f>
        <v>0</v>
      </c>
      <c r="D134" s="191" t="str">
        <f aca="false">Scoring!CY141</f>
        <v/>
      </c>
      <c r="E134" s="7" t="str">
        <f aca="false">Scoring!BZ141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Scoring!DA141</f>
        <v/>
      </c>
      <c r="I134" s="192" t="str">
        <f aca="false">Scoring!CZ141</f>
        <v/>
      </c>
    </row>
    <row r="135" customFormat="false" ht="15.75" hidden="false" customHeight="false" outlineLevel="0" collapsed="false">
      <c r="A135" s="7" t="str">
        <f aca="false">Scoring!DC142</f>
        <v/>
      </c>
      <c r="B135" s="7" t="str">
        <f aca="false">Scoring!DB142</f>
        <v/>
      </c>
      <c r="C135" s="7" t="n">
        <f aca="false">Scoring!C142</f>
        <v>0</v>
      </c>
      <c r="D135" s="191" t="str">
        <f aca="false">Scoring!CY142</f>
        <v/>
      </c>
      <c r="E135" s="7" t="str">
        <f aca="false">Scoring!BZ142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Scoring!DA142</f>
        <v/>
      </c>
      <c r="I135" s="192" t="str">
        <f aca="false">Scoring!CZ142</f>
        <v/>
      </c>
    </row>
    <row r="136" customFormat="false" ht="15.75" hidden="false" customHeight="false" outlineLevel="0" collapsed="false">
      <c r="A136" s="7" t="str">
        <f aca="false">Scoring!DC143</f>
        <v/>
      </c>
      <c r="B136" s="7" t="str">
        <f aca="false">Scoring!DB143</f>
        <v/>
      </c>
      <c r="C136" s="7" t="n">
        <f aca="false">Scoring!C143</f>
        <v>0</v>
      </c>
      <c r="D136" s="191" t="str">
        <f aca="false">Scoring!CY143</f>
        <v/>
      </c>
      <c r="E136" s="7" t="str">
        <f aca="false">Scoring!BZ143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Scoring!DA143</f>
        <v/>
      </c>
      <c r="I136" s="192" t="str">
        <f aca="false">Scoring!CZ143</f>
        <v/>
      </c>
    </row>
    <row r="137" customFormat="false" ht="15.75" hidden="false" customHeight="false" outlineLevel="0" collapsed="false">
      <c r="A137" s="7" t="str">
        <f aca="false">Scoring!DC144</f>
        <v/>
      </c>
      <c r="B137" s="7" t="str">
        <f aca="false">Scoring!DB144</f>
        <v/>
      </c>
      <c r="C137" s="7" t="n">
        <f aca="false">Scoring!C144</f>
        <v>0</v>
      </c>
      <c r="D137" s="191" t="str">
        <f aca="false">Scoring!CY144</f>
        <v/>
      </c>
      <c r="E137" s="7" t="str">
        <f aca="false">Scoring!BZ144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Scoring!DA144</f>
        <v/>
      </c>
      <c r="I137" s="192" t="str">
        <f aca="false">Scoring!CZ144</f>
        <v/>
      </c>
    </row>
    <row r="138" customFormat="false" ht="15.75" hidden="false" customHeight="false" outlineLevel="0" collapsed="false">
      <c r="A138" s="7" t="str">
        <f aca="false">Scoring!DC145</f>
        <v/>
      </c>
      <c r="B138" s="7" t="str">
        <f aca="false">Scoring!DB145</f>
        <v/>
      </c>
      <c r="C138" s="7" t="n">
        <f aca="false">Scoring!C145</f>
        <v>0</v>
      </c>
      <c r="D138" s="191" t="str">
        <f aca="false">Scoring!CY145</f>
        <v/>
      </c>
      <c r="E138" s="7" t="str">
        <f aca="false">Scoring!BZ145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Scoring!DA145</f>
        <v/>
      </c>
      <c r="I138" s="192" t="str">
        <f aca="false">Scoring!CZ145</f>
        <v/>
      </c>
    </row>
    <row r="139" customFormat="false" ht="15.75" hidden="false" customHeight="false" outlineLevel="0" collapsed="false">
      <c r="A139" s="7" t="str">
        <f aca="false">Scoring!DC146</f>
        <v/>
      </c>
      <c r="B139" s="7" t="str">
        <f aca="false">Scoring!DB146</f>
        <v/>
      </c>
      <c r="C139" s="7" t="n">
        <f aca="false">Scoring!C146</f>
        <v>0</v>
      </c>
      <c r="D139" s="191" t="str">
        <f aca="false">Scoring!CY146</f>
        <v/>
      </c>
      <c r="E139" s="7" t="str">
        <f aca="false">Scoring!BZ146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Scoring!DA146</f>
        <v/>
      </c>
      <c r="I139" s="192" t="str">
        <f aca="false">Scoring!CZ146</f>
        <v/>
      </c>
    </row>
    <row r="140" customFormat="false" ht="15.75" hidden="false" customHeight="false" outlineLevel="0" collapsed="false">
      <c r="A140" s="7" t="str">
        <f aca="false">Scoring!DC147</f>
        <v/>
      </c>
      <c r="B140" s="7" t="str">
        <f aca="false">Scoring!DB147</f>
        <v/>
      </c>
      <c r="C140" s="7" t="n">
        <f aca="false">Scoring!C147</f>
        <v>0</v>
      </c>
      <c r="D140" s="191" t="str">
        <f aca="false">Scoring!CY147</f>
        <v/>
      </c>
      <c r="E140" s="7" t="str">
        <f aca="false">Scoring!BZ147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Scoring!DA147</f>
        <v/>
      </c>
      <c r="I140" s="192" t="str">
        <f aca="false">Scoring!CZ147</f>
        <v/>
      </c>
    </row>
    <row r="141" customFormat="false" ht="15.75" hidden="false" customHeight="false" outlineLevel="0" collapsed="false">
      <c r="A141" s="7" t="str">
        <f aca="false">Scoring!DC148</f>
        <v/>
      </c>
      <c r="B141" s="7" t="str">
        <f aca="false">Scoring!DB148</f>
        <v/>
      </c>
      <c r="C141" s="7" t="n">
        <f aca="false">Scoring!C148</f>
        <v>0</v>
      </c>
      <c r="D141" s="191" t="str">
        <f aca="false">Scoring!CY148</f>
        <v/>
      </c>
      <c r="E141" s="7" t="str">
        <f aca="false">Scoring!BZ148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Scoring!DA148</f>
        <v/>
      </c>
      <c r="I141" s="192" t="str">
        <f aca="false">Scoring!CZ148</f>
        <v/>
      </c>
    </row>
    <row r="142" customFormat="false" ht="15.75" hidden="false" customHeight="false" outlineLevel="0" collapsed="false">
      <c r="A142" s="7" t="str">
        <f aca="false">Scoring!DC149</f>
        <v/>
      </c>
      <c r="B142" s="7" t="str">
        <f aca="false">Scoring!DB149</f>
        <v/>
      </c>
      <c r="C142" s="7" t="n">
        <f aca="false">Scoring!C149</f>
        <v>0</v>
      </c>
      <c r="D142" s="191" t="str">
        <f aca="false">Scoring!CY149</f>
        <v/>
      </c>
      <c r="E142" s="7" t="str">
        <f aca="false">Scoring!BZ149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Scoring!DA149</f>
        <v/>
      </c>
      <c r="I142" s="192" t="str">
        <f aca="false">Scoring!CZ149</f>
        <v/>
      </c>
    </row>
    <row r="143" customFormat="false" ht="15.75" hidden="false" customHeight="false" outlineLevel="0" collapsed="false">
      <c r="A143" s="7" t="str">
        <f aca="false">Scoring!DC150</f>
        <v/>
      </c>
      <c r="B143" s="7" t="str">
        <f aca="false">Scoring!DB150</f>
        <v/>
      </c>
      <c r="C143" s="7" t="n">
        <f aca="false">Scoring!C150</f>
        <v>0</v>
      </c>
      <c r="D143" s="191" t="str">
        <f aca="false">Scoring!CY150</f>
        <v/>
      </c>
      <c r="E143" s="7" t="str">
        <f aca="false">Scoring!BZ150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Scoring!DA150</f>
        <v/>
      </c>
      <c r="I143" s="192" t="str">
        <f aca="false">Scoring!CZ150</f>
        <v/>
      </c>
    </row>
    <row r="144" customFormat="false" ht="15.75" hidden="false" customHeight="false" outlineLevel="0" collapsed="false">
      <c r="A144" s="7" t="str">
        <f aca="false">Scoring!DC151</f>
        <v/>
      </c>
      <c r="B144" s="7" t="str">
        <f aca="false">Scoring!DB151</f>
        <v/>
      </c>
      <c r="C144" s="7" t="n">
        <f aca="false">Scoring!C151</f>
        <v>0</v>
      </c>
      <c r="D144" s="191" t="str">
        <f aca="false">Scoring!CY151</f>
        <v/>
      </c>
      <c r="E144" s="7" t="str">
        <f aca="false">Scoring!BZ151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Scoring!DA151</f>
        <v/>
      </c>
      <c r="I144" s="192" t="str">
        <f aca="false">Scoring!CZ151</f>
        <v/>
      </c>
    </row>
    <row r="145" customFormat="false" ht="15.75" hidden="false" customHeight="false" outlineLevel="0" collapsed="false">
      <c r="A145" s="7" t="str">
        <f aca="false">Scoring!DC152</f>
        <v/>
      </c>
      <c r="B145" s="7" t="str">
        <f aca="false">Scoring!DB152</f>
        <v/>
      </c>
      <c r="C145" s="7" t="n">
        <f aca="false">Scoring!C152</f>
        <v>0</v>
      </c>
      <c r="D145" s="191" t="str">
        <f aca="false">Scoring!CY152</f>
        <v/>
      </c>
      <c r="E145" s="7" t="str">
        <f aca="false">Scoring!BZ152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Scoring!DA152</f>
        <v/>
      </c>
      <c r="I145" s="192" t="str">
        <f aca="false">Scoring!CZ152</f>
        <v/>
      </c>
    </row>
    <row r="146" customFormat="false" ht="15.75" hidden="false" customHeight="false" outlineLevel="0" collapsed="false">
      <c r="A146" s="7" t="str">
        <f aca="false">Scoring!DC153</f>
        <v/>
      </c>
      <c r="B146" s="7" t="str">
        <f aca="false">Scoring!DB153</f>
        <v/>
      </c>
      <c r="C146" s="7" t="n">
        <f aca="false">Scoring!C153</f>
        <v>0</v>
      </c>
      <c r="D146" s="191" t="str">
        <f aca="false">Scoring!CY153</f>
        <v/>
      </c>
      <c r="E146" s="7" t="str">
        <f aca="false">Scoring!BZ153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Scoring!DA153</f>
        <v/>
      </c>
      <c r="I146" s="192" t="str">
        <f aca="false">Scoring!CZ153</f>
        <v/>
      </c>
    </row>
    <row r="147" customFormat="false" ht="15.75" hidden="false" customHeight="false" outlineLevel="0" collapsed="false">
      <c r="A147" s="7" t="str">
        <f aca="false">Scoring!DC154</f>
        <v/>
      </c>
      <c r="B147" s="7" t="str">
        <f aca="false">Scoring!DB154</f>
        <v/>
      </c>
      <c r="C147" s="7" t="n">
        <f aca="false">Scoring!C154</f>
        <v>0</v>
      </c>
      <c r="D147" s="191" t="str">
        <f aca="false">Scoring!CY154</f>
        <v/>
      </c>
      <c r="E147" s="7" t="str">
        <f aca="false">Scoring!BZ154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Scoring!DA154</f>
        <v/>
      </c>
      <c r="I147" s="192" t="str">
        <f aca="false">Scoring!CZ154</f>
        <v/>
      </c>
    </row>
    <row r="148" customFormat="false" ht="15.75" hidden="false" customHeight="false" outlineLevel="0" collapsed="false">
      <c r="A148" s="7" t="str">
        <f aca="false">Scoring!DC155</f>
        <v/>
      </c>
      <c r="B148" s="7" t="str">
        <f aca="false">Scoring!DB155</f>
        <v/>
      </c>
      <c r="C148" s="7" t="n">
        <f aca="false">Scoring!C155</f>
        <v>0</v>
      </c>
      <c r="D148" s="191" t="str">
        <f aca="false">Scoring!CY155</f>
        <v/>
      </c>
      <c r="E148" s="7" t="str">
        <f aca="false">Scoring!BZ155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Scoring!DA155</f>
        <v/>
      </c>
      <c r="I148" s="192" t="str">
        <f aca="false">Scoring!CZ155</f>
        <v/>
      </c>
    </row>
    <row r="149" customFormat="false" ht="15.75" hidden="false" customHeight="false" outlineLevel="0" collapsed="false">
      <c r="A149" s="7" t="str">
        <f aca="false">Scoring!DC156</f>
        <v/>
      </c>
      <c r="B149" s="7" t="str">
        <f aca="false">Scoring!DB156</f>
        <v/>
      </c>
      <c r="C149" s="7" t="n">
        <f aca="false">Scoring!C156</f>
        <v>0</v>
      </c>
      <c r="D149" s="191" t="str">
        <f aca="false">Scoring!CY156</f>
        <v/>
      </c>
      <c r="E149" s="7" t="str">
        <f aca="false">Scoring!BZ156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Scoring!DA156</f>
        <v/>
      </c>
      <c r="I149" s="192" t="str">
        <f aca="false">Scoring!CZ156</f>
        <v/>
      </c>
    </row>
    <row r="150" customFormat="false" ht="15.75" hidden="false" customHeight="false" outlineLevel="0" collapsed="false">
      <c r="A150" s="7" t="str">
        <f aca="false">Scoring!DC157</f>
        <v/>
      </c>
      <c r="B150" s="7" t="str">
        <f aca="false">Scoring!DB157</f>
        <v/>
      </c>
      <c r="C150" s="7" t="n">
        <f aca="false">Scoring!C157</f>
        <v>0</v>
      </c>
      <c r="D150" s="191" t="str">
        <f aca="false">Scoring!CY157</f>
        <v/>
      </c>
      <c r="E150" s="7" t="str">
        <f aca="false">Scoring!BZ157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Scoring!DA157</f>
        <v/>
      </c>
      <c r="I150" s="192" t="str">
        <f aca="false">Scoring!CZ157</f>
        <v/>
      </c>
    </row>
    <row r="151" customFormat="false" ht="15.75" hidden="false" customHeight="false" outlineLevel="0" collapsed="false">
      <c r="A151" s="7" t="str">
        <f aca="false">Scoring!DC158</f>
        <v/>
      </c>
      <c r="B151" s="7" t="str">
        <f aca="false">Scoring!DB158</f>
        <v/>
      </c>
      <c r="C151" s="7" t="n">
        <f aca="false">Scoring!C158</f>
        <v>0</v>
      </c>
      <c r="D151" s="191" t="str">
        <f aca="false">Scoring!CY158</f>
        <v/>
      </c>
      <c r="E151" s="7" t="str">
        <f aca="false">Scoring!BZ158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Scoring!DA158</f>
        <v/>
      </c>
      <c r="I151" s="192" t="str">
        <f aca="false">Scoring!CZ158</f>
        <v/>
      </c>
    </row>
    <row r="152" customFormat="false" ht="15.75" hidden="false" customHeight="false" outlineLevel="0" collapsed="false">
      <c r="A152" s="7" t="str">
        <f aca="false">Scoring!DC159</f>
        <v/>
      </c>
      <c r="B152" s="7" t="str">
        <f aca="false">Scoring!DB159</f>
        <v/>
      </c>
      <c r="C152" s="7" t="n">
        <f aca="false">Scoring!C159</f>
        <v>0</v>
      </c>
      <c r="D152" s="191" t="str">
        <f aca="false">Scoring!CY159</f>
        <v/>
      </c>
      <c r="E152" s="7" t="str">
        <f aca="false">Scoring!BZ159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Scoring!DA159</f>
        <v/>
      </c>
      <c r="I152" s="192" t="str">
        <f aca="false">Scoring!CZ159</f>
        <v/>
      </c>
    </row>
    <row r="153" customFormat="false" ht="15.75" hidden="false" customHeight="false" outlineLevel="0" collapsed="false">
      <c r="A153" s="7" t="str">
        <f aca="false">Scoring!DC160</f>
        <v/>
      </c>
      <c r="B153" s="7" t="str">
        <f aca="false">Scoring!DB160</f>
        <v/>
      </c>
      <c r="C153" s="7" t="n">
        <f aca="false">Scoring!C160</f>
        <v>0</v>
      </c>
      <c r="D153" s="191" t="str">
        <f aca="false">Scoring!CY160</f>
        <v/>
      </c>
      <c r="E153" s="7" t="str">
        <f aca="false">Scoring!BZ160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Scoring!DA160</f>
        <v/>
      </c>
      <c r="I153" s="192" t="str">
        <f aca="false">Scoring!CZ160</f>
        <v/>
      </c>
    </row>
    <row r="154" customFormat="false" ht="15.75" hidden="false" customHeight="false" outlineLevel="0" collapsed="false">
      <c r="A154" s="7" t="str">
        <f aca="false">Scoring!DC161</f>
        <v/>
      </c>
      <c r="B154" s="7" t="str">
        <f aca="false">Scoring!DB161</f>
        <v/>
      </c>
      <c r="C154" s="7" t="n">
        <f aca="false">Scoring!C161</f>
        <v>0</v>
      </c>
      <c r="D154" s="191" t="str">
        <f aca="false">Scoring!CY161</f>
        <v/>
      </c>
      <c r="E154" s="7" t="str">
        <f aca="false">Scoring!BZ161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Scoring!DA161</f>
        <v/>
      </c>
      <c r="I154" s="192" t="str">
        <f aca="false">Scoring!CZ161</f>
        <v/>
      </c>
    </row>
    <row r="155" customFormat="false" ht="15.75" hidden="false" customHeight="false" outlineLevel="0" collapsed="false">
      <c r="A155" s="7" t="str">
        <f aca="false">Scoring!DC162</f>
        <v/>
      </c>
      <c r="B155" s="7" t="str">
        <f aca="false">Scoring!DB162</f>
        <v/>
      </c>
      <c r="C155" s="7" t="n">
        <f aca="false">Scoring!C162</f>
        <v>0</v>
      </c>
      <c r="D155" s="191" t="str">
        <f aca="false">Scoring!CY162</f>
        <v/>
      </c>
      <c r="E155" s="7" t="str">
        <f aca="false">Scoring!BZ162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Scoring!DA162</f>
        <v/>
      </c>
      <c r="I155" s="192" t="str">
        <f aca="false">Scoring!CZ162</f>
        <v/>
      </c>
    </row>
    <row r="156" customFormat="false" ht="15.75" hidden="false" customHeight="false" outlineLevel="0" collapsed="false">
      <c r="A156" s="7" t="str">
        <f aca="false">Scoring!DC163</f>
        <v/>
      </c>
      <c r="B156" s="7" t="str">
        <f aca="false">Scoring!DB163</f>
        <v/>
      </c>
      <c r="C156" s="7" t="n">
        <f aca="false">Scoring!C163</f>
        <v>0</v>
      </c>
      <c r="D156" s="191" t="str">
        <f aca="false">Scoring!CY163</f>
        <v/>
      </c>
      <c r="E156" s="7" t="str">
        <f aca="false">Scoring!BZ163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Scoring!DA163</f>
        <v/>
      </c>
      <c r="I156" s="192" t="str">
        <f aca="false">Scoring!CZ163</f>
        <v/>
      </c>
    </row>
    <row r="157" customFormat="false" ht="15.75" hidden="false" customHeight="false" outlineLevel="0" collapsed="false">
      <c r="A157" s="7" t="str">
        <f aca="false">Scoring!DC164</f>
        <v/>
      </c>
      <c r="B157" s="7" t="str">
        <f aca="false">Scoring!DB164</f>
        <v/>
      </c>
      <c r="C157" s="7" t="n">
        <f aca="false">Scoring!C164</f>
        <v>0</v>
      </c>
      <c r="D157" s="191" t="str">
        <f aca="false">Scoring!CY164</f>
        <v/>
      </c>
      <c r="E157" s="7" t="str">
        <f aca="false">Scoring!BZ164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Scoring!DA164</f>
        <v/>
      </c>
      <c r="I157" s="192" t="str">
        <f aca="false">Scoring!CZ164</f>
        <v/>
      </c>
    </row>
    <row r="158" customFormat="false" ht="15.75" hidden="false" customHeight="false" outlineLevel="0" collapsed="false">
      <c r="A158" s="7" t="str">
        <f aca="false">Scoring!DC165</f>
        <v/>
      </c>
      <c r="B158" s="7" t="str">
        <f aca="false">Scoring!DB165</f>
        <v/>
      </c>
      <c r="C158" s="7" t="n">
        <f aca="false">Scoring!C165</f>
        <v>0</v>
      </c>
      <c r="D158" s="191" t="str">
        <f aca="false">Scoring!CY165</f>
        <v/>
      </c>
      <c r="E158" s="7" t="str">
        <f aca="false">Scoring!BZ165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Scoring!DA165</f>
        <v/>
      </c>
      <c r="I158" s="192" t="str">
        <f aca="false">Scoring!CZ165</f>
        <v/>
      </c>
    </row>
    <row r="159" customFormat="false" ht="15.75" hidden="false" customHeight="false" outlineLevel="0" collapsed="false">
      <c r="A159" s="7" t="str">
        <f aca="false">Scoring!DC166</f>
        <v/>
      </c>
      <c r="B159" s="7" t="str">
        <f aca="false">Scoring!DB166</f>
        <v/>
      </c>
      <c r="C159" s="7" t="n">
        <f aca="false">Scoring!C166</f>
        <v>0</v>
      </c>
      <c r="D159" s="191" t="str">
        <f aca="false">Scoring!CY166</f>
        <v/>
      </c>
      <c r="E159" s="7" t="str">
        <f aca="false">Scoring!BZ166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Scoring!DA166</f>
        <v/>
      </c>
      <c r="I159" s="192" t="str">
        <f aca="false">Scoring!CZ166</f>
        <v/>
      </c>
    </row>
    <row r="160" customFormat="false" ht="15.75" hidden="false" customHeight="false" outlineLevel="0" collapsed="false">
      <c r="A160" s="7" t="str">
        <f aca="false">Scoring!DC167</f>
        <v/>
      </c>
      <c r="B160" s="7" t="str">
        <f aca="false">Scoring!DB167</f>
        <v/>
      </c>
      <c r="C160" s="7" t="n">
        <f aca="false">Scoring!C167</f>
        <v>0</v>
      </c>
      <c r="D160" s="191" t="str">
        <f aca="false">Scoring!CY167</f>
        <v/>
      </c>
      <c r="E160" s="7" t="str">
        <f aca="false">Scoring!BZ167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Scoring!DA167</f>
        <v/>
      </c>
      <c r="I160" s="192" t="str">
        <f aca="false">Scoring!CZ167</f>
        <v/>
      </c>
    </row>
    <row r="161" customFormat="false" ht="15.75" hidden="false" customHeight="false" outlineLevel="0" collapsed="false">
      <c r="A161" s="7" t="str">
        <f aca="false">Scoring!DC168</f>
        <v/>
      </c>
      <c r="B161" s="7" t="str">
        <f aca="false">Scoring!DB168</f>
        <v/>
      </c>
      <c r="C161" s="7" t="n">
        <f aca="false">Scoring!C168</f>
        <v>0</v>
      </c>
      <c r="D161" s="191" t="str">
        <f aca="false">Scoring!CY168</f>
        <v/>
      </c>
      <c r="E161" s="7" t="str">
        <f aca="false">Scoring!BZ168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Scoring!DA168</f>
        <v/>
      </c>
      <c r="I161" s="192" t="str">
        <f aca="false">Scoring!CZ168</f>
        <v/>
      </c>
    </row>
    <row r="162" customFormat="false" ht="15.75" hidden="false" customHeight="false" outlineLevel="0" collapsed="false">
      <c r="A162" s="7" t="str">
        <f aca="false">Scoring!DC169</f>
        <v/>
      </c>
      <c r="B162" s="7" t="str">
        <f aca="false">Scoring!DB169</f>
        <v/>
      </c>
      <c r="C162" s="7" t="n">
        <f aca="false">Scoring!C169</f>
        <v>0</v>
      </c>
      <c r="D162" s="191" t="str">
        <f aca="false">Scoring!CY169</f>
        <v/>
      </c>
      <c r="E162" s="7" t="str">
        <f aca="false">Scoring!BZ169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Scoring!DA169</f>
        <v/>
      </c>
      <c r="I162" s="192" t="str">
        <f aca="false">Scoring!CZ169</f>
        <v/>
      </c>
    </row>
    <row r="163" customFormat="false" ht="15.75" hidden="false" customHeight="false" outlineLevel="0" collapsed="false">
      <c r="A163" s="7" t="str">
        <f aca="false">Scoring!DC170</f>
        <v/>
      </c>
      <c r="B163" s="7" t="str">
        <f aca="false">Scoring!DB170</f>
        <v/>
      </c>
      <c r="C163" s="7" t="n">
        <f aca="false">Scoring!C170</f>
        <v>0</v>
      </c>
      <c r="D163" s="191" t="str">
        <f aca="false">Scoring!CY170</f>
        <v/>
      </c>
      <c r="E163" s="7" t="str">
        <f aca="false">Scoring!BZ170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Scoring!DA170</f>
        <v/>
      </c>
      <c r="I163" s="192" t="str">
        <f aca="false">Scoring!CZ170</f>
        <v/>
      </c>
    </row>
    <row r="164" customFormat="false" ht="15.75" hidden="false" customHeight="false" outlineLevel="0" collapsed="false">
      <c r="A164" s="7" t="str">
        <f aca="false">Scoring!DC171</f>
        <v/>
      </c>
      <c r="B164" s="7" t="str">
        <f aca="false">Scoring!DB171</f>
        <v/>
      </c>
      <c r="C164" s="7" t="n">
        <f aca="false">Scoring!C171</f>
        <v>0</v>
      </c>
      <c r="D164" s="191" t="str">
        <f aca="false">Scoring!CY171</f>
        <v/>
      </c>
      <c r="E164" s="7" t="str">
        <f aca="false">Scoring!BZ171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Scoring!DA171</f>
        <v/>
      </c>
      <c r="I164" s="192" t="str">
        <f aca="false">Scoring!CZ171</f>
        <v/>
      </c>
    </row>
    <row r="165" customFormat="false" ht="15.75" hidden="false" customHeight="false" outlineLevel="0" collapsed="false">
      <c r="A165" s="7" t="str">
        <f aca="false">Scoring!DC172</f>
        <v/>
      </c>
      <c r="B165" s="7" t="str">
        <f aca="false">Scoring!DB172</f>
        <v/>
      </c>
      <c r="C165" s="7" t="n">
        <f aca="false">Scoring!C172</f>
        <v>0</v>
      </c>
      <c r="D165" s="191" t="str">
        <f aca="false">Scoring!CY172</f>
        <v/>
      </c>
      <c r="E165" s="7" t="str">
        <f aca="false">Scoring!BZ172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Scoring!DA172</f>
        <v/>
      </c>
      <c r="I165" s="192" t="str">
        <f aca="false">Scoring!CZ172</f>
        <v/>
      </c>
    </row>
    <row r="166" customFormat="false" ht="15.75" hidden="false" customHeight="false" outlineLevel="0" collapsed="false">
      <c r="A166" s="7" t="str">
        <f aca="false">Scoring!DC173</f>
        <v/>
      </c>
      <c r="B166" s="7" t="str">
        <f aca="false">Scoring!DB173</f>
        <v/>
      </c>
      <c r="C166" s="7" t="n">
        <f aca="false">Scoring!C173</f>
        <v>0</v>
      </c>
      <c r="D166" s="191" t="str">
        <f aca="false">Scoring!CY173</f>
        <v/>
      </c>
      <c r="E166" s="7" t="str">
        <f aca="false">Scoring!BZ173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Scoring!DA173</f>
        <v/>
      </c>
      <c r="I166" s="192" t="str">
        <f aca="false">Scoring!CZ173</f>
        <v/>
      </c>
    </row>
    <row r="167" customFormat="false" ht="15.75" hidden="false" customHeight="false" outlineLevel="0" collapsed="false">
      <c r="A167" s="7" t="str">
        <f aca="false">Scoring!DC174</f>
        <v/>
      </c>
      <c r="B167" s="7" t="str">
        <f aca="false">Scoring!DB174</f>
        <v/>
      </c>
      <c r="C167" s="7" t="n">
        <f aca="false">Scoring!C174</f>
        <v>0</v>
      </c>
      <c r="D167" s="191" t="str">
        <f aca="false">Scoring!CY174</f>
        <v/>
      </c>
      <c r="E167" s="7" t="str">
        <f aca="false">Scoring!BZ174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Scoring!DA174</f>
        <v/>
      </c>
      <c r="I167" s="192" t="str">
        <f aca="false">Scoring!CZ174</f>
        <v/>
      </c>
    </row>
    <row r="168" customFormat="false" ht="15.75" hidden="false" customHeight="false" outlineLevel="0" collapsed="false">
      <c r="A168" s="7" t="str">
        <f aca="false">Scoring!DC175</f>
        <v/>
      </c>
      <c r="B168" s="7" t="str">
        <f aca="false">Scoring!DB175</f>
        <v/>
      </c>
      <c r="C168" s="7" t="n">
        <f aca="false">Scoring!C175</f>
        <v>0</v>
      </c>
      <c r="D168" s="191" t="str">
        <f aca="false">Scoring!CY175</f>
        <v/>
      </c>
      <c r="E168" s="7" t="str">
        <f aca="false">Scoring!BZ175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Scoring!DA175</f>
        <v/>
      </c>
      <c r="I168" s="192" t="str">
        <f aca="false">Scoring!CZ175</f>
        <v/>
      </c>
    </row>
    <row r="169" customFormat="false" ht="15.75" hidden="false" customHeight="false" outlineLevel="0" collapsed="false">
      <c r="A169" s="7" t="str">
        <f aca="false">Scoring!DC176</f>
        <v/>
      </c>
      <c r="B169" s="7" t="str">
        <f aca="false">Scoring!DB176</f>
        <v/>
      </c>
      <c r="C169" s="7" t="n">
        <f aca="false">Scoring!C176</f>
        <v>0</v>
      </c>
      <c r="D169" s="191" t="str">
        <f aca="false">Scoring!CY176</f>
        <v/>
      </c>
      <c r="E169" s="7" t="str">
        <f aca="false">Scoring!BZ176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Scoring!DA176</f>
        <v/>
      </c>
      <c r="I169" s="192" t="str">
        <f aca="false">Scoring!CZ176</f>
        <v/>
      </c>
    </row>
    <row r="170" customFormat="false" ht="15.75" hidden="false" customHeight="false" outlineLevel="0" collapsed="false">
      <c r="A170" s="7" t="str">
        <f aca="false">Scoring!DC177</f>
        <v/>
      </c>
      <c r="B170" s="7" t="str">
        <f aca="false">Scoring!DB177</f>
        <v/>
      </c>
      <c r="C170" s="7" t="n">
        <f aca="false">Scoring!C177</f>
        <v>0</v>
      </c>
      <c r="D170" s="191" t="str">
        <f aca="false">Scoring!CY177</f>
        <v/>
      </c>
      <c r="E170" s="7" t="str">
        <f aca="false">Scoring!BZ177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Scoring!DA177</f>
        <v/>
      </c>
      <c r="I170" s="192" t="str">
        <f aca="false">Scoring!CZ177</f>
        <v/>
      </c>
    </row>
    <row r="171" customFormat="false" ht="15.75" hidden="false" customHeight="false" outlineLevel="0" collapsed="false">
      <c r="A171" s="7" t="str">
        <f aca="false">Scoring!DC178</f>
        <v/>
      </c>
      <c r="B171" s="7" t="str">
        <f aca="false">Scoring!DB178</f>
        <v/>
      </c>
      <c r="C171" s="7" t="n">
        <f aca="false">Scoring!C178</f>
        <v>0</v>
      </c>
      <c r="D171" s="191" t="str">
        <f aca="false">Scoring!CY178</f>
        <v/>
      </c>
      <c r="E171" s="7" t="str">
        <f aca="false">Scoring!BZ178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Scoring!DA178</f>
        <v/>
      </c>
      <c r="I171" s="192" t="str">
        <f aca="false">Scoring!CZ178</f>
        <v/>
      </c>
    </row>
    <row r="172" customFormat="false" ht="15.75" hidden="false" customHeight="false" outlineLevel="0" collapsed="false">
      <c r="A172" s="7" t="str">
        <f aca="false">Scoring!DC179</f>
        <v/>
      </c>
      <c r="B172" s="7" t="str">
        <f aca="false">Scoring!DB179</f>
        <v/>
      </c>
      <c r="C172" s="7" t="n">
        <f aca="false">Scoring!C179</f>
        <v>0</v>
      </c>
      <c r="D172" s="191" t="str">
        <f aca="false">Scoring!CY179</f>
        <v/>
      </c>
      <c r="E172" s="7" t="str">
        <f aca="false">Scoring!BZ179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Scoring!DA179</f>
        <v/>
      </c>
      <c r="I172" s="192" t="str">
        <f aca="false">Scoring!CZ179</f>
        <v/>
      </c>
    </row>
    <row r="173" customFormat="false" ht="15.75" hidden="false" customHeight="false" outlineLevel="0" collapsed="false">
      <c r="A173" s="7" t="str">
        <f aca="false">Scoring!DC180</f>
        <v/>
      </c>
      <c r="B173" s="7" t="str">
        <f aca="false">Scoring!DB180</f>
        <v/>
      </c>
      <c r="C173" s="7" t="n">
        <f aca="false">Scoring!C180</f>
        <v>0</v>
      </c>
      <c r="D173" s="191" t="str">
        <f aca="false">Scoring!CY180</f>
        <v/>
      </c>
      <c r="E173" s="7" t="str">
        <f aca="false">Scoring!BZ180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Scoring!DA180</f>
        <v/>
      </c>
      <c r="I173" s="192" t="str">
        <f aca="false">Scoring!CZ180</f>
        <v/>
      </c>
    </row>
    <row r="174" customFormat="false" ht="15.75" hidden="false" customHeight="false" outlineLevel="0" collapsed="false">
      <c r="A174" s="7" t="str">
        <f aca="false">Scoring!DC181</f>
        <v/>
      </c>
      <c r="B174" s="7" t="str">
        <f aca="false">Scoring!DB181</f>
        <v/>
      </c>
      <c r="C174" s="7" t="n">
        <f aca="false">Scoring!C181</f>
        <v>0</v>
      </c>
      <c r="D174" s="191" t="str">
        <f aca="false">Scoring!CY181</f>
        <v/>
      </c>
      <c r="E174" s="7" t="str">
        <f aca="false">Scoring!BZ181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Scoring!DA181</f>
        <v/>
      </c>
      <c r="I174" s="192" t="str">
        <f aca="false">Scoring!CZ181</f>
        <v/>
      </c>
    </row>
    <row r="175" customFormat="false" ht="15.75" hidden="false" customHeight="false" outlineLevel="0" collapsed="false">
      <c r="A175" s="7" t="str">
        <f aca="false">Scoring!DC182</f>
        <v/>
      </c>
      <c r="B175" s="7" t="str">
        <f aca="false">Scoring!DB182</f>
        <v/>
      </c>
      <c r="C175" s="7" t="n">
        <f aca="false">Scoring!C182</f>
        <v>0</v>
      </c>
      <c r="D175" s="191" t="str">
        <f aca="false">Scoring!CY182</f>
        <v/>
      </c>
      <c r="E175" s="7" t="str">
        <f aca="false">Scoring!BZ182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Scoring!DA182</f>
        <v/>
      </c>
      <c r="I175" s="192" t="str">
        <f aca="false">Scoring!CZ182</f>
        <v/>
      </c>
    </row>
    <row r="176" customFormat="false" ht="15.75" hidden="false" customHeight="false" outlineLevel="0" collapsed="false">
      <c r="A176" s="7" t="str">
        <f aca="false">Scoring!DC183</f>
        <v/>
      </c>
      <c r="B176" s="7" t="str">
        <f aca="false">Scoring!DB183</f>
        <v/>
      </c>
      <c r="C176" s="7" t="n">
        <f aca="false">Scoring!C183</f>
        <v>0</v>
      </c>
      <c r="D176" s="191" t="str">
        <f aca="false">Scoring!CY183</f>
        <v/>
      </c>
      <c r="E176" s="7" t="str">
        <f aca="false">Scoring!BZ183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Scoring!DA183</f>
        <v/>
      </c>
      <c r="I176" s="192" t="str">
        <f aca="false">Scoring!CZ183</f>
        <v/>
      </c>
    </row>
    <row r="177" customFormat="false" ht="15.75" hidden="false" customHeight="false" outlineLevel="0" collapsed="false">
      <c r="A177" s="7" t="str">
        <f aca="false">Scoring!DC184</f>
        <v/>
      </c>
      <c r="B177" s="7" t="str">
        <f aca="false">Scoring!DB184</f>
        <v/>
      </c>
      <c r="C177" s="7" t="n">
        <f aca="false">Scoring!C184</f>
        <v>0</v>
      </c>
      <c r="D177" s="191" t="str">
        <f aca="false">Scoring!CY184</f>
        <v/>
      </c>
      <c r="E177" s="7" t="str">
        <f aca="false">Scoring!BZ184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Scoring!DA184</f>
        <v/>
      </c>
      <c r="I177" s="192" t="str">
        <f aca="false">Scoring!CZ184</f>
        <v/>
      </c>
    </row>
    <row r="178" customFormat="false" ht="15.75" hidden="false" customHeight="false" outlineLevel="0" collapsed="false">
      <c r="A178" s="7" t="str">
        <f aca="false">Scoring!DC185</f>
        <v/>
      </c>
      <c r="B178" s="7" t="str">
        <f aca="false">Scoring!DB185</f>
        <v/>
      </c>
      <c r="C178" s="7" t="n">
        <f aca="false">Scoring!C185</f>
        <v>0</v>
      </c>
      <c r="D178" s="191" t="str">
        <f aca="false">Scoring!CY185</f>
        <v/>
      </c>
      <c r="E178" s="7" t="str">
        <f aca="false">Scoring!BZ185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Scoring!DA185</f>
        <v/>
      </c>
      <c r="I178" s="192" t="str">
        <f aca="false">Scoring!CZ185</f>
        <v/>
      </c>
    </row>
    <row r="179" customFormat="false" ht="15.75" hidden="false" customHeight="false" outlineLevel="0" collapsed="false">
      <c r="A179" s="7" t="str">
        <f aca="false">Scoring!DC186</f>
        <v/>
      </c>
      <c r="B179" s="7" t="str">
        <f aca="false">Scoring!DB186</f>
        <v/>
      </c>
      <c r="C179" s="7" t="n">
        <f aca="false">Scoring!C186</f>
        <v>0</v>
      </c>
      <c r="D179" s="191" t="str">
        <f aca="false">Scoring!CY186</f>
        <v/>
      </c>
      <c r="E179" s="7" t="str">
        <f aca="false">Scoring!BZ186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Scoring!DA186</f>
        <v/>
      </c>
      <c r="I179" s="192" t="str">
        <f aca="false">Scoring!CZ186</f>
        <v/>
      </c>
    </row>
    <row r="180" customFormat="false" ht="15.75" hidden="false" customHeight="false" outlineLevel="0" collapsed="false">
      <c r="A180" s="7" t="str">
        <f aca="false">Scoring!DC187</f>
        <v/>
      </c>
      <c r="B180" s="7" t="str">
        <f aca="false">Scoring!DB187</f>
        <v/>
      </c>
      <c r="C180" s="7" t="n">
        <f aca="false">Scoring!C187</f>
        <v>0</v>
      </c>
      <c r="D180" s="191" t="str">
        <f aca="false">Scoring!CY187</f>
        <v/>
      </c>
      <c r="E180" s="7" t="str">
        <f aca="false">Scoring!BZ187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Scoring!DA187</f>
        <v/>
      </c>
      <c r="I180" s="192" t="str">
        <f aca="false">Scoring!CZ187</f>
        <v/>
      </c>
    </row>
    <row r="181" customFormat="false" ht="15.75" hidden="false" customHeight="false" outlineLevel="0" collapsed="false">
      <c r="A181" s="7" t="str">
        <f aca="false">Scoring!DC188</f>
        <v/>
      </c>
      <c r="B181" s="7" t="str">
        <f aca="false">Scoring!DB188</f>
        <v/>
      </c>
      <c r="C181" s="7" t="n">
        <f aca="false">Scoring!C188</f>
        <v>0</v>
      </c>
      <c r="D181" s="191" t="str">
        <f aca="false">Scoring!CY188</f>
        <v/>
      </c>
      <c r="E181" s="7" t="str">
        <f aca="false">Scoring!BZ188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Scoring!DA188</f>
        <v/>
      </c>
      <c r="I181" s="192" t="str">
        <f aca="false">Scoring!CZ188</f>
        <v/>
      </c>
    </row>
    <row r="182" customFormat="false" ht="15.75" hidden="false" customHeight="false" outlineLevel="0" collapsed="false">
      <c r="A182" s="7" t="str">
        <f aca="false">Scoring!DC189</f>
        <v/>
      </c>
      <c r="B182" s="7" t="str">
        <f aca="false">Scoring!DB189</f>
        <v/>
      </c>
      <c r="C182" s="7" t="n">
        <f aca="false">Scoring!C189</f>
        <v>0</v>
      </c>
      <c r="D182" s="191" t="str">
        <f aca="false">Scoring!CY189</f>
        <v/>
      </c>
      <c r="E182" s="7" t="str">
        <f aca="false">Scoring!BZ189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Scoring!DA189</f>
        <v/>
      </c>
      <c r="I182" s="192" t="str">
        <f aca="false">Scoring!CZ189</f>
        <v/>
      </c>
    </row>
    <row r="183" customFormat="false" ht="15.75" hidden="false" customHeight="false" outlineLevel="0" collapsed="false">
      <c r="A183" s="7" t="str">
        <f aca="false">Scoring!DC190</f>
        <v/>
      </c>
      <c r="B183" s="7" t="str">
        <f aca="false">Scoring!DB190</f>
        <v/>
      </c>
      <c r="C183" s="7" t="n">
        <f aca="false">Scoring!C190</f>
        <v>0</v>
      </c>
      <c r="D183" s="191" t="str">
        <f aca="false">Scoring!CY190</f>
        <v/>
      </c>
      <c r="E183" s="7" t="str">
        <f aca="false">Scoring!BZ190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Scoring!DA190</f>
        <v/>
      </c>
      <c r="I183" s="192" t="str">
        <f aca="false">Scoring!CZ190</f>
        <v/>
      </c>
    </row>
    <row r="184" customFormat="false" ht="15.75" hidden="false" customHeight="false" outlineLevel="0" collapsed="false">
      <c r="A184" s="7" t="str">
        <f aca="false">Scoring!DC191</f>
        <v/>
      </c>
      <c r="B184" s="7" t="str">
        <f aca="false">Scoring!DB191</f>
        <v/>
      </c>
      <c r="C184" s="7" t="n">
        <f aca="false">Scoring!C191</f>
        <v>0</v>
      </c>
      <c r="D184" s="191" t="str">
        <f aca="false">Scoring!CY191</f>
        <v/>
      </c>
      <c r="E184" s="7" t="str">
        <f aca="false">Scoring!BZ191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Scoring!DA191</f>
        <v/>
      </c>
      <c r="I184" s="192" t="str">
        <f aca="false">Scoring!CZ191</f>
        <v/>
      </c>
    </row>
    <row r="185" customFormat="false" ht="15.75" hidden="false" customHeight="false" outlineLevel="0" collapsed="false">
      <c r="A185" s="7" t="str">
        <f aca="false">Scoring!DC192</f>
        <v/>
      </c>
      <c r="B185" s="7" t="str">
        <f aca="false">Scoring!DB192</f>
        <v/>
      </c>
      <c r="C185" s="7" t="n">
        <f aca="false">Scoring!C192</f>
        <v>0</v>
      </c>
      <c r="D185" s="191" t="str">
        <f aca="false">Scoring!CY192</f>
        <v/>
      </c>
      <c r="E185" s="7" t="str">
        <f aca="false">Scoring!BZ192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Scoring!DA192</f>
        <v/>
      </c>
      <c r="I185" s="192" t="str">
        <f aca="false">Scoring!CZ192</f>
        <v/>
      </c>
    </row>
    <row r="186" customFormat="false" ht="15.75" hidden="false" customHeight="false" outlineLevel="0" collapsed="false">
      <c r="A186" s="7" t="str">
        <f aca="false">Scoring!DC193</f>
        <v/>
      </c>
      <c r="B186" s="7" t="str">
        <f aca="false">Scoring!DB193</f>
        <v/>
      </c>
      <c r="C186" s="7" t="n">
        <f aca="false">Scoring!C193</f>
        <v>0</v>
      </c>
      <c r="D186" s="191" t="str">
        <f aca="false">Scoring!CY193</f>
        <v/>
      </c>
      <c r="E186" s="7" t="str">
        <f aca="false">Scoring!BZ193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Scoring!DA193</f>
        <v/>
      </c>
      <c r="I186" s="192" t="str">
        <f aca="false">Scoring!CZ193</f>
        <v/>
      </c>
    </row>
    <row r="187" customFormat="false" ht="15.75" hidden="false" customHeight="false" outlineLevel="0" collapsed="false">
      <c r="A187" s="7" t="str">
        <f aca="false">Scoring!DC194</f>
        <v/>
      </c>
      <c r="B187" s="7" t="str">
        <f aca="false">Scoring!DB194</f>
        <v/>
      </c>
      <c r="C187" s="7" t="n">
        <f aca="false">Scoring!C194</f>
        <v>0</v>
      </c>
      <c r="D187" s="191" t="str">
        <f aca="false">Scoring!CY194</f>
        <v/>
      </c>
      <c r="E187" s="7" t="str">
        <f aca="false">Scoring!BZ194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Scoring!DA194</f>
        <v/>
      </c>
      <c r="I187" s="192" t="str">
        <f aca="false">Scoring!CZ194</f>
        <v/>
      </c>
    </row>
    <row r="188" customFormat="false" ht="15.75" hidden="false" customHeight="false" outlineLevel="0" collapsed="false">
      <c r="A188" s="7" t="str">
        <f aca="false">Scoring!DC195</f>
        <v/>
      </c>
      <c r="B188" s="7" t="str">
        <f aca="false">Scoring!DB195</f>
        <v/>
      </c>
      <c r="C188" s="7" t="n">
        <f aca="false">Scoring!C195</f>
        <v>0</v>
      </c>
      <c r="D188" s="191" t="str">
        <f aca="false">Scoring!CY195</f>
        <v/>
      </c>
      <c r="E188" s="7" t="str">
        <f aca="false">Scoring!BZ195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Scoring!DA195</f>
        <v/>
      </c>
      <c r="I188" s="192" t="str">
        <f aca="false">Scoring!CZ195</f>
        <v/>
      </c>
    </row>
    <row r="189" customFormat="false" ht="15.75" hidden="false" customHeight="false" outlineLevel="0" collapsed="false">
      <c r="A189" s="7" t="str">
        <f aca="false">Scoring!DC196</f>
        <v/>
      </c>
      <c r="B189" s="7" t="str">
        <f aca="false">Scoring!DB196</f>
        <v/>
      </c>
      <c r="C189" s="7" t="n">
        <f aca="false">Scoring!C196</f>
        <v>0</v>
      </c>
      <c r="D189" s="191" t="str">
        <f aca="false">Scoring!CY196</f>
        <v/>
      </c>
      <c r="E189" s="7" t="str">
        <f aca="false">Scoring!BZ196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Scoring!DA196</f>
        <v/>
      </c>
      <c r="I189" s="192" t="str">
        <f aca="false">Scoring!CZ196</f>
        <v/>
      </c>
    </row>
    <row r="190" customFormat="false" ht="15.75" hidden="false" customHeight="false" outlineLevel="0" collapsed="false">
      <c r="A190" s="7" t="str">
        <f aca="false">Scoring!DC197</f>
        <v/>
      </c>
      <c r="B190" s="7" t="str">
        <f aca="false">Scoring!DB197</f>
        <v/>
      </c>
      <c r="C190" s="7" t="n">
        <f aca="false">Scoring!C197</f>
        <v>0</v>
      </c>
      <c r="D190" s="191" t="str">
        <f aca="false">Scoring!CY197</f>
        <v/>
      </c>
      <c r="E190" s="7" t="str">
        <f aca="false">Scoring!BZ197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Scoring!DA197</f>
        <v/>
      </c>
      <c r="I190" s="192" t="str">
        <f aca="false">Scoring!CZ197</f>
        <v/>
      </c>
    </row>
    <row r="191" customFormat="false" ht="15.75" hidden="false" customHeight="false" outlineLevel="0" collapsed="false">
      <c r="A191" s="7" t="str">
        <f aca="false">Scoring!DC198</f>
        <v/>
      </c>
      <c r="B191" s="7" t="str">
        <f aca="false">Scoring!DB198</f>
        <v/>
      </c>
      <c r="C191" s="7" t="n">
        <f aca="false">Scoring!C198</f>
        <v>0</v>
      </c>
      <c r="D191" s="191" t="str">
        <f aca="false">Scoring!CY198</f>
        <v/>
      </c>
      <c r="E191" s="7" t="str">
        <f aca="false">Scoring!BZ198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Scoring!DA198</f>
        <v/>
      </c>
      <c r="I191" s="192" t="str">
        <f aca="false">Scoring!CZ198</f>
        <v/>
      </c>
    </row>
    <row r="192" customFormat="false" ht="15.75" hidden="false" customHeight="false" outlineLevel="0" collapsed="false">
      <c r="A192" s="7" t="str">
        <f aca="false">Scoring!DC199</f>
        <v/>
      </c>
      <c r="B192" s="7" t="str">
        <f aca="false">Scoring!DB199</f>
        <v/>
      </c>
      <c r="C192" s="7" t="n">
        <f aca="false">Scoring!C199</f>
        <v>0</v>
      </c>
      <c r="D192" s="191" t="str">
        <f aca="false">Scoring!CY199</f>
        <v/>
      </c>
      <c r="E192" s="7" t="str">
        <f aca="false">Scoring!BZ199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Scoring!DA199</f>
        <v/>
      </c>
      <c r="I192" s="192" t="str">
        <f aca="false">Scoring!CZ199</f>
        <v/>
      </c>
    </row>
    <row r="193" customFormat="false" ht="15.75" hidden="false" customHeight="false" outlineLevel="0" collapsed="false">
      <c r="A193" s="7" t="str">
        <f aca="false">Scoring!DC200</f>
        <v/>
      </c>
      <c r="B193" s="7" t="str">
        <f aca="false">Scoring!DB200</f>
        <v/>
      </c>
      <c r="C193" s="7" t="n">
        <f aca="false">Scoring!C200</f>
        <v>0</v>
      </c>
      <c r="D193" s="191" t="str">
        <f aca="false">Scoring!CY200</f>
        <v/>
      </c>
      <c r="E193" s="7" t="str">
        <f aca="false">Scoring!BZ200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Scoring!DA200</f>
        <v/>
      </c>
      <c r="I193" s="192" t="str">
        <f aca="false">Scoring!CZ200</f>
        <v/>
      </c>
    </row>
    <row r="194" customFormat="false" ht="15.75" hidden="false" customHeight="false" outlineLevel="0" collapsed="false">
      <c r="A194" s="7" t="str">
        <f aca="false">Scoring!DC201</f>
        <v/>
      </c>
      <c r="B194" s="7" t="str">
        <f aca="false">Scoring!DB201</f>
        <v/>
      </c>
      <c r="C194" s="7" t="n">
        <f aca="false">Scoring!C201</f>
        <v>0</v>
      </c>
      <c r="D194" s="191" t="str">
        <f aca="false">Scoring!CY201</f>
        <v/>
      </c>
      <c r="E194" s="7" t="str">
        <f aca="false">Scoring!BZ201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Scoring!DA201</f>
        <v/>
      </c>
      <c r="I194" s="192" t="str">
        <f aca="false">Scoring!CZ201</f>
        <v/>
      </c>
    </row>
    <row r="195" customFormat="false" ht="15.75" hidden="false" customHeight="false" outlineLevel="0" collapsed="false">
      <c r="A195" s="7" t="str">
        <f aca="false">Scoring!DC202</f>
        <v/>
      </c>
      <c r="B195" s="7" t="str">
        <f aca="false">Scoring!DB202</f>
        <v/>
      </c>
      <c r="C195" s="7" t="n">
        <f aca="false">Scoring!C202</f>
        <v>0</v>
      </c>
      <c r="D195" s="191" t="str">
        <f aca="false">Scoring!CY202</f>
        <v/>
      </c>
      <c r="E195" s="7" t="str">
        <f aca="false">Scoring!BZ202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Scoring!DA202</f>
        <v/>
      </c>
      <c r="I195" s="192" t="str">
        <f aca="false">Scoring!CZ202</f>
        <v/>
      </c>
    </row>
    <row r="196" customFormat="false" ht="15.75" hidden="false" customHeight="false" outlineLevel="0" collapsed="false">
      <c r="A196" s="7" t="str">
        <f aca="false">Scoring!DC203</f>
        <v/>
      </c>
      <c r="B196" s="7" t="str">
        <f aca="false">Scoring!DB203</f>
        <v/>
      </c>
      <c r="C196" s="7" t="n">
        <f aca="false">Scoring!C203</f>
        <v>0</v>
      </c>
      <c r="D196" s="191" t="str">
        <f aca="false">Scoring!CY203</f>
        <v/>
      </c>
      <c r="E196" s="7" t="str">
        <f aca="false">Scoring!BZ203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Scoring!DA203</f>
        <v/>
      </c>
      <c r="I196" s="192" t="str">
        <f aca="false">Scoring!CZ203</f>
        <v/>
      </c>
    </row>
    <row r="197" customFormat="false" ht="15.75" hidden="false" customHeight="false" outlineLevel="0" collapsed="false">
      <c r="A197" s="7" t="str">
        <f aca="false">Scoring!DC204</f>
        <v/>
      </c>
      <c r="B197" s="7" t="str">
        <f aca="false">Scoring!DB204</f>
        <v/>
      </c>
      <c r="C197" s="7" t="n">
        <f aca="false">Scoring!C204</f>
        <v>0</v>
      </c>
      <c r="D197" s="191" t="str">
        <f aca="false">Scoring!CY204</f>
        <v/>
      </c>
      <c r="E197" s="7" t="str">
        <f aca="false">Scoring!BZ204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Scoring!DA204</f>
        <v/>
      </c>
      <c r="I197" s="192" t="str">
        <f aca="false">Scoring!CZ204</f>
        <v/>
      </c>
    </row>
    <row r="198" customFormat="false" ht="15.75" hidden="false" customHeight="false" outlineLevel="0" collapsed="false">
      <c r="A198" s="7" t="str">
        <f aca="false">Scoring!DC205</f>
        <v/>
      </c>
      <c r="B198" s="7" t="str">
        <f aca="false">Scoring!DB205</f>
        <v/>
      </c>
      <c r="C198" s="7" t="n">
        <f aca="false">Scoring!C205</f>
        <v>0</v>
      </c>
      <c r="D198" s="191" t="str">
        <f aca="false">Scoring!CY205</f>
        <v/>
      </c>
      <c r="E198" s="7" t="str">
        <f aca="false">Scoring!BZ205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Scoring!DA205</f>
        <v/>
      </c>
      <c r="I198" s="192" t="str">
        <f aca="false">Scoring!CZ205</f>
        <v/>
      </c>
    </row>
    <row r="199" customFormat="false" ht="15.75" hidden="false" customHeight="false" outlineLevel="0" collapsed="false">
      <c r="A199" s="7" t="str">
        <f aca="false">Scoring!DC206</f>
        <v/>
      </c>
      <c r="B199" s="7" t="str">
        <f aca="false">Scoring!DB206</f>
        <v/>
      </c>
      <c r="C199" s="7" t="n">
        <f aca="false">Scoring!C206</f>
        <v>0</v>
      </c>
      <c r="D199" s="191" t="str">
        <f aca="false">Scoring!CY206</f>
        <v/>
      </c>
      <c r="E199" s="7" t="str">
        <f aca="false">Scoring!BZ206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Scoring!DA206</f>
        <v/>
      </c>
      <c r="I199" s="192" t="str">
        <f aca="false">Scoring!CZ206</f>
        <v/>
      </c>
    </row>
    <row r="200" customFormat="false" ht="15.75" hidden="false" customHeight="false" outlineLevel="0" collapsed="false">
      <c r="A200" s="7" t="str">
        <f aca="false">Scoring!DC207</f>
        <v/>
      </c>
      <c r="B200" s="7" t="str">
        <f aca="false">Scoring!DB207</f>
        <v/>
      </c>
      <c r="C200" s="7" t="n">
        <f aca="false">Scoring!C207</f>
        <v>0</v>
      </c>
      <c r="D200" s="191" t="str">
        <f aca="false">Scoring!CY207</f>
        <v/>
      </c>
      <c r="E200" s="7" t="str">
        <f aca="false">Scoring!BZ207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Scoring!DA207</f>
        <v/>
      </c>
      <c r="I200" s="192" t="str">
        <f aca="false">Scoring!CZ207</f>
        <v/>
      </c>
    </row>
    <row r="201" customFormat="false" ht="15.75" hidden="false" customHeight="false" outlineLevel="0" collapsed="false">
      <c r="A201" s="7" t="str">
        <f aca="false">Scoring!DC208</f>
        <v/>
      </c>
      <c r="B201" s="7" t="str">
        <f aca="false">Scoring!DB208</f>
        <v/>
      </c>
      <c r="C201" s="7" t="n">
        <f aca="false">Scoring!C208</f>
        <v>0</v>
      </c>
      <c r="D201" s="191" t="str">
        <f aca="false">Scoring!CY208</f>
        <v/>
      </c>
      <c r="E201" s="7" t="str">
        <f aca="false">Scoring!BZ208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Scoring!DA208</f>
        <v/>
      </c>
      <c r="I201" s="192" t="str">
        <f aca="false">Scoring!CZ208</f>
        <v/>
      </c>
    </row>
    <row r="202" customFormat="false" ht="15.75" hidden="false" customHeight="false" outlineLevel="0" collapsed="false">
      <c r="A202" s="7" t="str">
        <f aca="false">Scoring!DC209</f>
        <v/>
      </c>
      <c r="B202" s="7" t="str">
        <f aca="false">Scoring!DB209</f>
        <v/>
      </c>
      <c r="C202" s="7" t="n">
        <f aca="false">Scoring!C209</f>
        <v>0</v>
      </c>
      <c r="D202" s="191" t="str">
        <f aca="false">Scoring!CY209</f>
        <v/>
      </c>
      <c r="E202" s="7" t="str">
        <f aca="false">Scoring!BZ209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Scoring!DA209</f>
        <v/>
      </c>
      <c r="I202" s="192" t="str">
        <f aca="false">Scoring!CZ209</f>
        <v/>
      </c>
    </row>
    <row r="203" customFormat="false" ht="15.75" hidden="false" customHeight="false" outlineLevel="0" collapsed="false">
      <c r="A203" s="7" t="str">
        <f aca="false">Scoring!DC210</f>
        <v/>
      </c>
      <c r="B203" s="7" t="str">
        <f aca="false">Scoring!DB210</f>
        <v/>
      </c>
      <c r="C203" s="7" t="n">
        <f aca="false">Scoring!C210</f>
        <v>0</v>
      </c>
      <c r="D203" s="191" t="str">
        <f aca="false">Scoring!CY210</f>
        <v/>
      </c>
      <c r="E203" s="7" t="str">
        <f aca="false">Scoring!BZ210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Scoring!DA210</f>
        <v/>
      </c>
      <c r="I203" s="192" t="str">
        <f aca="false">Scoring!CZ210</f>
        <v/>
      </c>
    </row>
    <row r="204" customFormat="false" ht="15.75" hidden="false" customHeight="false" outlineLevel="0" collapsed="false">
      <c r="A204" s="7" t="str">
        <f aca="false">Scoring!DC211</f>
        <v/>
      </c>
      <c r="B204" s="7" t="str">
        <f aca="false">Scoring!DB211</f>
        <v/>
      </c>
      <c r="C204" s="7" t="n">
        <f aca="false">Scoring!C211</f>
        <v>0</v>
      </c>
      <c r="D204" s="191" t="str">
        <f aca="false">Scoring!CY211</f>
        <v/>
      </c>
      <c r="E204" s="7" t="str">
        <f aca="false">Scoring!BZ211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Scoring!DA211</f>
        <v/>
      </c>
      <c r="I204" s="192" t="str">
        <f aca="false">Scoring!CZ211</f>
        <v/>
      </c>
    </row>
    <row r="205" customFormat="false" ht="15.75" hidden="false" customHeight="false" outlineLevel="0" collapsed="false">
      <c r="A205" s="7" t="str">
        <f aca="false">Scoring!DC212</f>
        <v/>
      </c>
      <c r="B205" s="7" t="str">
        <f aca="false">Scoring!DB212</f>
        <v/>
      </c>
      <c r="C205" s="7" t="n">
        <f aca="false">Scoring!C212</f>
        <v>0</v>
      </c>
      <c r="D205" s="191" t="str">
        <f aca="false">Scoring!CY212</f>
        <v/>
      </c>
      <c r="E205" s="7" t="str">
        <f aca="false">Scoring!BZ212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Scoring!DA212</f>
        <v/>
      </c>
      <c r="I205" s="192" t="str">
        <f aca="false">Scoring!CZ212</f>
        <v/>
      </c>
    </row>
    <row r="206" customFormat="false" ht="15.75" hidden="false" customHeight="false" outlineLevel="0" collapsed="false">
      <c r="A206" s="7" t="str">
        <f aca="false">Scoring!DC213</f>
        <v/>
      </c>
      <c r="B206" s="7" t="str">
        <f aca="false">Scoring!DB213</f>
        <v/>
      </c>
      <c r="C206" s="7" t="n">
        <f aca="false">Scoring!C213</f>
        <v>0</v>
      </c>
      <c r="D206" s="191" t="str">
        <f aca="false">Scoring!CY213</f>
        <v/>
      </c>
      <c r="E206" s="7" t="str">
        <f aca="false">Scoring!BZ213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Scoring!DA213</f>
        <v/>
      </c>
      <c r="I206" s="192" t="str">
        <f aca="false">Scoring!CZ213</f>
        <v/>
      </c>
    </row>
    <row r="207" customFormat="false" ht="15.75" hidden="false" customHeight="false" outlineLevel="0" collapsed="false">
      <c r="A207" s="7" t="str">
        <f aca="false">Scoring!DC214</f>
        <v/>
      </c>
      <c r="B207" s="7" t="str">
        <f aca="false">Scoring!DB214</f>
        <v/>
      </c>
      <c r="C207" s="7" t="n">
        <f aca="false">Scoring!C214</f>
        <v>0</v>
      </c>
      <c r="D207" s="191" t="str">
        <f aca="false">Scoring!CY214</f>
        <v/>
      </c>
      <c r="E207" s="7" t="str">
        <f aca="false">Scoring!BZ214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Scoring!DA214</f>
        <v/>
      </c>
      <c r="I207" s="192" t="str">
        <f aca="false">Scoring!CZ214</f>
        <v/>
      </c>
    </row>
    <row r="208" customFormat="false" ht="15.75" hidden="false" customHeight="false" outlineLevel="0" collapsed="false">
      <c r="A208" s="7" t="str">
        <f aca="false">Scoring!DC215</f>
        <v/>
      </c>
      <c r="B208" s="7" t="str">
        <f aca="false">Scoring!DB215</f>
        <v/>
      </c>
      <c r="C208" s="7" t="n">
        <f aca="false">Scoring!C215</f>
        <v>0</v>
      </c>
      <c r="D208" s="191" t="str">
        <f aca="false">Scoring!CY215</f>
        <v/>
      </c>
      <c r="E208" s="7" t="str">
        <f aca="false">Scoring!BZ215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Scoring!DA215</f>
        <v/>
      </c>
      <c r="I208" s="192" t="str">
        <f aca="false">Scoring!CZ215</f>
        <v/>
      </c>
    </row>
    <row r="209" customFormat="false" ht="15.75" hidden="false" customHeight="false" outlineLevel="0" collapsed="false">
      <c r="A209" s="7" t="str">
        <f aca="false">Scoring!DC216</f>
        <v/>
      </c>
      <c r="B209" s="7" t="str">
        <f aca="false">Scoring!DB216</f>
        <v/>
      </c>
      <c r="C209" s="7" t="n">
        <f aca="false">Scoring!C216</f>
        <v>0</v>
      </c>
      <c r="D209" s="191" t="str">
        <f aca="false">Scoring!CY216</f>
        <v/>
      </c>
      <c r="E209" s="7" t="str">
        <f aca="false">Scoring!BZ216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Scoring!DA216</f>
        <v/>
      </c>
      <c r="I209" s="192" t="str">
        <f aca="false">Scoring!CZ216</f>
        <v/>
      </c>
    </row>
    <row r="210" customFormat="false" ht="15.75" hidden="false" customHeight="false" outlineLevel="0" collapsed="false">
      <c r="A210" s="7" t="str">
        <f aca="false">Scoring!DC217</f>
        <v/>
      </c>
      <c r="B210" s="7" t="str">
        <f aca="false">Scoring!DB217</f>
        <v/>
      </c>
      <c r="C210" s="7" t="n">
        <f aca="false">Scoring!C217</f>
        <v>0</v>
      </c>
      <c r="D210" s="191" t="str">
        <f aca="false">Scoring!CY217</f>
        <v/>
      </c>
      <c r="E210" s="7" t="str">
        <f aca="false">Scoring!BZ217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Scoring!DA217</f>
        <v/>
      </c>
      <c r="I210" s="192" t="str">
        <f aca="false">Scoring!CZ217</f>
        <v/>
      </c>
    </row>
    <row r="211" customFormat="false" ht="15.75" hidden="false" customHeight="false" outlineLevel="0" collapsed="false">
      <c r="A211" s="7" t="str">
        <f aca="false">Scoring!DC218</f>
        <v/>
      </c>
      <c r="B211" s="7" t="str">
        <f aca="false">Scoring!DB218</f>
        <v/>
      </c>
      <c r="C211" s="7" t="n">
        <f aca="false">Scoring!C218</f>
        <v>0</v>
      </c>
      <c r="D211" s="191" t="str">
        <f aca="false">Scoring!CY218</f>
        <v/>
      </c>
      <c r="E211" s="7" t="str">
        <f aca="false">Scoring!BZ218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Scoring!DA218</f>
        <v/>
      </c>
      <c r="I211" s="192" t="str">
        <f aca="false">Scoring!CZ218</f>
        <v/>
      </c>
    </row>
    <row r="212" customFormat="false" ht="15.75" hidden="false" customHeight="false" outlineLevel="0" collapsed="false">
      <c r="A212" s="7" t="str">
        <f aca="false">Scoring!DC219</f>
        <v/>
      </c>
      <c r="B212" s="7" t="str">
        <f aca="false">Scoring!DB219</f>
        <v/>
      </c>
      <c r="C212" s="7" t="n">
        <f aca="false">Scoring!C219</f>
        <v>0</v>
      </c>
      <c r="D212" s="191" t="str">
        <f aca="false">Scoring!CY219</f>
        <v/>
      </c>
      <c r="E212" s="7" t="str">
        <f aca="false">Scoring!BZ219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Scoring!DA219</f>
        <v/>
      </c>
      <c r="I212" s="192" t="str">
        <f aca="false">Scoring!CZ219</f>
        <v/>
      </c>
    </row>
    <row r="213" customFormat="false" ht="15.75" hidden="false" customHeight="false" outlineLevel="0" collapsed="false">
      <c r="A213" s="7" t="str">
        <f aca="false">Scoring!DC220</f>
        <v/>
      </c>
      <c r="B213" s="7" t="str">
        <f aca="false">Scoring!DB220</f>
        <v/>
      </c>
      <c r="C213" s="7" t="n">
        <f aca="false">Scoring!C220</f>
        <v>0</v>
      </c>
      <c r="D213" s="191" t="str">
        <f aca="false">Scoring!CY220</f>
        <v/>
      </c>
      <c r="E213" s="7" t="str">
        <f aca="false">Scoring!BZ220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Scoring!DA220</f>
        <v/>
      </c>
      <c r="I213" s="192" t="str">
        <f aca="false">Scoring!CZ220</f>
        <v/>
      </c>
    </row>
    <row r="214" customFormat="false" ht="15.75" hidden="false" customHeight="false" outlineLevel="0" collapsed="false">
      <c r="A214" s="7" t="str">
        <f aca="false">Scoring!DC221</f>
        <v/>
      </c>
      <c r="B214" s="7" t="str">
        <f aca="false">Scoring!DB221</f>
        <v/>
      </c>
      <c r="C214" s="7" t="n">
        <f aca="false">Scoring!C221</f>
        <v>0</v>
      </c>
      <c r="D214" s="191" t="str">
        <f aca="false">Scoring!CY221</f>
        <v/>
      </c>
      <c r="E214" s="7" t="str">
        <f aca="false">Scoring!BZ221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Scoring!DA221</f>
        <v/>
      </c>
      <c r="I214" s="192" t="str">
        <f aca="false">Scoring!CZ221</f>
        <v/>
      </c>
    </row>
    <row r="215" customFormat="false" ht="15.75" hidden="false" customHeight="false" outlineLevel="0" collapsed="false">
      <c r="A215" s="7" t="str">
        <f aca="false">Scoring!DC222</f>
        <v/>
      </c>
      <c r="B215" s="7" t="str">
        <f aca="false">Scoring!DB222</f>
        <v/>
      </c>
      <c r="C215" s="7" t="n">
        <f aca="false">Scoring!C222</f>
        <v>0</v>
      </c>
      <c r="D215" s="191" t="str">
        <f aca="false">Scoring!CY222</f>
        <v/>
      </c>
      <c r="E215" s="7" t="str">
        <f aca="false">Scoring!BZ222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Scoring!DA222</f>
        <v/>
      </c>
      <c r="I215" s="192" t="str">
        <f aca="false">Scoring!CZ222</f>
        <v/>
      </c>
    </row>
    <row r="216" customFormat="false" ht="15.75" hidden="false" customHeight="false" outlineLevel="0" collapsed="false">
      <c r="A216" s="7" t="str">
        <f aca="false">Scoring!DC223</f>
        <v/>
      </c>
      <c r="B216" s="7" t="str">
        <f aca="false">Scoring!DB223</f>
        <v/>
      </c>
      <c r="C216" s="7" t="n">
        <f aca="false">Scoring!C223</f>
        <v>0</v>
      </c>
      <c r="D216" s="191" t="str">
        <f aca="false">Scoring!CY223</f>
        <v/>
      </c>
      <c r="E216" s="7" t="str">
        <f aca="false">Scoring!BZ223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Scoring!DA223</f>
        <v/>
      </c>
      <c r="I216" s="192" t="str">
        <f aca="false">Scoring!CZ223</f>
        <v/>
      </c>
    </row>
    <row r="217" customFormat="false" ht="15.75" hidden="false" customHeight="false" outlineLevel="0" collapsed="false">
      <c r="A217" s="7" t="str">
        <f aca="false">Scoring!DC224</f>
        <v/>
      </c>
      <c r="B217" s="7" t="str">
        <f aca="false">Scoring!DB224</f>
        <v/>
      </c>
      <c r="C217" s="7" t="n">
        <f aca="false">Scoring!C224</f>
        <v>0</v>
      </c>
      <c r="D217" s="191" t="str">
        <f aca="false">Scoring!CY224</f>
        <v/>
      </c>
      <c r="E217" s="7" t="str">
        <f aca="false">Scoring!BZ224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Scoring!DA224</f>
        <v/>
      </c>
      <c r="I217" s="192" t="str">
        <f aca="false">Scoring!CZ224</f>
        <v/>
      </c>
    </row>
    <row r="218" customFormat="false" ht="15.75" hidden="false" customHeight="false" outlineLevel="0" collapsed="false">
      <c r="A218" s="7" t="str">
        <f aca="false">Scoring!DC225</f>
        <v/>
      </c>
      <c r="B218" s="7" t="str">
        <f aca="false">Scoring!DB225</f>
        <v/>
      </c>
      <c r="C218" s="7" t="n">
        <f aca="false">Scoring!C225</f>
        <v>0</v>
      </c>
      <c r="D218" s="191" t="str">
        <f aca="false">Scoring!CY225</f>
        <v/>
      </c>
      <c r="E218" s="7" t="str">
        <f aca="false">Scoring!BZ225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Scoring!DA225</f>
        <v/>
      </c>
      <c r="I218" s="192" t="str">
        <f aca="false">Scoring!CZ225</f>
        <v/>
      </c>
    </row>
    <row r="219" customFormat="false" ht="15.75" hidden="false" customHeight="false" outlineLevel="0" collapsed="false">
      <c r="A219" s="7" t="str">
        <f aca="false">Scoring!DC226</f>
        <v/>
      </c>
      <c r="B219" s="7" t="str">
        <f aca="false">Scoring!DB226</f>
        <v/>
      </c>
      <c r="C219" s="7" t="n">
        <f aca="false">Scoring!C226</f>
        <v>0</v>
      </c>
      <c r="D219" s="191" t="str">
        <f aca="false">Scoring!CY226</f>
        <v/>
      </c>
      <c r="E219" s="7" t="str">
        <f aca="false">Scoring!BZ226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Scoring!DA226</f>
        <v/>
      </c>
      <c r="I219" s="192" t="str">
        <f aca="false">Scoring!CZ226</f>
        <v/>
      </c>
    </row>
    <row r="220" customFormat="false" ht="15.75" hidden="false" customHeight="false" outlineLevel="0" collapsed="false">
      <c r="A220" s="7" t="str">
        <f aca="false">Scoring!DC227</f>
        <v/>
      </c>
      <c r="B220" s="7" t="str">
        <f aca="false">Scoring!DB227</f>
        <v/>
      </c>
      <c r="C220" s="7" t="n">
        <f aca="false">Scoring!C227</f>
        <v>0</v>
      </c>
      <c r="D220" s="191" t="str">
        <f aca="false">Scoring!CY227</f>
        <v/>
      </c>
      <c r="E220" s="7" t="str">
        <f aca="false">Scoring!BZ227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Scoring!DA227</f>
        <v/>
      </c>
      <c r="I220" s="192" t="str">
        <f aca="false">Scoring!CZ227</f>
        <v/>
      </c>
    </row>
    <row r="221" customFormat="false" ht="15.75" hidden="false" customHeight="false" outlineLevel="0" collapsed="false">
      <c r="A221" s="7" t="str">
        <f aca="false">Scoring!DC228</f>
        <v/>
      </c>
      <c r="B221" s="7" t="str">
        <f aca="false">Scoring!DB228</f>
        <v/>
      </c>
      <c r="C221" s="7" t="n">
        <f aca="false">Scoring!C228</f>
        <v>0</v>
      </c>
      <c r="D221" s="191" t="str">
        <f aca="false">Scoring!CY228</f>
        <v/>
      </c>
      <c r="E221" s="7" t="str">
        <f aca="false">Scoring!BZ228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Scoring!DA228</f>
        <v/>
      </c>
      <c r="I221" s="192" t="str">
        <f aca="false">Scoring!CZ228</f>
        <v/>
      </c>
    </row>
    <row r="222" customFormat="false" ht="15.75" hidden="false" customHeight="false" outlineLevel="0" collapsed="false">
      <c r="A222" s="7" t="str">
        <f aca="false">Scoring!DC229</f>
        <v/>
      </c>
      <c r="B222" s="7" t="str">
        <f aca="false">Scoring!DB229</f>
        <v/>
      </c>
      <c r="C222" s="7" t="n">
        <f aca="false">Scoring!C229</f>
        <v>0</v>
      </c>
      <c r="D222" s="191" t="str">
        <f aca="false">Scoring!CY229</f>
        <v/>
      </c>
      <c r="E222" s="7" t="str">
        <f aca="false">Scoring!BZ229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Scoring!DA229</f>
        <v/>
      </c>
      <c r="I222" s="192" t="str">
        <f aca="false">Scoring!CZ229</f>
        <v/>
      </c>
    </row>
    <row r="223" customFormat="false" ht="15.75" hidden="false" customHeight="false" outlineLevel="0" collapsed="false">
      <c r="A223" s="7" t="str">
        <f aca="false">Scoring!DC230</f>
        <v/>
      </c>
      <c r="B223" s="7" t="str">
        <f aca="false">Scoring!DB230</f>
        <v/>
      </c>
      <c r="C223" s="7" t="n">
        <f aca="false">Scoring!C230</f>
        <v>0</v>
      </c>
      <c r="D223" s="191" t="str">
        <f aca="false">Scoring!CY230</f>
        <v/>
      </c>
      <c r="E223" s="7" t="str">
        <f aca="false">Scoring!BZ230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Scoring!DA230</f>
        <v/>
      </c>
      <c r="I223" s="192" t="str">
        <f aca="false">Scoring!CZ230</f>
        <v/>
      </c>
    </row>
    <row r="224" customFormat="false" ht="15.75" hidden="false" customHeight="false" outlineLevel="0" collapsed="false">
      <c r="A224" s="7" t="str">
        <f aca="false">Scoring!DC231</f>
        <v/>
      </c>
      <c r="B224" s="7" t="str">
        <f aca="false">Scoring!DB231</f>
        <v/>
      </c>
      <c r="C224" s="7" t="n">
        <f aca="false">Scoring!C231</f>
        <v>0</v>
      </c>
      <c r="D224" s="191" t="str">
        <f aca="false">Scoring!CY231</f>
        <v/>
      </c>
      <c r="E224" s="7" t="str">
        <f aca="false">Scoring!BZ231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Scoring!DA231</f>
        <v/>
      </c>
      <c r="I224" s="192" t="str">
        <f aca="false">Scoring!CZ231</f>
        <v/>
      </c>
    </row>
    <row r="225" customFormat="false" ht="15.75" hidden="false" customHeight="false" outlineLevel="0" collapsed="false">
      <c r="A225" s="7" t="str">
        <f aca="false">Scoring!DC232</f>
        <v/>
      </c>
      <c r="B225" s="7" t="str">
        <f aca="false">Scoring!DB232</f>
        <v/>
      </c>
      <c r="C225" s="7" t="n">
        <f aca="false">Scoring!C232</f>
        <v>0</v>
      </c>
      <c r="D225" s="191" t="str">
        <f aca="false">Scoring!CY232</f>
        <v/>
      </c>
      <c r="E225" s="7" t="str">
        <f aca="false">Scoring!BZ232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Scoring!DA232</f>
        <v/>
      </c>
      <c r="I225" s="192" t="str">
        <f aca="false">Scoring!CZ232</f>
        <v/>
      </c>
    </row>
    <row r="226" customFormat="false" ht="15.75" hidden="false" customHeight="false" outlineLevel="0" collapsed="false">
      <c r="A226" s="7" t="str">
        <f aca="false">Scoring!DC233</f>
        <v/>
      </c>
      <c r="B226" s="7" t="str">
        <f aca="false">Scoring!DB233</f>
        <v/>
      </c>
      <c r="C226" s="7" t="n">
        <f aca="false">Scoring!C233</f>
        <v>0</v>
      </c>
      <c r="D226" s="191" t="str">
        <f aca="false">Scoring!CY233</f>
        <v/>
      </c>
      <c r="E226" s="7" t="str">
        <f aca="false">Scoring!BZ233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Scoring!DA233</f>
        <v/>
      </c>
      <c r="I226" s="192" t="str">
        <f aca="false">Scoring!CZ233</f>
        <v/>
      </c>
    </row>
    <row r="227" customFormat="false" ht="15.75" hidden="false" customHeight="false" outlineLevel="0" collapsed="false">
      <c r="A227" s="7" t="str">
        <f aca="false">Scoring!DC234</f>
        <v/>
      </c>
      <c r="B227" s="7" t="str">
        <f aca="false">Scoring!DB234</f>
        <v/>
      </c>
      <c r="C227" s="7" t="n">
        <f aca="false">Scoring!C234</f>
        <v>0</v>
      </c>
      <c r="D227" s="191" t="str">
        <f aca="false">Scoring!CY234</f>
        <v/>
      </c>
      <c r="E227" s="7" t="str">
        <f aca="false">Scoring!BZ234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Scoring!DA234</f>
        <v/>
      </c>
      <c r="I227" s="192" t="str">
        <f aca="false">Scoring!CZ234</f>
        <v/>
      </c>
    </row>
    <row r="228" customFormat="false" ht="15.75" hidden="false" customHeight="false" outlineLevel="0" collapsed="false">
      <c r="A228" s="7" t="str">
        <f aca="false">Scoring!DC235</f>
        <v/>
      </c>
      <c r="B228" s="7" t="str">
        <f aca="false">Scoring!DB235</f>
        <v/>
      </c>
      <c r="C228" s="7" t="n">
        <f aca="false">Scoring!C235</f>
        <v>0</v>
      </c>
      <c r="D228" s="191" t="str">
        <f aca="false">Scoring!CY235</f>
        <v/>
      </c>
      <c r="E228" s="7" t="str">
        <f aca="false">Scoring!BZ235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Scoring!DA235</f>
        <v/>
      </c>
      <c r="I228" s="192" t="str">
        <f aca="false">Scoring!CZ235</f>
        <v/>
      </c>
    </row>
    <row r="229" customFormat="false" ht="15.75" hidden="false" customHeight="false" outlineLevel="0" collapsed="false">
      <c r="A229" s="7" t="str">
        <f aca="false">Scoring!DC236</f>
        <v/>
      </c>
      <c r="B229" s="7" t="str">
        <f aca="false">Scoring!DB236</f>
        <v/>
      </c>
      <c r="C229" s="7" t="n">
        <f aca="false">Scoring!C236</f>
        <v>0</v>
      </c>
      <c r="D229" s="191" t="str">
        <f aca="false">Scoring!CY236</f>
        <v/>
      </c>
      <c r="E229" s="7" t="str">
        <f aca="false">Scoring!BZ236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Scoring!DA236</f>
        <v/>
      </c>
      <c r="I229" s="192" t="str">
        <f aca="false">Scoring!CZ236</f>
        <v/>
      </c>
    </row>
    <row r="230" customFormat="false" ht="15.75" hidden="false" customHeight="false" outlineLevel="0" collapsed="false">
      <c r="A230" s="7" t="str">
        <f aca="false">Scoring!DC237</f>
        <v/>
      </c>
      <c r="B230" s="7" t="str">
        <f aca="false">Scoring!DB237</f>
        <v/>
      </c>
      <c r="C230" s="7" t="n">
        <f aca="false">Scoring!C237</f>
        <v>0</v>
      </c>
      <c r="D230" s="191" t="str">
        <f aca="false">Scoring!CY237</f>
        <v/>
      </c>
      <c r="E230" s="7" t="str">
        <f aca="false">Scoring!BZ237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Scoring!DA237</f>
        <v/>
      </c>
      <c r="I230" s="192" t="str">
        <f aca="false">Scoring!CZ237</f>
        <v/>
      </c>
    </row>
    <row r="231" customFormat="false" ht="15.75" hidden="false" customHeight="false" outlineLevel="0" collapsed="false">
      <c r="A231" s="7" t="str">
        <f aca="false">Scoring!DC238</f>
        <v/>
      </c>
      <c r="B231" s="7" t="str">
        <f aca="false">Scoring!DB238</f>
        <v/>
      </c>
      <c r="C231" s="7" t="n">
        <f aca="false">Scoring!C238</f>
        <v>0</v>
      </c>
      <c r="D231" s="191" t="str">
        <f aca="false">Scoring!CY238</f>
        <v/>
      </c>
      <c r="E231" s="7" t="str">
        <f aca="false">Scoring!BZ238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Scoring!DA238</f>
        <v/>
      </c>
      <c r="I231" s="192" t="str">
        <f aca="false">Scoring!CZ238</f>
        <v/>
      </c>
    </row>
    <row r="232" customFormat="false" ht="15.75" hidden="false" customHeight="false" outlineLevel="0" collapsed="false">
      <c r="A232" s="7" t="str">
        <f aca="false">Scoring!DC239</f>
        <v/>
      </c>
      <c r="B232" s="7" t="str">
        <f aca="false">Scoring!DB239</f>
        <v/>
      </c>
      <c r="C232" s="7" t="n">
        <f aca="false">Scoring!C239</f>
        <v>0</v>
      </c>
      <c r="D232" s="191" t="str">
        <f aca="false">Scoring!CY239</f>
        <v/>
      </c>
      <c r="E232" s="7" t="str">
        <f aca="false">Scoring!BZ239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Scoring!DA239</f>
        <v/>
      </c>
      <c r="I232" s="192" t="str">
        <f aca="false">Scoring!CZ239</f>
        <v/>
      </c>
    </row>
    <row r="233" customFormat="false" ht="15.75" hidden="false" customHeight="false" outlineLevel="0" collapsed="false">
      <c r="A233" s="7" t="str">
        <f aca="false">Scoring!DC240</f>
        <v/>
      </c>
      <c r="B233" s="7" t="str">
        <f aca="false">Scoring!DB240</f>
        <v/>
      </c>
      <c r="C233" s="7" t="n">
        <f aca="false">Scoring!C240</f>
        <v>0</v>
      </c>
      <c r="D233" s="191" t="str">
        <f aca="false">Scoring!CY240</f>
        <v/>
      </c>
      <c r="E233" s="7" t="str">
        <f aca="false">Scoring!BZ240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Scoring!DA240</f>
        <v/>
      </c>
      <c r="I233" s="192" t="str">
        <f aca="false">Scoring!CZ240</f>
        <v/>
      </c>
    </row>
    <row r="234" customFormat="false" ht="15.75" hidden="false" customHeight="false" outlineLevel="0" collapsed="false">
      <c r="A234" s="7" t="str">
        <f aca="false">Scoring!DC241</f>
        <v/>
      </c>
      <c r="B234" s="7" t="str">
        <f aca="false">Scoring!DB241</f>
        <v/>
      </c>
      <c r="C234" s="7" t="n">
        <f aca="false">Scoring!C241</f>
        <v>0</v>
      </c>
      <c r="D234" s="191" t="str">
        <f aca="false">Scoring!CY241</f>
        <v/>
      </c>
      <c r="E234" s="7" t="str">
        <f aca="false">Scoring!BZ241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Scoring!DA241</f>
        <v/>
      </c>
      <c r="I234" s="192" t="str">
        <f aca="false">Scoring!CZ241</f>
        <v/>
      </c>
    </row>
    <row r="235" customFormat="false" ht="15.75" hidden="false" customHeight="false" outlineLevel="0" collapsed="false">
      <c r="A235" s="7" t="str">
        <f aca="false">Scoring!DC242</f>
        <v/>
      </c>
      <c r="B235" s="7" t="str">
        <f aca="false">Scoring!DB242</f>
        <v/>
      </c>
      <c r="C235" s="7" t="n">
        <f aca="false">Scoring!C242</f>
        <v>0</v>
      </c>
      <c r="D235" s="191" t="str">
        <f aca="false">Scoring!CY242</f>
        <v/>
      </c>
      <c r="E235" s="7" t="str">
        <f aca="false">Scoring!BZ242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Scoring!DA242</f>
        <v/>
      </c>
      <c r="I235" s="192" t="str">
        <f aca="false">Scoring!CZ242</f>
        <v/>
      </c>
    </row>
    <row r="236" customFormat="false" ht="15.75" hidden="false" customHeight="false" outlineLevel="0" collapsed="false">
      <c r="A236" s="7" t="str">
        <f aca="false">Scoring!DC243</f>
        <v/>
      </c>
      <c r="B236" s="7" t="str">
        <f aca="false">Scoring!DB243</f>
        <v/>
      </c>
      <c r="C236" s="7" t="n">
        <f aca="false">Scoring!C243</f>
        <v>0</v>
      </c>
      <c r="D236" s="191" t="str">
        <f aca="false">Scoring!CY243</f>
        <v/>
      </c>
      <c r="E236" s="7" t="str">
        <f aca="false">Scoring!BZ243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Scoring!DA243</f>
        <v/>
      </c>
      <c r="I236" s="192" t="str">
        <f aca="false">Scoring!CZ243</f>
        <v/>
      </c>
    </row>
    <row r="237" customFormat="false" ht="15.75" hidden="false" customHeight="false" outlineLevel="0" collapsed="false">
      <c r="A237" s="7" t="str">
        <f aca="false">Scoring!DC244</f>
        <v/>
      </c>
      <c r="B237" s="7" t="str">
        <f aca="false">Scoring!DB244</f>
        <v/>
      </c>
      <c r="C237" s="7" t="n">
        <f aca="false">Scoring!C244</f>
        <v>0</v>
      </c>
      <c r="D237" s="191" t="str">
        <f aca="false">Scoring!CY244</f>
        <v/>
      </c>
      <c r="E237" s="7" t="str">
        <f aca="false">Scoring!BZ244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Scoring!DA244</f>
        <v/>
      </c>
      <c r="I237" s="192" t="str">
        <f aca="false">Scoring!CZ244</f>
        <v/>
      </c>
    </row>
    <row r="238" customFormat="false" ht="15.75" hidden="false" customHeight="false" outlineLevel="0" collapsed="false">
      <c r="A238" s="7" t="str">
        <f aca="false">Scoring!DC245</f>
        <v/>
      </c>
      <c r="B238" s="7" t="str">
        <f aca="false">Scoring!DB245</f>
        <v/>
      </c>
      <c r="C238" s="7" t="n">
        <f aca="false">Scoring!C245</f>
        <v>0</v>
      </c>
      <c r="D238" s="191" t="str">
        <f aca="false">Scoring!CY245</f>
        <v/>
      </c>
      <c r="E238" s="7" t="str">
        <f aca="false">Scoring!BZ245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Scoring!DA245</f>
        <v/>
      </c>
      <c r="I238" s="192" t="str">
        <f aca="false">Scoring!CZ245</f>
        <v/>
      </c>
    </row>
    <row r="239" customFormat="false" ht="15.75" hidden="false" customHeight="false" outlineLevel="0" collapsed="false">
      <c r="A239" s="7" t="str">
        <f aca="false">Scoring!DC246</f>
        <v/>
      </c>
      <c r="B239" s="7" t="str">
        <f aca="false">Scoring!DB246</f>
        <v/>
      </c>
      <c r="C239" s="7" t="n">
        <f aca="false">Scoring!C246</f>
        <v>0</v>
      </c>
      <c r="D239" s="191" t="str">
        <f aca="false">Scoring!CY246</f>
        <v/>
      </c>
      <c r="E239" s="7" t="str">
        <f aca="false">Scoring!BZ246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Scoring!DA246</f>
        <v/>
      </c>
      <c r="I239" s="192" t="str">
        <f aca="false">Scoring!CZ246</f>
        <v/>
      </c>
    </row>
    <row r="240" customFormat="false" ht="15.75" hidden="false" customHeight="false" outlineLevel="0" collapsed="false">
      <c r="A240" s="7" t="str">
        <f aca="false">Scoring!DC247</f>
        <v/>
      </c>
      <c r="B240" s="7" t="str">
        <f aca="false">Scoring!DB247</f>
        <v/>
      </c>
      <c r="C240" s="7" t="n">
        <f aca="false">Scoring!C247</f>
        <v>0</v>
      </c>
      <c r="D240" s="191" t="str">
        <f aca="false">Scoring!CY247</f>
        <v/>
      </c>
      <c r="E240" s="7" t="str">
        <f aca="false">Scoring!BZ247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Scoring!DA247</f>
        <v/>
      </c>
      <c r="I240" s="192" t="str">
        <f aca="false">Scoring!CZ247</f>
        <v/>
      </c>
    </row>
    <row r="241" customFormat="false" ht="15.75" hidden="false" customHeight="false" outlineLevel="0" collapsed="false">
      <c r="A241" s="7" t="str">
        <f aca="false">Scoring!DC248</f>
        <v/>
      </c>
      <c r="B241" s="7" t="str">
        <f aca="false">Scoring!DB248</f>
        <v/>
      </c>
      <c r="C241" s="7" t="n">
        <f aca="false">Scoring!C248</f>
        <v>0</v>
      </c>
      <c r="D241" s="191" t="str">
        <f aca="false">Scoring!CY248</f>
        <v/>
      </c>
      <c r="E241" s="7" t="str">
        <f aca="false">Scoring!BZ248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Scoring!DA248</f>
        <v/>
      </c>
      <c r="I241" s="192" t="str">
        <f aca="false">Scoring!CZ248</f>
        <v/>
      </c>
    </row>
    <row r="242" customFormat="false" ht="15.75" hidden="false" customHeight="false" outlineLevel="0" collapsed="false">
      <c r="A242" s="7" t="str">
        <f aca="false">Scoring!DC249</f>
        <v/>
      </c>
      <c r="B242" s="7" t="str">
        <f aca="false">Scoring!DB249</f>
        <v/>
      </c>
      <c r="C242" s="7" t="n">
        <f aca="false">Scoring!C249</f>
        <v>0</v>
      </c>
      <c r="D242" s="191" t="str">
        <f aca="false">Scoring!CY249</f>
        <v/>
      </c>
      <c r="E242" s="7" t="str">
        <f aca="false">Scoring!BZ249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Scoring!DA249</f>
        <v/>
      </c>
      <c r="I242" s="192" t="str">
        <f aca="false">Scoring!CZ249</f>
        <v/>
      </c>
    </row>
    <row r="243" customFormat="false" ht="15.75" hidden="false" customHeight="false" outlineLevel="0" collapsed="false">
      <c r="A243" s="7" t="str">
        <f aca="false">Scoring!DC250</f>
        <v/>
      </c>
      <c r="B243" s="7" t="str">
        <f aca="false">Scoring!DB250</f>
        <v/>
      </c>
      <c r="C243" s="7" t="n">
        <f aca="false">Scoring!C250</f>
        <v>0</v>
      </c>
      <c r="D243" s="191" t="str">
        <f aca="false">Scoring!CY250</f>
        <v/>
      </c>
      <c r="E243" s="7" t="str">
        <f aca="false">Scoring!BZ250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Scoring!DA250</f>
        <v/>
      </c>
      <c r="I243" s="192" t="str">
        <f aca="false">Scoring!CZ250</f>
        <v/>
      </c>
    </row>
    <row r="244" customFormat="false" ht="15.75" hidden="false" customHeight="false" outlineLevel="0" collapsed="false">
      <c r="A244" s="7" t="str">
        <f aca="false">Scoring!DC251</f>
        <v/>
      </c>
      <c r="B244" s="7" t="str">
        <f aca="false">Scoring!DB251</f>
        <v/>
      </c>
      <c r="C244" s="7" t="n">
        <f aca="false">Scoring!C251</f>
        <v>0</v>
      </c>
      <c r="D244" s="191" t="str">
        <f aca="false">Scoring!CY251</f>
        <v/>
      </c>
      <c r="E244" s="7" t="str">
        <f aca="false">Scoring!BZ251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Scoring!DA251</f>
        <v/>
      </c>
      <c r="I244" s="192" t="str">
        <f aca="false">Scoring!CZ251</f>
        <v/>
      </c>
    </row>
    <row r="245" customFormat="false" ht="15.75" hidden="false" customHeight="false" outlineLevel="0" collapsed="false">
      <c r="A245" s="7" t="str">
        <f aca="false">Scoring!DC252</f>
        <v/>
      </c>
      <c r="B245" s="7" t="str">
        <f aca="false">Scoring!DB252</f>
        <v/>
      </c>
      <c r="C245" s="7" t="n">
        <f aca="false">Scoring!C252</f>
        <v>0</v>
      </c>
      <c r="D245" s="191" t="str">
        <f aca="false">Scoring!CY252</f>
        <v/>
      </c>
      <c r="E245" s="7" t="str">
        <f aca="false">Scoring!BZ252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Scoring!DA252</f>
        <v/>
      </c>
      <c r="I245" s="192" t="str">
        <f aca="false">Scoring!CZ252</f>
        <v/>
      </c>
    </row>
    <row r="246" customFormat="false" ht="15.75" hidden="false" customHeight="false" outlineLevel="0" collapsed="false">
      <c r="A246" s="7" t="str">
        <f aca="false">Scoring!DC253</f>
        <v/>
      </c>
      <c r="B246" s="7" t="str">
        <f aca="false">Scoring!DB253</f>
        <v/>
      </c>
      <c r="C246" s="7" t="n">
        <f aca="false">Scoring!C253</f>
        <v>0</v>
      </c>
      <c r="D246" s="191" t="str">
        <f aca="false">Scoring!CY253</f>
        <v/>
      </c>
      <c r="E246" s="7" t="str">
        <f aca="false">Scoring!BZ253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Scoring!DA253</f>
        <v/>
      </c>
      <c r="I246" s="192" t="str">
        <f aca="false">Scoring!CZ253</f>
        <v/>
      </c>
    </row>
    <row r="247" customFormat="false" ht="15.75" hidden="false" customHeight="false" outlineLevel="0" collapsed="false">
      <c r="A247" s="7" t="str">
        <f aca="false">Scoring!DC254</f>
        <v/>
      </c>
      <c r="B247" s="7" t="str">
        <f aca="false">Scoring!DB254</f>
        <v/>
      </c>
      <c r="C247" s="7" t="n">
        <f aca="false">Scoring!C254</f>
        <v>0</v>
      </c>
      <c r="D247" s="191" t="str">
        <f aca="false">Scoring!CY254</f>
        <v/>
      </c>
      <c r="E247" s="7" t="str">
        <f aca="false">Scoring!BZ254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Scoring!DA254</f>
        <v/>
      </c>
      <c r="I247" s="192" t="str">
        <f aca="false">Scoring!CZ254</f>
        <v/>
      </c>
    </row>
    <row r="248" customFormat="false" ht="15.75" hidden="false" customHeight="false" outlineLevel="0" collapsed="false">
      <c r="A248" s="7" t="str">
        <f aca="false">Scoring!DC255</f>
        <v/>
      </c>
      <c r="B248" s="7" t="str">
        <f aca="false">Scoring!DB255</f>
        <v/>
      </c>
      <c r="C248" s="7" t="n">
        <f aca="false">Scoring!C255</f>
        <v>0</v>
      </c>
      <c r="D248" s="191" t="str">
        <f aca="false">Scoring!CY255</f>
        <v/>
      </c>
      <c r="E248" s="7" t="str">
        <f aca="false">Scoring!BZ255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Scoring!DA255</f>
        <v/>
      </c>
      <c r="I248" s="192" t="str">
        <f aca="false">Scoring!CZ255</f>
        <v/>
      </c>
    </row>
    <row r="249" customFormat="false" ht="15.75" hidden="false" customHeight="false" outlineLevel="0" collapsed="false">
      <c r="A249" s="7" t="str">
        <f aca="false">Scoring!DC256</f>
        <v/>
      </c>
      <c r="B249" s="7" t="str">
        <f aca="false">Scoring!DB256</f>
        <v/>
      </c>
      <c r="C249" s="7" t="n">
        <f aca="false">Scoring!C256</f>
        <v>0</v>
      </c>
      <c r="D249" s="191" t="str">
        <f aca="false">Scoring!CY256</f>
        <v/>
      </c>
      <c r="E249" s="7" t="str">
        <f aca="false">Scoring!BZ256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Scoring!DA256</f>
        <v/>
      </c>
      <c r="I249" s="192" t="str">
        <f aca="false">Scoring!CZ256</f>
        <v/>
      </c>
    </row>
    <row r="250" customFormat="false" ht="15.75" hidden="false" customHeight="false" outlineLevel="0" collapsed="false">
      <c r="A250" s="7" t="str">
        <f aca="false">Scoring!DC257</f>
        <v/>
      </c>
      <c r="B250" s="7" t="str">
        <f aca="false">Scoring!DB257</f>
        <v/>
      </c>
      <c r="C250" s="7" t="n">
        <f aca="false">Scoring!C257</f>
        <v>0</v>
      </c>
      <c r="D250" s="191" t="str">
        <f aca="false">Scoring!CY257</f>
        <v/>
      </c>
      <c r="E250" s="7" t="str">
        <f aca="false">Scoring!BZ257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Scoring!DA257</f>
        <v/>
      </c>
      <c r="I250" s="192" t="str">
        <f aca="false">Scoring!CZ257</f>
        <v/>
      </c>
    </row>
    <row r="251" customFormat="false" ht="15.75" hidden="false" customHeight="false" outlineLevel="0" collapsed="false">
      <c r="A251" s="7" t="str">
        <f aca="false">Scoring!DC258</f>
        <v/>
      </c>
      <c r="B251" s="7" t="str">
        <f aca="false">Scoring!DB258</f>
        <v/>
      </c>
      <c r="C251" s="7" t="n">
        <f aca="false">Scoring!C258</f>
        <v>0</v>
      </c>
      <c r="D251" s="191" t="str">
        <f aca="false">Scoring!CY258</f>
        <v/>
      </c>
      <c r="E251" s="7" t="str">
        <f aca="false">Scoring!BZ258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Scoring!DA258</f>
        <v/>
      </c>
      <c r="I251" s="192" t="str">
        <f aca="false">Scoring!CZ258</f>
        <v/>
      </c>
    </row>
    <row r="252" customFormat="false" ht="15.75" hidden="false" customHeight="false" outlineLevel="0" collapsed="false">
      <c r="A252" s="7" t="str">
        <f aca="false">Scoring!DC259</f>
        <v/>
      </c>
      <c r="B252" s="7" t="str">
        <f aca="false">Scoring!DB259</f>
        <v/>
      </c>
      <c r="C252" s="7" t="n">
        <f aca="false">Scoring!C259</f>
        <v>0</v>
      </c>
      <c r="D252" s="191" t="str">
        <f aca="false">Scoring!CY259</f>
        <v/>
      </c>
      <c r="E252" s="7" t="str">
        <f aca="false">Scoring!BZ259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Scoring!DA259</f>
        <v/>
      </c>
      <c r="I252" s="192" t="str">
        <f aca="false">Scoring!CZ259</f>
        <v/>
      </c>
    </row>
    <row r="253" customFormat="false" ht="15.75" hidden="false" customHeight="false" outlineLevel="0" collapsed="false">
      <c r="A253" s="7" t="str">
        <f aca="false">Scoring!DC260</f>
        <v/>
      </c>
      <c r="B253" s="7" t="str">
        <f aca="false">Scoring!DB260</f>
        <v/>
      </c>
      <c r="C253" s="7" t="n">
        <f aca="false">Scoring!C260</f>
        <v>0</v>
      </c>
      <c r="D253" s="191" t="str">
        <f aca="false">Scoring!CY260</f>
        <v/>
      </c>
      <c r="E253" s="7" t="str">
        <f aca="false">Scoring!BZ260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Scoring!DA260</f>
        <v/>
      </c>
      <c r="I253" s="192" t="str">
        <f aca="false">Scoring!CZ260</f>
        <v/>
      </c>
    </row>
    <row r="254" customFormat="false" ht="15.75" hidden="false" customHeight="false" outlineLevel="0" collapsed="false">
      <c r="A254" s="7" t="str">
        <f aca="false">Scoring!DC261</f>
        <v/>
      </c>
      <c r="B254" s="7" t="str">
        <f aca="false">Scoring!DB261</f>
        <v/>
      </c>
      <c r="C254" s="7" t="n">
        <f aca="false">Scoring!C261</f>
        <v>0</v>
      </c>
      <c r="D254" s="191" t="str">
        <f aca="false">Scoring!CY261</f>
        <v/>
      </c>
      <c r="E254" s="7" t="str">
        <f aca="false">Scoring!BZ261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Scoring!DA261</f>
        <v/>
      </c>
      <c r="I254" s="192" t="str">
        <f aca="false">Scoring!CZ261</f>
        <v/>
      </c>
    </row>
    <row r="255" customFormat="false" ht="15.75" hidden="false" customHeight="false" outlineLevel="0" collapsed="false">
      <c r="A255" s="7" t="str">
        <f aca="false">Scoring!DC262</f>
        <v/>
      </c>
      <c r="B255" s="7" t="str">
        <f aca="false">Scoring!DB262</f>
        <v/>
      </c>
      <c r="C255" s="7" t="n">
        <f aca="false">Scoring!C262</f>
        <v>0</v>
      </c>
      <c r="D255" s="191" t="str">
        <f aca="false">Scoring!CY262</f>
        <v/>
      </c>
      <c r="E255" s="7" t="str">
        <f aca="false">Scoring!BZ262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Scoring!DA262</f>
        <v/>
      </c>
      <c r="I255" s="192" t="str">
        <f aca="false">Scoring!CZ262</f>
        <v/>
      </c>
    </row>
    <row r="256" customFormat="false" ht="15.75" hidden="false" customHeight="false" outlineLevel="0" collapsed="false">
      <c r="A256" s="7" t="str">
        <f aca="false">Scoring!DC263</f>
        <v/>
      </c>
      <c r="B256" s="7" t="str">
        <f aca="false">Scoring!DB263</f>
        <v/>
      </c>
      <c r="C256" s="7" t="n">
        <f aca="false">Scoring!C263</f>
        <v>0</v>
      </c>
      <c r="D256" s="191" t="str">
        <f aca="false">Scoring!CY263</f>
        <v/>
      </c>
      <c r="E256" s="7" t="str">
        <f aca="false">Scoring!BZ263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Scoring!DA263</f>
        <v/>
      </c>
      <c r="I256" s="192" t="str">
        <f aca="false">Scoring!CZ263</f>
        <v/>
      </c>
    </row>
    <row r="257" customFormat="false" ht="15.75" hidden="false" customHeight="false" outlineLevel="0" collapsed="false">
      <c r="A257" s="7" t="str">
        <f aca="false">Scoring!DC264</f>
        <v/>
      </c>
      <c r="B257" s="7" t="str">
        <f aca="false">Scoring!DB264</f>
        <v/>
      </c>
      <c r="C257" s="7" t="n">
        <f aca="false">Scoring!C264</f>
        <v>0</v>
      </c>
      <c r="D257" s="191" t="str">
        <f aca="false">Scoring!CY264</f>
        <v/>
      </c>
      <c r="E257" s="7" t="str">
        <f aca="false">Scoring!BZ264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Scoring!DA264</f>
        <v/>
      </c>
      <c r="I257" s="192" t="str">
        <f aca="false">Scoring!CZ264</f>
        <v/>
      </c>
    </row>
    <row r="258" customFormat="false" ht="15.75" hidden="false" customHeight="false" outlineLevel="0" collapsed="false">
      <c r="A258" s="7" t="str">
        <f aca="false">Scoring!DC265</f>
        <v/>
      </c>
      <c r="B258" s="7" t="str">
        <f aca="false">Scoring!DB265</f>
        <v/>
      </c>
      <c r="C258" s="7" t="n">
        <f aca="false">Scoring!C265</f>
        <v>0</v>
      </c>
      <c r="D258" s="191" t="str">
        <f aca="false">Scoring!CY265</f>
        <v/>
      </c>
      <c r="E258" s="7" t="str">
        <f aca="false">Scoring!BZ265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Scoring!DA265</f>
        <v/>
      </c>
      <c r="I258" s="192" t="str">
        <f aca="false">Scoring!CZ265</f>
        <v/>
      </c>
    </row>
    <row r="259" customFormat="false" ht="15.75" hidden="false" customHeight="false" outlineLevel="0" collapsed="false">
      <c r="A259" s="7" t="str">
        <f aca="false">Scoring!DC266</f>
        <v/>
      </c>
      <c r="B259" s="7" t="str">
        <f aca="false">Scoring!DB266</f>
        <v/>
      </c>
      <c r="C259" s="7" t="n">
        <f aca="false">Scoring!C266</f>
        <v>0</v>
      </c>
      <c r="D259" s="191" t="str">
        <f aca="false">Scoring!CY266</f>
        <v/>
      </c>
      <c r="E259" s="7" t="str">
        <f aca="false">Scoring!BZ266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Scoring!DA266</f>
        <v/>
      </c>
      <c r="I259" s="192" t="str">
        <f aca="false">Scoring!CZ266</f>
        <v/>
      </c>
    </row>
    <row r="260" customFormat="false" ht="15.75" hidden="false" customHeight="false" outlineLevel="0" collapsed="false">
      <c r="A260" s="7" t="str">
        <f aca="false">Scoring!DC267</f>
        <v/>
      </c>
      <c r="B260" s="7" t="str">
        <f aca="false">Scoring!DB267</f>
        <v/>
      </c>
      <c r="C260" s="7" t="n">
        <f aca="false">Scoring!C267</f>
        <v>0</v>
      </c>
      <c r="D260" s="191" t="str">
        <f aca="false">Scoring!CY267</f>
        <v/>
      </c>
      <c r="E260" s="7" t="str">
        <f aca="false">Scoring!BZ267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Scoring!DA267</f>
        <v/>
      </c>
      <c r="I260" s="192" t="str">
        <f aca="false">Scoring!CZ267</f>
        <v/>
      </c>
    </row>
    <row r="261" customFormat="false" ht="15.75" hidden="false" customHeight="false" outlineLevel="0" collapsed="false">
      <c r="A261" s="7" t="str">
        <f aca="false">Scoring!DC268</f>
        <v/>
      </c>
      <c r="B261" s="7" t="str">
        <f aca="false">Scoring!DB268</f>
        <v/>
      </c>
      <c r="C261" s="7" t="n">
        <f aca="false">Scoring!C268</f>
        <v>0</v>
      </c>
      <c r="D261" s="191" t="str">
        <f aca="false">Scoring!CY268</f>
        <v/>
      </c>
      <c r="E261" s="7" t="str">
        <f aca="false">Scoring!BZ268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Scoring!DA268</f>
        <v/>
      </c>
      <c r="I261" s="192" t="str">
        <f aca="false">Scoring!CZ268</f>
        <v/>
      </c>
    </row>
    <row r="262" customFormat="false" ht="15.75" hidden="false" customHeight="false" outlineLevel="0" collapsed="false">
      <c r="A262" s="7" t="str">
        <f aca="false">Scoring!DC269</f>
        <v/>
      </c>
      <c r="B262" s="7" t="str">
        <f aca="false">Scoring!DB269</f>
        <v/>
      </c>
      <c r="C262" s="7" t="n">
        <f aca="false">Scoring!C269</f>
        <v>0</v>
      </c>
      <c r="D262" s="191" t="str">
        <f aca="false">Scoring!CY269</f>
        <v/>
      </c>
      <c r="E262" s="7" t="str">
        <f aca="false">Scoring!BZ269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Scoring!DA269</f>
        <v/>
      </c>
      <c r="I262" s="192" t="str">
        <f aca="false">Scoring!CZ269</f>
        <v/>
      </c>
    </row>
    <row r="263" customFormat="false" ht="15.75" hidden="false" customHeight="false" outlineLevel="0" collapsed="false">
      <c r="A263" s="7" t="str">
        <f aca="false">Scoring!DC270</f>
        <v/>
      </c>
      <c r="B263" s="7" t="str">
        <f aca="false">Scoring!DB270</f>
        <v/>
      </c>
      <c r="C263" s="7" t="n">
        <f aca="false">Scoring!C270</f>
        <v>0</v>
      </c>
      <c r="D263" s="191" t="str">
        <f aca="false">Scoring!CY270</f>
        <v/>
      </c>
      <c r="E263" s="7" t="str">
        <f aca="false">Scoring!BZ270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Scoring!DA270</f>
        <v/>
      </c>
      <c r="I263" s="192" t="str">
        <f aca="false">Scoring!CZ270</f>
        <v/>
      </c>
    </row>
    <row r="264" customFormat="false" ht="15.75" hidden="false" customHeight="false" outlineLevel="0" collapsed="false">
      <c r="A264" s="7" t="str">
        <f aca="false">Scoring!DC271</f>
        <v/>
      </c>
      <c r="B264" s="7" t="str">
        <f aca="false">Scoring!DB271</f>
        <v/>
      </c>
      <c r="C264" s="7" t="n">
        <f aca="false">Scoring!C271</f>
        <v>0</v>
      </c>
      <c r="D264" s="191" t="str">
        <f aca="false">Scoring!CY271</f>
        <v/>
      </c>
      <c r="E264" s="7" t="str">
        <f aca="false">Scoring!BZ271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Scoring!DA271</f>
        <v/>
      </c>
      <c r="I264" s="192" t="str">
        <f aca="false">Scoring!CZ271</f>
        <v/>
      </c>
    </row>
    <row r="265" customFormat="false" ht="15.75" hidden="false" customHeight="false" outlineLevel="0" collapsed="false">
      <c r="A265" s="7" t="str">
        <f aca="false">Scoring!DC272</f>
        <v/>
      </c>
      <c r="B265" s="7" t="str">
        <f aca="false">Scoring!DB272</f>
        <v/>
      </c>
      <c r="C265" s="7" t="n">
        <f aca="false">Scoring!C272</f>
        <v>0</v>
      </c>
      <c r="D265" s="191" t="str">
        <f aca="false">Scoring!CY272</f>
        <v/>
      </c>
      <c r="E265" s="7" t="str">
        <f aca="false">Scoring!BZ272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Scoring!DA272</f>
        <v/>
      </c>
      <c r="I265" s="192" t="str">
        <f aca="false">Scoring!CZ272</f>
        <v/>
      </c>
    </row>
    <row r="266" customFormat="false" ht="15.75" hidden="false" customHeight="false" outlineLevel="0" collapsed="false">
      <c r="A266" s="7" t="str">
        <f aca="false">Scoring!DC273</f>
        <v/>
      </c>
      <c r="B266" s="7" t="str">
        <f aca="false">Scoring!DB273</f>
        <v/>
      </c>
      <c r="C266" s="7" t="n">
        <f aca="false">Scoring!C273</f>
        <v>0</v>
      </c>
      <c r="D266" s="191" t="str">
        <f aca="false">Scoring!CY273</f>
        <v/>
      </c>
      <c r="E266" s="7" t="str">
        <f aca="false">Scoring!BZ273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Scoring!DA273</f>
        <v/>
      </c>
      <c r="I266" s="192" t="str">
        <f aca="false">Scoring!CZ273</f>
        <v/>
      </c>
    </row>
    <row r="267" customFormat="false" ht="15.75" hidden="false" customHeight="false" outlineLevel="0" collapsed="false">
      <c r="A267" s="7" t="str">
        <f aca="false">Scoring!DC274</f>
        <v/>
      </c>
      <c r="B267" s="7" t="str">
        <f aca="false">Scoring!DB274</f>
        <v/>
      </c>
      <c r="C267" s="7" t="n">
        <f aca="false">Scoring!C274</f>
        <v>0</v>
      </c>
      <c r="D267" s="191" t="str">
        <f aca="false">Scoring!CY274</f>
        <v/>
      </c>
      <c r="E267" s="7" t="str">
        <f aca="false">Scoring!BZ274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Scoring!DA274</f>
        <v/>
      </c>
      <c r="I267" s="192" t="str">
        <f aca="false">Scoring!CZ274</f>
        <v/>
      </c>
    </row>
    <row r="268" customFormat="false" ht="15.75" hidden="false" customHeight="false" outlineLevel="0" collapsed="false">
      <c r="A268" s="7" t="str">
        <f aca="false">Scoring!DC275</f>
        <v/>
      </c>
      <c r="B268" s="7" t="str">
        <f aca="false">Scoring!DB275</f>
        <v/>
      </c>
      <c r="C268" s="7" t="n">
        <f aca="false">Scoring!C275</f>
        <v>0</v>
      </c>
      <c r="D268" s="191" t="str">
        <f aca="false">Scoring!CY275</f>
        <v/>
      </c>
      <c r="E268" s="7" t="str">
        <f aca="false">Scoring!BZ275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Scoring!DA275</f>
        <v/>
      </c>
      <c r="I268" s="192" t="str">
        <f aca="false">Scoring!CZ275</f>
        <v/>
      </c>
    </row>
    <row r="269" customFormat="false" ht="15.75" hidden="false" customHeight="false" outlineLevel="0" collapsed="false">
      <c r="A269" s="7" t="str">
        <f aca="false">Scoring!DC276</f>
        <v/>
      </c>
      <c r="B269" s="7" t="str">
        <f aca="false">Scoring!DB276</f>
        <v/>
      </c>
      <c r="C269" s="7" t="n">
        <f aca="false">Scoring!C276</f>
        <v>0</v>
      </c>
      <c r="D269" s="191" t="str">
        <f aca="false">Scoring!CY276</f>
        <v/>
      </c>
      <c r="E269" s="7" t="str">
        <f aca="false">Scoring!BZ276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Scoring!DA276</f>
        <v/>
      </c>
      <c r="I269" s="192" t="str">
        <f aca="false">Scoring!CZ276</f>
        <v/>
      </c>
    </row>
    <row r="270" customFormat="false" ht="15.75" hidden="false" customHeight="false" outlineLevel="0" collapsed="false">
      <c r="A270" s="7" t="str">
        <f aca="false">Scoring!DC277</f>
        <v/>
      </c>
      <c r="B270" s="7" t="str">
        <f aca="false">Scoring!DB277</f>
        <v/>
      </c>
      <c r="C270" s="7" t="n">
        <f aca="false">Scoring!C277</f>
        <v>0</v>
      </c>
      <c r="D270" s="191" t="str">
        <f aca="false">Scoring!CY277</f>
        <v/>
      </c>
      <c r="E270" s="7" t="str">
        <f aca="false">Scoring!BZ277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Scoring!DA277</f>
        <v/>
      </c>
      <c r="I270" s="192" t="str">
        <f aca="false">Scoring!CZ277</f>
        <v/>
      </c>
    </row>
    <row r="271" customFormat="false" ht="15.75" hidden="false" customHeight="false" outlineLevel="0" collapsed="false">
      <c r="A271" s="7" t="str">
        <f aca="false">Scoring!DC278</f>
        <v/>
      </c>
      <c r="B271" s="7" t="str">
        <f aca="false">Scoring!DB278</f>
        <v/>
      </c>
      <c r="C271" s="7" t="n">
        <f aca="false">Scoring!C278</f>
        <v>0</v>
      </c>
      <c r="D271" s="191" t="str">
        <f aca="false">Scoring!CY278</f>
        <v/>
      </c>
      <c r="E271" s="7" t="str">
        <f aca="false">Scoring!BZ278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Scoring!DA278</f>
        <v/>
      </c>
      <c r="I271" s="192" t="str">
        <f aca="false">Scoring!CZ278</f>
        <v/>
      </c>
    </row>
    <row r="272" customFormat="false" ht="15.75" hidden="false" customHeight="false" outlineLevel="0" collapsed="false">
      <c r="A272" s="7" t="str">
        <f aca="false">Scoring!DC279</f>
        <v/>
      </c>
      <c r="B272" s="7" t="str">
        <f aca="false">Scoring!DB279</f>
        <v/>
      </c>
      <c r="C272" s="7" t="n">
        <f aca="false">Scoring!C279</f>
        <v>0</v>
      </c>
      <c r="D272" s="191" t="str">
        <f aca="false">Scoring!CY279</f>
        <v/>
      </c>
      <c r="E272" s="7" t="str">
        <f aca="false">Scoring!BZ279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Scoring!DA279</f>
        <v/>
      </c>
      <c r="I272" s="192" t="str">
        <f aca="false">Scoring!CZ279</f>
        <v/>
      </c>
    </row>
    <row r="273" customFormat="false" ht="15.75" hidden="false" customHeight="false" outlineLevel="0" collapsed="false">
      <c r="A273" s="7" t="str">
        <f aca="false">Scoring!DC280</f>
        <v/>
      </c>
      <c r="B273" s="7" t="str">
        <f aca="false">Scoring!DB280</f>
        <v/>
      </c>
      <c r="C273" s="7" t="n">
        <f aca="false">Scoring!C280</f>
        <v>0</v>
      </c>
      <c r="D273" s="191" t="str">
        <f aca="false">Scoring!CY280</f>
        <v/>
      </c>
      <c r="E273" s="7" t="str">
        <f aca="false">Scoring!BZ280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Scoring!DA280</f>
        <v/>
      </c>
      <c r="I273" s="192" t="str">
        <f aca="false">Scoring!CZ280</f>
        <v/>
      </c>
    </row>
    <row r="274" customFormat="false" ht="15.75" hidden="false" customHeight="false" outlineLevel="0" collapsed="false">
      <c r="A274" s="7" t="str">
        <f aca="false">Scoring!DC281</f>
        <v/>
      </c>
      <c r="B274" s="7" t="str">
        <f aca="false">Scoring!DB281</f>
        <v/>
      </c>
      <c r="C274" s="7" t="n">
        <f aca="false">Scoring!C281</f>
        <v>0</v>
      </c>
      <c r="D274" s="191" t="str">
        <f aca="false">Scoring!CY281</f>
        <v/>
      </c>
      <c r="E274" s="7" t="str">
        <f aca="false">Scoring!BZ281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Scoring!DA281</f>
        <v/>
      </c>
      <c r="I274" s="192" t="str">
        <f aca="false">Scoring!CZ281</f>
        <v/>
      </c>
    </row>
    <row r="275" customFormat="false" ht="15.75" hidden="false" customHeight="false" outlineLevel="0" collapsed="false">
      <c r="A275" s="7" t="str">
        <f aca="false">Scoring!DC282</f>
        <v/>
      </c>
      <c r="B275" s="7" t="str">
        <f aca="false">Scoring!DB282</f>
        <v/>
      </c>
      <c r="C275" s="7" t="n">
        <f aca="false">Scoring!C282</f>
        <v>0</v>
      </c>
      <c r="D275" s="191" t="str">
        <f aca="false">Scoring!CY282</f>
        <v/>
      </c>
      <c r="E275" s="7" t="str">
        <f aca="false">Scoring!BZ282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Scoring!DA282</f>
        <v/>
      </c>
      <c r="I275" s="192" t="str">
        <f aca="false">Scoring!CZ282</f>
        <v/>
      </c>
    </row>
    <row r="276" customFormat="false" ht="15.75" hidden="false" customHeight="false" outlineLevel="0" collapsed="false">
      <c r="A276" s="7" t="str">
        <f aca="false">Scoring!DC283</f>
        <v/>
      </c>
      <c r="B276" s="7" t="str">
        <f aca="false">Scoring!DB283</f>
        <v/>
      </c>
      <c r="C276" s="7" t="n">
        <f aca="false">Scoring!C283</f>
        <v>0</v>
      </c>
      <c r="D276" s="191" t="str">
        <f aca="false">Scoring!CY283</f>
        <v/>
      </c>
      <c r="E276" s="7" t="str">
        <f aca="false">Scoring!BZ283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Scoring!DA283</f>
        <v/>
      </c>
      <c r="I276" s="192" t="str">
        <f aca="false">Scoring!CZ283</f>
        <v/>
      </c>
    </row>
    <row r="277" customFormat="false" ht="15.75" hidden="false" customHeight="false" outlineLevel="0" collapsed="false">
      <c r="A277" s="7" t="str">
        <f aca="false">Scoring!DC284</f>
        <v/>
      </c>
      <c r="B277" s="7" t="str">
        <f aca="false">Scoring!DB284</f>
        <v/>
      </c>
      <c r="C277" s="7" t="n">
        <f aca="false">Scoring!C284</f>
        <v>0</v>
      </c>
      <c r="D277" s="191" t="str">
        <f aca="false">Scoring!CY284</f>
        <v/>
      </c>
      <c r="E277" s="7" t="str">
        <f aca="false">Scoring!BZ284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Scoring!DA284</f>
        <v/>
      </c>
      <c r="I277" s="192" t="str">
        <f aca="false">Scoring!CZ284</f>
        <v/>
      </c>
    </row>
    <row r="278" customFormat="false" ht="15.75" hidden="false" customHeight="false" outlineLevel="0" collapsed="false">
      <c r="A278" s="7" t="str">
        <f aca="false">Scoring!DC285</f>
        <v/>
      </c>
      <c r="B278" s="7" t="str">
        <f aca="false">Scoring!DB285</f>
        <v/>
      </c>
      <c r="C278" s="7" t="n">
        <f aca="false">Scoring!C285</f>
        <v>0</v>
      </c>
      <c r="D278" s="191" t="str">
        <f aca="false">Scoring!CY285</f>
        <v/>
      </c>
      <c r="E278" s="7" t="str">
        <f aca="false">Scoring!BZ285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Scoring!DA285</f>
        <v/>
      </c>
      <c r="I278" s="192" t="str">
        <f aca="false">Scoring!CZ285</f>
        <v/>
      </c>
    </row>
    <row r="279" customFormat="false" ht="15.75" hidden="false" customHeight="false" outlineLevel="0" collapsed="false">
      <c r="A279" s="7" t="str">
        <f aca="false">Scoring!DC286</f>
        <v/>
      </c>
      <c r="B279" s="7" t="str">
        <f aca="false">Scoring!DB286</f>
        <v/>
      </c>
      <c r="C279" s="7" t="n">
        <f aca="false">Scoring!C286</f>
        <v>0</v>
      </c>
      <c r="D279" s="191" t="str">
        <f aca="false">Scoring!CY286</f>
        <v/>
      </c>
      <c r="E279" s="7" t="str">
        <f aca="false">Scoring!BZ286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Scoring!DA286</f>
        <v/>
      </c>
      <c r="I279" s="192" t="str">
        <f aca="false">Scoring!CZ286</f>
        <v/>
      </c>
    </row>
    <row r="280" customFormat="false" ht="15.75" hidden="false" customHeight="false" outlineLevel="0" collapsed="false">
      <c r="A280" s="7" t="str">
        <f aca="false">Scoring!DC287</f>
        <v/>
      </c>
      <c r="B280" s="7" t="str">
        <f aca="false">Scoring!DB287</f>
        <v/>
      </c>
      <c r="C280" s="7" t="n">
        <f aca="false">Scoring!C287</f>
        <v>0</v>
      </c>
      <c r="D280" s="191" t="str">
        <f aca="false">Scoring!CY287</f>
        <v/>
      </c>
      <c r="E280" s="7" t="str">
        <f aca="false">Scoring!BZ287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Scoring!DA287</f>
        <v/>
      </c>
      <c r="I280" s="192" t="str">
        <f aca="false">Scoring!CZ287</f>
        <v/>
      </c>
    </row>
    <row r="281" customFormat="false" ht="15.75" hidden="false" customHeight="false" outlineLevel="0" collapsed="false">
      <c r="A281" s="7" t="str">
        <f aca="false">Scoring!DC288</f>
        <v/>
      </c>
      <c r="B281" s="7" t="str">
        <f aca="false">Scoring!DB288</f>
        <v/>
      </c>
      <c r="C281" s="7" t="n">
        <f aca="false">Scoring!C288</f>
        <v>0</v>
      </c>
      <c r="D281" s="191" t="str">
        <f aca="false">Scoring!CY288</f>
        <v/>
      </c>
      <c r="E281" s="7" t="str">
        <f aca="false">Scoring!BZ288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Scoring!DA288</f>
        <v/>
      </c>
      <c r="I281" s="192" t="str">
        <f aca="false">Scoring!CZ288</f>
        <v/>
      </c>
    </row>
    <row r="282" customFormat="false" ht="15.75" hidden="false" customHeight="false" outlineLevel="0" collapsed="false">
      <c r="A282" s="7" t="str">
        <f aca="false">Scoring!DC289</f>
        <v/>
      </c>
      <c r="B282" s="7" t="str">
        <f aca="false">Scoring!DB289</f>
        <v/>
      </c>
      <c r="C282" s="7" t="n">
        <f aca="false">Scoring!C289</f>
        <v>0</v>
      </c>
      <c r="D282" s="191" t="str">
        <f aca="false">Scoring!CY289</f>
        <v/>
      </c>
      <c r="E282" s="7" t="str">
        <f aca="false">Scoring!BZ289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Scoring!DA289</f>
        <v/>
      </c>
      <c r="I282" s="192" t="str">
        <f aca="false">Scoring!CZ289</f>
        <v/>
      </c>
    </row>
    <row r="283" customFormat="false" ht="15.75" hidden="false" customHeight="false" outlineLevel="0" collapsed="false">
      <c r="A283" s="7" t="str">
        <f aca="false">Scoring!DC290</f>
        <v/>
      </c>
      <c r="B283" s="7" t="str">
        <f aca="false">Scoring!DB290</f>
        <v/>
      </c>
      <c r="C283" s="7" t="n">
        <f aca="false">Scoring!C290</f>
        <v>0</v>
      </c>
      <c r="D283" s="191" t="str">
        <f aca="false">Scoring!CY290</f>
        <v/>
      </c>
      <c r="E283" s="7" t="str">
        <f aca="false">Scoring!BZ290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Scoring!DA290</f>
        <v/>
      </c>
      <c r="I283" s="192" t="str">
        <f aca="false">Scoring!CZ290</f>
        <v/>
      </c>
    </row>
    <row r="284" customFormat="false" ht="15.75" hidden="false" customHeight="false" outlineLevel="0" collapsed="false">
      <c r="A284" s="7" t="str">
        <f aca="false">Scoring!DC291</f>
        <v/>
      </c>
      <c r="B284" s="7" t="str">
        <f aca="false">Scoring!DB291</f>
        <v/>
      </c>
      <c r="C284" s="7" t="n">
        <f aca="false">Scoring!C291</f>
        <v>0</v>
      </c>
      <c r="D284" s="191" t="str">
        <f aca="false">Scoring!CY291</f>
        <v/>
      </c>
      <c r="E284" s="7" t="str">
        <f aca="false">Scoring!BZ291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Scoring!DA291</f>
        <v/>
      </c>
      <c r="I284" s="192" t="str">
        <f aca="false">Scoring!CZ291</f>
        <v/>
      </c>
    </row>
    <row r="285" customFormat="false" ht="15.75" hidden="false" customHeight="false" outlineLevel="0" collapsed="false">
      <c r="A285" s="7" t="str">
        <f aca="false">Scoring!DC292</f>
        <v/>
      </c>
      <c r="B285" s="7" t="str">
        <f aca="false">Scoring!DB292</f>
        <v/>
      </c>
      <c r="C285" s="7" t="n">
        <f aca="false">Scoring!C292</f>
        <v>0</v>
      </c>
      <c r="D285" s="191" t="str">
        <f aca="false">Scoring!CY292</f>
        <v/>
      </c>
      <c r="E285" s="7" t="str">
        <f aca="false">Scoring!BZ292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Scoring!DA292</f>
        <v/>
      </c>
      <c r="I285" s="192" t="str">
        <f aca="false">Scoring!CZ292</f>
        <v/>
      </c>
    </row>
    <row r="286" customFormat="false" ht="15.75" hidden="false" customHeight="false" outlineLevel="0" collapsed="false">
      <c r="A286" s="7" t="str">
        <f aca="false">Scoring!DC293</f>
        <v/>
      </c>
      <c r="B286" s="7" t="str">
        <f aca="false">Scoring!DB293</f>
        <v/>
      </c>
      <c r="C286" s="7" t="n">
        <f aca="false">Scoring!C293</f>
        <v>0</v>
      </c>
      <c r="D286" s="191" t="str">
        <f aca="false">Scoring!CY293</f>
        <v/>
      </c>
      <c r="E286" s="7" t="str">
        <f aca="false">Scoring!BZ293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Scoring!DA293</f>
        <v/>
      </c>
      <c r="I286" s="192" t="str">
        <f aca="false">Scoring!CZ293</f>
        <v/>
      </c>
    </row>
    <row r="287" customFormat="false" ht="15.75" hidden="false" customHeight="false" outlineLevel="0" collapsed="false">
      <c r="A287" s="7" t="str">
        <f aca="false">Scoring!DC294</f>
        <v/>
      </c>
      <c r="B287" s="7" t="str">
        <f aca="false">Scoring!DB294</f>
        <v/>
      </c>
      <c r="C287" s="7" t="n">
        <f aca="false">Scoring!C294</f>
        <v>0</v>
      </c>
      <c r="D287" s="191" t="str">
        <f aca="false">Scoring!CY294</f>
        <v/>
      </c>
      <c r="E287" s="7" t="str">
        <f aca="false">Scoring!BZ294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Scoring!DA294</f>
        <v/>
      </c>
      <c r="I287" s="192" t="str">
        <f aca="false">Scoring!CZ294</f>
        <v/>
      </c>
    </row>
    <row r="288" customFormat="false" ht="15.75" hidden="false" customHeight="false" outlineLevel="0" collapsed="false">
      <c r="A288" s="7" t="str">
        <f aca="false">Scoring!DC295</f>
        <v/>
      </c>
      <c r="B288" s="7" t="str">
        <f aca="false">Scoring!DB295</f>
        <v/>
      </c>
      <c r="C288" s="7" t="n">
        <f aca="false">Scoring!C295</f>
        <v>0</v>
      </c>
      <c r="D288" s="191" t="str">
        <f aca="false">Scoring!CY295</f>
        <v/>
      </c>
      <c r="E288" s="7" t="str">
        <f aca="false">Scoring!BZ295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Scoring!DA295</f>
        <v/>
      </c>
      <c r="I288" s="192" t="str">
        <f aca="false">Scoring!CZ295</f>
        <v/>
      </c>
    </row>
    <row r="289" customFormat="false" ht="15.75" hidden="false" customHeight="false" outlineLevel="0" collapsed="false">
      <c r="A289" s="7" t="str">
        <f aca="false">Scoring!DC296</f>
        <v/>
      </c>
      <c r="B289" s="7" t="str">
        <f aca="false">Scoring!DB296</f>
        <v/>
      </c>
      <c r="C289" s="7" t="n">
        <f aca="false">Scoring!C296</f>
        <v>0</v>
      </c>
      <c r="D289" s="191" t="str">
        <f aca="false">Scoring!CY296</f>
        <v/>
      </c>
      <c r="E289" s="7" t="str">
        <f aca="false">Scoring!BZ296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Scoring!DA296</f>
        <v/>
      </c>
      <c r="I289" s="192" t="str">
        <f aca="false">Scoring!CZ296</f>
        <v/>
      </c>
    </row>
    <row r="290" customFormat="false" ht="15.75" hidden="false" customHeight="false" outlineLevel="0" collapsed="false">
      <c r="A290" s="7" t="str">
        <f aca="false">Scoring!DC297</f>
        <v/>
      </c>
      <c r="B290" s="7" t="str">
        <f aca="false">Scoring!DB297</f>
        <v/>
      </c>
      <c r="C290" s="7" t="n">
        <f aca="false">Scoring!C297</f>
        <v>0</v>
      </c>
      <c r="D290" s="191" t="str">
        <f aca="false">Scoring!CY297</f>
        <v/>
      </c>
      <c r="E290" s="7" t="str">
        <f aca="false">Scoring!BZ297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Scoring!DA297</f>
        <v/>
      </c>
      <c r="I290" s="192" t="str">
        <f aca="false">Scoring!CZ297</f>
        <v/>
      </c>
    </row>
    <row r="291" customFormat="false" ht="15.75" hidden="false" customHeight="false" outlineLevel="0" collapsed="false">
      <c r="A291" s="7" t="str">
        <f aca="false">Scoring!DC298</f>
        <v/>
      </c>
      <c r="B291" s="7" t="str">
        <f aca="false">Scoring!DB298</f>
        <v/>
      </c>
      <c r="C291" s="7" t="n">
        <f aca="false">Scoring!C298</f>
        <v>0</v>
      </c>
      <c r="D291" s="191" t="str">
        <f aca="false">Scoring!CY298</f>
        <v/>
      </c>
      <c r="E291" s="7" t="str">
        <f aca="false">Scoring!BZ298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Scoring!DA298</f>
        <v/>
      </c>
      <c r="I291" s="192" t="str">
        <f aca="false">Scoring!CZ298</f>
        <v/>
      </c>
    </row>
    <row r="292" customFormat="false" ht="15.75" hidden="false" customHeight="false" outlineLevel="0" collapsed="false">
      <c r="A292" s="7" t="str">
        <f aca="false">Scoring!DC299</f>
        <v/>
      </c>
      <c r="B292" s="7" t="str">
        <f aca="false">Scoring!DB299</f>
        <v/>
      </c>
      <c r="C292" s="7" t="n">
        <f aca="false">Scoring!C299</f>
        <v>0</v>
      </c>
      <c r="D292" s="191" t="str">
        <f aca="false">Scoring!CY299</f>
        <v/>
      </c>
      <c r="E292" s="7" t="str">
        <f aca="false">Scoring!BZ299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Scoring!DA299</f>
        <v/>
      </c>
      <c r="I292" s="192" t="str">
        <f aca="false">Scoring!CZ299</f>
        <v/>
      </c>
    </row>
    <row r="293" customFormat="false" ht="15.75" hidden="false" customHeight="false" outlineLevel="0" collapsed="false">
      <c r="A293" s="7" t="str">
        <f aca="false">Scoring!DC300</f>
        <v/>
      </c>
      <c r="B293" s="7" t="str">
        <f aca="false">Scoring!DB300</f>
        <v/>
      </c>
      <c r="C293" s="7" t="n">
        <f aca="false">Scoring!C300</f>
        <v>0</v>
      </c>
      <c r="D293" s="191" t="str">
        <f aca="false">Scoring!CY300</f>
        <v/>
      </c>
      <c r="E293" s="7" t="str">
        <f aca="false">Scoring!BZ300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Scoring!DA300</f>
        <v/>
      </c>
      <c r="I293" s="192" t="str">
        <f aca="false">Scoring!CZ300</f>
        <v/>
      </c>
    </row>
    <row r="294" customFormat="false" ht="15.75" hidden="false" customHeight="false" outlineLevel="0" collapsed="false">
      <c r="A294" s="7" t="str">
        <f aca="false">Scoring!DC301</f>
        <v/>
      </c>
      <c r="B294" s="7" t="str">
        <f aca="false">Scoring!DB301</f>
        <v/>
      </c>
      <c r="C294" s="7" t="n">
        <f aca="false">Scoring!C301</f>
        <v>0</v>
      </c>
      <c r="D294" s="191" t="str">
        <f aca="false">Scoring!CY301</f>
        <v/>
      </c>
      <c r="E294" s="7" t="str">
        <f aca="false">Scoring!BZ301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Scoring!DA301</f>
        <v/>
      </c>
      <c r="I294" s="192" t="str">
        <f aca="false">Scoring!CZ301</f>
        <v/>
      </c>
    </row>
    <row r="295" customFormat="false" ht="15.75" hidden="false" customHeight="false" outlineLevel="0" collapsed="false">
      <c r="A295" s="7" t="str">
        <f aca="false">Scoring!DC302</f>
        <v/>
      </c>
      <c r="B295" s="7" t="str">
        <f aca="false">Scoring!DB302</f>
        <v/>
      </c>
      <c r="C295" s="7" t="n">
        <f aca="false">Scoring!C302</f>
        <v>0</v>
      </c>
      <c r="D295" s="191" t="str">
        <f aca="false">Scoring!CY302</f>
        <v/>
      </c>
      <c r="E295" s="7" t="str">
        <f aca="false">Scoring!BZ302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Scoring!DA302</f>
        <v/>
      </c>
      <c r="I295" s="192" t="str">
        <f aca="false">Scoring!CZ302</f>
        <v/>
      </c>
    </row>
    <row r="296" customFormat="false" ht="15.75" hidden="false" customHeight="false" outlineLevel="0" collapsed="false">
      <c r="A296" s="7" t="str">
        <f aca="false">Scoring!DC303</f>
        <v/>
      </c>
      <c r="B296" s="7" t="str">
        <f aca="false">Scoring!DB303</f>
        <v/>
      </c>
      <c r="C296" s="7" t="n">
        <f aca="false">Scoring!C303</f>
        <v>0</v>
      </c>
      <c r="D296" s="191" t="str">
        <f aca="false">Scoring!CY303</f>
        <v/>
      </c>
      <c r="E296" s="7" t="str">
        <f aca="false">Scoring!BZ303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Scoring!DA303</f>
        <v/>
      </c>
      <c r="I296" s="192" t="str">
        <f aca="false">Scoring!CZ303</f>
        <v/>
      </c>
    </row>
    <row r="297" customFormat="false" ht="15.75" hidden="false" customHeight="false" outlineLevel="0" collapsed="false">
      <c r="A297" s="7" t="str">
        <f aca="false">Scoring!DC304</f>
        <v/>
      </c>
      <c r="B297" s="7" t="str">
        <f aca="false">Scoring!DB304</f>
        <v/>
      </c>
      <c r="C297" s="7" t="n">
        <f aca="false">Scoring!C304</f>
        <v>0</v>
      </c>
      <c r="D297" s="191" t="str">
        <f aca="false">Scoring!CY304</f>
        <v/>
      </c>
      <c r="E297" s="7" t="str">
        <f aca="false">Scoring!BZ304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Scoring!DA304</f>
        <v/>
      </c>
      <c r="I297" s="192" t="str">
        <f aca="false">Scoring!CZ304</f>
        <v/>
      </c>
    </row>
    <row r="298" customFormat="false" ht="15.75" hidden="false" customHeight="false" outlineLevel="0" collapsed="false">
      <c r="A298" s="7" t="str">
        <f aca="false">Scoring!DC305</f>
        <v/>
      </c>
      <c r="B298" s="7" t="str">
        <f aca="false">Scoring!DB305</f>
        <v/>
      </c>
      <c r="C298" s="7" t="n">
        <f aca="false">Scoring!C305</f>
        <v>0</v>
      </c>
      <c r="D298" s="191" t="str">
        <f aca="false">Scoring!CY305</f>
        <v/>
      </c>
      <c r="E298" s="7" t="str">
        <f aca="false">Scoring!BZ305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Scoring!DA305</f>
        <v/>
      </c>
      <c r="I298" s="192" t="str">
        <f aca="false">Scoring!CZ305</f>
        <v/>
      </c>
    </row>
    <row r="299" customFormat="false" ht="15.75" hidden="false" customHeight="false" outlineLevel="0" collapsed="false">
      <c r="A299" s="7" t="str">
        <f aca="false">Scoring!DC306</f>
        <v/>
      </c>
      <c r="B299" s="7" t="str">
        <f aca="false">Scoring!DB306</f>
        <v/>
      </c>
      <c r="C299" s="7" t="n">
        <f aca="false">Scoring!C306</f>
        <v>0</v>
      </c>
      <c r="D299" s="191" t="str">
        <f aca="false">Scoring!CY306</f>
        <v/>
      </c>
      <c r="E299" s="7" t="str">
        <f aca="false">Scoring!BZ306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Scoring!DA306</f>
        <v/>
      </c>
      <c r="I299" s="192" t="str">
        <f aca="false">Scoring!CZ306</f>
        <v/>
      </c>
    </row>
    <row r="300" customFormat="false" ht="15.75" hidden="false" customHeight="false" outlineLevel="0" collapsed="false">
      <c r="A300" s="7" t="str">
        <f aca="false">Scoring!DC307</f>
        <v/>
      </c>
      <c r="B300" s="7" t="str">
        <f aca="false">Scoring!DB307</f>
        <v/>
      </c>
      <c r="C300" s="7" t="n">
        <f aca="false">Scoring!C307</f>
        <v>0</v>
      </c>
      <c r="D300" s="191" t="str">
        <f aca="false">Scoring!CY307</f>
        <v/>
      </c>
      <c r="E300" s="7" t="str">
        <f aca="false">Scoring!BZ307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Scoring!DA307</f>
        <v/>
      </c>
      <c r="I300" s="192" t="str">
        <f aca="false">Scoring!CZ307</f>
        <v/>
      </c>
    </row>
    <row r="301" customFormat="false" ht="15.75" hidden="false" customHeight="false" outlineLevel="0" collapsed="false">
      <c r="A301" s="7" t="str">
        <f aca="false">Scoring!DC308</f>
        <v/>
      </c>
      <c r="B301" s="7" t="str">
        <f aca="false">Scoring!DB308</f>
        <v/>
      </c>
      <c r="C301" s="7" t="n">
        <f aca="false">Scoring!C308</f>
        <v>0</v>
      </c>
      <c r="D301" s="191" t="str">
        <f aca="false">Scoring!CY308</f>
        <v/>
      </c>
      <c r="E301" s="7" t="str">
        <f aca="false">Scoring!BZ308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Scoring!DA308</f>
        <v/>
      </c>
      <c r="I301" s="192" t="str">
        <f aca="false">Scoring!CZ308</f>
        <v/>
      </c>
    </row>
    <row r="302" customFormat="false" ht="15.75" hidden="false" customHeight="false" outlineLevel="0" collapsed="false">
      <c r="A302" s="7" t="str">
        <f aca="false">Scoring!DC309</f>
        <v/>
      </c>
      <c r="B302" s="7" t="str">
        <f aca="false">Scoring!DB309</f>
        <v/>
      </c>
      <c r="C302" s="7" t="n">
        <f aca="false">Scoring!C309</f>
        <v>0</v>
      </c>
      <c r="D302" s="191" t="str">
        <f aca="false">Scoring!CY309</f>
        <v/>
      </c>
      <c r="E302" s="7" t="str">
        <f aca="false">Scoring!BZ309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Scoring!DA309</f>
        <v/>
      </c>
      <c r="I302" s="192" t="str">
        <f aca="false">Scoring!CZ309</f>
        <v/>
      </c>
    </row>
    <row r="303" customFormat="false" ht="15.75" hidden="false" customHeight="false" outlineLevel="0" collapsed="false">
      <c r="A303" s="7" t="str">
        <f aca="false">Scoring!DC310</f>
        <v/>
      </c>
      <c r="B303" s="7" t="str">
        <f aca="false">Scoring!DB310</f>
        <v/>
      </c>
      <c r="C303" s="7" t="n">
        <f aca="false">Scoring!C310</f>
        <v>0</v>
      </c>
      <c r="D303" s="191" t="str">
        <f aca="false">Scoring!CY310</f>
        <v/>
      </c>
      <c r="E303" s="7" t="str">
        <f aca="false">Scoring!BZ310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Scoring!DA310</f>
        <v/>
      </c>
      <c r="I303" s="192" t="str">
        <f aca="false">Scoring!CZ310</f>
        <v/>
      </c>
    </row>
    <row r="304" customFormat="false" ht="15.75" hidden="false" customHeight="false" outlineLevel="0" collapsed="false">
      <c r="A304" s="7" t="str">
        <f aca="false">Scoring!DC311</f>
        <v/>
      </c>
      <c r="B304" s="7" t="str">
        <f aca="false">Scoring!DB311</f>
        <v/>
      </c>
      <c r="C304" s="7" t="n">
        <f aca="false">Scoring!C311</f>
        <v>0</v>
      </c>
      <c r="D304" s="191" t="str">
        <f aca="false">Scoring!CY311</f>
        <v/>
      </c>
      <c r="E304" s="7" t="str">
        <f aca="false">Scoring!BZ311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Scoring!DA311</f>
        <v/>
      </c>
      <c r="I304" s="192" t="str">
        <f aca="false">Scoring!CZ311</f>
        <v/>
      </c>
    </row>
    <row r="305" customFormat="false" ht="15.75" hidden="false" customHeight="false" outlineLevel="0" collapsed="false">
      <c r="A305" s="7" t="str">
        <f aca="false">Scoring!DC312</f>
        <v/>
      </c>
      <c r="B305" s="7" t="str">
        <f aca="false">Scoring!DB312</f>
        <v/>
      </c>
      <c r="C305" s="7" t="n">
        <f aca="false">Scoring!C312</f>
        <v>0</v>
      </c>
      <c r="D305" s="191" t="str">
        <f aca="false">Scoring!CY312</f>
        <v/>
      </c>
      <c r="E305" s="7" t="str">
        <f aca="false">Scoring!BZ312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Scoring!DA312</f>
        <v/>
      </c>
      <c r="I305" s="192" t="str">
        <f aca="false">Scoring!CZ312</f>
        <v/>
      </c>
    </row>
    <row r="306" customFormat="false" ht="15.75" hidden="false" customHeight="false" outlineLevel="0" collapsed="false">
      <c r="A306" s="7" t="str">
        <f aca="false">Scoring!DC313</f>
        <v/>
      </c>
      <c r="B306" s="7" t="str">
        <f aca="false">Scoring!DB313</f>
        <v/>
      </c>
      <c r="C306" s="7" t="n">
        <f aca="false">Scoring!C313</f>
        <v>0</v>
      </c>
      <c r="D306" s="191" t="str">
        <f aca="false">Scoring!CY313</f>
        <v/>
      </c>
      <c r="E306" s="7" t="str">
        <f aca="false">Scoring!BZ313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Scoring!DA313</f>
        <v/>
      </c>
      <c r="I306" s="192" t="str">
        <f aca="false">Scoring!CZ313</f>
        <v/>
      </c>
    </row>
    <row r="307" customFormat="false" ht="15.75" hidden="false" customHeight="false" outlineLevel="0" collapsed="false">
      <c r="A307" s="7" t="str">
        <f aca="false">Scoring!DC314</f>
        <v/>
      </c>
      <c r="B307" s="7" t="str">
        <f aca="false">Scoring!DB314</f>
        <v/>
      </c>
      <c r="C307" s="7" t="n">
        <f aca="false">Scoring!C314</f>
        <v>0</v>
      </c>
      <c r="D307" s="191" t="str">
        <f aca="false">Scoring!CY314</f>
        <v/>
      </c>
      <c r="E307" s="7" t="str">
        <f aca="false">Scoring!BZ314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Scoring!DA314</f>
        <v/>
      </c>
      <c r="I307" s="192" t="str">
        <f aca="false">Scoring!CZ314</f>
        <v/>
      </c>
    </row>
    <row r="308" customFormat="false" ht="15.75" hidden="false" customHeight="false" outlineLevel="0" collapsed="false">
      <c r="A308" s="7" t="str">
        <f aca="false">Scoring!DC315</f>
        <v/>
      </c>
      <c r="B308" s="7" t="str">
        <f aca="false">Scoring!DB315</f>
        <v/>
      </c>
      <c r="C308" s="7" t="n">
        <f aca="false">Scoring!C315</f>
        <v>0</v>
      </c>
      <c r="D308" s="191" t="str">
        <f aca="false">Scoring!CY315</f>
        <v/>
      </c>
      <c r="E308" s="7" t="str">
        <f aca="false">Scoring!BZ315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Scoring!DA315</f>
        <v/>
      </c>
      <c r="I308" s="192" t="str">
        <f aca="false">Scoring!CZ315</f>
        <v/>
      </c>
    </row>
    <row r="309" customFormat="false" ht="15.75" hidden="false" customHeight="false" outlineLevel="0" collapsed="false">
      <c r="A309" s="7" t="str">
        <f aca="false">Scoring!DC316</f>
        <v/>
      </c>
      <c r="B309" s="7" t="str">
        <f aca="false">Scoring!DB316</f>
        <v/>
      </c>
      <c r="C309" s="7" t="n">
        <f aca="false">Scoring!C316</f>
        <v>0</v>
      </c>
      <c r="D309" s="191" t="str">
        <f aca="false">Scoring!CY316</f>
        <v/>
      </c>
      <c r="E309" s="7" t="str">
        <f aca="false">Scoring!BZ316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Scoring!DA316</f>
        <v/>
      </c>
      <c r="I309" s="192" t="str">
        <f aca="false">Scoring!CZ316</f>
        <v/>
      </c>
    </row>
    <row r="310" customFormat="false" ht="15.75" hidden="false" customHeight="false" outlineLevel="0" collapsed="false">
      <c r="A310" s="7" t="str">
        <f aca="false">Scoring!DC317</f>
        <v/>
      </c>
      <c r="B310" s="7" t="str">
        <f aca="false">Scoring!DB317</f>
        <v/>
      </c>
      <c r="C310" s="7" t="n">
        <f aca="false">Scoring!C317</f>
        <v>0</v>
      </c>
      <c r="D310" s="191" t="str">
        <f aca="false">Scoring!CY317</f>
        <v/>
      </c>
      <c r="E310" s="7" t="str">
        <f aca="false">Scoring!BZ317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Scoring!DA317</f>
        <v/>
      </c>
      <c r="I310" s="192" t="str">
        <f aca="false">Scoring!CZ317</f>
        <v/>
      </c>
    </row>
    <row r="311" customFormat="false" ht="15.75" hidden="false" customHeight="false" outlineLevel="0" collapsed="false">
      <c r="A311" s="7" t="str">
        <f aca="false">Scoring!DC318</f>
        <v/>
      </c>
      <c r="B311" s="7" t="str">
        <f aca="false">Scoring!DB318</f>
        <v/>
      </c>
      <c r="C311" s="7" t="n">
        <f aca="false">Scoring!C318</f>
        <v>0</v>
      </c>
      <c r="D311" s="191" t="str">
        <f aca="false">Scoring!CY318</f>
        <v/>
      </c>
      <c r="E311" s="7" t="str">
        <f aca="false">Scoring!BZ318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Scoring!DA318</f>
        <v/>
      </c>
      <c r="I311" s="192" t="str">
        <f aca="false">Scoring!CZ318</f>
        <v/>
      </c>
    </row>
    <row r="312" customFormat="false" ht="15.75" hidden="false" customHeight="false" outlineLevel="0" collapsed="false">
      <c r="A312" s="7" t="str">
        <f aca="false">Scoring!DC319</f>
        <v/>
      </c>
      <c r="B312" s="7" t="str">
        <f aca="false">Scoring!DB319</f>
        <v/>
      </c>
      <c r="C312" s="7" t="n">
        <f aca="false">Scoring!C319</f>
        <v>0</v>
      </c>
      <c r="D312" s="191" t="str">
        <f aca="false">Scoring!CY319</f>
        <v/>
      </c>
      <c r="E312" s="7" t="str">
        <f aca="false">Scoring!BZ319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Scoring!DA319</f>
        <v/>
      </c>
      <c r="I312" s="192" t="str">
        <f aca="false">Scoring!CZ319</f>
        <v/>
      </c>
    </row>
    <row r="313" customFormat="false" ht="15.75" hidden="false" customHeight="false" outlineLevel="0" collapsed="false">
      <c r="A313" s="7" t="str">
        <f aca="false">Scoring!DC320</f>
        <v/>
      </c>
      <c r="B313" s="7" t="str">
        <f aca="false">Scoring!DB320</f>
        <v/>
      </c>
      <c r="C313" s="7" t="n">
        <f aca="false">Scoring!C320</f>
        <v>0</v>
      </c>
      <c r="D313" s="191" t="str">
        <f aca="false">Scoring!CY320</f>
        <v/>
      </c>
      <c r="E313" s="7" t="str">
        <f aca="false">Scoring!BZ320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Scoring!DA320</f>
        <v/>
      </c>
      <c r="I313" s="192" t="str">
        <f aca="false">Scoring!CZ320</f>
        <v/>
      </c>
    </row>
    <row r="314" customFormat="false" ht="15.75" hidden="false" customHeight="false" outlineLevel="0" collapsed="false">
      <c r="A314" s="7" t="str">
        <f aca="false">Scoring!DC321</f>
        <v/>
      </c>
      <c r="B314" s="7" t="str">
        <f aca="false">Scoring!DB321</f>
        <v/>
      </c>
      <c r="C314" s="7" t="n">
        <f aca="false">Scoring!C321</f>
        <v>0</v>
      </c>
      <c r="D314" s="191" t="str">
        <f aca="false">Scoring!CY321</f>
        <v/>
      </c>
      <c r="E314" s="7" t="str">
        <f aca="false">Scoring!BZ321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Scoring!DA321</f>
        <v/>
      </c>
      <c r="I314" s="192" t="str">
        <f aca="false">Scoring!CZ321</f>
        <v/>
      </c>
    </row>
    <row r="315" customFormat="false" ht="15.75" hidden="false" customHeight="false" outlineLevel="0" collapsed="false">
      <c r="A315" s="7" t="str">
        <f aca="false">Scoring!DC322</f>
        <v/>
      </c>
      <c r="B315" s="7" t="str">
        <f aca="false">Scoring!DB322</f>
        <v/>
      </c>
      <c r="C315" s="7" t="n">
        <f aca="false">Scoring!C322</f>
        <v>0</v>
      </c>
      <c r="D315" s="191" t="str">
        <f aca="false">Scoring!CY322</f>
        <v/>
      </c>
      <c r="E315" s="7" t="str">
        <f aca="false">Scoring!BZ322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Scoring!DA322</f>
        <v/>
      </c>
      <c r="I315" s="192" t="str">
        <f aca="false">Scoring!CZ322</f>
        <v/>
      </c>
    </row>
    <row r="316" customFormat="false" ht="15.75" hidden="false" customHeight="false" outlineLevel="0" collapsed="false">
      <c r="A316" s="7" t="str">
        <f aca="false">Scoring!DC323</f>
        <v/>
      </c>
      <c r="B316" s="7" t="str">
        <f aca="false">Scoring!DB323</f>
        <v/>
      </c>
      <c r="C316" s="7" t="n">
        <f aca="false">Scoring!C323</f>
        <v>0</v>
      </c>
      <c r="D316" s="191" t="str">
        <f aca="false">Scoring!CY323</f>
        <v/>
      </c>
      <c r="E316" s="7" t="str">
        <f aca="false">Scoring!BZ323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Scoring!DA323</f>
        <v/>
      </c>
      <c r="I316" s="192" t="str">
        <f aca="false">Scoring!CZ323</f>
        <v/>
      </c>
    </row>
    <row r="317" customFormat="false" ht="15.75" hidden="false" customHeight="false" outlineLevel="0" collapsed="false">
      <c r="A317" s="7" t="str">
        <f aca="false">Scoring!DC324</f>
        <v/>
      </c>
      <c r="B317" s="7" t="str">
        <f aca="false">Scoring!DB324</f>
        <v/>
      </c>
      <c r="C317" s="7" t="n">
        <f aca="false">Scoring!C324</f>
        <v>0</v>
      </c>
      <c r="D317" s="191" t="str">
        <f aca="false">Scoring!CY324</f>
        <v/>
      </c>
      <c r="E317" s="7" t="str">
        <f aca="false">Scoring!BZ324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Scoring!DA324</f>
        <v/>
      </c>
      <c r="I317" s="192" t="str">
        <f aca="false">Scoring!CZ324</f>
        <v/>
      </c>
    </row>
    <row r="318" customFormat="false" ht="15.75" hidden="false" customHeight="false" outlineLevel="0" collapsed="false">
      <c r="A318" s="7" t="str">
        <f aca="false">Scoring!DC325</f>
        <v/>
      </c>
      <c r="B318" s="7" t="str">
        <f aca="false">Scoring!DB325</f>
        <v/>
      </c>
      <c r="C318" s="7" t="n">
        <f aca="false">Scoring!C325</f>
        <v>0</v>
      </c>
      <c r="D318" s="191" t="str">
        <f aca="false">Scoring!CY325</f>
        <v/>
      </c>
      <c r="E318" s="7" t="str">
        <f aca="false">Scoring!BZ325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Scoring!DA325</f>
        <v/>
      </c>
      <c r="I318" s="192" t="str">
        <f aca="false">Scoring!CZ325</f>
        <v/>
      </c>
    </row>
    <row r="319" customFormat="false" ht="15.75" hidden="false" customHeight="false" outlineLevel="0" collapsed="false">
      <c r="A319" s="7" t="str">
        <f aca="false">Scoring!DC326</f>
        <v/>
      </c>
      <c r="B319" s="7" t="str">
        <f aca="false">Scoring!DB326</f>
        <v/>
      </c>
      <c r="C319" s="7" t="n">
        <f aca="false">Scoring!C326</f>
        <v>0</v>
      </c>
      <c r="D319" s="191" t="str">
        <f aca="false">Scoring!CY326</f>
        <v/>
      </c>
      <c r="E319" s="7" t="str">
        <f aca="false">Scoring!BZ326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Scoring!DA326</f>
        <v/>
      </c>
      <c r="I319" s="192" t="str">
        <f aca="false">Scoring!CZ326</f>
        <v/>
      </c>
    </row>
    <row r="320" customFormat="false" ht="15.75" hidden="false" customHeight="false" outlineLevel="0" collapsed="false">
      <c r="A320" s="7" t="str">
        <f aca="false">Scoring!DC327</f>
        <v/>
      </c>
      <c r="B320" s="7" t="str">
        <f aca="false">Scoring!DB327</f>
        <v/>
      </c>
      <c r="C320" s="7" t="n">
        <f aca="false">Scoring!C327</f>
        <v>0</v>
      </c>
      <c r="D320" s="191" t="str">
        <f aca="false">Scoring!CY327</f>
        <v/>
      </c>
      <c r="E320" s="7" t="str">
        <f aca="false">Scoring!BZ327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Scoring!DA327</f>
        <v/>
      </c>
      <c r="I320" s="192" t="str">
        <f aca="false">Scoring!CZ327</f>
        <v/>
      </c>
    </row>
    <row r="321" customFormat="false" ht="15.75" hidden="false" customHeight="false" outlineLevel="0" collapsed="false">
      <c r="A321" s="7" t="str">
        <f aca="false">Scoring!DC328</f>
        <v/>
      </c>
      <c r="B321" s="7" t="str">
        <f aca="false">Scoring!DB328</f>
        <v/>
      </c>
      <c r="C321" s="7" t="n">
        <f aca="false">Scoring!C328</f>
        <v>0</v>
      </c>
      <c r="D321" s="191" t="str">
        <f aca="false">Scoring!CY328</f>
        <v/>
      </c>
      <c r="E321" s="7" t="str">
        <f aca="false">Scoring!BZ328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Scoring!DA328</f>
        <v/>
      </c>
      <c r="I321" s="192" t="str">
        <f aca="false">Scoring!CZ328</f>
        <v/>
      </c>
    </row>
    <row r="322" customFormat="false" ht="15.75" hidden="false" customHeight="false" outlineLevel="0" collapsed="false">
      <c r="A322" s="7" t="str">
        <f aca="false">Scoring!DC329</f>
        <v/>
      </c>
      <c r="B322" s="7" t="str">
        <f aca="false">Scoring!DB329</f>
        <v/>
      </c>
      <c r="C322" s="7" t="n">
        <f aca="false">Scoring!C329</f>
        <v>0</v>
      </c>
      <c r="D322" s="191" t="str">
        <f aca="false">Scoring!CY329</f>
        <v/>
      </c>
      <c r="E322" s="7" t="str">
        <f aca="false">Scoring!BZ329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Scoring!DA329</f>
        <v/>
      </c>
      <c r="I322" s="192" t="str">
        <f aca="false">Scoring!CZ329</f>
        <v/>
      </c>
    </row>
    <row r="323" customFormat="false" ht="15.75" hidden="false" customHeight="false" outlineLevel="0" collapsed="false">
      <c r="A323" s="7" t="str">
        <f aca="false">Scoring!DC330</f>
        <v/>
      </c>
      <c r="B323" s="7" t="str">
        <f aca="false">Scoring!DB330</f>
        <v/>
      </c>
      <c r="C323" s="7" t="n">
        <f aca="false">Scoring!C330</f>
        <v>0</v>
      </c>
      <c r="D323" s="191" t="str">
        <f aca="false">Scoring!CY330</f>
        <v/>
      </c>
      <c r="E323" s="7" t="str">
        <f aca="false">Scoring!BZ330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Scoring!DA330</f>
        <v/>
      </c>
      <c r="I323" s="192" t="str">
        <f aca="false">Scoring!CZ330</f>
        <v/>
      </c>
    </row>
    <row r="324" customFormat="false" ht="15.75" hidden="false" customHeight="false" outlineLevel="0" collapsed="false">
      <c r="A324" s="7" t="str">
        <f aca="false">Scoring!DC331</f>
        <v/>
      </c>
      <c r="B324" s="7" t="str">
        <f aca="false">Scoring!DB331</f>
        <v/>
      </c>
      <c r="C324" s="7" t="n">
        <f aca="false">Scoring!C331</f>
        <v>0</v>
      </c>
      <c r="D324" s="191" t="str">
        <f aca="false">Scoring!CY331</f>
        <v/>
      </c>
      <c r="E324" s="7" t="str">
        <f aca="false">Scoring!BZ331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Scoring!DA331</f>
        <v/>
      </c>
      <c r="I324" s="192" t="str">
        <f aca="false">Scoring!CZ331</f>
        <v/>
      </c>
    </row>
    <row r="325" customFormat="false" ht="15.75" hidden="false" customHeight="false" outlineLevel="0" collapsed="false">
      <c r="A325" s="7" t="str">
        <f aca="false">Scoring!DC332</f>
        <v/>
      </c>
      <c r="B325" s="7" t="str">
        <f aca="false">Scoring!DB332</f>
        <v/>
      </c>
      <c r="C325" s="7" t="n">
        <f aca="false">Scoring!C332</f>
        <v>0</v>
      </c>
      <c r="D325" s="191" t="str">
        <f aca="false">Scoring!CY332</f>
        <v/>
      </c>
      <c r="E325" s="7" t="str">
        <f aca="false">Scoring!BZ332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Scoring!DA332</f>
        <v/>
      </c>
      <c r="I325" s="192" t="str">
        <f aca="false">Scoring!CZ332</f>
        <v/>
      </c>
    </row>
    <row r="326" customFormat="false" ht="15.75" hidden="false" customHeight="false" outlineLevel="0" collapsed="false">
      <c r="A326" s="7" t="str">
        <f aca="false">Scoring!DC333</f>
        <v/>
      </c>
      <c r="B326" s="7" t="str">
        <f aca="false">Scoring!DB333</f>
        <v/>
      </c>
      <c r="C326" s="7" t="n">
        <f aca="false">Scoring!C333</f>
        <v>0</v>
      </c>
      <c r="D326" s="191" t="str">
        <f aca="false">Scoring!CY333</f>
        <v/>
      </c>
      <c r="E326" s="7" t="str">
        <f aca="false">Scoring!BZ333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Scoring!DA333</f>
        <v/>
      </c>
      <c r="I326" s="192" t="str">
        <f aca="false">Scoring!CZ333</f>
        <v/>
      </c>
    </row>
    <row r="327" customFormat="false" ht="15.75" hidden="false" customHeight="false" outlineLevel="0" collapsed="false">
      <c r="A327" s="7" t="str">
        <f aca="false">Scoring!DC334</f>
        <v/>
      </c>
      <c r="B327" s="7" t="str">
        <f aca="false">Scoring!DB334</f>
        <v/>
      </c>
      <c r="C327" s="7" t="n">
        <f aca="false">Scoring!C334</f>
        <v>0</v>
      </c>
      <c r="D327" s="191" t="str">
        <f aca="false">Scoring!CY334</f>
        <v/>
      </c>
      <c r="E327" s="7" t="str">
        <f aca="false">Scoring!BZ334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Scoring!DA334</f>
        <v/>
      </c>
      <c r="I327" s="192" t="str">
        <f aca="false">Scoring!CZ334</f>
        <v/>
      </c>
    </row>
    <row r="328" customFormat="false" ht="15.75" hidden="false" customHeight="false" outlineLevel="0" collapsed="false">
      <c r="A328" s="7" t="str">
        <f aca="false">Scoring!DC335</f>
        <v/>
      </c>
      <c r="B328" s="7" t="str">
        <f aca="false">Scoring!DB335</f>
        <v/>
      </c>
      <c r="C328" s="7" t="n">
        <f aca="false">Scoring!C335</f>
        <v>0</v>
      </c>
      <c r="D328" s="191" t="str">
        <f aca="false">Scoring!CY335</f>
        <v/>
      </c>
      <c r="E328" s="7" t="str">
        <f aca="false">Scoring!BZ335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Scoring!DA335</f>
        <v/>
      </c>
      <c r="I328" s="192" t="str">
        <f aca="false">Scoring!CZ335</f>
        <v/>
      </c>
    </row>
    <row r="329" customFormat="false" ht="15.75" hidden="false" customHeight="false" outlineLevel="0" collapsed="false">
      <c r="A329" s="7" t="str">
        <f aca="false">Scoring!DC336</f>
        <v/>
      </c>
      <c r="B329" s="7" t="str">
        <f aca="false">Scoring!DB336</f>
        <v/>
      </c>
      <c r="C329" s="7" t="n">
        <f aca="false">Scoring!C336</f>
        <v>0</v>
      </c>
      <c r="D329" s="191" t="str">
        <f aca="false">Scoring!CY336</f>
        <v/>
      </c>
      <c r="E329" s="7" t="str">
        <f aca="false">Scoring!BZ336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Scoring!DA336</f>
        <v/>
      </c>
      <c r="I329" s="192" t="str">
        <f aca="false">Scoring!CZ336</f>
        <v/>
      </c>
    </row>
    <row r="330" customFormat="false" ht="15.75" hidden="false" customHeight="false" outlineLevel="0" collapsed="false">
      <c r="A330" s="7" t="str">
        <f aca="false">Scoring!DC337</f>
        <v/>
      </c>
      <c r="B330" s="7" t="str">
        <f aca="false">Scoring!DB337</f>
        <v/>
      </c>
      <c r="C330" s="7" t="n">
        <f aca="false">Scoring!C337</f>
        <v>0</v>
      </c>
      <c r="D330" s="191" t="str">
        <f aca="false">Scoring!CY337</f>
        <v/>
      </c>
      <c r="E330" s="7" t="str">
        <f aca="false">Scoring!BZ337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Scoring!DA337</f>
        <v/>
      </c>
      <c r="I330" s="192" t="str">
        <f aca="false">Scoring!CZ337</f>
        <v/>
      </c>
    </row>
    <row r="331" customFormat="false" ht="15.75" hidden="false" customHeight="false" outlineLevel="0" collapsed="false">
      <c r="A331" s="7" t="str">
        <f aca="false">Scoring!DC338</f>
        <v/>
      </c>
      <c r="B331" s="7" t="str">
        <f aca="false">Scoring!DB338</f>
        <v/>
      </c>
      <c r="C331" s="7" t="n">
        <f aca="false">Scoring!C338</f>
        <v>0</v>
      </c>
      <c r="D331" s="191" t="str">
        <f aca="false">Scoring!CY338</f>
        <v/>
      </c>
      <c r="E331" s="7" t="str">
        <f aca="false">Scoring!BZ338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Scoring!DA338</f>
        <v/>
      </c>
      <c r="I331" s="192" t="str">
        <f aca="false">Scoring!CZ338</f>
        <v/>
      </c>
    </row>
    <row r="332" customFormat="false" ht="15.75" hidden="false" customHeight="false" outlineLevel="0" collapsed="false">
      <c r="A332" s="7" t="str">
        <f aca="false">Scoring!DC339</f>
        <v/>
      </c>
      <c r="B332" s="7" t="str">
        <f aca="false">Scoring!DB339</f>
        <v/>
      </c>
      <c r="C332" s="7" t="n">
        <f aca="false">Scoring!C339</f>
        <v>0</v>
      </c>
      <c r="D332" s="191" t="str">
        <f aca="false">Scoring!CY339</f>
        <v/>
      </c>
      <c r="E332" s="7" t="str">
        <f aca="false">Scoring!BZ339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Scoring!DA339</f>
        <v/>
      </c>
      <c r="I332" s="192" t="str">
        <f aca="false">Scoring!CZ339</f>
        <v/>
      </c>
    </row>
    <row r="333" customFormat="false" ht="15.75" hidden="false" customHeight="false" outlineLevel="0" collapsed="false">
      <c r="A333" s="7" t="str">
        <f aca="false">Scoring!DC340</f>
        <v/>
      </c>
      <c r="B333" s="7" t="str">
        <f aca="false">Scoring!DB340</f>
        <v/>
      </c>
      <c r="C333" s="7" t="n">
        <f aca="false">Scoring!C340</f>
        <v>0</v>
      </c>
      <c r="D333" s="191" t="str">
        <f aca="false">Scoring!CY340</f>
        <v/>
      </c>
      <c r="E333" s="7" t="str">
        <f aca="false">Scoring!BZ340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Scoring!DA340</f>
        <v/>
      </c>
      <c r="I333" s="192" t="str">
        <f aca="false">Scoring!CZ340</f>
        <v/>
      </c>
    </row>
    <row r="334" customFormat="false" ht="15.75" hidden="false" customHeight="false" outlineLevel="0" collapsed="false">
      <c r="A334" s="7" t="str">
        <f aca="false">Scoring!DC341</f>
        <v/>
      </c>
      <c r="B334" s="7" t="str">
        <f aca="false">Scoring!DB341</f>
        <v/>
      </c>
      <c r="C334" s="7" t="n">
        <f aca="false">Scoring!C341</f>
        <v>0</v>
      </c>
      <c r="D334" s="191" t="str">
        <f aca="false">Scoring!CY341</f>
        <v/>
      </c>
      <c r="E334" s="7" t="str">
        <f aca="false">Scoring!BZ341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Scoring!DA341</f>
        <v/>
      </c>
      <c r="I334" s="192" t="str">
        <f aca="false">Scoring!CZ341</f>
        <v/>
      </c>
    </row>
    <row r="335" customFormat="false" ht="15.75" hidden="false" customHeight="false" outlineLevel="0" collapsed="false">
      <c r="A335" s="7" t="str">
        <f aca="false">Scoring!DC342</f>
        <v/>
      </c>
      <c r="B335" s="7" t="str">
        <f aca="false">Scoring!DB342</f>
        <v/>
      </c>
      <c r="C335" s="7" t="n">
        <f aca="false">Scoring!C342</f>
        <v>0</v>
      </c>
      <c r="D335" s="191" t="str">
        <f aca="false">Scoring!CY342</f>
        <v/>
      </c>
      <c r="E335" s="7" t="str">
        <f aca="false">Scoring!BZ342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Scoring!DA342</f>
        <v/>
      </c>
      <c r="I335" s="192" t="str">
        <f aca="false">Scoring!CZ342</f>
        <v/>
      </c>
    </row>
    <row r="336" customFormat="false" ht="15.75" hidden="false" customHeight="false" outlineLevel="0" collapsed="false">
      <c r="A336" s="7" t="str">
        <f aca="false">Scoring!DC343</f>
        <v/>
      </c>
      <c r="B336" s="7" t="str">
        <f aca="false">Scoring!DB343</f>
        <v/>
      </c>
      <c r="C336" s="7" t="n">
        <f aca="false">Scoring!C343</f>
        <v>0</v>
      </c>
      <c r="D336" s="191" t="str">
        <f aca="false">Scoring!CY343</f>
        <v/>
      </c>
      <c r="E336" s="7" t="str">
        <f aca="false">Scoring!BZ343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Scoring!DA343</f>
        <v/>
      </c>
      <c r="I336" s="192" t="str">
        <f aca="false">Scoring!CZ343</f>
        <v/>
      </c>
    </row>
    <row r="337" customFormat="false" ht="15.75" hidden="false" customHeight="false" outlineLevel="0" collapsed="false">
      <c r="A337" s="7" t="str">
        <f aca="false">Scoring!DC344</f>
        <v/>
      </c>
      <c r="B337" s="7" t="str">
        <f aca="false">Scoring!DB344</f>
        <v/>
      </c>
      <c r="C337" s="7" t="n">
        <f aca="false">Scoring!C344</f>
        <v>0</v>
      </c>
      <c r="D337" s="191" t="str">
        <f aca="false">Scoring!CY344</f>
        <v/>
      </c>
      <c r="E337" s="7" t="str">
        <f aca="false">Scoring!BZ344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Scoring!DA344</f>
        <v/>
      </c>
      <c r="I337" s="192" t="str">
        <f aca="false">Scoring!CZ344</f>
        <v/>
      </c>
    </row>
    <row r="338" customFormat="false" ht="15.75" hidden="false" customHeight="false" outlineLevel="0" collapsed="false">
      <c r="A338" s="7" t="str">
        <f aca="false">Scoring!DC345</f>
        <v/>
      </c>
      <c r="B338" s="7" t="str">
        <f aca="false">Scoring!DB345</f>
        <v/>
      </c>
      <c r="C338" s="7" t="n">
        <f aca="false">Scoring!C345</f>
        <v>0</v>
      </c>
      <c r="D338" s="191" t="str">
        <f aca="false">Scoring!CY345</f>
        <v/>
      </c>
      <c r="E338" s="7" t="str">
        <f aca="false">Scoring!BZ345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Scoring!DA345</f>
        <v/>
      </c>
      <c r="I338" s="192" t="str">
        <f aca="false">Scoring!CZ345</f>
        <v/>
      </c>
    </row>
    <row r="339" customFormat="false" ht="15.75" hidden="false" customHeight="false" outlineLevel="0" collapsed="false">
      <c r="A339" s="7" t="str">
        <f aca="false">Scoring!DC346</f>
        <v/>
      </c>
      <c r="B339" s="7" t="str">
        <f aca="false">Scoring!DB346</f>
        <v/>
      </c>
      <c r="C339" s="7" t="n">
        <f aca="false">Scoring!C346</f>
        <v>0</v>
      </c>
      <c r="D339" s="191" t="str">
        <f aca="false">Scoring!CY346</f>
        <v/>
      </c>
      <c r="E339" s="7" t="str">
        <f aca="false">Scoring!BZ346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Scoring!DA346</f>
        <v/>
      </c>
      <c r="I339" s="192" t="str">
        <f aca="false">Scoring!CZ346</f>
        <v/>
      </c>
    </row>
    <row r="340" customFormat="false" ht="15.75" hidden="false" customHeight="false" outlineLevel="0" collapsed="false">
      <c r="A340" s="7" t="str">
        <f aca="false">Scoring!DC347</f>
        <v/>
      </c>
      <c r="B340" s="7" t="str">
        <f aca="false">Scoring!DB347</f>
        <v/>
      </c>
      <c r="C340" s="7" t="n">
        <f aca="false">Scoring!C347</f>
        <v>0</v>
      </c>
      <c r="D340" s="191" t="str">
        <f aca="false">Scoring!CY347</f>
        <v/>
      </c>
      <c r="E340" s="7" t="str">
        <f aca="false">Scoring!BZ347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Scoring!DA347</f>
        <v/>
      </c>
      <c r="I340" s="192" t="str">
        <f aca="false">Scoring!CZ347</f>
        <v/>
      </c>
    </row>
    <row r="341" customFormat="false" ht="15.75" hidden="false" customHeight="false" outlineLevel="0" collapsed="false">
      <c r="A341" s="7" t="str">
        <f aca="false">Scoring!DC348</f>
        <v/>
      </c>
      <c r="B341" s="7" t="str">
        <f aca="false">Scoring!DB348</f>
        <v/>
      </c>
      <c r="C341" s="7" t="n">
        <f aca="false">Scoring!C348</f>
        <v>0</v>
      </c>
      <c r="D341" s="191" t="str">
        <f aca="false">Scoring!CY348</f>
        <v/>
      </c>
      <c r="E341" s="7" t="str">
        <f aca="false">Scoring!BZ348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Scoring!DA348</f>
        <v/>
      </c>
      <c r="I341" s="192" t="str">
        <f aca="false">Scoring!CZ348</f>
        <v/>
      </c>
    </row>
    <row r="342" customFormat="false" ht="15.75" hidden="false" customHeight="false" outlineLevel="0" collapsed="false">
      <c r="A342" s="7" t="str">
        <f aca="false">Scoring!DC349</f>
        <v/>
      </c>
      <c r="B342" s="7" t="str">
        <f aca="false">Scoring!DB349</f>
        <v/>
      </c>
      <c r="C342" s="7" t="n">
        <f aca="false">Scoring!C349</f>
        <v>0</v>
      </c>
      <c r="D342" s="191" t="str">
        <f aca="false">Scoring!CY349</f>
        <v/>
      </c>
      <c r="E342" s="7" t="str">
        <f aca="false">Scoring!BZ349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Scoring!DA349</f>
        <v/>
      </c>
      <c r="I342" s="192" t="str">
        <f aca="false">Scoring!CZ349</f>
        <v/>
      </c>
    </row>
    <row r="343" customFormat="false" ht="15.75" hidden="false" customHeight="false" outlineLevel="0" collapsed="false">
      <c r="A343" s="7" t="str">
        <f aca="false">Scoring!DC350</f>
        <v/>
      </c>
      <c r="B343" s="7" t="str">
        <f aca="false">Scoring!DB350</f>
        <v/>
      </c>
      <c r="C343" s="7" t="n">
        <f aca="false">Scoring!C350</f>
        <v>0</v>
      </c>
      <c r="D343" s="191" t="str">
        <f aca="false">Scoring!CY350</f>
        <v/>
      </c>
      <c r="E343" s="7" t="str">
        <f aca="false">Scoring!BZ350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Scoring!DA350</f>
        <v/>
      </c>
      <c r="I343" s="192" t="str">
        <f aca="false">Scoring!CZ350</f>
        <v/>
      </c>
    </row>
    <row r="344" customFormat="false" ht="15.75" hidden="false" customHeight="false" outlineLevel="0" collapsed="false">
      <c r="A344" s="7" t="str">
        <f aca="false">Scoring!DC351</f>
        <v/>
      </c>
      <c r="B344" s="7" t="str">
        <f aca="false">Scoring!DB351</f>
        <v/>
      </c>
      <c r="C344" s="7" t="n">
        <f aca="false">Scoring!C351</f>
        <v>0</v>
      </c>
      <c r="D344" s="191" t="str">
        <f aca="false">Scoring!CY351</f>
        <v/>
      </c>
      <c r="E344" s="7" t="str">
        <f aca="false">Scoring!BZ351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Scoring!DA351</f>
        <v/>
      </c>
      <c r="I344" s="192" t="str">
        <f aca="false">Scoring!CZ351</f>
        <v/>
      </c>
    </row>
    <row r="345" customFormat="false" ht="15.75" hidden="false" customHeight="false" outlineLevel="0" collapsed="false">
      <c r="A345" s="7" t="str">
        <f aca="false">Scoring!DC352</f>
        <v/>
      </c>
      <c r="B345" s="7" t="str">
        <f aca="false">Scoring!DB352</f>
        <v/>
      </c>
      <c r="C345" s="7" t="n">
        <f aca="false">Scoring!C352</f>
        <v>0</v>
      </c>
      <c r="D345" s="191" t="str">
        <f aca="false">Scoring!CY352</f>
        <v/>
      </c>
      <c r="E345" s="7" t="str">
        <f aca="false">Scoring!BZ352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Scoring!DA352</f>
        <v/>
      </c>
      <c r="I345" s="192" t="str">
        <f aca="false">Scoring!CZ352</f>
        <v/>
      </c>
    </row>
    <row r="346" customFormat="false" ht="15.75" hidden="false" customHeight="false" outlineLevel="0" collapsed="false">
      <c r="A346" s="7" t="str">
        <f aca="false">Scoring!DC353</f>
        <v/>
      </c>
      <c r="B346" s="7" t="str">
        <f aca="false">Scoring!DB353</f>
        <v/>
      </c>
      <c r="C346" s="7" t="n">
        <f aca="false">Scoring!C353</f>
        <v>0</v>
      </c>
      <c r="D346" s="191" t="str">
        <f aca="false">Scoring!CY353</f>
        <v/>
      </c>
      <c r="E346" s="7" t="str">
        <f aca="false">Scoring!BZ353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Scoring!DA353</f>
        <v/>
      </c>
      <c r="I346" s="192" t="str">
        <f aca="false">Scoring!CZ353</f>
        <v/>
      </c>
    </row>
    <row r="347" customFormat="false" ht="15.75" hidden="false" customHeight="false" outlineLevel="0" collapsed="false">
      <c r="A347" s="7" t="str">
        <f aca="false">Scoring!DC354</f>
        <v/>
      </c>
      <c r="B347" s="7" t="str">
        <f aca="false">Scoring!DB354</f>
        <v/>
      </c>
      <c r="C347" s="7" t="n">
        <f aca="false">Scoring!C354</f>
        <v>0</v>
      </c>
      <c r="D347" s="191" t="str">
        <f aca="false">Scoring!CY354</f>
        <v/>
      </c>
      <c r="E347" s="7" t="str">
        <f aca="false">Scoring!BZ354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Scoring!DA354</f>
        <v/>
      </c>
      <c r="I347" s="192" t="str">
        <f aca="false">Scoring!CZ354</f>
        <v/>
      </c>
    </row>
    <row r="348" customFormat="false" ht="15.75" hidden="false" customHeight="false" outlineLevel="0" collapsed="false">
      <c r="A348" s="7" t="str">
        <f aca="false">Scoring!DC355</f>
        <v/>
      </c>
      <c r="B348" s="7" t="str">
        <f aca="false">Scoring!DB355</f>
        <v/>
      </c>
      <c r="C348" s="7" t="n">
        <f aca="false">Scoring!C355</f>
        <v>0</v>
      </c>
      <c r="D348" s="191" t="str">
        <f aca="false">Scoring!CY355</f>
        <v/>
      </c>
      <c r="E348" s="7" t="str">
        <f aca="false">Scoring!BZ355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Scoring!DA355</f>
        <v/>
      </c>
      <c r="I348" s="192" t="str">
        <f aca="false">Scoring!CZ355</f>
        <v/>
      </c>
    </row>
    <row r="349" customFormat="false" ht="15.75" hidden="false" customHeight="false" outlineLevel="0" collapsed="false">
      <c r="A349" s="7" t="str">
        <f aca="false">Scoring!DC356</f>
        <v/>
      </c>
      <c r="B349" s="7" t="str">
        <f aca="false">Scoring!DB356</f>
        <v/>
      </c>
      <c r="C349" s="7" t="n">
        <f aca="false">Scoring!C356</f>
        <v>0</v>
      </c>
      <c r="D349" s="191" t="str">
        <f aca="false">Scoring!CY356</f>
        <v/>
      </c>
      <c r="E349" s="7" t="str">
        <f aca="false">Scoring!BZ356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Scoring!DA356</f>
        <v/>
      </c>
      <c r="I349" s="192" t="str">
        <f aca="false">Scoring!CZ356</f>
        <v/>
      </c>
    </row>
    <row r="350" customFormat="false" ht="15.75" hidden="false" customHeight="false" outlineLevel="0" collapsed="false">
      <c r="A350" s="7" t="str">
        <f aca="false">Scoring!DC357</f>
        <v/>
      </c>
      <c r="B350" s="7" t="str">
        <f aca="false">Scoring!DB357</f>
        <v/>
      </c>
      <c r="C350" s="7" t="n">
        <f aca="false">Scoring!C357</f>
        <v>0</v>
      </c>
      <c r="D350" s="191" t="str">
        <f aca="false">Scoring!CY357</f>
        <v/>
      </c>
      <c r="E350" s="7" t="str">
        <f aca="false">Scoring!BZ357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Scoring!DA357</f>
        <v/>
      </c>
      <c r="I350" s="192" t="str">
        <f aca="false">Scoring!CZ357</f>
        <v/>
      </c>
    </row>
    <row r="351" customFormat="false" ht="15.75" hidden="false" customHeight="false" outlineLevel="0" collapsed="false">
      <c r="A351" s="7" t="str">
        <f aca="false">Scoring!DC358</f>
        <v/>
      </c>
      <c r="B351" s="7" t="str">
        <f aca="false">Scoring!DB358</f>
        <v/>
      </c>
      <c r="C351" s="7" t="n">
        <f aca="false">Scoring!C358</f>
        <v>0</v>
      </c>
      <c r="D351" s="191" t="str">
        <f aca="false">Scoring!CY358</f>
        <v/>
      </c>
      <c r="E351" s="7" t="str">
        <f aca="false">Scoring!BZ358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Scoring!DA358</f>
        <v/>
      </c>
      <c r="I351" s="192" t="str">
        <f aca="false">Scoring!CZ358</f>
        <v/>
      </c>
    </row>
    <row r="352" customFormat="false" ht="15.75" hidden="false" customHeight="false" outlineLevel="0" collapsed="false">
      <c r="A352" s="7" t="str">
        <f aca="false">Scoring!DC359</f>
        <v/>
      </c>
      <c r="B352" s="7" t="str">
        <f aca="false">Scoring!DB359</f>
        <v/>
      </c>
      <c r="C352" s="7" t="n">
        <f aca="false">Scoring!C359</f>
        <v>0</v>
      </c>
      <c r="D352" s="191" t="str">
        <f aca="false">Scoring!CY359</f>
        <v/>
      </c>
      <c r="E352" s="7" t="str">
        <f aca="false">Scoring!BZ359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Scoring!DA359</f>
        <v/>
      </c>
      <c r="I352" s="192" t="str">
        <f aca="false">Scoring!CZ359</f>
        <v/>
      </c>
    </row>
    <row r="353" customFormat="false" ht="15.75" hidden="false" customHeight="false" outlineLevel="0" collapsed="false">
      <c r="A353" s="7" t="str">
        <f aca="false">Scoring!DC360</f>
        <v/>
      </c>
      <c r="B353" s="7" t="str">
        <f aca="false">Scoring!DB360</f>
        <v/>
      </c>
      <c r="C353" s="7" t="n">
        <f aca="false">Scoring!C360</f>
        <v>0</v>
      </c>
      <c r="D353" s="191" t="str">
        <f aca="false">Scoring!CY360</f>
        <v/>
      </c>
      <c r="E353" s="7" t="str">
        <f aca="false">Scoring!BZ360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Scoring!DA360</f>
        <v/>
      </c>
      <c r="I353" s="192" t="str">
        <f aca="false">Scoring!CZ360</f>
        <v/>
      </c>
    </row>
    <row r="354" customFormat="false" ht="15.75" hidden="false" customHeight="false" outlineLevel="0" collapsed="false">
      <c r="A354" s="7" t="str">
        <f aca="false">Scoring!DC361</f>
        <v/>
      </c>
      <c r="B354" s="7" t="str">
        <f aca="false">Scoring!DB361</f>
        <v/>
      </c>
      <c r="C354" s="7" t="n">
        <f aca="false">Scoring!C361</f>
        <v>0</v>
      </c>
      <c r="D354" s="191" t="str">
        <f aca="false">Scoring!CY361</f>
        <v/>
      </c>
      <c r="E354" s="7" t="str">
        <f aca="false">Scoring!BZ361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Scoring!DA361</f>
        <v/>
      </c>
      <c r="I354" s="192" t="str">
        <f aca="false">Scoring!CZ361</f>
        <v/>
      </c>
    </row>
    <row r="355" customFormat="false" ht="15.75" hidden="false" customHeight="false" outlineLevel="0" collapsed="false">
      <c r="A355" s="7" t="str">
        <f aca="false">Scoring!DC362</f>
        <v/>
      </c>
      <c r="B355" s="7" t="str">
        <f aca="false">Scoring!DB362</f>
        <v/>
      </c>
      <c r="C355" s="7" t="n">
        <f aca="false">Scoring!C362</f>
        <v>0</v>
      </c>
      <c r="D355" s="191" t="str">
        <f aca="false">Scoring!CY362</f>
        <v/>
      </c>
      <c r="E355" s="7" t="str">
        <f aca="false">Scoring!BZ362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Scoring!DA362</f>
        <v/>
      </c>
      <c r="I355" s="192" t="str">
        <f aca="false">Scoring!CZ362</f>
        <v/>
      </c>
    </row>
    <row r="356" customFormat="false" ht="15.75" hidden="false" customHeight="false" outlineLevel="0" collapsed="false">
      <c r="A356" s="7" t="str">
        <f aca="false">Scoring!DC363</f>
        <v/>
      </c>
      <c r="B356" s="7" t="str">
        <f aca="false">Scoring!DB363</f>
        <v/>
      </c>
      <c r="C356" s="7" t="n">
        <f aca="false">Scoring!C363</f>
        <v>0</v>
      </c>
      <c r="D356" s="191" t="str">
        <f aca="false">Scoring!CY363</f>
        <v/>
      </c>
      <c r="E356" s="7" t="str">
        <f aca="false">Scoring!BZ363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Scoring!DA363</f>
        <v/>
      </c>
      <c r="I356" s="192" t="str">
        <f aca="false">Scoring!CZ363</f>
        <v/>
      </c>
    </row>
    <row r="357" customFormat="false" ht="15.75" hidden="false" customHeight="false" outlineLevel="0" collapsed="false">
      <c r="A357" s="7" t="str">
        <f aca="false">Scoring!DC364</f>
        <v/>
      </c>
      <c r="B357" s="7" t="str">
        <f aca="false">Scoring!DB364</f>
        <v/>
      </c>
      <c r="C357" s="7" t="n">
        <f aca="false">Scoring!C364</f>
        <v>0</v>
      </c>
      <c r="D357" s="191" t="str">
        <f aca="false">Scoring!CY364</f>
        <v/>
      </c>
      <c r="E357" s="7" t="str">
        <f aca="false">Scoring!BZ364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Scoring!DA364</f>
        <v/>
      </c>
      <c r="I357" s="192" t="str">
        <f aca="false">Scoring!CZ364</f>
        <v/>
      </c>
    </row>
    <row r="358" customFormat="false" ht="15.75" hidden="false" customHeight="false" outlineLevel="0" collapsed="false">
      <c r="A358" s="7" t="str">
        <f aca="false">Scoring!DC365</f>
        <v/>
      </c>
      <c r="B358" s="7" t="str">
        <f aca="false">Scoring!DB365</f>
        <v/>
      </c>
      <c r="C358" s="7" t="n">
        <f aca="false">Scoring!C365</f>
        <v>0</v>
      </c>
      <c r="D358" s="191" t="str">
        <f aca="false">Scoring!CY365</f>
        <v/>
      </c>
      <c r="E358" s="7" t="str">
        <f aca="false">Scoring!BZ365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Scoring!DA365</f>
        <v/>
      </c>
      <c r="I358" s="192" t="str">
        <f aca="false">Scoring!CZ365</f>
        <v/>
      </c>
    </row>
    <row r="359" customFormat="false" ht="15.75" hidden="false" customHeight="false" outlineLevel="0" collapsed="false">
      <c r="A359" s="7" t="str">
        <f aca="false">Scoring!DC366</f>
        <v/>
      </c>
      <c r="B359" s="7" t="str">
        <f aca="false">Scoring!DB366</f>
        <v/>
      </c>
      <c r="C359" s="7" t="n">
        <f aca="false">Scoring!C366</f>
        <v>0</v>
      </c>
      <c r="D359" s="191" t="str">
        <f aca="false">Scoring!CY366</f>
        <v/>
      </c>
      <c r="E359" s="7" t="str">
        <f aca="false">Scoring!BZ366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Scoring!DA366</f>
        <v/>
      </c>
      <c r="I359" s="192" t="str">
        <f aca="false">Scoring!CZ366</f>
        <v/>
      </c>
    </row>
    <row r="360" customFormat="false" ht="15.75" hidden="false" customHeight="false" outlineLevel="0" collapsed="false">
      <c r="A360" s="7" t="str">
        <f aca="false">Scoring!DC367</f>
        <v/>
      </c>
      <c r="B360" s="7" t="str">
        <f aca="false">Scoring!DB367</f>
        <v/>
      </c>
      <c r="C360" s="7" t="n">
        <f aca="false">Scoring!C367</f>
        <v>0</v>
      </c>
      <c r="D360" s="191" t="str">
        <f aca="false">Scoring!CY367</f>
        <v/>
      </c>
      <c r="E360" s="7" t="str">
        <f aca="false">Scoring!BZ367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Scoring!DA367</f>
        <v/>
      </c>
      <c r="I360" s="192" t="str">
        <f aca="false">Scoring!CZ367</f>
        <v/>
      </c>
    </row>
    <row r="361" customFormat="false" ht="15.75" hidden="false" customHeight="false" outlineLevel="0" collapsed="false">
      <c r="A361" s="7" t="str">
        <f aca="false">Scoring!DC368</f>
        <v/>
      </c>
      <c r="B361" s="7" t="str">
        <f aca="false">Scoring!DB368</f>
        <v/>
      </c>
      <c r="C361" s="7" t="n">
        <f aca="false">Scoring!C368</f>
        <v>0</v>
      </c>
      <c r="D361" s="191" t="str">
        <f aca="false">Scoring!CY368</f>
        <v/>
      </c>
      <c r="E361" s="7" t="str">
        <f aca="false">Scoring!BZ368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Scoring!DA368</f>
        <v/>
      </c>
      <c r="I361" s="192" t="str">
        <f aca="false">Scoring!CZ368</f>
        <v/>
      </c>
    </row>
    <row r="362" customFormat="false" ht="15.75" hidden="false" customHeight="false" outlineLevel="0" collapsed="false">
      <c r="A362" s="7" t="str">
        <f aca="false">Scoring!DC369</f>
        <v/>
      </c>
      <c r="B362" s="7" t="str">
        <f aca="false">Scoring!DB369</f>
        <v/>
      </c>
      <c r="C362" s="7" t="n">
        <f aca="false">Scoring!C369</f>
        <v>0</v>
      </c>
      <c r="D362" s="191" t="str">
        <f aca="false">Scoring!CY369</f>
        <v/>
      </c>
      <c r="E362" s="7" t="str">
        <f aca="false">Scoring!BZ369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Scoring!DA369</f>
        <v/>
      </c>
      <c r="I362" s="192" t="str">
        <f aca="false">Scoring!CZ369</f>
        <v/>
      </c>
    </row>
    <row r="363" customFormat="false" ht="15.75" hidden="false" customHeight="false" outlineLevel="0" collapsed="false">
      <c r="A363" s="7" t="str">
        <f aca="false">Scoring!DC370</f>
        <v/>
      </c>
      <c r="B363" s="7" t="str">
        <f aca="false">Scoring!DB370</f>
        <v/>
      </c>
      <c r="C363" s="7" t="n">
        <f aca="false">Scoring!C370</f>
        <v>0</v>
      </c>
      <c r="D363" s="191" t="str">
        <f aca="false">Scoring!CY370</f>
        <v/>
      </c>
      <c r="E363" s="7" t="str">
        <f aca="false">Scoring!BZ370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Scoring!DA370</f>
        <v/>
      </c>
      <c r="I363" s="192" t="str">
        <f aca="false">Scoring!CZ370</f>
        <v/>
      </c>
    </row>
    <row r="364" customFormat="false" ht="15.75" hidden="false" customHeight="false" outlineLevel="0" collapsed="false">
      <c r="A364" s="7" t="str">
        <f aca="false">Scoring!DC371</f>
        <v/>
      </c>
      <c r="B364" s="7" t="str">
        <f aca="false">Scoring!DB371</f>
        <v/>
      </c>
      <c r="C364" s="7" t="n">
        <f aca="false">Scoring!C371</f>
        <v>0</v>
      </c>
      <c r="D364" s="191" t="str">
        <f aca="false">Scoring!CY371</f>
        <v/>
      </c>
      <c r="E364" s="7" t="str">
        <f aca="false">Scoring!BZ371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Scoring!DA371</f>
        <v/>
      </c>
      <c r="I364" s="192" t="str">
        <f aca="false">Scoring!CZ371</f>
        <v/>
      </c>
    </row>
    <row r="365" customFormat="false" ht="15.75" hidden="false" customHeight="false" outlineLevel="0" collapsed="false">
      <c r="A365" s="7" t="str">
        <f aca="false">Scoring!DC372</f>
        <v/>
      </c>
      <c r="B365" s="7" t="str">
        <f aca="false">Scoring!DB372</f>
        <v/>
      </c>
      <c r="C365" s="7" t="n">
        <f aca="false">Scoring!C372</f>
        <v>0</v>
      </c>
      <c r="D365" s="191" t="str">
        <f aca="false">Scoring!CY372</f>
        <v/>
      </c>
      <c r="E365" s="7" t="str">
        <f aca="false">Scoring!BZ372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Scoring!DA372</f>
        <v/>
      </c>
      <c r="I365" s="192" t="str">
        <f aca="false">Scoring!CZ372</f>
        <v/>
      </c>
    </row>
    <row r="366" customFormat="false" ht="15.75" hidden="false" customHeight="false" outlineLevel="0" collapsed="false">
      <c r="A366" s="7" t="str">
        <f aca="false">Scoring!DC373</f>
        <v/>
      </c>
      <c r="B366" s="7" t="str">
        <f aca="false">Scoring!DB373</f>
        <v/>
      </c>
      <c r="C366" s="7" t="n">
        <f aca="false">Scoring!C373</f>
        <v>0</v>
      </c>
      <c r="D366" s="191" t="str">
        <f aca="false">Scoring!CY373</f>
        <v/>
      </c>
      <c r="E366" s="7" t="str">
        <f aca="false">Scoring!BZ373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Scoring!DA373</f>
        <v/>
      </c>
      <c r="I366" s="192" t="str">
        <f aca="false">Scoring!CZ373</f>
        <v/>
      </c>
    </row>
    <row r="367" customFormat="false" ht="15.75" hidden="false" customHeight="false" outlineLevel="0" collapsed="false">
      <c r="A367" s="7" t="str">
        <f aca="false">Scoring!DC374</f>
        <v/>
      </c>
      <c r="B367" s="7" t="str">
        <f aca="false">Scoring!DB374</f>
        <v/>
      </c>
      <c r="C367" s="7" t="n">
        <f aca="false">Scoring!C374</f>
        <v>0</v>
      </c>
      <c r="D367" s="191" t="str">
        <f aca="false">Scoring!CY374</f>
        <v/>
      </c>
      <c r="E367" s="7" t="str">
        <f aca="false">Scoring!BZ374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Scoring!DA374</f>
        <v/>
      </c>
      <c r="I367" s="192" t="str">
        <f aca="false">Scoring!CZ374</f>
        <v/>
      </c>
    </row>
    <row r="368" customFormat="false" ht="15.75" hidden="false" customHeight="false" outlineLevel="0" collapsed="false">
      <c r="A368" s="7" t="str">
        <f aca="false">Scoring!DC375</f>
        <v/>
      </c>
      <c r="B368" s="7" t="str">
        <f aca="false">Scoring!DB375</f>
        <v/>
      </c>
      <c r="C368" s="7" t="n">
        <f aca="false">Scoring!C375</f>
        <v>0</v>
      </c>
      <c r="D368" s="191" t="str">
        <f aca="false">Scoring!CY375</f>
        <v/>
      </c>
      <c r="E368" s="7" t="str">
        <f aca="false">Scoring!BZ375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Scoring!DA375</f>
        <v/>
      </c>
      <c r="I368" s="192" t="str">
        <f aca="false">Scoring!CZ375</f>
        <v/>
      </c>
    </row>
    <row r="369" customFormat="false" ht="15.75" hidden="false" customHeight="false" outlineLevel="0" collapsed="false">
      <c r="A369" s="7" t="str">
        <f aca="false">Scoring!DC376</f>
        <v/>
      </c>
      <c r="B369" s="7" t="str">
        <f aca="false">Scoring!DB376</f>
        <v/>
      </c>
      <c r="C369" s="7" t="n">
        <f aca="false">Scoring!C376</f>
        <v>0</v>
      </c>
      <c r="D369" s="191" t="str">
        <f aca="false">Scoring!CY376</f>
        <v/>
      </c>
      <c r="E369" s="7" t="str">
        <f aca="false">Scoring!BZ376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Scoring!DA376</f>
        <v/>
      </c>
      <c r="I369" s="192" t="str">
        <f aca="false">Scoring!CZ376</f>
        <v/>
      </c>
    </row>
    <row r="370" customFormat="false" ht="15.75" hidden="false" customHeight="false" outlineLevel="0" collapsed="false">
      <c r="A370" s="7" t="str">
        <f aca="false">Scoring!DC377</f>
        <v/>
      </c>
      <c r="B370" s="7" t="str">
        <f aca="false">Scoring!DB377</f>
        <v/>
      </c>
      <c r="C370" s="7" t="n">
        <f aca="false">Scoring!C377</f>
        <v>0</v>
      </c>
      <c r="D370" s="191" t="str">
        <f aca="false">Scoring!CY377</f>
        <v/>
      </c>
      <c r="E370" s="7" t="str">
        <f aca="false">Scoring!BZ377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Scoring!DA377</f>
        <v/>
      </c>
      <c r="I370" s="192" t="str">
        <f aca="false">Scoring!CZ377</f>
        <v/>
      </c>
    </row>
    <row r="371" customFormat="false" ht="15.75" hidden="false" customHeight="false" outlineLevel="0" collapsed="false">
      <c r="A371" s="7" t="str">
        <f aca="false">Scoring!DC378</f>
        <v/>
      </c>
      <c r="B371" s="7" t="str">
        <f aca="false">Scoring!DB378</f>
        <v/>
      </c>
      <c r="C371" s="7" t="n">
        <f aca="false">Scoring!C378</f>
        <v>0</v>
      </c>
      <c r="D371" s="191" t="str">
        <f aca="false">Scoring!CY378</f>
        <v/>
      </c>
      <c r="E371" s="7" t="str">
        <f aca="false">Scoring!BZ378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Scoring!DA378</f>
        <v/>
      </c>
      <c r="I371" s="192" t="str">
        <f aca="false">Scoring!CZ378</f>
        <v/>
      </c>
    </row>
    <row r="372" customFormat="false" ht="15.75" hidden="false" customHeight="false" outlineLevel="0" collapsed="false">
      <c r="A372" s="7" t="str">
        <f aca="false">Scoring!DC379</f>
        <v/>
      </c>
      <c r="B372" s="7" t="str">
        <f aca="false">Scoring!DB379</f>
        <v/>
      </c>
      <c r="C372" s="7" t="n">
        <f aca="false">Scoring!C379</f>
        <v>0</v>
      </c>
      <c r="D372" s="191" t="str">
        <f aca="false">Scoring!CY379</f>
        <v/>
      </c>
      <c r="E372" s="7" t="str">
        <f aca="false">Scoring!BZ379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Scoring!DA379</f>
        <v/>
      </c>
      <c r="I372" s="192" t="str">
        <f aca="false">Scoring!CZ379</f>
        <v/>
      </c>
    </row>
    <row r="373" customFormat="false" ht="15.75" hidden="false" customHeight="false" outlineLevel="0" collapsed="false">
      <c r="A373" s="7" t="str">
        <f aca="false">Scoring!DC380</f>
        <v/>
      </c>
      <c r="B373" s="7" t="str">
        <f aca="false">Scoring!DB380</f>
        <v/>
      </c>
      <c r="C373" s="7" t="n">
        <f aca="false">Scoring!C380</f>
        <v>0</v>
      </c>
      <c r="D373" s="191" t="str">
        <f aca="false">Scoring!CY380</f>
        <v/>
      </c>
      <c r="E373" s="7" t="str">
        <f aca="false">Scoring!BZ380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Scoring!DA380</f>
        <v/>
      </c>
      <c r="I373" s="192" t="str">
        <f aca="false">Scoring!CZ380</f>
        <v/>
      </c>
    </row>
    <row r="374" customFormat="false" ht="15.75" hidden="false" customHeight="false" outlineLevel="0" collapsed="false">
      <c r="A374" s="7" t="str">
        <f aca="false">Scoring!DC381</f>
        <v/>
      </c>
      <c r="B374" s="7" t="str">
        <f aca="false">Scoring!DB381</f>
        <v/>
      </c>
      <c r="C374" s="7" t="n">
        <f aca="false">Scoring!C381</f>
        <v>0</v>
      </c>
      <c r="D374" s="191" t="str">
        <f aca="false">Scoring!CY381</f>
        <v/>
      </c>
      <c r="E374" s="7" t="str">
        <f aca="false">Scoring!BZ381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Scoring!DA381</f>
        <v/>
      </c>
      <c r="I374" s="192" t="str">
        <f aca="false">Scoring!CZ381</f>
        <v/>
      </c>
    </row>
    <row r="375" customFormat="false" ht="15.75" hidden="false" customHeight="false" outlineLevel="0" collapsed="false">
      <c r="A375" s="7" t="str">
        <f aca="false">Scoring!DC382</f>
        <v/>
      </c>
      <c r="B375" s="7" t="str">
        <f aca="false">Scoring!DB382</f>
        <v/>
      </c>
      <c r="C375" s="7" t="n">
        <f aca="false">Scoring!C382</f>
        <v>0</v>
      </c>
      <c r="D375" s="191" t="str">
        <f aca="false">Scoring!CY382</f>
        <v/>
      </c>
      <c r="E375" s="7" t="str">
        <f aca="false">Scoring!BZ382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Scoring!DA382</f>
        <v/>
      </c>
      <c r="I375" s="192" t="str">
        <f aca="false">Scoring!CZ382</f>
        <v/>
      </c>
    </row>
    <row r="376" customFormat="false" ht="15.75" hidden="false" customHeight="false" outlineLevel="0" collapsed="false">
      <c r="A376" s="7" t="str">
        <f aca="false">Scoring!DC383</f>
        <v/>
      </c>
      <c r="B376" s="7" t="str">
        <f aca="false">Scoring!DB383</f>
        <v/>
      </c>
      <c r="C376" s="7" t="n">
        <f aca="false">Scoring!C383</f>
        <v>0</v>
      </c>
      <c r="D376" s="191" t="str">
        <f aca="false">Scoring!CY383</f>
        <v/>
      </c>
      <c r="E376" s="7" t="str">
        <f aca="false">Scoring!BZ383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Scoring!DA383</f>
        <v/>
      </c>
      <c r="I376" s="192" t="str">
        <f aca="false">Scoring!CZ383</f>
        <v/>
      </c>
    </row>
    <row r="377" customFormat="false" ht="15.75" hidden="false" customHeight="false" outlineLevel="0" collapsed="false">
      <c r="A377" s="7" t="str">
        <f aca="false">Scoring!DC384</f>
        <v/>
      </c>
      <c r="B377" s="7" t="str">
        <f aca="false">Scoring!DB384</f>
        <v/>
      </c>
      <c r="C377" s="7" t="n">
        <f aca="false">Scoring!C384</f>
        <v>0</v>
      </c>
      <c r="D377" s="191" t="str">
        <f aca="false">Scoring!CY384</f>
        <v/>
      </c>
      <c r="E377" s="7" t="str">
        <f aca="false">Scoring!BZ384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Scoring!DA384</f>
        <v/>
      </c>
      <c r="I377" s="192" t="str">
        <f aca="false">Scoring!CZ384</f>
        <v/>
      </c>
    </row>
    <row r="378" customFormat="false" ht="15.75" hidden="false" customHeight="false" outlineLevel="0" collapsed="false">
      <c r="A378" s="7" t="str">
        <f aca="false">Scoring!DC385</f>
        <v/>
      </c>
      <c r="B378" s="7" t="str">
        <f aca="false">Scoring!DB385</f>
        <v/>
      </c>
      <c r="C378" s="7" t="n">
        <f aca="false">Scoring!C385</f>
        <v>0</v>
      </c>
      <c r="D378" s="191" t="str">
        <f aca="false">Scoring!CY385</f>
        <v/>
      </c>
      <c r="E378" s="7" t="str">
        <f aca="false">Scoring!BZ385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Scoring!DA385</f>
        <v/>
      </c>
      <c r="I378" s="192" t="str">
        <f aca="false">Scoring!CZ385</f>
        <v/>
      </c>
    </row>
    <row r="379" customFormat="false" ht="15.75" hidden="false" customHeight="false" outlineLevel="0" collapsed="false">
      <c r="A379" s="7" t="str">
        <f aca="false">Scoring!DC386</f>
        <v/>
      </c>
      <c r="B379" s="7" t="str">
        <f aca="false">Scoring!DB386</f>
        <v/>
      </c>
      <c r="C379" s="7" t="n">
        <f aca="false">Scoring!C386</f>
        <v>0</v>
      </c>
      <c r="D379" s="191" t="str">
        <f aca="false">Scoring!CY386</f>
        <v/>
      </c>
      <c r="E379" s="7" t="str">
        <f aca="false">Scoring!BZ386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Scoring!DA386</f>
        <v/>
      </c>
      <c r="I379" s="192" t="str">
        <f aca="false">Scoring!CZ386</f>
        <v/>
      </c>
    </row>
    <row r="380" customFormat="false" ht="15.75" hidden="false" customHeight="false" outlineLevel="0" collapsed="false">
      <c r="A380" s="7" t="str">
        <f aca="false">Scoring!DC387</f>
        <v/>
      </c>
      <c r="B380" s="7" t="str">
        <f aca="false">Scoring!DB387</f>
        <v/>
      </c>
      <c r="C380" s="7" t="n">
        <f aca="false">Scoring!C387</f>
        <v>0</v>
      </c>
      <c r="D380" s="191" t="str">
        <f aca="false">Scoring!CY387</f>
        <v/>
      </c>
      <c r="E380" s="7" t="str">
        <f aca="false">Scoring!BZ387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Scoring!DA387</f>
        <v/>
      </c>
      <c r="I380" s="192" t="str">
        <f aca="false">Scoring!CZ387</f>
        <v/>
      </c>
    </row>
    <row r="381" customFormat="false" ht="15.75" hidden="false" customHeight="false" outlineLevel="0" collapsed="false">
      <c r="A381" s="7" t="str">
        <f aca="false">Scoring!DC388</f>
        <v/>
      </c>
      <c r="B381" s="7" t="str">
        <f aca="false">Scoring!DB388</f>
        <v/>
      </c>
      <c r="C381" s="7" t="n">
        <f aca="false">Scoring!C388</f>
        <v>0</v>
      </c>
      <c r="D381" s="191" t="str">
        <f aca="false">Scoring!CY388</f>
        <v/>
      </c>
      <c r="E381" s="7" t="str">
        <f aca="false">Scoring!BZ388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Scoring!DA388</f>
        <v/>
      </c>
      <c r="I381" s="192" t="str">
        <f aca="false">Scoring!CZ388</f>
        <v/>
      </c>
    </row>
    <row r="382" customFormat="false" ht="15.75" hidden="false" customHeight="false" outlineLevel="0" collapsed="false">
      <c r="A382" s="7" t="str">
        <f aca="false">Scoring!DC389</f>
        <v/>
      </c>
      <c r="B382" s="7" t="str">
        <f aca="false">Scoring!DB389</f>
        <v/>
      </c>
      <c r="C382" s="7" t="n">
        <f aca="false">Scoring!C389</f>
        <v>0</v>
      </c>
      <c r="D382" s="191" t="str">
        <f aca="false">Scoring!CY389</f>
        <v/>
      </c>
      <c r="E382" s="7" t="str">
        <f aca="false">Scoring!BZ389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Scoring!DA389</f>
        <v/>
      </c>
      <c r="I382" s="192" t="str">
        <f aca="false">Scoring!CZ389</f>
        <v/>
      </c>
    </row>
    <row r="383" customFormat="false" ht="15.75" hidden="false" customHeight="false" outlineLevel="0" collapsed="false">
      <c r="A383" s="7" t="str">
        <f aca="false">Scoring!DC390</f>
        <v/>
      </c>
      <c r="B383" s="7" t="str">
        <f aca="false">Scoring!DB390</f>
        <v/>
      </c>
      <c r="C383" s="7" t="n">
        <f aca="false">Scoring!C390</f>
        <v>0</v>
      </c>
      <c r="D383" s="191" t="str">
        <f aca="false">Scoring!CY390</f>
        <v/>
      </c>
      <c r="E383" s="7" t="str">
        <f aca="false">Scoring!BZ390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Scoring!DA390</f>
        <v/>
      </c>
      <c r="I383" s="192" t="str">
        <f aca="false">Scoring!CZ390</f>
        <v/>
      </c>
    </row>
    <row r="384" customFormat="false" ht="15.75" hidden="false" customHeight="false" outlineLevel="0" collapsed="false">
      <c r="A384" s="7" t="str">
        <f aca="false">Scoring!DC391</f>
        <v/>
      </c>
      <c r="B384" s="7" t="str">
        <f aca="false">Scoring!DB391</f>
        <v/>
      </c>
      <c r="C384" s="7" t="n">
        <f aca="false">Scoring!C391</f>
        <v>0</v>
      </c>
      <c r="D384" s="191" t="str">
        <f aca="false">Scoring!CY391</f>
        <v/>
      </c>
      <c r="E384" s="7" t="str">
        <f aca="false">Scoring!BZ391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Scoring!DA391</f>
        <v/>
      </c>
      <c r="I384" s="192" t="str">
        <f aca="false">Scoring!CZ391</f>
        <v/>
      </c>
    </row>
    <row r="385" customFormat="false" ht="15.75" hidden="false" customHeight="false" outlineLevel="0" collapsed="false">
      <c r="A385" s="7" t="str">
        <f aca="false">Scoring!DC392</f>
        <v/>
      </c>
      <c r="B385" s="7" t="str">
        <f aca="false">Scoring!DB392</f>
        <v/>
      </c>
      <c r="C385" s="7" t="n">
        <f aca="false">Scoring!C392</f>
        <v>0</v>
      </c>
      <c r="D385" s="191" t="str">
        <f aca="false">Scoring!CY392</f>
        <v/>
      </c>
      <c r="E385" s="7" t="str">
        <f aca="false">Scoring!BZ392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Scoring!DA392</f>
        <v/>
      </c>
      <c r="I385" s="192" t="str">
        <f aca="false">Scoring!CZ392</f>
        <v/>
      </c>
    </row>
    <row r="386" customFormat="false" ht="15.75" hidden="false" customHeight="false" outlineLevel="0" collapsed="false">
      <c r="A386" s="7" t="str">
        <f aca="false">Scoring!DC393</f>
        <v/>
      </c>
      <c r="B386" s="7" t="str">
        <f aca="false">Scoring!DB393</f>
        <v/>
      </c>
      <c r="C386" s="7" t="n">
        <f aca="false">Scoring!C393</f>
        <v>0</v>
      </c>
      <c r="D386" s="191" t="str">
        <f aca="false">Scoring!CY393</f>
        <v/>
      </c>
      <c r="E386" s="7" t="str">
        <f aca="false">Scoring!BZ393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Scoring!DA393</f>
        <v/>
      </c>
      <c r="I386" s="192" t="str">
        <f aca="false">Scoring!CZ393</f>
        <v/>
      </c>
    </row>
    <row r="387" customFormat="false" ht="15.75" hidden="false" customHeight="false" outlineLevel="0" collapsed="false">
      <c r="A387" s="7" t="str">
        <f aca="false">Scoring!DC394</f>
        <v/>
      </c>
      <c r="B387" s="7" t="str">
        <f aca="false">Scoring!DB394</f>
        <v/>
      </c>
      <c r="C387" s="7" t="n">
        <f aca="false">Scoring!C394</f>
        <v>0</v>
      </c>
      <c r="D387" s="191" t="str">
        <f aca="false">Scoring!CY394</f>
        <v/>
      </c>
      <c r="E387" s="7" t="str">
        <f aca="false">Scoring!BZ394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Scoring!DA394</f>
        <v/>
      </c>
      <c r="I387" s="192" t="str">
        <f aca="false">Scoring!CZ394</f>
        <v/>
      </c>
    </row>
    <row r="388" customFormat="false" ht="15.75" hidden="false" customHeight="false" outlineLevel="0" collapsed="false">
      <c r="A388" s="7" t="str">
        <f aca="false">Scoring!DC395</f>
        <v/>
      </c>
      <c r="B388" s="7" t="str">
        <f aca="false">Scoring!DB395</f>
        <v/>
      </c>
      <c r="C388" s="7" t="n">
        <f aca="false">Scoring!C395</f>
        <v>0</v>
      </c>
      <c r="D388" s="191" t="str">
        <f aca="false">Scoring!CY395</f>
        <v/>
      </c>
      <c r="E388" s="7" t="str">
        <f aca="false">Scoring!BZ395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Scoring!DA395</f>
        <v/>
      </c>
      <c r="I388" s="192" t="str">
        <f aca="false">Scoring!CZ395</f>
        <v/>
      </c>
    </row>
    <row r="389" customFormat="false" ht="15.75" hidden="false" customHeight="false" outlineLevel="0" collapsed="false">
      <c r="A389" s="7" t="str">
        <f aca="false">Scoring!DC396</f>
        <v/>
      </c>
      <c r="B389" s="7" t="str">
        <f aca="false">Scoring!DB396</f>
        <v/>
      </c>
      <c r="C389" s="7" t="n">
        <f aca="false">Scoring!C396</f>
        <v>0</v>
      </c>
      <c r="D389" s="191" t="str">
        <f aca="false">Scoring!CY396</f>
        <v/>
      </c>
      <c r="E389" s="7" t="str">
        <f aca="false">Scoring!BZ396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Scoring!DA396</f>
        <v/>
      </c>
      <c r="I389" s="192" t="str">
        <f aca="false">Scoring!CZ396</f>
        <v/>
      </c>
    </row>
    <row r="390" customFormat="false" ht="15.75" hidden="false" customHeight="false" outlineLevel="0" collapsed="false">
      <c r="A390" s="7" t="str">
        <f aca="false">Scoring!DC397</f>
        <v/>
      </c>
      <c r="B390" s="7" t="str">
        <f aca="false">Scoring!DB397</f>
        <v/>
      </c>
      <c r="C390" s="7" t="n">
        <f aca="false">Scoring!C397</f>
        <v>0</v>
      </c>
      <c r="D390" s="191" t="str">
        <f aca="false">Scoring!CY397</f>
        <v/>
      </c>
      <c r="E390" s="7" t="str">
        <f aca="false">Scoring!BZ397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Scoring!DA397</f>
        <v/>
      </c>
      <c r="I390" s="192" t="str">
        <f aca="false">Scoring!CZ397</f>
        <v/>
      </c>
    </row>
    <row r="391" customFormat="false" ht="15.75" hidden="false" customHeight="false" outlineLevel="0" collapsed="false">
      <c r="A391" s="7" t="str">
        <f aca="false">Scoring!DC398</f>
        <v/>
      </c>
      <c r="B391" s="7" t="str">
        <f aca="false">Scoring!DB398</f>
        <v/>
      </c>
      <c r="C391" s="7" t="n">
        <f aca="false">Scoring!C398</f>
        <v>0</v>
      </c>
      <c r="D391" s="191" t="str">
        <f aca="false">Scoring!CY398</f>
        <v/>
      </c>
      <c r="E391" s="7" t="str">
        <f aca="false">Scoring!BZ398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Scoring!DA398</f>
        <v/>
      </c>
      <c r="I391" s="192" t="str">
        <f aca="false">Scoring!CZ398</f>
        <v/>
      </c>
    </row>
    <row r="392" customFormat="false" ht="15.75" hidden="false" customHeight="false" outlineLevel="0" collapsed="false">
      <c r="A392" s="7" t="str">
        <f aca="false">Scoring!DC399</f>
        <v/>
      </c>
      <c r="B392" s="7" t="str">
        <f aca="false">Scoring!DB399</f>
        <v/>
      </c>
      <c r="C392" s="7" t="n">
        <f aca="false">Scoring!C399</f>
        <v>0</v>
      </c>
      <c r="D392" s="191" t="str">
        <f aca="false">Scoring!CY399</f>
        <v/>
      </c>
      <c r="E392" s="7" t="str">
        <f aca="false">Scoring!BZ399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Scoring!DA399</f>
        <v/>
      </c>
      <c r="I392" s="192" t="str">
        <f aca="false">Scoring!CZ399</f>
        <v/>
      </c>
    </row>
    <row r="393" customFormat="false" ht="15.75" hidden="false" customHeight="false" outlineLevel="0" collapsed="false">
      <c r="A393" s="7" t="str">
        <f aca="false">Scoring!DC400</f>
        <v/>
      </c>
      <c r="B393" s="7" t="str">
        <f aca="false">Scoring!DB400</f>
        <v/>
      </c>
      <c r="C393" s="7" t="n">
        <f aca="false">Scoring!C400</f>
        <v>0</v>
      </c>
      <c r="D393" s="191" t="str">
        <f aca="false">Scoring!CY400</f>
        <v/>
      </c>
      <c r="E393" s="7" t="str">
        <f aca="false">Scoring!BZ400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Scoring!DA400</f>
        <v/>
      </c>
      <c r="I393" s="192" t="str">
        <f aca="false">Scoring!CZ400</f>
        <v/>
      </c>
    </row>
    <row r="394" customFormat="false" ht="15.75" hidden="false" customHeight="false" outlineLevel="0" collapsed="false">
      <c r="A394" s="7" t="str">
        <f aca="false">Scoring!DC401</f>
        <v/>
      </c>
      <c r="B394" s="7" t="str">
        <f aca="false">Scoring!DB401</f>
        <v/>
      </c>
      <c r="C394" s="7" t="n">
        <f aca="false">Scoring!C401</f>
        <v>0</v>
      </c>
      <c r="D394" s="191" t="str">
        <f aca="false">Scoring!CY401</f>
        <v/>
      </c>
      <c r="E394" s="7" t="str">
        <f aca="false">Scoring!BZ401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Scoring!DA401</f>
        <v/>
      </c>
      <c r="I394" s="192" t="str">
        <f aca="false">Scoring!CZ401</f>
        <v/>
      </c>
    </row>
    <row r="395" customFormat="false" ht="15.75" hidden="false" customHeight="false" outlineLevel="0" collapsed="false">
      <c r="A395" s="7" t="str">
        <f aca="false">Scoring!DC402</f>
        <v/>
      </c>
      <c r="B395" s="7" t="str">
        <f aca="false">Scoring!DB402</f>
        <v/>
      </c>
      <c r="C395" s="7" t="n">
        <f aca="false">Scoring!C402</f>
        <v>0</v>
      </c>
      <c r="D395" s="191" t="str">
        <f aca="false">Scoring!CY402</f>
        <v/>
      </c>
      <c r="E395" s="7" t="str">
        <f aca="false">Scoring!BZ402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Scoring!DA402</f>
        <v/>
      </c>
      <c r="I395" s="192" t="str">
        <f aca="false">Scoring!CZ402</f>
        <v/>
      </c>
    </row>
    <row r="396" customFormat="false" ht="15.75" hidden="false" customHeight="false" outlineLevel="0" collapsed="false">
      <c r="A396" s="7" t="str">
        <f aca="false">Scoring!DC403</f>
        <v/>
      </c>
      <c r="B396" s="7" t="str">
        <f aca="false">Scoring!DB403</f>
        <v/>
      </c>
      <c r="C396" s="7" t="n">
        <f aca="false">Scoring!C403</f>
        <v>0</v>
      </c>
      <c r="D396" s="191" t="str">
        <f aca="false">Scoring!CY403</f>
        <v/>
      </c>
      <c r="E396" s="7" t="str">
        <f aca="false">Scoring!BZ403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Scoring!DA403</f>
        <v/>
      </c>
      <c r="I396" s="192" t="str">
        <f aca="false">Scoring!CZ403</f>
        <v/>
      </c>
    </row>
    <row r="397" customFormat="false" ht="15.75" hidden="false" customHeight="false" outlineLevel="0" collapsed="false">
      <c r="A397" s="7" t="str">
        <f aca="false">Scoring!DC404</f>
        <v/>
      </c>
      <c r="B397" s="7" t="str">
        <f aca="false">Scoring!DB404</f>
        <v/>
      </c>
      <c r="C397" s="7" t="n">
        <f aca="false">Scoring!C404</f>
        <v>0</v>
      </c>
      <c r="D397" s="191" t="str">
        <f aca="false">Scoring!CY404</f>
        <v/>
      </c>
      <c r="E397" s="7" t="str">
        <f aca="false">Scoring!BZ404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Scoring!DA404</f>
        <v/>
      </c>
      <c r="I397" s="192" t="str">
        <f aca="false">Scoring!CZ404</f>
        <v/>
      </c>
    </row>
    <row r="398" customFormat="false" ht="15.75" hidden="false" customHeight="false" outlineLevel="0" collapsed="false">
      <c r="A398" s="7" t="str">
        <f aca="false">Scoring!DC405</f>
        <v/>
      </c>
      <c r="B398" s="7" t="str">
        <f aca="false">Scoring!DB405</f>
        <v/>
      </c>
      <c r="C398" s="7" t="n">
        <f aca="false">Scoring!C405</f>
        <v>0</v>
      </c>
      <c r="D398" s="191" t="str">
        <f aca="false">Scoring!CY405</f>
        <v/>
      </c>
      <c r="E398" s="7" t="str">
        <f aca="false">Scoring!BZ405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Scoring!DA405</f>
        <v/>
      </c>
      <c r="I398" s="192" t="str">
        <f aca="false">Scoring!CZ405</f>
        <v/>
      </c>
    </row>
    <row r="399" customFormat="false" ht="15.75" hidden="false" customHeight="false" outlineLevel="0" collapsed="false">
      <c r="A399" s="7" t="str">
        <f aca="false">Scoring!DC406</f>
        <v/>
      </c>
      <c r="B399" s="7" t="str">
        <f aca="false">Scoring!DB406</f>
        <v/>
      </c>
      <c r="C399" s="7" t="n">
        <f aca="false">Scoring!C406</f>
        <v>0</v>
      </c>
      <c r="D399" s="191" t="str">
        <f aca="false">Scoring!CY406</f>
        <v/>
      </c>
      <c r="E399" s="7" t="str">
        <f aca="false">Scoring!BZ406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Scoring!DA406</f>
        <v/>
      </c>
      <c r="I399" s="192" t="str">
        <f aca="false">Scoring!CZ406</f>
        <v/>
      </c>
    </row>
    <row r="400" customFormat="false" ht="15.75" hidden="false" customHeight="false" outlineLevel="0" collapsed="false">
      <c r="A400" s="7" t="str">
        <f aca="false">Scoring!DC407</f>
        <v/>
      </c>
      <c r="B400" s="7" t="str">
        <f aca="false">Scoring!DB407</f>
        <v/>
      </c>
      <c r="C400" s="7" t="n">
        <f aca="false">Scoring!C407</f>
        <v>0</v>
      </c>
      <c r="D400" s="191" t="str">
        <f aca="false">Scoring!CY407</f>
        <v/>
      </c>
      <c r="E400" s="7" t="str">
        <f aca="false">Scoring!BZ407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Scoring!DA407</f>
        <v/>
      </c>
      <c r="I400" s="192" t="str">
        <f aca="false">Scoring!CZ407</f>
        <v/>
      </c>
    </row>
    <row r="401" customFormat="false" ht="15.75" hidden="false" customHeight="false" outlineLevel="0" collapsed="false">
      <c r="A401" s="7" t="str">
        <f aca="false">Scoring!DC408</f>
        <v/>
      </c>
      <c r="B401" s="7" t="str">
        <f aca="false">Scoring!DB408</f>
        <v/>
      </c>
      <c r="C401" s="7" t="n">
        <f aca="false">Scoring!C408</f>
        <v>0</v>
      </c>
      <c r="D401" s="191" t="str">
        <f aca="false">Scoring!CY408</f>
        <v/>
      </c>
      <c r="E401" s="7" t="str">
        <f aca="false">Scoring!BZ408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Scoring!DA408</f>
        <v/>
      </c>
      <c r="I401" s="192" t="str">
        <f aca="false">Scoring!CZ408</f>
        <v/>
      </c>
    </row>
    <row r="402" customFormat="false" ht="15.75" hidden="false" customHeight="false" outlineLevel="0" collapsed="false">
      <c r="A402" s="7" t="str">
        <f aca="false">Scoring!DC409</f>
        <v/>
      </c>
      <c r="B402" s="7" t="str">
        <f aca="false">Scoring!DB409</f>
        <v/>
      </c>
      <c r="C402" s="7" t="n">
        <f aca="false">Scoring!C409</f>
        <v>0</v>
      </c>
      <c r="D402" s="191" t="str">
        <f aca="false">Scoring!CY409</f>
        <v/>
      </c>
      <c r="E402" s="7" t="str">
        <f aca="false">Scoring!BZ409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Scoring!DA409</f>
        <v/>
      </c>
      <c r="I402" s="192" t="str">
        <f aca="false">Scoring!CZ409</f>
        <v/>
      </c>
    </row>
    <row r="403" customFormat="false" ht="15.75" hidden="false" customHeight="false" outlineLevel="0" collapsed="false">
      <c r="A403" s="7" t="str">
        <f aca="false">Scoring!DC410</f>
        <v/>
      </c>
      <c r="B403" s="7" t="str">
        <f aca="false">Scoring!DB410</f>
        <v/>
      </c>
      <c r="C403" s="7" t="n">
        <f aca="false">Scoring!C410</f>
        <v>0</v>
      </c>
      <c r="D403" s="191" t="str">
        <f aca="false">Scoring!CY410</f>
        <v/>
      </c>
      <c r="E403" s="7" t="str">
        <f aca="false">Scoring!BZ410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Scoring!DA410</f>
        <v/>
      </c>
      <c r="I403" s="192" t="str">
        <f aca="false">Scoring!CZ410</f>
        <v/>
      </c>
    </row>
    <row r="404" customFormat="false" ht="15.75" hidden="false" customHeight="false" outlineLevel="0" collapsed="false">
      <c r="A404" s="7" t="str">
        <f aca="false">Scoring!DC411</f>
        <v/>
      </c>
      <c r="B404" s="7" t="str">
        <f aca="false">Scoring!DB411</f>
        <v/>
      </c>
      <c r="C404" s="7" t="n">
        <f aca="false">Scoring!C411</f>
        <v>0</v>
      </c>
      <c r="D404" s="191" t="str">
        <f aca="false">Scoring!CY411</f>
        <v/>
      </c>
      <c r="E404" s="7" t="str">
        <f aca="false">Scoring!BZ411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Scoring!DA411</f>
        <v/>
      </c>
      <c r="I404" s="192" t="str">
        <f aca="false">Scoring!CZ411</f>
        <v/>
      </c>
    </row>
    <row r="405" customFormat="false" ht="15.75" hidden="false" customHeight="false" outlineLevel="0" collapsed="false">
      <c r="A405" s="7" t="str">
        <f aca="false">Scoring!DC412</f>
        <v/>
      </c>
      <c r="B405" s="7" t="str">
        <f aca="false">Scoring!DB412</f>
        <v/>
      </c>
      <c r="C405" s="7" t="n">
        <f aca="false">Scoring!C412</f>
        <v>0</v>
      </c>
      <c r="D405" s="191" t="str">
        <f aca="false">Scoring!CY412</f>
        <v/>
      </c>
      <c r="E405" s="7" t="str">
        <f aca="false">Scoring!BZ412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Scoring!DA412</f>
        <v/>
      </c>
      <c r="I405" s="192" t="str">
        <f aca="false">Scoring!CZ412</f>
        <v/>
      </c>
    </row>
    <row r="406" customFormat="false" ht="15.75" hidden="false" customHeight="false" outlineLevel="0" collapsed="false">
      <c r="A406" s="7" t="str">
        <f aca="false">Scoring!DC413</f>
        <v/>
      </c>
      <c r="B406" s="7" t="str">
        <f aca="false">Scoring!DB413</f>
        <v/>
      </c>
      <c r="C406" s="7" t="n">
        <f aca="false">Scoring!C413</f>
        <v>0</v>
      </c>
      <c r="D406" s="191" t="str">
        <f aca="false">Scoring!CY413</f>
        <v/>
      </c>
      <c r="E406" s="7" t="str">
        <f aca="false">Scoring!BZ413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Scoring!DA413</f>
        <v/>
      </c>
      <c r="I406" s="192" t="str">
        <f aca="false">Scoring!CZ413</f>
        <v/>
      </c>
    </row>
    <row r="407" customFormat="false" ht="15.75" hidden="false" customHeight="false" outlineLevel="0" collapsed="false">
      <c r="A407" s="7" t="str">
        <f aca="false">Scoring!DC414</f>
        <v/>
      </c>
      <c r="B407" s="7" t="str">
        <f aca="false">Scoring!DB414</f>
        <v/>
      </c>
      <c r="C407" s="7" t="n">
        <f aca="false">Scoring!C414</f>
        <v>0</v>
      </c>
      <c r="D407" s="191" t="str">
        <f aca="false">Scoring!CY414</f>
        <v/>
      </c>
      <c r="E407" s="7" t="str">
        <f aca="false">Scoring!BZ414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Scoring!DA414</f>
        <v/>
      </c>
      <c r="I407" s="192" t="str">
        <f aca="false">Scoring!CZ414</f>
        <v/>
      </c>
    </row>
    <row r="408" customFormat="false" ht="15.75" hidden="false" customHeight="false" outlineLevel="0" collapsed="false">
      <c r="A408" s="7" t="str">
        <f aca="false">Scoring!DC415</f>
        <v/>
      </c>
      <c r="B408" s="7" t="str">
        <f aca="false">Scoring!DB415</f>
        <v/>
      </c>
      <c r="C408" s="7" t="n">
        <f aca="false">Scoring!C415</f>
        <v>0</v>
      </c>
      <c r="D408" s="191" t="str">
        <f aca="false">Scoring!CY415</f>
        <v/>
      </c>
      <c r="E408" s="7" t="str">
        <f aca="false">Scoring!BZ415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Scoring!DA415</f>
        <v/>
      </c>
      <c r="I408" s="192" t="str">
        <f aca="false">Scoring!CZ415</f>
        <v/>
      </c>
    </row>
    <row r="409" customFormat="false" ht="15.75" hidden="false" customHeight="false" outlineLevel="0" collapsed="false">
      <c r="A409" s="7" t="str">
        <f aca="false">Scoring!DC416</f>
        <v/>
      </c>
      <c r="B409" s="7" t="str">
        <f aca="false">Scoring!DB416</f>
        <v/>
      </c>
      <c r="C409" s="7" t="n">
        <f aca="false">Scoring!C416</f>
        <v>0</v>
      </c>
      <c r="D409" s="191" t="str">
        <f aca="false">Scoring!CY416</f>
        <v/>
      </c>
      <c r="E409" s="7" t="str">
        <f aca="false">Scoring!BZ416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Scoring!DA416</f>
        <v/>
      </c>
      <c r="I409" s="192" t="str">
        <f aca="false">Scoring!CZ416</f>
        <v/>
      </c>
    </row>
    <row r="410" customFormat="false" ht="15.75" hidden="false" customHeight="false" outlineLevel="0" collapsed="false">
      <c r="A410" s="7" t="str">
        <f aca="false">Scoring!DC417</f>
        <v/>
      </c>
      <c r="B410" s="7" t="str">
        <f aca="false">Scoring!DB417</f>
        <v/>
      </c>
      <c r="C410" s="7" t="n">
        <f aca="false">Scoring!C417</f>
        <v>0</v>
      </c>
      <c r="D410" s="191" t="str">
        <f aca="false">Scoring!CY417</f>
        <v/>
      </c>
      <c r="E410" s="7" t="str">
        <f aca="false">Scoring!BZ417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Scoring!DA417</f>
        <v/>
      </c>
      <c r="I410" s="192" t="str">
        <f aca="false">Scoring!CZ417</f>
        <v/>
      </c>
    </row>
    <row r="411" customFormat="false" ht="15.75" hidden="false" customHeight="false" outlineLevel="0" collapsed="false">
      <c r="A411" s="7" t="str">
        <f aca="false">Scoring!DC418</f>
        <v/>
      </c>
      <c r="B411" s="7" t="str">
        <f aca="false">Scoring!DB418</f>
        <v/>
      </c>
      <c r="C411" s="7" t="n">
        <f aca="false">Scoring!C418</f>
        <v>0</v>
      </c>
      <c r="D411" s="191" t="str">
        <f aca="false">Scoring!CY418</f>
        <v/>
      </c>
      <c r="E411" s="7" t="str">
        <f aca="false">Scoring!BZ418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Scoring!DA418</f>
        <v/>
      </c>
      <c r="I411" s="192" t="str">
        <f aca="false">Scoring!CZ418</f>
        <v/>
      </c>
    </row>
    <row r="412" customFormat="false" ht="15.75" hidden="false" customHeight="false" outlineLevel="0" collapsed="false">
      <c r="A412" s="7" t="str">
        <f aca="false">Scoring!DC419</f>
        <v/>
      </c>
      <c r="B412" s="7" t="str">
        <f aca="false">Scoring!DB419</f>
        <v/>
      </c>
      <c r="C412" s="7" t="n">
        <f aca="false">Scoring!C419</f>
        <v>0</v>
      </c>
      <c r="D412" s="191" t="str">
        <f aca="false">Scoring!CY419</f>
        <v/>
      </c>
      <c r="E412" s="7" t="str">
        <f aca="false">Scoring!BZ419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Scoring!DA419</f>
        <v/>
      </c>
      <c r="I412" s="192" t="str">
        <f aca="false">Scoring!CZ419</f>
        <v/>
      </c>
    </row>
    <row r="413" customFormat="false" ht="15.75" hidden="false" customHeight="false" outlineLevel="0" collapsed="false">
      <c r="A413" s="7" t="str">
        <f aca="false">Scoring!DC420</f>
        <v/>
      </c>
      <c r="B413" s="7" t="str">
        <f aca="false">Scoring!DB420</f>
        <v/>
      </c>
      <c r="C413" s="7" t="n">
        <f aca="false">Scoring!C420</f>
        <v>0</v>
      </c>
      <c r="D413" s="191" t="str">
        <f aca="false">Scoring!CY420</f>
        <v/>
      </c>
      <c r="E413" s="7" t="str">
        <f aca="false">Scoring!BZ420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Scoring!DA420</f>
        <v/>
      </c>
      <c r="I413" s="192" t="str">
        <f aca="false">Scoring!CZ420</f>
        <v/>
      </c>
    </row>
    <row r="414" customFormat="false" ht="15.75" hidden="false" customHeight="false" outlineLevel="0" collapsed="false">
      <c r="A414" s="7" t="str">
        <f aca="false">Scoring!DC421</f>
        <v/>
      </c>
      <c r="B414" s="7" t="str">
        <f aca="false">Scoring!DB421</f>
        <v/>
      </c>
      <c r="C414" s="7" t="n">
        <f aca="false">Scoring!C421</f>
        <v>0</v>
      </c>
      <c r="D414" s="191" t="str">
        <f aca="false">Scoring!CY421</f>
        <v/>
      </c>
      <c r="E414" s="7" t="str">
        <f aca="false">Scoring!BZ421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Scoring!DA421</f>
        <v/>
      </c>
      <c r="I414" s="192" t="str">
        <f aca="false">Scoring!CZ421</f>
        <v/>
      </c>
    </row>
    <row r="415" customFormat="false" ht="15.75" hidden="false" customHeight="false" outlineLevel="0" collapsed="false">
      <c r="A415" s="7" t="str">
        <f aca="false">Scoring!DC422</f>
        <v/>
      </c>
      <c r="B415" s="7" t="str">
        <f aca="false">Scoring!DB422</f>
        <v/>
      </c>
      <c r="C415" s="7" t="n">
        <f aca="false">Scoring!C422</f>
        <v>0</v>
      </c>
      <c r="D415" s="191" t="str">
        <f aca="false">Scoring!CY422</f>
        <v/>
      </c>
      <c r="E415" s="7" t="str">
        <f aca="false">Scoring!BZ422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Scoring!DA422</f>
        <v/>
      </c>
      <c r="I415" s="192" t="str">
        <f aca="false">Scoring!CZ422</f>
        <v/>
      </c>
    </row>
    <row r="416" customFormat="false" ht="15.75" hidden="false" customHeight="false" outlineLevel="0" collapsed="false">
      <c r="A416" s="7" t="str">
        <f aca="false">Scoring!DC423</f>
        <v/>
      </c>
      <c r="B416" s="7" t="str">
        <f aca="false">Scoring!DB423</f>
        <v/>
      </c>
      <c r="C416" s="7" t="n">
        <f aca="false">Scoring!C423</f>
        <v>0</v>
      </c>
      <c r="D416" s="191" t="str">
        <f aca="false">Scoring!CY423</f>
        <v/>
      </c>
      <c r="E416" s="7" t="str">
        <f aca="false">Scoring!BZ423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Scoring!DA423</f>
        <v/>
      </c>
      <c r="I416" s="192" t="str">
        <f aca="false">Scoring!CZ423</f>
        <v/>
      </c>
    </row>
    <row r="417" customFormat="false" ht="15.75" hidden="false" customHeight="false" outlineLevel="0" collapsed="false">
      <c r="A417" s="7" t="str">
        <f aca="false">Scoring!DC424</f>
        <v/>
      </c>
      <c r="B417" s="7" t="str">
        <f aca="false">Scoring!DB424</f>
        <v/>
      </c>
      <c r="C417" s="7" t="n">
        <f aca="false">Scoring!C424</f>
        <v>0</v>
      </c>
      <c r="D417" s="191" t="str">
        <f aca="false">Scoring!CY424</f>
        <v/>
      </c>
      <c r="E417" s="7" t="str">
        <f aca="false">Scoring!BZ424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Scoring!DA424</f>
        <v/>
      </c>
      <c r="I417" s="192" t="str">
        <f aca="false">Scoring!CZ424</f>
        <v/>
      </c>
    </row>
    <row r="418" customFormat="false" ht="15.75" hidden="false" customHeight="false" outlineLevel="0" collapsed="false">
      <c r="A418" s="7" t="str">
        <f aca="false">Scoring!DC425</f>
        <v/>
      </c>
      <c r="B418" s="7" t="str">
        <f aca="false">Scoring!DB425</f>
        <v/>
      </c>
      <c r="C418" s="7" t="n">
        <f aca="false">Scoring!C425</f>
        <v>0</v>
      </c>
      <c r="D418" s="191" t="str">
        <f aca="false">Scoring!CY425</f>
        <v/>
      </c>
      <c r="E418" s="7" t="str">
        <f aca="false">Scoring!BZ425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Scoring!DA425</f>
        <v/>
      </c>
      <c r="I418" s="192" t="str">
        <f aca="false">Scoring!CZ425</f>
        <v/>
      </c>
    </row>
    <row r="419" customFormat="false" ht="15.75" hidden="false" customHeight="false" outlineLevel="0" collapsed="false">
      <c r="A419" s="7" t="str">
        <f aca="false">Scoring!DC426</f>
        <v/>
      </c>
      <c r="B419" s="7" t="str">
        <f aca="false">Scoring!DB426</f>
        <v/>
      </c>
      <c r="C419" s="7" t="n">
        <f aca="false">Scoring!C426</f>
        <v>0</v>
      </c>
      <c r="D419" s="191" t="str">
        <f aca="false">Scoring!CY426</f>
        <v/>
      </c>
      <c r="E419" s="7" t="str">
        <f aca="false">Scoring!BZ426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Scoring!DA426</f>
        <v/>
      </c>
      <c r="I419" s="192" t="str">
        <f aca="false">Scoring!CZ426</f>
        <v/>
      </c>
    </row>
    <row r="420" customFormat="false" ht="15.75" hidden="false" customHeight="false" outlineLevel="0" collapsed="false">
      <c r="A420" s="7" t="str">
        <f aca="false">Scoring!DC427</f>
        <v/>
      </c>
      <c r="B420" s="7" t="str">
        <f aca="false">Scoring!DB427</f>
        <v/>
      </c>
      <c r="C420" s="7" t="n">
        <f aca="false">Scoring!C427</f>
        <v>0</v>
      </c>
      <c r="D420" s="191" t="str">
        <f aca="false">Scoring!CY427</f>
        <v/>
      </c>
      <c r="E420" s="7" t="str">
        <f aca="false">Scoring!BZ427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Scoring!DA427</f>
        <v/>
      </c>
      <c r="I420" s="192" t="str">
        <f aca="false">Scoring!CZ427</f>
        <v/>
      </c>
    </row>
    <row r="421" customFormat="false" ht="15.75" hidden="false" customHeight="false" outlineLevel="0" collapsed="false">
      <c r="A421" s="7" t="str">
        <f aca="false">Scoring!DC428</f>
        <v/>
      </c>
      <c r="B421" s="7" t="str">
        <f aca="false">Scoring!DB428</f>
        <v/>
      </c>
      <c r="C421" s="7" t="n">
        <f aca="false">Scoring!C428</f>
        <v>0</v>
      </c>
      <c r="D421" s="191" t="str">
        <f aca="false">Scoring!CY428</f>
        <v/>
      </c>
      <c r="E421" s="7" t="str">
        <f aca="false">Scoring!BZ428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Scoring!DA428</f>
        <v/>
      </c>
      <c r="I421" s="192" t="str">
        <f aca="false">Scoring!CZ428</f>
        <v/>
      </c>
    </row>
    <row r="422" customFormat="false" ht="15.75" hidden="false" customHeight="false" outlineLevel="0" collapsed="false">
      <c r="A422" s="7" t="str">
        <f aca="false">Scoring!DC429</f>
        <v/>
      </c>
      <c r="B422" s="7" t="str">
        <f aca="false">Scoring!DB429</f>
        <v/>
      </c>
      <c r="C422" s="7" t="n">
        <f aca="false">Scoring!C429</f>
        <v>0</v>
      </c>
      <c r="D422" s="191" t="str">
        <f aca="false">Scoring!CY429</f>
        <v/>
      </c>
      <c r="E422" s="7" t="str">
        <f aca="false">Scoring!BZ429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Scoring!DA429</f>
        <v/>
      </c>
      <c r="I422" s="192" t="str">
        <f aca="false">Scoring!CZ429</f>
        <v/>
      </c>
    </row>
    <row r="423" customFormat="false" ht="15.75" hidden="false" customHeight="false" outlineLevel="0" collapsed="false">
      <c r="A423" s="7" t="str">
        <f aca="false">Scoring!DC430</f>
        <v/>
      </c>
      <c r="B423" s="7" t="str">
        <f aca="false">Scoring!DB430</f>
        <v/>
      </c>
      <c r="C423" s="7" t="n">
        <f aca="false">Scoring!C430</f>
        <v>0</v>
      </c>
      <c r="D423" s="191" t="str">
        <f aca="false">Scoring!CY430</f>
        <v/>
      </c>
      <c r="E423" s="7" t="str">
        <f aca="false">Scoring!BZ430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Scoring!DA430</f>
        <v/>
      </c>
      <c r="I423" s="192" t="str">
        <f aca="false">Scoring!CZ430</f>
        <v/>
      </c>
    </row>
    <row r="424" customFormat="false" ht="15.75" hidden="false" customHeight="false" outlineLevel="0" collapsed="false">
      <c r="A424" s="7" t="str">
        <f aca="false">Scoring!DC431</f>
        <v/>
      </c>
      <c r="B424" s="7" t="str">
        <f aca="false">Scoring!DB431</f>
        <v/>
      </c>
      <c r="C424" s="7" t="n">
        <f aca="false">Scoring!C431</f>
        <v>0</v>
      </c>
      <c r="D424" s="191" t="str">
        <f aca="false">Scoring!CY431</f>
        <v/>
      </c>
      <c r="E424" s="7" t="str">
        <f aca="false">Scoring!BZ431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Scoring!DA431</f>
        <v/>
      </c>
      <c r="I424" s="192" t="str">
        <f aca="false">Scoring!CZ431</f>
        <v/>
      </c>
    </row>
    <row r="425" customFormat="false" ht="15.75" hidden="false" customHeight="false" outlineLevel="0" collapsed="false">
      <c r="A425" s="7" t="str">
        <f aca="false">Scoring!DC432</f>
        <v/>
      </c>
      <c r="B425" s="7" t="str">
        <f aca="false">Scoring!DB432</f>
        <v/>
      </c>
      <c r="C425" s="7" t="n">
        <f aca="false">Scoring!C432</f>
        <v>0</v>
      </c>
      <c r="D425" s="191" t="str">
        <f aca="false">Scoring!CY432</f>
        <v/>
      </c>
      <c r="E425" s="7" t="str">
        <f aca="false">Scoring!BZ432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Scoring!DA432</f>
        <v/>
      </c>
      <c r="I425" s="192" t="str">
        <f aca="false">Scoring!CZ432</f>
        <v/>
      </c>
    </row>
    <row r="426" customFormat="false" ht="15.75" hidden="false" customHeight="false" outlineLevel="0" collapsed="false">
      <c r="A426" s="7" t="str">
        <f aca="false">Scoring!DC433</f>
        <v/>
      </c>
      <c r="B426" s="7" t="str">
        <f aca="false">Scoring!DB433</f>
        <v/>
      </c>
      <c r="C426" s="7" t="n">
        <f aca="false">Scoring!C433</f>
        <v>0</v>
      </c>
      <c r="D426" s="191" t="str">
        <f aca="false">Scoring!CY433</f>
        <v/>
      </c>
      <c r="E426" s="7" t="str">
        <f aca="false">Scoring!BZ433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Scoring!DA433</f>
        <v/>
      </c>
      <c r="I426" s="192" t="str">
        <f aca="false">Scoring!CZ433</f>
        <v/>
      </c>
    </row>
    <row r="427" customFormat="false" ht="15.75" hidden="false" customHeight="false" outlineLevel="0" collapsed="false">
      <c r="A427" s="7" t="str">
        <f aca="false">Scoring!DC434</f>
        <v/>
      </c>
      <c r="B427" s="7" t="str">
        <f aca="false">Scoring!DB434</f>
        <v/>
      </c>
      <c r="C427" s="7" t="n">
        <f aca="false">Scoring!C434</f>
        <v>0</v>
      </c>
      <c r="D427" s="191" t="str">
        <f aca="false">Scoring!CY434</f>
        <v/>
      </c>
      <c r="E427" s="7" t="str">
        <f aca="false">Scoring!BZ434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Scoring!DA434</f>
        <v/>
      </c>
      <c r="I427" s="192" t="str">
        <f aca="false">Scoring!CZ434</f>
        <v/>
      </c>
    </row>
    <row r="428" customFormat="false" ht="15.75" hidden="false" customHeight="false" outlineLevel="0" collapsed="false">
      <c r="A428" s="7" t="str">
        <f aca="false">Scoring!DC435</f>
        <v/>
      </c>
      <c r="B428" s="7" t="str">
        <f aca="false">Scoring!DB435</f>
        <v/>
      </c>
      <c r="C428" s="7" t="n">
        <f aca="false">Scoring!C435</f>
        <v>0</v>
      </c>
      <c r="D428" s="191" t="str">
        <f aca="false">Scoring!CY435</f>
        <v/>
      </c>
      <c r="E428" s="7" t="str">
        <f aca="false">Scoring!BZ435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Scoring!DA435</f>
        <v/>
      </c>
      <c r="I428" s="192" t="str">
        <f aca="false">Scoring!CZ435</f>
        <v/>
      </c>
    </row>
    <row r="429" customFormat="false" ht="15.75" hidden="false" customHeight="false" outlineLevel="0" collapsed="false">
      <c r="A429" s="7" t="str">
        <f aca="false">Scoring!DC436</f>
        <v/>
      </c>
      <c r="B429" s="7" t="str">
        <f aca="false">Scoring!DB436</f>
        <v/>
      </c>
      <c r="C429" s="7" t="n">
        <f aca="false">Scoring!C436</f>
        <v>0</v>
      </c>
      <c r="D429" s="191" t="str">
        <f aca="false">Scoring!CY436</f>
        <v/>
      </c>
      <c r="E429" s="7" t="str">
        <f aca="false">Scoring!BZ436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Scoring!DA436</f>
        <v/>
      </c>
      <c r="I429" s="192" t="str">
        <f aca="false">Scoring!CZ436</f>
        <v/>
      </c>
    </row>
    <row r="430" customFormat="false" ht="15.75" hidden="false" customHeight="false" outlineLevel="0" collapsed="false">
      <c r="A430" s="7" t="str">
        <f aca="false">Scoring!DC437</f>
        <v/>
      </c>
      <c r="B430" s="7" t="str">
        <f aca="false">Scoring!DB437</f>
        <v/>
      </c>
      <c r="C430" s="7" t="n">
        <f aca="false">Scoring!C437</f>
        <v>0</v>
      </c>
      <c r="D430" s="191" t="str">
        <f aca="false">Scoring!CY437</f>
        <v/>
      </c>
      <c r="E430" s="7" t="str">
        <f aca="false">Scoring!BZ437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Scoring!DA437</f>
        <v/>
      </c>
      <c r="I430" s="192" t="str">
        <f aca="false">Scoring!CZ437</f>
        <v/>
      </c>
    </row>
    <row r="431" customFormat="false" ht="15.75" hidden="false" customHeight="false" outlineLevel="0" collapsed="false">
      <c r="A431" s="7" t="str">
        <f aca="false">Scoring!DC438</f>
        <v/>
      </c>
      <c r="B431" s="7" t="str">
        <f aca="false">Scoring!DB438</f>
        <v/>
      </c>
      <c r="C431" s="7" t="n">
        <f aca="false">Scoring!C438</f>
        <v>0</v>
      </c>
      <c r="D431" s="191" t="str">
        <f aca="false">Scoring!CY438</f>
        <v/>
      </c>
      <c r="E431" s="7" t="str">
        <f aca="false">Scoring!BZ438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Scoring!DA438</f>
        <v/>
      </c>
      <c r="I431" s="192" t="str">
        <f aca="false">Scoring!CZ438</f>
        <v/>
      </c>
    </row>
    <row r="432" customFormat="false" ht="15.75" hidden="false" customHeight="false" outlineLevel="0" collapsed="false">
      <c r="A432" s="7" t="str">
        <f aca="false">Scoring!DC439</f>
        <v/>
      </c>
      <c r="B432" s="7" t="str">
        <f aca="false">Scoring!DB439</f>
        <v/>
      </c>
      <c r="C432" s="7" t="n">
        <f aca="false">Scoring!C439</f>
        <v>0</v>
      </c>
      <c r="D432" s="191" t="str">
        <f aca="false">Scoring!CY439</f>
        <v/>
      </c>
      <c r="E432" s="7" t="str">
        <f aca="false">Scoring!BZ439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Scoring!DA439</f>
        <v/>
      </c>
      <c r="I432" s="192" t="str">
        <f aca="false">Scoring!CZ439</f>
        <v/>
      </c>
    </row>
    <row r="433" customFormat="false" ht="15.75" hidden="false" customHeight="false" outlineLevel="0" collapsed="false">
      <c r="A433" s="7" t="str">
        <f aca="false">Scoring!DC440</f>
        <v/>
      </c>
      <c r="B433" s="7" t="str">
        <f aca="false">Scoring!DB440</f>
        <v/>
      </c>
      <c r="C433" s="7" t="n">
        <f aca="false">Scoring!C440</f>
        <v>0</v>
      </c>
      <c r="D433" s="191" t="str">
        <f aca="false">Scoring!CY440</f>
        <v/>
      </c>
      <c r="E433" s="7" t="str">
        <f aca="false">Scoring!BZ440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Scoring!DA440</f>
        <v/>
      </c>
      <c r="I433" s="192" t="str">
        <f aca="false">Scoring!CZ440</f>
        <v/>
      </c>
    </row>
    <row r="434" customFormat="false" ht="15.75" hidden="false" customHeight="false" outlineLevel="0" collapsed="false">
      <c r="A434" s="7" t="str">
        <f aca="false">Scoring!DC441</f>
        <v/>
      </c>
      <c r="B434" s="7" t="str">
        <f aca="false">Scoring!DB441</f>
        <v/>
      </c>
      <c r="C434" s="7" t="n">
        <f aca="false">Scoring!C441</f>
        <v>0</v>
      </c>
      <c r="D434" s="191" t="str">
        <f aca="false">Scoring!CY441</f>
        <v/>
      </c>
      <c r="E434" s="7" t="str">
        <f aca="false">Scoring!BZ441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Scoring!DA441</f>
        <v/>
      </c>
      <c r="I434" s="192" t="str">
        <f aca="false">Scoring!CZ441</f>
        <v/>
      </c>
    </row>
    <row r="435" customFormat="false" ht="15.75" hidden="false" customHeight="false" outlineLevel="0" collapsed="false">
      <c r="A435" s="7" t="str">
        <f aca="false">Scoring!DC442</f>
        <v/>
      </c>
      <c r="B435" s="7" t="str">
        <f aca="false">Scoring!DB442</f>
        <v/>
      </c>
      <c r="C435" s="7" t="n">
        <f aca="false">Scoring!C442</f>
        <v>0</v>
      </c>
      <c r="D435" s="191" t="str">
        <f aca="false">Scoring!CY442</f>
        <v/>
      </c>
      <c r="E435" s="7" t="str">
        <f aca="false">Scoring!BZ442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Scoring!DA442</f>
        <v/>
      </c>
      <c r="I435" s="192" t="str">
        <f aca="false">Scoring!CZ442</f>
        <v/>
      </c>
    </row>
    <row r="436" customFormat="false" ht="15.75" hidden="false" customHeight="false" outlineLevel="0" collapsed="false">
      <c r="A436" s="7" t="str">
        <f aca="false">Scoring!DC443</f>
        <v/>
      </c>
      <c r="B436" s="7" t="str">
        <f aca="false">Scoring!DB443</f>
        <v/>
      </c>
      <c r="C436" s="7" t="n">
        <f aca="false">Scoring!C443</f>
        <v>0</v>
      </c>
      <c r="D436" s="191" t="str">
        <f aca="false">Scoring!CY443</f>
        <v/>
      </c>
      <c r="E436" s="7" t="str">
        <f aca="false">Scoring!BZ443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Scoring!DA443</f>
        <v/>
      </c>
      <c r="I436" s="192" t="str">
        <f aca="false">Scoring!CZ443</f>
        <v/>
      </c>
    </row>
    <row r="437" customFormat="false" ht="15.75" hidden="false" customHeight="false" outlineLevel="0" collapsed="false">
      <c r="A437" s="7" t="str">
        <f aca="false">Scoring!DC444</f>
        <v/>
      </c>
      <c r="B437" s="7" t="str">
        <f aca="false">Scoring!DB444</f>
        <v/>
      </c>
      <c r="C437" s="7" t="n">
        <f aca="false">Scoring!C444</f>
        <v>0</v>
      </c>
      <c r="D437" s="191" t="str">
        <f aca="false">Scoring!CY444</f>
        <v/>
      </c>
      <c r="E437" s="7" t="str">
        <f aca="false">Scoring!BZ444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Scoring!DA444</f>
        <v/>
      </c>
      <c r="I437" s="192" t="str">
        <f aca="false">Scoring!CZ444</f>
        <v/>
      </c>
    </row>
    <row r="438" customFormat="false" ht="15.75" hidden="false" customHeight="false" outlineLevel="0" collapsed="false">
      <c r="A438" s="7" t="str">
        <f aca="false">Scoring!DC445</f>
        <v/>
      </c>
      <c r="B438" s="7" t="str">
        <f aca="false">Scoring!DB445</f>
        <v/>
      </c>
      <c r="C438" s="7" t="n">
        <f aca="false">Scoring!C445</f>
        <v>0</v>
      </c>
      <c r="D438" s="191" t="str">
        <f aca="false">Scoring!CY445</f>
        <v/>
      </c>
      <c r="E438" s="7" t="str">
        <f aca="false">Scoring!BZ445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Scoring!DA445</f>
        <v/>
      </c>
      <c r="I438" s="192" t="str">
        <f aca="false">Scoring!CZ445</f>
        <v/>
      </c>
    </row>
    <row r="439" customFormat="false" ht="15.75" hidden="false" customHeight="false" outlineLevel="0" collapsed="false">
      <c r="A439" s="7" t="str">
        <f aca="false">Scoring!DC446</f>
        <v/>
      </c>
      <c r="B439" s="7" t="str">
        <f aca="false">Scoring!DB446</f>
        <v/>
      </c>
      <c r="C439" s="7" t="n">
        <f aca="false">Scoring!C446</f>
        <v>0</v>
      </c>
      <c r="D439" s="191" t="str">
        <f aca="false">Scoring!CY446</f>
        <v/>
      </c>
      <c r="E439" s="7" t="str">
        <f aca="false">Scoring!BZ446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Scoring!DA446</f>
        <v/>
      </c>
      <c r="I439" s="192" t="str">
        <f aca="false">Scoring!CZ446</f>
        <v/>
      </c>
    </row>
    <row r="440" customFormat="false" ht="15.75" hidden="false" customHeight="false" outlineLevel="0" collapsed="false">
      <c r="A440" s="7" t="str">
        <f aca="false">Scoring!DC447</f>
        <v/>
      </c>
      <c r="B440" s="7" t="str">
        <f aca="false">Scoring!DB447</f>
        <v/>
      </c>
      <c r="C440" s="7" t="n">
        <f aca="false">Scoring!C447</f>
        <v>0</v>
      </c>
      <c r="D440" s="191" t="str">
        <f aca="false">Scoring!CY447</f>
        <v/>
      </c>
      <c r="E440" s="7" t="str">
        <f aca="false">Scoring!BZ447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Scoring!DA447</f>
        <v/>
      </c>
      <c r="I440" s="192" t="str">
        <f aca="false">Scoring!CZ447</f>
        <v/>
      </c>
    </row>
    <row r="441" customFormat="false" ht="15.75" hidden="false" customHeight="false" outlineLevel="0" collapsed="false">
      <c r="A441" s="7" t="str">
        <f aca="false">Scoring!DC448</f>
        <v/>
      </c>
      <c r="B441" s="7" t="str">
        <f aca="false">Scoring!DB448</f>
        <v/>
      </c>
      <c r="C441" s="7" t="n">
        <f aca="false">Scoring!C448</f>
        <v>0</v>
      </c>
      <c r="D441" s="191" t="str">
        <f aca="false">Scoring!CY448</f>
        <v/>
      </c>
      <c r="E441" s="7" t="str">
        <f aca="false">Scoring!BZ448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Scoring!DA448</f>
        <v/>
      </c>
      <c r="I441" s="192" t="str">
        <f aca="false">Scoring!CZ448</f>
        <v/>
      </c>
    </row>
    <row r="442" customFormat="false" ht="15.75" hidden="false" customHeight="false" outlineLevel="0" collapsed="false">
      <c r="A442" s="7" t="str">
        <f aca="false">Scoring!DC449</f>
        <v/>
      </c>
      <c r="B442" s="7" t="str">
        <f aca="false">Scoring!DB449</f>
        <v/>
      </c>
      <c r="C442" s="7" t="n">
        <f aca="false">Scoring!C449</f>
        <v>0</v>
      </c>
      <c r="D442" s="191" t="str">
        <f aca="false">Scoring!CY449</f>
        <v/>
      </c>
      <c r="E442" s="7" t="str">
        <f aca="false">Scoring!BZ449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Scoring!DA449</f>
        <v/>
      </c>
      <c r="I442" s="192" t="str">
        <f aca="false">Scoring!CZ449</f>
        <v/>
      </c>
    </row>
    <row r="443" customFormat="false" ht="15.75" hidden="false" customHeight="false" outlineLevel="0" collapsed="false">
      <c r="A443" s="7" t="str">
        <f aca="false">Scoring!DC450</f>
        <v/>
      </c>
      <c r="B443" s="7" t="str">
        <f aca="false">Scoring!DB450</f>
        <v/>
      </c>
      <c r="C443" s="7" t="n">
        <f aca="false">Scoring!C450</f>
        <v>0</v>
      </c>
      <c r="D443" s="191" t="str">
        <f aca="false">Scoring!CY450</f>
        <v/>
      </c>
      <c r="E443" s="7" t="str">
        <f aca="false">Scoring!BZ450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Scoring!DA450</f>
        <v/>
      </c>
      <c r="I443" s="192" t="str">
        <f aca="false">Scoring!CZ450</f>
        <v/>
      </c>
    </row>
    <row r="444" customFormat="false" ht="15.75" hidden="false" customHeight="false" outlineLevel="0" collapsed="false">
      <c r="A444" s="7" t="str">
        <f aca="false">Scoring!DC451</f>
        <v/>
      </c>
      <c r="B444" s="7" t="str">
        <f aca="false">Scoring!DB451</f>
        <v/>
      </c>
      <c r="C444" s="7" t="n">
        <f aca="false">Scoring!C451</f>
        <v>0</v>
      </c>
      <c r="D444" s="191" t="str">
        <f aca="false">Scoring!CY451</f>
        <v/>
      </c>
      <c r="E444" s="7" t="str">
        <f aca="false">Scoring!BZ451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Scoring!DA451</f>
        <v/>
      </c>
      <c r="I444" s="192" t="str">
        <f aca="false">Scoring!CZ451</f>
        <v/>
      </c>
    </row>
    <row r="445" customFormat="false" ht="15.75" hidden="false" customHeight="false" outlineLevel="0" collapsed="false">
      <c r="A445" s="7" t="str">
        <f aca="false">Scoring!DC452</f>
        <v/>
      </c>
      <c r="B445" s="7" t="str">
        <f aca="false">Scoring!DB452</f>
        <v/>
      </c>
      <c r="C445" s="7" t="n">
        <f aca="false">Scoring!C452</f>
        <v>0</v>
      </c>
      <c r="D445" s="191" t="str">
        <f aca="false">Scoring!CY452</f>
        <v/>
      </c>
      <c r="E445" s="7" t="str">
        <f aca="false">Scoring!BZ452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Scoring!DA452</f>
        <v/>
      </c>
      <c r="I445" s="192" t="str">
        <f aca="false">Scoring!CZ452</f>
        <v/>
      </c>
    </row>
    <row r="446" customFormat="false" ht="15.75" hidden="false" customHeight="false" outlineLevel="0" collapsed="false">
      <c r="A446" s="7" t="str">
        <f aca="false">Scoring!DC453</f>
        <v/>
      </c>
      <c r="B446" s="7" t="str">
        <f aca="false">Scoring!DB453</f>
        <v/>
      </c>
      <c r="C446" s="7" t="n">
        <f aca="false">Scoring!C453</f>
        <v>0</v>
      </c>
      <c r="D446" s="191" t="str">
        <f aca="false">Scoring!CY453</f>
        <v/>
      </c>
      <c r="E446" s="7" t="str">
        <f aca="false">Scoring!BZ453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Scoring!DA453</f>
        <v/>
      </c>
      <c r="I446" s="192" t="str">
        <f aca="false">Scoring!CZ453</f>
        <v/>
      </c>
    </row>
    <row r="447" customFormat="false" ht="15.75" hidden="false" customHeight="false" outlineLevel="0" collapsed="false">
      <c r="A447" s="7" t="str">
        <f aca="false">Scoring!DC454</f>
        <v/>
      </c>
      <c r="B447" s="7" t="str">
        <f aca="false">Scoring!DB454</f>
        <v/>
      </c>
      <c r="C447" s="7" t="n">
        <f aca="false">Scoring!C454</f>
        <v>0</v>
      </c>
      <c r="D447" s="191" t="str">
        <f aca="false">Scoring!CY454</f>
        <v/>
      </c>
      <c r="E447" s="7" t="str">
        <f aca="false">Scoring!BZ454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Scoring!DA454</f>
        <v/>
      </c>
      <c r="I447" s="192" t="str">
        <f aca="false">Scoring!CZ454</f>
        <v/>
      </c>
    </row>
    <row r="448" customFormat="false" ht="15.75" hidden="false" customHeight="false" outlineLevel="0" collapsed="false">
      <c r="A448" s="7" t="str">
        <f aca="false">Scoring!DC455</f>
        <v/>
      </c>
      <c r="B448" s="7" t="str">
        <f aca="false">Scoring!DB455</f>
        <v/>
      </c>
      <c r="C448" s="7" t="n">
        <f aca="false">Scoring!C455</f>
        <v>0</v>
      </c>
      <c r="D448" s="191" t="str">
        <f aca="false">Scoring!CY455</f>
        <v/>
      </c>
      <c r="E448" s="7" t="str">
        <f aca="false">Scoring!BZ455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Scoring!DA455</f>
        <v/>
      </c>
      <c r="I448" s="192" t="str">
        <f aca="false">Scoring!CZ455</f>
        <v/>
      </c>
    </row>
    <row r="449" customFormat="false" ht="15.75" hidden="false" customHeight="false" outlineLevel="0" collapsed="false">
      <c r="A449" s="7" t="str">
        <f aca="false">Scoring!DC456</f>
        <v/>
      </c>
      <c r="B449" s="7" t="str">
        <f aca="false">Scoring!DB456</f>
        <v/>
      </c>
      <c r="C449" s="7" t="n">
        <f aca="false">Scoring!C456</f>
        <v>0</v>
      </c>
      <c r="D449" s="191" t="str">
        <f aca="false">Scoring!CY456</f>
        <v/>
      </c>
      <c r="E449" s="7" t="str">
        <f aca="false">Scoring!BZ456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Scoring!DA456</f>
        <v/>
      </c>
      <c r="I449" s="192" t="str">
        <f aca="false">Scoring!CZ456</f>
        <v/>
      </c>
    </row>
    <row r="450" customFormat="false" ht="15.75" hidden="false" customHeight="false" outlineLevel="0" collapsed="false">
      <c r="A450" s="7" t="str">
        <f aca="false">Scoring!DC457</f>
        <v/>
      </c>
      <c r="B450" s="7" t="str">
        <f aca="false">Scoring!DB457</f>
        <v/>
      </c>
      <c r="C450" s="7" t="n">
        <f aca="false">Scoring!C457</f>
        <v>0</v>
      </c>
      <c r="D450" s="191" t="str">
        <f aca="false">Scoring!CY457</f>
        <v/>
      </c>
      <c r="E450" s="7" t="str">
        <f aca="false">Scoring!BZ457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Scoring!DA457</f>
        <v/>
      </c>
      <c r="I450" s="192" t="str">
        <f aca="false">Scoring!CZ457</f>
        <v/>
      </c>
    </row>
    <row r="451" customFormat="false" ht="15.75" hidden="false" customHeight="false" outlineLevel="0" collapsed="false">
      <c r="A451" s="7" t="str">
        <f aca="false">Scoring!DC458</f>
        <v/>
      </c>
      <c r="B451" s="7" t="str">
        <f aca="false">Scoring!DB458</f>
        <v/>
      </c>
      <c r="C451" s="7" t="n">
        <f aca="false">Scoring!C458</f>
        <v>0</v>
      </c>
      <c r="D451" s="191" t="str">
        <f aca="false">Scoring!CY458</f>
        <v/>
      </c>
      <c r="E451" s="7" t="str">
        <f aca="false">Scoring!BZ458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Scoring!DA458</f>
        <v/>
      </c>
      <c r="I451" s="192" t="str">
        <f aca="false">Scoring!CZ458</f>
        <v/>
      </c>
    </row>
    <row r="452" customFormat="false" ht="15.75" hidden="false" customHeight="false" outlineLevel="0" collapsed="false">
      <c r="A452" s="7" t="str">
        <f aca="false">Scoring!DC459</f>
        <v/>
      </c>
      <c r="B452" s="7" t="str">
        <f aca="false">Scoring!DB459</f>
        <v/>
      </c>
      <c r="C452" s="7" t="n">
        <f aca="false">Scoring!C459</f>
        <v>0</v>
      </c>
      <c r="D452" s="191" t="str">
        <f aca="false">Scoring!CY459</f>
        <v/>
      </c>
      <c r="E452" s="7" t="str">
        <f aca="false">Scoring!BZ459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Scoring!DA459</f>
        <v/>
      </c>
      <c r="I452" s="192" t="str">
        <f aca="false">Scoring!CZ459</f>
        <v/>
      </c>
    </row>
    <row r="453" customFormat="false" ht="15.75" hidden="false" customHeight="false" outlineLevel="0" collapsed="false">
      <c r="A453" s="7" t="str">
        <f aca="false">Scoring!DC460</f>
        <v/>
      </c>
      <c r="B453" s="7" t="str">
        <f aca="false">Scoring!DB460</f>
        <v/>
      </c>
      <c r="C453" s="7" t="n">
        <f aca="false">Scoring!C460</f>
        <v>0</v>
      </c>
      <c r="D453" s="191" t="str">
        <f aca="false">Scoring!CY460</f>
        <v/>
      </c>
      <c r="E453" s="7" t="str">
        <f aca="false">Scoring!BZ460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Scoring!DA460</f>
        <v/>
      </c>
      <c r="I453" s="192" t="str">
        <f aca="false">Scoring!CZ460</f>
        <v/>
      </c>
    </row>
    <row r="454" customFormat="false" ht="15.75" hidden="false" customHeight="false" outlineLevel="0" collapsed="false">
      <c r="A454" s="7" t="str">
        <f aca="false">Scoring!DC461</f>
        <v/>
      </c>
      <c r="B454" s="7" t="str">
        <f aca="false">Scoring!DB461</f>
        <v/>
      </c>
      <c r="C454" s="7" t="n">
        <f aca="false">Scoring!C461</f>
        <v>0</v>
      </c>
      <c r="D454" s="191" t="str">
        <f aca="false">Scoring!CY461</f>
        <v/>
      </c>
      <c r="E454" s="7" t="str">
        <f aca="false">Scoring!BZ461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Scoring!DA461</f>
        <v/>
      </c>
      <c r="I454" s="192" t="str">
        <f aca="false">Scoring!CZ461</f>
        <v/>
      </c>
    </row>
    <row r="455" customFormat="false" ht="15.75" hidden="false" customHeight="false" outlineLevel="0" collapsed="false">
      <c r="A455" s="7" t="str">
        <f aca="false">Scoring!DC462</f>
        <v/>
      </c>
      <c r="B455" s="7" t="str">
        <f aca="false">Scoring!DB462</f>
        <v/>
      </c>
      <c r="C455" s="7" t="n">
        <f aca="false">Scoring!C462</f>
        <v>0</v>
      </c>
      <c r="D455" s="191" t="str">
        <f aca="false">Scoring!CY462</f>
        <v/>
      </c>
      <c r="E455" s="7" t="str">
        <f aca="false">Scoring!BZ462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Scoring!DA462</f>
        <v/>
      </c>
      <c r="I455" s="192" t="str">
        <f aca="false">Scoring!CZ462</f>
        <v/>
      </c>
    </row>
    <row r="456" customFormat="false" ht="15.75" hidden="false" customHeight="false" outlineLevel="0" collapsed="false">
      <c r="A456" s="7" t="str">
        <f aca="false">Scoring!DC463</f>
        <v/>
      </c>
      <c r="B456" s="7" t="str">
        <f aca="false">Scoring!DB463</f>
        <v/>
      </c>
      <c r="C456" s="7" t="n">
        <f aca="false">Scoring!C463</f>
        <v>0</v>
      </c>
      <c r="D456" s="191" t="str">
        <f aca="false">Scoring!CY463</f>
        <v/>
      </c>
      <c r="E456" s="7" t="str">
        <f aca="false">Scoring!BZ463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Scoring!DA463</f>
        <v/>
      </c>
      <c r="I456" s="192" t="str">
        <f aca="false">Scoring!CZ463</f>
        <v/>
      </c>
    </row>
    <row r="457" customFormat="false" ht="15.75" hidden="false" customHeight="false" outlineLevel="0" collapsed="false">
      <c r="A457" s="7" t="str">
        <f aca="false">Scoring!DC464</f>
        <v/>
      </c>
      <c r="B457" s="7" t="str">
        <f aca="false">Scoring!DB464</f>
        <v/>
      </c>
      <c r="C457" s="7" t="n">
        <f aca="false">Scoring!C464</f>
        <v>0</v>
      </c>
      <c r="D457" s="191" t="str">
        <f aca="false">Scoring!CY464</f>
        <v/>
      </c>
      <c r="E457" s="7" t="str">
        <f aca="false">Scoring!BZ464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Scoring!DA464</f>
        <v/>
      </c>
      <c r="I457" s="192" t="str">
        <f aca="false">Scoring!CZ464</f>
        <v/>
      </c>
    </row>
    <row r="458" customFormat="false" ht="15.75" hidden="false" customHeight="false" outlineLevel="0" collapsed="false">
      <c r="A458" s="7" t="str">
        <f aca="false">Scoring!DC465</f>
        <v/>
      </c>
      <c r="B458" s="7" t="str">
        <f aca="false">Scoring!DB465</f>
        <v/>
      </c>
      <c r="C458" s="7" t="n">
        <f aca="false">Scoring!C465</f>
        <v>0</v>
      </c>
      <c r="D458" s="191" t="str">
        <f aca="false">Scoring!CY465</f>
        <v/>
      </c>
      <c r="E458" s="7" t="str">
        <f aca="false">Scoring!BZ465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Scoring!DA465</f>
        <v/>
      </c>
      <c r="I458" s="192" t="str">
        <f aca="false">Scoring!CZ465</f>
        <v/>
      </c>
    </row>
    <row r="459" customFormat="false" ht="15.75" hidden="false" customHeight="false" outlineLevel="0" collapsed="false">
      <c r="A459" s="7" t="str">
        <f aca="false">Scoring!DC466</f>
        <v/>
      </c>
      <c r="B459" s="7" t="str">
        <f aca="false">Scoring!DB466</f>
        <v/>
      </c>
      <c r="C459" s="7" t="n">
        <f aca="false">Scoring!C466</f>
        <v>0</v>
      </c>
      <c r="D459" s="191" t="str">
        <f aca="false">Scoring!CY466</f>
        <v/>
      </c>
      <c r="E459" s="7" t="str">
        <f aca="false">Scoring!BZ466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Scoring!DA466</f>
        <v/>
      </c>
      <c r="I459" s="192" t="str">
        <f aca="false">Scoring!CZ466</f>
        <v/>
      </c>
    </row>
    <row r="460" customFormat="false" ht="15.75" hidden="false" customHeight="false" outlineLevel="0" collapsed="false">
      <c r="A460" s="7" t="str">
        <f aca="false">Scoring!DC467</f>
        <v/>
      </c>
      <c r="B460" s="7" t="str">
        <f aca="false">Scoring!DB467</f>
        <v/>
      </c>
      <c r="C460" s="7" t="n">
        <f aca="false">Scoring!C467</f>
        <v>0</v>
      </c>
      <c r="D460" s="191" t="str">
        <f aca="false">Scoring!CY467</f>
        <v/>
      </c>
      <c r="E460" s="7" t="str">
        <f aca="false">Scoring!BZ467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Scoring!DA467</f>
        <v/>
      </c>
      <c r="I460" s="192" t="str">
        <f aca="false">Scoring!CZ467</f>
        <v/>
      </c>
    </row>
    <row r="461" customFormat="false" ht="15.75" hidden="false" customHeight="false" outlineLevel="0" collapsed="false">
      <c r="A461" s="7" t="str">
        <f aca="false">Scoring!DC468</f>
        <v/>
      </c>
      <c r="B461" s="7" t="str">
        <f aca="false">Scoring!DB468</f>
        <v/>
      </c>
      <c r="C461" s="7" t="n">
        <f aca="false">Scoring!C468</f>
        <v>0</v>
      </c>
      <c r="D461" s="191" t="str">
        <f aca="false">Scoring!CY468</f>
        <v/>
      </c>
      <c r="E461" s="7" t="str">
        <f aca="false">Scoring!BZ468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Scoring!DA468</f>
        <v/>
      </c>
      <c r="I461" s="192" t="str">
        <f aca="false">Scoring!CZ468</f>
        <v/>
      </c>
    </row>
    <row r="462" customFormat="false" ht="15.75" hidden="false" customHeight="false" outlineLevel="0" collapsed="false">
      <c r="A462" s="7" t="str">
        <f aca="false">Scoring!DC469</f>
        <v/>
      </c>
      <c r="B462" s="7" t="str">
        <f aca="false">Scoring!DB469</f>
        <v/>
      </c>
      <c r="C462" s="7" t="n">
        <f aca="false">Scoring!C469</f>
        <v>0</v>
      </c>
      <c r="D462" s="191" t="str">
        <f aca="false">Scoring!CY469</f>
        <v/>
      </c>
      <c r="E462" s="7" t="str">
        <f aca="false">Scoring!BZ469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Scoring!DA469</f>
        <v/>
      </c>
      <c r="I462" s="192" t="str">
        <f aca="false">Scoring!CZ469</f>
        <v/>
      </c>
    </row>
    <row r="463" customFormat="false" ht="15.75" hidden="false" customHeight="false" outlineLevel="0" collapsed="false">
      <c r="A463" s="7" t="str">
        <f aca="false">Scoring!DC470</f>
        <v/>
      </c>
      <c r="B463" s="7" t="str">
        <f aca="false">Scoring!DB470</f>
        <v/>
      </c>
      <c r="C463" s="7" t="n">
        <f aca="false">Scoring!C470</f>
        <v>0</v>
      </c>
      <c r="D463" s="191" t="str">
        <f aca="false">Scoring!CY470</f>
        <v/>
      </c>
      <c r="E463" s="7" t="str">
        <f aca="false">Scoring!BZ470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Scoring!DA470</f>
        <v/>
      </c>
      <c r="I463" s="192" t="str">
        <f aca="false">Scoring!CZ470</f>
        <v/>
      </c>
    </row>
    <row r="464" customFormat="false" ht="15.75" hidden="false" customHeight="false" outlineLevel="0" collapsed="false">
      <c r="A464" s="7" t="str">
        <f aca="false">Scoring!DC471</f>
        <v/>
      </c>
      <c r="B464" s="7" t="str">
        <f aca="false">Scoring!DB471</f>
        <v/>
      </c>
      <c r="C464" s="7" t="n">
        <f aca="false">Scoring!C471</f>
        <v>0</v>
      </c>
      <c r="D464" s="191" t="str">
        <f aca="false">Scoring!CY471</f>
        <v/>
      </c>
      <c r="E464" s="7" t="str">
        <f aca="false">Scoring!BZ471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Scoring!DA471</f>
        <v/>
      </c>
      <c r="I464" s="192" t="str">
        <f aca="false">Scoring!CZ471</f>
        <v/>
      </c>
    </row>
    <row r="465" customFormat="false" ht="15.75" hidden="false" customHeight="false" outlineLevel="0" collapsed="false">
      <c r="A465" s="7" t="str">
        <f aca="false">Scoring!DC472</f>
        <v/>
      </c>
      <c r="B465" s="7" t="str">
        <f aca="false">Scoring!DB472</f>
        <v/>
      </c>
      <c r="C465" s="7" t="n">
        <f aca="false">Scoring!C472</f>
        <v>0</v>
      </c>
      <c r="D465" s="191" t="str">
        <f aca="false">Scoring!CY472</f>
        <v/>
      </c>
      <c r="E465" s="7" t="str">
        <f aca="false">Scoring!BZ472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Scoring!DA472</f>
        <v/>
      </c>
      <c r="I465" s="192" t="str">
        <f aca="false">Scoring!CZ472</f>
        <v/>
      </c>
    </row>
    <row r="466" customFormat="false" ht="15.75" hidden="false" customHeight="false" outlineLevel="0" collapsed="false">
      <c r="A466" s="7" t="str">
        <f aca="false">Scoring!DC473</f>
        <v/>
      </c>
      <c r="B466" s="7" t="str">
        <f aca="false">Scoring!DB473</f>
        <v/>
      </c>
      <c r="C466" s="7" t="n">
        <f aca="false">Scoring!C473</f>
        <v>0</v>
      </c>
      <c r="D466" s="191" t="str">
        <f aca="false">Scoring!CY473</f>
        <v/>
      </c>
      <c r="E466" s="7" t="str">
        <f aca="false">Scoring!BZ473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Scoring!DA473</f>
        <v/>
      </c>
      <c r="I466" s="192" t="str">
        <f aca="false">Scoring!CZ473</f>
        <v/>
      </c>
    </row>
    <row r="467" customFormat="false" ht="15.75" hidden="false" customHeight="false" outlineLevel="0" collapsed="false">
      <c r="A467" s="7" t="str">
        <f aca="false">Scoring!DC474</f>
        <v/>
      </c>
      <c r="B467" s="7" t="str">
        <f aca="false">Scoring!DB474</f>
        <v/>
      </c>
      <c r="C467" s="7" t="n">
        <f aca="false">Scoring!C474</f>
        <v>0</v>
      </c>
      <c r="D467" s="191" t="str">
        <f aca="false">Scoring!CY474</f>
        <v/>
      </c>
      <c r="E467" s="7" t="str">
        <f aca="false">Scoring!BZ474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Scoring!DA474</f>
        <v/>
      </c>
      <c r="I467" s="192" t="str">
        <f aca="false">Scoring!CZ474</f>
        <v/>
      </c>
    </row>
    <row r="468" customFormat="false" ht="15.75" hidden="false" customHeight="false" outlineLevel="0" collapsed="false">
      <c r="A468" s="7" t="str">
        <f aca="false">Scoring!DC475</f>
        <v/>
      </c>
      <c r="B468" s="7" t="str">
        <f aca="false">Scoring!DB475</f>
        <v/>
      </c>
      <c r="C468" s="7" t="n">
        <f aca="false">Scoring!C475</f>
        <v>0</v>
      </c>
      <c r="D468" s="191" t="str">
        <f aca="false">Scoring!CY475</f>
        <v/>
      </c>
      <c r="E468" s="7" t="str">
        <f aca="false">Scoring!BZ475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Scoring!DA475</f>
        <v/>
      </c>
      <c r="I468" s="192" t="str">
        <f aca="false">Scoring!CZ475</f>
        <v/>
      </c>
    </row>
    <row r="469" customFormat="false" ht="15.75" hidden="false" customHeight="false" outlineLevel="0" collapsed="false">
      <c r="A469" s="7" t="str">
        <f aca="false">Scoring!DC476</f>
        <v/>
      </c>
      <c r="B469" s="7" t="str">
        <f aca="false">Scoring!DB476</f>
        <v/>
      </c>
      <c r="C469" s="7" t="n">
        <f aca="false">Scoring!C476</f>
        <v>0</v>
      </c>
      <c r="D469" s="191" t="str">
        <f aca="false">Scoring!CY476</f>
        <v/>
      </c>
      <c r="E469" s="7" t="str">
        <f aca="false">Scoring!BZ476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Scoring!DA476</f>
        <v/>
      </c>
      <c r="I469" s="192" t="str">
        <f aca="false">Scoring!CZ476</f>
        <v/>
      </c>
    </row>
    <row r="470" customFormat="false" ht="15.75" hidden="false" customHeight="false" outlineLevel="0" collapsed="false">
      <c r="A470" s="7" t="str">
        <f aca="false">Scoring!DC477</f>
        <v/>
      </c>
      <c r="B470" s="7" t="str">
        <f aca="false">Scoring!DB477</f>
        <v/>
      </c>
      <c r="C470" s="7" t="n">
        <f aca="false">Scoring!C477</f>
        <v>0</v>
      </c>
      <c r="D470" s="191" t="str">
        <f aca="false">Scoring!CY477</f>
        <v/>
      </c>
      <c r="E470" s="7" t="str">
        <f aca="false">Scoring!BZ477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Scoring!DA477</f>
        <v/>
      </c>
      <c r="I470" s="192" t="str">
        <f aca="false">Scoring!CZ477</f>
        <v/>
      </c>
    </row>
    <row r="471" customFormat="false" ht="15.75" hidden="false" customHeight="false" outlineLevel="0" collapsed="false">
      <c r="A471" s="7" t="str">
        <f aca="false">Scoring!DC478</f>
        <v/>
      </c>
      <c r="B471" s="7" t="str">
        <f aca="false">Scoring!DB478</f>
        <v/>
      </c>
      <c r="C471" s="7" t="n">
        <f aca="false">Scoring!C478</f>
        <v>0</v>
      </c>
      <c r="D471" s="191" t="str">
        <f aca="false">Scoring!CY478</f>
        <v/>
      </c>
      <c r="E471" s="7" t="str">
        <f aca="false">Scoring!BZ478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Scoring!DA478</f>
        <v/>
      </c>
      <c r="I471" s="192" t="str">
        <f aca="false">Scoring!CZ478</f>
        <v/>
      </c>
    </row>
    <row r="472" customFormat="false" ht="15.75" hidden="false" customHeight="false" outlineLevel="0" collapsed="false">
      <c r="A472" s="7" t="str">
        <f aca="false">Scoring!DC479</f>
        <v/>
      </c>
      <c r="B472" s="7" t="str">
        <f aca="false">Scoring!DB479</f>
        <v/>
      </c>
      <c r="C472" s="7" t="n">
        <f aca="false">Scoring!C479</f>
        <v>0</v>
      </c>
      <c r="D472" s="191" t="str">
        <f aca="false">Scoring!CY479</f>
        <v/>
      </c>
      <c r="E472" s="7" t="str">
        <f aca="false">Scoring!BZ479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Scoring!DA479</f>
        <v/>
      </c>
      <c r="I472" s="192" t="str">
        <f aca="false">Scoring!CZ479</f>
        <v/>
      </c>
    </row>
    <row r="473" customFormat="false" ht="15.75" hidden="false" customHeight="false" outlineLevel="0" collapsed="false">
      <c r="A473" s="7" t="str">
        <f aca="false">Scoring!DC480</f>
        <v/>
      </c>
      <c r="B473" s="7" t="str">
        <f aca="false">Scoring!DB480</f>
        <v/>
      </c>
      <c r="C473" s="7" t="n">
        <f aca="false">Scoring!C480</f>
        <v>0</v>
      </c>
      <c r="D473" s="191" t="str">
        <f aca="false">Scoring!CY480</f>
        <v/>
      </c>
      <c r="E473" s="7" t="str">
        <f aca="false">Scoring!BZ480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Scoring!DA480</f>
        <v/>
      </c>
      <c r="I473" s="192" t="str">
        <f aca="false">Scoring!CZ480</f>
        <v/>
      </c>
    </row>
    <row r="474" customFormat="false" ht="15.75" hidden="false" customHeight="false" outlineLevel="0" collapsed="false">
      <c r="A474" s="7" t="str">
        <f aca="false">Scoring!DC481</f>
        <v/>
      </c>
      <c r="B474" s="7" t="str">
        <f aca="false">Scoring!DB481</f>
        <v/>
      </c>
      <c r="C474" s="7" t="n">
        <f aca="false">Scoring!C481</f>
        <v>0</v>
      </c>
      <c r="D474" s="191" t="str">
        <f aca="false">Scoring!CY481</f>
        <v/>
      </c>
      <c r="E474" s="7" t="str">
        <f aca="false">Scoring!BZ481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Scoring!DA481</f>
        <v/>
      </c>
      <c r="I474" s="192" t="str">
        <f aca="false">Scoring!CZ481</f>
        <v/>
      </c>
    </row>
    <row r="475" customFormat="false" ht="15.75" hidden="false" customHeight="false" outlineLevel="0" collapsed="false">
      <c r="A475" s="7" t="str">
        <f aca="false">Scoring!DC482</f>
        <v/>
      </c>
      <c r="B475" s="7" t="str">
        <f aca="false">Scoring!DB482</f>
        <v/>
      </c>
      <c r="C475" s="7" t="n">
        <f aca="false">Scoring!C482</f>
        <v>0</v>
      </c>
      <c r="D475" s="191" t="str">
        <f aca="false">Scoring!CY482</f>
        <v/>
      </c>
      <c r="E475" s="7" t="str">
        <f aca="false">Scoring!BZ482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Scoring!DA482</f>
        <v/>
      </c>
      <c r="I475" s="192" t="str">
        <f aca="false">Scoring!CZ482</f>
        <v/>
      </c>
    </row>
    <row r="476" customFormat="false" ht="15.75" hidden="false" customHeight="false" outlineLevel="0" collapsed="false">
      <c r="A476" s="7" t="str">
        <f aca="false">Scoring!DC483</f>
        <v/>
      </c>
      <c r="B476" s="7" t="str">
        <f aca="false">Scoring!DB483</f>
        <v/>
      </c>
      <c r="C476" s="7" t="n">
        <f aca="false">Scoring!C483</f>
        <v>0</v>
      </c>
      <c r="D476" s="191" t="str">
        <f aca="false">Scoring!CY483</f>
        <v/>
      </c>
      <c r="E476" s="7" t="str">
        <f aca="false">Scoring!BZ483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Scoring!DA483</f>
        <v/>
      </c>
      <c r="I476" s="192" t="str">
        <f aca="false">Scoring!CZ483</f>
        <v/>
      </c>
    </row>
    <row r="477" customFormat="false" ht="15.75" hidden="false" customHeight="false" outlineLevel="0" collapsed="false">
      <c r="A477" s="7" t="str">
        <f aca="false">Scoring!DC484</f>
        <v/>
      </c>
      <c r="B477" s="7" t="str">
        <f aca="false">Scoring!DB484</f>
        <v/>
      </c>
      <c r="C477" s="7" t="n">
        <f aca="false">Scoring!C484</f>
        <v>0</v>
      </c>
      <c r="D477" s="191" t="str">
        <f aca="false">Scoring!CY484</f>
        <v/>
      </c>
      <c r="E477" s="7" t="str">
        <f aca="false">Scoring!BZ484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Scoring!DA484</f>
        <v/>
      </c>
      <c r="I477" s="192" t="str">
        <f aca="false">Scoring!CZ484</f>
        <v/>
      </c>
    </row>
    <row r="478" customFormat="false" ht="15.75" hidden="false" customHeight="false" outlineLevel="0" collapsed="false">
      <c r="A478" s="7" t="str">
        <f aca="false">Scoring!DC485</f>
        <v/>
      </c>
      <c r="B478" s="7" t="str">
        <f aca="false">Scoring!DB485</f>
        <v/>
      </c>
      <c r="C478" s="7" t="n">
        <f aca="false">Scoring!C485</f>
        <v>0</v>
      </c>
      <c r="D478" s="191" t="str">
        <f aca="false">Scoring!CY485</f>
        <v/>
      </c>
      <c r="E478" s="7" t="str">
        <f aca="false">Scoring!BZ485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Scoring!DA485</f>
        <v/>
      </c>
      <c r="I478" s="192" t="str">
        <f aca="false">Scoring!CZ485</f>
        <v/>
      </c>
    </row>
    <row r="479" customFormat="false" ht="15.75" hidden="false" customHeight="false" outlineLevel="0" collapsed="false">
      <c r="A479" s="7" t="str">
        <f aca="false">Scoring!DC486</f>
        <v/>
      </c>
      <c r="B479" s="7" t="str">
        <f aca="false">Scoring!DB486</f>
        <v/>
      </c>
      <c r="C479" s="7" t="n">
        <f aca="false">Scoring!C486</f>
        <v>0</v>
      </c>
      <c r="D479" s="191" t="str">
        <f aca="false">Scoring!CY486</f>
        <v/>
      </c>
      <c r="E479" s="7" t="str">
        <f aca="false">Scoring!BZ486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Scoring!DA486</f>
        <v/>
      </c>
      <c r="I479" s="192" t="str">
        <f aca="false">Scoring!CZ486</f>
        <v/>
      </c>
    </row>
    <row r="480" customFormat="false" ht="15.75" hidden="false" customHeight="false" outlineLevel="0" collapsed="false">
      <c r="A480" s="7" t="str">
        <f aca="false">Scoring!DC487</f>
        <v/>
      </c>
      <c r="B480" s="7" t="str">
        <f aca="false">Scoring!DB487</f>
        <v/>
      </c>
      <c r="C480" s="7" t="n">
        <f aca="false">Scoring!C487</f>
        <v>0</v>
      </c>
      <c r="D480" s="191" t="str">
        <f aca="false">Scoring!CY487</f>
        <v/>
      </c>
      <c r="E480" s="7" t="str">
        <f aca="false">Scoring!BZ487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Scoring!DA487</f>
        <v/>
      </c>
      <c r="I480" s="192" t="str">
        <f aca="false">Scoring!CZ487</f>
        <v/>
      </c>
    </row>
    <row r="481" customFormat="false" ht="15.75" hidden="false" customHeight="false" outlineLevel="0" collapsed="false">
      <c r="A481" s="7" t="str">
        <f aca="false">Scoring!DC488</f>
        <v/>
      </c>
      <c r="B481" s="7" t="str">
        <f aca="false">Scoring!DB488</f>
        <v/>
      </c>
      <c r="C481" s="7" t="n">
        <f aca="false">Scoring!C488</f>
        <v>0</v>
      </c>
      <c r="D481" s="191" t="str">
        <f aca="false">Scoring!CY488</f>
        <v/>
      </c>
      <c r="E481" s="7" t="str">
        <f aca="false">Scoring!BZ488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Scoring!DA488</f>
        <v/>
      </c>
      <c r="I481" s="192" t="str">
        <f aca="false">Scoring!CZ488</f>
        <v/>
      </c>
    </row>
    <row r="482" customFormat="false" ht="15.75" hidden="false" customHeight="false" outlineLevel="0" collapsed="false">
      <c r="A482" s="7" t="str">
        <f aca="false">Scoring!DC489</f>
        <v/>
      </c>
      <c r="B482" s="7" t="str">
        <f aca="false">Scoring!DB489</f>
        <v/>
      </c>
      <c r="C482" s="7" t="n">
        <f aca="false">Scoring!C489</f>
        <v>0</v>
      </c>
      <c r="D482" s="191" t="str">
        <f aca="false">Scoring!CY489</f>
        <v/>
      </c>
      <c r="E482" s="7" t="str">
        <f aca="false">Scoring!BZ489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Scoring!DA489</f>
        <v/>
      </c>
      <c r="I482" s="192" t="str">
        <f aca="false">Scoring!CZ489</f>
        <v/>
      </c>
    </row>
    <row r="483" customFormat="false" ht="15.75" hidden="false" customHeight="false" outlineLevel="0" collapsed="false">
      <c r="A483" s="7" t="str">
        <f aca="false">Scoring!DC490</f>
        <v/>
      </c>
      <c r="B483" s="7" t="str">
        <f aca="false">Scoring!DB490</f>
        <v/>
      </c>
      <c r="C483" s="7" t="n">
        <f aca="false">Scoring!C490</f>
        <v>0</v>
      </c>
      <c r="D483" s="191" t="str">
        <f aca="false">Scoring!CY490</f>
        <v/>
      </c>
      <c r="E483" s="7" t="str">
        <f aca="false">Scoring!BZ490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Scoring!DA490</f>
        <v/>
      </c>
      <c r="I483" s="192" t="str">
        <f aca="false">Scoring!CZ490</f>
        <v/>
      </c>
    </row>
    <row r="484" customFormat="false" ht="15.75" hidden="false" customHeight="false" outlineLevel="0" collapsed="false">
      <c r="A484" s="7" t="str">
        <f aca="false">Scoring!DC491</f>
        <v/>
      </c>
      <c r="B484" s="7" t="str">
        <f aca="false">Scoring!DB491</f>
        <v/>
      </c>
      <c r="C484" s="7" t="n">
        <f aca="false">Scoring!C491</f>
        <v>0</v>
      </c>
      <c r="D484" s="191" t="str">
        <f aca="false">Scoring!CY491</f>
        <v/>
      </c>
      <c r="E484" s="7" t="str">
        <f aca="false">Scoring!BZ491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Scoring!DA491</f>
        <v/>
      </c>
      <c r="I484" s="192" t="str">
        <f aca="false">Scoring!CZ491</f>
        <v/>
      </c>
    </row>
    <row r="485" customFormat="false" ht="15.75" hidden="false" customHeight="false" outlineLevel="0" collapsed="false">
      <c r="A485" s="7" t="str">
        <f aca="false">Scoring!DC492</f>
        <v/>
      </c>
      <c r="B485" s="7" t="str">
        <f aca="false">Scoring!DB492</f>
        <v/>
      </c>
      <c r="C485" s="7" t="n">
        <f aca="false">Scoring!C492</f>
        <v>0</v>
      </c>
      <c r="D485" s="191" t="str">
        <f aca="false">Scoring!CY492</f>
        <v/>
      </c>
      <c r="E485" s="7" t="str">
        <f aca="false">Scoring!BZ492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Scoring!DA492</f>
        <v/>
      </c>
      <c r="I485" s="192" t="str">
        <f aca="false">Scoring!CZ492</f>
        <v/>
      </c>
    </row>
    <row r="486" customFormat="false" ht="15.75" hidden="false" customHeight="false" outlineLevel="0" collapsed="false">
      <c r="A486" s="7" t="str">
        <f aca="false">Scoring!DC493</f>
        <v/>
      </c>
      <c r="B486" s="7" t="str">
        <f aca="false">Scoring!DB493</f>
        <v/>
      </c>
      <c r="C486" s="7" t="n">
        <f aca="false">Scoring!C493</f>
        <v>0</v>
      </c>
      <c r="D486" s="191" t="str">
        <f aca="false">Scoring!CY493</f>
        <v/>
      </c>
      <c r="E486" s="7" t="str">
        <f aca="false">Scoring!BZ493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Scoring!DA493</f>
        <v/>
      </c>
      <c r="I486" s="192" t="str">
        <f aca="false">Scoring!CZ493</f>
        <v/>
      </c>
    </row>
    <row r="487" customFormat="false" ht="15.75" hidden="false" customHeight="false" outlineLevel="0" collapsed="false">
      <c r="A487" s="7" t="str">
        <f aca="false">Scoring!DC494</f>
        <v/>
      </c>
      <c r="B487" s="7" t="str">
        <f aca="false">Scoring!DB494</f>
        <v/>
      </c>
      <c r="C487" s="7" t="n">
        <f aca="false">Scoring!C494</f>
        <v>0</v>
      </c>
      <c r="D487" s="191" t="str">
        <f aca="false">Scoring!CY494</f>
        <v/>
      </c>
      <c r="E487" s="7" t="str">
        <f aca="false">Scoring!BZ494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Scoring!DA494</f>
        <v/>
      </c>
      <c r="I487" s="192" t="str">
        <f aca="false">Scoring!CZ494</f>
        <v/>
      </c>
    </row>
    <row r="488" customFormat="false" ht="15.75" hidden="false" customHeight="false" outlineLevel="0" collapsed="false">
      <c r="A488" s="7" t="str">
        <f aca="false">Scoring!DC495</f>
        <v/>
      </c>
      <c r="B488" s="7" t="str">
        <f aca="false">Scoring!DB495</f>
        <v/>
      </c>
      <c r="C488" s="7" t="n">
        <f aca="false">Scoring!C495</f>
        <v>0</v>
      </c>
      <c r="D488" s="191" t="str">
        <f aca="false">Scoring!CY495</f>
        <v/>
      </c>
      <c r="E488" s="7" t="str">
        <f aca="false">Scoring!BZ495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Scoring!DA495</f>
        <v/>
      </c>
      <c r="I488" s="192" t="str">
        <f aca="false">Scoring!CZ495</f>
        <v/>
      </c>
    </row>
    <row r="489" customFormat="false" ht="15.75" hidden="false" customHeight="false" outlineLevel="0" collapsed="false">
      <c r="A489" s="7" t="str">
        <f aca="false">Scoring!DC496</f>
        <v/>
      </c>
      <c r="B489" s="7" t="str">
        <f aca="false">Scoring!DB496</f>
        <v/>
      </c>
      <c r="C489" s="7" t="n">
        <f aca="false">Scoring!C496</f>
        <v>0</v>
      </c>
      <c r="D489" s="191" t="str">
        <f aca="false">Scoring!CY496</f>
        <v/>
      </c>
      <c r="E489" s="7" t="str">
        <f aca="false">Scoring!BZ496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Scoring!DA496</f>
        <v/>
      </c>
      <c r="I489" s="192" t="str">
        <f aca="false">Scoring!CZ496</f>
        <v/>
      </c>
    </row>
    <row r="490" customFormat="false" ht="15.75" hidden="false" customHeight="false" outlineLevel="0" collapsed="false">
      <c r="A490" s="7" t="str">
        <f aca="false">Scoring!DC497</f>
        <v/>
      </c>
      <c r="B490" s="7" t="str">
        <f aca="false">Scoring!DB497</f>
        <v/>
      </c>
      <c r="C490" s="7" t="n">
        <f aca="false">Scoring!C497</f>
        <v>0</v>
      </c>
      <c r="D490" s="191" t="str">
        <f aca="false">Scoring!CY497</f>
        <v/>
      </c>
      <c r="E490" s="7" t="str">
        <f aca="false">Scoring!BZ497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Scoring!DA497</f>
        <v/>
      </c>
      <c r="I490" s="192" t="str">
        <f aca="false">Scoring!CZ497</f>
        <v/>
      </c>
    </row>
    <row r="491" customFormat="false" ht="15.75" hidden="false" customHeight="false" outlineLevel="0" collapsed="false">
      <c r="A491" s="7" t="str">
        <f aca="false">Scoring!DC498</f>
        <v/>
      </c>
      <c r="B491" s="7" t="str">
        <f aca="false">Scoring!DB498</f>
        <v/>
      </c>
      <c r="C491" s="7" t="n">
        <f aca="false">Scoring!C498</f>
        <v>0</v>
      </c>
      <c r="D491" s="191" t="str">
        <f aca="false">Scoring!CY498</f>
        <v/>
      </c>
      <c r="E491" s="7" t="str">
        <f aca="false">Scoring!BZ498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Scoring!DA498</f>
        <v/>
      </c>
      <c r="I491" s="192" t="str">
        <f aca="false">Scoring!CZ498</f>
        <v/>
      </c>
    </row>
    <row r="492" customFormat="false" ht="15.75" hidden="false" customHeight="false" outlineLevel="0" collapsed="false">
      <c r="A492" s="7" t="str">
        <f aca="false">Scoring!DC499</f>
        <v/>
      </c>
      <c r="B492" s="7" t="str">
        <f aca="false">Scoring!DB499</f>
        <v/>
      </c>
      <c r="C492" s="7" t="n">
        <f aca="false">Scoring!C499</f>
        <v>0</v>
      </c>
      <c r="D492" s="191" t="str">
        <f aca="false">Scoring!CY499</f>
        <v/>
      </c>
      <c r="E492" s="7" t="str">
        <f aca="false">Scoring!BZ499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Scoring!DA499</f>
        <v/>
      </c>
      <c r="I492" s="192" t="str">
        <f aca="false">Scoring!CZ499</f>
        <v/>
      </c>
    </row>
    <row r="493" customFormat="false" ht="15.75" hidden="false" customHeight="false" outlineLevel="0" collapsed="false">
      <c r="A493" s="7" t="str">
        <f aca="false">Scoring!DC500</f>
        <v/>
      </c>
      <c r="B493" s="7" t="str">
        <f aca="false">Scoring!DB500</f>
        <v/>
      </c>
      <c r="C493" s="7" t="n">
        <f aca="false">Scoring!C500</f>
        <v>0</v>
      </c>
      <c r="D493" s="191" t="str">
        <f aca="false">Scoring!CY500</f>
        <v/>
      </c>
      <c r="E493" s="7" t="str">
        <f aca="false">Scoring!BZ500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Scoring!DA500</f>
        <v/>
      </c>
      <c r="I493" s="192" t="str">
        <f aca="false">Scoring!CZ500</f>
        <v/>
      </c>
    </row>
    <row r="494" customFormat="false" ht="15.75" hidden="false" customHeight="false" outlineLevel="0" collapsed="false">
      <c r="A494" s="7" t="str">
        <f aca="false">Scoring!DC501</f>
        <v/>
      </c>
      <c r="B494" s="7" t="str">
        <f aca="false">Scoring!DB501</f>
        <v/>
      </c>
      <c r="C494" s="7" t="n">
        <f aca="false">Scoring!C501</f>
        <v>0</v>
      </c>
      <c r="D494" s="191" t="str">
        <f aca="false">Scoring!CY501</f>
        <v/>
      </c>
      <c r="E494" s="7" t="str">
        <f aca="false">Scoring!BZ501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Scoring!DA501</f>
        <v/>
      </c>
      <c r="I494" s="192" t="str">
        <f aca="false">Scoring!CZ501</f>
        <v/>
      </c>
    </row>
    <row r="495" customFormat="false" ht="15.75" hidden="false" customHeight="false" outlineLevel="0" collapsed="false">
      <c r="A495" s="7" t="str">
        <f aca="false">Scoring!DC502</f>
        <v/>
      </c>
      <c r="B495" s="7" t="str">
        <f aca="false">Scoring!DB502</f>
        <v/>
      </c>
      <c r="C495" s="7" t="n">
        <f aca="false">Scoring!C502</f>
        <v>0</v>
      </c>
      <c r="D495" s="191" t="str">
        <f aca="false">Scoring!CY502</f>
        <v/>
      </c>
      <c r="E495" s="7" t="str">
        <f aca="false">Scoring!BZ502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Scoring!DA502</f>
        <v/>
      </c>
      <c r="I495" s="192" t="str">
        <f aca="false">Scoring!CZ502</f>
        <v/>
      </c>
    </row>
    <row r="496" customFormat="false" ht="15.75" hidden="false" customHeight="false" outlineLevel="0" collapsed="false">
      <c r="A496" s="7" t="str">
        <f aca="false">Scoring!DC503</f>
        <v/>
      </c>
      <c r="B496" s="7" t="str">
        <f aca="false">Scoring!DB503</f>
        <v/>
      </c>
      <c r="C496" s="7" t="n">
        <f aca="false">Scoring!C503</f>
        <v>0</v>
      </c>
      <c r="D496" s="191" t="str">
        <f aca="false">Scoring!CY503</f>
        <v/>
      </c>
      <c r="E496" s="7" t="str">
        <f aca="false">Scoring!BZ503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Scoring!DA503</f>
        <v/>
      </c>
      <c r="I496" s="192" t="str">
        <f aca="false">Scoring!CZ503</f>
        <v/>
      </c>
    </row>
    <row r="497" customFormat="false" ht="15.75" hidden="false" customHeight="false" outlineLevel="0" collapsed="false">
      <c r="A497" s="7" t="str">
        <f aca="false">Scoring!DC504</f>
        <v/>
      </c>
      <c r="B497" s="7" t="str">
        <f aca="false">Scoring!DB504</f>
        <v/>
      </c>
      <c r="C497" s="7" t="n">
        <f aca="false">Scoring!C504</f>
        <v>0</v>
      </c>
      <c r="D497" s="191" t="str">
        <f aca="false">Scoring!CY504</f>
        <v/>
      </c>
      <c r="E497" s="7" t="str">
        <f aca="false">Scoring!BZ504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Scoring!DA504</f>
        <v/>
      </c>
      <c r="I497" s="192" t="str">
        <f aca="false">Scoring!CZ504</f>
        <v/>
      </c>
    </row>
    <row r="498" customFormat="false" ht="15.75" hidden="false" customHeight="false" outlineLevel="0" collapsed="false">
      <c r="A498" s="7" t="str">
        <f aca="false">Scoring!DC505</f>
        <v/>
      </c>
      <c r="B498" s="7" t="str">
        <f aca="false">Scoring!DB505</f>
        <v/>
      </c>
      <c r="C498" s="7" t="n">
        <f aca="false">Scoring!C505</f>
        <v>0</v>
      </c>
      <c r="D498" s="191" t="str">
        <f aca="false">Scoring!CY505</f>
        <v/>
      </c>
      <c r="E498" s="7" t="str">
        <f aca="false">Scoring!BZ505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Scoring!DA505</f>
        <v/>
      </c>
      <c r="I498" s="192" t="str">
        <f aca="false">Scoring!CZ505</f>
        <v/>
      </c>
    </row>
    <row r="499" customFormat="false" ht="15.75" hidden="false" customHeight="false" outlineLevel="0" collapsed="false">
      <c r="A499" s="7" t="str">
        <f aca="false">Scoring!DC506</f>
        <v/>
      </c>
      <c r="B499" s="7" t="str">
        <f aca="false">Scoring!DB506</f>
        <v/>
      </c>
      <c r="C499" s="7" t="n">
        <f aca="false">Scoring!C506</f>
        <v>0</v>
      </c>
      <c r="D499" s="191" t="str">
        <f aca="false">Scoring!CY506</f>
        <v/>
      </c>
      <c r="E499" s="7" t="str">
        <f aca="false">Scoring!BZ506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Scoring!DA506</f>
        <v/>
      </c>
      <c r="I499" s="192" t="str">
        <f aca="false">Scoring!CZ506</f>
        <v/>
      </c>
    </row>
    <row r="500" customFormat="false" ht="15.75" hidden="false" customHeight="false" outlineLevel="0" collapsed="false">
      <c r="A500" s="7" t="str">
        <f aca="false">Scoring!DC507</f>
        <v/>
      </c>
      <c r="B500" s="7" t="str">
        <f aca="false">Scoring!DB507</f>
        <v/>
      </c>
      <c r="C500" s="7" t="n">
        <f aca="false">Scoring!C507</f>
        <v>0</v>
      </c>
      <c r="D500" s="191" t="str">
        <f aca="false">Scoring!CY507</f>
        <v/>
      </c>
      <c r="E500" s="7" t="str">
        <f aca="false">Scoring!BZ507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Scoring!DA507</f>
        <v/>
      </c>
      <c r="I500" s="192" t="str">
        <f aca="false">Scoring!CZ507</f>
        <v/>
      </c>
    </row>
    <row r="501" customFormat="false" ht="15.75" hidden="false" customHeight="false" outlineLevel="0" collapsed="false">
      <c r="A501" s="7" t="str">
        <f aca="false">Scoring!DC508</f>
        <v/>
      </c>
      <c r="B501" s="7" t="str">
        <f aca="false">Scoring!DB508</f>
        <v/>
      </c>
      <c r="C501" s="7" t="n">
        <f aca="false">Scoring!C508</f>
        <v>0</v>
      </c>
      <c r="D501" s="191" t="str">
        <f aca="false">Scoring!CY508</f>
        <v/>
      </c>
      <c r="E501" s="7" t="str">
        <f aca="false">Scoring!BZ508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Scoring!DA508</f>
        <v/>
      </c>
      <c r="I501" s="192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2026-09-26T19:34:09Z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